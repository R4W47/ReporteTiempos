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3" documentId="13_ncr:1_{6F1FC85C-2612-4AAA-BAED-EEE72D851975}" xr6:coauthVersionLast="47" xr6:coauthVersionMax="47" xr10:uidLastSave="{032135BE-21A6-4656-8B2C-D7969FE5312C}"/>
  <bookViews>
    <workbookView xWindow="-110" yWindow="-110" windowWidth="19420" windowHeight="10300" tabRatio="581" firstSheet="2" activeTab="2" xr2:uid="{00000000-000D-0000-FFFF-FFFF00000000}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91029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<sst xmlns="http://schemas.openxmlformats.org/spreadsheetml/2006/main" count="2589" uniqueCount="140">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</sst>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262100</c:v>
                </c:pt>
                <c:pt idx="9">
                  <c:v>252350</c:v>
                </c:pt>
                <c:pt idx="10">
                  <c:v>27750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163650</c:v>
                </c:pt>
                <c:pt idx="9">
                  <c:v>187300</c:v>
                </c:pt>
                <c:pt idx="10">
                  <c:v>16000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20000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43037.5</v>
          </cell>
        </row>
        <row r="12">
          <cell r="G12">
            <v>20000</v>
          </cell>
        </row>
        <row r="19">
          <cell r="D19">
            <v>425750</v>
          </cell>
          <cell r="E19">
            <v>55347.5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205250</v>
          </cell>
          <cell r="K4">
            <v>26682.5</v>
          </cell>
          <cell r="L4">
            <v>148750</v>
          </cell>
        </row>
        <row r="5">
          <cell r="J5">
            <v>55150</v>
          </cell>
          <cell r="K5">
            <v>7169.5</v>
          </cell>
          <cell r="L5">
            <v>160000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115400</v>
          </cell>
          <cell r="K4">
            <v>15002</v>
          </cell>
          <cell r="L4">
            <v>42500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164350</v>
          </cell>
          <cell r="K4">
            <v>19722</v>
          </cell>
          <cell r="L4">
            <v>72250</v>
          </cell>
        </row>
        <row r="5">
          <cell r="J5">
            <v>84200</v>
          </cell>
          <cell r="K5">
            <v>10104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338600</v>
          </cell>
          <cell r="K4">
            <v>40632</v>
          </cell>
          <cell r="L4">
            <v>267750</v>
          </cell>
        </row>
        <row r="5">
          <cell r="J5">
            <v>171900</v>
          </cell>
          <cell r="K5">
            <v>20628</v>
          </cell>
          <cell r="L5">
            <v>59500</v>
          </cell>
        </row>
        <row r="6">
          <cell r="J6">
            <v>30050</v>
          </cell>
          <cell r="K6">
            <v>3005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50000</v>
          </cell>
          <cell r="K8">
            <v>6000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109650</v>
          </cell>
          <cell r="K4">
            <v>13158</v>
          </cell>
          <cell r="L4">
            <v>80750</v>
          </cell>
        </row>
        <row r="5">
          <cell r="J5">
            <v>55900</v>
          </cell>
          <cell r="K5">
            <v>6708</v>
          </cell>
          <cell r="L5">
            <v>63750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86250</v>
          </cell>
          <cell r="K4">
            <v>10350</v>
          </cell>
          <cell r="L4">
            <v>38250</v>
          </cell>
        </row>
        <row r="5">
          <cell r="J5">
            <v>32200</v>
          </cell>
          <cell r="K5">
            <v>3864</v>
          </cell>
          <cell r="L5">
            <v>0</v>
          </cell>
        </row>
      </sheetData>
      <sheetData sheetId="21">
        <row r="4">
          <cell r="J4">
            <v>59300</v>
          </cell>
          <cell r="K4">
            <v>8895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100050</v>
          </cell>
          <cell r="K4">
            <v>12006</v>
          </cell>
          <cell r="L4">
            <v>42500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25591</v>
          </cell>
        </row>
        <row r="12">
          <cell r="G12">
            <v>35000</v>
          </cell>
        </row>
        <row r="19">
          <cell r="D19">
            <v>439650</v>
          </cell>
          <cell r="E19">
            <v>57154.5</v>
          </cell>
          <cell r="F19">
            <v>30000</v>
          </cell>
        </row>
        <row r="22">
          <cell r="G22">
            <v>8500</v>
          </cell>
        </row>
      </sheetData>
      <sheetData sheetId="10"/>
      <sheetData sheetId="11">
        <row r="4">
          <cell r="J4">
            <v>186950</v>
          </cell>
          <cell r="K4">
            <v>24303.5</v>
          </cell>
          <cell r="L4">
            <v>51000</v>
          </cell>
        </row>
        <row r="5">
          <cell r="J5">
            <v>49700</v>
          </cell>
          <cell r="K5">
            <v>6461</v>
          </cell>
          <cell r="L5">
            <v>0</v>
          </cell>
        </row>
        <row r="6">
          <cell r="J6">
            <v>15700</v>
          </cell>
          <cell r="K6">
            <v>2041</v>
          </cell>
          <cell r="L6">
            <v>40000</v>
          </cell>
        </row>
      </sheetData>
      <sheetData sheetId="12">
        <row r="4">
          <cell r="J4">
            <v>144600</v>
          </cell>
          <cell r="K4">
            <v>18798</v>
          </cell>
          <cell r="L4">
            <v>0</v>
          </cell>
        </row>
        <row r="5">
          <cell r="J5">
            <v>38450</v>
          </cell>
          <cell r="K5">
            <v>4998.5</v>
          </cell>
          <cell r="L5">
            <v>0</v>
          </cell>
        </row>
        <row r="6">
          <cell r="J6">
            <v>4250</v>
          </cell>
          <cell r="K6">
            <v>552.5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128300</v>
          </cell>
          <cell r="K4">
            <v>15396</v>
          </cell>
          <cell r="L4">
            <v>114750</v>
          </cell>
        </row>
        <row r="5">
          <cell r="J5">
            <v>121250</v>
          </cell>
          <cell r="K5">
            <v>14550</v>
          </cell>
          <cell r="L5">
            <v>88000</v>
          </cell>
        </row>
        <row r="7">
          <cell r="J7">
            <v>21950</v>
          </cell>
          <cell r="K7">
            <v>2634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274950</v>
          </cell>
          <cell r="K4">
            <v>32994</v>
          </cell>
          <cell r="L4">
            <v>8500</v>
          </cell>
        </row>
        <row r="5">
          <cell r="J5">
            <v>123950</v>
          </cell>
          <cell r="K5">
            <v>14874</v>
          </cell>
          <cell r="L5">
            <v>29750</v>
          </cell>
        </row>
        <row r="6">
          <cell r="J6">
            <v>22800</v>
          </cell>
          <cell r="K6">
            <v>2280</v>
          </cell>
          <cell r="L6">
            <v>0</v>
          </cell>
        </row>
        <row r="7">
          <cell r="J7">
            <v>28650</v>
          </cell>
          <cell r="K7">
            <v>3438</v>
          </cell>
          <cell r="L7">
            <v>0</v>
          </cell>
        </row>
        <row r="8">
          <cell r="J8">
            <v>6000</v>
          </cell>
          <cell r="K8">
            <v>720</v>
          </cell>
          <cell r="L8">
            <v>0</v>
          </cell>
        </row>
        <row r="9">
          <cell r="J9">
            <v>72000</v>
          </cell>
          <cell r="K9">
            <v>8640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6500</v>
          </cell>
          <cell r="K4">
            <v>780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120750</v>
          </cell>
          <cell r="K4">
            <v>14490</v>
          </cell>
          <cell r="L4">
            <v>127500</v>
          </cell>
        </row>
        <row r="5">
          <cell r="J5">
            <v>90950</v>
          </cell>
          <cell r="K5">
            <v>10914</v>
          </cell>
          <cell r="L5">
            <v>42500</v>
          </cell>
        </row>
        <row r="6">
          <cell r="J6">
            <v>5950</v>
          </cell>
          <cell r="K6">
            <v>595</v>
          </cell>
          <cell r="L6">
            <v>0</v>
          </cell>
        </row>
        <row r="7">
          <cell r="J7">
            <v>48700</v>
          </cell>
          <cell r="K7">
            <v>5844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63250</v>
          </cell>
          <cell r="K4">
            <v>7590</v>
          </cell>
          <cell r="L4">
            <v>42500</v>
          </cell>
        </row>
        <row r="5">
          <cell r="J5">
            <v>41950</v>
          </cell>
          <cell r="K5">
            <v>5034</v>
          </cell>
          <cell r="L5">
            <v>24000</v>
          </cell>
        </row>
      </sheetData>
      <sheetData sheetId="21">
        <row r="4">
          <cell r="J4">
            <v>93650</v>
          </cell>
          <cell r="K4">
            <v>14047.5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66050</v>
          </cell>
          <cell r="K4">
            <v>7926</v>
          </cell>
          <cell r="L4">
            <v>29750</v>
          </cell>
        </row>
        <row r="5">
          <cell r="J5">
            <v>37200</v>
          </cell>
          <cell r="K5">
            <v>4464</v>
          </cell>
          <cell r="L5">
            <v>8000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100</v>
          </cell>
          <cell r="K4">
            <v>8500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7174</v>
          </cell>
        </row>
        <row r="12">
          <cell r="G12">
            <v>35000</v>
          </cell>
        </row>
        <row r="19">
          <cell r="D19">
            <v>43750</v>
          </cell>
          <cell r="E19">
            <v>5687.5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17300</v>
          </cell>
          <cell r="K5">
            <v>2249</v>
          </cell>
          <cell r="L5">
            <v>8000</v>
          </cell>
        </row>
        <row r="6">
          <cell r="J6">
            <v>10450</v>
          </cell>
          <cell r="K6">
            <v>1358.5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13700</v>
          </cell>
          <cell r="K5">
            <v>1781</v>
          </cell>
          <cell r="L5">
            <v>16000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47800</v>
          </cell>
          <cell r="K5">
            <v>5736</v>
          </cell>
          <cell r="L5">
            <v>40000</v>
          </cell>
        </row>
        <row r="7">
          <cell r="J7">
            <v>30450</v>
          </cell>
          <cell r="K7">
            <v>3654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53050</v>
          </cell>
          <cell r="K5">
            <v>6366</v>
          </cell>
          <cell r="L5">
            <v>21250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47750</v>
          </cell>
          <cell r="K7">
            <v>5730</v>
          </cell>
          <cell r="L7">
            <v>0</v>
          </cell>
        </row>
        <row r="8">
          <cell r="J8">
            <v>15750</v>
          </cell>
          <cell r="K8">
            <v>1890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42350</v>
          </cell>
          <cell r="K5">
            <v>5082</v>
          </cell>
          <cell r="L5">
            <v>21250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52950</v>
          </cell>
          <cell r="K7">
            <v>6354</v>
          </cell>
          <cell r="L7">
            <v>21250</v>
          </cell>
        </row>
        <row r="8">
          <cell r="J8">
            <v>6000</v>
          </cell>
          <cell r="K8">
            <v>720</v>
          </cell>
          <cell r="L8">
            <v>17000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13400</v>
          </cell>
          <cell r="K5">
            <v>1608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8650</v>
          </cell>
          <cell r="K5">
            <v>1038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2900</v>
          </cell>
          <cell r="K7">
            <v>348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5F45-0E41-4F01-A1D7-A1327EDB1DFD}">
  <dimension ref="A1:AMS15"/>
  <sheetViews>
    <sheetView showGridLines="0" zoomScale="90" zoomScaleNormal="90" workbookViewId="0">
      <selection sqref="A1:T37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" thickBot="1" x14ac:dyDescent="0.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" thickBot="1" x14ac:dyDescent="0.4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5880-BDAC-463F-92D7-AC3D9337D588}">
  <dimension ref="A1:AMS15"/>
  <sheetViews>
    <sheetView showGridLines="0" topLeftCell="I1" zoomScale="90" zoomScaleNormal="90" workbookViewId="0">
      <selection sqref="A1:X1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" thickBot="1" x14ac:dyDescent="0.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" thickBot="1" x14ac:dyDescent="0.4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2714400</v>
      </c>
      <c r="C3" s="42">
        <f>Vendedor1!L$37</f>
        <v>352850</v>
      </c>
      <c r="D3" s="42">
        <f>Vendedor1!M$37</f>
        <v>1990000</v>
      </c>
      <c r="E3" s="43">
        <f>Vendedor1!N$37</f>
        <v>0</v>
      </c>
      <c r="F3" s="45">
        <f>Vendedor1!O$37</f>
        <v>371550</v>
      </c>
    </row>
    <row r="4" spans="1:6" ht="15.5" x14ac:dyDescent="0.35">
      <c r="A4" s="46" t="str">
        <f>+Vendedor2!B$2</f>
        <v>PANAS #2</v>
      </c>
      <c r="B4" s="44">
        <f>+Vendedor2!K$37</f>
        <v>2039100</v>
      </c>
      <c r="C4" s="42">
        <f>+Vendedor2!L$37</f>
        <v>265100</v>
      </c>
      <c r="D4" s="42">
        <f>+Vendedor2!M$37</f>
        <v>1996750</v>
      </c>
      <c r="E4" s="43">
        <f>Vendedor2!N$37</f>
        <v>0</v>
      </c>
      <c r="F4" s="45">
        <f>+Vendedor2!O$37</f>
        <v>-222750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5" x14ac:dyDescent="0.35">
      <c r="A7" s="46" t="str">
        <f>+Vendedor5!B$2</f>
        <v>YOYO</v>
      </c>
      <c r="B7" s="44">
        <f>+Vendedor5!K$37</f>
        <v>3287150</v>
      </c>
      <c r="C7" s="42">
        <f>+Vendedor5!L$37</f>
        <v>394450</v>
      </c>
      <c r="D7" s="42">
        <f>+Vendedor5!M$37</f>
        <v>2875250</v>
      </c>
      <c r="E7" s="43">
        <f>Vendedor5!N$37</f>
        <v>0</v>
      </c>
      <c r="F7" s="45">
        <f>+Vendedor5!O$37</f>
        <v>17450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6621900</v>
      </c>
      <c r="C9" s="42">
        <f>+Vendedor7!X$37</f>
        <v>787693</v>
      </c>
      <c r="D9" s="42">
        <f>+Vendedor7!Y$37</f>
        <v>3495750</v>
      </c>
      <c r="E9" s="43">
        <f>Vendedor7!Z$37</f>
        <v>0</v>
      </c>
      <c r="F9" s="45">
        <f>+Vendedor7!AA$37</f>
        <v>2338457</v>
      </c>
    </row>
    <row r="10" spans="1:6" ht="15.5" x14ac:dyDescent="0.35">
      <c r="A10" s="46" t="str">
        <f>+Vendedor8!B$2</f>
        <v>ISA MAYO</v>
      </c>
      <c r="B10" s="44">
        <f>+Vendedor8!K$37</f>
        <v>84300</v>
      </c>
      <c r="C10" s="42">
        <f>+Vendedor8!L$37</f>
        <v>10150</v>
      </c>
      <c r="D10" s="42">
        <f>+Vendedor8!M$37</f>
        <v>110500</v>
      </c>
      <c r="E10" s="43">
        <f>Vendedor8!N$37</f>
        <v>0</v>
      </c>
      <c r="F10" s="45">
        <f>+Vendedor8!O$37</f>
        <v>-36350</v>
      </c>
    </row>
    <row r="11" spans="1:6" ht="15.5" x14ac:dyDescent="0.35">
      <c r="A11" s="46" t="str">
        <f>+Vendedor9!B$2</f>
        <v>JUAN FELIX</v>
      </c>
      <c r="B11" s="44">
        <f>+Vendedor9!Q$37</f>
        <v>2283350</v>
      </c>
      <c r="C11" s="42">
        <f>+Vendedor9!R$37</f>
        <v>272975</v>
      </c>
      <c r="D11" s="42">
        <f>+Vendedor9!S$37</f>
        <v>2188750</v>
      </c>
      <c r="E11" s="43">
        <f>Vendedor9!T$37</f>
        <v>0</v>
      </c>
      <c r="F11" s="45">
        <f>+Vendedor9!U$37</f>
        <v>-178375</v>
      </c>
    </row>
    <row r="12" spans="1:6" ht="15.5" x14ac:dyDescent="0.35">
      <c r="A12" s="46" t="str">
        <f>+Vendedor10!B$2</f>
        <v>MARIALIZ</v>
      </c>
      <c r="B12" s="44">
        <f>+Vendedor10!K$37</f>
        <v>1291300</v>
      </c>
      <c r="C12" s="42">
        <f>+Vendedor10!L$37</f>
        <v>154950</v>
      </c>
      <c r="D12" s="42">
        <f>+Vendedor10!M$37</f>
        <v>953750</v>
      </c>
      <c r="E12" s="43">
        <f>Vendedor10!N$37</f>
        <v>0</v>
      </c>
      <c r="F12" s="45">
        <f>+Vendedor10!O$37</f>
        <v>182600</v>
      </c>
    </row>
    <row r="13" spans="1:6" ht="15.5" x14ac:dyDescent="0.35">
      <c r="A13" s="46" t="str">
        <f>Vendedor11!B$2</f>
        <v>CHARLY</v>
      </c>
      <c r="B13" s="44">
        <f>+Vendedor11!K$37</f>
        <v>894500</v>
      </c>
      <c r="C13" s="42">
        <f>+Vendedor11!L$37</f>
        <v>134150</v>
      </c>
      <c r="D13" s="42">
        <f>+Vendedor11!M$37</f>
        <v>708000</v>
      </c>
      <c r="E13" s="43">
        <f>Vendedor11!N$37</f>
        <v>0</v>
      </c>
      <c r="F13" s="45">
        <f>+Vendedor11!O$37</f>
        <v>52350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1039950</v>
      </c>
      <c r="C15" s="42">
        <f>+Vendedor13!R$37</f>
        <v>124294</v>
      </c>
      <c r="D15" s="42">
        <f>+Vendedor13!S$37</f>
        <v>908750</v>
      </c>
      <c r="E15" s="43">
        <f>Vendedor13!T$37</f>
        <v>0</v>
      </c>
      <c r="F15" s="45">
        <f>+Vendedor13!U$37</f>
        <v>6906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100</v>
      </c>
      <c r="C26" s="42">
        <f>+Vendedor24!L$36</f>
        <v>8500</v>
      </c>
      <c r="D26" s="42">
        <f>+Vendedor24!M$36</f>
        <v>0</v>
      </c>
      <c r="E26" s="43">
        <f>Vendedor24!N$36</f>
        <v>0</v>
      </c>
      <c r="F26" s="45">
        <f>+Vendedor24!O$36</f>
        <v>-8400</v>
      </c>
    </row>
    <row r="27" spans="1:8" ht="16" thickBot="1" x14ac:dyDescent="0.4">
      <c r="A27" s="48" t="s">
        <v>48</v>
      </c>
      <c r="B27" s="49">
        <f>SUM(B3:B26)</f>
        <v>20261050</v>
      </c>
      <c r="C27" s="50">
        <f>SUM(C3:C26)</f>
        <v>2510112</v>
      </c>
      <c r="D27" s="50">
        <f>SUM(D3:D26)</f>
        <v>15227500</v>
      </c>
      <c r="E27" s="51">
        <f>SUM(E3:E26)</f>
        <v>0</v>
      </c>
      <c r="F27" s="52">
        <f>SUM(F3:F26)</f>
        <v>2523438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200-000000000000}"/>
    <hyperlink ref="A4" location="Vendedor2!B5" display="#Vendedor2.B5" xr:uid="{00000000-0004-0000-0200-000001000000}"/>
    <hyperlink ref="A5" location="Vendedor3!B5" display="#Vendedor3.B5" xr:uid="{00000000-0004-0000-0200-000002000000}"/>
    <hyperlink ref="A6" location="Vendedor4!B5" display="#Vendedor4.B5" xr:uid="{00000000-0004-0000-0200-000003000000}"/>
    <hyperlink ref="A7" location="Vendedor5!B5" display="#Vendedor5.B5" xr:uid="{00000000-0004-0000-0200-000004000000}"/>
    <hyperlink ref="A8" location="Vendedor6!B5" display="#Vendedor6.B5" xr:uid="{00000000-0004-0000-0200-000005000000}"/>
    <hyperlink ref="A9" location="Vendedor7!B5" display="#Vendedor7.B5" xr:uid="{00000000-0004-0000-0200-000006000000}"/>
    <hyperlink ref="A10" location="Vendedor8!B5" display="#Vendedor8.B5" xr:uid="{00000000-0004-0000-0200-000007000000}"/>
    <hyperlink ref="A11" location="Vendedor9!B5" display="#Vendedor9.B5" xr:uid="{00000000-0004-0000-0200-000008000000}"/>
    <hyperlink ref="A12" location="Vendedor10!B5" display="#Vendedor10.B5" xr:uid="{00000000-0004-0000-0200-000009000000}"/>
    <hyperlink ref="A13" location="Vendedor11!B5" display="#Vendedor11.B5" xr:uid="{00000000-0004-0000-0200-00000A000000}"/>
    <hyperlink ref="A14" location="Vendedor12!B5" display="#Vendedor12.B5" xr:uid="{00000000-0004-0000-0200-00000B000000}"/>
    <hyperlink ref="A16" location="Vendedor14!B5" display="#Vendedor14.B5" xr:uid="{00000000-0004-0000-0200-00000C000000}"/>
    <hyperlink ref="A17" location="Vendedor15!B5" display="#Vendedor15.B5" xr:uid="{00000000-0004-0000-0200-00000D000000}"/>
    <hyperlink ref="A18" location="Vendedor16!B5" display="#Vendedor16.B5" xr:uid="{00000000-0004-0000-0200-00000E000000}"/>
    <hyperlink ref="A19" location="Vendedor17!B5" display="#Vendedor17.B5" xr:uid="{00000000-0004-0000-0200-00000F000000}"/>
    <hyperlink ref="A20" location="Vendedor18!B5" display="#Vendedor18.B5" xr:uid="{00000000-0004-0000-0200-000010000000}"/>
    <hyperlink ref="A21" location="Vendedor19!B5" display="#Vendedor19.B5" xr:uid="{00000000-0004-0000-0200-000011000000}"/>
    <hyperlink ref="A22" location="Vendedor20!B5" display="#Vendedor20.B5" xr:uid="{00000000-0004-0000-0200-000012000000}"/>
    <hyperlink ref="A23" location="Vendedor21!B5" display="#Vendedor21.B5" xr:uid="{00000000-0004-0000-0200-000013000000}"/>
    <hyperlink ref="A24" location="Vendedor22!B5" display="#Vendedor22.B5" xr:uid="{00000000-0004-0000-0200-000014000000}"/>
    <hyperlink ref="A25" location="Vendedor23!B5" display="#Vendedor23.B5" xr:uid="{00000000-0004-0000-0200-000015000000}"/>
    <hyperlink ref="A26" location="Vendedor24!B5" display="#Vendedor24.B5" xr:uid="{00000000-0004-0000-0200-000016000000}"/>
    <hyperlink ref="A37" location="'PuestosALI RESUMEN'!A1" display="Ir a resumen" xr:uid="{00000000-0004-0000-0200-000017000000}"/>
    <hyperlink ref="A15" location="Vendedor13!B5" display="Vendedor13!B5" xr:uid="{00000000-0004-0000-0200-000018000000}"/>
    <hyperlink ref="A38" location="'Grafico Dinámico'!A1" display="Grafico Dinamico" xr:uid="{00000000-0004-0000-02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8" t="s">
        <v>0</v>
      </c>
      <c r="J1" s="138"/>
      <c r="K1" s="138"/>
      <c r="L1" s="138"/>
      <c r="M1" s="138"/>
      <c r="N1" s="138"/>
    </row>
    <row r="2" spans="1:15" ht="19" thickBot="1" x14ac:dyDescent="0.5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 x14ac:dyDescent="0.3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 x14ac:dyDescent="0.3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 x14ac:dyDescent="0.3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 x14ac:dyDescent="0.3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 x14ac:dyDescent="0.3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 x14ac:dyDescent="0.3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 x14ac:dyDescent="0.3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 x14ac:dyDescent="0.35">
      <c r="A14" s="20" t="s">
        <v>23</v>
      </c>
      <c r="B14" s="14">
        <f>+Vendedor1!B14+Vendedor2!B14+Vendedor3!B14</f>
        <v>320650</v>
      </c>
      <c r="C14" s="15">
        <f>+Vendedor1!C14+Vendedor2!C14+Vendedor3!C14</f>
        <v>41684.5</v>
      </c>
      <c r="D14" s="16">
        <f>+Vendedor1!D14+Vendedor2!D14+Vendedor3!D14</f>
        <v>191250</v>
      </c>
      <c r="E14" s="14">
        <f>+Vendedor1!E14+Vendedor2!E14+Vendedor3!E14</f>
        <v>92700</v>
      </c>
      <c r="F14" s="15">
        <f>+Vendedor1!F14+Vendedor2!F14+Vendedor3!F14</f>
        <v>12051</v>
      </c>
      <c r="G14" s="17">
        <f>+Vendedor1!G14+Vendedor2!G14+Vendedor3!G14</f>
        <v>200000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425750</v>
      </c>
      <c r="L14" s="15">
        <f t="shared" si="2"/>
        <v>55350</v>
      </c>
      <c r="M14" s="15">
        <f t="shared" si="1"/>
        <v>471250</v>
      </c>
      <c r="N14" s="15">
        <v>0</v>
      </c>
      <c r="O14" s="17">
        <f t="shared" si="0"/>
        <v>-100850</v>
      </c>
    </row>
    <row r="15" spans="1:15" x14ac:dyDescent="0.35">
      <c r="A15" s="13" t="s">
        <v>24</v>
      </c>
      <c r="B15" s="14">
        <f>+Vendedor1!B15+Vendedor2!B15+Vendedor3!B15</f>
        <v>331550</v>
      </c>
      <c r="C15" s="15">
        <f>+Vendedor1!C15+Vendedor2!C15+Vendedor3!C15</f>
        <v>43101.5</v>
      </c>
      <c r="D15" s="16">
        <f>+Vendedor1!D15+Vendedor2!D15+Vendedor3!D15</f>
        <v>51000</v>
      </c>
      <c r="E15" s="14">
        <f>+Vendedor1!E15+Vendedor2!E15+Vendedor3!E15</f>
        <v>88150</v>
      </c>
      <c r="F15" s="15">
        <f>+Vendedor1!F15+Vendedor2!F15+Vendedor3!F15</f>
        <v>11459.5</v>
      </c>
      <c r="G15" s="17">
        <f>+Vendedor1!G15+Vendedor2!G15+Vendedor3!G15</f>
        <v>0</v>
      </c>
      <c r="H15" s="18">
        <f>+Vendedor1!H15+Vendedor2!H15+Vendedor3!H15</f>
        <v>19950</v>
      </c>
      <c r="I15" s="15">
        <f>+Vendedor1!I15+Vendedor2!I15+Vendedor3!I15</f>
        <v>2593.5</v>
      </c>
      <c r="J15" s="16">
        <f>+Vendedor1!J15+Vendedor2!J15+Vendedor3!J15</f>
        <v>40000</v>
      </c>
      <c r="K15" s="19">
        <f t="shared" si="3"/>
        <v>439650</v>
      </c>
      <c r="L15" s="15">
        <f t="shared" si="2"/>
        <v>57150</v>
      </c>
      <c r="M15" s="15">
        <f t="shared" si="1"/>
        <v>91000</v>
      </c>
      <c r="N15" s="15">
        <v>0</v>
      </c>
      <c r="O15" s="17">
        <f t="shared" si="0"/>
        <v>291500</v>
      </c>
    </row>
    <row r="16" spans="1:15" x14ac:dyDescent="0.35">
      <c r="A16" s="20" t="s">
        <v>25</v>
      </c>
      <c r="B16" s="14">
        <f>+Vendedor1!B16+Vendedor2!B16+Vendedor3!B16</f>
        <v>0</v>
      </c>
      <c r="C16" s="15">
        <f>+Vendedor1!C16+Vendedor2!C16+Vendedor3!C16</f>
        <v>0</v>
      </c>
      <c r="D16" s="16">
        <f>+Vendedor1!D16+Vendedor2!D16+Vendedor3!D16</f>
        <v>0</v>
      </c>
      <c r="E16" s="14">
        <f>+Vendedor1!E16+Vendedor2!E16+Vendedor3!E16</f>
        <v>31000</v>
      </c>
      <c r="F16" s="15">
        <f>+Vendedor1!F16+Vendedor2!F16+Vendedor3!F16</f>
        <v>4030</v>
      </c>
      <c r="G16" s="17">
        <f>+Vendedor1!G16+Vendedor2!G16+Vendedor3!G16</f>
        <v>24000</v>
      </c>
      <c r="H16" s="18">
        <f>+Vendedor1!H16+Vendedor2!H16+Vendedor3!H16</f>
        <v>12750</v>
      </c>
      <c r="I16" s="15">
        <f>+Vendedor1!I16+Vendedor2!I16+Vendedor3!I16</f>
        <v>1657.5</v>
      </c>
      <c r="J16" s="16">
        <f>+Vendedor1!J16+Vendedor2!J16+Vendedor3!J16</f>
        <v>0</v>
      </c>
      <c r="K16" s="19">
        <f t="shared" si="3"/>
        <v>43750</v>
      </c>
      <c r="L16" s="15">
        <f t="shared" si="2"/>
        <v>5700</v>
      </c>
      <c r="M16" s="15">
        <f t="shared" si="1"/>
        <v>24000</v>
      </c>
      <c r="N16" s="15">
        <v>0</v>
      </c>
      <c r="O16" s="17">
        <f t="shared" si="0"/>
        <v>14050</v>
      </c>
    </row>
    <row r="17" spans="1:15" x14ac:dyDescent="0.35">
      <c r="A17" s="13" t="s">
        <v>26</v>
      </c>
      <c r="B17" s="14">
        <f>+Vendedor1!B17+Vendedor2!B17+Vendedor3!B17</f>
        <v>0</v>
      </c>
      <c r="C17" s="15">
        <f>+Vendedor1!C17+Vendedor2!C17+Vendedor3!C17</f>
        <v>0</v>
      </c>
      <c r="D17" s="16">
        <f>+Vendedor1!D17+Vendedor2!D17+Vendedor3!D17</f>
        <v>0</v>
      </c>
      <c r="E17" s="14">
        <f>+Vendedor1!E17+Vendedor2!E17+Vendedor3!E17</f>
        <v>0</v>
      </c>
      <c r="F17" s="15">
        <f>+Vendedor1!F17+Vendedor2!F17+Vendedor3!F17</f>
        <v>0</v>
      </c>
      <c r="G17" s="17">
        <f>+Vendedor1!G17+Vendedor2!G17+Vendedor3!G17</f>
        <v>0</v>
      </c>
      <c r="H17" s="18">
        <f>+Vendedor1!H17+Vendedor2!H17+Vendedor3!H17</f>
        <v>0</v>
      </c>
      <c r="I17" s="15">
        <f>+Vendedor1!I17+Vendedor2!I17+Vendedor3!I17</f>
        <v>0</v>
      </c>
      <c r="J17" s="16">
        <f>+Vendedor1!J17+Vendedor2!J17+Vendedor3!J17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0</v>
      </c>
      <c r="F18" s="15">
        <f>+Vendedor1!F18+Vendedor2!F18+Vendedor3!F18</f>
        <v>0</v>
      </c>
      <c r="G18" s="17">
        <f>+Vendedor1!G18+Vendedor2!G18+Vendedor3!G18</f>
        <v>0</v>
      </c>
      <c r="H18" s="18">
        <f>+Vendedor1!H18+Vendedor2!H18+Vendedor3!H18</f>
        <v>0</v>
      </c>
      <c r="I18" s="15">
        <f>+Vendedor1!I18+Vendedor2!I18+Vendedor3!I18</f>
        <v>0</v>
      </c>
      <c r="J18" s="16">
        <f>+Vendedor1!J18+Vendedor2!J18+Vendedor3!J18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3809050</v>
      </c>
      <c r="C37" s="28">
        <f t="shared" si="4"/>
        <v>495176.5</v>
      </c>
      <c r="D37" s="29">
        <f t="shared" si="4"/>
        <v>2902750</v>
      </c>
      <c r="E37" s="30">
        <f t="shared" si="4"/>
        <v>751750</v>
      </c>
      <c r="F37" s="28">
        <f t="shared" si="4"/>
        <v>97727.5</v>
      </c>
      <c r="G37" s="31">
        <f t="shared" si="4"/>
        <v>852000</v>
      </c>
      <c r="H37" s="27">
        <f t="shared" si="4"/>
        <v>192700</v>
      </c>
      <c r="I37" s="28">
        <f t="shared" si="4"/>
        <v>25051</v>
      </c>
      <c r="J37" s="29">
        <f t="shared" si="4"/>
        <v>232000</v>
      </c>
      <c r="K37" s="60">
        <f t="shared" si="4"/>
        <v>4753500</v>
      </c>
      <c r="L37" s="32">
        <f t="shared" si="4"/>
        <v>617950</v>
      </c>
      <c r="M37" s="32">
        <f t="shared" si="4"/>
        <v>3986750</v>
      </c>
      <c r="N37" s="32">
        <f>SUM(N5:N36)</f>
        <v>0</v>
      </c>
      <c r="O37" s="33">
        <f>SUM(O5:O36)</f>
        <v>148800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A4" sqref="A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 x14ac:dyDescent="0.3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 x14ac:dyDescent="0.3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 x14ac:dyDescent="0.3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 x14ac:dyDescent="0.3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 x14ac:dyDescent="0.3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 x14ac:dyDescent="0.3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 x14ac:dyDescent="0.3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 x14ac:dyDescent="0.35">
      <c r="A14" s="20" t="s">
        <v>23</v>
      </c>
      <c r="B14" s="14">
        <f>[9]Vendedor1!$J$4</f>
        <v>205250</v>
      </c>
      <c r="C14" s="15">
        <f>[9]Vendedor1!$K$4</f>
        <v>26682.5</v>
      </c>
      <c r="D14" s="16">
        <f>[9]Vendedor1!$L$4</f>
        <v>148750</v>
      </c>
      <c r="E14" s="14">
        <f>[9]Vendedor1!$J$5</f>
        <v>55150</v>
      </c>
      <c r="F14" s="15">
        <f>[9]Vendedor1!$K$5</f>
        <v>7169.5</v>
      </c>
      <c r="G14" s="17">
        <f>[9]Vendedor1!$L$5</f>
        <v>160000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262100</v>
      </c>
      <c r="L14" s="15">
        <f t="shared" si="3"/>
        <v>34050</v>
      </c>
      <c r="M14" s="15">
        <f t="shared" si="1"/>
        <v>308750</v>
      </c>
      <c r="N14" s="15">
        <v>0</v>
      </c>
      <c r="O14" s="17">
        <f t="shared" si="2"/>
        <v>-80700</v>
      </c>
    </row>
    <row r="15" spans="1:15" x14ac:dyDescent="0.35">
      <c r="A15" s="13" t="s">
        <v>24</v>
      </c>
      <c r="B15" s="14">
        <f>[12]Vendedor1!$J$4</f>
        <v>186950</v>
      </c>
      <c r="C15" s="15">
        <f>[12]Vendedor1!$K$4</f>
        <v>24303.5</v>
      </c>
      <c r="D15" s="16">
        <f>[12]Vendedor1!$L$4</f>
        <v>51000</v>
      </c>
      <c r="E15" s="14">
        <f>[12]Vendedor1!$J$5</f>
        <v>49700</v>
      </c>
      <c r="F15" s="15">
        <f>[12]Vendedor1!$K$5</f>
        <v>6461</v>
      </c>
      <c r="G15" s="17">
        <f>[12]Vendedor1!$L$5</f>
        <v>0</v>
      </c>
      <c r="H15" s="18">
        <f>[12]Vendedor1!$J$6</f>
        <v>15700</v>
      </c>
      <c r="I15" s="15">
        <f>[12]Vendedor1!$K$6</f>
        <v>2041</v>
      </c>
      <c r="J15" s="16">
        <f>[12]Vendedor1!$L$6</f>
        <v>40000</v>
      </c>
      <c r="K15" s="19">
        <f t="shared" si="4"/>
        <v>252350</v>
      </c>
      <c r="L15" s="15">
        <f t="shared" si="3"/>
        <v>32800</v>
      </c>
      <c r="M15" s="15">
        <f t="shared" si="1"/>
        <v>91000</v>
      </c>
      <c r="N15" s="15">
        <v>0</v>
      </c>
      <c r="O15" s="17">
        <f t="shared" si="2"/>
        <v>128550</v>
      </c>
    </row>
    <row r="16" spans="1:15" x14ac:dyDescent="0.35">
      <c r="A16" s="20" t="s">
        <v>25</v>
      </c>
      <c r="B16" s="14">
        <f>[13]Vendedor1!$J$4</f>
        <v>0</v>
      </c>
      <c r="C16" s="15">
        <f>[13]Vendedor1!$K$4</f>
        <v>0</v>
      </c>
      <c r="D16" s="16">
        <f>[13]Vendedor1!$L$4</f>
        <v>0</v>
      </c>
      <c r="E16" s="14">
        <f>[13]Vendedor1!$J$5</f>
        <v>17300</v>
      </c>
      <c r="F16" s="15">
        <f>[13]Vendedor1!$K$5</f>
        <v>2249</v>
      </c>
      <c r="G16" s="17">
        <f>[13]Vendedor1!$L$5</f>
        <v>8000</v>
      </c>
      <c r="H16" s="18">
        <f>[13]Vendedor1!$J$6</f>
        <v>10450</v>
      </c>
      <c r="I16" s="15">
        <f>[13]Vendedor1!$K$6</f>
        <v>1358.5</v>
      </c>
      <c r="J16" s="16">
        <f>[13]Vendedor1!$L$6</f>
        <v>0</v>
      </c>
      <c r="K16" s="19">
        <f t="shared" si="4"/>
        <v>27750</v>
      </c>
      <c r="L16" s="15">
        <f t="shared" si="3"/>
        <v>3600</v>
      </c>
      <c r="M16" s="15">
        <f t="shared" si="1"/>
        <v>8000</v>
      </c>
      <c r="N16" s="15">
        <v>0</v>
      </c>
      <c r="O16" s="17">
        <f t="shared" si="2"/>
        <v>16150</v>
      </c>
    </row>
    <row r="17" spans="1:15" x14ac:dyDescent="0.35">
      <c r="A17" s="13" t="s">
        <v>26</v>
      </c>
      <c r="B17" s="14">
        <f>[14]Vendedor1!$J$4</f>
        <v>0</v>
      </c>
      <c r="C17" s="15">
        <f>[14]Vendedor1!$K$4</f>
        <v>0</v>
      </c>
      <c r="D17" s="16">
        <f>[14]Vendedor1!$L$4</f>
        <v>0</v>
      </c>
      <c r="E17" s="14">
        <f>[14]Vendedor1!$J$5</f>
        <v>0</v>
      </c>
      <c r="F17" s="15">
        <f>[14]Vendedor1!$K$5</f>
        <v>0</v>
      </c>
      <c r="G17" s="17">
        <f>[14]Vendedor1!$L$5</f>
        <v>0</v>
      </c>
      <c r="H17" s="18">
        <f>[14]Vendedor1!$J$6</f>
        <v>0</v>
      </c>
      <c r="I17" s="15">
        <f>[14]Vendedor1!$K$6</f>
        <v>0</v>
      </c>
      <c r="J17" s="16">
        <f>[14]Vendedor1!$L$6</f>
        <v>0</v>
      </c>
      <c r="K17" s="19">
        <f t="shared" si="4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0</v>
      </c>
      <c r="F18" s="15">
        <f>[15]Vendedor1!$K$5</f>
        <v>0</v>
      </c>
      <c r="G18" s="17">
        <f>[15]Vendedor1!$L$5</f>
        <v>0</v>
      </c>
      <c r="H18" s="18">
        <f>[15]Vendedor1!$J$6</f>
        <v>0</v>
      </c>
      <c r="I18" s="15">
        <f>[15]Vendedor1!$K$6</f>
        <v>0</v>
      </c>
      <c r="J18" s="16">
        <f>[15]Vendedor1!$L$6</f>
        <v>0</v>
      </c>
      <c r="K18" s="19">
        <f t="shared" si="4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2121550</v>
      </c>
      <c r="C37" s="28">
        <f t="shared" si="5"/>
        <v>275801.5</v>
      </c>
      <c r="D37" s="29">
        <f t="shared" si="5"/>
        <v>1394000</v>
      </c>
      <c r="E37" s="30">
        <f t="shared" si="5"/>
        <v>459750</v>
      </c>
      <c r="F37" s="28">
        <f t="shared" si="5"/>
        <v>59767.5</v>
      </c>
      <c r="G37" s="31">
        <f t="shared" si="5"/>
        <v>444000</v>
      </c>
      <c r="H37" s="27">
        <f t="shared" si="5"/>
        <v>133100</v>
      </c>
      <c r="I37" s="28">
        <f t="shared" si="5"/>
        <v>17303</v>
      </c>
      <c r="J37" s="29">
        <f t="shared" si="5"/>
        <v>152000</v>
      </c>
      <c r="K37" s="60">
        <f t="shared" si="5"/>
        <v>2714400</v>
      </c>
      <c r="L37" s="32">
        <f t="shared" si="5"/>
        <v>352850</v>
      </c>
      <c r="M37" s="32">
        <f t="shared" si="5"/>
        <v>1990000</v>
      </c>
      <c r="N37" s="32">
        <f>SUM(N5:N36)</f>
        <v>0</v>
      </c>
      <c r="O37" s="33">
        <f>SUM(O5:O36)</f>
        <v>371550</v>
      </c>
    </row>
    <row r="40" spans="1:15" ht="15" thickBot="1" x14ac:dyDescent="0.4"/>
    <row r="41" spans="1:15" ht="19" thickBot="1" x14ac:dyDescent="0.5">
      <c r="A41" s="2" t="s">
        <v>1</v>
      </c>
      <c r="B41" s="137" t="s">
        <v>132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 x14ac:dyDescent="0.3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 x14ac:dyDescent="0.3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 x14ac:dyDescent="0.3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 x14ac:dyDescent="0.3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 x14ac:dyDescent="0.3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 x14ac:dyDescent="0.3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 x14ac:dyDescent="0.3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 x14ac:dyDescent="0.35">
      <c r="A53" s="20" t="s">
        <v>23</v>
      </c>
      <c r="B53" s="14">
        <f t="shared" ref="B53:N53" si="18">B14</f>
        <v>205250</v>
      </c>
      <c r="C53" s="15">
        <f t="shared" si="18"/>
        <v>26682.5</v>
      </c>
      <c r="D53" s="16">
        <f t="shared" si="18"/>
        <v>148750</v>
      </c>
      <c r="E53" s="14">
        <f t="shared" si="18"/>
        <v>55150</v>
      </c>
      <c r="F53" s="15">
        <f t="shared" si="18"/>
        <v>7169.5</v>
      </c>
      <c r="G53" s="17">
        <f t="shared" si="18"/>
        <v>160000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262100</v>
      </c>
      <c r="L53" s="15">
        <f t="shared" si="10"/>
        <v>15000</v>
      </c>
      <c r="M53" s="15">
        <f t="shared" si="18"/>
        <v>308750</v>
      </c>
      <c r="N53" s="15">
        <f t="shared" si="18"/>
        <v>0</v>
      </c>
      <c r="O53" s="17">
        <f t="shared" si="11"/>
        <v>-61650</v>
      </c>
    </row>
    <row r="54" spans="1:15" x14ac:dyDescent="0.35">
      <c r="A54" s="13" t="s">
        <v>24</v>
      </c>
      <c r="B54" s="14">
        <f t="shared" ref="B54:N54" si="19">B15</f>
        <v>186950</v>
      </c>
      <c r="C54" s="15">
        <f t="shared" si="19"/>
        <v>24303.5</v>
      </c>
      <c r="D54" s="16">
        <f t="shared" si="19"/>
        <v>51000</v>
      </c>
      <c r="E54" s="14">
        <f t="shared" si="19"/>
        <v>49700</v>
      </c>
      <c r="F54" s="15">
        <f t="shared" si="19"/>
        <v>6461</v>
      </c>
      <c r="G54" s="17">
        <f t="shared" si="19"/>
        <v>0</v>
      </c>
      <c r="H54" s="18">
        <f t="shared" si="19"/>
        <v>15700</v>
      </c>
      <c r="I54" s="15">
        <f t="shared" si="19"/>
        <v>2041</v>
      </c>
      <c r="J54" s="16">
        <f t="shared" si="19"/>
        <v>40000</v>
      </c>
      <c r="K54" s="19">
        <f t="shared" si="19"/>
        <v>252350</v>
      </c>
      <c r="L54" s="15">
        <f t="shared" si="10"/>
        <v>15000</v>
      </c>
      <c r="M54" s="15">
        <f t="shared" si="19"/>
        <v>91000</v>
      </c>
      <c r="N54" s="15">
        <f t="shared" si="19"/>
        <v>0</v>
      </c>
      <c r="O54" s="17">
        <f t="shared" si="11"/>
        <v>146350</v>
      </c>
    </row>
    <row r="55" spans="1:15" x14ac:dyDescent="0.35">
      <c r="A55" s="20" t="s">
        <v>25</v>
      </c>
      <c r="B55" s="14">
        <f t="shared" ref="B55:N55" si="20">B16</f>
        <v>0</v>
      </c>
      <c r="C55" s="15">
        <f t="shared" si="20"/>
        <v>0</v>
      </c>
      <c r="D55" s="16">
        <f t="shared" si="20"/>
        <v>0</v>
      </c>
      <c r="E55" s="14">
        <f t="shared" si="20"/>
        <v>17300</v>
      </c>
      <c r="F55" s="15">
        <f t="shared" si="20"/>
        <v>2249</v>
      </c>
      <c r="G55" s="17">
        <f t="shared" si="20"/>
        <v>8000</v>
      </c>
      <c r="H55" s="18">
        <f t="shared" si="20"/>
        <v>10450</v>
      </c>
      <c r="I55" s="15">
        <f t="shared" si="20"/>
        <v>1358.5</v>
      </c>
      <c r="J55" s="16">
        <f t="shared" si="20"/>
        <v>0</v>
      </c>
      <c r="K55" s="19">
        <f t="shared" si="20"/>
        <v>27750</v>
      </c>
      <c r="L55" s="15">
        <f t="shared" si="10"/>
        <v>15000</v>
      </c>
      <c r="M55" s="15">
        <f t="shared" si="20"/>
        <v>8000</v>
      </c>
      <c r="N55" s="15">
        <f t="shared" si="20"/>
        <v>0</v>
      </c>
      <c r="O55" s="17">
        <f t="shared" si="11"/>
        <v>4750</v>
      </c>
    </row>
    <row r="56" spans="1:15" x14ac:dyDescent="0.35">
      <c r="A56" s="13" t="s">
        <v>26</v>
      </c>
      <c r="B56" s="14">
        <f t="shared" ref="B56:N56" si="21">B17</f>
        <v>0</v>
      </c>
      <c r="C56" s="15">
        <f t="shared" si="21"/>
        <v>0</v>
      </c>
      <c r="D56" s="16">
        <f t="shared" si="21"/>
        <v>0</v>
      </c>
      <c r="E56" s="14">
        <f t="shared" si="21"/>
        <v>0</v>
      </c>
      <c r="F56" s="15">
        <f t="shared" si="21"/>
        <v>0</v>
      </c>
      <c r="G56" s="17">
        <f t="shared" si="21"/>
        <v>0</v>
      </c>
      <c r="H56" s="18">
        <f t="shared" si="21"/>
        <v>0</v>
      </c>
      <c r="I56" s="15">
        <f t="shared" si="21"/>
        <v>0</v>
      </c>
      <c r="J56" s="16">
        <f t="shared" si="21"/>
        <v>0</v>
      </c>
      <c r="K56" s="19">
        <f t="shared" si="21"/>
        <v>0</v>
      </c>
      <c r="L56" s="15">
        <f t="shared" si="10"/>
        <v>0</v>
      </c>
      <c r="M56" s="15">
        <f t="shared" si="21"/>
        <v>0</v>
      </c>
      <c r="N56" s="15">
        <f t="shared" si="21"/>
        <v>0</v>
      </c>
      <c r="O56" s="17">
        <f t="shared" si="11"/>
        <v>0</v>
      </c>
    </row>
    <row r="57" spans="1:15" x14ac:dyDescent="0.3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0</v>
      </c>
      <c r="F57" s="15">
        <f t="shared" si="22"/>
        <v>0</v>
      </c>
      <c r="G57" s="17">
        <f t="shared" si="22"/>
        <v>0</v>
      </c>
      <c r="H57" s="18">
        <f t="shared" si="22"/>
        <v>0</v>
      </c>
      <c r="I57" s="15">
        <f t="shared" si="22"/>
        <v>0</v>
      </c>
      <c r="J57" s="16">
        <f t="shared" si="22"/>
        <v>0</v>
      </c>
      <c r="K57" s="19">
        <f t="shared" si="22"/>
        <v>0</v>
      </c>
      <c r="L57" s="15">
        <f t="shared" si="10"/>
        <v>0</v>
      </c>
      <c r="M57" s="15">
        <f t="shared" si="22"/>
        <v>0</v>
      </c>
      <c r="N57" s="15">
        <f t="shared" si="22"/>
        <v>0</v>
      </c>
      <c r="O57" s="17">
        <f t="shared" si="11"/>
        <v>0</v>
      </c>
    </row>
    <row r="58" spans="1:15" x14ac:dyDescent="0.3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 x14ac:dyDescent="0.3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 x14ac:dyDescent="0.3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 x14ac:dyDescent="0.3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 x14ac:dyDescent="0.3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 x14ac:dyDescent="0.3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 x14ac:dyDescent="0.3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 x14ac:dyDescent="0.3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 x14ac:dyDescent="0.3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 x14ac:dyDescent="0.3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 x14ac:dyDescent="0.3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 x14ac:dyDescent="0.3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 x14ac:dyDescent="0.3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 x14ac:dyDescent="0.3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 x14ac:dyDescent="0.3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2121550</v>
      </c>
      <c r="C76" s="28">
        <f t="shared" si="43"/>
        <v>275801.5</v>
      </c>
      <c r="D76" s="29">
        <f t="shared" si="43"/>
        <v>1394000</v>
      </c>
      <c r="E76" s="30">
        <f t="shared" si="43"/>
        <v>459750</v>
      </c>
      <c r="F76" s="28">
        <f t="shared" si="43"/>
        <v>59767.5</v>
      </c>
      <c r="G76" s="31">
        <f t="shared" si="43"/>
        <v>444000</v>
      </c>
      <c r="H76" s="27">
        <f t="shared" si="43"/>
        <v>133100</v>
      </c>
      <c r="I76" s="28">
        <f t="shared" si="43"/>
        <v>17303</v>
      </c>
      <c r="J76" s="29">
        <f t="shared" si="43"/>
        <v>152000</v>
      </c>
      <c r="K76" s="60">
        <f t="shared" si="43"/>
        <v>2714400</v>
      </c>
      <c r="L76" s="32">
        <f t="shared" si="43"/>
        <v>165000</v>
      </c>
      <c r="M76" s="32">
        <f t="shared" si="43"/>
        <v>1990000</v>
      </c>
      <c r="N76" s="32">
        <f t="shared" si="43"/>
        <v>0</v>
      </c>
      <c r="O76" s="33">
        <f>SUM(O44:O75)</f>
        <v>559400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 x14ac:dyDescent="0.3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 x14ac:dyDescent="0.3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 x14ac:dyDescent="0.3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 x14ac:dyDescent="0.3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 x14ac:dyDescent="0.3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 x14ac:dyDescent="0.3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 x14ac:dyDescent="0.3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 x14ac:dyDescent="0.35">
      <c r="A14" s="20" t="s">
        <v>23</v>
      </c>
      <c r="B14" s="14">
        <f>[9]Vendedor2!$J$4</f>
        <v>115400</v>
      </c>
      <c r="C14" s="81">
        <f>[9]Vendedor2!$K$4</f>
        <v>15002</v>
      </c>
      <c r="D14" s="82">
        <f>[9]Vendedor2!$L$4</f>
        <v>42500</v>
      </c>
      <c r="E14" s="14">
        <f>[9]Vendedor2!$J$5</f>
        <v>37550</v>
      </c>
      <c r="F14" s="81">
        <f>[9]Vendedor2!$K$5</f>
        <v>4881.5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163650</v>
      </c>
      <c r="L14" s="15">
        <f t="shared" si="2"/>
        <v>21250</v>
      </c>
      <c r="M14" s="15">
        <f t="shared" si="3"/>
        <v>162500</v>
      </c>
      <c r="N14" s="15">
        <v>0</v>
      </c>
      <c r="O14" s="17">
        <f t="shared" si="0"/>
        <v>-20100</v>
      </c>
    </row>
    <row r="15" spans="1:15" x14ac:dyDescent="0.35">
      <c r="A15" s="20" t="s">
        <v>24</v>
      </c>
      <c r="B15" s="14">
        <f>[12]Vendedor2!$J$4</f>
        <v>144600</v>
      </c>
      <c r="C15" s="81">
        <f>[12]Vendedor2!$K$4</f>
        <v>18798</v>
      </c>
      <c r="D15" s="82">
        <f>[12]Vendedor2!$L$4</f>
        <v>0</v>
      </c>
      <c r="E15" s="14">
        <f>[12]Vendedor2!$J$5</f>
        <v>38450</v>
      </c>
      <c r="F15" s="81">
        <f>[12]Vendedor2!$K$5</f>
        <v>4998.5</v>
      </c>
      <c r="G15" s="85">
        <f>[12]Vendedor2!$L$5</f>
        <v>0</v>
      </c>
      <c r="H15" s="19">
        <f>[12]Vendedor2!$J$6</f>
        <v>4250</v>
      </c>
      <c r="I15" s="15">
        <f>[12]Vendedor2!$K$6</f>
        <v>552.5</v>
      </c>
      <c r="J15" s="17">
        <f>[12]Vendedor2!$L$6</f>
        <v>0</v>
      </c>
      <c r="K15" s="19">
        <f t="shared" si="1"/>
        <v>187300</v>
      </c>
      <c r="L15" s="15">
        <f t="shared" si="2"/>
        <v>24350</v>
      </c>
      <c r="M15" s="15">
        <f t="shared" si="3"/>
        <v>0</v>
      </c>
      <c r="N15" s="15">
        <v>0</v>
      </c>
      <c r="O15" s="17">
        <f t="shared" si="0"/>
        <v>162950</v>
      </c>
    </row>
    <row r="16" spans="1:15" x14ac:dyDescent="0.35">
      <c r="A16" s="20" t="s">
        <v>25</v>
      </c>
      <c r="B16" s="14">
        <f>[13]Vendedor2!$J$4</f>
        <v>0</v>
      </c>
      <c r="C16" s="81">
        <f>[13]Vendedor2!$K$4</f>
        <v>0</v>
      </c>
      <c r="D16" s="82">
        <f>[13]Vendedor2!$L$4</f>
        <v>0</v>
      </c>
      <c r="E16" s="14">
        <f>[13]Vendedor2!$J$5</f>
        <v>13700</v>
      </c>
      <c r="F16" s="81">
        <f>[13]Vendedor2!$K$5</f>
        <v>1781</v>
      </c>
      <c r="G16" s="85">
        <f>[13]Vendedor2!$L$5</f>
        <v>16000</v>
      </c>
      <c r="H16" s="19">
        <f>[13]Vendedor2!$J$6</f>
        <v>2300</v>
      </c>
      <c r="I16" s="15">
        <f>[13]Vendedor2!$K$6</f>
        <v>299</v>
      </c>
      <c r="J16" s="17">
        <f>[13]Vendedor2!$L$6</f>
        <v>0</v>
      </c>
      <c r="K16" s="19">
        <f t="shared" si="1"/>
        <v>16000</v>
      </c>
      <c r="L16" s="15">
        <f t="shared" si="2"/>
        <v>2100</v>
      </c>
      <c r="M16" s="15">
        <f t="shared" si="3"/>
        <v>16000</v>
      </c>
      <c r="N16" s="15">
        <v>0</v>
      </c>
      <c r="O16" s="17">
        <f t="shared" si="0"/>
        <v>-2100</v>
      </c>
    </row>
    <row r="17" spans="1:15" x14ac:dyDescent="0.35">
      <c r="A17" s="20" t="s">
        <v>26</v>
      </c>
      <c r="B17" s="14">
        <f>[14]Vendedor2!$J$4</f>
        <v>0</v>
      </c>
      <c r="C17" s="81">
        <f>[14]Vendedor2!$K$4</f>
        <v>0</v>
      </c>
      <c r="D17" s="82">
        <f>[14]Vendedor2!$L$4</f>
        <v>0</v>
      </c>
      <c r="E17" s="14">
        <f>[14]Vendedor2!$J$5</f>
        <v>0</v>
      </c>
      <c r="F17" s="81">
        <f>[14]Vendedor2!$K$5</f>
        <v>0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0</v>
      </c>
      <c r="L17" s="15">
        <f t="shared" si="2"/>
        <v>0</v>
      </c>
      <c r="M17" s="15">
        <f t="shared" si="3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0</v>
      </c>
      <c r="F18" s="81">
        <f>[15]Vendedor2!$K$5</f>
        <v>0</v>
      </c>
      <c r="G18" s="85">
        <f>[15]Vendedor2!$L$5</f>
        <v>0</v>
      </c>
      <c r="H18" s="19">
        <f>[15]Vendedor2!$J$6</f>
        <v>0</v>
      </c>
      <c r="I18" s="15">
        <f>[15]Vendedor2!$K$6</f>
        <v>0</v>
      </c>
      <c r="J18" s="17">
        <f>[15]Vendedor2!$L$6</f>
        <v>0</v>
      </c>
      <c r="K18" s="19">
        <f t="shared" si="1"/>
        <v>0</v>
      </c>
      <c r="L18" s="15">
        <f t="shared" si="2"/>
        <v>0</v>
      </c>
      <c r="M18" s="15">
        <f t="shared" si="3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 x14ac:dyDescent="0.3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 x14ac:dyDescent="0.3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 x14ac:dyDescent="0.3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 x14ac:dyDescent="0.3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 x14ac:dyDescent="0.3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 x14ac:dyDescent="0.3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 x14ac:dyDescent="0.3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 x14ac:dyDescent="0.3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 x14ac:dyDescent="0.3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 x14ac:dyDescent="0.3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 x14ac:dyDescent="0.3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 x14ac:dyDescent="0.3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 x14ac:dyDescent="0.3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 x14ac:dyDescent="0.3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1687500</v>
      </c>
      <c r="C37" s="28">
        <f t="shared" si="8"/>
        <v>219375</v>
      </c>
      <c r="D37" s="29">
        <f t="shared" si="8"/>
        <v>1508750</v>
      </c>
      <c r="E37" s="30">
        <f t="shared" si="8"/>
        <v>292000</v>
      </c>
      <c r="F37" s="28">
        <f t="shared" si="8"/>
        <v>37960</v>
      </c>
      <c r="G37" s="31">
        <f t="shared" si="8"/>
        <v>408000</v>
      </c>
      <c r="H37" s="30">
        <f t="shared" si="8"/>
        <v>59600</v>
      </c>
      <c r="I37" s="28">
        <f t="shared" si="8"/>
        <v>7748</v>
      </c>
      <c r="J37" s="31">
        <f t="shared" si="8"/>
        <v>80000</v>
      </c>
      <c r="K37" s="60">
        <f t="shared" si="8"/>
        <v>2039100</v>
      </c>
      <c r="L37" s="32">
        <f t="shared" si="8"/>
        <v>265100</v>
      </c>
      <c r="M37" s="32">
        <f t="shared" si="8"/>
        <v>1996750</v>
      </c>
      <c r="N37" s="32">
        <f>SUM(N5:N36)</f>
        <v>0</v>
      </c>
      <c r="O37" s="33">
        <f>SUM(O5:O36)</f>
        <v>-222750</v>
      </c>
    </row>
    <row r="40" spans="1:15" ht="15" thickBot="1" x14ac:dyDescent="0.4"/>
    <row r="41" spans="1:15" ht="19" thickBot="1" x14ac:dyDescent="0.5">
      <c r="A41" s="2" t="s">
        <v>1</v>
      </c>
      <c r="B41" s="137" t="s">
        <v>133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 x14ac:dyDescent="0.3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 x14ac:dyDescent="0.3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 x14ac:dyDescent="0.3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 x14ac:dyDescent="0.3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 x14ac:dyDescent="0.3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 x14ac:dyDescent="0.3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 x14ac:dyDescent="0.3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 x14ac:dyDescent="0.35">
      <c r="A53" s="20" t="s">
        <v>23</v>
      </c>
      <c r="B53" s="14">
        <f t="shared" ref="B53:N53" si="20">B14</f>
        <v>115400</v>
      </c>
      <c r="C53" s="15">
        <f t="shared" si="20"/>
        <v>15002</v>
      </c>
      <c r="D53" s="16">
        <f t="shared" si="20"/>
        <v>42500</v>
      </c>
      <c r="E53" s="14">
        <f t="shared" si="20"/>
        <v>37550</v>
      </c>
      <c r="F53" s="15">
        <f t="shared" si="20"/>
        <v>4881.5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163650</v>
      </c>
      <c r="L53" s="15">
        <f t="shared" si="20"/>
        <v>21250</v>
      </c>
      <c r="M53" s="15">
        <f t="shared" si="20"/>
        <v>162500</v>
      </c>
      <c r="N53" s="15">
        <f t="shared" si="20"/>
        <v>0</v>
      </c>
      <c r="O53" s="17">
        <f t="shared" si="13"/>
        <v>-20100</v>
      </c>
    </row>
    <row r="54" spans="1:15" x14ac:dyDescent="0.35">
      <c r="A54" s="13" t="s">
        <v>24</v>
      </c>
      <c r="B54" s="14">
        <f t="shared" ref="B54:N54" si="21">B15</f>
        <v>144600</v>
      </c>
      <c r="C54" s="15">
        <f t="shared" si="21"/>
        <v>18798</v>
      </c>
      <c r="D54" s="16">
        <f t="shared" si="21"/>
        <v>0</v>
      </c>
      <c r="E54" s="14">
        <f t="shared" si="21"/>
        <v>38450</v>
      </c>
      <c r="F54" s="15">
        <f t="shared" si="21"/>
        <v>4998.5</v>
      </c>
      <c r="G54" s="17">
        <f t="shared" si="21"/>
        <v>0</v>
      </c>
      <c r="H54" s="18">
        <f t="shared" si="21"/>
        <v>4250</v>
      </c>
      <c r="I54" s="15">
        <f t="shared" si="21"/>
        <v>552.5</v>
      </c>
      <c r="J54" s="16">
        <f t="shared" si="21"/>
        <v>0</v>
      </c>
      <c r="K54" s="19">
        <f t="shared" si="21"/>
        <v>187300</v>
      </c>
      <c r="L54" s="15">
        <f t="shared" si="21"/>
        <v>24350</v>
      </c>
      <c r="M54" s="15">
        <f t="shared" si="21"/>
        <v>0</v>
      </c>
      <c r="N54" s="15">
        <f t="shared" si="21"/>
        <v>0</v>
      </c>
      <c r="O54" s="17">
        <f t="shared" si="13"/>
        <v>162950</v>
      </c>
    </row>
    <row r="55" spans="1:15" x14ac:dyDescent="0.35">
      <c r="A55" s="20" t="s">
        <v>25</v>
      </c>
      <c r="B55" s="14">
        <f t="shared" ref="B55:N55" si="22">B16</f>
        <v>0</v>
      </c>
      <c r="C55" s="15">
        <f t="shared" si="22"/>
        <v>0</v>
      </c>
      <c r="D55" s="16">
        <f t="shared" si="22"/>
        <v>0</v>
      </c>
      <c r="E55" s="14">
        <f t="shared" si="22"/>
        <v>13700</v>
      </c>
      <c r="F55" s="15">
        <f t="shared" si="22"/>
        <v>1781</v>
      </c>
      <c r="G55" s="17">
        <f t="shared" si="22"/>
        <v>16000</v>
      </c>
      <c r="H55" s="18">
        <f t="shared" si="22"/>
        <v>2300</v>
      </c>
      <c r="I55" s="15">
        <f t="shared" si="22"/>
        <v>299</v>
      </c>
      <c r="J55" s="16">
        <f t="shared" si="22"/>
        <v>0</v>
      </c>
      <c r="K55" s="19">
        <f t="shared" si="22"/>
        <v>16000</v>
      </c>
      <c r="L55" s="15">
        <f t="shared" si="22"/>
        <v>2100</v>
      </c>
      <c r="M55" s="15">
        <f t="shared" si="22"/>
        <v>16000</v>
      </c>
      <c r="N55" s="15">
        <f t="shared" si="22"/>
        <v>0</v>
      </c>
      <c r="O55" s="17">
        <f t="shared" si="13"/>
        <v>-2100</v>
      </c>
    </row>
    <row r="56" spans="1:15" x14ac:dyDescent="0.35">
      <c r="A56" s="13" t="s">
        <v>26</v>
      </c>
      <c r="B56" s="14">
        <f t="shared" ref="B56:N56" si="23">B17</f>
        <v>0</v>
      </c>
      <c r="C56" s="15">
        <f t="shared" si="23"/>
        <v>0</v>
      </c>
      <c r="D56" s="16">
        <f t="shared" si="23"/>
        <v>0</v>
      </c>
      <c r="E56" s="14">
        <f t="shared" si="23"/>
        <v>0</v>
      </c>
      <c r="F56" s="15">
        <f t="shared" si="23"/>
        <v>0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0</v>
      </c>
      <c r="L56" s="15">
        <f t="shared" si="23"/>
        <v>0</v>
      </c>
      <c r="M56" s="15">
        <f t="shared" si="23"/>
        <v>0</v>
      </c>
      <c r="N56" s="15">
        <f t="shared" si="23"/>
        <v>0</v>
      </c>
      <c r="O56" s="17">
        <f t="shared" si="13"/>
        <v>0</v>
      </c>
    </row>
    <row r="57" spans="1:15" x14ac:dyDescent="0.3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0</v>
      </c>
      <c r="F57" s="15">
        <f t="shared" si="24"/>
        <v>0</v>
      </c>
      <c r="G57" s="17">
        <f t="shared" si="24"/>
        <v>0</v>
      </c>
      <c r="H57" s="18">
        <f t="shared" si="24"/>
        <v>0</v>
      </c>
      <c r="I57" s="15">
        <f t="shared" si="24"/>
        <v>0</v>
      </c>
      <c r="J57" s="16">
        <f t="shared" si="24"/>
        <v>0</v>
      </c>
      <c r="K57" s="19">
        <f t="shared" si="24"/>
        <v>0</v>
      </c>
      <c r="L57" s="15">
        <f t="shared" si="24"/>
        <v>0</v>
      </c>
      <c r="M57" s="15">
        <f t="shared" si="24"/>
        <v>0</v>
      </c>
      <c r="N57" s="15">
        <f t="shared" si="24"/>
        <v>0</v>
      </c>
      <c r="O57" s="17">
        <f t="shared" si="13"/>
        <v>0</v>
      </c>
    </row>
    <row r="58" spans="1:15" x14ac:dyDescent="0.3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 x14ac:dyDescent="0.3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 x14ac:dyDescent="0.3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 x14ac:dyDescent="0.3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 x14ac:dyDescent="0.3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 x14ac:dyDescent="0.3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 x14ac:dyDescent="0.3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 x14ac:dyDescent="0.3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 x14ac:dyDescent="0.3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 x14ac:dyDescent="0.3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 x14ac:dyDescent="0.3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 x14ac:dyDescent="0.3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 x14ac:dyDescent="0.3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 x14ac:dyDescent="0.3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 x14ac:dyDescent="0.3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1687500</v>
      </c>
      <c r="C76" s="28">
        <f t="shared" si="45"/>
        <v>219375</v>
      </c>
      <c r="D76" s="29">
        <f t="shared" si="45"/>
        <v>1508750</v>
      </c>
      <c r="E76" s="30">
        <f t="shared" si="45"/>
        <v>292000</v>
      </c>
      <c r="F76" s="28">
        <f t="shared" si="45"/>
        <v>37960</v>
      </c>
      <c r="G76" s="31">
        <f t="shared" si="45"/>
        <v>408000</v>
      </c>
      <c r="H76" s="27">
        <f t="shared" si="45"/>
        <v>59600</v>
      </c>
      <c r="I76" s="28">
        <f t="shared" si="45"/>
        <v>7748</v>
      </c>
      <c r="J76" s="29">
        <f t="shared" si="45"/>
        <v>80000</v>
      </c>
      <c r="K76" s="60">
        <f t="shared" si="45"/>
        <v>2039100</v>
      </c>
      <c r="L76" s="32">
        <f t="shared" si="45"/>
        <v>265100</v>
      </c>
      <c r="M76" s="32">
        <f t="shared" si="45"/>
        <v>1996750</v>
      </c>
      <c r="N76" s="32">
        <f t="shared" si="45"/>
        <v>0</v>
      </c>
      <c r="O76" s="33">
        <f>SUM(O44:O75)</f>
        <v>-222750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7" t="s">
        <v>116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4" t="s">
        <v>0</v>
      </c>
      <c r="J1" s="135"/>
      <c r="K1" s="135"/>
      <c r="L1" s="135"/>
      <c r="M1" s="135"/>
      <c r="N1" s="136"/>
    </row>
    <row r="2" spans="1:15" ht="19" thickBot="1" x14ac:dyDescent="0.5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 x14ac:dyDescent="0.3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 x14ac:dyDescent="0.3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 x14ac:dyDescent="0.3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 x14ac:dyDescent="0.3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 x14ac:dyDescent="0.3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 x14ac:dyDescent="0.3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 x14ac:dyDescent="0.3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 x14ac:dyDescent="0.35">
      <c r="A14" s="20" t="s">
        <v>23</v>
      </c>
      <c r="B14" s="14">
        <f>[9]Vendedor5!$J$4</f>
        <v>164350</v>
      </c>
      <c r="C14" s="15">
        <f>[9]Vendedor5!$K$4</f>
        <v>19722</v>
      </c>
      <c r="D14" s="16">
        <f>[9]Vendedor5!$L$4</f>
        <v>72250</v>
      </c>
      <c r="E14" s="14">
        <f>[9]Vendedor5!$J$5</f>
        <v>84200</v>
      </c>
      <c r="F14" s="15">
        <f>[9]Vendedor5!$K$5</f>
        <v>10104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278450</v>
      </c>
      <c r="L14" s="15">
        <f t="shared" si="2"/>
        <v>33400</v>
      </c>
      <c r="M14" s="15">
        <f t="shared" si="1"/>
        <v>84250</v>
      </c>
      <c r="N14" s="15">
        <v>0</v>
      </c>
      <c r="O14" s="17">
        <f t="shared" si="0"/>
        <v>160800</v>
      </c>
    </row>
    <row r="15" spans="1:15" x14ac:dyDescent="0.35">
      <c r="A15" s="13" t="s">
        <v>24</v>
      </c>
      <c r="B15" s="14">
        <f>[12]Vendedor5!$J$4</f>
        <v>128300</v>
      </c>
      <c r="C15" s="15">
        <f>[12]Vendedor5!$K$4</f>
        <v>15396</v>
      </c>
      <c r="D15" s="16">
        <f>[12]Vendedor5!$L$4</f>
        <v>114750</v>
      </c>
      <c r="E15" s="14">
        <f>[12]Vendedor5!$J$5</f>
        <v>121250</v>
      </c>
      <c r="F15" s="15">
        <f>[12]Vendedor5!$K$5</f>
        <v>14550</v>
      </c>
      <c r="G15" s="17">
        <f>[12]Vendedor5!$L$5</f>
        <v>88000</v>
      </c>
      <c r="H15" s="18">
        <f>[12]Vendedor5!$J$7</f>
        <v>21950</v>
      </c>
      <c r="I15" s="15">
        <f>[12]Vendedor5!$K$7</f>
        <v>2634</v>
      </c>
      <c r="J15" s="16">
        <f>[12]Vendedor5!$L$7</f>
        <v>0</v>
      </c>
      <c r="K15" s="19">
        <f t="shared" si="3"/>
        <v>271500</v>
      </c>
      <c r="L15" s="15">
        <f t="shared" si="2"/>
        <v>32600</v>
      </c>
      <c r="M15" s="15">
        <f t="shared" si="1"/>
        <v>202750</v>
      </c>
      <c r="N15" s="15">
        <v>0</v>
      </c>
      <c r="O15" s="17">
        <f t="shared" si="0"/>
        <v>36150</v>
      </c>
    </row>
    <row r="16" spans="1:15" x14ac:dyDescent="0.35">
      <c r="A16" s="20" t="s">
        <v>25</v>
      </c>
      <c r="B16" s="14">
        <f>[13]Vendedor5!$J$4</f>
        <v>0</v>
      </c>
      <c r="C16" s="15">
        <f>[13]Vendedor5!$K$4</f>
        <v>0</v>
      </c>
      <c r="D16" s="16">
        <f>[13]Vendedor5!$L$4</f>
        <v>0</v>
      </c>
      <c r="E16" s="14">
        <f>[13]Vendedor5!$J$5</f>
        <v>47800</v>
      </c>
      <c r="F16" s="15">
        <f>[13]Vendedor5!$K$5</f>
        <v>5736</v>
      </c>
      <c r="G16" s="17">
        <f>[13]Vendedor5!$L$5</f>
        <v>40000</v>
      </c>
      <c r="H16" s="18">
        <f>[13]Vendedor5!$J$7</f>
        <v>30450</v>
      </c>
      <c r="I16" s="15">
        <f>[13]Vendedor5!$K$7</f>
        <v>3654</v>
      </c>
      <c r="J16" s="16">
        <f>[13]Vendedor5!$L$7</f>
        <v>0</v>
      </c>
      <c r="K16" s="19">
        <f t="shared" si="3"/>
        <v>78250</v>
      </c>
      <c r="L16" s="15">
        <f t="shared" si="2"/>
        <v>9400</v>
      </c>
      <c r="M16" s="15">
        <f t="shared" si="1"/>
        <v>40000</v>
      </c>
      <c r="N16" s="15">
        <v>0</v>
      </c>
      <c r="O16" s="17">
        <f t="shared" si="0"/>
        <v>28850</v>
      </c>
    </row>
    <row r="17" spans="1:15" x14ac:dyDescent="0.35">
      <c r="A17" s="13" t="s">
        <v>26</v>
      </c>
      <c r="B17" s="14">
        <f>[14]Vendedor5!$J$4</f>
        <v>0</v>
      </c>
      <c r="C17" s="15">
        <f>[14]Vendedor5!$K$4</f>
        <v>0</v>
      </c>
      <c r="D17" s="16">
        <f>[14]Vendedor5!$L$4</f>
        <v>0</v>
      </c>
      <c r="E17" s="14">
        <f>[14]Vendedor5!$J$5</f>
        <v>0</v>
      </c>
      <c r="F17" s="15">
        <f>[14]Vendedor5!$K$5</f>
        <v>0</v>
      </c>
      <c r="G17" s="17">
        <f>[14]Vendedor5!$L$5</f>
        <v>0</v>
      </c>
      <c r="H17" s="18">
        <f>[14]Vendedor5!$J$7</f>
        <v>0</v>
      </c>
      <c r="I17" s="15">
        <f>[14]Vendedor5!$K$7</f>
        <v>0</v>
      </c>
      <c r="J17" s="16">
        <f>[14]Vendedor5!$L$7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0</v>
      </c>
      <c r="F18" s="15">
        <f>[15]Vendedor5!$K$5</f>
        <v>0</v>
      </c>
      <c r="G18" s="17">
        <f>[15]Vendedor5!$L$5</f>
        <v>0</v>
      </c>
      <c r="H18" s="18">
        <f>[15]Vendedor5!$J$7</f>
        <v>0</v>
      </c>
      <c r="I18" s="15">
        <f>[15]Vendedor5!$K$7</f>
        <v>0</v>
      </c>
      <c r="J18" s="16">
        <f>[15]Vendedor5!$L$7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1648650</v>
      </c>
      <c r="C37" s="28">
        <f t="shared" si="4"/>
        <v>197838</v>
      </c>
      <c r="D37" s="29">
        <f t="shared" si="4"/>
        <v>1823250</v>
      </c>
      <c r="E37" s="30">
        <f t="shared" si="4"/>
        <v>1310100</v>
      </c>
      <c r="F37" s="28">
        <f t="shared" si="4"/>
        <v>157212</v>
      </c>
      <c r="G37" s="31">
        <f t="shared" si="4"/>
        <v>944000</v>
      </c>
      <c r="H37" s="27">
        <f t="shared" si="4"/>
        <v>328400</v>
      </c>
      <c r="I37" s="28">
        <f t="shared" si="4"/>
        <v>39408</v>
      </c>
      <c r="J37" s="29">
        <f t="shared" si="4"/>
        <v>108000</v>
      </c>
      <c r="K37" s="60">
        <f t="shared" si="4"/>
        <v>3287150</v>
      </c>
      <c r="L37" s="32">
        <f t="shared" si="4"/>
        <v>394450</v>
      </c>
      <c r="M37" s="32">
        <f t="shared" si="4"/>
        <v>2875250</v>
      </c>
      <c r="N37" s="32">
        <f>SUM(N5:N36)</f>
        <v>0</v>
      </c>
      <c r="O37" s="33">
        <f>SUM(O5:O36)</f>
        <v>17450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V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" thickBot="1" x14ac:dyDescent="0.5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 x14ac:dyDescent="0.35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 x14ac:dyDescent="0.35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 x14ac:dyDescent="0.35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 x14ac:dyDescent="0.35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 x14ac:dyDescent="0.35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 x14ac:dyDescent="0.35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 x14ac:dyDescent="0.35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 x14ac:dyDescent="0.35">
      <c r="A14" s="79" t="s">
        <v>23</v>
      </c>
      <c r="B14" s="14">
        <f>[9]Vendedor7!$J$4</f>
        <v>338600</v>
      </c>
      <c r="C14" s="15">
        <f>[9]Vendedor7!$K$4</f>
        <v>40632</v>
      </c>
      <c r="D14" s="17">
        <f>[9]Vendedor7!$L$4</f>
        <v>267750</v>
      </c>
      <c r="E14" s="14">
        <f>[9]Vendedor7!$J$5</f>
        <v>171900</v>
      </c>
      <c r="F14" s="15">
        <f>[9]Vendedor7!$K$5</f>
        <v>20628</v>
      </c>
      <c r="G14" s="16">
        <f>[9]Vendedor7!$L$5</f>
        <v>59500</v>
      </c>
      <c r="H14" s="19">
        <f>[9]Vendedor7!$J$6</f>
        <v>30050</v>
      </c>
      <c r="I14" s="15">
        <f>[9]Vendedor7!$K$6</f>
        <v>3005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50000</v>
      </c>
      <c r="O14" s="15">
        <f>[9]Vendedor7!$K$8</f>
        <v>6000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753400</v>
      </c>
      <c r="X14" s="15">
        <f t="shared" si="1"/>
        <v>89807</v>
      </c>
      <c r="Y14" s="15">
        <f t="shared" si="2"/>
        <v>491000</v>
      </c>
      <c r="Z14" s="15">
        <v>0</v>
      </c>
      <c r="AA14" s="17">
        <f t="shared" si="3"/>
        <v>172593</v>
      </c>
    </row>
    <row r="15" spans="1:27" x14ac:dyDescent="0.35">
      <c r="A15" s="80" t="s">
        <v>24</v>
      </c>
      <c r="B15" s="14">
        <f>[12]Vendedor7!$J$4</f>
        <v>274950</v>
      </c>
      <c r="C15" s="15">
        <f>[12]Vendedor7!$K$4</f>
        <v>32994</v>
      </c>
      <c r="D15" s="17">
        <f>[12]Vendedor7!$L$4</f>
        <v>8500</v>
      </c>
      <c r="E15" s="14">
        <f>[12]Vendedor7!$J$5</f>
        <v>123950</v>
      </c>
      <c r="F15" s="15">
        <f>[12]Vendedor7!$K$5</f>
        <v>14874</v>
      </c>
      <c r="G15" s="16">
        <f>[12]Vendedor7!$L$5</f>
        <v>29750</v>
      </c>
      <c r="H15" s="19">
        <f>[12]Vendedor7!$J$6</f>
        <v>22800</v>
      </c>
      <c r="I15" s="15">
        <f>[12]Vendedor7!$K$6</f>
        <v>2280</v>
      </c>
      <c r="J15" s="17">
        <f>[12]Vendedor7!$L$6</f>
        <v>0</v>
      </c>
      <c r="K15" s="18">
        <f>[12]Vendedor7!$J$7</f>
        <v>28650</v>
      </c>
      <c r="L15" s="15">
        <f>[12]Vendedor7!$K$7</f>
        <v>3438</v>
      </c>
      <c r="M15" s="16">
        <f>[12]Vendedor7!$L$7</f>
        <v>0</v>
      </c>
      <c r="N15" s="19">
        <f>[12]Vendedor7!$J$8</f>
        <v>6000</v>
      </c>
      <c r="O15" s="15">
        <f>[12]Vendedor7!$K$8</f>
        <v>720</v>
      </c>
      <c r="P15" s="17">
        <f>[12]Vendedor7!$L$8</f>
        <v>0</v>
      </c>
      <c r="Q15" s="18">
        <f>[12]Vendedor7!$J$9</f>
        <v>72000</v>
      </c>
      <c r="R15" s="15">
        <f>[12]Vendedor7!$K$9</f>
        <v>8640</v>
      </c>
      <c r="S15" s="16">
        <f>[12]Vendedor7!$L$9</f>
        <v>63750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528350</v>
      </c>
      <c r="X15" s="15">
        <f t="shared" si="1"/>
        <v>62946</v>
      </c>
      <c r="Y15" s="15">
        <f t="shared" si="2"/>
        <v>102000</v>
      </c>
      <c r="Z15" s="15">
        <v>0</v>
      </c>
      <c r="AA15" s="17">
        <f t="shared" si="3"/>
        <v>363404</v>
      </c>
    </row>
    <row r="16" spans="1:27" x14ac:dyDescent="0.35">
      <c r="A16" s="79" t="s">
        <v>25</v>
      </c>
      <c r="B16" s="14">
        <f>[13]Vendedor7!$J$4</f>
        <v>0</v>
      </c>
      <c r="C16" s="15">
        <f>[13]Vendedor7!$K$4</f>
        <v>0</v>
      </c>
      <c r="D16" s="17">
        <f>[13]Vendedor7!$L$4</f>
        <v>0</v>
      </c>
      <c r="E16" s="14">
        <f>[13]Vendedor7!$J$5</f>
        <v>53050</v>
      </c>
      <c r="F16" s="15">
        <f>[13]Vendedor7!$K$5</f>
        <v>6366</v>
      </c>
      <c r="G16" s="16">
        <f>[13]Vendedor7!$L$5</f>
        <v>21250</v>
      </c>
      <c r="H16" s="19">
        <f>[13]Vendedor7!$J$6</f>
        <v>0</v>
      </c>
      <c r="I16" s="15">
        <f>[13]Vendedor7!$K$6</f>
        <v>0</v>
      </c>
      <c r="J16" s="17">
        <f>[13]Vendedor7!$L$6</f>
        <v>0</v>
      </c>
      <c r="K16" s="18">
        <f>[13]Vendedor7!$J$7</f>
        <v>47750</v>
      </c>
      <c r="L16" s="15">
        <f>[13]Vendedor7!$K$7</f>
        <v>5730</v>
      </c>
      <c r="M16" s="16">
        <f>[13]Vendedor7!$L$7</f>
        <v>0</v>
      </c>
      <c r="N16" s="19">
        <f>[13]Vendedor7!$J$8</f>
        <v>15750</v>
      </c>
      <c r="O16" s="15">
        <f>[13]Vendedor7!$K$8</f>
        <v>1890</v>
      </c>
      <c r="P16" s="17">
        <f>[13]Vendedor7!$L$8</f>
        <v>0</v>
      </c>
      <c r="Q16" s="18">
        <f>[13]Vendedor7!$J$9</f>
        <v>0</v>
      </c>
      <c r="R16" s="15">
        <f>[13]Vendedor7!$K$9</f>
        <v>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116550</v>
      </c>
      <c r="X16" s="15">
        <f t="shared" si="1"/>
        <v>13986</v>
      </c>
      <c r="Y16" s="15">
        <f t="shared" si="2"/>
        <v>21250</v>
      </c>
      <c r="Z16" s="15">
        <v>0</v>
      </c>
      <c r="AA16" s="17">
        <f t="shared" si="3"/>
        <v>81314</v>
      </c>
    </row>
    <row r="17" spans="1:29" x14ac:dyDescent="0.35">
      <c r="A17" s="80" t="s">
        <v>26</v>
      </c>
      <c r="B17" s="14">
        <f>[14]Vendedor7!$J$4</f>
        <v>0</v>
      </c>
      <c r="C17" s="15">
        <f>[14]Vendedor7!$K$4</f>
        <v>0</v>
      </c>
      <c r="D17" s="17">
        <f>[14]Vendedor7!$L$4</f>
        <v>0</v>
      </c>
      <c r="E17" s="14">
        <f>[14]Vendedor7!$J$5</f>
        <v>0</v>
      </c>
      <c r="F17" s="15">
        <f>[14]Vendedor7!$K$5</f>
        <v>0</v>
      </c>
      <c r="G17" s="16">
        <f>[14]Vendedor7!$L$5</f>
        <v>0</v>
      </c>
      <c r="H17" s="19">
        <f>[14]Vendedor7!$J$6</f>
        <v>0</v>
      </c>
      <c r="I17" s="15">
        <f>[14]Vendedor7!$K$6</f>
        <v>0</v>
      </c>
      <c r="J17" s="17">
        <f>[14]Vendedor7!$L$6</f>
        <v>0</v>
      </c>
      <c r="K17" s="18">
        <f>[14]Vendedor7!$J$7</f>
        <v>0</v>
      </c>
      <c r="L17" s="15">
        <f>[14]Vendedor7!$K$7</f>
        <v>0</v>
      </c>
      <c r="M17" s="16">
        <f>[14]Vendedor7!$L$7</f>
        <v>0</v>
      </c>
      <c r="N17" s="19">
        <f>[14]Vendedor7!$J$8</f>
        <v>0</v>
      </c>
      <c r="O17" s="15">
        <f>[14]Vendedor7!$K$8</f>
        <v>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0</v>
      </c>
      <c r="X17" s="15">
        <f t="shared" si="1"/>
        <v>0</v>
      </c>
      <c r="Y17" s="15">
        <f t="shared" si="2"/>
        <v>0</v>
      </c>
      <c r="Z17" s="15">
        <v>0</v>
      </c>
      <c r="AA17" s="17">
        <f t="shared" si="3"/>
        <v>0</v>
      </c>
    </row>
    <row r="18" spans="1:29" x14ac:dyDescent="0.35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0</v>
      </c>
      <c r="F18" s="15">
        <f>[15]Vendedor7!$K$5</f>
        <v>0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0</v>
      </c>
      <c r="L18" s="15">
        <f>[15]Vendedor7!$K$7</f>
        <v>0</v>
      </c>
      <c r="M18" s="16">
        <f>[15]Vendedor7!$L$7</f>
        <v>0</v>
      </c>
      <c r="N18" s="19">
        <f>[15]Vendedor7!$J$8</f>
        <v>0</v>
      </c>
      <c r="O18" s="15">
        <f>[15]Vendedor7!$K$8</f>
        <v>0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0</v>
      </c>
      <c r="X18" s="15">
        <f t="shared" si="1"/>
        <v>0</v>
      </c>
      <c r="Y18" s="15">
        <f t="shared" si="2"/>
        <v>0</v>
      </c>
      <c r="Z18" s="15">
        <v>0</v>
      </c>
      <c r="AA18" s="17">
        <f t="shared" si="3"/>
        <v>0</v>
      </c>
      <c r="AC18" s="62"/>
    </row>
    <row r="19" spans="1:29" x14ac:dyDescent="0.35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 x14ac:dyDescent="0.35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 x14ac:dyDescent="0.35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 x14ac:dyDescent="0.35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 x14ac:dyDescent="0.35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 x14ac:dyDescent="0.35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 x14ac:dyDescent="0.35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 x14ac:dyDescent="0.35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 x14ac:dyDescent="0.35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 x14ac:dyDescent="0.35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 x14ac:dyDescent="0.35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 x14ac:dyDescent="0.35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 x14ac:dyDescent="0.35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 x14ac:dyDescent="0.35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 x14ac:dyDescent="0.35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 x14ac:dyDescent="0.35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2861250</v>
      </c>
      <c r="C37" s="32">
        <f t="shared" si="5"/>
        <v>343350</v>
      </c>
      <c r="D37" s="78">
        <f t="shared" si="5"/>
        <v>1887000</v>
      </c>
      <c r="E37" s="60">
        <f t="shared" si="5"/>
        <v>1810600</v>
      </c>
      <c r="F37" s="32">
        <f t="shared" si="5"/>
        <v>217272</v>
      </c>
      <c r="G37" s="73">
        <f t="shared" si="5"/>
        <v>884000</v>
      </c>
      <c r="H37" s="77">
        <f t="shared" si="5"/>
        <v>346750</v>
      </c>
      <c r="I37" s="32">
        <f t="shared" si="5"/>
        <v>34675</v>
      </c>
      <c r="J37" s="78">
        <f t="shared" si="5"/>
        <v>100000</v>
      </c>
      <c r="K37" s="60">
        <f t="shared" ref="K37:M37" si="6">SUM(K6:K36)</f>
        <v>352700</v>
      </c>
      <c r="L37" s="32">
        <f t="shared" si="6"/>
        <v>42324</v>
      </c>
      <c r="M37" s="78">
        <f t="shared" si="6"/>
        <v>182750</v>
      </c>
      <c r="N37" s="60">
        <f t="shared" ref="N37:V37" si="7">SUM(N6:N36)</f>
        <v>274150</v>
      </c>
      <c r="O37" s="32">
        <f t="shared" si="7"/>
        <v>32898</v>
      </c>
      <c r="P37" s="73">
        <f t="shared" si="7"/>
        <v>165750</v>
      </c>
      <c r="Q37" s="77">
        <f t="shared" si="7"/>
        <v>974450</v>
      </c>
      <c r="R37" s="32">
        <f t="shared" si="7"/>
        <v>116934</v>
      </c>
      <c r="S37" s="78">
        <f t="shared" si="7"/>
        <v>276250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6621900</v>
      </c>
      <c r="X37" s="32">
        <f t="shared" si="5"/>
        <v>787693</v>
      </c>
      <c r="Y37" s="32">
        <f t="shared" si="5"/>
        <v>3495750</v>
      </c>
      <c r="Z37" s="32">
        <f>SUM(Z5:Z36)</f>
        <v>0</v>
      </c>
      <c r="AA37" s="33">
        <f>SUM(AA5:AA36)</f>
        <v>2338457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 x14ac:dyDescent="0.3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 x14ac:dyDescent="0.3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 x14ac:dyDescent="0.3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 x14ac:dyDescent="0.3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 x14ac:dyDescent="0.3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 x14ac:dyDescent="0.3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 x14ac:dyDescent="0.3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 x14ac:dyDescent="0.35">
      <c r="A14" s="20" t="s">
        <v>23</v>
      </c>
      <c r="B14" s="14">
        <f>[9]Vendedor8!$J$4</f>
        <v>11000</v>
      </c>
      <c r="C14" s="81">
        <f>[9]Vendedor8!$K$4</f>
        <v>1320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11000</v>
      </c>
      <c r="L14" s="15">
        <f t="shared" si="4"/>
        <v>1300</v>
      </c>
      <c r="M14" s="15">
        <f t="shared" si="2"/>
        <v>0</v>
      </c>
      <c r="N14" s="15">
        <v>0</v>
      </c>
      <c r="O14" s="17">
        <f t="shared" si="3"/>
        <v>9700</v>
      </c>
    </row>
    <row r="15" spans="1:15" x14ac:dyDescent="0.35">
      <c r="A15" s="13" t="s">
        <v>24</v>
      </c>
      <c r="B15" s="14">
        <f>[12]Vendedor8!$J$4</f>
        <v>6500</v>
      </c>
      <c r="C15" s="81">
        <f>[12]Vendedor8!$K$4</f>
        <v>780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6500</v>
      </c>
      <c r="L15" s="15">
        <f t="shared" si="4"/>
        <v>800</v>
      </c>
      <c r="M15" s="15">
        <f t="shared" si="2"/>
        <v>0</v>
      </c>
      <c r="N15" s="15">
        <v>0</v>
      </c>
      <c r="O15" s="17">
        <f t="shared" si="3"/>
        <v>5700</v>
      </c>
    </row>
    <row r="16" spans="1:15" x14ac:dyDescent="0.35">
      <c r="A16" s="20" t="s">
        <v>25</v>
      </c>
      <c r="B16" s="14">
        <f>[13]Vendedor8!$J$4</f>
        <v>0</v>
      </c>
      <c r="C16" s="81">
        <f>[13]Vendedor8!$K$4</f>
        <v>0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[14]Vendedor8!$J$4</f>
        <v>0</v>
      </c>
      <c r="C17" s="81">
        <f>[14]Vendedor8!$K$4</f>
        <v>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84300</v>
      </c>
      <c r="C37" s="28">
        <f t="shared" si="5"/>
        <v>10116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84300</v>
      </c>
      <c r="L37" s="28">
        <f t="shared" si="5"/>
        <v>10150</v>
      </c>
      <c r="M37" s="28">
        <f t="shared" si="5"/>
        <v>110500</v>
      </c>
      <c r="N37" s="32">
        <f>SUM(N5:N36)</f>
        <v>0</v>
      </c>
      <c r="O37" s="33">
        <f>SUM(O5:O36)</f>
        <v>-36350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" thickBot="1" x14ac:dyDescent="0.5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 x14ac:dyDescent="0.35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 x14ac:dyDescent="0.35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 x14ac:dyDescent="0.35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 x14ac:dyDescent="0.35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 x14ac:dyDescent="0.35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 x14ac:dyDescent="0.35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 x14ac:dyDescent="0.35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 x14ac:dyDescent="0.35">
      <c r="A14" s="20" t="s">
        <v>23</v>
      </c>
      <c r="B14" s="14">
        <f>[9]Vendedor9!$J$4</f>
        <v>109650</v>
      </c>
      <c r="C14" s="15">
        <f>[9]Vendedor9!$K$4</f>
        <v>13158</v>
      </c>
      <c r="D14" s="16">
        <f>[9]Vendedor9!$L$4</f>
        <v>80750</v>
      </c>
      <c r="E14" s="14">
        <f>[9]Vendedor9!$J$5</f>
        <v>55900</v>
      </c>
      <c r="F14" s="15">
        <f>[9]Vendedor9!$K$5</f>
        <v>6708</v>
      </c>
      <c r="G14" s="17">
        <f>[9]Vendedor9!$L$5</f>
        <v>63750</v>
      </c>
      <c r="H14" s="18">
        <f>[9]Vendedor9!$J$6</f>
        <v>4000</v>
      </c>
      <c r="I14" s="15">
        <f>[9]Vendedor9!$K$6</f>
        <v>400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198000</v>
      </c>
      <c r="R14" s="15">
        <f t="shared" si="2"/>
        <v>23680</v>
      </c>
      <c r="S14" s="15">
        <f t="shared" si="3"/>
        <v>165750</v>
      </c>
      <c r="T14" s="15">
        <v>0</v>
      </c>
      <c r="U14" s="17">
        <f t="shared" si="4"/>
        <v>8570</v>
      </c>
    </row>
    <row r="15" spans="1:21" x14ac:dyDescent="0.35">
      <c r="A15" s="13" t="s">
        <v>24</v>
      </c>
      <c r="B15" s="14">
        <f>[12]Vendedor9!$J$4</f>
        <v>120750</v>
      </c>
      <c r="C15" s="15">
        <f>[12]Vendedor9!$K$4</f>
        <v>14490</v>
      </c>
      <c r="D15" s="16">
        <f>[12]Vendedor9!$L$4</f>
        <v>127500</v>
      </c>
      <c r="E15" s="14">
        <f>[12]Vendedor9!$J$5</f>
        <v>90950</v>
      </c>
      <c r="F15" s="15">
        <f>[12]Vendedor9!$K$5</f>
        <v>10914</v>
      </c>
      <c r="G15" s="17">
        <f>[12]Vendedor9!$L$5</f>
        <v>42500</v>
      </c>
      <c r="H15" s="18">
        <f>[12]Vendedor9!$J$6</f>
        <v>5950</v>
      </c>
      <c r="I15" s="15">
        <f>[12]Vendedor9!$K$6</f>
        <v>595</v>
      </c>
      <c r="J15" s="16">
        <f>[12]Vendedor9!$L$6</f>
        <v>0</v>
      </c>
      <c r="K15" s="19">
        <f>[12]Vendedor9!$J$7</f>
        <v>48700</v>
      </c>
      <c r="L15" s="15">
        <f>[12]Vendedor9!$K$7</f>
        <v>5844</v>
      </c>
      <c r="M15" s="16">
        <f>[12]Vendedor9!$L$7</f>
        <v>46750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266350</v>
      </c>
      <c r="R15" s="15">
        <f t="shared" si="2"/>
        <v>31843</v>
      </c>
      <c r="S15" s="15">
        <f t="shared" si="3"/>
        <v>216750</v>
      </c>
      <c r="T15" s="15">
        <v>0</v>
      </c>
      <c r="U15" s="17">
        <f t="shared" si="4"/>
        <v>17757</v>
      </c>
    </row>
    <row r="16" spans="1:21" x14ac:dyDescent="0.35">
      <c r="A16" s="20" t="s">
        <v>25</v>
      </c>
      <c r="B16" s="14">
        <f>[13]Vendedor9!$J$4</f>
        <v>0</v>
      </c>
      <c r="C16" s="15">
        <f>[13]Vendedor9!$K$4</f>
        <v>0</v>
      </c>
      <c r="D16" s="16">
        <f>[13]Vendedor9!$L$4</f>
        <v>0</v>
      </c>
      <c r="E16" s="14">
        <f>[13]Vendedor9!$J$5</f>
        <v>42350</v>
      </c>
      <c r="F16" s="15">
        <f>[13]Vendedor9!$K$5</f>
        <v>5082</v>
      </c>
      <c r="G16" s="17">
        <f>[13]Vendedor9!$L$5</f>
        <v>21250</v>
      </c>
      <c r="H16" s="18">
        <f>[13]Vendedor9!$J$6</f>
        <v>0</v>
      </c>
      <c r="I16" s="15">
        <f>[13]Vendedor9!$K$6</f>
        <v>0</v>
      </c>
      <c r="J16" s="16">
        <f>[13]Vendedor9!$L$6</f>
        <v>0</v>
      </c>
      <c r="K16" s="19">
        <f>[13]Vendedor9!$J$7</f>
        <v>52950</v>
      </c>
      <c r="L16" s="15">
        <f>[13]Vendedor9!$K$7</f>
        <v>6354</v>
      </c>
      <c r="M16" s="16">
        <f>[13]Vendedor9!$L$7</f>
        <v>21250</v>
      </c>
      <c r="N16" s="19">
        <f>[13]Vendedor9!$J$8</f>
        <v>6000</v>
      </c>
      <c r="O16" s="15">
        <f>[13]Vendedor9!$K$8</f>
        <v>720</v>
      </c>
      <c r="P16" s="17">
        <f>[13]Vendedor9!$L$8</f>
        <v>17000</v>
      </c>
      <c r="Q16" s="19">
        <f t="shared" si="1"/>
        <v>95300</v>
      </c>
      <c r="R16" s="15">
        <f t="shared" si="2"/>
        <v>11436</v>
      </c>
      <c r="S16" s="15">
        <f t="shared" si="3"/>
        <v>42500</v>
      </c>
      <c r="T16" s="15">
        <v>0</v>
      </c>
      <c r="U16" s="17">
        <f t="shared" si="4"/>
        <v>41364</v>
      </c>
    </row>
    <row r="17" spans="1:21" x14ac:dyDescent="0.35">
      <c r="A17" s="13" t="s">
        <v>26</v>
      </c>
      <c r="B17" s="14">
        <f>[14]Vendedor9!$J$4</f>
        <v>0</v>
      </c>
      <c r="C17" s="15">
        <f>[14]Vendedor9!$K$4</f>
        <v>0</v>
      </c>
      <c r="D17" s="16">
        <f>[14]Vendedor9!$L$4</f>
        <v>0</v>
      </c>
      <c r="E17" s="14">
        <f>[14]Vendedor9!$J$5</f>
        <v>0</v>
      </c>
      <c r="F17" s="15">
        <f>[14]Vendedor9!$K$5</f>
        <v>0</v>
      </c>
      <c r="G17" s="17">
        <f>[14]Vendedor9!$L$5</f>
        <v>0</v>
      </c>
      <c r="H17" s="18">
        <f>[14]Vendedor9!$J$6</f>
        <v>0</v>
      </c>
      <c r="I17" s="15">
        <f>[14]Vendedor9!$K$6</f>
        <v>0</v>
      </c>
      <c r="J17" s="16">
        <f>[14]Vendedor9!$L$6</f>
        <v>0</v>
      </c>
      <c r="K17" s="19">
        <f>[14]Vendedor9!$J$7</f>
        <v>0</v>
      </c>
      <c r="L17" s="15">
        <f>[14]Vendedor9!$K$7</f>
        <v>0</v>
      </c>
      <c r="M17" s="16">
        <f>[14]Vendedor9!$L$7</f>
        <v>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0</v>
      </c>
      <c r="R17" s="15">
        <f t="shared" si="2"/>
        <v>0</v>
      </c>
      <c r="S17" s="15">
        <f t="shared" si="3"/>
        <v>0</v>
      </c>
      <c r="T17" s="15">
        <v>0</v>
      </c>
      <c r="U17" s="17">
        <f t="shared" si="4"/>
        <v>0</v>
      </c>
    </row>
    <row r="18" spans="1:21" x14ac:dyDescent="0.35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0</v>
      </c>
      <c r="F18" s="15">
        <f>[15]Vendedor9!$K$5</f>
        <v>0</v>
      </c>
      <c r="G18" s="17">
        <f>[15]Vendedor9!$L$5</f>
        <v>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0</v>
      </c>
      <c r="L18" s="15">
        <f>[15]Vendedor9!$K$7</f>
        <v>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0</v>
      </c>
      <c r="R18" s="15">
        <f>+C18+F18+I18+L18</f>
        <v>0</v>
      </c>
      <c r="S18" s="15">
        <f>+D18+G18+J18+M18</f>
        <v>0</v>
      </c>
      <c r="T18" s="15">
        <v>0</v>
      </c>
      <c r="U18" s="17">
        <f t="shared" si="4"/>
        <v>0</v>
      </c>
    </row>
    <row r="19" spans="1:21" x14ac:dyDescent="0.35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 x14ac:dyDescent="0.35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 x14ac:dyDescent="0.35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 x14ac:dyDescent="0.35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 x14ac:dyDescent="0.35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 x14ac:dyDescent="0.35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 x14ac:dyDescent="0.35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 x14ac:dyDescent="0.35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 x14ac:dyDescent="0.35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 x14ac:dyDescent="0.35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 x14ac:dyDescent="0.35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 x14ac:dyDescent="0.35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 x14ac:dyDescent="0.35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 x14ac:dyDescent="0.35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 x14ac:dyDescent="0.35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 x14ac:dyDescent="0.35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993400</v>
      </c>
      <c r="C37" s="28">
        <f t="shared" si="6"/>
        <v>119208</v>
      </c>
      <c r="D37" s="29">
        <f t="shared" si="6"/>
        <v>1258000</v>
      </c>
      <c r="E37" s="30">
        <f t="shared" si="6"/>
        <v>770550</v>
      </c>
      <c r="F37" s="28">
        <f t="shared" si="6"/>
        <v>92466</v>
      </c>
      <c r="G37" s="31">
        <f t="shared" si="6"/>
        <v>522750</v>
      </c>
      <c r="H37" s="27">
        <f t="shared" si="6"/>
        <v>51350</v>
      </c>
      <c r="I37" s="28">
        <f t="shared" si="6"/>
        <v>5135</v>
      </c>
      <c r="J37" s="29">
        <f t="shared" si="6"/>
        <v>0</v>
      </c>
      <c r="K37" s="30">
        <f t="shared" si="6"/>
        <v>468050</v>
      </c>
      <c r="L37" s="28">
        <f t="shared" si="6"/>
        <v>56166</v>
      </c>
      <c r="M37" s="31">
        <f t="shared" si="6"/>
        <v>408000</v>
      </c>
      <c r="N37" s="30">
        <f t="shared" ref="N37:P37" si="7">SUM(N6:N36)</f>
        <v>22100</v>
      </c>
      <c r="O37" s="28">
        <f t="shared" si="7"/>
        <v>2652</v>
      </c>
      <c r="P37" s="31">
        <f t="shared" si="7"/>
        <v>17000</v>
      </c>
      <c r="Q37" s="27">
        <f t="shared" si="6"/>
        <v>2283350</v>
      </c>
      <c r="R37" s="28">
        <f t="shared" si="6"/>
        <v>272975</v>
      </c>
      <c r="S37" s="28">
        <f t="shared" si="6"/>
        <v>2188750</v>
      </c>
      <c r="T37" s="32">
        <f>SUM(T5:T36)</f>
        <v>0</v>
      </c>
      <c r="U37" s="33">
        <f>SUM(U5:U36)</f>
        <v>-178375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 x14ac:dyDescent="0.3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 x14ac:dyDescent="0.3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 x14ac:dyDescent="0.3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 x14ac:dyDescent="0.3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 x14ac:dyDescent="0.3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 x14ac:dyDescent="0.3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 x14ac:dyDescent="0.35">
      <c r="A14" s="20" t="s">
        <v>23</v>
      </c>
      <c r="B14" s="14">
        <f>[9]Vendedor10!$J$4</f>
        <v>86250</v>
      </c>
      <c r="C14" s="15">
        <f>[9]Vendedor10!$K$4</f>
        <v>10350</v>
      </c>
      <c r="D14" s="16">
        <f>[9]Vendedor10!$L$4</f>
        <v>38250</v>
      </c>
      <c r="E14" s="14">
        <f>[9]Vendedor10!$J$5</f>
        <v>32200</v>
      </c>
      <c r="F14" s="15">
        <f>[9]Vendedor10!$K$5</f>
        <v>3864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118450</v>
      </c>
      <c r="L14" s="15">
        <f t="shared" si="4"/>
        <v>14200</v>
      </c>
      <c r="M14" s="15">
        <f t="shared" si="2"/>
        <v>38250</v>
      </c>
      <c r="N14" s="15">
        <v>0</v>
      </c>
      <c r="O14" s="17">
        <f t="shared" si="3"/>
        <v>66000</v>
      </c>
    </row>
    <row r="15" spans="1:15" x14ac:dyDescent="0.35">
      <c r="A15" s="13" t="s">
        <v>24</v>
      </c>
      <c r="B15" s="14">
        <f>[12]Vendedor10!$J$4</f>
        <v>63250</v>
      </c>
      <c r="C15" s="15">
        <f>[12]Vendedor10!$K$4</f>
        <v>7590</v>
      </c>
      <c r="D15" s="16">
        <f>[12]Vendedor10!$L$4</f>
        <v>42500</v>
      </c>
      <c r="E15" s="14">
        <f>[12]Vendedor10!$J$5</f>
        <v>41950</v>
      </c>
      <c r="F15" s="15">
        <f>[12]Vendedor10!$K$5</f>
        <v>5034</v>
      </c>
      <c r="G15" s="17">
        <f>[12]Vendedor10!$L$5</f>
        <v>24000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105200</v>
      </c>
      <c r="L15" s="15">
        <f t="shared" si="4"/>
        <v>12600</v>
      </c>
      <c r="M15" s="15">
        <f t="shared" si="2"/>
        <v>66500</v>
      </c>
      <c r="N15" s="15">
        <v>0</v>
      </c>
      <c r="O15" s="17">
        <f t="shared" si="3"/>
        <v>26100</v>
      </c>
    </row>
    <row r="16" spans="1:15" x14ac:dyDescent="0.35">
      <c r="A16" s="20" t="s">
        <v>25</v>
      </c>
      <c r="B16" s="14">
        <f>[13]Vendedor10!$J$4</f>
        <v>0</v>
      </c>
      <c r="C16" s="15">
        <f>[13]Vendedor10!$K$4</f>
        <v>0</v>
      </c>
      <c r="D16" s="16">
        <f>[13]Vendedor10!$L$4</f>
        <v>0</v>
      </c>
      <c r="E16" s="14">
        <f>[13]Vendedor10!$J$5</f>
        <v>13400</v>
      </c>
      <c r="F16" s="15">
        <f>[13]Vendedor10!$K$5</f>
        <v>1608</v>
      </c>
      <c r="G16" s="17">
        <f>[13]Vendedor10!$L$5</f>
        <v>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13400</v>
      </c>
      <c r="L16" s="15">
        <f t="shared" si="4"/>
        <v>1600</v>
      </c>
      <c r="M16" s="15">
        <f t="shared" si="2"/>
        <v>0</v>
      </c>
      <c r="N16" s="15">
        <v>0</v>
      </c>
      <c r="O16" s="17">
        <f t="shared" si="3"/>
        <v>11800</v>
      </c>
    </row>
    <row r="17" spans="1:15" x14ac:dyDescent="0.35">
      <c r="A17" s="13" t="s">
        <v>26</v>
      </c>
      <c r="B17" s="14">
        <f>[14]Vendedor10!$J$4</f>
        <v>0</v>
      </c>
      <c r="C17" s="15">
        <f>[14]Vendedor10!$K$4</f>
        <v>0</v>
      </c>
      <c r="D17" s="16">
        <f>[14]Vendedor10!$L$4</f>
        <v>0</v>
      </c>
      <c r="E17" s="14">
        <f>[14]Vendedor10!$J$5</f>
        <v>0</v>
      </c>
      <c r="F17" s="15">
        <f>[14]Vendedor10!$K$5</f>
        <v>0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0</v>
      </c>
      <c r="F18" s="15">
        <f>[15]Vendedor10!$K$5</f>
        <v>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899700</v>
      </c>
      <c r="C37" s="28">
        <f t="shared" si="5"/>
        <v>107964</v>
      </c>
      <c r="D37" s="29">
        <f t="shared" si="5"/>
        <v>777750</v>
      </c>
      <c r="E37" s="30">
        <f t="shared" si="5"/>
        <v>391600</v>
      </c>
      <c r="F37" s="28">
        <f t="shared" si="5"/>
        <v>46992</v>
      </c>
      <c r="G37" s="31">
        <f t="shared" si="5"/>
        <v>176000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1291300</v>
      </c>
      <c r="L37" s="28">
        <f t="shared" si="5"/>
        <v>154950</v>
      </c>
      <c r="M37" s="28">
        <f t="shared" si="5"/>
        <v>953750</v>
      </c>
      <c r="N37" s="32">
        <f>SUM(N5:N36)</f>
        <v>0</v>
      </c>
      <c r="O37" s="33">
        <f>SUM(O5:O36)</f>
        <v>182600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 x14ac:dyDescent="0.3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 x14ac:dyDescent="0.3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 x14ac:dyDescent="0.3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 x14ac:dyDescent="0.3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 x14ac:dyDescent="0.3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 x14ac:dyDescent="0.3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 x14ac:dyDescent="0.3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 x14ac:dyDescent="0.35">
      <c r="A14" s="20" t="s">
        <v>23</v>
      </c>
      <c r="B14" s="14">
        <f>[9]Vendedor11!$J$4</f>
        <v>59300</v>
      </c>
      <c r="C14" s="81">
        <f>[9]Vendedor11!$K$4</f>
        <v>8895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59300</v>
      </c>
      <c r="L14" s="15">
        <f t="shared" si="4"/>
        <v>8900</v>
      </c>
      <c r="M14" s="15">
        <f t="shared" si="2"/>
        <v>0</v>
      </c>
      <c r="N14" s="15">
        <v>0</v>
      </c>
      <c r="O14" s="17">
        <f t="shared" si="3"/>
        <v>50400</v>
      </c>
    </row>
    <row r="15" spans="1:15" x14ac:dyDescent="0.35">
      <c r="A15" s="13" t="s">
        <v>24</v>
      </c>
      <c r="B15" s="14">
        <f>[12]Vendedor11!$J$4</f>
        <v>93650</v>
      </c>
      <c r="C15" s="81">
        <f>[12]Vendedor11!$K$4</f>
        <v>14047.5</v>
      </c>
      <c r="D15" s="82">
        <f>[12]Vendedor11!$L$4</f>
        <v>80000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93650</v>
      </c>
      <c r="L15" s="15">
        <f t="shared" si="4"/>
        <v>14050</v>
      </c>
      <c r="M15" s="15">
        <f t="shared" si="2"/>
        <v>80000</v>
      </c>
      <c r="N15" s="15">
        <v>0</v>
      </c>
      <c r="O15" s="17">
        <f t="shared" si="3"/>
        <v>-400</v>
      </c>
    </row>
    <row r="16" spans="1:15" x14ac:dyDescent="0.35">
      <c r="A16" s="20" t="s">
        <v>25</v>
      </c>
      <c r="B16" s="14">
        <f>[13]Vendedor11!$J$4</f>
        <v>0</v>
      </c>
      <c r="C16" s="81">
        <f>[13]Vendedor11!$K$4</f>
        <v>0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[14]Vendedor11!$J$4</f>
        <v>0</v>
      </c>
      <c r="C17" s="81">
        <f>[14]Vendedor11!$K$4</f>
        <v>0</v>
      </c>
      <c r="D17" s="82">
        <f>[14]Vendedor11!$L$4</f>
        <v>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894500</v>
      </c>
      <c r="C37" s="28">
        <f t="shared" si="5"/>
        <v>134175</v>
      </c>
      <c r="D37" s="29">
        <f t="shared" si="5"/>
        <v>708000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894500</v>
      </c>
      <c r="L37" s="28">
        <f t="shared" si="5"/>
        <v>134150</v>
      </c>
      <c r="M37" s="28">
        <f t="shared" si="5"/>
        <v>708000</v>
      </c>
      <c r="N37" s="32">
        <f>SUM(N5:N36)</f>
        <v>0</v>
      </c>
      <c r="O37" s="33">
        <f>SUM(O5:O36)</f>
        <v>52350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M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6328125" style="1" bestFit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 x14ac:dyDescent="0.35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 x14ac:dyDescent="0.35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 x14ac:dyDescent="0.35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 x14ac:dyDescent="0.35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 x14ac:dyDescent="0.35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 x14ac:dyDescent="0.35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 x14ac:dyDescent="0.35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 x14ac:dyDescent="0.35">
      <c r="A14" s="20" t="s">
        <v>23</v>
      </c>
      <c r="B14" s="14">
        <f>[9]Vendedor13!$J$4</f>
        <v>100050</v>
      </c>
      <c r="C14" s="81">
        <f>[9]Vendedor13!$K$4</f>
        <v>12006</v>
      </c>
      <c r="D14" s="82">
        <f>[9]Vendedor13!$L$4</f>
        <v>42500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10000</v>
      </c>
      <c r="I14" s="15">
        <f>[9]Vendedor13!$K$6</f>
        <v>1000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149450</v>
      </c>
      <c r="R14" s="15">
        <f t="shared" si="1"/>
        <v>17734</v>
      </c>
      <c r="S14" s="17">
        <f t="shared" si="2"/>
        <v>62500</v>
      </c>
      <c r="T14" s="18">
        <v>0</v>
      </c>
      <c r="U14" s="17">
        <f t="shared" si="0"/>
        <v>69216</v>
      </c>
    </row>
    <row r="15" spans="1:60" s="76" customFormat="1" x14ac:dyDescent="0.35">
      <c r="A15" s="20" t="s">
        <v>24</v>
      </c>
      <c r="B15" s="14">
        <f>[12]Vendedor13!$J$4</f>
        <v>66050</v>
      </c>
      <c r="C15" s="81">
        <f>[12]Vendedor13!$K$4</f>
        <v>7926</v>
      </c>
      <c r="D15" s="82">
        <f>[12]Vendedor13!$L$4</f>
        <v>29750</v>
      </c>
      <c r="E15" s="14">
        <f>[12]Vendedor13!$J$5</f>
        <v>37200</v>
      </c>
      <c r="F15" s="81">
        <f>[12]Vendedor13!$K$5</f>
        <v>4464</v>
      </c>
      <c r="G15" s="85">
        <f>[12]Vendedor13!$L$5</f>
        <v>8000</v>
      </c>
      <c r="H15" s="19">
        <f>[12]Vendedor13!$J$6</f>
        <v>2100</v>
      </c>
      <c r="I15" s="15">
        <f>[12]Vendedor13!$K$6</f>
        <v>210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105350</v>
      </c>
      <c r="R15" s="15">
        <f t="shared" si="1"/>
        <v>12600</v>
      </c>
      <c r="S15" s="17">
        <f t="shared" si="2"/>
        <v>37750</v>
      </c>
      <c r="T15" s="18">
        <v>0</v>
      </c>
      <c r="U15" s="17">
        <f t="shared" si="0"/>
        <v>55000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0</v>
      </c>
      <c r="C16" s="81">
        <f>[13]Vendedor13!$K$4</f>
        <v>0</v>
      </c>
      <c r="D16" s="82">
        <f>[13]Vendedor13!$L$4</f>
        <v>0</v>
      </c>
      <c r="E16" s="14">
        <f>[13]Vendedor13!$J$5</f>
        <v>8650</v>
      </c>
      <c r="F16" s="81">
        <f>[13]Vendedor13!$K$5</f>
        <v>1038</v>
      </c>
      <c r="G16" s="85">
        <f>[13]Vendedor13!$L$5</f>
        <v>0</v>
      </c>
      <c r="H16" s="19">
        <f>[13]Vendedor13!$J$6</f>
        <v>0</v>
      </c>
      <c r="I16" s="15">
        <f>[13]Vendedor13!$K$6</f>
        <v>0</v>
      </c>
      <c r="J16" s="17">
        <f>[13]Vendedor13!$L$6</f>
        <v>0</v>
      </c>
      <c r="K16" s="18">
        <f>[13]Vendedor13!$J$7</f>
        <v>2900</v>
      </c>
      <c r="L16" s="15">
        <f>[13]Vendedor13!$K$7</f>
        <v>348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11550</v>
      </c>
      <c r="R16" s="15">
        <f t="shared" si="1"/>
        <v>1386</v>
      </c>
      <c r="S16" s="17">
        <f t="shared" si="2"/>
        <v>0</v>
      </c>
      <c r="T16" s="18">
        <v>0</v>
      </c>
      <c r="U16" s="17">
        <f t="shared" si="0"/>
        <v>10164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0</v>
      </c>
      <c r="C17" s="81">
        <f>[14]Vendedor13!$K$4</f>
        <v>0</v>
      </c>
      <c r="D17" s="82">
        <f>[14]Vendedor13!$L$4</f>
        <v>0</v>
      </c>
      <c r="E17" s="14">
        <f>[14]Vendedor13!$J$5</f>
        <v>0</v>
      </c>
      <c r="F17" s="81">
        <f>[14]Vendedor13!$K$5</f>
        <v>0</v>
      </c>
      <c r="G17" s="85">
        <f>[14]Vendedor13!$L$5</f>
        <v>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0</v>
      </c>
      <c r="R17" s="15">
        <f t="shared" si="1"/>
        <v>0</v>
      </c>
      <c r="S17" s="17">
        <f t="shared" si="2"/>
        <v>0</v>
      </c>
      <c r="T17" s="18">
        <v>0</v>
      </c>
      <c r="U17" s="17">
        <f t="shared" si="0"/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0</v>
      </c>
      <c r="F18" s="81">
        <f>[15]Vendedor13!$K$5</f>
        <v>0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0</v>
      </c>
      <c r="R18" s="15">
        <f t="shared" si="1"/>
        <v>0</v>
      </c>
      <c r="S18" s="17">
        <f t="shared" si="2"/>
        <v>0</v>
      </c>
      <c r="T18" s="18">
        <v>0</v>
      </c>
      <c r="U18" s="17">
        <f t="shared" si="0"/>
        <v>0</v>
      </c>
    </row>
    <row r="19" spans="1:60" x14ac:dyDescent="0.35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 x14ac:dyDescent="0.35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 x14ac:dyDescent="0.35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 x14ac:dyDescent="0.35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 x14ac:dyDescent="0.35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 x14ac:dyDescent="0.35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 x14ac:dyDescent="0.35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 x14ac:dyDescent="0.35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 x14ac:dyDescent="0.35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 x14ac:dyDescent="0.35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 x14ac:dyDescent="0.35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 x14ac:dyDescent="0.35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 x14ac:dyDescent="0.35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 x14ac:dyDescent="0.35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 x14ac:dyDescent="0.35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 x14ac:dyDescent="0.35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x14ac:dyDescent="0.35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thickBot="1" x14ac:dyDescent="0.4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702200</v>
      </c>
      <c r="C37" s="28">
        <f t="shared" si="4"/>
        <v>84264</v>
      </c>
      <c r="D37" s="29">
        <f t="shared" si="4"/>
        <v>760750</v>
      </c>
      <c r="E37" s="30">
        <f t="shared" si="4"/>
        <v>299150</v>
      </c>
      <c r="F37" s="28">
        <f t="shared" si="4"/>
        <v>35898</v>
      </c>
      <c r="G37" s="31">
        <f t="shared" si="4"/>
        <v>148000</v>
      </c>
      <c r="H37" s="27">
        <f t="shared" si="4"/>
        <v>25000</v>
      </c>
      <c r="I37" s="28">
        <f t="shared" si="4"/>
        <v>2500</v>
      </c>
      <c r="J37" s="29">
        <f t="shared" si="4"/>
        <v>0</v>
      </c>
      <c r="K37" s="60">
        <f t="shared" ref="K37:M37" si="5">SUM(K6:K36)</f>
        <v>12400</v>
      </c>
      <c r="L37" s="32">
        <f t="shared" si="5"/>
        <v>1488</v>
      </c>
      <c r="M37" s="78">
        <f t="shared" si="5"/>
        <v>0</v>
      </c>
      <c r="N37" s="60">
        <f t="shared" ref="N37:P37" si="6">SUM(N6:N36)</f>
        <v>1200</v>
      </c>
      <c r="O37" s="32">
        <f t="shared" si="6"/>
        <v>144</v>
      </c>
      <c r="P37" s="73">
        <f t="shared" si="6"/>
        <v>0</v>
      </c>
      <c r="Q37" s="30">
        <f>SUM(Q6:Q36)</f>
        <v>1039950</v>
      </c>
      <c r="R37" s="28">
        <f>SUM(R6:R36)</f>
        <v>124294</v>
      </c>
      <c r="S37" s="28">
        <f>SUM(S6:S36)</f>
        <v>908750</v>
      </c>
      <c r="T37" s="32">
        <f>SUM(T5:T36)</f>
        <v>0</v>
      </c>
      <c r="U37" s="33">
        <f>SUM(U5:U36)</f>
        <v>6906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100</v>
      </c>
      <c r="C14" s="81">
        <f>[12]Vendedor24!$K$4</f>
        <v>8500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100</v>
      </c>
      <c r="L14" s="15">
        <f t="shared" si="3"/>
        <v>8500</v>
      </c>
      <c r="M14" s="15">
        <f t="shared" si="1"/>
        <v>0</v>
      </c>
      <c r="N14" s="15">
        <v>0</v>
      </c>
      <c r="O14" s="17">
        <f t="shared" si="2"/>
        <v>-8400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100</v>
      </c>
      <c r="C36" s="28">
        <f t="shared" si="4"/>
        <v>8500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100</v>
      </c>
      <c r="L36" s="28">
        <f t="shared" si="4"/>
        <v>8500</v>
      </c>
      <c r="M36" s="28">
        <f t="shared" si="4"/>
        <v>0</v>
      </c>
      <c r="N36" s="32">
        <f t="shared" si="4"/>
        <v>0</v>
      </c>
      <c r="O36" s="33">
        <f t="shared" si="4"/>
        <v>-8400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8" t="s">
        <v>0</v>
      </c>
      <c r="L1" s="138"/>
      <c r="M1" s="138"/>
      <c r="N1" s="138"/>
      <c r="O1" s="138"/>
      <c r="P1" s="138"/>
    </row>
    <row r="2" spans="1:17" ht="19" thickBot="1" x14ac:dyDescent="0.5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20000</v>
      </c>
      <c r="H12" s="116">
        <f t="shared" si="4"/>
        <v>7519.5</v>
      </c>
      <c r="I12" s="128">
        <f>+'[8]Cta ALI'!$G$22</f>
        <v>0</v>
      </c>
      <c r="J12" s="112">
        <f t="shared" si="2"/>
        <v>25509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+'[9]Cta ALI'!$D$19</f>
        <v>425750</v>
      </c>
      <c r="C13" s="103">
        <f>+'[9]Cta ALI'!$E$19</f>
        <v>55347.5</v>
      </c>
      <c r="D13" s="104">
        <f>+'[9]Cta ALI'!$F$19</f>
        <v>30000</v>
      </c>
      <c r="E13" s="116">
        <f t="shared" si="3"/>
        <v>25347.5</v>
      </c>
      <c r="F13" s="104">
        <f>+'[9]Cta ALI'!$G$11</f>
        <v>43037.5</v>
      </c>
      <c r="G13" s="104">
        <f>+'[9]Cta ALI'!$G$12</f>
        <v>20000</v>
      </c>
      <c r="H13" s="116">
        <f t="shared" si="4"/>
        <v>23037.5</v>
      </c>
      <c r="I13" s="128">
        <f>+'[9]Cta ALI'!$G$22</f>
        <v>0</v>
      </c>
      <c r="J13" s="112">
        <f t="shared" si="2"/>
        <v>48385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439650</v>
      </c>
      <c r="C14" s="103">
        <f>+'[12]Cta ALI'!$E$19</f>
        <v>57154.5</v>
      </c>
      <c r="D14" s="104">
        <f>+'[12]Cta ALI'!$F$19</f>
        <v>30000</v>
      </c>
      <c r="E14" s="116">
        <f t="shared" si="3"/>
        <v>27154.5</v>
      </c>
      <c r="F14" s="104">
        <f>+'[12]Cta ALI'!$G$11</f>
        <v>25591</v>
      </c>
      <c r="G14" s="104">
        <f>+'[12]Cta ALI'!$G$12</f>
        <v>35000</v>
      </c>
      <c r="H14" s="116">
        <f t="shared" si="4"/>
        <v>-9409</v>
      </c>
      <c r="I14" s="128">
        <f>+'[12]Cta ALI'!$G$22</f>
        <v>8500</v>
      </c>
      <c r="J14" s="112">
        <f t="shared" si="2"/>
        <v>26245.5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43750</v>
      </c>
      <c r="C15" s="103">
        <f>+'[13]Cta ALI'!$E$19</f>
        <v>5687.5</v>
      </c>
      <c r="D15" s="104">
        <f>+'[13]Cta ALI'!$F$19</f>
        <v>30000</v>
      </c>
      <c r="E15" s="116">
        <f t="shared" si="3"/>
        <v>-24312.5</v>
      </c>
      <c r="F15" s="104">
        <f>+'[13]Cta ALI'!$G$11</f>
        <v>7174</v>
      </c>
      <c r="G15" s="104">
        <f>+'[13]Cta ALI'!$G$12</f>
        <v>35000</v>
      </c>
      <c r="H15" s="116">
        <f t="shared" si="4"/>
        <v>-27826</v>
      </c>
      <c r="I15" s="128">
        <f>+'[13]Cta ALI'!$G$22</f>
        <v>0</v>
      </c>
      <c r="J15" s="112">
        <f t="shared" si="2"/>
        <v>-52138.5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0</v>
      </c>
      <c r="C16" s="103">
        <f>+'[14]Cta ALI'!$E$19</f>
        <v>0</v>
      </c>
      <c r="D16" s="104">
        <f>+'[14]Cta ALI'!$F$19</f>
        <v>0</v>
      </c>
      <c r="E16" s="116">
        <f t="shared" si="3"/>
        <v>0</v>
      </c>
      <c r="F16" s="104">
        <f>+'[14]Cta ALI'!$G$11</f>
        <v>0</v>
      </c>
      <c r="G16" s="104">
        <f>+'[14]Cta ALI'!$G$12</f>
        <v>0</v>
      </c>
      <c r="H16" s="116">
        <f t="shared" si="4"/>
        <v>0</v>
      </c>
      <c r="I16" s="128">
        <f>+'[14]Cta ALI'!$G$22</f>
        <v>0</v>
      </c>
      <c r="J16" s="112">
        <f t="shared" si="2"/>
        <v>0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0</v>
      </c>
      <c r="C17" s="103">
        <f>+'[15]Cta ALI'!$E$19</f>
        <v>0</v>
      </c>
      <c r="D17" s="104">
        <f>+'[15]Cta ALI'!$F$19</f>
        <v>0</v>
      </c>
      <c r="E17" s="116">
        <f t="shared" si="3"/>
        <v>0</v>
      </c>
      <c r="F17" s="104">
        <f>+'[15]Cta ALI'!$G$11</f>
        <v>0</v>
      </c>
      <c r="G17" s="104">
        <f>+'[15]Cta ALI'!$G$12</f>
        <v>0</v>
      </c>
      <c r="H17" s="116">
        <f t="shared" si="4"/>
        <v>0</v>
      </c>
      <c r="I17" s="128">
        <f>+'[15]Cta ALI'!$G$22</f>
        <v>0</v>
      </c>
      <c r="J17" s="112">
        <f t="shared" si="2"/>
        <v>0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4753500</v>
      </c>
      <c r="C36" s="120">
        <f t="shared" ref="C36:D36" si="5">SUM(C5:C35)</f>
        <v>617955</v>
      </c>
      <c r="D36" s="121">
        <f t="shared" si="5"/>
        <v>330000</v>
      </c>
      <c r="E36" s="122">
        <f t="shared" ref="E36" si="6">SUM(E5:E35)</f>
        <v>287955</v>
      </c>
      <c r="F36" s="121">
        <f t="shared" ref="F36" si="7">SUM(F5:F35)</f>
        <v>332463.5</v>
      </c>
      <c r="G36" s="121">
        <f t="shared" ref="G36:I36" si="8">SUM(G5:G35)</f>
        <v>305000</v>
      </c>
      <c r="H36" s="122">
        <f t="shared" ref="H36" si="9">SUM(H5:H35)</f>
        <v>27463.5</v>
      </c>
      <c r="I36" s="121">
        <f t="shared" si="8"/>
        <v>8500</v>
      </c>
      <c r="J36" s="121">
        <f t="shared" ref="J36" si="10">SUM(J5:J35)</f>
        <v>323918.5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297093.75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2026-08-11T18:16:00Z</dcterms:modified>
  <dc:language>es-CR</dc:language>
</cp:coreProperties>
</file>
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ul Watson\OneDrive\panaguanacastelj@gmail.com - Google Drive\06- CUENTAS DIARIAS JUNIO\"/>
    </mc:Choice>
  </mc:AlternateContent>
  <bookViews>
    <workbookView xWindow="-105" yWindow="-105" windowWidth="19425" windowHeight="10305" tabRatio="692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J10" i="61"/>
  <c r="I10" i="61"/>
  <c r="G10" i="61"/>
  <c r="G10" i="60"/>
  <c r="E10" i="62"/>
  <c r="E10" i="60"/>
  <c r="F10" i="61"/>
  <c r="E10" i="61"/>
  <c r="C10" i="62"/>
  <c r="D10" i="60"/>
  <c r="C10" i="60"/>
  <c r="C10" i="65"/>
  <c r="C10" i="61"/>
  <c r="D18" i="64" l="1"/>
  <c r="D18" i="65"/>
  <c r="D11" i="65"/>
  <c r="D10" i="65"/>
  <c r="D18" i="61"/>
  <c r="D17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H12" i="69"/>
  <c r="H9" i="69"/>
  <c r="F21" i="15" l="1"/>
  <c r="D16" i="71"/>
  <c r="D21" i="15"/>
  <c r="K8" i="15" s="1"/>
  <c r="G23" i="15"/>
  <c r="G22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15" i="15" l="1"/>
  <c r="G36" i="60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5" i="60" s="1"/>
  <c r="D11" i="60"/>
  <c r="D36" i="60"/>
  <c r="D9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F17" i="64"/>
  <c r="F17" i="65"/>
  <c r="F8" i="65"/>
  <c r="F18" i="62"/>
  <c r="F10" i="62"/>
  <c r="D5" i="61"/>
  <c r="F17" i="61"/>
  <c r="F18" i="61"/>
  <c r="J17" i="61"/>
  <c r="D6" i="60"/>
  <c r="F18" i="60"/>
  <c r="F17" i="60"/>
  <c r="F16" i="60"/>
  <c r="F15" i="60"/>
  <c r="F14" i="60"/>
  <c r="F35" i="60" s="1"/>
  <c r="F13" i="60"/>
  <c r="F11" i="60"/>
  <c r="F10" i="60"/>
  <c r="F36" i="60" s="1"/>
  <c r="F9" i="60"/>
  <c r="F7" i="60"/>
  <c r="F6" i="60"/>
  <c r="F5" i="60"/>
  <c r="F4" i="60"/>
  <c r="H17" i="60"/>
  <c r="H15" i="60"/>
  <c r="H14" i="60"/>
  <c r="H13" i="60"/>
  <c r="H12" i="60"/>
  <c r="H11" i="60"/>
  <c r="H9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E5" i="16"/>
  <c r="H34" i="60" l="1"/>
  <c r="H35" i="60"/>
  <c r="F34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L27" i="70" l="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6" i="23" l="1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G15" i="29" s="1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6" i="22"/>
  <c r="L6" i="25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<sst xmlns="http://schemas.openxmlformats.org/spreadsheetml/2006/main" count="1293" uniqueCount="160">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</sst>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40625" defaultRowHeight="15"/>
  <cols>
    <col min="1" max="1" width="30.28515625" style="1" customWidth="1"/>
    <col min="2" max="2" width="12.85546875" style="1" customWidth="1"/>
    <col min="3" max="3" width="11.85546875" style="1" customWidth="1"/>
    <col min="4" max="4" width="12.42578125" style="1" customWidth="1"/>
    <col min="5" max="5" width="3.5703125" style="1" customWidth="1"/>
    <col min="6" max="6" width="14" style="1" bestFit="1" customWidth="1"/>
    <col min="7" max="7" width="9.140625" style="1"/>
  </cols>
  <sheetData>
    <row r="1" spans="1:7" ht="15.75" thickBot="1"/>
    <row r="2" spans="1:7" s="257" customFormat="1" ht="54.75" thickBot="1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75">
      <c r="A3" s="15" t="str">
        <f>Vendedor1!B$2</f>
        <v>VENTANA</v>
      </c>
      <c r="B3" s="9">
        <f>+HojaTICA!J4+HojaNICA!L4+HojaREVENTADO!J4+HojaPrimera!H4+HojaHonduras!J4+HojaDominicana!H4+HojaPANA!F4</f>
        <v>206950</v>
      </c>
      <c r="C3" s="9">
        <f>+HojaTICA!K4+HojaNICA!M4+HojaREVENTADO!K4+HojaPrimera!I4+HojaHonduras!K4+HojaDominicana!I4+HojaPANA!G4</f>
        <v>26900</v>
      </c>
      <c r="D3" s="9">
        <f>+HojaTICA!N4+HojaNICA!P4+HojaREVENTADO!O4+HojaPrimera!L4+HojaHonduras!N4+HojaDominicana!L4+HojaPANA!J4</f>
        <v>45000</v>
      </c>
      <c r="F3" s="10">
        <f t="shared" ref="F3:F27" si="0">+B3-C3-D3</f>
        <v>135050</v>
      </c>
    </row>
    <row r="4" spans="1:7" ht="15.75">
      <c r="A4" s="15" t="str">
        <f>Vendedor2!B$2</f>
        <v>PUESTO 2</v>
      </c>
      <c r="B4" s="9">
        <f>+HojaTICA!J5+HojaNICA!L5+HojaREVENTADO!J5+HojaPrimera!H5+HojaHonduras!J5+HojaDominicana!H5+HojaPANA!F5</f>
        <v>234200</v>
      </c>
      <c r="C4" s="9">
        <f>+HojaTICA!K5+HojaNICA!M5+HojaREVENTADO!K5+HojaPrimera!I5+HojaHonduras!K5+HojaDominicana!I5+HojaPANA!G5</f>
        <v>30500</v>
      </c>
      <c r="D4" s="9">
        <f>+HojaTICA!N5+HojaNICA!P5+HojaREVENTADO!O5+HojaPrimera!L5+HojaHonduras!N5+HojaDominicana!L5+HojaPANA!J5</f>
        <v>186000</v>
      </c>
      <c r="F4" s="14">
        <f t="shared" si="0"/>
        <v>17700</v>
      </c>
    </row>
    <row r="5" spans="1:7" ht="15.7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7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75">
      <c r="A7" s="15" t="str">
        <f>Vendedor5!B$2</f>
        <v>YOYO</v>
      </c>
      <c r="B7" s="9">
        <f>+HojaTICA!J8+HojaNICA!L8+HojaREVENTADO!J8+HojaPrimera!H8+HojaHonduras!J8+HojaDominicana!H8+HojaPANA!F8</f>
        <v>344650</v>
      </c>
      <c r="C7" s="9">
        <f>+HojaTICA!K8+HojaNICA!M8+HojaREVENTADO!K8+HojaPrimera!I8+HojaHonduras!K8+HojaDominicana!I8+HojaPANA!G8</f>
        <v>41350</v>
      </c>
      <c r="D7" s="9">
        <f>+HojaTICA!N8+HojaNICA!P8+HojaREVENTADO!O8+HojaPrimera!L8+HojaHonduras!N8+HojaDominicana!L8+HojaPANA!J8</f>
        <v>290000</v>
      </c>
      <c r="F7" s="14">
        <f t="shared" si="0"/>
        <v>13300</v>
      </c>
    </row>
    <row r="8" spans="1:7" ht="15.7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75">
      <c r="A9" s="15" t="str">
        <f>Vendedor7!B$2</f>
        <v>PIKIS</v>
      </c>
      <c r="B9" s="9">
        <f>+HojaTICA!J10+HojaNICA!L10+HojaREVENTADO!J10+HojaPrimera!H10+HojaHonduras!J10+HojaDominicana!H10+HojaPANA!F10</f>
        <v>1059550</v>
      </c>
      <c r="C9" s="9">
        <f>+HojaTICA!K10+HojaNICA!M10+HojaREVENTADO!K10+HojaPrimera!I10+HojaHonduras!K10+HojaDominicana!I10+HojaPANA!G10</f>
        <v>125825</v>
      </c>
      <c r="D9" s="9">
        <f>+HojaTICA!N10+HojaNICA!P10+HojaREVENTADO!O10+HojaPrimera!L10+HojaHonduras!N10+HojaDominicana!L10+HojaPANA!J10</f>
        <v>998750</v>
      </c>
      <c r="F9" s="14">
        <f t="shared" si="0"/>
        <v>-65025</v>
      </c>
    </row>
    <row r="10" spans="1:7" ht="15.7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75">
      <c r="A11" s="15" t="str">
        <f>Vendedor9!B$2</f>
        <v>JUAN FELIX</v>
      </c>
      <c r="B11" s="9">
        <f>+HojaTICA!J12+HojaNICA!L12+HojaREVENTADO!J12+HojaPrimera!H12+HojaHonduras!J12+HojaDominicana!H12+HojaPANA!F12</f>
        <v>89150</v>
      </c>
      <c r="C11" s="9">
        <f>+HojaTICA!K12+HojaNICA!M12+HojaREVENTADO!K12+HojaPrimera!I12+HojaHonduras!K12+HojaDominicana!I12+HojaPANA!G12</f>
        <v>10645</v>
      </c>
      <c r="D11" s="9">
        <f>+HojaTICA!N12+HojaNICA!P12+HojaREVENTADO!O12+HojaPrimera!L12+HojaHonduras!N12+HojaDominicana!L12+HojaPANA!J12</f>
        <v>153000</v>
      </c>
      <c r="F11" s="14">
        <f t="shared" si="0"/>
        <v>-74495</v>
      </c>
    </row>
    <row r="12" spans="1:7" ht="15.75">
      <c r="A12" s="15" t="str">
        <f>Vendedor10!B$2</f>
        <v>MARIALIZ</v>
      </c>
      <c r="B12" s="9">
        <f>+HojaTICA!J13+HojaNICA!L13+HojaREVENTADO!J13+HojaPrimera!H13+HojaHonduras!J13+HojaDominicana!H13+HojaPANA!F13</f>
        <v>125400</v>
      </c>
      <c r="C12" s="9">
        <f>+HojaTICA!K13+HojaNICA!M13+HojaREVENTADO!K13+HojaPrimera!I13+HojaHonduras!K13+HojaDominicana!I13+HojaPANA!G13</f>
        <v>15000</v>
      </c>
      <c r="D12" s="9">
        <f>+HojaTICA!N13+HojaNICA!P13+HojaREVENTADO!O13+HojaPrimera!L13+HojaHonduras!N13+HojaDominicana!L13+HojaPANA!J13</f>
        <v>17000</v>
      </c>
      <c r="F12" s="14">
        <f t="shared" si="0"/>
        <v>93400</v>
      </c>
    </row>
    <row r="13" spans="1:7" ht="15.75">
      <c r="A13" s="15" t="str">
        <f>Vendedor11!B$2</f>
        <v>CHARLY</v>
      </c>
      <c r="B13" s="9">
        <f>+HojaTICA!J14+HojaNICA!L14+HojaREVENTADO!J14+HojaPrimera!H14+HojaHonduras!J14+HojaDominicana!H14+HojaPANA!F14</f>
        <v>73100</v>
      </c>
      <c r="C13" s="9">
        <f>+HojaTICA!K14+HojaNICA!M14+HojaREVENTADO!K14+HojaPrimera!I14+HojaHonduras!K14+HojaDominicana!I14+HojaPANA!G14</f>
        <v>10950</v>
      </c>
      <c r="D13" s="9">
        <f>+HojaTICA!N14+HojaNICA!P14+HojaREVENTADO!O14+HojaPrimera!L14+HojaHonduras!N14+HojaDominicana!L14+HojaPANA!J14</f>
        <v>0</v>
      </c>
      <c r="F13" s="14">
        <f t="shared" si="0"/>
        <v>62150</v>
      </c>
    </row>
    <row r="14" spans="1:7" ht="15.7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75">
      <c r="A15" s="15" t="str">
        <f>Vendedor13!B$2</f>
        <v>MINERO</v>
      </c>
      <c r="B15" s="9">
        <f>+HojaTICA!J16+HojaNICA!L16+HojaREVENTADO!J16+HojaPrimera!H16+HojaHonduras!J16+HojaDominicana!H16+HojaPANA!F16</f>
        <v>224500</v>
      </c>
      <c r="C15" s="9">
        <f>+HojaTICA!K16+HojaNICA!M16+HojaREVENTADO!K16+HojaPrimera!I16+HojaHonduras!K16+HojaDominicana!I16+HojaPANA!G16</f>
        <v>26900</v>
      </c>
      <c r="D15" s="9">
        <f>+HojaTICA!N16+HojaNICA!P16+HojaREVENTADO!O16+HojaPrimera!L16+HojaHonduras!N16+HojaDominicana!L16+HojaPANA!J16</f>
        <v>82000</v>
      </c>
      <c r="F15" s="14">
        <f t="shared" si="0"/>
        <v>115600</v>
      </c>
    </row>
    <row r="16" spans="1:7" ht="15.7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>
      <c r="A26" s="15" t="str">
        <f>+Vendedor24!C$2</f>
        <v>Arreglo Otro</v>
      </c>
      <c r="B26" s="9">
        <f>+HojaTICA!J27+HojaNICA!L27+HojaREVENTADO!J27+HojaPrimera!H27+HojaHonduras!J27+HojaDominicana!H27+HojaPANA!F27</f>
        <v>-68200</v>
      </c>
      <c r="C26" s="9">
        <f>+HojaTICA!K27+HojaNICA!M27+HojaREVENTADO!K27+HojaPrimera!I27+HojaHonduras!K27+HojaDominicana!I27+HojaPANA!G27</f>
        <v>-8200</v>
      </c>
      <c r="D26" s="9">
        <f>+HojaTICA!N27+HojaNICA!P27+HojaREVENTADO!O27+HojaPrimera!L27+HojaHonduras!N27+HojaDominicana!L27+HojaPANA!J27</f>
        <v>0</v>
      </c>
      <c r="F26" s="14">
        <f t="shared" si="0"/>
        <v>-60000</v>
      </c>
    </row>
    <row r="27" spans="1:6" ht="16.5" hidden="1" customHeight="1" thickBot="1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>
      <c r="A28" s="16" t="s">
        <v>5</v>
      </c>
      <c r="B28" s="19">
        <f t="shared" ref="B28:D28" si="1">SUM(B3:B27)</f>
        <v>2293300</v>
      </c>
      <c r="C28" s="17">
        <f t="shared" si="1"/>
        <v>280370</v>
      </c>
      <c r="D28" s="18">
        <f t="shared" si="1"/>
        <v>1771750</v>
      </c>
      <c r="F28" s="20">
        <f>SUM(F3:F27)</f>
        <v>241180</v>
      </c>
    </row>
    <row r="32" spans="1:6" ht="18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/>
    <hyperlink ref="A5" location="Vendedor3!B5" display="Vendedor3!B5"/>
    <hyperlink ref="A6" location="Vendedor4!B5" display="#Vendedor4.B5"/>
    <hyperlink ref="A7" location="Vendedor5!B5" display="Vendedor5!B5"/>
    <hyperlink ref="A8" location="Vendedor6!B5" display="#Vendedor6.B5"/>
    <hyperlink ref="A9" location="Vendedor7!B5" display="#Vendedor7.B5"/>
    <hyperlink ref="A10" location="Vendedor8!B5" display="#Vendedor8.B5"/>
    <hyperlink ref="A11" location="Vendedor9!B5" display="Vendedor9!B5"/>
    <hyperlink ref="A12" location="Vendedor10!B5" display="#Vendedor10.B5"/>
    <hyperlink ref="A13" location="Vendedor11!B5" display="#Vendedor11.B5"/>
    <hyperlink ref="A14" location="Vendedor12!B5" display="#Vendedor12.B5"/>
    <hyperlink ref="A15" location="Vendedor13!B5" display="#Vendedor13.B5"/>
    <hyperlink ref="A16" location="Vendedor14!B5" display="#Vendedor14.B5"/>
    <hyperlink ref="A17" location="Vendedor15!B5" display="#Vendedor15.B5"/>
    <hyperlink ref="A18" location="Vendedor16!B5" display="#Vendedor16.B5"/>
    <hyperlink ref="A19" location="Vendedor17!B5" display="#Vendedor17.B5"/>
    <hyperlink ref="A20" location="Vendedor18!B5" display="#Vendedor18.B5"/>
    <hyperlink ref="A21" location="Vendedor19!B5" display="#Vendedor19.B5"/>
    <hyperlink ref="A22" location="Vendedor20!B5" display="#Vendedor20.B5"/>
    <hyperlink ref="A23" location="Vendedor21!B5" display="#Vendedor21.B5"/>
    <hyperlink ref="A24" location="Vendedor22!B5" display="#Vendedor22.B5"/>
    <hyperlink ref="A25" location="Vendedor23!B5" display="#Vendedor23.B5"/>
    <hyperlink ref="A26" location="Vendedor24!B5" display="#Vendedor24.B5"/>
    <hyperlink ref="A27" location="Vendedor25!B5" display="#Vendedor25.B5"/>
    <hyperlink ref="A4" location="Vendedor2!B5" display="Vendedor2!B5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2578125" defaultRowHeight="15"/>
  <cols>
    <col min="1" max="1" width="16.5703125" style="21" bestFit="1" customWidth="1"/>
    <col min="2" max="2" width="8.140625" style="21" bestFit="1" customWidth="1"/>
    <col min="3" max="3" width="8.140625" style="21" customWidth="1"/>
    <col min="4" max="12" width="11.42578125" style="21"/>
    <col min="13" max="13" width="6.28515625" style="22" customWidth="1"/>
    <col min="14" max="14" width="6.85546875" style="21" customWidth="1"/>
    <col min="15" max="1028" width="11.42578125" style="21"/>
  </cols>
  <sheetData>
    <row r="2" spans="1:13" ht="23.25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.75" thickBot="1"/>
    <row r="4" spans="1:13" ht="15.75" thickBot="1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.75" thickBot="1">
      <c r="A5" s="28" t="s">
        <v>157</v>
      </c>
      <c r="B5" s="163">
        <v>42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.75" thickBot="1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.75" thickBot="1">
      <c r="A7" s="28" t="s">
        <v>46</v>
      </c>
      <c r="B7" s="163">
        <v>27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.75" thickBot="1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.75" thickBot="1">
      <c r="A9" s="28" t="s">
        <v>48</v>
      </c>
      <c r="B9" s="163">
        <v>11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>
      <c r="A11" s="28" t="s">
        <v>59</v>
      </c>
      <c r="B11" s="163">
        <v>78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.75" thickBot="1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>
      <c r="A13" s="28" t="s">
        <v>50</v>
      </c>
      <c r="B13" s="132">
        <v>78</v>
      </c>
      <c r="C13" s="132"/>
      <c r="D13" s="137"/>
      <c r="E13" s="30">
        <v>80</v>
      </c>
      <c r="F13" s="30">
        <v>85</v>
      </c>
      <c r="G13" s="30">
        <v>85</v>
      </c>
    </row>
    <row r="14" spans="1:13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>
      <c r="A15" s="28" t="s">
        <v>155</v>
      </c>
      <c r="B15" s="163">
        <v>62</v>
      </c>
      <c r="C15" s="132"/>
      <c r="D15" s="137"/>
      <c r="E15" s="30">
        <v>80</v>
      </c>
      <c r="F15" s="30">
        <v>85</v>
      </c>
      <c r="G15" s="30">
        <v>85</v>
      </c>
    </row>
    <row r="16" spans="1:13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>
      <c r="A17" s="28" t="s">
        <v>52</v>
      </c>
      <c r="B17" s="163">
        <v>69</v>
      </c>
      <c r="C17" s="132"/>
      <c r="D17" s="137"/>
      <c r="E17" s="30">
        <v>80</v>
      </c>
      <c r="F17" s="30">
        <v>85</v>
      </c>
      <c r="G17" s="30">
        <v>85</v>
      </c>
    </row>
    <row r="18" spans="1:7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>
      <c r="A19" s="28" t="s">
        <v>96</v>
      </c>
      <c r="B19" s="163">
        <v>38</v>
      </c>
      <c r="C19" s="132">
        <v>95</v>
      </c>
      <c r="D19" s="137"/>
      <c r="E19" s="30">
        <v>80</v>
      </c>
      <c r="F19" s="30">
        <v>85</v>
      </c>
      <c r="G19" s="30">
        <v>85</v>
      </c>
    </row>
    <row r="20" spans="1:7">
      <c r="A20" s="28" t="s">
        <v>104</v>
      </c>
      <c r="B20" s="163">
        <v>14</v>
      </c>
      <c r="C20" s="163">
        <v>59</v>
      </c>
      <c r="D20" s="166">
        <v>48</v>
      </c>
      <c r="E20" s="30">
        <v>80</v>
      </c>
      <c r="F20" s="30">
        <v>85</v>
      </c>
      <c r="G20" s="30">
        <v>85</v>
      </c>
    </row>
    <row r="21" spans="1:7">
      <c r="A21" s="28" t="s">
        <v>20</v>
      </c>
      <c r="B21" s="135">
        <v>13</v>
      </c>
      <c r="C21" s="164" t="s">
        <v>159</v>
      </c>
      <c r="D21" s="138"/>
      <c r="E21" s="30">
        <v>80</v>
      </c>
      <c r="F21" s="30">
        <v>85</v>
      </c>
      <c r="G21" s="30">
        <v>85</v>
      </c>
    </row>
    <row r="22" spans="1:7" ht="15.75" thickBot="1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>
      <formula1>PREMIOS!_xlnm.Criteria</formula1>
      <formula2>0</formula2>
    </dataValidation>
    <dataValidation type="list" allowBlank="1" showInputMessage="1" showErrorMessage="1" sqref="D8 D16 D12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>
      <c r="C2" s="267">
        <f>DigitaTICA!C2</f>
        <v>27</v>
      </c>
      <c r="D2" s="268"/>
      <c r="E2" s="267">
        <f>DigitaTICA!E2</f>
        <v>78</v>
      </c>
      <c r="F2" s="268"/>
      <c r="G2" s="267">
        <f>DigitaTICA!G2</f>
        <v>62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80">
        <f>IF(Vendedor1!$C$7="",0,Vendedor1!$C$7)</f>
        <v>56250</v>
      </c>
      <c r="D4" s="30">
        <f>IF(Vendedor1!$E$7="",0,Vendedor1!$E$7)</f>
        <v>200</v>
      </c>
      <c r="E4" s="180">
        <f>IF(Vendedor1!$C$11="",0,Vendedor1!$C$11)</f>
        <v>37900</v>
      </c>
      <c r="F4" s="30">
        <f>IF(Vendedor1!$E$11="",0,Vendedor1!$E$11)</f>
        <v>0</v>
      </c>
      <c r="G4" s="180">
        <f>IF(Vendedor1!$C$15="",0,Vendedor1!$C$15)</f>
        <v>53550</v>
      </c>
      <c r="H4" s="30">
        <f>IF(Vendedor1!$E$15="",0,Vendedor1!$E$15)</f>
        <v>0</v>
      </c>
      <c r="J4" s="42">
        <f t="shared" ref="J4:J7" si="0">+C4+E4+G4</f>
        <v>147700</v>
      </c>
      <c r="K4" s="41">
        <f>MROUND(J4*Vendedor1!J$9,50)</f>
        <v>19200</v>
      </c>
      <c r="L4" s="42">
        <f t="shared" ref="L4:L7" si="1">+D4+F4+H4</f>
        <v>200</v>
      </c>
      <c r="M4" s="42">
        <f t="shared" ref="M4:M7" si="2">+L4*85</f>
        <v>17000</v>
      </c>
      <c r="N4" s="42">
        <f>Vendedor1!$F$7+Vendedor1!$F$11+Vendedor1!$F$15</f>
        <v>17000</v>
      </c>
      <c r="P4" s="42">
        <f t="shared" ref="P4:P7" si="3">+J4-K4-N4</f>
        <v>111500</v>
      </c>
    </row>
    <row r="5" spans="1:16">
      <c r="A5" s="41">
        <v>2</v>
      </c>
      <c r="B5" s="177" t="str">
        <f>Vendedor2!$B$2</f>
        <v>PUESTO 2</v>
      </c>
      <c r="C5" s="180">
        <f>IF(Vendedor2!$C$7="",0,Vendedor2!$C$7)</f>
        <v>55950</v>
      </c>
      <c r="D5" s="30">
        <f>IF(Vendedor2!$E$7="",0,Vendedor2!$E$7)</f>
        <v>0</v>
      </c>
      <c r="E5" s="180">
        <f>IF(Vendedor2!$C$11="",0,Vendedor2!$C$11)</f>
        <v>50350</v>
      </c>
      <c r="F5" s="30">
        <f>IF(Vendedor2!$E$11="",0,Vendedor2!$E$11)</f>
        <v>0</v>
      </c>
      <c r="G5" s="180">
        <f>IF(Vendedor2!$C$15="",0,Vendedor2!$C$15)</f>
        <v>82000</v>
      </c>
      <c r="H5" s="30">
        <f>IF(Vendedor2!$E$15="",0,Vendedor2!$E$15)</f>
        <v>2000</v>
      </c>
      <c r="J5" s="42">
        <f t="shared" si="0"/>
        <v>188300</v>
      </c>
      <c r="K5" s="41">
        <f>MROUND(J5*Vendedor2!J$9,50)</f>
        <v>24500</v>
      </c>
      <c r="L5" s="42">
        <f t="shared" si="1"/>
        <v>2000</v>
      </c>
      <c r="M5" s="42">
        <f t="shared" si="2"/>
        <v>170000</v>
      </c>
      <c r="N5" s="42">
        <f>Vendedor2!$F$7+Vendedor2!$F$11+Vendedor2!$F$15</f>
        <v>170000</v>
      </c>
      <c r="P5" s="42">
        <f t="shared" si="3"/>
        <v>-6200</v>
      </c>
    </row>
    <row r="6" spans="1:16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>
      <c r="A8" s="41">
        <v>5</v>
      </c>
      <c r="B8" s="177" t="str">
        <f>Vendedor5!$B$2</f>
        <v>YOYO</v>
      </c>
      <c r="C8" s="180">
        <f>IF(Vendedor5!$C$7="",0,Vendedor5!$C$7)</f>
        <v>59200</v>
      </c>
      <c r="D8" s="30">
        <f>IF(Vendedor5!$E$7="",0,Vendedor5!$E$7)</f>
        <v>500</v>
      </c>
      <c r="E8" s="180">
        <f>IF(Vendedor5!$C$11="",0,Vendedor5!$C$11)</f>
        <v>54200</v>
      </c>
      <c r="F8" s="30">
        <f>IF(Vendedor5!$E$11="",0,Vendedor5!$E$11)</f>
        <v>500</v>
      </c>
      <c r="G8" s="180">
        <f>IF(Vendedor5!$C$15="",0,Vendedor5!$C$15)</f>
        <v>37500</v>
      </c>
      <c r="H8" s="30">
        <f>IF(Vendedor5!$E$15="",0,Vendedor5!$E$15)</f>
        <v>1000</v>
      </c>
      <c r="J8" s="42">
        <f t="shared" ref="J8" si="4">+C8+E8+G8</f>
        <v>150900</v>
      </c>
      <c r="K8" s="41">
        <f>MROUND(J8*Vendedor5!J$11,50)</f>
        <v>18100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-37200</v>
      </c>
    </row>
    <row r="9" spans="1:16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>
      <c r="A10" s="41">
        <v>7</v>
      </c>
      <c r="B10" s="178" t="str">
        <f>Vendedor7!$B$2</f>
        <v>PIKIS</v>
      </c>
      <c r="C10" s="180">
        <f>IF(Vendedor7!$C$7="",0,Vendedor7!$C$7)</f>
        <v>156300</v>
      </c>
      <c r="D10" s="30">
        <f>IF(Vendedor7!$E$7="",0,Vendedor7!$E$7)</f>
        <v>1950</v>
      </c>
      <c r="E10" s="180">
        <f>IF(Vendedor7!$C$11="",0,Vendedor7!$C$11)</f>
        <v>133200</v>
      </c>
      <c r="F10" s="30">
        <f>IF(Vendedor7!$E$11="",0,Vendedor7!$E$11)</f>
        <v>0</v>
      </c>
      <c r="G10" s="180">
        <f>IF(Vendedor7!$C$15="",0,Vendedor7!$C$15)</f>
        <v>118200</v>
      </c>
      <c r="H10" s="30">
        <f>IF(Vendedor7!$E$15="",0,Vendedor7!$E$15)</f>
        <v>600</v>
      </c>
      <c r="J10" s="42">
        <f t="shared" si="8"/>
        <v>407700</v>
      </c>
      <c r="K10" s="41">
        <f>MROUND(J10*Vendedor7!J$14,50)</f>
        <v>48900</v>
      </c>
      <c r="L10" s="42">
        <f t="shared" si="9"/>
        <v>2550</v>
      </c>
      <c r="M10" s="42">
        <f t="shared" si="10"/>
        <v>216750</v>
      </c>
      <c r="N10" s="42">
        <f>Vendedor7!$F$7+Vendedor7!$F$11+Vendedor7!$F$15</f>
        <v>216750</v>
      </c>
      <c r="P10" s="42">
        <f t="shared" si="11"/>
        <v>142050</v>
      </c>
    </row>
    <row r="11" spans="1:16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>
      <c r="A12" s="41">
        <v>9</v>
      </c>
      <c r="B12" s="178" t="str">
        <f>Vendedor9!$B$2</f>
        <v>JUAN FELIX</v>
      </c>
      <c r="C12" s="180">
        <f>IF(Vendedor9!$C$7="",0,Vendedor9!$C$7)</f>
        <v>22850</v>
      </c>
      <c r="D12" s="30">
        <f>IF(Vendedor9!$E$7="",0,Vendedor9!$E$7)</f>
        <v>400</v>
      </c>
      <c r="E12" s="180">
        <f>IF(Vendedor9!$C$11="",0,Vendedor9!$C$11)</f>
        <v>12350</v>
      </c>
      <c r="F12" s="30">
        <f>IF(Vendedor9!$E$11="",0,Vendedor9!$E$11)</f>
        <v>200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35200</v>
      </c>
      <c r="K12" s="41">
        <f>MROUND(J12*Vendedor9!J$11,50)</f>
        <v>4200</v>
      </c>
      <c r="L12" s="42">
        <f t="shared" si="9"/>
        <v>600</v>
      </c>
      <c r="M12" s="42">
        <f t="shared" si="10"/>
        <v>51000</v>
      </c>
      <c r="N12" s="42">
        <f>Vendedor9!$F$7+Vendedor9!$F$11+Vendedor9!$F$15</f>
        <v>51000</v>
      </c>
      <c r="P12" s="42">
        <f t="shared" si="11"/>
        <v>-20000</v>
      </c>
    </row>
    <row r="13" spans="1:16">
      <c r="A13" s="41">
        <v>10</v>
      </c>
      <c r="B13" s="178" t="str">
        <f>Vendedor10!$B$2</f>
        <v>MARIALIZ</v>
      </c>
      <c r="C13" s="180">
        <f>IF(Vendedor10!$C$7="",0,Vendedor10!$C$7)</f>
        <v>33750</v>
      </c>
      <c r="D13" s="30">
        <f>IF(Vendedor10!$E$7="",0,Vendedor10!$E$7)</f>
        <v>200</v>
      </c>
      <c r="E13" s="180">
        <f>IF(Vendedor10!$C$11="",0,Vendedor10!$C$11)</f>
        <v>14850</v>
      </c>
      <c r="F13" s="30">
        <f>IF(Vendedor10!$E$11="",0,Vendedor10!$E$11)</f>
        <v>0</v>
      </c>
      <c r="G13" s="180">
        <f>IF(Vendedor10!$C$15="",0,Vendedor10!$C$15)</f>
        <v>26600</v>
      </c>
      <c r="H13" s="30">
        <f>IF(Vendedor10!$E$15="",0,Vendedor10!$E$15)</f>
        <v>0</v>
      </c>
      <c r="J13" s="42">
        <f t="shared" si="8"/>
        <v>75200</v>
      </c>
      <c r="K13" s="41">
        <f>MROUND(J13*Vendedor10!J$9,50)</f>
        <v>9000</v>
      </c>
      <c r="L13" s="42">
        <f t="shared" si="9"/>
        <v>200</v>
      </c>
      <c r="M13" s="42">
        <f t="shared" si="10"/>
        <v>17000</v>
      </c>
      <c r="N13" s="42">
        <f>Vendedor10!$F$7+Vendedor10!$F$11+Vendedor10!$F$15</f>
        <v>17000</v>
      </c>
      <c r="P13" s="42">
        <f t="shared" si="11"/>
        <v>49200</v>
      </c>
    </row>
    <row r="14" spans="1:16">
      <c r="A14" s="41">
        <v>11</v>
      </c>
      <c r="B14" s="178" t="str">
        <f>Vendedor11!$B$2</f>
        <v>CHARLY</v>
      </c>
      <c r="C14" s="180">
        <f>IF(Vendedor11!$C$7="",0,Vendedor11!$C$7)</f>
        <v>25300</v>
      </c>
      <c r="D14" s="30">
        <f>IF(Vendedor11!$E$7="",0,Vendedor11!$E$7)</f>
        <v>0</v>
      </c>
      <c r="E14" s="180">
        <f>IF(Vendedor11!$C$11="",0,Vendedor11!$C$11)</f>
        <v>14500</v>
      </c>
      <c r="F14" s="30">
        <f>IF(Vendedor11!$E$11="",0,Vendedor11!$E$11)</f>
        <v>0</v>
      </c>
      <c r="G14" s="180">
        <f>IF(Vendedor11!$C$15="",0,Vendedor11!$C$15)</f>
        <v>33300</v>
      </c>
      <c r="H14" s="30">
        <f>IF(Vendedor11!$E$15="",0,Vendedor11!$E$15)</f>
        <v>0</v>
      </c>
      <c r="J14" s="42">
        <f t="shared" si="8"/>
        <v>73100</v>
      </c>
      <c r="K14" s="41">
        <f>MROUND(J14*Vendedor11!J$9,50)</f>
        <v>10950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62150</v>
      </c>
    </row>
    <row r="15" spans="1:16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>
      <c r="A16" s="41">
        <v>13</v>
      </c>
      <c r="B16" s="178" t="str">
        <f>Vendedor13!$B$2</f>
        <v>MINERO</v>
      </c>
      <c r="C16" s="180">
        <f>IF(Vendedor13!$C$7="",0,Vendedor13!$C$7)</f>
        <v>35800</v>
      </c>
      <c r="D16" s="30">
        <f>IF(Vendedor13!$E$7="",0,Vendedor13!$E$7)</f>
        <v>0</v>
      </c>
      <c r="E16" s="180">
        <f>IF(Vendedor13!$C$11="",0,Vendedor13!$C$11)</f>
        <v>27950</v>
      </c>
      <c r="F16" s="30">
        <f>IF(Vendedor13!$E$11="",0,Vendedor13!$E$11)</f>
        <v>0</v>
      </c>
      <c r="G16" s="180">
        <f>IF(Vendedor13!$C$15="",0,Vendedor13!$C$15)</f>
        <v>40050</v>
      </c>
      <c r="H16" s="30">
        <f>IF(Vendedor13!$E$15="",0,Vendedor13!$E$15)</f>
        <v>400</v>
      </c>
      <c r="J16" s="42">
        <f t="shared" si="8"/>
        <v>103800</v>
      </c>
      <c r="K16" s="41">
        <f>MROUND(J16*Vendedor13!J$11,50)</f>
        <v>12450</v>
      </c>
      <c r="L16" s="42">
        <f t="shared" si="9"/>
        <v>400</v>
      </c>
      <c r="M16" s="42">
        <f t="shared" si="10"/>
        <v>34000</v>
      </c>
      <c r="N16" s="42">
        <f>Vendedor13!$F$7+Vendedor13!$F$11+Vendedor13!$F$15</f>
        <v>34000</v>
      </c>
      <c r="P16" s="42">
        <f t="shared" si="11"/>
        <v>57350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-53550</v>
      </c>
      <c r="H27" s="50">
        <f>IF(Vendedor24!$E$15="",0,Vendedor24!$E$15)</f>
        <v>0</v>
      </c>
      <c r="J27" s="42">
        <f t="shared" si="8"/>
        <v>-53550</v>
      </c>
      <c r="K27" s="41">
        <f>IF(J27*Vendedor24!J$9&gt;0,MROUND(J27*Vendedor24!J$9,50),MROUND(J27*Vendedor24!J$9,-50))</f>
        <v>-6450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-47100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>
      <c r="C32" s="43">
        <f t="shared" ref="C32:H32" si="16">SUM(C4:C31)</f>
        <v>445400</v>
      </c>
      <c r="D32" s="44">
        <f t="shared" si="16"/>
        <v>3250</v>
      </c>
      <c r="E32" s="43">
        <f t="shared" si="16"/>
        <v>345300</v>
      </c>
      <c r="F32" s="44">
        <f t="shared" si="16"/>
        <v>700</v>
      </c>
      <c r="G32" s="43">
        <f t="shared" si="16"/>
        <v>341650</v>
      </c>
      <c r="H32" s="44">
        <f t="shared" si="16"/>
        <v>4000</v>
      </c>
      <c r="J32" s="95">
        <f>SUM(J4:J31)</f>
        <v>1132350</v>
      </c>
      <c r="K32" s="45">
        <f>SUM(K7:K31)</f>
        <v>97650</v>
      </c>
      <c r="L32" s="95">
        <f>SUM(L4:L31)</f>
        <v>7950</v>
      </c>
      <c r="M32" s="95">
        <f>SUM(M4:M31)</f>
        <v>675750</v>
      </c>
      <c r="N32" s="95">
        <f>SUM(N4:N31)</f>
        <v>675750</v>
      </c>
      <c r="P32" s="79">
        <f>SUM(P4:P31)</f>
        <v>315250</v>
      </c>
    </row>
    <row r="33" spans="3:13">
      <c r="D33" s="99">
        <f>+D32*85</f>
        <v>276250</v>
      </c>
      <c r="F33" s="99">
        <f>+F32*85</f>
        <v>59500</v>
      </c>
      <c r="H33" s="99">
        <f>+H32*85</f>
        <v>340000</v>
      </c>
    </row>
    <row r="34" spans="3:13" ht="15.75" thickBot="1">
      <c r="L34" s="149"/>
      <c r="M34" s="43"/>
    </row>
    <row r="35" spans="3:13">
      <c r="C35" s="266" t="s">
        <v>89</v>
      </c>
      <c r="D35" s="266"/>
    </row>
    <row r="36" spans="3:13">
      <c r="C36" s="47" t="s">
        <v>28</v>
      </c>
      <c r="D36" s="30">
        <f>+C32+E32+G32</f>
        <v>1132350</v>
      </c>
      <c r="E36" s="43">
        <f>+D36-J4-J5-J6</f>
        <v>796350</v>
      </c>
      <c r="G36" s="101"/>
    </row>
    <row r="37" spans="3:13">
      <c r="C37" s="47" t="s">
        <v>33</v>
      </c>
      <c r="D37" s="48">
        <f>D36*13%</f>
        <v>147205.5</v>
      </c>
      <c r="E37">
        <f>+D37-K4-K5-K6</f>
        <v>103505.5</v>
      </c>
      <c r="G37" s="100"/>
      <c r="H37" s="100"/>
    </row>
    <row r="38" spans="3:13" ht="15.75" thickBot="1">
      <c r="C38" s="47" t="s">
        <v>30</v>
      </c>
      <c r="D38" s="30">
        <f>M32</f>
        <v>675750</v>
      </c>
      <c r="G38" s="100"/>
      <c r="H38" s="100"/>
    </row>
    <row r="39" spans="3:13" ht="15.75" thickBot="1">
      <c r="C39" s="49" t="s">
        <v>4</v>
      </c>
      <c r="D39" s="80">
        <f>+D36-D37-D38</f>
        <v>309394.5</v>
      </c>
      <c r="F39" s="98">
        <f>+P32-D39</f>
        <v>5855.5</v>
      </c>
      <c r="G39" s="101"/>
      <c r="H39" s="101"/>
    </row>
    <row r="40" spans="3:13" ht="15.75" thickBot="1">
      <c r="G40" s="100"/>
    </row>
    <row r="41" spans="3:13">
      <c r="C41" s="104" t="s">
        <v>78</v>
      </c>
      <c r="D41" s="105">
        <v>0</v>
      </c>
      <c r="G41" s="100"/>
    </row>
    <row r="42" spans="3:13">
      <c r="C42" s="106" t="s">
        <v>80</v>
      </c>
      <c r="D42" s="107">
        <v>0</v>
      </c>
      <c r="G42" s="100"/>
    </row>
    <row r="43" spans="3:13" ht="15.75" thickBot="1">
      <c r="C43" s="108" t="s">
        <v>79</v>
      </c>
      <c r="D43" s="109">
        <f>+D39+D41+D42</f>
        <v>309394.5</v>
      </c>
    </row>
    <row r="45" spans="3:13">
      <c r="F45" s="43"/>
    </row>
    <row r="46" spans="3:13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1.140625" customWidth="1"/>
    <col min="3" max="10" width="12.5703125" customWidth="1"/>
    <col min="11" max="11" width="3.5703125" customWidth="1"/>
    <col min="12" max="16" width="12.5703125" customWidth="1"/>
    <col min="17" max="17" width="3.5703125" customWidth="1"/>
  </cols>
  <sheetData>
    <row r="1" spans="1:18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>
      <c r="C2" s="267">
        <f>DigitaNICA!C2</f>
        <v>42</v>
      </c>
      <c r="D2" s="268"/>
      <c r="E2" s="267">
        <f>DigitaNICA!E2</f>
        <v>11</v>
      </c>
      <c r="F2" s="268"/>
      <c r="G2" s="267">
        <f>DigitaNICA!G2</f>
        <v>78</v>
      </c>
      <c r="H2" s="268"/>
      <c r="I2" s="267">
        <f>DigitaNICA!I2</f>
        <v>69</v>
      </c>
      <c r="J2" s="268"/>
    </row>
    <row r="3" spans="1:18" ht="15.75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>
      <c r="A4" s="187">
        <v>1</v>
      </c>
      <c r="B4" s="199" t="str">
        <f>Vendedor1!$B$2</f>
        <v>VENTANA</v>
      </c>
      <c r="C4" s="189">
        <f>IF(Vendedor1!$C$5="",0,Vendedor1!$C$5)</f>
        <v>34400</v>
      </c>
      <c r="D4" s="78">
        <f>IF(Vendedor1!$E$5="",0,Vendedor1!$E$5)</f>
        <v>0</v>
      </c>
      <c r="E4" s="189">
        <f>IF(Vendedor1!$C$9="",0,Vendedor1!$C$9)</f>
        <v>11750</v>
      </c>
      <c r="F4" s="78">
        <f>IF(Vendedor1!$E$9="",0,Vendedor1!$E$9)</f>
        <v>100</v>
      </c>
      <c r="G4" s="189">
        <f>IF(Vendedor1!$C$13="",0,Vendedor1!$C$13)</f>
        <v>3850</v>
      </c>
      <c r="H4" s="78">
        <f>IF(Vendedor1!$E$13="",0,Vendedor1!$E$13)</f>
        <v>0</v>
      </c>
      <c r="I4" s="189">
        <f>IF(Vendedor1!$C$17="",0,Vendedor1!$C$17)</f>
        <v>2250</v>
      </c>
      <c r="J4" s="78">
        <f>IF(Vendedor1!$E$17="",0,Vendedor1!$E$17)</f>
        <v>0</v>
      </c>
      <c r="L4" s="42">
        <f t="shared" ref="L4:L7" si="0">C4+E4+G4+I4</f>
        <v>52250</v>
      </c>
      <c r="M4" s="41">
        <f>MROUND(L4*Vendedor1!J$10,50)</f>
        <v>6800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36950</v>
      </c>
    </row>
    <row r="5" spans="1:18">
      <c r="A5" s="47">
        <v>2</v>
      </c>
      <c r="B5" s="177" t="str">
        <f>Vendedor2!$B$2</f>
        <v>PUESTO 2</v>
      </c>
      <c r="C5" s="180">
        <f>IF(Vendedor2!$C$5="",0,Vendedor2!$C$5)</f>
        <v>21100</v>
      </c>
      <c r="D5" s="30">
        <f>IF(Vendedor2!$E$5="",0,Vendedor2!$E$5)</f>
        <v>0</v>
      </c>
      <c r="E5" s="180">
        <f>IF(Vendedor2!$C$9="",0,Vendedor2!$C$9)</f>
        <v>3900</v>
      </c>
      <c r="F5" s="30">
        <f>IF(Vendedor2!$E$9="",0,Vendedor2!$E$9)</f>
        <v>200</v>
      </c>
      <c r="G5" s="180">
        <f>IF(Vendedor2!$C$13="",0,Vendedor2!$C$13)</f>
        <v>9700</v>
      </c>
      <c r="H5" s="30">
        <f>IF(Vendedor2!$E$13="",0,Vendedor2!$E$13)</f>
        <v>0</v>
      </c>
      <c r="I5" s="180">
        <f>IF(Vendedor2!$C$17="",0,Vendedor2!$C$17)</f>
        <v>500</v>
      </c>
      <c r="J5" s="30">
        <f>IF(Vendedor2!$E$17="",0,Vendedor2!$E$17)</f>
        <v>0</v>
      </c>
      <c r="L5" s="42">
        <f t="shared" si="0"/>
        <v>35200</v>
      </c>
      <c r="M5" s="41">
        <f>MROUND(L5*Vendedor2!J$10,50)</f>
        <v>4600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13600</v>
      </c>
    </row>
    <row r="6" spans="1:18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>
      <c r="A8" s="47">
        <v>5</v>
      </c>
      <c r="B8" s="177" t="str">
        <f>Vendedor5!$B$2</f>
        <v>YOYO</v>
      </c>
      <c r="C8" s="180">
        <f>IF(Vendedor5!$C$5="",0,Vendedor5!$C$5)</f>
        <v>75350</v>
      </c>
      <c r="D8" s="30">
        <f>IF(Vendedor5!$E$5="",0,Vendedor5!$E$5)</f>
        <v>0</v>
      </c>
      <c r="E8" s="180">
        <f>IF(Vendedor5!$C$9="",0,Vendedor5!$C$9)</f>
        <v>51150</v>
      </c>
      <c r="F8" s="30">
        <f>IF(Vendedor5!$E$9="",0,Vendedor5!$E$9)</f>
        <v>500</v>
      </c>
      <c r="G8" s="180">
        <f>IF(Vendedor5!$C$13="",0,Vendedor5!$C$13)</f>
        <v>8900</v>
      </c>
      <c r="H8" s="30">
        <f>IF(Vendedor5!$E$13="",0,Vendedor5!$E$13)</f>
        <v>0</v>
      </c>
      <c r="I8" s="180">
        <f>IF(Vendedor5!$C$17="",0,Vendedor5!$C$17)</f>
        <v>17350</v>
      </c>
      <c r="J8" s="30">
        <f>IF(Vendedor5!$E$17="",0,Vendedor5!$E$17)</f>
        <v>1000</v>
      </c>
      <c r="L8" s="42">
        <f t="shared" ref="L8" si="4">C8+E8+G8+I8</f>
        <v>152750</v>
      </c>
      <c r="M8" s="41">
        <f>MROUND(L8*Vendedor5!J$12,50)</f>
        <v>18350</v>
      </c>
      <c r="N8" s="42">
        <f t="shared" ref="N8" si="5">D8+F8+H8+J8</f>
        <v>1500</v>
      </c>
      <c r="O8" s="41">
        <f t="shared" si="3"/>
        <v>127500</v>
      </c>
      <c r="P8" s="42">
        <f>Vendedor5!$F$5+Vendedor5!$F$9+Vendedor5!$F$13+Vendedor5!$F$17</f>
        <v>120000</v>
      </c>
      <c r="Q8">
        <v>17</v>
      </c>
      <c r="R8" s="41">
        <f t="shared" ref="R8" si="6">+L8-M8-O8</f>
        <v>6900</v>
      </c>
    </row>
    <row r="9" spans="1:18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>
      <c r="A10" s="47">
        <v>7</v>
      </c>
      <c r="B10" s="178" t="str">
        <f>Vendedor7!$B$2</f>
        <v>PIKIS</v>
      </c>
      <c r="C10" s="180">
        <f>IF(Vendedor7!$C$5="",0,Vendedor7!$C$5)</f>
        <v>133300</v>
      </c>
      <c r="D10" s="30">
        <f>IF(Vendedor7!$E$5="",0,Vendedor7!$E$5)</f>
        <v>0</v>
      </c>
      <c r="E10" s="180">
        <f>IF(Vendedor7!$C$9="",0,Vendedor7!$C$9)</f>
        <v>76850</v>
      </c>
      <c r="F10" s="30">
        <f>IF(Vendedor7!$E$9="",0,Vendedor7!$E$9)</f>
        <v>550</v>
      </c>
      <c r="G10" s="180">
        <f>IF(Vendedor7!$C$13="",0,Vendedor7!$C$13)</f>
        <v>63400</v>
      </c>
      <c r="H10" s="30">
        <f>IF(Vendedor7!$E$13="",0,Vendedor7!$E$13)</f>
        <v>150</v>
      </c>
      <c r="I10" s="180">
        <f>IF(Vendedor7!$C$17="",0,Vendedor7!$C$17)</f>
        <v>86450</v>
      </c>
      <c r="J10" s="30">
        <f>IF(Vendedor7!$E$17="",0,Vendedor7!$E$17)</f>
        <v>3100</v>
      </c>
      <c r="L10" s="42">
        <f t="shared" si="7"/>
        <v>360000</v>
      </c>
      <c r="M10" s="41">
        <f>MROUND(L10*Vendedor7!J$15,50)</f>
        <v>43200</v>
      </c>
      <c r="N10" s="42">
        <f t="shared" ref="N10:N27" si="9">D10+F10+H10+J10</f>
        <v>3800</v>
      </c>
      <c r="O10" s="41">
        <f t="shared" si="3"/>
        <v>323000</v>
      </c>
      <c r="P10" s="42">
        <f>Vendedor7!$F$5+Vendedor7!$F$9+Vendedor7!$F$13+Vendedor7!$F$17</f>
        <v>323000</v>
      </c>
      <c r="R10" s="41">
        <f t="shared" si="8"/>
        <v>-6200</v>
      </c>
    </row>
    <row r="11" spans="1:18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>
      <c r="A12" s="47">
        <v>9</v>
      </c>
      <c r="B12" s="178" t="str">
        <f>Vendedor9!$B$2</f>
        <v>JUAN FELIX</v>
      </c>
      <c r="C12" s="180">
        <f>IF(Vendedor9!$C$5="",0,Vendedor9!$C$5)</f>
        <v>19350</v>
      </c>
      <c r="D12" s="30">
        <f>IF(Vendedor9!$E$5="",0,Vendedor9!$E$5)</f>
        <v>450</v>
      </c>
      <c r="E12" s="180">
        <f>IF(Vendedor9!$C$9="",0,Vendedor9!$C$9)</f>
        <v>11300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30650</v>
      </c>
      <c r="M12" s="41">
        <f>MROUND(L12*Vendedor9!J$12,50)</f>
        <v>3700</v>
      </c>
      <c r="N12" s="42">
        <f t="shared" si="9"/>
        <v>650</v>
      </c>
      <c r="O12" s="41">
        <f t="shared" si="3"/>
        <v>55250</v>
      </c>
      <c r="P12" s="42">
        <f>Vendedor9!$F$5+Vendedor9!$F$9+Vendedor9!$F$13+Vendedor9!$F$17</f>
        <v>55250</v>
      </c>
      <c r="R12" s="41">
        <f t="shared" si="8"/>
        <v>-28300</v>
      </c>
    </row>
    <row r="13" spans="1:18">
      <c r="A13" s="47">
        <v>10</v>
      </c>
      <c r="B13" s="178" t="str">
        <f>Vendedor10!$B$2</f>
        <v>MARIALIZ</v>
      </c>
      <c r="C13" s="180">
        <f>IF(Vendedor10!$C$5="",0,Vendedor10!$C$5)</f>
        <v>23900</v>
      </c>
      <c r="D13" s="30">
        <f>IF(Vendedor10!$E$5="",0,Vendedor10!$E$5)</f>
        <v>0</v>
      </c>
      <c r="E13" s="180">
        <f>IF(Vendedor10!$C$9="",0,Vendedor10!$C$9)</f>
        <v>18600</v>
      </c>
      <c r="F13" s="30">
        <f>IF(Vendedor10!$E$9="",0,Vendedor10!$E$9)</f>
        <v>0</v>
      </c>
      <c r="G13" s="180">
        <f>IF(Vendedor10!$C$13="",0,Vendedor10!$C$13)</f>
        <v>4200</v>
      </c>
      <c r="H13" s="30">
        <f>IF(Vendedor10!$E$13="",0,Vendedor10!$E$13)</f>
        <v>0</v>
      </c>
      <c r="I13" s="180">
        <f>IF(Vendedor10!$C$17="",0,Vendedor10!$C$17)</f>
        <v>3500</v>
      </c>
      <c r="J13" s="30">
        <f>IF(Vendedor10!$E$17="",0,Vendedor10!$E$17)</f>
        <v>0</v>
      </c>
      <c r="L13" s="42">
        <f t="shared" si="7"/>
        <v>50200</v>
      </c>
      <c r="M13" s="41">
        <f>MROUND(L13*Vendedor10!J$10,50)</f>
        <v>6000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44200</v>
      </c>
    </row>
    <row r="14" spans="1:18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>
      <c r="A16" s="47">
        <v>13</v>
      </c>
      <c r="B16" s="178" t="str">
        <f>Vendedor13!$B$2</f>
        <v>MINERO</v>
      </c>
      <c r="C16" s="180">
        <f>IF(Vendedor13!$C$5="",0,Vendedor13!$C$5)</f>
        <v>14300</v>
      </c>
      <c r="D16" s="30">
        <f>IF(Vendedor13!$E$5="",0,Vendedor13!$E$5)</f>
        <v>0</v>
      </c>
      <c r="E16" s="180">
        <f>IF(Vendedor13!$C$9="",0,Vendedor13!$C$9)</f>
        <v>19200</v>
      </c>
      <c r="F16" s="30">
        <f>IF(Vendedor13!$E$9="",0,Vendedor13!$E$9)</f>
        <v>100</v>
      </c>
      <c r="G16" s="180">
        <f>IF(Vendedor13!$C$13="",0,Vendedor13!$C$13)</f>
        <v>19350</v>
      </c>
      <c r="H16" s="30">
        <f>IF(Vendedor13!$E$13="",0,Vendedor13!$E$13)</f>
        <v>0</v>
      </c>
      <c r="I16" s="180">
        <f>IF(Vendedor13!$C$17="",0,Vendedor13!$C$17)</f>
        <v>41100</v>
      </c>
      <c r="J16" s="30">
        <f>IF(Vendedor13!$E$17="",0,Vendedor13!$E$17)</f>
        <v>500</v>
      </c>
      <c r="L16" s="42">
        <f t="shared" si="7"/>
        <v>93950</v>
      </c>
      <c r="M16" s="41">
        <f>MROUND(L16*Vendedor13!J$12,50)</f>
        <v>11250</v>
      </c>
      <c r="N16" s="42">
        <f t="shared" si="9"/>
        <v>600</v>
      </c>
      <c r="O16" s="41">
        <f t="shared" si="3"/>
        <v>51000</v>
      </c>
      <c r="P16" s="42">
        <f>Vendedor13!$F$5+Vendedor13!$F$9+Vendedor13!$F$13+Vendedor13!$F$17</f>
        <v>48000</v>
      </c>
      <c r="R16" s="41">
        <f t="shared" si="8"/>
        <v>31700</v>
      </c>
    </row>
    <row r="17" spans="1:18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.75" thickBot="1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-2250</v>
      </c>
      <c r="J27" s="50">
        <f>IF(Vendedor24!$E$17="",0,Vendedor24!$E$17)</f>
        <v>0</v>
      </c>
      <c r="L27" s="42">
        <f t="shared" si="10"/>
        <v>-2250</v>
      </c>
      <c r="M27" s="41">
        <f>IF((L27*Vendedor24!J$10)&lt;0,MROUND(L27*Vendedor24!J$10,-50),MROUND(L27*Vendedor24!J$10,50))</f>
        <v>-250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-2000</v>
      </c>
    </row>
    <row r="28" spans="1:18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>
      <c r="C32" s="43">
        <f t="shared" ref="C32:J32" si="14">SUM(C4:C31)</f>
        <v>321700</v>
      </c>
      <c r="D32" s="44">
        <f t="shared" si="14"/>
        <v>450</v>
      </c>
      <c r="E32" s="43">
        <f t="shared" si="14"/>
        <v>192750</v>
      </c>
      <c r="F32" s="44">
        <f t="shared" si="14"/>
        <v>1650</v>
      </c>
      <c r="G32" s="43">
        <f t="shared" si="14"/>
        <v>109400</v>
      </c>
      <c r="H32" s="44">
        <f t="shared" si="14"/>
        <v>150</v>
      </c>
      <c r="I32" s="43">
        <f t="shared" si="14"/>
        <v>148900</v>
      </c>
      <c r="J32" s="44">
        <f t="shared" si="14"/>
        <v>4600</v>
      </c>
      <c r="L32" s="45">
        <f>SUM(L4:L31)</f>
        <v>772750</v>
      </c>
      <c r="M32" s="45">
        <f>SUM(M7:M31)</f>
        <v>82250</v>
      </c>
      <c r="N32" s="95">
        <f>SUM(N4:N31)</f>
        <v>6850</v>
      </c>
      <c r="O32" s="46">
        <f>SUM(O4:O31)</f>
        <v>582250</v>
      </c>
      <c r="P32" s="140">
        <f>SUM(P4:P31)</f>
        <v>570250</v>
      </c>
      <c r="R32" s="79">
        <f>SUM(R4:R31)</f>
        <v>96850</v>
      </c>
    </row>
    <row r="33" spans="3:15">
      <c r="D33" s="120">
        <f>+D32*85</f>
        <v>38250</v>
      </c>
      <c r="F33" s="120">
        <f>+F32*85</f>
        <v>140250</v>
      </c>
      <c r="H33" s="120">
        <f>+H32*85</f>
        <v>12750</v>
      </c>
      <c r="J33" s="120">
        <f>+J32*85</f>
        <v>391000</v>
      </c>
    </row>
    <row r="34" spans="3:15" ht="15.75" thickBot="1"/>
    <row r="35" spans="3:15">
      <c r="C35" s="266" t="s">
        <v>89</v>
      </c>
      <c r="D35" s="266"/>
      <c r="N35" s="149"/>
      <c r="O35" s="43"/>
    </row>
    <row r="36" spans="3:15">
      <c r="C36" s="47" t="s">
        <v>28</v>
      </c>
      <c r="D36" s="30">
        <f>+C32+E32+G32+I32</f>
        <v>772750</v>
      </c>
      <c r="E36" s="43">
        <f>+D36-L4-L5-L6</f>
        <v>685300</v>
      </c>
    </row>
    <row r="37" spans="3:15">
      <c r="C37" s="47" t="s">
        <v>33</v>
      </c>
      <c r="D37" s="48">
        <f>D36*13%</f>
        <v>100457.5</v>
      </c>
      <c r="E37">
        <f>+D37-M4-M5-M6</f>
        <v>89057.5</v>
      </c>
    </row>
    <row r="38" spans="3:15">
      <c r="C38" s="47" t="s">
        <v>30</v>
      </c>
      <c r="D38" s="30">
        <f>SUM(O4:O27)</f>
        <v>582250</v>
      </c>
      <c r="G38" s="100"/>
    </row>
    <row r="39" spans="3:15" ht="15.75" thickBot="1">
      <c r="C39" s="49" t="s">
        <v>4</v>
      </c>
      <c r="D39" s="80">
        <f>+D36-D37-D38</f>
        <v>90042.5</v>
      </c>
      <c r="G39" s="101"/>
    </row>
    <row r="40" spans="3:15" ht="15.75" thickBot="1">
      <c r="G40" s="100"/>
    </row>
    <row r="41" spans="3:15">
      <c r="C41" s="104" t="s">
        <v>78</v>
      </c>
      <c r="D41" s="105">
        <v>0</v>
      </c>
      <c r="G41" s="100"/>
    </row>
    <row r="42" spans="3:15">
      <c r="C42" s="106" t="s">
        <v>80</v>
      </c>
      <c r="D42" s="107">
        <v>0</v>
      </c>
      <c r="G42" s="100"/>
    </row>
    <row r="43" spans="3:15" ht="15.75" thickBot="1">
      <c r="C43" s="108" t="s">
        <v>79</v>
      </c>
      <c r="D43" s="109">
        <f>+D39+D41+D42</f>
        <v>90042.5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703125" defaultRowHeight="15"/>
  <cols>
    <col min="1" max="1" width="5.42578125" customWidth="1"/>
    <col min="2" max="2" width="11.140625" customWidth="1"/>
    <col min="3" max="8" width="12.5703125" customWidth="1"/>
    <col min="9" max="9" width="3.5703125" customWidth="1"/>
    <col min="10" max="14" width="12.5703125" customWidth="1"/>
    <col min="15" max="15" width="14.85546875" bestFit="1" customWidth="1"/>
    <col min="16" max="16" width="3.5703125" customWidth="1"/>
  </cols>
  <sheetData>
    <row r="1" spans="1:17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45" customHeight="1">
      <c r="C2" s="267" t="str">
        <f>IF(C33=0,"",CONCATENATE(PREMIOS!$B7," ",PREMIOS!$B8))</f>
        <v>27 Roja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62 Blanca</v>
      </c>
      <c r="H2" s="268"/>
    </row>
    <row r="3" spans="1:17" ht="15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>
      <c r="A10" s="47">
        <v>7</v>
      </c>
      <c r="B10" s="178" t="str">
        <f>Vendedor7!$B$2</f>
        <v>PIKIS</v>
      </c>
      <c r="C10" s="180">
        <f>IF(Vendedor7!$C$8="",0,Vendedor7!$C$8)</f>
        <v>22300</v>
      </c>
      <c r="D10" s="30">
        <f>IF(Vendedor7!$E$8="",0,Vendedor7!$E$8)</f>
        <v>0</v>
      </c>
      <c r="E10" s="180">
        <f>IF(Vendedor7!$C$12="",0,Vendedor7!$C$12)</f>
        <v>20900</v>
      </c>
      <c r="F10" s="30">
        <f>IF(Vendedor7!$E$12="",0,Vendedor7!$E$12)</f>
        <v>0</v>
      </c>
      <c r="G10" s="180">
        <f>IF(Vendedor7!$C$16="",0,Vendedor7!$C$16)</f>
        <v>19550</v>
      </c>
      <c r="H10" s="30">
        <f>IF(Vendedor7!$E$16="",0,Vendedor7!$E$16)</f>
        <v>350</v>
      </c>
      <c r="J10" s="42">
        <f t="shared" si="1"/>
        <v>62750</v>
      </c>
      <c r="K10" s="41">
        <f>J10*Vendedor7!J$16</f>
        <v>6275</v>
      </c>
      <c r="L10" s="42">
        <f t="shared" si="2"/>
        <v>0</v>
      </c>
      <c r="M10" s="42">
        <f t="shared" si="3"/>
        <v>350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56475</v>
      </c>
    </row>
    <row r="11" spans="1:17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>
      <c r="A12" s="47">
        <v>9</v>
      </c>
      <c r="B12" s="178" t="str">
        <f>Vendedor9!$B$2</f>
        <v>JUAN FELIX</v>
      </c>
      <c r="C12" s="180">
        <f>IF(Vendedor9!$C$8="",0,Vendedor9!$C$8)</f>
        <v>1000</v>
      </c>
      <c r="D12" s="30">
        <f>IF(Vendedor9!$E$8="",0,Vendedor9!$E$8)</f>
        <v>0</v>
      </c>
      <c r="E12" s="180">
        <f>IF(Vendedor9!$C$12="",0,Vendedor9!$C$12)</f>
        <v>1450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2450</v>
      </c>
      <c r="K12" s="41">
        <f>J12*Vendedor9!J$13</f>
        <v>245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2205</v>
      </c>
    </row>
    <row r="13" spans="1:17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.75" thickBot="1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>
      <c r="C33" s="43">
        <f>SUM(C4:C32)</f>
        <v>23300</v>
      </c>
      <c r="D33" s="44">
        <f>IF(PREMIOS!E8&lt;&gt;0,SUM(D4:D32),0)</f>
        <v>0</v>
      </c>
      <c r="E33" s="43">
        <f>SUM(E4:E32)</f>
        <v>22350</v>
      </c>
      <c r="F33" s="44">
        <f>IF(PREMIOS!E12&lt;&gt;0,SUM(F4:F32),0)</f>
        <v>0</v>
      </c>
      <c r="G33" s="43">
        <f>SUM(G4:G32)</f>
        <v>19550</v>
      </c>
      <c r="H33" s="44">
        <f>IF(PREMIOS!E16&lt;&gt;0,SUM(H4:H32),0)</f>
        <v>0</v>
      </c>
      <c r="J33" s="45">
        <f>SUM(J4:J32)</f>
        <v>65200</v>
      </c>
      <c r="K33" s="45">
        <f>SUM(K7:K32)</f>
        <v>6520</v>
      </c>
      <c r="L33" s="95">
        <f>SUM(L7:L32)</f>
        <v>0</v>
      </c>
      <c r="M33" s="95">
        <f>SUM(M7:M32)</f>
        <v>350</v>
      </c>
      <c r="N33" s="95">
        <f>SUM(N4:N27)</f>
        <v>0</v>
      </c>
      <c r="O33" s="95">
        <f>SUM(O4:O27)</f>
        <v>0</v>
      </c>
      <c r="Q33" s="79">
        <f>SUM(Q4:Q32)</f>
        <v>58680</v>
      </c>
    </row>
    <row r="34" spans="3:17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.75" thickBot="1"/>
    <row r="36" spans="3:17" ht="14.45" customHeight="1">
      <c r="C36" s="273" t="s">
        <v>90</v>
      </c>
      <c r="D36" s="273"/>
      <c r="F36" s="274" t="s">
        <v>94</v>
      </c>
      <c r="G36" s="274" t="s">
        <v>95</v>
      </c>
    </row>
    <row r="37" spans="3:17" ht="14.45" customHeight="1">
      <c r="C37" s="47" t="s">
        <v>28</v>
      </c>
      <c r="D37" s="30">
        <f>+C33+E33+G33</f>
        <v>65200</v>
      </c>
      <c r="E37" s="43">
        <f>+D37-J4-J5-J6</f>
        <v>65200</v>
      </c>
      <c r="F37" s="275"/>
      <c r="G37" s="275"/>
    </row>
    <row r="38" spans="3:17" ht="15.75" thickBot="1">
      <c r="C38" s="47" t="s">
        <v>33</v>
      </c>
      <c r="D38" s="30">
        <f>D37*10%</f>
        <v>6520</v>
      </c>
      <c r="E38" s="43">
        <f>+D38-K4-K5-K6</f>
        <v>6520</v>
      </c>
      <c r="F38" s="103">
        <v>220</v>
      </c>
      <c r="G38" s="103">
        <v>0</v>
      </c>
    </row>
    <row r="39" spans="3:17">
      <c r="C39" s="47" t="s">
        <v>30</v>
      </c>
      <c r="D39" s="30">
        <f>+D34+F34+H34</f>
        <v>0</v>
      </c>
    </row>
    <row r="40" spans="3:17" ht="15.75" thickBot="1">
      <c r="C40" s="49" t="s">
        <v>4</v>
      </c>
      <c r="D40" s="80">
        <f>+D37-D38-D39</f>
        <v>58680</v>
      </c>
    </row>
    <row r="41" spans="3:17" ht="15.75" thickBot="1"/>
    <row r="42" spans="3:17">
      <c r="C42" s="104" t="s">
        <v>78</v>
      </c>
      <c r="D42" s="116">
        <v>0</v>
      </c>
    </row>
    <row r="43" spans="3:17">
      <c r="C43" s="106" t="s">
        <v>80</v>
      </c>
      <c r="D43" s="153">
        <v>0</v>
      </c>
    </row>
    <row r="44" spans="3:17" ht="15.75" thickBot="1">
      <c r="C44" s="108" t="s">
        <v>79</v>
      </c>
      <c r="D44" s="109">
        <f>+D42+D40+D43</f>
        <v>58680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45" customHeight="1">
      <c r="C2" s="267">
        <f>DigitaPRIMERA!C2</f>
        <v>38</v>
      </c>
      <c r="D2" s="268"/>
      <c r="E2" s="267">
        <f>DigitaPRIMERA!E2</f>
        <v>95</v>
      </c>
      <c r="F2" s="268"/>
    </row>
    <row r="3" spans="1:14" ht="14.45" customHeight="1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187">
        <v>1</v>
      </c>
      <c r="B4" s="199" t="str">
        <f>Vendedor1!$B$2</f>
        <v>VENTANA</v>
      </c>
      <c r="C4" s="189">
        <f>IF(Vendedor1!$C$19="",0,Vendedor1!$C$19)</f>
        <v>6000</v>
      </c>
      <c r="D4" s="78">
        <f>IF(Vendedor1!$E$19="",0,Vendedor1!$E$19)</f>
        <v>0</v>
      </c>
      <c r="E4" s="189">
        <f>IF(Vendedor1!$C$20="",0,Vendedor1!$C$20)</f>
        <v>1000</v>
      </c>
      <c r="F4" s="78">
        <f>IF(Vendedor1!$E$20="",0,Vendedor1!$E$20)</f>
        <v>250</v>
      </c>
      <c r="H4" s="42">
        <f>+C4+E4</f>
        <v>7000</v>
      </c>
      <c r="I4" s="41">
        <f>MROUND(H4*Vendedor1!J$9,50)</f>
        <v>900</v>
      </c>
      <c r="J4" s="42">
        <f>+D4+F4</f>
        <v>250</v>
      </c>
      <c r="K4" s="42">
        <f>+J4*85</f>
        <v>21250</v>
      </c>
      <c r="L4" s="42">
        <f>Vendedor1!$F$19+Vendedor1!$F$20</f>
        <v>20000</v>
      </c>
      <c r="N4" s="42">
        <f t="shared" ref="N4:N31" si="0">+H4-I4-L4</f>
        <v>-13900</v>
      </c>
    </row>
    <row r="5" spans="1:14">
      <c r="A5" s="47">
        <v>2</v>
      </c>
      <c r="B5" s="177" t="str">
        <f>Vendedor2!$B$2</f>
        <v>PUESTO 2</v>
      </c>
      <c r="C5" s="180">
        <f>IF(Vendedor2!$C$19="",0,Vendedor2!$C$19)</f>
        <v>9300</v>
      </c>
      <c r="D5" s="30">
        <f>IF(Vendedor2!$E$19="",0,Vendedor2!$E$19)</f>
        <v>0</v>
      </c>
      <c r="E5" s="180">
        <f>IF(Vendedor2!$C$20="",0,Vendedor2!$C$20)</f>
        <v>1400</v>
      </c>
      <c r="F5" s="30">
        <f>IF(Vendedor2!$E$20="",0,Vendedor2!$E$20)</f>
        <v>0</v>
      </c>
      <c r="H5" s="42">
        <f t="shared" ref="H5:H31" si="1">+C5+E5</f>
        <v>10700</v>
      </c>
      <c r="I5" s="41">
        <f>MROUND(H5*Vendedor2!J$9,50)</f>
        <v>1400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9300</v>
      </c>
    </row>
    <row r="6" spans="1:14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3">
        <v>5</v>
      </c>
      <c r="B8" s="201" t="str">
        <f>Vendedor5!$B$2</f>
        <v>YOYO</v>
      </c>
      <c r="C8" s="180">
        <f>IF(Vendedor5!$C$19="",0,Vendedor5!$C$19)</f>
        <v>26300</v>
      </c>
      <c r="D8" s="30">
        <f>IF(Vendedor5!$E$19="",0,Vendedor5!$E$19)</f>
        <v>0</v>
      </c>
      <c r="E8" s="180">
        <f>IF(Vendedor5!$C$20="",0,Vendedor5!$C$20)</f>
        <v>14700</v>
      </c>
      <c r="F8" s="30">
        <f>IF(Vendedor5!$E$20="",0,Vendedor5!$E$20)</f>
        <v>0</v>
      </c>
      <c r="H8" s="133">
        <f t="shared" si="1"/>
        <v>41000</v>
      </c>
      <c r="I8" s="148">
        <f>MROUND(H8*Vendedor5!J$11,50)</f>
        <v>4900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36100</v>
      </c>
    </row>
    <row r="9" spans="1:14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IF(Vendedor7!$C$19="",0,Vendedor7!$C$19)</f>
        <v>58050</v>
      </c>
      <c r="D10" s="30">
        <f>IF(Vendedor7!$E$19="",0,Vendedor7!$E$19)</f>
        <v>0</v>
      </c>
      <c r="E10" s="180">
        <f>IF(Vendedor7!$C$20="",0,Vendedor7!$C$20)</f>
        <v>0</v>
      </c>
      <c r="F10" s="30">
        <f>IF(Vendedor7!$E$20="",0,Vendedor7!$E$20)</f>
        <v>0</v>
      </c>
      <c r="H10" s="42">
        <f t="shared" si="1"/>
        <v>58050</v>
      </c>
      <c r="I10" s="41">
        <f>MROUND(H10*Vendedor7!J$14,50)</f>
        <v>6950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51100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3">
        <v>9</v>
      </c>
      <c r="B12" s="196" t="str">
        <f>Vendedor9!$B$2</f>
        <v>JUAN FELIX</v>
      </c>
      <c r="C12" s="180">
        <f>IF(Vendedor9!$C$19="",0,Vendedor9!$C$19)</f>
        <v>20850</v>
      </c>
      <c r="D12" s="30">
        <f>IF(Vendedor9!$E$19="",0,Vendedor9!$E$19)</f>
        <v>550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20850</v>
      </c>
      <c r="I12" s="148">
        <f>MROUND(H12*Vendedor9!J$11,50)</f>
        <v>2500</v>
      </c>
      <c r="J12" s="133">
        <f t="shared" si="2"/>
        <v>550</v>
      </c>
      <c r="K12" s="133">
        <f t="shared" si="3"/>
        <v>46750</v>
      </c>
      <c r="L12" s="133">
        <f>Vendedor9!$F$19+Vendedor9!$F$20</f>
        <v>46750</v>
      </c>
      <c r="M12" s="155"/>
      <c r="N12" s="133">
        <f t="shared" si="0"/>
        <v>-28400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3">
        <v>13</v>
      </c>
      <c r="B16" s="196" t="str">
        <f>Vendedor13!$B$2</f>
        <v>MINERO</v>
      </c>
      <c r="C16" s="180">
        <f>IF(Vendedor13!$C$19="",0,Vendedor13!$C$19)</f>
        <v>8350</v>
      </c>
      <c r="D16" s="30">
        <f>IF(Vendedor13!$E$19="",0,Vendedor13!$E$19)</f>
        <v>0</v>
      </c>
      <c r="E16" s="180">
        <f>IF(Vendedor13!$C$20="",0,Vendedor13!$C$20)</f>
        <v>12400</v>
      </c>
      <c r="F16" s="30">
        <f>IF(Vendedor13!$E$20="",0,Vendedor13!$E$20)</f>
        <v>0</v>
      </c>
      <c r="H16" s="133">
        <f t="shared" si="1"/>
        <v>20750</v>
      </c>
      <c r="I16" s="148">
        <f>MROUND(H16*Vendedor13!J$11,50)</f>
        <v>2500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18250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-12400</v>
      </c>
      <c r="F27" s="50">
        <f>IF(Vendedor24!$E$20="",0,Vendedor24!$E$20)</f>
        <v>0</v>
      </c>
      <c r="H27" s="42">
        <f t="shared" si="1"/>
        <v>-12400</v>
      </c>
      <c r="I27" s="41">
        <f>IF(H27*Vendedor24!J$9&gt;0,MROUND(H27*Vendedor24!J$9,50),MROUND(H27*Vendedor24!J$9,-50))</f>
        <v>-1500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-10900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128850</v>
      </c>
      <c r="D32" s="44">
        <f>SUM(D4:D31)</f>
        <v>550</v>
      </c>
      <c r="E32" s="43">
        <f>SUM(E4:E31)</f>
        <v>17100</v>
      </c>
      <c r="F32" s="44">
        <f>SUM(F4:F31)</f>
        <v>250</v>
      </c>
      <c r="H32" s="95">
        <f>SUM(H4:H31)</f>
        <v>145950</v>
      </c>
      <c r="I32" s="45">
        <f>SUM(I7:I31)</f>
        <v>15350</v>
      </c>
      <c r="J32" s="95"/>
      <c r="K32" s="95">
        <f>SUM(K4:K31)</f>
        <v>68000</v>
      </c>
      <c r="L32" s="95">
        <f>SUM(L4:L31)</f>
        <v>66750</v>
      </c>
      <c r="N32" s="79">
        <f>SUM(N4:N31)</f>
        <v>61550</v>
      </c>
    </row>
    <row r="33" spans="3:6">
      <c r="D33" s="99">
        <f>+D32*85</f>
        <v>46750</v>
      </c>
      <c r="F33" s="99">
        <f>+F32*85</f>
        <v>21250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145950</v>
      </c>
      <c r="E36" s="43">
        <f>+D36-H4-H5-H6</f>
        <v>128250</v>
      </c>
    </row>
    <row r="37" spans="3:6">
      <c r="C37" s="47" t="s">
        <v>33</v>
      </c>
      <c r="D37" s="48">
        <f>D36*13%</f>
        <v>18973.5</v>
      </c>
      <c r="E37">
        <f>+D37-I4-I5-I6</f>
        <v>16673.5</v>
      </c>
    </row>
    <row r="38" spans="3:6" ht="15.75" thickBot="1">
      <c r="C38" s="47" t="s">
        <v>30</v>
      </c>
      <c r="D38" s="30">
        <f>SUM(K4:K27)</f>
        <v>68000</v>
      </c>
    </row>
    <row r="39" spans="3:6" ht="15.75" thickBot="1">
      <c r="C39" s="49" t="s">
        <v>4</v>
      </c>
      <c r="D39" s="80">
        <f>+D36-D37-D38</f>
        <v>58976.5</v>
      </c>
      <c r="F39" s="98">
        <f>+N32-D39</f>
        <v>2573.5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58976.5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8" width="12.5703125" customWidth="1"/>
    <col min="9" max="9" width="3.5703125" customWidth="1"/>
    <col min="10" max="12" width="12.5703125" customWidth="1"/>
    <col min="13" max="13" width="10.42578125" bestFit="1" customWidth="1"/>
    <col min="14" max="14" width="10.42578125" customWidth="1"/>
    <col min="15" max="15" width="3.28515625" customWidth="1"/>
  </cols>
  <sheetData>
    <row r="1" spans="1:16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>
      <c r="C2" s="267">
        <f>DigitaHONDURAS!C2</f>
        <v>14</v>
      </c>
      <c r="D2" s="268"/>
      <c r="E2" s="267">
        <f>DigitaHONDURAS!E2</f>
        <v>59</v>
      </c>
      <c r="F2" s="268"/>
      <c r="G2" s="267">
        <f>DigitaHONDURAS!G2</f>
        <v>48</v>
      </c>
      <c r="H2" s="268"/>
    </row>
    <row r="3" spans="1:16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>
      <c r="A10" s="41">
        <v>7</v>
      </c>
      <c r="B10" s="178" t="str">
        <f>Vendedor7!$B$2</f>
        <v>PIKIS</v>
      </c>
      <c r="C10" s="180">
        <f>IF(Vendedor7!$C$21="",0,Vendedor7!$C$21)</f>
        <v>34500</v>
      </c>
      <c r="D10" s="30">
        <f>IF(Vendedor7!$E$21="",0,Vendedor7!$E$21)</f>
        <v>1400</v>
      </c>
      <c r="E10" s="180">
        <f>IF(Vendedor7!$C$22="",0,Vendedor7!$C$22)</f>
        <v>36350</v>
      </c>
      <c r="F10" s="30">
        <f>IF(Vendedor7!$E$22="",0,Vendedor7!$E$22)</f>
        <v>0</v>
      </c>
      <c r="G10" s="180">
        <f>IF(Vendedor7!$C$23="",0,Vendedor7!$C$23)</f>
        <v>26700</v>
      </c>
      <c r="H10" s="30">
        <f>IF(Vendedor7!$E$23="",0,Vendedor7!$E$23)</f>
        <v>4000</v>
      </c>
      <c r="J10" s="42">
        <f t="shared" si="0"/>
        <v>97550</v>
      </c>
      <c r="K10" s="41">
        <f>MROUND(J10*Vendedor7!J$14,50)</f>
        <v>11700</v>
      </c>
      <c r="L10" s="42">
        <f t="shared" si="1"/>
        <v>5400</v>
      </c>
      <c r="M10" s="42">
        <f t="shared" si="3"/>
        <v>459000</v>
      </c>
      <c r="N10" s="42">
        <f>Vendedor7!$F$21+Vendedor7!$F$22+Vendedor7!$F$23</f>
        <v>459000</v>
      </c>
      <c r="P10" s="42">
        <f t="shared" si="2"/>
        <v>-373150</v>
      </c>
    </row>
    <row r="11" spans="1:16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>
      <c r="A16" s="41">
        <v>13</v>
      </c>
      <c r="B16" s="178" t="str">
        <f>Vendedor13!$B$2</f>
        <v>MINERO</v>
      </c>
      <c r="C16" s="180">
        <f>IF(Vendedor13!$C$21="",0,Vendedor13!$C$21)</f>
        <v>6000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6000</v>
      </c>
      <c r="K16" s="148">
        <f>MROUND(J16*Vendedor13!J$11,50)</f>
        <v>700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5300</v>
      </c>
    </row>
    <row r="17" spans="1:16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.75" thickBot="1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>
      <c r="C32" s="43">
        <f t="shared" ref="C32:H32" si="8">SUM(C4:C31)</f>
        <v>40500</v>
      </c>
      <c r="D32" s="44">
        <f t="shared" si="8"/>
        <v>1400</v>
      </c>
      <c r="E32" s="43">
        <f t="shared" si="8"/>
        <v>36350</v>
      </c>
      <c r="F32" s="44">
        <f t="shared" si="8"/>
        <v>0</v>
      </c>
      <c r="G32" s="43">
        <f t="shared" si="8"/>
        <v>26700</v>
      </c>
      <c r="H32" s="44">
        <f t="shared" si="8"/>
        <v>4000</v>
      </c>
      <c r="J32" s="95">
        <f>SUM(J4:J31)</f>
        <v>103550</v>
      </c>
      <c r="K32" s="45">
        <f>SUM(K7:K31)</f>
        <v>12400</v>
      </c>
      <c r="L32" s="95"/>
      <c r="M32" s="95">
        <f>SUM(M4:M31)</f>
        <v>459000</v>
      </c>
      <c r="N32" s="95">
        <f>SUM(N4:N31)</f>
        <v>459000</v>
      </c>
      <c r="P32" s="79">
        <f>SUM(P4:P31)</f>
        <v>-367850</v>
      </c>
    </row>
    <row r="33" spans="3:8">
      <c r="D33" s="99">
        <f>+D32*85</f>
        <v>119000</v>
      </c>
      <c r="F33" s="99">
        <f>+F32*85</f>
        <v>0</v>
      </c>
      <c r="H33" s="99">
        <f>+H32*85</f>
        <v>340000</v>
      </c>
    </row>
    <row r="34" spans="3:8" ht="15.75" thickBot="1"/>
    <row r="35" spans="3:8">
      <c r="C35" s="266" t="s">
        <v>89</v>
      </c>
      <c r="D35" s="266"/>
    </row>
    <row r="36" spans="3:8">
      <c r="C36" s="47" t="s">
        <v>28</v>
      </c>
      <c r="D36" s="30">
        <f>+C32+E32+G32</f>
        <v>103550</v>
      </c>
      <c r="E36" s="43">
        <f>+D36-J4-J5-J6</f>
        <v>103550</v>
      </c>
    </row>
    <row r="37" spans="3:8">
      <c r="C37" s="47" t="s">
        <v>33</v>
      </c>
      <c r="D37" s="48">
        <f>D36*13%</f>
        <v>13461.5</v>
      </c>
      <c r="E37">
        <f>+D37-K4-K5-K6</f>
        <v>13461.5</v>
      </c>
    </row>
    <row r="38" spans="3:8" ht="15.75" thickBot="1">
      <c r="C38" s="47" t="s">
        <v>30</v>
      </c>
      <c r="D38" s="30">
        <f>SUM(M4:M27)</f>
        <v>459000</v>
      </c>
      <c r="G38" s="100"/>
    </row>
    <row r="39" spans="3:8" ht="15.75" thickBot="1">
      <c r="C39" s="49" t="s">
        <v>4</v>
      </c>
      <c r="D39" s="80">
        <f>+D36-D37-D38</f>
        <v>-368911.5</v>
      </c>
      <c r="F39" s="98">
        <f>+P32-D39</f>
        <v>1061.5</v>
      </c>
      <c r="G39" s="101"/>
    </row>
    <row r="40" spans="3:8" ht="15.75" thickBot="1">
      <c r="G40" s="100"/>
    </row>
    <row r="41" spans="3:8">
      <c r="C41" s="104" t="s">
        <v>78</v>
      </c>
      <c r="D41" s="105">
        <v>0</v>
      </c>
      <c r="G41" s="100"/>
    </row>
    <row r="42" spans="3:8">
      <c r="C42" s="106" t="s">
        <v>80</v>
      </c>
      <c r="D42" s="107">
        <v>0</v>
      </c>
      <c r="G42" s="100"/>
    </row>
    <row r="43" spans="3:8" ht="15.75" thickBot="1">
      <c r="C43" s="108" t="s">
        <v>79</v>
      </c>
      <c r="D43" s="109">
        <f>+D39+D41+D42</f>
        <v>-368911.5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6" width="12.5703125" customWidth="1"/>
    <col min="7" max="7" width="3.5703125" customWidth="1"/>
    <col min="8" max="10" width="12.5703125" customWidth="1"/>
    <col min="11" max="11" width="10.42578125" bestFit="1" customWidth="1"/>
    <col min="12" max="12" width="10.42578125" customWidth="1"/>
    <col min="13" max="13" width="3.28515625" customWidth="1"/>
  </cols>
  <sheetData>
    <row r="1" spans="1:14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>
      <c r="C2" s="267">
        <f>DigitaDOMINICANA!C2</f>
        <v>13</v>
      </c>
      <c r="D2" s="268"/>
      <c r="E2" s="267" t="str">
        <f>DigitaDOMINICANA!E2</f>
        <v>07</v>
      </c>
      <c r="F2" s="268"/>
    </row>
    <row r="3" spans="1:14" ht="15.75" thickBot="1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>
      <c r="A10" s="47">
        <v>7</v>
      </c>
      <c r="B10" s="178" t="str">
        <f>Vendedor7!$B$2</f>
        <v>PIKIS</v>
      </c>
      <c r="C10" s="180">
        <f>IF(Vendedor7!$C$24="",0,Vendedor7!$C$24)</f>
        <v>36500</v>
      </c>
      <c r="D10" s="30">
        <f>IF(Vendedor7!$E$24="",0,Vendedor7!$E$24)</f>
        <v>0</v>
      </c>
      <c r="E10" s="180">
        <f>IF(Vendedor7!$C$25="",0,Vendedor7!$C$25)</f>
        <v>37000</v>
      </c>
      <c r="F10" s="30">
        <f>IF(Vendedor7!$E$25="",0,Vendedor7!$E$25)</f>
        <v>0</v>
      </c>
      <c r="H10" s="42">
        <f t="shared" si="1"/>
        <v>73500</v>
      </c>
      <c r="I10" s="41">
        <f>MROUND(H10*Vendedor7!J$14,50)</f>
        <v>8800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64700</v>
      </c>
    </row>
    <row r="11" spans="1:14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.75" thickBot="1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>
      <c r="C32" s="43">
        <f>SUM(C4:C31)</f>
        <v>36500</v>
      </c>
      <c r="D32" s="44">
        <f>SUM(D4:D31)</f>
        <v>0</v>
      </c>
      <c r="E32" s="43">
        <f>SUM(E4:E31)</f>
        <v>37000</v>
      </c>
      <c r="F32" s="44">
        <f>SUM(F4:F31)</f>
        <v>0</v>
      </c>
      <c r="H32" s="95">
        <f>SUM(H4:H31)</f>
        <v>73500</v>
      </c>
      <c r="I32" s="45">
        <f>SUM(I7:I31)</f>
        <v>8800</v>
      </c>
      <c r="J32" s="95"/>
      <c r="K32" s="95">
        <f>SUM(K4:K31)</f>
        <v>0</v>
      </c>
      <c r="L32" s="95">
        <f>SUM(L4:L31)</f>
        <v>0</v>
      </c>
      <c r="N32" s="79">
        <f>SUM(N4:N31)</f>
        <v>64700</v>
      </c>
    </row>
    <row r="33" spans="3:6">
      <c r="D33" s="99">
        <f>+D32*85</f>
        <v>0</v>
      </c>
      <c r="F33" s="99">
        <f>+F32*85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+C32+E32</f>
        <v>73500</v>
      </c>
      <c r="E36" s="43">
        <f>+D36-H4-H5-H6</f>
        <v>73500</v>
      </c>
    </row>
    <row r="37" spans="3:6">
      <c r="C37" s="47" t="s">
        <v>33</v>
      </c>
      <c r="D37" s="48">
        <f>D36*13%</f>
        <v>9555</v>
      </c>
      <c r="E37">
        <f>+D37-I4-I5-I6</f>
        <v>9555</v>
      </c>
    </row>
    <row r="38" spans="3:6" ht="15.75" thickBot="1">
      <c r="C38" s="47" t="s">
        <v>30</v>
      </c>
      <c r="D38" s="30">
        <f>SUM(K4:K27)</f>
        <v>0</v>
      </c>
    </row>
    <row r="39" spans="3:6" ht="15.75" thickBot="1">
      <c r="C39" s="49" t="s">
        <v>4</v>
      </c>
      <c r="D39" s="80">
        <f>+D36-D37-D38</f>
        <v>63945</v>
      </c>
      <c r="F39" s="98">
        <f>+N32-D39</f>
        <v>755</v>
      </c>
    </row>
    <row r="40" spans="3:6" ht="15.75" thickBot="1"/>
    <row r="41" spans="3:6">
      <c r="C41" s="104" t="s">
        <v>78</v>
      </c>
      <c r="D41" s="105">
        <v>0</v>
      </c>
    </row>
    <row r="42" spans="3:6">
      <c r="C42" s="106" t="s">
        <v>80</v>
      </c>
      <c r="D42" s="107">
        <v>0</v>
      </c>
    </row>
    <row r="43" spans="3:6" ht="15.75" thickBot="1">
      <c r="C43" s="108" t="s">
        <v>79</v>
      </c>
      <c r="D43" s="109">
        <f>+D39+D41+D42</f>
        <v>63945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703125" defaultRowHeight="15"/>
  <cols>
    <col min="1" max="1" width="5.42578125" customWidth="1"/>
    <col min="2" max="2" width="15.5703125" customWidth="1"/>
    <col min="3" max="4" width="12.5703125" customWidth="1"/>
    <col min="5" max="5" width="3.5703125" customWidth="1"/>
    <col min="6" max="8" width="12.5703125" customWidth="1"/>
    <col min="9" max="9" width="10.42578125" bestFit="1" customWidth="1"/>
    <col min="10" max="10" width="10.42578125" customWidth="1"/>
    <col min="11" max="11" width="3.28515625" customWidth="1"/>
  </cols>
  <sheetData>
    <row r="1" spans="1:12">
      <c r="A1" s="79" t="s">
        <v>19</v>
      </c>
      <c r="B1" s="79"/>
      <c r="C1" s="271" t="s">
        <v>109</v>
      </c>
      <c r="D1" s="272"/>
    </row>
    <row r="2" spans="1:12">
      <c r="C2" s="267" t="str">
        <f>DigitaPANAMENA!C2</f>
        <v/>
      </c>
      <c r="D2" s="268"/>
    </row>
    <row r="3" spans="1:12" ht="15.75" thickBot="1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5.95" customHeight="1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5.95" hidden="1" customHeight="1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5.95" hidden="1" customHeight="1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5.95" hidden="1" customHeight="1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5.95" hidden="1" customHeight="1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5.95" hidden="1" customHeight="1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5.95" hidden="1" customHeight="1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5.95" hidden="1" customHeight="1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5.95" hidden="1" customHeight="1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.75" thickBot="1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5.95" customHeight="1">
      <c r="D33" s="99">
        <f>+D32*85</f>
        <v>0</v>
      </c>
    </row>
    <row r="34" spans="3:6" ht="15.75" thickBot="1"/>
    <row r="35" spans="3:6">
      <c r="C35" s="266" t="s">
        <v>89</v>
      </c>
      <c r="D35" s="266"/>
    </row>
    <row r="36" spans="3:6">
      <c r="C36" s="47" t="s">
        <v>28</v>
      </c>
      <c r="D36" s="30">
        <f>+C32</f>
        <v>0</v>
      </c>
      <c r="F36" s="43">
        <f>+D36-F4-F5-F6</f>
        <v>0</v>
      </c>
    </row>
    <row r="37" spans="3:6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>
      <c r="C38" s="47" t="s">
        <v>30</v>
      </c>
      <c r="D38" s="30">
        <f>SUM(I4:I27)</f>
        <v>0</v>
      </c>
    </row>
    <row r="39" spans="3:6" ht="15.75" thickBot="1">
      <c r="C39" s="49" t="s">
        <v>4</v>
      </c>
      <c r="D39" s="80">
        <f>+D36-D37-D38</f>
        <v>0</v>
      </c>
    </row>
    <row r="40" spans="3:6" ht="15.75" thickBot="1"/>
    <row r="41" spans="3:6">
      <c r="C41" s="104" t="s">
        <v>78</v>
      </c>
      <c r="D41" s="116">
        <v>0</v>
      </c>
    </row>
    <row r="42" spans="3:6">
      <c r="C42" s="106" t="s">
        <v>80</v>
      </c>
      <c r="D42" s="153">
        <v>0</v>
      </c>
    </row>
    <row r="43" spans="3:6" ht="15.75" thickBot="1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45" customHeight="1"/>
  <cols>
    <col min="1" max="1" width="16.5703125" bestFit="1" customWidth="1"/>
    <col min="2" max="2" width="16.5703125" customWidth="1"/>
    <col min="3" max="3" width="15.42578125" bestFit="1" customWidth="1"/>
    <col min="4" max="4" width="14.28515625" bestFit="1" customWidth="1"/>
    <col min="5" max="5" width="14.28515625" customWidth="1"/>
    <col min="6" max="6" width="15.7109375" bestFit="1" customWidth="1"/>
    <col min="7" max="7" width="14.5703125" bestFit="1" customWidth="1"/>
    <col min="8" max="8" width="13.7109375" bestFit="1" customWidth="1"/>
    <col min="9" max="9" width="14.5703125" bestFit="1" customWidth="1"/>
    <col min="10" max="10" width="13.7109375" hidden="1" customWidth="1"/>
    <col min="11" max="11" width="14.5703125" hidden="1" customWidth="1"/>
    <col min="12" max="15" width="0" hidden="1" customWidth="1"/>
    <col min="16" max="16384" width="10.85546875" hidden="1"/>
  </cols>
  <sheetData>
    <row r="1" spans="1:9" ht="18.75">
      <c r="A1" s="276" t="str">
        <f ca="1">CONCATENATE("Cuentas ALI ",TEXT('Ctas Banca'!I5,"dd-mm-yyyy"))</f>
        <v>Cuentas ALI 06-06-2026</v>
      </c>
      <c r="B1" s="276"/>
      <c r="C1" s="276"/>
      <c r="D1" s="276"/>
      <c r="E1" s="276"/>
      <c r="F1" s="276"/>
      <c r="G1" s="276"/>
      <c r="H1" s="21"/>
      <c r="I1" s="21"/>
    </row>
    <row r="2" spans="1:9" ht="15.75" thickBot="1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ht="1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ht="15">
      <c r="A4" s="28" t="s">
        <v>13</v>
      </c>
      <c r="B4" s="156">
        <f>HojaNICA!$E$36</f>
        <v>685300</v>
      </c>
      <c r="C4" s="157">
        <f>HojaNICA!M32</f>
        <v>82250</v>
      </c>
      <c r="D4" s="150">
        <f>HojaNICA!E37</f>
        <v>89057.5</v>
      </c>
      <c r="E4" s="150">
        <f>HojaNICA!P32</f>
        <v>570250</v>
      </c>
      <c r="F4" s="150">
        <f>HojaNICA!O32</f>
        <v>582250</v>
      </c>
      <c r="G4" s="151">
        <f t="shared" ref="G4:G10" si="0">+D4-C4+F4-E4</f>
        <v>18807.5</v>
      </c>
      <c r="H4" s="21"/>
      <c r="I4" s="182"/>
    </row>
    <row r="5" spans="1:9" ht="15">
      <c r="A5" s="28" t="s">
        <v>19</v>
      </c>
      <c r="B5" s="156">
        <f>HojaTICA!$E$36</f>
        <v>796350</v>
      </c>
      <c r="C5" s="157">
        <f>HojaTICA!K32</f>
        <v>97650</v>
      </c>
      <c r="D5" s="150">
        <f>HojaTICA!E37</f>
        <v>103505.5</v>
      </c>
      <c r="E5" s="150">
        <f>HojaTICA!N32</f>
        <v>675750</v>
      </c>
      <c r="F5" s="150">
        <f>HojaTICA!D38</f>
        <v>675750</v>
      </c>
      <c r="G5" s="151">
        <f t="shared" si="0"/>
        <v>5855.5</v>
      </c>
      <c r="H5" s="21"/>
      <c r="I5" s="182"/>
    </row>
    <row r="6" spans="1:9" ht="15">
      <c r="A6" s="28" t="s">
        <v>125</v>
      </c>
      <c r="B6" s="156">
        <f>HojaREVENTADO!$E$37</f>
        <v>65200</v>
      </c>
      <c r="C6" s="157">
        <f>HojaREVENTADO!K33</f>
        <v>6520</v>
      </c>
      <c r="D6" s="150">
        <f>HojaREVENTADO!E38</f>
        <v>6520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ht="15">
      <c r="A7" s="28" t="s">
        <v>96</v>
      </c>
      <c r="B7" s="156">
        <f>HojaPrimera!$E$36</f>
        <v>128250</v>
      </c>
      <c r="C7" s="157">
        <f>HojaPrimera!I32</f>
        <v>15350</v>
      </c>
      <c r="D7" s="150">
        <f>HojaPrimera!E37</f>
        <v>16673.5</v>
      </c>
      <c r="E7" s="150">
        <f>HojaPrimera!L32</f>
        <v>66750</v>
      </c>
      <c r="F7" s="150">
        <f>HojaPrimera!K32</f>
        <v>68000</v>
      </c>
      <c r="G7" s="151">
        <f t="shared" si="0"/>
        <v>2573.5</v>
      </c>
      <c r="H7" s="21"/>
      <c r="I7" s="21"/>
    </row>
    <row r="8" spans="1:9" ht="15">
      <c r="A8" s="28" t="s">
        <v>104</v>
      </c>
      <c r="B8" s="156">
        <f>HojaHonduras!$E$36</f>
        <v>103550</v>
      </c>
      <c r="C8" s="157">
        <f>HojaHonduras!K32</f>
        <v>12400</v>
      </c>
      <c r="D8" s="150">
        <f>HojaHonduras!E37</f>
        <v>13461.5</v>
      </c>
      <c r="E8" s="150">
        <f>HojaHonduras!N32</f>
        <v>459000</v>
      </c>
      <c r="F8" s="150">
        <f>HojaHonduras!M32</f>
        <v>459000</v>
      </c>
      <c r="G8" s="151">
        <f t="shared" si="0"/>
        <v>1061.5</v>
      </c>
      <c r="H8" s="21"/>
      <c r="I8" s="21"/>
    </row>
    <row r="9" spans="1:9" ht="15">
      <c r="A9" s="28" t="s">
        <v>20</v>
      </c>
      <c r="B9" s="156">
        <f>HojaDominicana!$E$36</f>
        <v>73500</v>
      </c>
      <c r="C9" s="157">
        <f>HojaDominicana!I32</f>
        <v>8800</v>
      </c>
      <c r="D9" s="150">
        <f>HojaDominicana!E37</f>
        <v>9555</v>
      </c>
      <c r="E9" s="150">
        <f>HojaDominicana!L32</f>
        <v>0</v>
      </c>
      <c r="F9" s="150">
        <f>HojaDominicana!K32</f>
        <v>0</v>
      </c>
      <c r="G9" s="151">
        <f t="shared" si="0"/>
        <v>755</v>
      </c>
      <c r="H9" s="21"/>
      <c r="I9" s="21"/>
    </row>
    <row r="10" spans="1:9" ht="15.75" thickBot="1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.5" thickBot="1">
      <c r="A11" s="174" t="s">
        <v>32</v>
      </c>
      <c r="B11" s="175">
        <f>SUM(B4:B10)</f>
        <v>1852150</v>
      </c>
      <c r="C11" s="175">
        <f>SUM(C4:C10)</f>
        <v>222970</v>
      </c>
      <c r="D11" s="175">
        <f t="shared" ref="D11:F11" si="1">SUM(D4:D10)</f>
        <v>238773</v>
      </c>
      <c r="E11" s="175">
        <f t="shared" si="1"/>
        <v>1771750</v>
      </c>
      <c r="F11" s="175">
        <f t="shared" si="1"/>
        <v>1785000</v>
      </c>
      <c r="G11" s="176">
        <f>SUM(G4:G10)</f>
        <v>29053</v>
      </c>
      <c r="H11" s="21"/>
      <c r="I11" s="21"/>
    </row>
    <row r="12" spans="1:9" ht="19.5" thickBot="1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9053</v>
      </c>
      <c r="I12" s="21"/>
    </row>
    <row r="13" spans="1:9" ht="1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.75" thickBot="1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ht="1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ht="15">
      <c r="A16" s="21"/>
      <c r="B16" s="21"/>
      <c r="C16" s="28" t="s">
        <v>129</v>
      </c>
      <c r="D16" s="157">
        <f>+Vendedor1!C21</f>
        <v>206950</v>
      </c>
      <c r="E16" s="157">
        <f>+Vendedor1!D21</f>
        <v>26903.5</v>
      </c>
      <c r="F16" s="158">
        <f>IF(D16&lt;&gt;0,15000,0)</f>
        <v>15000</v>
      </c>
      <c r="G16" s="151">
        <f>+E16-F16</f>
        <v>11903.5</v>
      </c>
      <c r="H16" s="21"/>
      <c r="I16" s="21"/>
    </row>
    <row r="17" spans="1:9" ht="15">
      <c r="A17" s="21"/>
      <c r="B17" s="21"/>
      <c r="C17" s="28" t="s">
        <v>130</v>
      </c>
      <c r="D17" s="157">
        <f>+Vendedor2!C21</f>
        <v>234200</v>
      </c>
      <c r="E17" s="157">
        <f>+Vendedor2!D21</f>
        <v>30446</v>
      </c>
      <c r="F17" s="158">
        <f>IF(D17&lt;&gt;0,15000,0)</f>
        <v>15000</v>
      </c>
      <c r="G17" s="151">
        <f>+E17-F17</f>
        <v>15446</v>
      </c>
      <c r="H17" s="21"/>
      <c r="I17" s="21"/>
    </row>
    <row r="18" spans="1:9" ht="15.75" thickBot="1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45" customHeight="1" thickBot="1">
      <c r="A19" s="21"/>
      <c r="B19" s="21"/>
      <c r="C19" s="142" t="s">
        <v>32</v>
      </c>
      <c r="D19" s="159">
        <f>SUM(D16:D18)</f>
        <v>441150</v>
      </c>
      <c r="E19" s="159">
        <f>SUM(E16:E18)</f>
        <v>57349.5</v>
      </c>
      <c r="F19" s="160">
        <f>SUM(F16:F18)</f>
        <v>30000</v>
      </c>
      <c r="G19" s="161">
        <f>SUM(G16:G18)</f>
        <v>27349.5</v>
      </c>
      <c r="H19" s="21"/>
      <c r="I19" s="21"/>
    </row>
    <row r="20" spans="1:9" ht="14.45" customHeight="1" thickBot="1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45" customHeight="1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45" customHeight="1">
      <c r="A22" s="21"/>
      <c r="B22" s="21"/>
      <c r="C22" s="28" t="s">
        <v>138</v>
      </c>
      <c r="D22" s="157">
        <f>-Vendedor24!C27</f>
        <v>68200</v>
      </c>
      <c r="E22" s="157">
        <f>-Vendedor24!D27</f>
        <v>8184</v>
      </c>
      <c r="F22" s="158">
        <f>-Vendedor24!F27</f>
        <v>0</v>
      </c>
      <c r="G22" s="151">
        <f>+D22-E22-F22</f>
        <v>60016</v>
      </c>
      <c r="H22" s="21"/>
      <c r="I22" s="21"/>
    </row>
    <row r="23" spans="1:9" ht="14.45" customHeight="1" thickBot="1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45" customHeight="1" thickBot="1">
      <c r="A24" s="21"/>
      <c r="B24" s="21"/>
      <c r="C24" s="21"/>
      <c r="D24" s="21"/>
      <c r="E24" s="21"/>
      <c r="F24" s="143" t="s">
        <v>124</v>
      </c>
      <c r="G24" s="162">
        <f>G11+G19-G12+G22</f>
        <v>96418.5</v>
      </c>
      <c r="H24" s="21"/>
      <c r="I24" s="21"/>
    </row>
    <row r="25" spans="1:9" ht="14.45" customHeight="1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5"/>
  <cols>
    <col min="1" max="1" width="16.5703125" bestFit="1" customWidth="1"/>
    <col min="2" max="2" width="13.42578125" bestFit="1" customWidth="1"/>
    <col min="3" max="3" width="11.85546875" bestFit="1" customWidth="1"/>
    <col min="4" max="4" width="13.42578125" bestFit="1" customWidth="1"/>
    <col min="6" max="6" width="11" bestFit="1" customWidth="1"/>
    <col min="7" max="7" width="4.140625" customWidth="1"/>
    <col min="9" max="9" width="14.85546875" bestFit="1" customWidth="1"/>
    <col min="10" max="13" width="10.85546875" customWidth="1"/>
  </cols>
  <sheetData>
    <row r="2" spans="1:15">
      <c r="A2" s="278" t="str">
        <f ca="1">CONCATENATE("Tiempos Pana ",TEXT(I5,"dd-mm-yyyy"))</f>
        <v>Tiempos Pana 06-06-2026</v>
      </c>
      <c r="B2" s="278"/>
      <c r="C2" s="278"/>
      <c r="D2" s="278"/>
      <c r="E2" s="278"/>
      <c r="F2" s="278"/>
    </row>
    <row r="3" spans="1:15" ht="15.75" thickBot="1"/>
    <row r="4" spans="1:15" ht="16.5" thickBot="1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>
      <c r="A5" s="47" t="s">
        <v>37</v>
      </c>
      <c r="B5" s="150">
        <f>HojaNICA!D36</f>
        <v>772750</v>
      </c>
      <c r="C5" s="150">
        <f>HojaNICA!D37</f>
        <v>100457.5</v>
      </c>
      <c r="D5" s="150">
        <f>HojaNICA!D38</f>
        <v>582250</v>
      </c>
      <c r="E5" s="150"/>
      <c r="F5" s="151">
        <f>+B5-C5-D5+E5</f>
        <v>90042.5</v>
      </c>
      <c r="H5" s="249" t="s">
        <v>105</v>
      </c>
      <c r="I5" s="243">
        <f ca="1">TODAY()-2</f>
        <v>46179</v>
      </c>
      <c r="O5" s="119"/>
    </row>
    <row r="6" spans="1:15" ht="15.75" thickBot="1">
      <c r="A6" s="47" t="s">
        <v>36</v>
      </c>
      <c r="B6" s="150">
        <f>HojaTICA!D36</f>
        <v>1132350</v>
      </c>
      <c r="C6" s="150">
        <f>HojaTICA!D37</f>
        <v>147205.5</v>
      </c>
      <c r="D6" s="150">
        <f>HojaTICA!D38</f>
        <v>675750</v>
      </c>
      <c r="E6" s="150"/>
      <c r="F6" s="151">
        <f t="shared" ref="F6:F11" si="0">+B6-C6-D6+E6</f>
        <v>309394.5</v>
      </c>
      <c r="H6" s="256">
        <v>0</v>
      </c>
    </row>
    <row r="7" spans="1:15" ht="15.75" thickBot="1">
      <c r="A7" s="47" t="s">
        <v>38</v>
      </c>
      <c r="B7" s="150">
        <f>HojaREVENTADO!D37</f>
        <v>65200</v>
      </c>
      <c r="C7" s="150">
        <f>HojaREVENTADO!D38</f>
        <v>6520</v>
      </c>
      <c r="D7" s="150">
        <f>HojaREVENTADO!D39</f>
        <v>0</v>
      </c>
      <c r="E7" s="150"/>
      <c r="F7" s="151">
        <f t="shared" si="0"/>
        <v>58680</v>
      </c>
    </row>
    <row r="8" spans="1:15">
      <c r="A8" s="47" t="s">
        <v>96</v>
      </c>
      <c r="B8" s="150">
        <f>HojaPrimera!$D36</f>
        <v>145950</v>
      </c>
      <c r="C8" s="150">
        <f>HojaPrimera!$D37</f>
        <v>18973.5</v>
      </c>
      <c r="D8" s="150">
        <f>HojaPrimera!$D38</f>
        <v>68000</v>
      </c>
      <c r="E8" s="150"/>
      <c r="F8" s="151">
        <f t="shared" si="0"/>
        <v>58976.5</v>
      </c>
      <c r="H8" s="249" t="s">
        <v>153</v>
      </c>
    </row>
    <row r="9" spans="1:15" ht="15.75" thickBot="1">
      <c r="A9" s="47" t="s">
        <v>104</v>
      </c>
      <c r="B9" s="150">
        <f>HojaHonduras!$D36</f>
        <v>103550</v>
      </c>
      <c r="C9" s="150">
        <f>HojaHonduras!$D37</f>
        <v>13461.5</v>
      </c>
      <c r="D9" s="150">
        <f>HojaHonduras!$D38</f>
        <v>459000</v>
      </c>
      <c r="E9" s="150"/>
      <c r="F9" s="151">
        <f t="shared" si="0"/>
        <v>-368911.5</v>
      </c>
      <c r="H9" s="250">
        <f>+K12-K10-H6</f>
        <v>212126.93800000008</v>
      </c>
    </row>
    <row r="10" spans="1:15" ht="15.75" thickBot="1">
      <c r="A10" s="47" t="s">
        <v>20</v>
      </c>
      <c r="B10" s="150">
        <f>HojaDominicana!$D36</f>
        <v>73500</v>
      </c>
      <c r="C10" s="150">
        <f>HojaDominicana!$D37</f>
        <v>9555</v>
      </c>
      <c r="D10" s="150">
        <f>HojaDominicana!$D38</f>
        <v>0</v>
      </c>
      <c r="E10" s="150"/>
      <c r="F10" s="151">
        <f t="shared" si="0"/>
        <v>63945</v>
      </c>
      <c r="H10" s="154"/>
      <c r="J10" t="s">
        <v>148</v>
      </c>
      <c r="K10" s="252">
        <v>2019779.06</v>
      </c>
    </row>
    <row r="11" spans="1:15" ht="15.75" thickBot="1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2231906.06</v>
      </c>
    </row>
    <row r="12" spans="1:15" ht="16.5" thickBot="1">
      <c r="A12" s="144" t="s">
        <v>5</v>
      </c>
      <c r="B12" s="152">
        <f>SUM(B5:B11)</f>
        <v>2293300</v>
      </c>
      <c r="C12" s="152">
        <f>SUM(C5:C11)</f>
        <v>296173</v>
      </c>
      <c r="D12" s="152">
        <f>SUM(D5:D11)</f>
        <v>1785000</v>
      </c>
      <c r="E12" s="152"/>
      <c r="F12" s="255">
        <f>SUM(F5:F11)</f>
        <v>212127</v>
      </c>
      <c r="H12" s="251">
        <f>K12</f>
        <v>2231905.9980000001</v>
      </c>
      <c r="J12" t="s">
        <v>140</v>
      </c>
      <c r="K12" s="254">
        <f>-4172455.26+1666605.34+2375859.5+2361896.418</f>
        <v>2231905.9980000001</v>
      </c>
    </row>
    <row r="13" spans="1:15">
      <c r="M13" s="154"/>
    </row>
    <row r="14" spans="1:15">
      <c r="M14" s="43"/>
    </row>
    <row r="15" spans="1:15">
      <c r="M15" s="43"/>
    </row>
    <row r="16" spans="1:1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147700</v>
      </c>
      <c r="K4" s="231">
        <f t="shared" ref="K4" si="0">D7+D11+D15</f>
        <v>19201</v>
      </c>
      <c r="L4" s="220">
        <f>F7+F11+F15</f>
        <v>17000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IF(DigitaNICA!C4&lt;&gt;"",DigitaNICA!C4,"")</f>
        <v>34400</v>
      </c>
      <c r="D5" s="42">
        <f>IF(C5="",0,C5*J$10)</f>
        <v>4472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29928</v>
      </c>
      <c r="I5" s="241" t="s">
        <v>37</v>
      </c>
      <c r="J5" s="221">
        <f>SUM(IF(C5="",0,C5),IF(C9="",0,C9),IF(C13="",0,C13),IF(C17="",0,C17))</f>
        <v>52250</v>
      </c>
      <c r="K5" s="225">
        <f t="shared" ref="K5" si="2">D5+D9+D13+D17</f>
        <v>6792.5</v>
      </c>
      <c r="L5" s="222">
        <f>F5+F9+F13+F17</f>
        <v>8000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7000</v>
      </c>
      <c r="K6" s="228">
        <f>D19+D20</f>
        <v>910</v>
      </c>
      <c r="L6" s="229">
        <f>F19+F20</f>
        <v>20000</v>
      </c>
    </row>
    <row r="7" spans="1:12" ht="15.75" thickBot="1">
      <c r="A7" s="28" t="s">
        <v>46</v>
      </c>
      <c r="B7" s="132">
        <f>IF(DigitaTICA!C2&lt;&gt;"",DigitaTICA!C2,"")</f>
        <v>27</v>
      </c>
      <c r="C7" s="29">
        <f>IF(DigitaTICA!C4&lt;&gt;"",DigitaTICA!C4,"")</f>
        <v>56250</v>
      </c>
      <c r="D7" s="42">
        <f>IF(C7="",0,C7*J$9)</f>
        <v>7312.5</v>
      </c>
      <c r="E7" s="29">
        <f>IF(DigitaTICA!D4&lt;&gt;"",DigitaTICA!D4,"")</f>
        <v>200</v>
      </c>
      <c r="F7" s="42">
        <f>IF(E7="",0,E7*PREMIOS!F7)</f>
        <v>17000</v>
      </c>
      <c r="G7" s="30">
        <f t="shared" si="1"/>
        <v>31937.5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11</v>
      </c>
      <c r="C9" s="29">
        <f>IF(DigitaNICA!E4&lt;&gt;"",DigitaNICA!E4,"")</f>
        <v>11750</v>
      </c>
      <c r="D9" s="42">
        <f>IF(C9="",0,C9*J$10)</f>
        <v>1527.5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2222.5</v>
      </c>
      <c r="I9" s="76" t="s">
        <v>36</v>
      </c>
      <c r="J9" s="77">
        <v>0.13</v>
      </c>
      <c r="K9" s="78">
        <f>MROUND(D7+D11+D15,50)</f>
        <v>19200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6800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IF(DigitaTICA!E4&lt;&gt;"",DigitaTICA!E4,"")</f>
        <v>37900</v>
      </c>
      <c r="D11" s="42">
        <f>IF(C11="",0,C11*J$9)</f>
        <v>4927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32973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>
      <c r="A13" s="28" t="s">
        <v>50</v>
      </c>
      <c r="B13" s="132">
        <f>IF(DigitaNICA!G2&lt;&gt;"",DigitaNICA!G2,"")</f>
        <v>78</v>
      </c>
      <c r="C13" s="29">
        <f>IF(DigitaNICA!G4&lt;&gt;"",DigitaNICA!G4,"")</f>
        <v>3850</v>
      </c>
      <c r="D13" s="42">
        <f>IF(C13="",0,C13*J$10)</f>
        <v>500.5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3349.5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IF(DigitaTICA!G4&lt;&gt;"",DigitaTICA!G4,"")</f>
        <v>53550</v>
      </c>
      <c r="D15" s="42">
        <f>IF(C15="",0,C15*J$9)</f>
        <v>6961.5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46588.5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>
        <f>IF(DigitaNICA!I4&lt;&gt;"",DigitaNICA!I4,"")</f>
        <v>2250</v>
      </c>
      <c r="D17" s="42">
        <f>IF(C17="",0,C17*J$10)</f>
        <v>292.5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1957.5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>
        <f>IF(DigitaPRIMERA!C4&lt;&gt;"",DigitaPRIMERA!C4,"")</f>
        <v>6000</v>
      </c>
      <c r="D19" s="42">
        <f>IF(C19="",0,C19*J$12)</f>
        <v>780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5220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250</v>
      </c>
      <c r="F20" s="42">
        <f>IF(E20="",0,E20*PREMIOS!E19)</f>
        <v>20000</v>
      </c>
      <c r="G20" s="30">
        <f t="shared" ref="G20" si="5">IF(OR(C20="",E20=""),0,C20-D20-F20)</f>
        <v>-19130</v>
      </c>
    </row>
    <row r="21" spans="1:7" ht="15.75" thickBot="1">
      <c r="A21" s="121" t="s">
        <v>5</v>
      </c>
      <c r="B21" s="128"/>
      <c r="C21" s="122">
        <f>SUM(C5:C20)</f>
        <v>206950</v>
      </c>
      <c r="D21" s="122">
        <f t="shared" ref="D21:G21" si="6">SUM(D5:D20)</f>
        <v>26903.5</v>
      </c>
      <c r="E21" s="122">
        <f t="shared" si="6"/>
        <v>550</v>
      </c>
      <c r="F21" s="122">
        <f t="shared" si="6"/>
        <v>45000</v>
      </c>
      <c r="G21" s="123">
        <f t="shared" si="6"/>
        <v>135046.5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188300</v>
      </c>
      <c r="K4" s="231">
        <f t="shared" ref="K4" si="0">D7+D11+D15</f>
        <v>24479</v>
      </c>
      <c r="L4" s="220">
        <f>F7+F11+F15</f>
        <v>170000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IF(DigitaNICA!C5&lt;&gt;"",DigitaNICA!C5,"")</f>
        <v>21100</v>
      </c>
      <c r="D5" s="42">
        <f>IF(C5="",0,C5*J$10)</f>
        <v>2743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18357</v>
      </c>
      <c r="I5" s="241" t="s">
        <v>37</v>
      </c>
      <c r="J5" s="221">
        <f>SUM(IF(C5="",0,C5),IF(C9="",0,C9),IF(C13="",0,C13),IF(C17="",0,C17))</f>
        <v>35200</v>
      </c>
      <c r="K5" s="225">
        <f t="shared" ref="K5" si="2">D5+D9+D13+D17</f>
        <v>4576</v>
      </c>
      <c r="L5" s="222">
        <f>F5+F9+F13+F17</f>
        <v>16000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10700</v>
      </c>
      <c r="K6" s="228">
        <f>D19+D20</f>
        <v>1391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>
        <f>IF(DigitaTICA!C5&lt;&gt;"",DigitaTICA!C5,"")</f>
        <v>55950</v>
      </c>
      <c r="D7" s="42">
        <f>IF(C7="",0,C7*J$9)</f>
        <v>7273.5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48676.5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11</v>
      </c>
      <c r="C9" s="29">
        <f>IF(DigitaNICA!E5&lt;&gt;"",DigitaNICA!E5,"")</f>
        <v>3900</v>
      </c>
      <c r="D9" s="42">
        <f>IF(C9="",0,C9*J$10)</f>
        <v>507</v>
      </c>
      <c r="E9" s="29">
        <f>IF(DigitaNICA!F5&lt;&gt;"",DigitaNICA!F5,"")</f>
        <v>200</v>
      </c>
      <c r="F9" s="42">
        <f>IF(E9="",0,E9*PREMIOS!E9)</f>
        <v>16000</v>
      </c>
      <c r="G9" s="30">
        <f t="shared" si="1"/>
        <v>-12607</v>
      </c>
      <c r="I9" s="60" t="s">
        <v>36</v>
      </c>
      <c r="J9" s="61">
        <v>0.13</v>
      </c>
      <c r="K9" s="62">
        <f>MROUND(D7+D11+D15,50)</f>
        <v>24500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IF(DigitaTICA!E5&lt;&gt;"",DigitaTICA!E5,"")</f>
        <v>50350</v>
      </c>
      <c r="D11" s="42">
        <f>IF(C11="",0,C11*J$9)</f>
        <v>6545.5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43804.5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>
      <c r="A13" s="28" t="s">
        <v>50</v>
      </c>
      <c r="B13" s="132">
        <f>IF(DigitaNICA!G2&lt;&gt;"",DigitaNICA!G2,"")</f>
        <v>78</v>
      </c>
      <c r="C13" s="29">
        <f>IF(DigitaNICA!G5&lt;&gt;"",DigitaNICA!G5,"")</f>
        <v>9700</v>
      </c>
      <c r="D13" s="42">
        <f>IF(C13="",0,C13*J$10)</f>
        <v>1261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8439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IF(DigitaTICA!G5&lt;&gt;"",DigitaTICA!G5,"")</f>
        <v>82000</v>
      </c>
      <c r="D15" s="42">
        <f>IF(C15="",0,C15*J$9)</f>
        <v>10660</v>
      </c>
      <c r="E15" s="29">
        <f>IF(DigitaTICA!H5&lt;&gt;"",DigitaTICA!H5,"")</f>
        <v>2000</v>
      </c>
      <c r="F15" s="42">
        <f>IF(E15="",0,E15*PREMIOS!F15)</f>
        <v>170000</v>
      </c>
      <c r="G15" s="30">
        <f t="shared" si="3"/>
        <v>-98660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>
        <f>IF(DigitaNICA!I5&lt;&gt;"",DigitaNICA!I5,"")</f>
        <v>500</v>
      </c>
      <c r="D17" s="42">
        <f>IF(C17="",0,C17*J$10)</f>
        <v>65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435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>
        <f>IF(DigitaPRIMERA!C5&lt;&gt;"",DigitaPRIMERA!C5,"")</f>
        <v>9300</v>
      </c>
      <c r="D19" s="42">
        <f>IF(C19="",0,C19*J$12)</f>
        <v>1209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8091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IF(DigitaPRIMERA!E5&lt;&gt;"",DigitaPRIMERA!E5,"")</f>
        <v>1400</v>
      </c>
      <c r="D20" s="42">
        <f>IF(C20="",0,C20*J$12)</f>
        <v>182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1218</v>
      </c>
    </row>
    <row r="21" spans="1:7" ht="15.75" thickBot="1">
      <c r="A21" s="67" t="s">
        <v>5</v>
      </c>
      <c r="B21" s="127"/>
      <c r="C21" s="68">
        <f>SUM(C5:C20)</f>
        <v>234200</v>
      </c>
      <c r="D21" s="68">
        <f t="shared" ref="D21:G21" si="4">SUM(D5:D20)</f>
        <v>30446</v>
      </c>
      <c r="E21" s="68">
        <f t="shared" si="4"/>
        <v>2200</v>
      </c>
      <c r="F21" s="68">
        <f t="shared" si="4"/>
        <v>186000</v>
      </c>
      <c r="G21" s="88">
        <f t="shared" si="4"/>
        <v>17754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9.14062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>
      <c r="A9" s="28" t="s">
        <v>48</v>
      </c>
      <c r="B9" s="132">
        <f>IF(DigitaNICA!E2&lt;&gt;"",DigitaNICA!E2,"")</f>
        <v>11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.75" thickBot="1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.75" thickBot="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11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.75" thickBot="1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150900</v>
      </c>
      <c r="K4" s="231">
        <f t="shared" ref="K4" si="0">D7+D11+D15</f>
        <v>18108</v>
      </c>
      <c r="L4" s="220">
        <f>F7+F11+F15</f>
        <v>170000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IF(DigitaNICA!C8&lt;&gt;"",DigitaNICA!C8,"")</f>
        <v>75350</v>
      </c>
      <c r="D5" s="42">
        <f>IF(C5="",0,C5*J$12)</f>
        <v>9042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66308</v>
      </c>
      <c r="I5" s="241" t="s">
        <v>37</v>
      </c>
      <c r="J5" s="221">
        <f>SUM(IF(C5="",0,C5),IF(C9="",0,C9),IF(C13="",0,C13),IF(C17="",0,C17))</f>
        <v>152750</v>
      </c>
      <c r="K5" s="225">
        <f t="shared" ref="K5" si="2">D5+D9+D13+D17</f>
        <v>18330</v>
      </c>
      <c r="L5" s="222">
        <f>F5+F9+F13+F17</f>
        <v>120000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>
        <f>IF(DigitaTICA!C8&lt;&gt;"",DigitaTICA!C8,"")</f>
        <v>59200</v>
      </c>
      <c r="D7" s="42">
        <f>IF(C7="",0,C7*J$11)</f>
        <v>7104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9596</v>
      </c>
      <c r="I7" s="242" t="s">
        <v>96</v>
      </c>
      <c r="J7" s="224">
        <f>SUM(IF(C19="",0,C19),IF(C20="",0,C20))</f>
        <v>41000</v>
      </c>
      <c r="K7" s="228">
        <f>+D19+D20</f>
        <v>4920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11</v>
      </c>
      <c r="C9" s="29">
        <f>IF(DigitaNICA!E8&lt;&gt;"",DigitaNICA!E8,"")</f>
        <v>51150</v>
      </c>
      <c r="D9" s="42">
        <f>IF(C9="",0,C9*J$12)</f>
        <v>6138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5012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>
        <f>IF(DigitaTICA!E8&lt;&gt;"",DigitaTICA!E8,"")</f>
        <v>54200</v>
      </c>
      <c r="D11" s="42">
        <f>IF(C11="",0,C11*J$11)</f>
        <v>6504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5196</v>
      </c>
      <c r="I11" s="60" t="s">
        <v>36</v>
      </c>
      <c r="J11" s="61">
        <v>0.12</v>
      </c>
      <c r="K11" s="62">
        <f>MROUND(D7+D11+D15,50)</f>
        <v>18100</v>
      </c>
    </row>
    <row r="12" spans="1:12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18350</v>
      </c>
    </row>
    <row r="13" spans="1:12">
      <c r="A13" s="28" t="s">
        <v>50</v>
      </c>
      <c r="B13" s="132">
        <f>IF(DigitaNICA!G2&lt;&gt;"",DigitaNICA!G2,"")</f>
        <v>78</v>
      </c>
      <c r="C13" s="29">
        <f>IF(DigitaNICA!G8&lt;&gt;"",DigitaNICA!G8,"")</f>
        <v>8900</v>
      </c>
      <c r="D13" s="42">
        <f>IF(C13="",0,C13*J$12)</f>
        <v>1068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7832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4900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IF(DigitaTICA!G8&lt;&gt;"",DigitaTICA!G8,"")</f>
        <v>37500</v>
      </c>
      <c r="D15" s="42">
        <f>IF(C15="",0,C15*J$11)</f>
        <v>4500</v>
      </c>
      <c r="E15" s="29">
        <f>IF(DigitaTICA!H8&lt;&gt;"",DigitaTICA!H8,"")</f>
        <v>1000</v>
      </c>
      <c r="F15" s="42">
        <f>IF(E15="",0,E15*PREMIOS!F15)</f>
        <v>85000</v>
      </c>
      <c r="G15" s="30">
        <f t="shared" si="4"/>
        <v>-52000</v>
      </c>
      <c r="I15" s="115"/>
    </row>
    <row r="16" spans="1:12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69</v>
      </c>
      <c r="C17" s="29">
        <f>IF(DigitaNICA!I8&lt;&gt;"",DigitaNICA!I8,"")</f>
        <v>17350</v>
      </c>
      <c r="D17" s="42">
        <f>IF(C17="",0,C17*J$12)</f>
        <v>2082</v>
      </c>
      <c r="E17" s="29">
        <f>IF(DigitaNICA!J8&lt;&gt;"",DigitaNICA!J8,"")</f>
        <v>1000</v>
      </c>
      <c r="F17" s="42">
        <f>IF(E17="",0,E17*PREMIOS!E17)</f>
        <v>80000</v>
      </c>
      <c r="G17" s="30">
        <f t="shared" si="4"/>
        <v>-64732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38</v>
      </c>
      <c r="C19" s="29">
        <f>IF(DigitaPRIMERA!C8&lt;&gt;"",DigitaPRIMERA!C8,"")</f>
        <v>26300</v>
      </c>
      <c r="D19" s="42">
        <f>IF(C19="",0,C19*J$14)</f>
        <v>3156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23144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IF(DigitaPRIMERA!E8&lt;&gt;"",DigitaPRIMERA!E8,"")</f>
        <v>14700</v>
      </c>
      <c r="D20" s="42">
        <f>IF(C20="",0,C20*J$14)</f>
        <v>1764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12936</v>
      </c>
    </row>
    <row r="21" spans="1:7" ht="15.75" thickBot="1">
      <c r="A21" s="121" t="s">
        <v>5</v>
      </c>
      <c r="B21" s="128"/>
      <c r="C21" s="122">
        <f>SUM(C5:C20)</f>
        <v>344650</v>
      </c>
      <c r="D21" s="122">
        <f t="shared" ref="D21:G21" si="5">SUM(D5:D20)</f>
        <v>41358</v>
      </c>
      <c r="E21" s="122">
        <f t="shared" si="5"/>
        <v>3500</v>
      </c>
      <c r="F21" s="122">
        <f t="shared" si="5"/>
        <v>290000</v>
      </c>
      <c r="G21" s="123">
        <f t="shared" si="5"/>
        <v>13292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.75" thickBot="1">
      <c r="I3" s="238"/>
      <c r="J3" s="244" t="s">
        <v>39</v>
      </c>
      <c r="K3" s="245" t="s">
        <v>141</v>
      </c>
      <c r="L3" s="246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11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>
        <f>IF(DigitaTICA!G2&lt;&gt;"",DigitaTICA!G2,"")</f>
        <v>62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.75" thickBot="1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8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2" width="11.5703125" style="21" customWidth="1"/>
    <col min="13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407700</v>
      </c>
      <c r="K4" s="231">
        <f t="shared" ref="K4" si="0">D7+D11+D15</f>
        <v>48924</v>
      </c>
      <c r="L4" s="220">
        <f>F7+F11+F15</f>
        <v>216750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IF(DigitaNICA!C10&lt;&gt;"",DigitaNICA!C10,"")</f>
        <v>133300</v>
      </c>
      <c r="D5" s="42">
        <f>IF(C5="",0,C5*J$15)</f>
        <v>15996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117304</v>
      </c>
      <c r="I5" s="217" t="s">
        <v>37</v>
      </c>
      <c r="J5" s="221">
        <f>SUM(IF(C5="",0,C5),IF(C9="",0,C9),IF(C13="",0,C13),IF(C17="",0,C17))</f>
        <v>360000</v>
      </c>
      <c r="K5" s="225">
        <f t="shared" ref="K5" si="2">D5+D9+D13+D17</f>
        <v>43200</v>
      </c>
      <c r="L5" s="222">
        <f>F5+F9+F13+F17</f>
        <v>323000</v>
      </c>
    </row>
    <row r="6" spans="1:12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62750</v>
      </c>
      <c r="K6" s="226">
        <f t="shared" ref="K6" si="3">+D8+D12+D16</f>
        <v>6275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27</v>
      </c>
      <c r="C7" s="29">
        <f>IF(DigitaTICA!C10&lt;&gt;"",DigitaTICA!C10,"")</f>
        <v>156300</v>
      </c>
      <c r="D7" s="42">
        <f>IF(C7="",0,C7*J$14)</f>
        <v>18756</v>
      </c>
      <c r="E7" s="29">
        <f>IF(DigitaTICA!D10&lt;&gt;"",DigitaTICA!D10,"")</f>
        <v>1950</v>
      </c>
      <c r="F7" s="42">
        <f>IF(E7="",0,E7*PREMIOS!F7)</f>
        <v>165750</v>
      </c>
      <c r="G7" s="30">
        <f t="shared" si="1"/>
        <v>-28206</v>
      </c>
      <c r="I7" s="217" t="s">
        <v>96</v>
      </c>
      <c r="J7" s="223">
        <f>SUM(IF(C19="",0,C19),IF(C20="",0,C20))</f>
        <v>58050</v>
      </c>
      <c r="K7" s="226">
        <f>+D19+D20</f>
        <v>6966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29">
        <f>IF(DigitaREVENTADO!C10&lt;&gt;"",DigitaREVENTADO!C10,"")</f>
        <v>22300</v>
      </c>
      <c r="D8" s="42">
        <f>IF(C8="",0,C8*J$16)</f>
        <v>2230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20070</v>
      </c>
      <c r="I8" s="217" t="s">
        <v>104</v>
      </c>
      <c r="J8" s="223">
        <f>SUM(IF(C21="",0,C21),IF(C22="",0,C22),IF(C23="",0,C23))</f>
        <v>97550</v>
      </c>
      <c r="K8" s="226">
        <f t="shared" ref="K8" si="4">D21+D22+D23</f>
        <v>11706</v>
      </c>
      <c r="L8" s="227">
        <f>F21+F22+F23</f>
        <v>459000</v>
      </c>
    </row>
    <row r="9" spans="1:12">
      <c r="A9" s="28" t="s">
        <v>48</v>
      </c>
      <c r="B9" s="132">
        <f>IF(DigitaNICA!E2&lt;&gt;"",DigitaNICA!E2,"")</f>
        <v>11</v>
      </c>
      <c r="C9" s="29">
        <f>IF(DigitaNICA!E10&lt;&gt;"",DigitaNICA!E10,"")</f>
        <v>76850</v>
      </c>
      <c r="D9" s="42">
        <f>IF(C9="",0,C9*J$15)</f>
        <v>9222</v>
      </c>
      <c r="E9" s="29">
        <f>IF(DigitaNICA!F10&lt;&gt;"",DigitaNICA!F10,"")</f>
        <v>550</v>
      </c>
      <c r="F9" s="42">
        <f>IF(E9="",0,E9*PREMIOS!F9)</f>
        <v>46750</v>
      </c>
      <c r="G9" s="30">
        <f t="shared" si="1"/>
        <v>20878</v>
      </c>
      <c r="I9" s="217" t="s">
        <v>20</v>
      </c>
      <c r="J9" s="223">
        <f>SUM(IF(C24="",0,C24),IF(C25="",0,C25))</f>
        <v>73500</v>
      </c>
      <c r="K9" s="226">
        <f t="shared" ref="K9" si="5">+D24+D25</f>
        <v>8820</v>
      </c>
      <c r="L9" s="227">
        <f>F24+F25</f>
        <v>0</v>
      </c>
    </row>
    <row r="10" spans="1:12" ht="15.75" thickBot="1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29">
        <f>IF(DigitaTICA!E10&lt;&gt;"",DigitaTICA!E10,"")</f>
        <v>133200</v>
      </c>
      <c r="D11" s="42">
        <f>IF(C11="",0,C11*J$14)</f>
        <v>15984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117216</v>
      </c>
    </row>
    <row r="12" spans="1:12" ht="15.75" thickBot="1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20900</v>
      </c>
      <c r="D12" s="42">
        <f>IF(C12="",0,C12*J$16)</f>
        <v>2090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18810</v>
      </c>
    </row>
    <row r="13" spans="1:12" ht="15.75" thickBot="1">
      <c r="A13" s="28" t="s">
        <v>50</v>
      </c>
      <c r="B13" s="132">
        <f>IF(DigitaNICA!G2&lt;&gt;"",DigitaNICA!G2,"")</f>
        <v>78</v>
      </c>
      <c r="C13" s="29">
        <f>IF(DigitaNICA!G10&lt;&gt;"",DigitaNICA!G10,"")</f>
        <v>63400</v>
      </c>
      <c r="D13" s="42">
        <f>IF(C13="",0,C13*J$15)</f>
        <v>7608</v>
      </c>
      <c r="E13" s="29">
        <f>IF(DigitaNICA!H10&lt;&gt;"",DigitaNICA!H10,"")</f>
        <v>150</v>
      </c>
      <c r="F13" s="42">
        <f>IF(E13="",0,E13*PREMIOS!F13)</f>
        <v>12750</v>
      </c>
      <c r="G13" s="30">
        <f>IF(OR(C13="",E13=""),0,C13-D13-F13)</f>
        <v>43042</v>
      </c>
      <c r="I13" s="279" t="s">
        <v>34</v>
      </c>
      <c r="J13" s="279"/>
      <c r="K13" s="279"/>
    </row>
    <row r="14" spans="1:12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48900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IF(DigitaTICA!G10&lt;&gt;"",DigitaTICA!G10,"")</f>
        <v>118200</v>
      </c>
      <c r="D15" s="42">
        <f>IF(C15="",0,C15*J$14)</f>
        <v>14184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53016</v>
      </c>
      <c r="I15" s="63" t="s">
        <v>37</v>
      </c>
      <c r="J15" s="64">
        <v>0.12</v>
      </c>
      <c r="K15" s="30">
        <f>MROUND(D5+D9+D13+D17,50)</f>
        <v>43200</v>
      </c>
    </row>
    <row r="16" spans="1:12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19550</v>
      </c>
      <c r="D16" s="42">
        <f>IF(C16="",0,C16*J$16)</f>
        <v>1955</v>
      </c>
      <c r="E16" s="29">
        <f>IF(DigitaREVENTADO!H10&lt;&gt;"",DigitaREVENTADO!H10,"")</f>
        <v>350</v>
      </c>
      <c r="F16" s="42">
        <f>IF(E16="",0,E16*PREMIOS!F16)</f>
        <v>0</v>
      </c>
      <c r="G16" s="30">
        <f t="shared" si="6"/>
        <v>17595</v>
      </c>
      <c r="I16" s="63" t="s">
        <v>38</v>
      </c>
      <c r="J16" s="64">
        <v>0.1</v>
      </c>
      <c r="K16" s="30">
        <f>MROUND(D6+D8+D10+D12+D14+D16+D18,50)</f>
        <v>6300</v>
      </c>
    </row>
    <row r="17" spans="1:11">
      <c r="A17" s="28" t="s">
        <v>52</v>
      </c>
      <c r="B17" s="132">
        <f>IF(DigitaNICA!I2&lt;&gt;"",DigitaNICA!I2,"")</f>
        <v>69</v>
      </c>
      <c r="C17" s="29">
        <f>IF(DigitaNICA!I10&lt;&gt;"",DigitaNICA!I10,"")</f>
        <v>86450</v>
      </c>
      <c r="D17" s="42">
        <f>IF(C17="",0,C17*J$15)</f>
        <v>10374</v>
      </c>
      <c r="E17" s="29">
        <f>IF(DigitaNICA!J10&lt;&gt;"",DigitaNICA!J10,"")</f>
        <v>3100</v>
      </c>
      <c r="F17" s="42">
        <f>IF(E17="",0,E17*PREMIOS!F17)</f>
        <v>263500</v>
      </c>
      <c r="G17" s="30">
        <f t="shared" si="6"/>
        <v>-187424</v>
      </c>
      <c r="I17" s="63" t="s">
        <v>96</v>
      </c>
      <c r="J17" s="64">
        <v>0.12</v>
      </c>
      <c r="K17" s="30">
        <f>MROUND(D19+D20,50)</f>
        <v>6950</v>
      </c>
    </row>
    <row r="18" spans="1:11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11700</v>
      </c>
    </row>
    <row r="19" spans="1:11">
      <c r="A19" s="28" t="s">
        <v>97</v>
      </c>
      <c r="B19" s="132">
        <f>IF(DigitaPRIMERA!C2&lt;&gt;"",DigitaPRIMERA!C2,"")</f>
        <v>38</v>
      </c>
      <c r="C19" s="29">
        <f>IF(DigitaPRIMERA!$C$10&lt;&gt;"",DigitaPRIMERA!$C$10,"")</f>
        <v>58050</v>
      </c>
      <c r="D19" s="42">
        <f>IF(C19="",0,C19*J$17)</f>
        <v>6966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51084</v>
      </c>
      <c r="I19" s="63" t="s">
        <v>20</v>
      </c>
      <c r="J19" s="64">
        <v>0.12</v>
      </c>
      <c r="K19" s="30">
        <f>MROUND(D24+D25,50)</f>
        <v>8800</v>
      </c>
    </row>
    <row r="20" spans="1:11" ht="15.75" thickBot="1">
      <c r="A20" s="28" t="s">
        <v>98</v>
      </c>
      <c r="B20" s="132">
        <f>IF(DigitaPRIMERA!E2&lt;&gt;"",DigitaPRIMERA!E2,"")</f>
        <v>95</v>
      </c>
      <c r="C20" s="29" t="str">
        <f>IF(DigitaPRIMERA!$E$10&lt;&gt;"",DigitaPRIMERA!$E$10,"")</f>
        <v/>
      </c>
      <c r="D20" s="42">
        <f>IF(C20="",0,C20*J$17)</f>
        <v>0</v>
      </c>
      <c r="E20" s="29" t="str">
        <f>IF(DigitaPRIMERA!$F$10&lt;&gt;"",DigitaPRIMERA!$F$10,"")</f>
        <v/>
      </c>
      <c r="F20" s="42">
        <f>IF(E20="",0,E20*PREMIOS!F19)</f>
        <v>0</v>
      </c>
      <c r="G20" s="30">
        <f t="shared" si="7"/>
        <v>0</v>
      </c>
      <c r="I20" s="65" t="s">
        <v>21</v>
      </c>
      <c r="J20" s="66">
        <v>0.12</v>
      </c>
      <c r="K20" s="50">
        <f>MROUND(D26,50)</f>
        <v>0</v>
      </c>
    </row>
    <row r="21" spans="1:11">
      <c r="A21" s="28" t="s">
        <v>99</v>
      </c>
      <c r="B21" s="132">
        <f>IF(DigitaHONDURAS!C2&lt;&gt;"",DigitaHONDURAS!C2,"")</f>
        <v>14</v>
      </c>
      <c r="C21" s="29">
        <f>IF(DigitaHONDURAS!$C$10&lt;&gt;"",DigitaHONDURAS!$C$10,"")</f>
        <v>34500</v>
      </c>
      <c r="D21" s="42">
        <f>IF(C21="",0,C21*J$18)</f>
        <v>4140</v>
      </c>
      <c r="E21" s="29">
        <f>IF(DigitaHONDURAS!$D$10&lt;&gt;"",DigitaHONDURAS!$D$10,"")</f>
        <v>1400</v>
      </c>
      <c r="F21" s="42">
        <f>IF(E21="",0,E21*PREMIOS!F20)</f>
        <v>119000</v>
      </c>
      <c r="G21" s="30">
        <f t="shared" si="7"/>
        <v>-88640</v>
      </c>
    </row>
    <row r="22" spans="1:11">
      <c r="A22" s="28" t="s">
        <v>100</v>
      </c>
      <c r="B22" s="132">
        <f>IF(DigitaHONDURAS!E2&lt;&gt;"",DigitaHONDURAS!E2,"")</f>
        <v>59</v>
      </c>
      <c r="C22" s="29">
        <f>IF(DigitaHONDURAS!$E$10&lt;&gt;"",DigitaHONDURAS!$E$10,"")</f>
        <v>36350</v>
      </c>
      <c r="D22" s="42">
        <f>IF(C22="",0,C22*J$18)</f>
        <v>4362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31988</v>
      </c>
    </row>
    <row r="23" spans="1:11">
      <c r="A23" s="28" t="s">
        <v>101</v>
      </c>
      <c r="B23" s="132">
        <f>IF(DigitaHONDURAS!G2&lt;&gt;"",DigitaHONDURAS!G2,"")</f>
        <v>48</v>
      </c>
      <c r="C23" s="29">
        <f>IF(DigitaHONDURAS!$G$10&lt;&gt;"",DigitaHONDURAS!$G$10,"")</f>
        <v>26700</v>
      </c>
      <c r="D23" s="42">
        <f>IF(C23="",0,C23*J$18)</f>
        <v>3204</v>
      </c>
      <c r="E23" s="29">
        <f>IF(DigitaHONDURAS!$H$10&lt;&gt;"",DigitaHONDURAS!$H$10,"")</f>
        <v>4000</v>
      </c>
      <c r="F23" s="42">
        <f>IF(E23="",0,E23*PREMIOS!F20)</f>
        <v>340000</v>
      </c>
      <c r="G23" s="30">
        <f t="shared" ref="G23:G26" si="8">IF(OR(C23="",E23=""),0,C23-D23-F23)</f>
        <v>-316504</v>
      </c>
    </row>
    <row r="24" spans="1:11">
      <c r="A24" s="28" t="s">
        <v>107</v>
      </c>
      <c r="B24" s="132">
        <f>IF(DigitaDOMINICANA!C2&lt;&gt;"",DigitaDOMINICANA!C2,"")</f>
        <v>13</v>
      </c>
      <c r="C24" s="29">
        <f>IF(DigitaDOMINICANA!$C$10&lt;&gt;"",DigitaDOMINICANA!$C$10,"")</f>
        <v>36500</v>
      </c>
      <c r="D24" s="42">
        <f>IF(C24="",0,C24*J$19)</f>
        <v>4380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32120</v>
      </c>
    </row>
    <row r="25" spans="1:11">
      <c r="A25" s="28" t="s">
        <v>108</v>
      </c>
      <c r="B25" s="132" t="str">
        <f>IF(DigitaDOMINICANA!E2&lt;&gt;"",DigitaDOMINICANA!E2,"")</f>
        <v>07</v>
      </c>
      <c r="C25" s="29">
        <f>IF(DigitaDOMINICANA!$E$10&lt;&gt;"",DigitaDOMINICANA!$E$10,"")</f>
        <v>37000</v>
      </c>
      <c r="D25" s="42">
        <f>IF(C25="",0,C25*J$19)</f>
        <v>4440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32560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.75" thickBot="1">
      <c r="A27" s="67" t="s">
        <v>5</v>
      </c>
      <c r="B27" s="127"/>
      <c r="C27" s="68">
        <f>SUM(C5:C26)</f>
        <v>1059550</v>
      </c>
      <c r="D27" s="68">
        <f t="shared" ref="D27:F27" si="9">SUM(D5:D26)</f>
        <v>125891</v>
      </c>
      <c r="E27" s="68">
        <f t="shared" si="9"/>
        <v>12100</v>
      </c>
      <c r="F27" s="68">
        <f t="shared" si="9"/>
        <v>998750</v>
      </c>
      <c r="G27" s="88">
        <f>SUM(G5:G26)</f>
        <v>-65091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4" style="21" customWidth="1"/>
    <col min="9" max="12" width="11.5703125" style="21" customWidth="1"/>
    <col min="13" max="13" width="7.42578125" style="21" customWidth="1"/>
    <col min="14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.75" thickBot="1">
      <c r="I3" s="238"/>
      <c r="J3" s="52" t="s">
        <v>39</v>
      </c>
      <c r="K3" s="239" t="s">
        <v>141</v>
      </c>
      <c r="L3" s="5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.75" thickBot="1">
      <c r="A9" s="28" t="s">
        <v>48</v>
      </c>
      <c r="B9" s="132">
        <f>IF(DigitaNICA!E2&lt;&gt;"",DigitaNICA!E2,"")</f>
        <v>11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.75" thickBot="1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>
      <c r="A19" s="28" t="s">
        <v>97</v>
      </c>
      <c r="B19" s="132">
        <f>IF(DigitaPRIMERA!C2&lt;&gt;"",DigitaPRIMERA!C2,"")</f>
        <v>38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.75" thickBot="1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ML28"/>
  <sheetViews>
    <sheetView showGridLines="0" zoomScale="90" zoomScaleNormal="9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4" width="11.42578125" style="21"/>
    <col min="15" max="15" width="8.140625" style="21" customWidth="1"/>
    <col min="16" max="1026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35200</v>
      </c>
      <c r="K4" s="231">
        <f>D7+D11+D15</f>
        <v>4224</v>
      </c>
      <c r="L4" s="220">
        <f>F7+F11+F15</f>
        <v>51000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IF(DigitaNICA!C12&lt;&gt;"",DigitaNICA!C12,"")</f>
        <v>19350</v>
      </c>
      <c r="D5" s="42">
        <f>IF(C5="",0,C5*J$12)</f>
        <v>2322</v>
      </c>
      <c r="E5" s="29">
        <f>IF(DigitaNICA!D12&lt;&gt;"",DigitaNICA!D12,"")</f>
        <v>450</v>
      </c>
      <c r="F5" s="42">
        <f>IF(E5="",0,E5*PREMIOS!F5)</f>
        <v>38250</v>
      </c>
      <c r="G5" s="30">
        <f t="shared" ref="G5:G12" si="0">IF(OR(C5="",E5=""),0,C5-D5-F5)</f>
        <v>-21222</v>
      </c>
      <c r="I5" s="217" t="s">
        <v>37</v>
      </c>
      <c r="J5" s="221">
        <f>SUM(IF(C5="",0,C5),IF(C9="",0,C9),IF(C13="",0,C13),IF(C17="",0,C17))</f>
        <v>30650</v>
      </c>
      <c r="K5" s="225">
        <f t="shared" ref="K5" si="1">D5+D9+D13+D17</f>
        <v>3678</v>
      </c>
      <c r="L5" s="222">
        <f>F5+F9+F13+F17</f>
        <v>55250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2450</v>
      </c>
      <c r="K6" s="226">
        <f t="shared" ref="K6" si="2">+D8+D12+D16</f>
        <v>245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27</v>
      </c>
      <c r="C7" s="29">
        <f>IF(DigitaTICA!C12&lt;&gt;"",DigitaTICA!C12,"")</f>
        <v>22850</v>
      </c>
      <c r="D7" s="42">
        <f>IF(C7="",0,C7*J$11)</f>
        <v>2742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-13892</v>
      </c>
      <c r="I7" s="217" t="s">
        <v>96</v>
      </c>
      <c r="J7" s="223">
        <f>SUM(IF(C19="",0,C19),IF(C20="",0,C20))</f>
        <v>20850</v>
      </c>
      <c r="K7" s="226">
        <f>+D19+D20</f>
        <v>2502</v>
      </c>
      <c r="L7" s="227">
        <f>+F19+F20</f>
        <v>46750</v>
      </c>
    </row>
    <row r="8" spans="1:12" ht="15.75" thickBot="1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.75" thickBot="1">
      <c r="A9" s="28" t="s">
        <v>48</v>
      </c>
      <c r="B9" s="132">
        <f>IF(DigitaNICA!E2&lt;&gt;"",DigitaNICA!E2,"")</f>
        <v>11</v>
      </c>
      <c r="C9" s="29">
        <f>IF(DigitaNICA!E12&lt;&gt;"",DigitaNICA!E12,"")</f>
        <v>11300</v>
      </c>
      <c r="D9" s="42">
        <f>IF(C9="",0,C9*J$12)</f>
        <v>1356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-7056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>
      <c r="A11" s="28" t="s">
        <v>59</v>
      </c>
      <c r="B11" s="132">
        <f>IF(DigitaTICA!E2&lt;&gt;"",DigitaTICA!E2,"")</f>
        <v>78</v>
      </c>
      <c r="C11" s="29">
        <f>IF(DigitaTICA!E12&lt;&gt;"",DigitaTICA!E12,"")</f>
        <v>12350</v>
      </c>
      <c r="D11" s="42">
        <f>IF(C11="",0,C11*J$11)</f>
        <v>1482</v>
      </c>
      <c r="E11" s="29">
        <f>IF(DigitaTICA!F12&lt;&gt;"",DigitaTICA!F12,"")</f>
        <v>200</v>
      </c>
      <c r="F11" s="42">
        <f>IF(E11="",0,E11*PREMIOS!F11)</f>
        <v>17000</v>
      </c>
      <c r="G11" s="30">
        <f t="shared" si="0"/>
        <v>-6132</v>
      </c>
      <c r="I11" s="60" t="s">
        <v>36</v>
      </c>
      <c r="J11" s="61">
        <v>0.12</v>
      </c>
      <c r="K11" s="62">
        <f>MROUND(D7+D11+D15,50)</f>
        <v>4200</v>
      </c>
    </row>
    <row r="12" spans="1:12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1450</v>
      </c>
      <c r="D12" s="42">
        <f>IF(C12="",0,C12*J$13)</f>
        <v>145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1305</v>
      </c>
      <c r="I12" s="63" t="s">
        <v>37</v>
      </c>
      <c r="J12" s="64">
        <v>0.12</v>
      </c>
      <c r="K12" s="30">
        <f>MROUND(D5+D9+D13+D17,50)</f>
        <v>3700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250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2500</v>
      </c>
    </row>
    <row r="15" spans="1:12" ht="15.75" thickBot="1">
      <c r="A15" s="28" t="s">
        <v>61</v>
      </c>
      <c r="B15" s="132">
        <f>IF(DigitaTICA!G2&lt;&gt;"",DigitaTICA!G2,"")</f>
        <v>62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>
        <f>IF(DigitaPRIMERA!$C$12&lt;&gt;"",DigitaPRIMERA!$C$12,"")</f>
        <v>20850</v>
      </c>
      <c r="D19" s="42">
        <f>IF(C19="",0,C19*J$14)</f>
        <v>2502</v>
      </c>
      <c r="E19" s="29">
        <f>IF(DigitaPRIMERA!$D$12&lt;&gt;"",DigitaPRIMERA!$D$12,"")</f>
        <v>550</v>
      </c>
      <c r="F19" s="42">
        <f>IF(E19="",0,E19*PREMIOS!F19)</f>
        <v>46750</v>
      </c>
      <c r="G19" s="30">
        <f t="shared" si="3"/>
        <v>-28402</v>
      </c>
    </row>
    <row r="20" spans="1:7">
      <c r="A20" s="28" t="s">
        <v>98</v>
      </c>
      <c r="B20" s="132">
        <f>IF(DigitaPRIMERA!E2&lt;&gt;"",DigitaPRIMERA!E2,"")</f>
        <v>95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>
      <c r="A21" s="28" t="s">
        <v>99</v>
      </c>
      <c r="B21" s="132">
        <f>IF(DigitaHONDURAS!C2&lt;&gt;"",DigitaHONDURAS!C2,"")</f>
        <v>14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>
      <c r="A22" s="28" t="s">
        <v>100</v>
      </c>
      <c r="B22" s="132">
        <f>IF(DigitaHONDURAS!E2&lt;&gt;"",DigitaHONDURAS!E2,"")</f>
        <v>59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48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.75" thickBot="1">
      <c r="A24" s="67" t="s">
        <v>5</v>
      </c>
      <c r="B24" s="127"/>
      <c r="C24" s="68">
        <f>SUM(C5:C23)</f>
        <v>89150</v>
      </c>
      <c r="D24" s="68">
        <f t="shared" ref="D24:G24" si="4">SUM(D5:D23)</f>
        <v>10649</v>
      </c>
      <c r="E24" s="68">
        <f t="shared" si="4"/>
        <v>1800</v>
      </c>
      <c r="F24" s="68">
        <f t="shared" si="4"/>
        <v>153000</v>
      </c>
      <c r="G24" s="88">
        <f t="shared" si="4"/>
        <v>-74499</v>
      </c>
    </row>
    <row r="27" spans="1:7">
      <c r="G27" s="21">
        <v>218613</v>
      </c>
    </row>
    <row r="28" spans="1:7">
      <c r="G28" s="141">
        <f>+G24+G27</f>
        <v>144114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57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75200</v>
      </c>
      <c r="K4" s="231">
        <f t="shared" ref="K4" si="0">D7+D11+D15</f>
        <v>9024</v>
      </c>
      <c r="L4" s="220">
        <f>F7+F11+F15</f>
        <v>17000</v>
      </c>
    </row>
    <row r="5" spans="1:12" ht="15.75" thickBot="1">
      <c r="A5" s="28" t="s">
        <v>43</v>
      </c>
      <c r="B5" s="132">
        <f>IF(DigitaNICA!C2&lt;&gt;"",DigitaNICA!C2,"")</f>
        <v>42</v>
      </c>
      <c r="C5" s="29">
        <f>IF(DigitaNICA!C13&lt;&gt;"",DigitaNICA!C13,"")</f>
        <v>23900</v>
      </c>
      <c r="D5" s="42">
        <f>IF(C5="",0,C5*J$10)</f>
        <v>2868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21032</v>
      </c>
      <c r="I5" s="218" t="s">
        <v>37</v>
      </c>
      <c r="J5" s="232">
        <f>SUM(IF(C5="",0,C5),IF(C9="",0,C9),IF(C13="",0,C13),IF(C17="",0,C17))</f>
        <v>50200</v>
      </c>
      <c r="K5" s="233">
        <f t="shared" ref="K5" si="2">D5+D9+D13+D17</f>
        <v>6024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>
        <f>IF(DigitaTICA!C13&lt;&gt;"",DigitaTICA!C13,"")</f>
        <v>33750</v>
      </c>
      <c r="D7" s="42">
        <f>IF(C7="",0,C7*J$9)</f>
        <v>4050</v>
      </c>
      <c r="E7" s="29">
        <f>IF(DigitaTICA!D13&lt;&gt;"",DigitaTICA!D13,"")</f>
        <v>200</v>
      </c>
      <c r="F7" s="133">
        <f>IF(E7="",0,E7*PREMIOS!F7)</f>
        <v>17000</v>
      </c>
      <c r="G7" s="30">
        <f t="shared" si="1"/>
        <v>12700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11</v>
      </c>
      <c r="C9" s="29">
        <f>IF(DigitaNICA!E13&lt;&gt;"",DigitaNICA!E13,"")</f>
        <v>18600</v>
      </c>
      <c r="D9" s="42">
        <f>IF(C9="",0,C9*J$10)</f>
        <v>2232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16368</v>
      </c>
      <c r="I9" s="60" t="s">
        <v>36</v>
      </c>
      <c r="J9" s="61">
        <v>0.12</v>
      </c>
      <c r="K9" s="62">
        <f>MROUND(D7+D11+D15,50)</f>
        <v>9000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6000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>
        <f>IF(DigitaTICA!E13&lt;&gt;"",DigitaTICA!E13,"")</f>
        <v>14850</v>
      </c>
      <c r="D11" s="42">
        <f>IF(C11="",0,C11*J$9)</f>
        <v>1782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13068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78</v>
      </c>
      <c r="C13" s="29">
        <f>IF(DigitaNICA!G13&lt;&gt;"",DigitaNICA!G13,"")</f>
        <v>4200</v>
      </c>
      <c r="D13" s="42">
        <f>IF(C13="",0,C13*J$10)</f>
        <v>504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3696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IF(DigitaTICA!G13&lt;&gt;"",DigitaTICA!G13,"")</f>
        <v>26600</v>
      </c>
      <c r="D15" s="42">
        <f>IF(C15="",0,C15*J$9)</f>
        <v>3192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23408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>
        <f>IF(DigitaNICA!I13&lt;&gt;"",DigitaNICA!I13,"")</f>
        <v>3500</v>
      </c>
      <c r="D17" s="42">
        <f>IF(C17="",0,C17*J$10)</f>
        <v>420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3080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125400</v>
      </c>
      <c r="D19" s="68">
        <f>MROUND(SUM(D5:D18),50)</f>
        <v>15050</v>
      </c>
      <c r="E19" s="68">
        <f>SUM(E5:E18)</f>
        <v>200</v>
      </c>
      <c r="F19" s="68">
        <f>SUM(F5:F18)</f>
        <v>17000</v>
      </c>
      <c r="G19" s="88">
        <f>SUM(G5:G18)</f>
        <v>93352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54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 ht="15.75" thickBot="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73100</v>
      </c>
      <c r="K4" s="236">
        <f t="shared" ref="K4" si="0">D7+D11+D15</f>
        <v>10965</v>
      </c>
      <c r="L4" s="237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>
        <f>IF(DigitaTICA!C14&lt;&gt;"",DigitaTICA!C14,"")</f>
        <v>25300</v>
      </c>
      <c r="D7" s="42">
        <f>IF(C7="",0,C7*J$9)</f>
        <v>3795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21505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11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10950</v>
      </c>
    </row>
    <row r="10" spans="1:12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>
        <f>IF(DigitaTICA!E14&lt;&gt;"",DigitaTICA!E14,"")</f>
        <v>14500</v>
      </c>
      <c r="D11" s="42">
        <f>IF(C11="",0,C11*J$9)</f>
        <v>2175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12325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78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>
        <f>IF(DigitaTICA!G14&lt;&gt;"",DigitaTICA!G14,"")</f>
        <v>33300</v>
      </c>
      <c r="D15" s="42">
        <f>IF(C15="",0,C15*J$9)</f>
        <v>4995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28305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>
      <c r="A17" s="28" t="s">
        <v>52</v>
      </c>
      <c r="B17" s="132">
        <f>IF(DigitaNICA!I2&lt;&gt;"",DigitaNICA!I2,"")</f>
        <v>69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.75" thickBot="1">
      <c r="A19" s="67" t="s">
        <v>5</v>
      </c>
      <c r="B19" s="127"/>
      <c r="C19" s="68">
        <f>SUM(C5:C18)</f>
        <v>73100</v>
      </c>
      <c r="D19" s="68">
        <f>MROUND(SUM(D5:D18),50)</f>
        <v>10950</v>
      </c>
      <c r="E19" s="68">
        <f>SUM(E5:E18)</f>
        <v>0</v>
      </c>
      <c r="F19" s="68">
        <f>SUM(F5:F18)</f>
        <v>0</v>
      </c>
      <c r="G19" s="88">
        <f>SUM(G5:G18)</f>
        <v>62135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55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.75" thickBot="1">
      <c r="A5" s="28" t="s">
        <v>43</v>
      </c>
      <c r="B5" s="132">
        <f>IF(DigitaNICA!C2&lt;&gt;"",DigitaNICA!C2,"")</f>
        <v>42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.75" thickBot="1">
      <c r="A7" s="28" t="s">
        <v>46</v>
      </c>
      <c r="B7" s="132">
        <f>IF(DigitaTICA!C2&lt;&gt;"",DigitaTICA!C2,"")</f>
        <v>27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>
      <c r="A9" s="28" t="s">
        <v>48</v>
      </c>
      <c r="B9" s="132">
        <f>IF(DigitaNICA!E2&lt;&gt;"",DigitaNICA!E2,"")</f>
        <v>11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.75" thickBot="1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>
      <c r="A13" s="28" t="s">
        <v>50</v>
      </c>
      <c r="B13" s="132">
        <f>IF(DigitaNICA!G2&lt;&gt;"",DigitaNICA!G2,"")</f>
        <v>78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>
      <c r="A15" s="28" t="s">
        <v>61</v>
      </c>
      <c r="B15" s="132">
        <f>IF(DigitaTICA!G2&lt;&gt;"",DigitaTICA!G2,"")</f>
        <v>62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103800</v>
      </c>
      <c r="K4" s="231">
        <f>D7+D11+D15</f>
        <v>12456</v>
      </c>
      <c r="L4" s="220">
        <f>F7+F11+F15</f>
        <v>34000</v>
      </c>
    </row>
    <row r="5" spans="1:12">
      <c r="A5" s="28" t="s">
        <v>43</v>
      </c>
      <c r="B5" s="132">
        <f>IF(DigitaNICA!C2&lt;&gt;"",DigitaNICA!C2,"")</f>
        <v>42</v>
      </c>
      <c r="C5" s="29">
        <f>IF(DigitaNICA!C16&lt;&gt;"",DigitaNICA!C16,"")</f>
        <v>14300</v>
      </c>
      <c r="D5" s="42">
        <f>IF(C5="",0,C5*J$12)</f>
        <v>1716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12584</v>
      </c>
      <c r="I5" s="63" t="s">
        <v>37</v>
      </c>
      <c r="J5" s="225">
        <f>SUM(IF(C5="",0,C5),IF(C9="",0,C9),IF(C13="",0,C13),IF(C17="",0,C17))</f>
        <v>93950</v>
      </c>
      <c r="K5" s="225">
        <f t="shared" ref="K5" si="1">D5+D9+D13+D17</f>
        <v>11274</v>
      </c>
      <c r="L5" s="222">
        <f>F5+F9+F13+F17</f>
        <v>48000</v>
      </c>
    </row>
    <row r="6" spans="1:12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>
      <c r="A7" s="28" t="s">
        <v>46</v>
      </c>
      <c r="B7" s="132">
        <f>IF(DigitaTICA!C2&lt;&gt;"",DigitaTICA!C2,"")</f>
        <v>27</v>
      </c>
      <c r="C7" s="29">
        <f>IF(DigitaTICA!C16&lt;&gt;"",DigitaTICA!C16,"")</f>
        <v>35800</v>
      </c>
      <c r="D7" s="42">
        <f>IF(C7="",0,C7*J$11)</f>
        <v>4296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31504</v>
      </c>
      <c r="I7" s="63" t="s">
        <v>96</v>
      </c>
      <c r="J7" s="226">
        <f>SUM(IF(C19="",0,C19),IF(C20="",0,C20))</f>
        <v>20750</v>
      </c>
      <c r="K7" s="226">
        <f>+D19+D20</f>
        <v>2490</v>
      </c>
      <c r="L7" s="227">
        <f>+F19+F20</f>
        <v>0</v>
      </c>
    </row>
    <row r="8" spans="1:12" ht="15.75" thickBot="1">
      <c r="A8" s="28" t="s">
        <v>47</v>
      </c>
      <c r="B8" s="132" t="str">
        <f>IF(B7&lt;&gt;"",PREMIOS!B8,"")</f>
        <v>Roja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6000</v>
      </c>
      <c r="K8" s="228">
        <f>D21+D22+D23</f>
        <v>720</v>
      </c>
      <c r="L8" s="229">
        <f>F21+F22+F23</f>
        <v>0</v>
      </c>
    </row>
    <row r="9" spans="1:12" ht="15.75" thickBot="1">
      <c r="A9" s="28" t="s">
        <v>48</v>
      </c>
      <c r="B9" s="132">
        <f>IF(DigitaNICA!E2&lt;&gt;"",DigitaNICA!E2,"")</f>
        <v>11</v>
      </c>
      <c r="C9" s="29">
        <f>IF(DigitaNICA!E16&lt;&gt;"",DigitaNICA!E16,"")</f>
        <v>19200</v>
      </c>
      <c r="D9" s="42">
        <f>IF(C9="",0,C9*J$12)</f>
        <v>2304</v>
      </c>
      <c r="E9" s="29">
        <f>IF(DigitaNICA!F16&lt;&gt;"",DigitaNICA!F16,"")</f>
        <v>100</v>
      </c>
      <c r="F9" s="133">
        <f>IF(E9="",0,E9*PREMIOS!E9)</f>
        <v>8000</v>
      </c>
      <c r="G9" s="30">
        <f t="shared" si="0"/>
        <v>8896</v>
      </c>
    </row>
    <row r="10" spans="1:12" ht="15.75" thickBot="1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>
      <c r="A11" s="28" t="s">
        <v>59</v>
      </c>
      <c r="B11" s="132">
        <f>IF(DigitaTICA!E2&lt;&gt;"",DigitaTICA!E2,"")</f>
        <v>78</v>
      </c>
      <c r="C11" s="29">
        <f>IF(DigitaTICA!E16&lt;&gt;"",DigitaTICA!E16,"")</f>
        <v>27950</v>
      </c>
      <c r="D11" s="42">
        <f>IF(C11="",0,C11*J$11)</f>
        <v>3354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24596</v>
      </c>
      <c r="I11" s="76" t="s">
        <v>36</v>
      </c>
      <c r="J11" s="77">
        <v>0.12</v>
      </c>
      <c r="K11" s="78">
        <f>MROUND(D7+D11+D15,50)</f>
        <v>12450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11250</v>
      </c>
    </row>
    <row r="13" spans="1:12">
      <c r="A13" s="28" t="s">
        <v>50</v>
      </c>
      <c r="B13" s="132">
        <f>IF(DigitaNICA!G2&lt;&gt;"",DigitaNICA!G2,"")</f>
        <v>78</v>
      </c>
      <c r="C13" s="29">
        <f>IF(DigitaNICA!G16&lt;&gt;"",DigitaNICA!G16,"")</f>
        <v>19350</v>
      </c>
      <c r="D13" s="42">
        <f>IF(C13="",0,C13*J$12)</f>
        <v>2322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17028</v>
      </c>
      <c r="I13" s="63" t="s">
        <v>38</v>
      </c>
      <c r="J13" s="64">
        <v>0.1</v>
      </c>
      <c r="K13" s="30">
        <f>MROUND(D6+D8+D10+D12+D14+D16+D18,50)</f>
        <v>0</v>
      </c>
    </row>
    <row r="14" spans="1:12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2500</v>
      </c>
    </row>
    <row r="15" spans="1:12" ht="15.75" thickBot="1">
      <c r="A15" s="28" t="s">
        <v>61</v>
      </c>
      <c r="B15" s="132">
        <f>IF(DigitaTICA!G2&lt;&gt;"",DigitaTICA!G2,"")</f>
        <v>62</v>
      </c>
      <c r="C15" s="29">
        <f>IF(DigitaTICA!G16&lt;&gt;"",DigitaTICA!G16,"")</f>
        <v>40050</v>
      </c>
      <c r="D15" s="42">
        <f>IF(C15="",0,C15*J$11)</f>
        <v>4806</v>
      </c>
      <c r="E15" s="29">
        <f>IF(DigitaTICA!H16&lt;&gt;"",DigitaTICA!H16,"")</f>
        <v>400</v>
      </c>
      <c r="F15" s="133">
        <f>IF(E15="",0,E15*PREMIOS!F15)</f>
        <v>34000</v>
      </c>
      <c r="G15" s="30">
        <f t="shared" si="3"/>
        <v>1244</v>
      </c>
      <c r="I15" s="65" t="s">
        <v>104</v>
      </c>
      <c r="J15" s="66">
        <v>0.12</v>
      </c>
      <c r="K15" s="50">
        <f>MROUND(D21+D22+D23,50)</f>
        <v>700</v>
      </c>
    </row>
    <row r="16" spans="1:12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>
      <c r="A17" s="28" t="s">
        <v>52</v>
      </c>
      <c r="B17" s="132">
        <f>IF(DigitaNICA!I2&lt;&gt;"",DigitaNICA!I2,"")</f>
        <v>69</v>
      </c>
      <c r="C17" s="29">
        <f>IF(DigitaNICA!I16&lt;&gt;"",DigitaNICA!I16,"")</f>
        <v>41100</v>
      </c>
      <c r="D17" s="42">
        <f>IF(C17="",0,C17*J$12)</f>
        <v>4932</v>
      </c>
      <c r="E17" s="29">
        <f>IF(DigitaNICA!J16&lt;&gt;"",DigitaNICA!J16,"")</f>
        <v>500</v>
      </c>
      <c r="F17" s="42">
        <f>IF(E17="",0,E17*PREMIOS!E17)</f>
        <v>40000</v>
      </c>
      <c r="G17" s="30">
        <f t="shared" si="3"/>
        <v>-3832</v>
      </c>
    </row>
    <row r="18" spans="1:7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>
      <c r="A19" s="28" t="s">
        <v>97</v>
      </c>
      <c r="B19" s="132">
        <f>IF(DigitaPRIMERA!C2&lt;&gt;"",DigitaPRIMERA!C2,"")</f>
        <v>38</v>
      </c>
      <c r="C19" s="29">
        <f>IF(DigitaPRIMERA!C16&lt;&gt;"",DigitaPRIMERA!C16,"")</f>
        <v>8350</v>
      </c>
      <c r="D19" s="42">
        <f>IF(C19="",0,C19*J$14)</f>
        <v>1002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7348</v>
      </c>
    </row>
    <row r="20" spans="1:7">
      <c r="A20" s="28" t="s">
        <v>98</v>
      </c>
      <c r="B20" s="132">
        <f>IF(DigitaPRIMERA!E2&lt;&gt;"",DigitaPRIMERA!E2,"")</f>
        <v>95</v>
      </c>
      <c r="C20" s="29">
        <f>IF(DigitaPRIMERA!E16&lt;&gt;"",DigitaPRIMERA!E16,"")</f>
        <v>12400</v>
      </c>
      <c r="D20" s="42">
        <f>IF(C20="",0,C20*J$14)</f>
        <v>1488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10912</v>
      </c>
    </row>
    <row r="21" spans="1:7">
      <c r="A21" s="28" t="s">
        <v>99</v>
      </c>
      <c r="B21" s="132">
        <f>IF(DigitaHONDURAS!C2&lt;&gt;"",DigitaHONDURAS!C2,"")</f>
        <v>14</v>
      </c>
      <c r="C21" s="29">
        <f>IF(DigitaHONDURAS!$C$16&lt;&gt;"",DigitaHONDURAS!$C$16,"")</f>
        <v>6000</v>
      </c>
      <c r="D21" s="42">
        <f>IF(C21="",0,C21*J$15)</f>
        <v>720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5280</v>
      </c>
    </row>
    <row r="22" spans="1:7">
      <c r="A22" s="28" t="s">
        <v>100</v>
      </c>
      <c r="B22" s="132">
        <f>IF(DigitaHONDURAS!E2&lt;&gt;"",DigitaHONDURAS!E2,"")</f>
        <v>59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>
      <c r="A23" s="28" t="s">
        <v>101</v>
      </c>
      <c r="B23" s="132">
        <f>IF(DigitaHONDURAS!G2&lt;&gt;"",DigitaHONDURAS!G2,"")</f>
        <v>48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.75" thickBot="1">
      <c r="A24" s="121" t="s">
        <v>5</v>
      </c>
      <c r="B24" s="128"/>
      <c r="C24" s="122">
        <f>SUM(C5:C23)</f>
        <v>224500</v>
      </c>
      <c r="D24" s="122">
        <f t="shared" ref="D24:G24" si="5">SUM(D5:D23)</f>
        <v>26940</v>
      </c>
      <c r="E24" s="122">
        <f t="shared" si="5"/>
        <v>1000</v>
      </c>
      <c r="F24" s="122">
        <f t="shared" si="5"/>
        <v>82000</v>
      </c>
      <c r="G24" s="123">
        <f t="shared" si="5"/>
        <v>115560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91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">
        <v>43</v>
      </c>
      <c r="B5" s="132">
        <f>IF(DigitaNICA!C2&lt;&gt;"",DigitaNICA!C2,"")</f>
        <v>42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">
        <v>46</v>
      </c>
      <c r="B7" s="132">
        <f>IF(DigitaTICA!C2&lt;&gt;"",DigitaTICA!C2,"")</f>
        <v>27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">
        <v>48</v>
      </c>
      <c r="B9" s="132">
        <f>IF(DigitaNICA!E2&lt;&gt;"",DigitaNICA!E2,"")</f>
        <v>11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.75" thickBot="1">
      <c r="A13" s="28" t="s">
        <v>50</v>
      </c>
      <c r="B13" s="132">
        <f>IF(DigitaNICA!G2&lt;&gt;"",DigitaNICA!G2,"")</f>
        <v>78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.75" thickBot="1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>
      <c r="A15" s="28" t="s">
        <v>61</v>
      </c>
      <c r="B15" s="132">
        <f>IF(DigitaTICA!G2&lt;&gt;"",DigitaTICA!G2,"")</f>
        <v>62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">
        <v>52</v>
      </c>
      <c r="B17" s="132">
        <f>IF(DigitaNICA!I2&lt;&gt;"",DigitaNICA!I2,"")</f>
        <v>69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38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95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14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59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48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13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>07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1" spans="1:12" ht="15.75" thickBot="1"/>
    <row r="2" spans="1:12" ht="15.75" thickBot="1">
      <c r="A2" s="51" t="s">
        <v>35</v>
      </c>
      <c r="B2" s="280" t="s">
        <v>92</v>
      </c>
      <c r="C2" s="280"/>
      <c r="D2" s="281"/>
    </row>
    <row r="3" spans="1:12" ht="15.75" thickBot="1">
      <c r="J3" s="72" t="s">
        <v>39</v>
      </c>
      <c r="K3" s="230" t="s">
        <v>141</v>
      </c>
      <c r="L3" s="73" t="s">
        <v>12</v>
      </c>
    </row>
    <row r="4" spans="1:12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>
      <c r="A5" s="28" t="str">
        <f>+Vendedor1!A5</f>
        <v>Nica 11am</v>
      </c>
      <c r="B5" s="132">
        <f>IF(DigitaNICA!C2&lt;&gt;"",DigitaNICA!C2,"")</f>
        <v>42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>
      <c r="A7" s="28" t="str">
        <f>+Vendedor1!A7</f>
        <v>Tica 1pm</v>
      </c>
      <c r="B7" s="132">
        <f>IF(DigitaTICA!C2&lt;&gt;"",DigitaTICA!C2,"")</f>
        <v>27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>
      <c r="A9" s="28" t="str">
        <f>+Vendedor1!A9</f>
        <v>Nica 3pm</v>
      </c>
      <c r="B9" s="132">
        <f>IF(DigitaNICA!E2&lt;&gt;"",DigitaNICA!E2,"")</f>
        <v>11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.75" thickBot="1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>
      <c r="A11" s="28" t="s">
        <v>59</v>
      </c>
      <c r="B11" s="132">
        <f>IF(DigitaTICA!E2&lt;&gt;"",DigitaTICA!E2,"")</f>
        <v>78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.75" thickBot="1">
      <c r="A13" s="28" t="str">
        <f>+Vendedor1!A13</f>
        <v>Nica 6pm</v>
      </c>
      <c r="B13" s="132">
        <f>IF(DigitaNICA!G2&lt;&gt;"",DigitaNICA!G2,"")</f>
        <v>78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.75" thickBot="1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>
      <c r="A15" s="28" t="str">
        <f>+Vendedor1!A15</f>
        <v>Tica 7:30pm</v>
      </c>
      <c r="B15" s="132">
        <f>IF(DigitaTICA!G2&lt;&gt;"",DigitaTICA!G2,"")</f>
        <v>62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>
      <c r="A17" s="28" t="str">
        <f>+Vendedor1!A17</f>
        <v>Nica 9pm</v>
      </c>
      <c r="B17" s="132">
        <f>IF(DigitaNICA!I2&lt;&gt;"",DigitaNICA!I2,"")</f>
        <v>69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>
      <c r="A19" s="28" t="s">
        <v>97</v>
      </c>
      <c r="B19" s="132">
        <f>IF(DigitaPRIMERA!C2&lt;&gt;"",DigitaPRIMERA!C2,"")</f>
        <v>38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>
      <c r="A20" s="28" t="s">
        <v>98</v>
      </c>
      <c r="B20" s="132">
        <f>IF(DigitaPRIMERA!E2&lt;&gt;"",DigitaPRIMERA!E2,"")</f>
        <v>95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.75" thickBot="1">
      <c r="A21" s="28" t="s">
        <v>99</v>
      </c>
      <c r="B21" s="132">
        <f>IF(DigitaHONDURAS!C2&lt;&gt;"",DigitaHONDURAS!C2,"")</f>
        <v>14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>
      <c r="A22" s="28" t="s">
        <v>100</v>
      </c>
      <c r="B22" s="132">
        <f>IF(DigitaHONDURAS!E2&lt;&gt;"",DigitaHONDURAS!E2,"")</f>
        <v>59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>
      <c r="A23" s="28" t="s">
        <v>101</v>
      </c>
      <c r="B23" s="132">
        <f>IF(DigitaHONDURAS!G2&lt;&gt;"",DigitaHONDURAS!G2,"")</f>
        <v>48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>
      <c r="A24" s="28" t="s">
        <v>102</v>
      </c>
      <c r="B24" s="132">
        <f>IF(DigitaDOMINICANA!C2&lt;&gt;"",DigitaDOMINICANA!C2,"")</f>
        <v>13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>
      <c r="A25" s="28" t="s">
        <v>103</v>
      </c>
      <c r="B25" s="132" t="str">
        <f>IF(DigitaDOMINICANA!E2&lt;&gt;"",DigitaDOMINICANA!E2,"")</f>
        <v>07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.75" thickBot="1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" style="21" customWidth="1"/>
    <col min="2" max="2" width="8.85546875" style="21" bestFit="1" customWidth="1"/>
    <col min="3" max="7" width="11.5703125" style="21" customWidth="1"/>
    <col min="8" max="8" width="6.5703125" style="21" customWidth="1"/>
    <col min="9" max="11" width="11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88</v>
      </c>
      <c r="D2" s="281"/>
      <c r="E2" s="281"/>
    </row>
    <row r="3" spans="1:11" ht="15.75" thickBot="1">
      <c r="J3" s="72" t="s">
        <v>39</v>
      </c>
      <c r="K3" s="7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.75" thickBot="1">
      <c r="A5" s="28" t="str">
        <f>+Vendedor1!A5</f>
        <v>Nica 11am</v>
      </c>
      <c r="B5" s="132">
        <f>IF(DigitaNICA!C2&lt;&gt;"",DigitaNICA!C2,"")</f>
        <v>42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tr">
        <f>+Vendedor1!A7</f>
        <v>Tica 1pm</v>
      </c>
      <c r="B7" s="132">
        <f>IF(DigitaTICA!C2&lt;&gt;"",DigitaTICA!C2,"")</f>
        <v>27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.75" thickBot="1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tr">
        <f>+Vendedor1!A9</f>
        <v>Nica 3pm</v>
      </c>
      <c r="B9" s="132">
        <f>IF(DigitaNICA!E2&lt;&gt;"",DigitaNICA!E2,"")</f>
        <v>11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>
      <c r="A13" s="28" t="str">
        <f>+Vendedor1!A13</f>
        <v>Nica 6pm</v>
      </c>
      <c r="B13" s="132">
        <f>IF(DigitaNICA!G2&lt;&gt;"",DigitaNICA!G2,"")</f>
        <v>78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tr">
        <f>+Vendedor1!A15</f>
        <v>Tica 7:30pm</v>
      </c>
      <c r="B15" s="132">
        <f>IF(DigitaTICA!G2&lt;&gt;"",DigitaTICA!G2,"")</f>
        <v>62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tr">
        <f>+Vendedor1!A17</f>
        <v>Nica 9pm</v>
      </c>
      <c r="B17" s="132">
        <f>IF(DigitaNICA!I2&lt;&gt;"",DigitaNICA!I2,"")</f>
        <v>69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85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K19"/>
  <sheetViews>
    <sheetView showGridLines="0" zoomScaleNormal="100" workbookViewId="0"/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6384" width="11.42578125" style="215"/>
  </cols>
  <sheetData>
    <row r="1" spans="1:11" ht="15.75" thickBot="1"/>
    <row r="2" spans="1:11" ht="15.75" thickBot="1">
      <c r="A2" s="51" t="s">
        <v>35</v>
      </c>
      <c r="B2" s="124"/>
      <c r="C2" s="281" t="s">
        <v>84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83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4.85546875" style="2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1" width="12.5703125" style="21" customWidth="1"/>
    <col min="12" max="1025" width="11.42578125" style="21"/>
  </cols>
  <sheetData>
    <row r="2" spans="1:11">
      <c r="A2" s="51" t="s">
        <v>35</v>
      </c>
      <c r="B2" s="124"/>
      <c r="C2" s="281" t="s">
        <v>82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32">
        <f>IF(DigitaNICA!C2&lt;&gt;"",DigitaNICA!C2,"")</f>
        <v>42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32">
        <f>IF(DigitaTICA!C2&lt;&gt;"",DigitaTICA!C2,"")</f>
        <v>27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>
      <c r="A9" s="28" t="s">
        <v>48</v>
      </c>
      <c r="B9" s="132">
        <f>IF(DigitaNICA!E2&lt;&gt;"",DigitaNICA!E2,"")</f>
        <v>11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.75" thickBot="1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>
      <c r="A13" s="28" t="s">
        <v>50</v>
      </c>
      <c r="B13" s="132">
        <f>IF(DigitaNICA!G2&lt;&gt;"",DigitaNICA!G2,"")</f>
        <v>78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>
      <c r="A15" s="28" t="s">
        <v>61</v>
      </c>
      <c r="B15" s="132">
        <f>IF(DigitaTICA!G2&lt;&gt;"",DigitaTICA!G2,"")</f>
        <v>62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32">
        <f>IF(DigitaNICA!I2&lt;&gt;"",DigitaNICA!I2,"")</f>
        <v>69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.75" thickBot="1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67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70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.75" thickBot="1"/>
    <row r="21" spans="1:6" ht="15.75" thickBot="1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2" width="8.85546875" style="21" bestFit="1" customWidth="1"/>
    <col min="3" max="4" width="11.42578125" style="21"/>
    <col min="5" max="5" width="13.140625" style="21" customWidth="1"/>
    <col min="6" max="7" width="11.42578125" style="21"/>
    <col min="8" max="8" width="6.5703125" style="21" customWidth="1"/>
    <col min="9" max="1025" width="11.42578125" style="21"/>
  </cols>
  <sheetData>
    <row r="2" spans="1:11">
      <c r="A2" s="51" t="s">
        <v>35</v>
      </c>
      <c r="B2" s="124"/>
      <c r="C2" s="281" t="s">
        <v>81</v>
      </c>
      <c r="D2" s="281"/>
      <c r="E2" s="281"/>
    </row>
    <row r="3" spans="1:11" ht="15.75" thickBot="1">
      <c r="J3" s="52" t="s">
        <v>39</v>
      </c>
      <c r="K3" s="53" t="s">
        <v>12</v>
      </c>
    </row>
    <row r="4" spans="1:11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.75" thickBot="1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.75" thickBot="1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.75" thickBot="1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-6450</v>
      </c>
    </row>
    <row r="10" spans="1:11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-250</v>
      </c>
    </row>
    <row r="11" spans="1:11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.75" thickBot="1">
      <c r="A15" s="28" t="s">
        <v>61</v>
      </c>
      <c r="B15" s="126"/>
      <c r="C15" s="29">
        <f>IF(DigitaTICA!G27&lt;&gt;"",DigitaTICA!G27,"")</f>
        <v>-53550</v>
      </c>
      <c r="D15" s="42">
        <f>IF(C15="",0,C15*J$9)</f>
        <v>-6426</v>
      </c>
      <c r="E15" s="29">
        <f>IF(DigitaTICA!H27&lt;&gt;"",DigitaTICA!H27,"")</f>
        <v>0</v>
      </c>
      <c r="F15" s="42">
        <f>IF(E15="",0,E15*PREMIOS!F15)</f>
        <v>0</v>
      </c>
      <c r="G15" s="30">
        <f t="shared" si="1"/>
        <v>-47124</v>
      </c>
      <c r="I15" s="65" t="s">
        <v>21</v>
      </c>
      <c r="J15" s="66">
        <v>0.12</v>
      </c>
      <c r="K15" s="50">
        <f>MROUND(D26,50)</f>
        <v>0</v>
      </c>
    </row>
    <row r="16" spans="1:11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>
      <c r="A17" s="28" t="s">
        <v>52</v>
      </c>
      <c r="B17" s="126"/>
      <c r="C17" s="29">
        <f>IF(DigitaNICA!I27&lt;&gt;"",DigitaNICA!I27,"")</f>
        <v>-2250</v>
      </c>
      <c r="D17" s="42">
        <f>IF(C17="",0,C17*J$10)</f>
        <v>-270</v>
      </c>
      <c r="E17" s="29">
        <f>IF(DigitaNICA!J27&lt;&gt;"",DigitaNICA!J27,"")</f>
        <v>0</v>
      </c>
      <c r="F17" s="42">
        <f>IF(E17="",0,E17*PREMIOS!F17)</f>
        <v>0</v>
      </c>
      <c r="G17" s="30">
        <f t="shared" si="1"/>
        <v>-1980</v>
      </c>
    </row>
    <row r="18" spans="1:7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>
      <c r="A20" s="28" t="s">
        <v>98</v>
      </c>
      <c r="B20" s="126"/>
      <c r="C20" s="29">
        <f>IF(DigitaPRIMERA!$E$27&lt;&gt;"",DigitaPRIMERA!$E$27,"")</f>
        <v>-12400</v>
      </c>
      <c r="D20" s="42">
        <f>IF(C20="",0,C20*J$12)</f>
        <v>-1488</v>
      </c>
      <c r="E20" s="29">
        <f>IF(DigitaPRIMERA!$F$27&lt;&gt;"",DigitaPRIMERA!$F$27,"")</f>
        <v>0</v>
      </c>
      <c r="F20" s="42">
        <f>IF(E20="",0,E20*PREMIOS!F19)</f>
        <v>0</v>
      </c>
      <c r="G20" s="30">
        <f t="shared" si="1"/>
        <v>-10912</v>
      </c>
    </row>
    <row r="21" spans="1:7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.75" thickBot="1">
      <c r="A27" s="67" t="s">
        <v>5</v>
      </c>
      <c r="B27" s="127"/>
      <c r="C27" s="68">
        <f>SUM(C5:C26)</f>
        <v>-68200</v>
      </c>
      <c r="D27" s="68">
        <f t="shared" ref="D27:G27" si="2">SUM(D5:D26)</f>
        <v>-8184</v>
      </c>
      <c r="E27" s="68">
        <f t="shared" si="2"/>
        <v>0</v>
      </c>
      <c r="F27" s="68">
        <f t="shared" si="2"/>
        <v>0</v>
      </c>
      <c r="G27" s="88">
        <f t="shared" si="2"/>
        <v>-60016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106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64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69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58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2578125" defaultRowHeight="15"/>
  <cols>
    <col min="1" max="1" width="16.5703125" style="21" bestFit="1" customWidth="1"/>
    <col min="2" max="3" width="11.42578125" style="21"/>
    <col min="4" max="4" width="13.140625" style="21" customWidth="1"/>
    <col min="5" max="6" width="11.42578125" style="21"/>
    <col min="7" max="7" width="6.5703125" style="21" customWidth="1"/>
    <col min="8" max="1024" width="11.42578125" style="21"/>
  </cols>
  <sheetData>
    <row r="2" spans="1:10">
      <c r="A2" s="51" t="s">
        <v>35</v>
      </c>
      <c r="B2" s="281" t="s">
        <v>68</v>
      </c>
      <c r="C2" s="281"/>
      <c r="D2" s="281"/>
    </row>
    <row r="3" spans="1:10" ht="15.75" thickBot="1">
      <c r="I3" s="52" t="s">
        <v>39</v>
      </c>
      <c r="J3" s="53" t="s">
        <v>12</v>
      </c>
    </row>
    <row r="4" spans="1:10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.75" thickBot="1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.75" thickBot="1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.75" thickBot="1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.75" thickBot="1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.75" thickBot="1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</cols>
  <sheetData>
    <row r="1" spans="1:11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>
        <f>IF(PREMIOS!$B7="","",PREMIOS!$B7)</f>
        <v>27</v>
      </c>
      <c r="D2" s="268"/>
      <c r="E2" s="267">
        <f>IF(PREMIOS!$B11="","",PREMIOS!$B11)</f>
        <v>78</v>
      </c>
      <c r="F2" s="268"/>
      <c r="G2" s="267">
        <f>IF(PREMIOS!$B15="","",PREMIOS!$B15)</f>
        <v>62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>
      <c r="A4" s="187">
        <v>1</v>
      </c>
      <c r="B4" s="188" t="str">
        <f>Vendedor1!$B$2</f>
        <v>VENTANA</v>
      </c>
      <c r="C4" s="189">
        <v>56250</v>
      </c>
      <c r="D4" s="78">
        <v>200</v>
      </c>
      <c r="E4" s="189">
        <v>37900</v>
      </c>
      <c r="F4" s="78">
        <f t="shared" ref="D4:H27" si="0">IF(E4="","",0)</f>
        <v>0</v>
      </c>
      <c r="G4" s="189">
        <v>53550</v>
      </c>
      <c r="H4" s="78">
        <f t="shared" si="0"/>
        <v>0</v>
      </c>
      <c r="J4" s="42">
        <f t="shared" ref="J4:J8" si="1">+C4+E4+G4</f>
        <v>147700</v>
      </c>
      <c r="K4" s="42">
        <f>IF(D4="",0,IF(F4="",D4,IF(H4="",D4+F4,D4+F4+H4)))</f>
        <v>200</v>
      </c>
    </row>
    <row r="5" spans="1:11">
      <c r="A5" s="47">
        <v>2</v>
      </c>
      <c r="B5" s="178" t="str">
        <f>Vendedor2!$B$2</f>
        <v>PUESTO 2</v>
      </c>
      <c r="C5" s="180">
        <v>55950</v>
      </c>
      <c r="D5" s="30">
        <f t="shared" si="0"/>
        <v>0</v>
      </c>
      <c r="E5" s="180">
        <v>50350</v>
      </c>
      <c r="F5" s="30">
        <f t="shared" si="0"/>
        <v>0</v>
      </c>
      <c r="G5" s="180">
        <v>82000</v>
      </c>
      <c r="H5" s="30">
        <v>2000</v>
      </c>
      <c r="J5" s="42">
        <f t="shared" si="1"/>
        <v>188300</v>
      </c>
      <c r="K5" s="42">
        <f t="shared" ref="K5:K27" si="2">IF(D5="",0,IF(F5="",D5,IF(H5="",D5+F5,D5+F5+H5)))</f>
        <v>2000</v>
      </c>
    </row>
    <row r="6" spans="1:11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>
      <c r="A8" s="47">
        <v>5</v>
      </c>
      <c r="B8" s="178" t="str">
        <f>Vendedor5!$B$2</f>
        <v>YOYO</v>
      </c>
      <c r="C8" s="180">
        <v>59200</v>
      </c>
      <c r="D8" s="30">
        <v>500</v>
      </c>
      <c r="E8" s="180">
        <v>54200</v>
      </c>
      <c r="F8" s="30">
        <v>500</v>
      </c>
      <c r="G8" s="180">
        <v>37500</v>
      </c>
      <c r="H8" s="30">
        <v>1000</v>
      </c>
      <c r="J8" s="42">
        <f t="shared" si="1"/>
        <v>150900</v>
      </c>
      <c r="K8" s="42">
        <f t="shared" si="2"/>
        <v>2000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>
      <c r="A10" s="47">
        <v>7</v>
      </c>
      <c r="B10" s="178" t="str">
        <f>Vendedor7!$B$2</f>
        <v>PIKIS</v>
      </c>
      <c r="C10" s="180">
        <f>38900+117400</f>
        <v>156300</v>
      </c>
      <c r="D10" s="30">
        <f>250+1700</f>
        <v>1950</v>
      </c>
      <c r="E10" s="180">
        <f>42350+90850</f>
        <v>133200</v>
      </c>
      <c r="F10" s="30">
        <f t="shared" si="0"/>
        <v>0</v>
      </c>
      <c r="G10" s="180">
        <f>29900+88300</f>
        <v>118200</v>
      </c>
      <c r="H10" s="30">
        <v>600</v>
      </c>
      <c r="J10" s="42">
        <f t="shared" si="3"/>
        <v>407700</v>
      </c>
      <c r="K10" s="42">
        <f t="shared" si="2"/>
        <v>2550</v>
      </c>
    </row>
    <row r="11" spans="1:11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4000</v>
      </c>
      <c r="H11" s="30">
        <f t="shared" si="0"/>
        <v>0</v>
      </c>
      <c r="J11" s="42">
        <f t="shared" si="3"/>
        <v>4000</v>
      </c>
      <c r="K11" s="42">
        <f t="shared" si="2"/>
        <v>0</v>
      </c>
    </row>
    <row r="12" spans="1:11">
      <c r="A12" s="47">
        <v>9</v>
      </c>
      <c r="B12" s="178" t="str">
        <f>Vendedor9!$B$2</f>
        <v>JUAN FELIX</v>
      </c>
      <c r="C12" s="180">
        <v>22850</v>
      </c>
      <c r="D12" s="30">
        <v>400</v>
      </c>
      <c r="E12" s="180">
        <v>12350</v>
      </c>
      <c r="F12" s="30">
        <v>200</v>
      </c>
      <c r="G12" s="180"/>
      <c r="H12" s="30" t="str">
        <f t="shared" si="0"/>
        <v/>
      </c>
      <c r="J12" s="42">
        <f t="shared" si="3"/>
        <v>35200</v>
      </c>
      <c r="K12" s="42">
        <f t="shared" si="2"/>
        <v>600</v>
      </c>
    </row>
    <row r="13" spans="1:11">
      <c r="A13" s="47">
        <v>10</v>
      </c>
      <c r="B13" s="178" t="str">
        <f>Vendedor10!$B$2</f>
        <v>MARIALIZ</v>
      </c>
      <c r="C13" s="180">
        <v>33750</v>
      </c>
      <c r="D13" s="30">
        <v>200</v>
      </c>
      <c r="E13" s="180">
        <v>14850</v>
      </c>
      <c r="F13" s="30">
        <f t="shared" si="0"/>
        <v>0</v>
      </c>
      <c r="G13" s="180">
        <v>26600</v>
      </c>
      <c r="H13" s="30">
        <f t="shared" si="0"/>
        <v>0</v>
      </c>
      <c r="J13" s="42">
        <f t="shared" si="3"/>
        <v>75200</v>
      </c>
      <c r="K13" s="42">
        <f t="shared" si="2"/>
        <v>200</v>
      </c>
    </row>
    <row r="14" spans="1:11">
      <c r="A14" s="47">
        <v>11</v>
      </c>
      <c r="B14" s="178" t="str">
        <f>Vendedor11!$B$2</f>
        <v>CHARLY</v>
      </c>
      <c r="C14" s="180">
        <v>25300</v>
      </c>
      <c r="D14" s="30">
        <f t="shared" si="0"/>
        <v>0</v>
      </c>
      <c r="E14" s="180">
        <v>14500</v>
      </c>
      <c r="F14" s="30">
        <f t="shared" si="0"/>
        <v>0</v>
      </c>
      <c r="G14" s="180">
        <v>33300</v>
      </c>
      <c r="H14" s="30">
        <f t="shared" si="0"/>
        <v>0</v>
      </c>
      <c r="J14" s="42">
        <f t="shared" si="3"/>
        <v>73100</v>
      </c>
      <c r="K14" s="42">
        <f t="shared" si="2"/>
        <v>0</v>
      </c>
    </row>
    <row r="15" spans="1:11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>
      <c r="A16" s="47">
        <v>13</v>
      </c>
      <c r="B16" s="178" t="str">
        <f>Vendedor13!$B$2</f>
        <v>MINERO</v>
      </c>
      <c r="C16" s="180">
        <v>35800</v>
      </c>
      <c r="D16" s="30">
        <f t="shared" si="0"/>
        <v>0</v>
      </c>
      <c r="E16" s="180">
        <v>27950</v>
      </c>
      <c r="F16" s="30">
        <f t="shared" si="0"/>
        <v>0</v>
      </c>
      <c r="G16" s="180">
        <v>40050</v>
      </c>
      <c r="H16" s="30">
        <v>400</v>
      </c>
      <c r="J16" s="42">
        <f t="shared" si="3"/>
        <v>103800</v>
      </c>
      <c r="K16" s="42">
        <f t="shared" si="2"/>
        <v>400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>
        <v>-53550</v>
      </c>
      <c r="H27" s="50">
        <f t="shared" si="4"/>
        <v>0</v>
      </c>
      <c r="J27" s="42">
        <f t="shared" si="3"/>
        <v>-53550</v>
      </c>
      <c r="K27" s="42">
        <f t="shared" si="2"/>
        <v>0</v>
      </c>
    </row>
    <row r="28" spans="1:11" hidden="1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>
      <c r="C32" s="43">
        <f t="shared" ref="C32:H32" si="6">SUM(C4:C31)</f>
        <v>445400</v>
      </c>
      <c r="D32" s="44">
        <f t="shared" si="6"/>
        <v>3250</v>
      </c>
      <c r="E32" s="43">
        <f t="shared" si="6"/>
        <v>345300</v>
      </c>
      <c r="F32" s="44">
        <f t="shared" si="6"/>
        <v>700</v>
      </c>
      <c r="G32" s="43">
        <f t="shared" si="6"/>
        <v>341650</v>
      </c>
      <c r="H32" s="44">
        <f t="shared" si="6"/>
        <v>4000</v>
      </c>
      <c r="J32" s="95">
        <f>SUM(J4:J31)</f>
        <v>1132350</v>
      </c>
      <c r="K32" s="95"/>
    </row>
    <row r="33" spans="2:8">
      <c r="D33" s="99">
        <f>+D32*85</f>
        <v>276250</v>
      </c>
      <c r="F33" s="99">
        <f>+F32*85</f>
        <v>59500</v>
      </c>
      <c r="H33" s="99">
        <f>+H32*85</f>
        <v>340000</v>
      </c>
    </row>
    <row r="34" spans="2:8">
      <c r="B34" s="247" t="s">
        <v>149</v>
      </c>
      <c r="C34" s="43">
        <f t="shared" ref="C34:H34" si="7">+C4+C5+C6+C8+C13</f>
        <v>205150</v>
      </c>
      <c r="D34" s="43" t="e">
        <f t="shared" si="7"/>
        <v>#VALUE!</v>
      </c>
      <c r="E34" s="43">
        <f t="shared" si="7"/>
        <v>157300</v>
      </c>
      <c r="F34" s="43" t="e">
        <f t="shared" si="7"/>
        <v>#VALUE!</v>
      </c>
      <c r="G34" s="43">
        <f t="shared" si="7"/>
        <v>199650</v>
      </c>
      <c r="H34" s="43" t="e">
        <f t="shared" si="7"/>
        <v>#VALUE!</v>
      </c>
    </row>
    <row r="35" spans="2:8">
      <c r="B35" s="247" t="s">
        <v>150</v>
      </c>
      <c r="C35" s="43">
        <f>+C11+C14+C15+C17+C18</f>
        <v>25300</v>
      </c>
      <c r="D35" s="43" t="e">
        <f t="shared" ref="D35:H35" si="8">+D11+D14+D15+D17+D18</f>
        <v>#VALUE!</v>
      </c>
      <c r="E35" s="43">
        <f t="shared" si="8"/>
        <v>14500</v>
      </c>
      <c r="F35" s="43" t="e">
        <f t="shared" si="8"/>
        <v>#VALUE!</v>
      </c>
      <c r="G35" s="43">
        <f t="shared" si="8"/>
        <v>37300</v>
      </c>
      <c r="H35" s="43" t="e">
        <f t="shared" si="8"/>
        <v>#VALUE!</v>
      </c>
    </row>
    <row r="36" spans="2:8">
      <c r="B36" s="247" t="s">
        <v>151</v>
      </c>
      <c r="C36" s="43">
        <f>+C10+C12+C27</f>
        <v>179150</v>
      </c>
      <c r="D36" s="43" t="e">
        <f t="shared" ref="D36:H36" si="9">+D10+D12+D27</f>
        <v>#VALUE!</v>
      </c>
      <c r="E36" s="43">
        <f t="shared" si="9"/>
        <v>145550</v>
      </c>
      <c r="F36" s="43" t="e">
        <f t="shared" si="9"/>
        <v>#VALUE!</v>
      </c>
      <c r="G36" s="43">
        <f t="shared" si="9"/>
        <v>64650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10" width="12.5703125" customWidth="1"/>
    <col min="11" max="11" width="3.5703125" customWidth="1"/>
    <col min="12" max="13" width="12.5703125" customWidth="1"/>
    <col min="14" max="14" width="3.5703125" customWidth="1"/>
  </cols>
  <sheetData>
    <row r="1" spans="1:13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>
      <c r="C2" s="267">
        <f>IF(PREMIOS!$B5="","",PREMIOS!$B5)</f>
        <v>42</v>
      </c>
      <c r="D2" s="268"/>
      <c r="E2" s="267">
        <f>IF(PREMIOS!$B9="","",PREMIOS!$B9)</f>
        <v>11</v>
      </c>
      <c r="F2" s="268"/>
      <c r="G2" s="267">
        <f>IF(PREMIOS!$B13="","",PREMIOS!$B13)</f>
        <v>78</v>
      </c>
      <c r="H2" s="268"/>
      <c r="I2" s="267">
        <f>IF(PREMIOS!$B17="","",PREMIOS!$B17)</f>
        <v>69</v>
      </c>
      <c r="J2" s="268"/>
    </row>
    <row r="3" spans="1:13" ht="21" customHeight="1" thickBot="1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>
      <c r="A4" s="187">
        <v>1</v>
      </c>
      <c r="B4" s="188" t="str">
        <f>Vendedor1!$B$2</f>
        <v>VENTANA</v>
      </c>
      <c r="C4" s="189">
        <v>34400</v>
      </c>
      <c r="D4" s="78">
        <f t="shared" ref="D4:J27" si="0">IF(C4="","",0)</f>
        <v>0</v>
      </c>
      <c r="E4" s="206">
        <v>11750</v>
      </c>
      <c r="F4" s="78">
        <v>100</v>
      </c>
      <c r="G4" s="189">
        <v>3850</v>
      </c>
      <c r="H4" s="78">
        <f t="shared" ref="H4:H27" si="1">IF(G4="","",0)</f>
        <v>0</v>
      </c>
      <c r="I4" s="189">
        <v>2250</v>
      </c>
      <c r="J4" s="78">
        <f t="shared" si="0"/>
        <v>0</v>
      </c>
      <c r="L4" s="42">
        <f t="shared" ref="L4:L8" si="2">+C4+E4+G4+I4</f>
        <v>52250</v>
      </c>
      <c r="M4" s="42">
        <f>IF(D4=0,0,IF(F4="",D4,IF(H4="",D4+F4,IF(J4="",D4+F4+H4,D4+F4+H4+J4))))</f>
        <v>0</v>
      </c>
    </row>
    <row r="5" spans="1:13">
      <c r="A5" s="47">
        <v>2</v>
      </c>
      <c r="B5" s="178" t="str">
        <f>Vendedor2!$B$2</f>
        <v>PUESTO 2</v>
      </c>
      <c r="C5" s="180">
        <v>21100</v>
      </c>
      <c r="D5" s="30">
        <f t="shared" si="0"/>
        <v>0</v>
      </c>
      <c r="E5" s="207">
        <v>3900</v>
      </c>
      <c r="F5" s="30">
        <v>200</v>
      </c>
      <c r="G5" s="180">
        <v>9700</v>
      </c>
      <c r="H5" s="30">
        <f t="shared" si="1"/>
        <v>0</v>
      </c>
      <c r="I5" s="180">
        <v>500</v>
      </c>
      <c r="J5" s="30">
        <f t="shared" ref="J5:J27" si="3">IF(I5="","",0)</f>
        <v>0</v>
      </c>
      <c r="L5" s="42">
        <f t="shared" si="2"/>
        <v>35200</v>
      </c>
      <c r="M5" s="42">
        <f t="shared" ref="M5:M27" si="4">IF(D5=0,0,IF(F5="",D5,IF(H5="",D5+F5,IF(J5="",D5+F5+H5,D5+F5+H5+J5))))</f>
        <v>0</v>
      </c>
    </row>
    <row r="6" spans="1:13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>
      <c r="A8" s="47">
        <v>5</v>
      </c>
      <c r="B8" s="178" t="str">
        <f>Vendedor5!$B$2</f>
        <v>YOYO</v>
      </c>
      <c r="C8" s="180">
        <v>75350</v>
      </c>
      <c r="D8" s="30">
        <f t="shared" si="0"/>
        <v>0</v>
      </c>
      <c r="E8" s="207">
        <v>51150</v>
      </c>
      <c r="F8" s="30">
        <v>500</v>
      </c>
      <c r="G8" s="180">
        <v>8900</v>
      </c>
      <c r="H8" s="30">
        <f t="shared" si="1"/>
        <v>0</v>
      </c>
      <c r="I8" s="180">
        <v>17350</v>
      </c>
      <c r="J8" s="30">
        <v>1000</v>
      </c>
      <c r="L8" s="42">
        <f t="shared" si="2"/>
        <v>152750</v>
      </c>
      <c r="M8" s="42">
        <f t="shared" si="4"/>
        <v>0</v>
      </c>
    </row>
    <row r="9" spans="1:13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>
      <c r="A10" s="47">
        <v>7</v>
      </c>
      <c r="B10" s="178" t="str">
        <f>Vendedor7!$B$2</f>
        <v>PIKIS</v>
      </c>
      <c r="C10" s="180">
        <f>34700+98600</f>
        <v>133300</v>
      </c>
      <c r="D10" s="30">
        <f t="shared" si="0"/>
        <v>0</v>
      </c>
      <c r="E10" s="207">
        <f>23500+53350</f>
        <v>76850</v>
      </c>
      <c r="F10" s="30">
        <f>500+50</f>
        <v>550</v>
      </c>
      <c r="G10" s="180">
        <f>19000+44400</f>
        <v>63400</v>
      </c>
      <c r="H10" s="30">
        <v>150</v>
      </c>
      <c r="I10" s="180">
        <f>32950+53500</f>
        <v>86450</v>
      </c>
      <c r="J10" s="30">
        <f>1500+1600</f>
        <v>3100</v>
      </c>
      <c r="L10" s="42">
        <f t="shared" si="5"/>
        <v>360000</v>
      </c>
      <c r="M10" s="42">
        <f t="shared" si="4"/>
        <v>0</v>
      </c>
    </row>
    <row r="11" spans="1:13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>
      <c r="A12" s="47">
        <v>9</v>
      </c>
      <c r="B12" s="178" t="str">
        <f>Vendedor9!$B$2</f>
        <v>JUAN FELIX</v>
      </c>
      <c r="C12" s="180">
        <v>19350</v>
      </c>
      <c r="D12" s="30">
        <v>450</v>
      </c>
      <c r="E12" s="207">
        <v>11300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30650</v>
      </c>
      <c r="M12" s="42">
        <f t="shared" si="4"/>
        <v>650</v>
      </c>
    </row>
    <row r="13" spans="1:13">
      <c r="A13" s="47">
        <v>10</v>
      </c>
      <c r="B13" s="178" t="str">
        <f>Vendedor10!$B$2</f>
        <v>MARIALIZ</v>
      </c>
      <c r="C13" s="180">
        <v>23900</v>
      </c>
      <c r="D13" s="30">
        <f t="shared" si="0"/>
        <v>0</v>
      </c>
      <c r="E13" s="207">
        <v>18600</v>
      </c>
      <c r="F13" s="30">
        <f t="shared" si="0"/>
        <v>0</v>
      </c>
      <c r="G13" s="180">
        <v>4200</v>
      </c>
      <c r="H13" s="30">
        <f t="shared" si="0"/>
        <v>0</v>
      </c>
      <c r="I13" s="180">
        <v>3500</v>
      </c>
      <c r="J13" s="30">
        <f t="shared" si="0"/>
        <v>0</v>
      </c>
      <c r="L13" s="42">
        <f t="shared" si="5"/>
        <v>50200</v>
      </c>
      <c r="M13" s="42">
        <f t="shared" si="4"/>
        <v>0</v>
      </c>
    </row>
    <row r="14" spans="1:13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>
      <c r="A16" s="47">
        <v>13</v>
      </c>
      <c r="B16" s="178" t="str">
        <f>Vendedor13!$B$2</f>
        <v>MINERO</v>
      </c>
      <c r="C16" s="180">
        <v>14300</v>
      </c>
      <c r="D16" s="30">
        <f t="shared" si="0"/>
        <v>0</v>
      </c>
      <c r="E16" s="207">
        <v>19200</v>
      </c>
      <c r="F16" s="30">
        <v>100</v>
      </c>
      <c r="G16" s="180">
        <v>19350</v>
      </c>
      <c r="H16" s="30">
        <f t="shared" si="0"/>
        <v>0</v>
      </c>
      <c r="I16" s="180">
        <v>41100</v>
      </c>
      <c r="J16" s="30">
        <v>500</v>
      </c>
      <c r="L16" s="42">
        <f t="shared" si="5"/>
        <v>93950</v>
      </c>
      <c r="M16" s="42">
        <f t="shared" si="4"/>
        <v>0</v>
      </c>
    </row>
    <row r="17" spans="1:13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>
        <v>-2250</v>
      </c>
      <c r="J27" s="50">
        <f t="shared" si="3"/>
        <v>0</v>
      </c>
      <c r="L27" s="42">
        <f t="shared" si="5"/>
        <v>-2250</v>
      </c>
      <c r="M27" s="42" t="str">
        <f t="shared" si="4"/>
        <v/>
      </c>
    </row>
    <row r="28" spans="1:13" hidden="1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>
      <c r="C32" s="43">
        <f t="shared" ref="C32:J32" si="7">SUM(C4:C31)</f>
        <v>321700</v>
      </c>
      <c r="D32" s="44">
        <f t="shared" si="7"/>
        <v>450</v>
      </c>
      <c r="E32" s="43">
        <f t="shared" si="7"/>
        <v>192750</v>
      </c>
      <c r="F32" s="44">
        <f t="shared" si="7"/>
        <v>1650</v>
      </c>
      <c r="G32" s="43">
        <f t="shared" si="7"/>
        <v>109400</v>
      </c>
      <c r="H32" s="44">
        <f t="shared" si="7"/>
        <v>150</v>
      </c>
      <c r="I32" s="43">
        <f t="shared" si="7"/>
        <v>148900</v>
      </c>
      <c r="J32" s="44">
        <f t="shared" si="7"/>
        <v>4600</v>
      </c>
      <c r="L32" s="95">
        <f>SUM(L9:L31)</f>
        <v>532550</v>
      </c>
      <c r="M32" s="95">
        <f>SUM(M9:M31)</f>
        <v>650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>
      <c r="C2" s="267" t="str">
        <f>IF(C33=0,"",CONCATENATE(PREMIOS!$B7," ",PREMIOS!$B8))</f>
        <v>27 Roja</v>
      </c>
      <c r="D2" s="268"/>
      <c r="E2" s="267" t="str">
        <f>IF(E33=0,"",CONCATENATE(PREMIOS!$B11," ",PREMIOS!$B12))</f>
        <v>78 Roja</v>
      </c>
      <c r="F2" s="268"/>
      <c r="G2" s="267" t="str">
        <f>IF(G33=0,"",CONCATENATE(PREMIOS!$B15," ",PREMIOS!$B16))</f>
        <v>62 Blanca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f>14600+7700</f>
        <v>22300</v>
      </c>
      <c r="D10" s="30">
        <f t="shared" si="0"/>
        <v>0</v>
      </c>
      <c r="E10" s="180">
        <f>15000+5900</f>
        <v>20900</v>
      </c>
      <c r="F10" s="30">
        <f t="shared" si="0"/>
        <v>0</v>
      </c>
      <c r="G10" s="180">
        <f>9000+10550</f>
        <v>19550</v>
      </c>
      <c r="H10" s="30">
        <v>350</v>
      </c>
      <c r="J10" s="42">
        <f t="shared" si="3"/>
        <v>62750</v>
      </c>
      <c r="K10" s="42">
        <f t="shared" si="4"/>
        <v>350</v>
      </c>
    </row>
    <row r="11" spans="1:11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80">
        <v>1000</v>
      </c>
      <c r="D12" s="30">
        <f t="shared" si="0"/>
        <v>0</v>
      </c>
      <c r="E12" s="180">
        <v>1450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2450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7">SUM(C4:C32)</f>
        <v>23300</v>
      </c>
      <c r="D33" s="44">
        <f t="shared" si="7"/>
        <v>0</v>
      </c>
      <c r="E33" s="43">
        <f t="shared" si="7"/>
        <v>22350</v>
      </c>
      <c r="F33" s="44">
        <f t="shared" si="7"/>
        <v>0</v>
      </c>
      <c r="G33" s="43">
        <f t="shared" si="7"/>
        <v>19550</v>
      </c>
      <c r="H33" s="44">
        <f t="shared" si="7"/>
        <v>350</v>
      </c>
      <c r="J33" s="45">
        <f>SUM(J4:J32)</f>
        <v>65200</v>
      </c>
      <c r="K33" s="95">
        <f>SUM(K4:K32)</f>
        <v>350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>
      <c r="C2" s="267">
        <f>IF(PREMIOS!$B19="","",PREMIOS!$B19)</f>
        <v>38</v>
      </c>
      <c r="D2" s="268"/>
      <c r="E2" s="267">
        <f>IF(PREMIOS!$C19="","",PREMIOS!$C19)</f>
        <v>95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89">
        <v>6000</v>
      </c>
      <c r="D4" s="78">
        <f t="shared" ref="D4:F27" si="0">IF(C4="","",0)</f>
        <v>0</v>
      </c>
      <c r="E4" s="189">
        <v>1000</v>
      </c>
      <c r="F4" s="78">
        <v>250</v>
      </c>
      <c r="H4" s="42">
        <f>+C4+E4</f>
        <v>7000</v>
      </c>
      <c r="I4" s="42">
        <f>IF(D4="",0,IF(F4="",D4,D4+F4))</f>
        <v>250</v>
      </c>
    </row>
    <row r="5" spans="1:9">
      <c r="A5" s="47">
        <v>2</v>
      </c>
      <c r="B5" s="178" t="str">
        <f>Vendedor2!$B$2</f>
        <v>PUESTO 2</v>
      </c>
      <c r="C5" s="180">
        <v>9300</v>
      </c>
      <c r="D5" s="30">
        <f t="shared" si="0"/>
        <v>0</v>
      </c>
      <c r="E5" s="180">
        <v>1400</v>
      </c>
      <c r="F5" s="30">
        <f t="shared" ref="F5:F27" si="1">IF(E5="","",0)</f>
        <v>0</v>
      </c>
      <c r="H5" s="42">
        <f t="shared" ref="H5:H32" si="2">+C5+E5</f>
        <v>10700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4">
        <v>26300</v>
      </c>
      <c r="D8" s="30">
        <f t="shared" si="0"/>
        <v>0</v>
      </c>
      <c r="E8" s="194">
        <v>14700</v>
      </c>
      <c r="F8" s="195">
        <f t="shared" si="1"/>
        <v>0</v>
      </c>
      <c r="H8" s="42">
        <f t="shared" si="2"/>
        <v>41000</v>
      </c>
      <c r="I8" s="42">
        <f t="shared" si="3"/>
        <v>0</v>
      </c>
    </row>
    <row r="9" spans="1:9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f>58050+0</f>
        <v>58050</v>
      </c>
      <c r="D10" s="30">
        <f t="shared" si="0"/>
        <v>0</v>
      </c>
      <c r="E10" s="180"/>
      <c r="F10" s="195" t="str">
        <f t="shared" si="1"/>
        <v/>
      </c>
      <c r="H10" s="42">
        <f t="shared" si="2"/>
        <v>58050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4">
        <v>20850</v>
      </c>
      <c r="D12" s="30">
        <v>550</v>
      </c>
      <c r="E12" s="194"/>
      <c r="F12" s="30" t="str">
        <f t="shared" si="0"/>
        <v/>
      </c>
      <c r="H12" s="42">
        <f t="shared" si="2"/>
        <v>20850</v>
      </c>
      <c r="I12" s="42">
        <f t="shared" si="3"/>
        <v>550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4">
        <v>8350</v>
      </c>
      <c r="D16" s="195">
        <f t="shared" si="0"/>
        <v>0</v>
      </c>
      <c r="E16" s="194">
        <v>12400</v>
      </c>
      <c r="F16" s="195">
        <f t="shared" si="0"/>
        <v>0</v>
      </c>
      <c r="H16" s="42">
        <f t="shared" si="2"/>
        <v>20750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>
        <v>-12400</v>
      </c>
      <c r="F27" s="50">
        <f t="shared" si="1"/>
        <v>0</v>
      </c>
      <c r="H27" s="42">
        <f t="shared" si="2"/>
        <v>-12400</v>
      </c>
      <c r="I27" s="42">
        <f t="shared" si="3"/>
        <v>0</v>
      </c>
    </row>
    <row r="28" spans="1:9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>
      <c r="C33" s="43">
        <f>SUM(C4:C32)</f>
        <v>128850</v>
      </c>
      <c r="D33" s="44">
        <f>SUM(D4:D32)</f>
        <v>550</v>
      </c>
      <c r="E33" s="43">
        <f>SUM(E4:E32)</f>
        <v>17100</v>
      </c>
      <c r="F33" s="44">
        <f>SUM(F4:F32)</f>
        <v>250</v>
      </c>
      <c r="H33" s="95">
        <f>SUM(H4:H32)</f>
        <v>145950</v>
      </c>
      <c r="I33" s="95">
        <f>SUM(I4:I32)</f>
        <v>800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8" width="12.5703125" customWidth="1"/>
    <col min="9" max="9" width="3.5703125" customWidth="1"/>
    <col min="10" max="11" width="12.5703125" customWidth="1"/>
    <col min="12" max="12" width="3.5703125" customWidth="1"/>
  </cols>
  <sheetData>
    <row r="1" spans="1:11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>
      <c r="C2" s="267">
        <f>IF(PREMIOS!$B20="","",PREMIOS!$B20)</f>
        <v>14</v>
      </c>
      <c r="D2" s="268"/>
      <c r="E2" s="267">
        <f>IF(PREMIOS!$C20="","",PREMIOS!$C20)</f>
        <v>59</v>
      </c>
      <c r="F2" s="268"/>
      <c r="G2" s="267">
        <f>IF(PREMIOS!$D20="","",PREMIOS!$D20)</f>
        <v>48</v>
      </c>
      <c r="H2" s="268"/>
    </row>
    <row r="3" spans="1:11" ht="21" customHeight="1" thickBot="1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>
      <c r="A10" s="47">
        <v>7</v>
      </c>
      <c r="B10" s="178" t="str">
        <f>Vendedor7!$B$2</f>
        <v>PIKIS</v>
      </c>
      <c r="C10" s="180">
        <v>34500</v>
      </c>
      <c r="D10" s="195">
        <v>1400</v>
      </c>
      <c r="E10" s="180">
        <v>36350</v>
      </c>
      <c r="F10" s="30">
        <f t="shared" si="0"/>
        <v>0</v>
      </c>
      <c r="G10" s="180">
        <v>26700</v>
      </c>
      <c r="H10" s="195">
        <v>4000</v>
      </c>
      <c r="J10" s="42">
        <f t="shared" si="3"/>
        <v>97550</v>
      </c>
      <c r="K10" s="42">
        <f t="shared" si="4"/>
        <v>5400</v>
      </c>
    </row>
    <row r="11" spans="1:11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>
      <c r="A16" s="47">
        <v>13</v>
      </c>
      <c r="B16" s="178" t="str">
        <f>Vendedor13!$B$2</f>
        <v>MINERO</v>
      </c>
      <c r="C16" s="194">
        <v>6000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6000</v>
      </c>
      <c r="K16" s="42">
        <f t="shared" si="4"/>
        <v>0</v>
      </c>
    </row>
    <row r="17" spans="1:11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>
      <c r="C33" s="43">
        <f t="shared" ref="C33:H33" si="6">SUM(C4:C32)</f>
        <v>40500</v>
      </c>
      <c r="D33" s="44">
        <f t="shared" si="6"/>
        <v>1400</v>
      </c>
      <c r="E33" s="43">
        <f t="shared" si="6"/>
        <v>36350</v>
      </c>
      <c r="F33" s="44">
        <f t="shared" si="6"/>
        <v>0</v>
      </c>
      <c r="G33" s="43">
        <f t="shared" si="6"/>
        <v>26700</v>
      </c>
      <c r="H33" s="44">
        <f t="shared" si="6"/>
        <v>4000</v>
      </c>
      <c r="J33" s="45">
        <f>SUM(J4:J32)</f>
        <v>103550</v>
      </c>
      <c r="K33" s="95">
        <f>SUM(K4:K32)</f>
        <v>5400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6" width="12.5703125" customWidth="1"/>
    <col min="7" max="7" width="3.5703125" customWidth="1"/>
    <col min="8" max="9" width="12.5703125" customWidth="1"/>
    <col min="10" max="10" width="3.5703125" customWidth="1"/>
  </cols>
  <sheetData>
    <row r="1" spans="1:9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>
      <c r="C2" s="267">
        <f>IF(PREMIOS!$B21="","",PREMIOS!$B21)</f>
        <v>13</v>
      </c>
      <c r="D2" s="268"/>
      <c r="E2" s="267" t="str">
        <f>IF(PREMIOS!$C21="","",PREMIOS!$C21)</f>
        <v>07</v>
      </c>
      <c r="F2" s="268"/>
    </row>
    <row r="3" spans="1:9" ht="21" customHeight="1" thickBot="1">
      <c r="C3" s="267"/>
      <c r="D3" s="268"/>
      <c r="E3" s="267"/>
      <c r="F3" s="268"/>
      <c r="H3" s="39" t="s">
        <v>28</v>
      </c>
      <c r="I3" s="39" t="s">
        <v>77</v>
      </c>
    </row>
    <row r="4" spans="1:9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>
      <c r="A10" s="47">
        <v>7</v>
      </c>
      <c r="B10" s="178" t="str">
        <f>Vendedor7!$B$2</f>
        <v>PIKIS</v>
      </c>
      <c r="C10" s="180">
        <v>36500</v>
      </c>
      <c r="D10" s="30">
        <f t="shared" si="0"/>
        <v>0</v>
      </c>
      <c r="E10" s="180">
        <v>37000</v>
      </c>
      <c r="F10" s="30">
        <f t="shared" si="0"/>
        <v>0</v>
      </c>
      <c r="H10" s="42">
        <f t="shared" si="2"/>
        <v>73500</v>
      </c>
      <c r="I10" s="42">
        <f t="shared" si="3"/>
        <v>0</v>
      </c>
    </row>
    <row r="11" spans="1:9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>
      <c r="C33" s="43">
        <f>SUM(C4:C32)</f>
        <v>36500</v>
      </c>
      <c r="D33" s="44">
        <f>SUM(D4:D32)</f>
        <v>0</v>
      </c>
      <c r="E33" s="43">
        <f>SUM(E4:E32)</f>
        <v>37000</v>
      </c>
      <c r="F33" s="44">
        <f>SUM(F4:F32)</f>
        <v>0</v>
      </c>
      <c r="H33" s="45">
        <f>SUM(H4:H32)</f>
        <v>73500</v>
      </c>
      <c r="I33" s="95">
        <f>SUM(I4:I32)</f>
        <v>0</v>
      </c>
    </row>
    <row r="34" spans="3:9" ht="15" customHeight="1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703125" defaultRowHeight="15"/>
  <cols>
    <col min="1" max="1" width="5.42578125" customWidth="1"/>
    <col min="2" max="2" width="25.5703125" customWidth="1"/>
    <col min="3" max="4" width="12.5703125" customWidth="1"/>
    <col min="5" max="5" width="3.5703125" customWidth="1"/>
  </cols>
  <sheetData>
    <row r="1" spans="1:4">
      <c r="A1" s="79" t="s">
        <v>38</v>
      </c>
      <c r="B1" s="79"/>
      <c r="C1" s="271" t="s">
        <v>109</v>
      </c>
      <c r="D1" s="272"/>
    </row>
    <row r="2" spans="1:4" ht="21" customHeight="1">
      <c r="C2" s="267" t="str">
        <f>IF(PREMIOS!$B22="","",PREMIOS!$B22)</f>
        <v/>
      </c>
      <c r="D2" s="268"/>
    </row>
    <row r="3" spans="1:4" ht="21" customHeight="1" thickBot="1">
      <c r="C3" s="267"/>
      <c r="D3" s="268"/>
    </row>
    <row r="4" spans="1:4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.75" thickBot="1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>
      <c r="A28" s="186">
        <v>25</v>
      </c>
      <c r="B28" s="179" t="str">
        <f>Vendedor25!$B$2</f>
        <v>Vendedor 25</v>
      </c>
      <c r="C28" s="179"/>
      <c r="D28" s="179"/>
    </row>
    <row r="29" spans="1:4" hidden="1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Raul Watson</cp:lastModifiedBy>
  <cp:revision>6</cp:revision>
  <dcterms:created xsi:type="dcterms:W3CDTF">2015-06-05T18:19:34Z</dcterms:created>
  <dcterms:modified xsi:type="dcterms:W3CDTF">2026-06-08T23:21:00Z</dcterms:modified>
  <dc:language>es-CR</dc:language>
</cp:coreProperties>
</file>
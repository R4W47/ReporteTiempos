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2" documentId="11_4235A7DB3B45FE33A8DBE2A377C89F67C4632E33" xr6:coauthVersionLast="47" xr6:coauthVersionMax="47" xr10:uidLastSave="{9E01781D-0A3E-4AEC-86F4-89F951B2BDB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1"/>
  <c r="G10" i="60"/>
  <c r="F10" i="62"/>
  <c r="E10" i="62"/>
  <c r="C10" i="62"/>
  <c r="F10" i="60"/>
  <c r="E10" i="60"/>
  <c r="D10" i="60"/>
  <c r="C10" i="60"/>
  <c r="E10" i="61"/>
  <c r="C10" i="61" l="1"/>
  <c r="D18" i="64" l="1"/>
  <c r="D11" i="65"/>
  <c r="D18" i="61"/>
  <c r="D17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1" i="60"/>
  <c r="E7" i="16" s="1"/>
  <c r="D9" i="60"/>
  <c r="D8" i="60"/>
  <c r="D7" i="60"/>
  <c r="F18" i="23"/>
  <c r="F14" i="23"/>
  <c r="F10" i="23"/>
  <c r="F6" i="23"/>
  <c r="F6" i="14"/>
  <c r="F10" i="14"/>
  <c r="F14" i="14"/>
  <c r="F18" i="14"/>
  <c r="H10" i="64"/>
  <c r="D10" i="64"/>
  <c r="F18" i="62"/>
  <c r="D5" i="61"/>
  <c r="F17" i="61"/>
  <c r="F18" i="61"/>
  <c r="F16" i="61"/>
  <c r="J17" i="61"/>
  <c r="D6" i="60"/>
  <c r="F18" i="60"/>
  <c r="F17" i="60"/>
  <c r="F15" i="60"/>
  <c r="F14" i="60"/>
  <c r="F11" i="60"/>
  <c r="F35" i="60" s="1"/>
  <c r="F9" i="60"/>
  <c r="F7" i="60"/>
  <c r="F6" i="60"/>
  <c r="F34" i="60" s="1"/>
  <c r="H17" i="60"/>
  <c r="H16" i="60"/>
  <c r="H15" i="60"/>
  <c r="H14" i="60"/>
  <c r="H13" i="60"/>
  <c r="H11" i="60"/>
  <c r="H9" i="60"/>
  <c r="H34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4" i="60" l="1"/>
  <c r="D35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F28" i="73"/>
  <c r="H25" i="73"/>
  <c r="I25" i="73" s="1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C25" i="73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C22" i="72"/>
  <c r="B22" i="72"/>
  <c r="F21" i="72"/>
  <c r="E21" i="72"/>
  <c r="D21" i="72"/>
  <c r="J21" i="72" s="1"/>
  <c r="K21" i="72" s="1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L24" i="71" s="1"/>
  <c r="M24" i="71" s="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3" i="66"/>
  <c r="I12" i="66"/>
  <c r="I7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H29" i="70" s="1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N25" i="72"/>
  <c r="I25" i="72"/>
  <c r="H29" i="66"/>
  <c r="H33" i="66" s="1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J26" i="72"/>
  <c r="K26" i="72" s="1"/>
  <c r="D18" i="72"/>
  <c r="J29" i="64"/>
  <c r="I18" i="66"/>
  <c r="J7" i="19"/>
  <c r="F25" i="19"/>
  <c r="L9" i="19" s="1"/>
  <c r="F18" i="72"/>
  <c r="J18" i="72" s="1"/>
  <c r="K18" i="72" s="1"/>
  <c r="J26" i="71"/>
  <c r="L29" i="71"/>
  <c r="M29" i="71" s="1"/>
  <c r="H21" i="72"/>
  <c r="D26" i="21"/>
  <c r="J10" i="21"/>
  <c r="C17" i="73"/>
  <c r="F17" i="73" s="1"/>
  <c r="J10" i="8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D26" i="19"/>
  <c r="J10" i="19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K21" i="8"/>
  <c r="K10" i="8"/>
  <c r="L18" i="72"/>
  <c r="L27" i="71"/>
  <c r="M27" i="71" s="1"/>
  <c r="N27" i="71"/>
  <c r="K21" i="19"/>
  <c r="K10" i="19"/>
  <c r="N27" i="72"/>
  <c r="K12" i="17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M26" i="52" l="1"/>
  <c r="J5" i="23"/>
  <c r="N18" i="71"/>
  <c r="P18" i="71" s="1"/>
  <c r="J6" i="23"/>
  <c r="L5" i="23"/>
  <c r="L4" i="23"/>
  <c r="M22" i="52"/>
  <c r="M20" i="52"/>
  <c r="L6" i="23"/>
  <c r="C24" i="15"/>
  <c r="F17" i="52"/>
  <c r="F12" i="8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E32" i="60"/>
  <c r="J32" i="61"/>
  <c r="D24" i="15"/>
  <c r="F32" i="60"/>
  <c r="D32" i="61"/>
  <c r="K4" i="23"/>
  <c r="G32" i="60"/>
  <c r="J19" i="70"/>
  <c r="K19" i="70" s="1"/>
  <c r="H32" i="60"/>
  <c r="K5" i="23"/>
  <c r="G32" i="61"/>
  <c r="F32" i="61"/>
  <c r="L6" i="25"/>
  <c r="F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2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6" i="52"/>
  <c r="C5" i="1" s="1"/>
  <c r="B5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<sst xmlns="http://schemas.openxmlformats.org/spreadsheetml/2006/main" count="1293" uniqueCount="160">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</sst>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275100</v>
      </c>
      <c r="C3" s="9">
        <f>+HojaTICA!K4+HojaNICA!M4+HojaREVENTADO!K4+HojaPrimera!I4+HojaHonduras!K4+HojaDominicana!I4+HojaPANA!G4</f>
        <v>35750</v>
      </c>
      <c r="D3" s="9">
        <f>+HojaTICA!N4+HojaNICA!P4+HojaREVENTADO!O4+HojaPrimera!L4+HojaHonduras!N4+HojaDominicana!L4+HojaPANA!J4</f>
        <v>496750</v>
      </c>
      <c r="F3" s="10">
        <f t="shared" ref="F3:F27" si="0">+B3-C3-D3</f>
        <v>-257400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175650</v>
      </c>
      <c r="C4" s="9">
        <f>+HojaTICA!K5+HojaNICA!M5+HojaREVENTADO!K5+HojaPrimera!I5+HojaHonduras!K5+HojaDominicana!I5+HojaPANA!G5</f>
        <v>22850</v>
      </c>
      <c r="D4" s="9">
        <f>+HojaTICA!N5+HojaNICA!P5+HojaREVENTADO!O5+HojaPrimera!L5+HojaHonduras!N5+HojaDominicana!L5+HojaPANA!J5</f>
        <v>357000</v>
      </c>
      <c r="F4" s="14">
        <f t="shared" si="0"/>
        <v>-204200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455600</v>
      </c>
      <c r="C7" s="9">
        <f>+HojaTICA!K8+HojaNICA!M8+HojaREVENTADO!K8+HojaPrimera!I8+HojaHonduras!K8+HojaDominicana!I8+HojaPANA!G8</f>
        <v>54700</v>
      </c>
      <c r="D7" s="9">
        <f>+HojaTICA!N8+HojaNICA!P8+HojaREVENTADO!O8+HojaPrimera!L8+HojaHonduras!N8+HojaDominicana!L8+HojaPANA!J8</f>
        <v>443500</v>
      </c>
      <c r="F7" s="14">
        <f t="shared" si="0"/>
        <v>-42600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736550</v>
      </c>
      <c r="C9" s="9">
        <f>+HojaTICA!K10+HojaNICA!M10+HojaREVENTADO!K10+HojaPrimera!I10+HojaHonduras!K10+HojaDominicana!I10+HojaPANA!G10</f>
        <v>87255</v>
      </c>
      <c r="D9" s="9">
        <f>+HojaTICA!N10+HojaNICA!P10+HojaREVENTADO!O10+HojaPrimera!L10+HojaHonduras!N10+HojaDominicana!L10+HojaPANA!J10</f>
        <v>484500</v>
      </c>
      <c r="F9" s="14">
        <f t="shared" si="0"/>
        <v>164795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12500</v>
      </c>
      <c r="C10" s="9">
        <f>+HojaTICA!K11+HojaNICA!M11+HojaREVENTADO!K11+HojaPrimera!I11+HojaHonduras!K11+HojaDominicana!I11+HojaPANA!G11</f>
        <v>1500</v>
      </c>
      <c r="D10" s="9">
        <f>+HojaTICA!N11+HojaNICA!P11+HojaREVENTADO!O11+HojaPrimera!L11+HojaHonduras!N11+HojaDominicana!L11+HojaPANA!J11</f>
        <v>0</v>
      </c>
      <c r="F10" s="14">
        <f t="shared" si="0"/>
        <v>11000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224150</v>
      </c>
      <c r="C11" s="9">
        <f>+HojaTICA!K12+HojaNICA!M12+HojaREVENTADO!K12+HojaPrimera!I12+HojaHonduras!K12+HojaDominicana!I12+HojaPANA!G12</f>
        <v>26725</v>
      </c>
      <c r="D11" s="9">
        <f>+HojaTICA!N12+HojaNICA!P12+HojaREVENTADO!O12+HojaPrimera!L12+HojaHonduras!N12+HojaDominicana!L12+HojaPANA!J12</f>
        <v>127500</v>
      </c>
      <c r="F11" s="14">
        <f t="shared" si="0"/>
        <v>69925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149800</v>
      </c>
      <c r="C12" s="9">
        <f>+HojaTICA!K13+HojaNICA!M13+HojaREVENTADO!K13+HojaPrimera!I13+HojaHonduras!K13+HojaDominicana!I13+HojaPANA!G13</f>
        <v>17950</v>
      </c>
      <c r="D12" s="9">
        <f>+HojaTICA!N13+HojaNICA!P13+HojaREVENTADO!O13+HojaPrimera!L13+HojaHonduras!N13+HojaDominicana!L13+HojaPANA!J13</f>
        <v>97750</v>
      </c>
      <c r="F12" s="14">
        <f t="shared" si="0"/>
        <v>34100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95600</v>
      </c>
      <c r="C13" s="9">
        <f>+HojaTICA!K14+HojaNICA!M14+HojaREVENTADO!K14+HojaPrimera!I14+HojaHonduras!K14+HojaDominicana!I14+HojaPANA!G14</f>
        <v>14350</v>
      </c>
      <c r="D13" s="9">
        <f>+HojaTICA!N14+HojaNICA!P14+HojaREVENTADO!O14+HojaPrimera!L14+HojaHonduras!N14+HojaDominicana!L14+HojaPANA!J14</f>
        <v>0</v>
      </c>
      <c r="F13" s="14">
        <f t="shared" si="0"/>
        <v>81250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130900</v>
      </c>
      <c r="C15" s="9">
        <f>+HojaTICA!K16+HojaNICA!M16+HojaREVENTADO!K16+HojaPrimera!I16+HojaHonduras!K16+HojaDominicana!I16+HojaPANA!G16</f>
        <v>15650</v>
      </c>
      <c r="D15" s="9">
        <f>+HojaTICA!N16+HojaNICA!P16+HojaREVENTADO!O16+HojaPrimera!L16+HojaHonduras!N16+HojaDominicana!L16+HojaPANA!J16</f>
        <v>201250</v>
      </c>
      <c r="F15" s="14">
        <f t="shared" si="0"/>
        <v>-86000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169950</v>
      </c>
      <c r="C16" s="9">
        <f>+HojaTICA!K17+HojaNICA!M17+HojaREVENTADO!K17+HojaPrimera!I17+HojaHonduras!K17+HojaDominicana!I17+HojaPANA!G17</f>
        <v>20400</v>
      </c>
      <c r="D16" s="9">
        <f>+HojaTICA!N17+HojaNICA!P17+HojaREVENTADO!O17+HojaPrimera!L17+HojaHonduras!N17+HojaDominicana!L17+HojaPANA!J17</f>
        <v>110500</v>
      </c>
      <c r="F16" s="14">
        <f t="shared" si="0"/>
        <v>39050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129750</v>
      </c>
      <c r="C17" s="9">
        <f>+HojaTICA!K18+HojaNICA!M18+HojaREVENTADO!K18+HojaPrimera!I18+HojaHonduras!K18+HojaDominicana!I18+HojaPANA!G18</f>
        <v>15600</v>
      </c>
      <c r="D17" s="9">
        <f>+HojaTICA!N18+HojaNICA!P18+HojaREVENTADO!O18+HojaPrimera!L18+HojaHonduras!N18+HojaDominicana!L18+HojaPANA!J18</f>
        <v>110500</v>
      </c>
      <c r="F17" s="14">
        <f t="shared" si="0"/>
        <v>3650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2555550</v>
      </c>
      <c r="C28" s="17">
        <f t="shared" si="1"/>
        <v>312730</v>
      </c>
      <c r="D28" s="18">
        <f t="shared" si="1"/>
        <v>2429250</v>
      </c>
      <c r="F28" s="20">
        <f>SUM(F3:F27)</f>
        <v>-186430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84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10</v>
      </c>
      <c r="C19" s="132">
        <v>76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98</v>
      </c>
      <c r="C20" s="163">
        <v>63</v>
      </c>
      <c r="D20" s="166">
        <v>37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19</v>
      </c>
      <c r="C21" s="164" t="s">
        <v>159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24</v>
      </c>
      <c r="D2" s="268"/>
      <c r="E2" s="267">
        <f>DigitaTICA!E2</f>
        <v>88</v>
      </c>
      <c r="F2" s="268"/>
      <c r="G2" s="267">
        <f>DigitaTICA!G2</f>
        <v>58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57400</v>
      </c>
      <c r="D4" s="30">
        <f>IF(Vendedor1!$E$7="",0,Vendedor1!$E$7)</f>
        <v>250</v>
      </c>
      <c r="E4" s="180">
        <f>IF(Vendedor1!$C$11="",0,Vendedor1!$C$11)</f>
        <v>53100</v>
      </c>
      <c r="F4" s="30">
        <f>IF(Vendedor1!$E$11="",0,Vendedor1!$E$11)</f>
        <v>500</v>
      </c>
      <c r="G4" s="180">
        <f>IF(Vendedor1!$C$15="",0,Vendedor1!$C$15)</f>
        <v>120750</v>
      </c>
      <c r="H4" s="30">
        <f>IF(Vendedor1!$E$15="",0,Vendedor1!$E$15)</f>
        <v>5000</v>
      </c>
      <c r="J4" s="42">
        <f t="shared" ref="J4:J7" si="0">+C4+E4+G4</f>
        <v>231250</v>
      </c>
      <c r="K4" s="41">
        <f>MROUND(J4*Vendedor1!J$9,50)</f>
        <v>30050</v>
      </c>
      <c r="L4" s="42">
        <f t="shared" ref="L4:L7" si="1">+D4+F4+H4</f>
        <v>5750</v>
      </c>
      <c r="M4" s="42">
        <f t="shared" ref="M4:M7" si="2">+L4*85</f>
        <v>488750</v>
      </c>
      <c r="N4" s="42">
        <f>Vendedor1!$F$7+Vendedor1!$F$11+Vendedor1!$F$15</f>
        <v>488750</v>
      </c>
      <c r="P4" s="42">
        <f t="shared" ref="P4:P7" si="3">+J4-K4-N4</f>
        <v>-287550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44550</v>
      </c>
      <c r="D5" s="30">
        <f>IF(Vendedor2!$E$7="",0,Vendedor2!$E$7)</f>
        <v>500</v>
      </c>
      <c r="E5" s="180">
        <f>IF(Vendedor2!$C$11="",0,Vendedor2!$C$11)</f>
        <v>42200</v>
      </c>
      <c r="F5" s="30">
        <f>IF(Vendedor2!$E$11="",0,Vendedor2!$E$11)</f>
        <v>2500</v>
      </c>
      <c r="G5" s="180">
        <f>IF(Vendedor2!$C$15="",0,Vendedor2!$C$15)</f>
        <v>60850</v>
      </c>
      <c r="H5" s="30">
        <f>IF(Vendedor2!$E$15="",0,Vendedor2!$E$15)</f>
        <v>1200</v>
      </c>
      <c r="J5" s="42">
        <f t="shared" si="0"/>
        <v>147600</v>
      </c>
      <c r="K5" s="41">
        <f>MROUND(J5*Vendedor2!J$9,50)</f>
        <v>19200</v>
      </c>
      <c r="L5" s="42">
        <f t="shared" si="1"/>
        <v>4200</v>
      </c>
      <c r="M5" s="42">
        <f t="shared" si="2"/>
        <v>357000</v>
      </c>
      <c r="N5" s="42">
        <f>Vendedor2!$F$7+Vendedor2!$F$11+Vendedor2!$F$15</f>
        <v>357000</v>
      </c>
      <c r="P5" s="42">
        <f t="shared" si="3"/>
        <v>-228600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87400</v>
      </c>
      <c r="D8" s="30">
        <f>IF(Vendedor5!$E$7="",0,Vendedor5!$E$7)</f>
        <v>0</v>
      </c>
      <c r="E8" s="180">
        <f>IF(Vendedor5!$C$11="",0,Vendedor5!$C$11)</f>
        <v>68850</v>
      </c>
      <c r="F8" s="30">
        <f>IF(Vendedor5!$E$11="",0,Vendedor5!$E$11)</f>
        <v>1300</v>
      </c>
      <c r="G8" s="180">
        <f>IF(Vendedor5!$C$15="",0,Vendedor5!$C$15)</f>
        <v>74800</v>
      </c>
      <c r="H8" s="30">
        <f>IF(Vendedor5!$E$15="",0,Vendedor5!$E$15)</f>
        <v>200</v>
      </c>
      <c r="J8" s="42">
        <f t="shared" ref="J8" si="4">+C8+E8+G8</f>
        <v>231050</v>
      </c>
      <c r="K8" s="41">
        <f>MROUND(J8*Vendedor5!J$11,50)</f>
        <v>27750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75800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117500</v>
      </c>
      <c r="D10" s="30">
        <f>IF(Vendedor7!$E$7="",0,Vendedor7!$E$7)</f>
        <v>550</v>
      </c>
      <c r="E10" s="180">
        <f>IF(Vendedor7!$C$11="",0,Vendedor7!$C$11)</f>
        <v>94050</v>
      </c>
      <c r="F10" s="30">
        <f>IF(Vendedor7!$E$11="",0,Vendedor7!$E$11)</f>
        <v>1550</v>
      </c>
      <c r="G10" s="180">
        <f>IF(Vendedor7!$C$15="",0,Vendedor7!$C$15)</f>
        <v>141300</v>
      </c>
      <c r="H10" s="30">
        <f>IF(Vendedor7!$E$15="",0,Vendedor7!$E$15)</f>
        <v>50</v>
      </c>
      <c r="J10" s="42">
        <f t="shared" si="8"/>
        <v>352850</v>
      </c>
      <c r="K10" s="41">
        <f>MROUND(J10*Vendedor7!J$14,50)</f>
        <v>42350</v>
      </c>
      <c r="L10" s="42">
        <f t="shared" si="9"/>
        <v>2150</v>
      </c>
      <c r="M10" s="42">
        <f t="shared" si="10"/>
        <v>182750</v>
      </c>
      <c r="N10" s="42">
        <f>Vendedor7!$F$7+Vendedor7!$F$11+Vendedor7!$F$15</f>
        <v>182750</v>
      </c>
      <c r="P10" s="42">
        <f t="shared" si="11"/>
        <v>127750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10000</v>
      </c>
      <c r="H11" s="30">
        <f>IF(Vendedor8!$E$15="",0,Vendedor8!$E$15)</f>
        <v>0</v>
      </c>
      <c r="J11" s="42">
        <f t="shared" si="8"/>
        <v>12500</v>
      </c>
      <c r="K11" s="41">
        <f>MROUND(J11*Vendedor8!J$11,50)</f>
        <v>1500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46650</v>
      </c>
      <c r="D12" s="30">
        <f>IF(Vendedor9!$E$7="",0,Vendedor9!$E$7)</f>
        <v>250</v>
      </c>
      <c r="E12" s="180">
        <f>IF(Vendedor9!$C$11="",0,Vendedor9!$C$11)</f>
        <v>23300</v>
      </c>
      <c r="F12" s="30">
        <f>IF(Vendedor9!$E$11="",0,Vendedor9!$E$11)</f>
        <v>250</v>
      </c>
      <c r="G12" s="180">
        <f>IF(Vendedor9!$C$15="",0,Vendedor9!$C$15)</f>
        <v>21850</v>
      </c>
      <c r="H12" s="30">
        <f>IF(Vendedor9!$E$15="",0,Vendedor9!$E$15)</f>
        <v>250</v>
      </c>
      <c r="J12" s="42">
        <f t="shared" si="8"/>
        <v>91800</v>
      </c>
      <c r="K12" s="41">
        <f>MROUND(J12*Vendedor9!J$11,50)</f>
        <v>11000</v>
      </c>
      <c r="L12" s="42">
        <f t="shared" si="9"/>
        <v>750</v>
      </c>
      <c r="M12" s="42">
        <f t="shared" si="10"/>
        <v>63750</v>
      </c>
      <c r="N12" s="42">
        <f>Vendedor9!$F$7+Vendedor9!$F$11+Vendedor9!$F$15</f>
        <v>63750</v>
      </c>
      <c r="P12" s="42">
        <f t="shared" si="11"/>
        <v>17050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41700</v>
      </c>
      <c r="D13" s="30">
        <f>IF(Vendedor10!$E$7="",0,Vendedor10!$E$7)</f>
        <v>0</v>
      </c>
      <c r="E13" s="180">
        <f>IF(Vendedor10!$C$11="",0,Vendedor10!$C$11)</f>
        <v>22200</v>
      </c>
      <c r="F13" s="30">
        <f>IF(Vendedor10!$E$11="",0,Vendedor10!$E$11)</f>
        <v>1150</v>
      </c>
      <c r="G13" s="180">
        <f>IF(Vendedor10!$C$15="",0,Vendedor10!$C$15)</f>
        <v>26250</v>
      </c>
      <c r="H13" s="30">
        <f>IF(Vendedor10!$E$15="",0,Vendedor10!$E$15)</f>
        <v>0</v>
      </c>
      <c r="J13" s="42">
        <f t="shared" si="8"/>
        <v>90150</v>
      </c>
      <c r="K13" s="41">
        <f>MROUND(J13*Vendedor10!J$9,50)</f>
        <v>10800</v>
      </c>
      <c r="L13" s="42">
        <f t="shared" si="9"/>
        <v>1150</v>
      </c>
      <c r="M13" s="42">
        <f t="shared" si="10"/>
        <v>97750</v>
      </c>
      <c r="N13" s="42">
        <f>Vendedor10!$F$7+Vendedor10!$F$11+Vendedor10!$F$15</f>
        <v>97750</v>
      </c>
      <c r="P13" s="42">
        <f t="shared" si="11"/>
        <v>-18400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46800</v>
      </c>
      <c r="D14" s="30">
        <f>IF(Vendedor11!$E$7="",0,Vendedor11!$E$7)</f>
        <v>0</v>
      </c>
      <c r="E14" s="180">
        <f>IF(Vendedor11!$C$11="",0,Vendedor11!$C$11)</f>
        <v>18800</v>
      </c>
      <c r="F14" s="30">
        <f>IF(Vendedor11!$E$11="",0,Vendedor11!$E$11)</f>
        <v>0</v>
      </c>
      <c r="G14" s="180">
        <f>IF(Vendedor11!$C$15="",0,Vendedor11!$C$15)</f>
        <v>30000</v>
      </c>
      <c r="H14" s="30">
        <f>IF(Vendedor11!$E$15="",0,Vendedor11!$E$15)</f>
        <v>0</v>
      </c>
      <c r="J14" s="42">
        <f t="shared" si="8"/>
        <v>95600</v>
      </c>
      <c r="K14" s="41">
        <f>MROUND(J14*Vendedor11!J$9,50)</f>
        <v>14350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81250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26850</v>
      </c>
      <c r="D16" s="30">
        <f>IF(Vendedor13!$E$7="",0,Vendedor13!$E$7)</f>
        <v>250</v>
      </c>
      <c r="E16" s="180">
        <f>IF(Vendedor13!$C$11="",0,Vendedor13!$C$11)</f>
        <v>17200</v>
      </c>
      <c r="F16" s="30">
        <f>IF(Vendedor13!$E$11="",0,Vendedor13!$E$11)</f>
        <v>800</v>
      </c>
      <c r="G16" s="180">
        <f>IF(Vendedor13!$C$15="",0,Vendedor13!$C$15)</f>
        <v>23200</v>
      </c>
      <c r="H16" s="30">
        <f>IF(Vendedor13!$E$15="",0,Vendedor13!$E$15)</f>
        <v>0</v>
      </c>
      <c r="J16" s="42">
        <f t="shared" si="8"/>
        <v>67250</v>
      </c>
      <c r="K16" s="41">
        <f>MROUND(J16*Vendedor13!J$11,50)</f>
        <v>8050</v>
      </c>
      <c r="L16" s="42">
        <f t="shared" si="9"/>
        <v>1050</v>
      </c>
      <c r="M16" s="42">
        <f t="shared" si="10"/>
        <v>89250</v>
      </c>
      <c r="N16" s="42">
        <f>Vendedor13!$F$7+Vendedor13!$F$11+Vendedor13!$F$15</f>
        <v>89250</v>
      </c>
      <c r="P16" s="42">
        <f t="shared" si="11"/>
        <v>-30050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471350</v>
      </c>
      <c r="D32" s="44">
        <f t="shared" si="16"/>
        <v>1800</v>
      </c>
      <c r="E32" s="43">
        <f t="shared" si="16"/>
        <v>339700</v>
      </c>
      <c r="F32" s="44">
        <f t="shared" si="16"/>
        <v>8050</v>
      </c>
      <c r="G32" s="43">
        <f t="shared" si="16"/>
        <v>509000</v>
      </c>
      <c r="H32" s="44">
        <f t="shared" si="16"/>
        <v>6700</v>
      </c>
      <c r="J32" s="95">
        <f>SUM(J4:J31)</f>
        <v>1320050</v>
      </c>
      <c r="K32" s="45">
        <f>SUM(K7:K31)</f>
        <v>115800</v>
      </c>
      <c r="L32" s="95">
        <f>SUM(L4:L31)</f>
        <v>16550</v>
      </c>
      <c r="M32" s="95">
        <f>SUM(M4:M31)</f>
        <v>1406750</v>
      </c>
      <c r="N32" s="95">
        <f>SUM(N4:N31)</f>
        <v>1406750</v>
      </c>
      <c r="P32" s="79">
        <f>SUM(P4:P31)</f>
        <v>-251750</v>
      </c>
    </row>
    <row r="33" spans="3:13" x14ac:dyDescent="0.35">
      <c r="D33" s="99">
        <f>+D32*85</f>
        <v>153000</v>
      </c>
      <c r="F33" s="99">
        <f>+F32*85</f>
        <v>684250</v>
      </c>
      <c r="H33" s="99">
        <f>+H32*85</f>
        <v>569500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1320050</v>
      </c>
      <c r="E36" s="43">
        <f>+D36-J4-J5-J6</f>
        <v>941200</v>
      </c>
      <c r="G36" s="101"/>
    </row>
    <row r="37" spans="3:13" x14ac:dyDescent="0.35">
      <c r="C37" s="47" t="s">
        <v>33</v>
      </c>
      <c r="D37" s="48">
        <f>D36*13%</f>
        <v>171606.5</v>
      </c>
      <c r="E37">
        <f>+D37-K4-K5-K6</f>
        <v>122356.5</v>
      </c>
      <c r="G37" s="100"/>
      <c r="H37" s="100"/>
    </row>
    <row r="38" spans="3:13" ht="15" thickBot="1" x14ac:dyDescent="0.4">
      <c r="C38" s="47" t="s">
        <v>30</v>
      </c>
      <c r="D38" s="30">
        <f>M32</f>
        <v>1406750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-258306.5</v>
      </c>
      <c r="F39" s="98">
        <f>+P32-D39</f>
        <v>6556.5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-258306.5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98</v>
      </c>
      <c r="D2" s="268"/>
      <c r="E2" s="267">
        <f>DigitaNICA!E2</f>
        <v>44</v>
      </c>
      <c r="F2" s="268"/>
      <c r="G2" s="267">
        <f>DigitaNICA!G2</f>
        <v>34</v>
      </c>
      <c r="H2" s="268"/>
      <c r="I2" s="267">
        <f>DigitaNICA!I2</f>
        <v>84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17400</v>
      </c>
      <c r="D4" s="78">
        <f>IF(Vendedor1!$E$5="",0,Vendedor1!$E$5)</f>
        <v>0</v>
      </c>
      <c r="E4" s="189">
        <f>IF(Vendedor1!$C$9="",0,Vendedor1!$C$9)</f>
        <v>13900</v>
      </c>
      <c r="F4" s="78">
        <f>IF(Vendedor1!$E$9="",0,Vendedor1!$E$9)</f>
        <v>0</v>
      </c>
      <c r="G4" s="189">
        <f>IF(Vendedor1!$C$13="",0,Vendedor1!$C$13)</f>
        <v>1950</v>
      </c>
      <c r="H4" s="78">
        <f>IF(Vendedor1!$E$13="",0,Vendedor1!$E$13)</f>
        <v>0</v>
      </c>
      <c r="I4" s="189">
        <f>IF(Vendedor1!$C$17="",0,Vendedor1!$C$17)</f>
        <v>5250</v>
      </c>
      <c r="J4" s="78">
        <f>IF(Vendedor1!$E$17="",0,Vendedor1!$E$17)</f>
        <v>0</v>
      </c>
      <c r="L4" s="42">
        <f t="shared" ref="L4:L7" si="0">C4+E4+G4+I4</f>
        <v>38500</v>
      </c>
      <c r="M4" s="41">
        <f>MROUND(L4*Vendedor1!J$10,50)</f>
        <v>5000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33500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8950</v>
      </c>
      <c r="D5" s="30">
        <f>IF(Vendedor2!$E$5="",0,Vendedor2!$E$5)</f>
        <v>0</v>
      </c>
      <c r="E5" s="180">
        <f>IF(Vendedor2!$C$9="",0,Vendedor2!$C$9)</f>
        <v>18100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27050</v>
      </c>
      <c r="M5" s="41">
        <f>MROUND(L5*Vendedor2!J$10,50)</f>
        <v>3500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23550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74250</v>
      </c>
      <c r="D8" s="30">
        <f>IF(Vendedor5!$E$5="",0,Vendedor5!$E$5)</f>
        <v>1550</v>
      </c>
      <c r="E8" s="180">
        <f>IF(Vendedor5!$C$9="",0,Vendedor5!$C$9)</f>
        <v>42400</v>
      </c>
      <c r="F8" s="30">
        <f>IF(Vendedor5!$E$9="",0,Vendedor5!$E$9)</f>
        <v>150</v>
      </c>
      <c r="G8" s="180">
        <f>IF(Vendedor5!$C$13="",0,Vendedor5!$C$13)</f>
        <v>28000</v>
      </c>
      <c r="H8" s="30">
        <f>IF(Vendedor5!$E$13="",0,Vendedor5!$E$13)</f>
        <v>0</v>
      </c>
      <c r="I8" s="180">
        <f>IF(Vendedor5!$C$17="",0,Vendedor5!$C$17)</f>
        <v>15500</v>
      </c>
      <c r="J8" s="30">
        <f>IF(Vendedor5!$E$17="",0,Vendedor5!$E$17)</f>
        <v>1000</v>
      </c>
      <c r="L8" s="42">
        <f t="shared" ref="L8" si="4">C8+E8+G8+I8</f>
        <v>160150</v>
      </c>
      <c r="M8" s="41">
        <f>MROUND(L8*Vendedor5!J$12,50)</f>
        <v>19200</v>
      </c>
      <c r="N8" s="42">
        <f t="shared" ref="N8" si="5">D8+F8+H8+J8</f>
        <v>2700</v>
      </c>
      <c r="O8" s="41">
        <f t="shared" si="3"/>
        <v>229500</v>
      </c>
      <c r="P8" s="42">
        <f>Vendedor5!$F$5+Vendedor5!$F$9+Vendedor5!$F$13+Vendedor5!$F$17</f>
        <v>216000</v>
      </c>
      <c r="Q8">
        <v>17</v>
      </c>
      <c r="R8" s="41">
        <f t="shared" ref="R8" si="6">+L8-M8-O8</f>
        <v>-88550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50650</v>
      </c>
      <c r="D10" s="30">
        <f>IF(Vendedor7!$E$5="",0,Vendedor7!$E$5)</f>
        <v>100</v>
      </c>
      <c r="E10" s="180">
        <f>IF(Vendedor7!$C$9="",0,Vendedor7!$C$9)</f>
        <v>30850</v>
      </c>
      <c r="F10" s="30">
        <f>IF(Vendedor7!$E$9="",0,Vendedor7!$E$9)</f>
        <v>50</v>
      </c>
      <c r="G10" s="180">
        <f>IF(Vendedor7!$C$13="",0,Vendedor7!$C$13)</f>
        <v>45650</v>
      </c>
      <c r="H10" s="30">
        <f>IF(Vendedor7!$E$13="",0,Vendedor7!$E$13)</f>
        <v>300</v>
      </c>
      <c r="I10" s="180">
        <f>IF(Vendedor7!$C$17="",0,Vendedor7!$C$17)</f>
        <v>98150</v>
      </c>
      <c r="J10" s="30">
        <f>IF(Vendedor7!$E$17="",0,Vendedor7!$E$17)</f>
        <v>1950</v>
      </c>
      <c r="L10" s="42">
        <f t="shared" si="7"/>
        <v>225300</v>
      </c>
      <c r="M10" s="41">
        <f>MROUND(L10*Vendedor7!J$15,50)</f>
        <v>27050</v>
      </c>
      <c r="N10" s="42">
        <f t="shared" ref="N10:N27" si="9">D10+F10+H10+J10</f>
        <v>2400</v>
      </c>
      <c r="O10" s="41">
        <f t="shared" si="3"/>
        <v>204000</v>
      </c>
      <c r="P10" s="42">
        <f>Vendedor7!$F$5+Vendedor7!$F$9+Vendedor7!$F$13+Vendedor7!$F$17</f>
        <v>204000</v>
      </c>
      <c r="R10" s="41">
        <f t="shared" si="8"/>
        <v>-5750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46250</v>
      </c>
      <c r="D12" s="30">
        <f>IF(Vendedor9!$E$5="",0,Vendedor9!$E$5)</f>
        <v>550</v>
      </c>
      <c r="E12" s="180">
        <f>IF(Vendedor9!$C$9="",0,Vendedor9!$C$9)</f>
        <v>31950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78200</v>
      </c>
      <c r="M12" s="41">
        <f>MROUND(L12*Vendedor9!J$12,50)</f>
        <v>9400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22050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40600</v>
      </c>
      <c r="D13" s="30">
        <f>IF(Vendedor10!$E$5="",0,Vendedor10!$E$5)</f>
        <v>0</v>
      </c>
      <c r="E13" s="180">
        <f>IF(Vendedor10!$C$9="",0,Vendedor10!$C$9)</f>
        <v>14400</v>
      </c>
      <c r="F13" s="30">
        <f>IF(Vendedor10!$E$9="",0,Vendedor10!$E$9)</f>
        <v>0</v>
      </c>
      <c r="G13" s="180">
        <f>IF(Vendedor10!$C$13="",0,Vendedor10!$C$13)</f>
        <v>1650</v>
      </c>
      <c r="H13" s="30">
        <f>IF(Vendedor10!$E$13="",0,Vendedor10!$E$13)</f>
        <v>0</v>
      </c>
      <c r="I13" s="180">
        <f>IF(Vendedor10!$C$17="",0,Vendedor10!$C$17)</f>
        <v>3000</v>
      </c>
      <c r="J13" s="30">
        <f>IF(Vendedor10!$E$17="",0,Vendedor10!$E$17)</f>
        <v>0</v>
      </c>
      <c r="L13" s="42">
        <f t="shared" si="7"/>
        <v>59650</v>
      </c>
      <c r="M13" s="41">
        <f>MROUND(L13*Vendedor10!J$10,50)</f>
        <v>7150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52500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8850</v>
      </c>
      <c r="D16" s="30">
        <f>IF(Vendedor13!$E$5="",0,Vendedor13!$E$5)</f>
        <v>0</v>
      </c>
      <c r="E16" s="180">
        <f>IF(Vendedor13!$C$9="",0,Vendedor13!$C$9)</f>
        <v>22600</v>
      </c>
      <c r="F16" s="30">
        <f>IF(Vendedor13!$E$9="",0,Vendedor13!$E$9)</f>
        <v>0</v>
      </c>
      <c r="G16" s="180">
        <f>IF(Vendedor13!$C$13="",0,Vendedor13!$C$13)</f>
        <v>13900</v>
      </c>
      <c r="H16" s="30">
        <f>IF(Vendedor13!$E$13="",0,Vendedor13!$E$13)</f>
        <v>0</v>
      </c>
      <c r="I16" s="180">
        <f>IF(Vendedor13!$C$17="",0,Vendedor13!$C$17)</f>
        <v>6800</v>
      </c>
      <c r="J16" s="30">
        <f>IF(Vendedor13!$E$17="",0,Vendedor13!$E$17)</f>
        <v>1400</v>
      </c>
      <c r="L16" s="42">
        <f t="shared" si="7"/>
        <v>52150</v>
      </c>
      <c r="M16" s="41">
        <f>MROUND(L16*Vendedor13!J$12,50)</f>
        <v>6250</v>
      </c>
      <c r="N16" s="42">
        <f t="shared" si="9"/>
        <v>1400</v>
      </c>
      <c r="O16" s="41">
        <f t="shared" si="3"/>
        <v>119000</v>
      </c>
      <c r="P16" s="42">
        <f>Vendedor13!$F$5+Vendedor13!$F$9+Vendedor13!$F$13+Vendedor13!$F$17</f>
        <v>112000</v>
      </c>
      <c r="R16" s="41">
        <f t="shared" si="8"/>
        <v>-73100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246950</v>
      </c>
      <c r="D32" s="44">
        <f t="shared" si="14"/>
        <v>2200</v>
      </c>
      <c r="E32" s="43">
        <f t="shared" si="14"/>
        <v>174200</v>
      </c>
      <c r="F32" s="44">
        <f t="shared" si="14"/>
        <v>200</v>
      </c>
      <c r="G32" s="43">
        <f t="shared" si="14"/>
        <v>91150</v>
      </c>
      <c r="H32" s="44">
        <f t="shared" si="14"/>
        <v>300</v>
      </c>
      <c r="I32" s="43">
        <f t="shared" si="14"/>
        <v>128700</v>
      </c>
      <c r="J32" s="44">
        <f t="shared" si="14"/>
        <v>4350</v>
      </c>
      <c r="L32" s="45">
        <f>SUM(L4:L31)</f>
        <v>641000</v>
      </c>
      <c r="M32" s="45">
        <f>SUM(M7:M31)</f>
        <v>69050</v>
      </c>
      <c r="N32" s="95">
        <f>SUM(N4:N31)</f>
        <v>7050</v>
      </c>
      <c r="O32" s="46">
        <f>SUM(O4:O31)</f>
        <v>599250</v>
      </c>
      <c r="P32" s="140">
        <f>SUM(P4:P31)</f>
        <v>578750</v>
      </c>
      <c r="R32" s="79">
        <f>SUM(R4:R31)</f>
        <v>-35800</v>
      </c>
    </row>
    <row r="33" spans="3:15" x14ac:dyDescent="0.35">
      <c r="D33" s="120">
        <f>+D32*85</f>
        <v>187000</v>
      </c>
      <c r="F33" s="120">
        <f>+F32*85</f>
        <v>17000</v>
      </c>
      <c r="H33" s="120">
        <f>+H32*85</f>
        <v>25500</v>
      </c>
      <c r="J33" s="120">
        <f>+J32*85</f>
        <v>369750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641000</v>
      </c>
      <c r="E36" s="43">
        <f>+D36-L4-L5-L6</f>
        <v>575450</v>
      </c>
    </row>
    <row r="37" spans="3:15" x14ac:dyDescent="0.35">
      <c r="C37" s="47" t="s">
        <v>33</v>
      </c>
      <c r="D37" s="48">
        <f>D36*13%</f>
        <v>83330</v>
      </c>
      <c r="E37">
        <f>+D37-M4-M5-M6</f>
        <v>74830</v>
      </c>
    </row>
    <row r="38" spans="3:15" x14ac:dyDescent="0.35">
      <c r="C38" s="47" t="s">
        <v>30</v>
      </c>
      <c r="D38" s="30">
        <f>SUM(O4:O27)</f>
        <v>599250</v>
      </c>
      <c r="G38" s="100"/>
    </row>
    <row r="39" spans="3:15" ht="15" thickBot="1" x14ac:dyDescent="0.4">
      <c r="C39" s="49" t="s">
        <v>4</v>
      </c>
      <c r="D39" s="80">
        <f>+D36-D37-D38</f>
        <v>-41580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-41580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24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58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15300</v>
      </c>
      <c r="D10" s="30">
        <f>IF(Vendedor7!$E$8="",0,Vendedor7!$E$8)</f>
        <v>0</v>
      </c>
      <c r="E10" s="180">
        <f>IF(Vendedor7!$C$12="",0,Vendedor7!$C$12)</f>
        <v>13700</v>
      </c>
      <c r="F10" s="30">
        <f>IF(Vendedor7!$E$12="",0,Vendedor7!$E$12)</f>
        <v>1500</v>
      </c>
      <c r="G10" s="180">
        <f>IF(Vendedor7!$C$16="",0,Vendedor7!$C$16)</f>
        <v>26550</v>
      </c>
      <c r="H10" s="30">
        <f>IF(Vendedor7!$E$16="",0,Vendedor7!$E$16)</f>
        <v>0</v>
      </c>
      <c r="J10" s="42">
        <f t="shared" si="1"/>
        <v>55550</v>
      </c>
      <c r="K10" s="41">
        <f>J10*Vendedor7!J$16</f>
        <v>5555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49995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6250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2000</v>
      </c>
      <c r="H12" s="30">
        <f>IF(Vendedor9!$E$16="",0,Vendedor9!$E$16)</f>
        <v>0</v>
      </c>
      <c r="J12" s="42">
        <f t="shared" si="1"/>
        <v>8250</v>
      </c>
      <c r="K12" s="41">
        <f>J12*Vendedor9!J$13</f>
        <v>825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7425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24050</v>
      </c>
      <c r="D33" s="44">
        <f>IF(PREMIOS!E8&lt;&gt;0,SUM(D4:D32),0)</f>
        <v>0</v>
      </c>
      <c r="E33" s="43">
        <f>SUM(E4:E32)</f>
        <v>13700</v>
      </c>
      <c r="F33" s="44">
        <f>IF(PREMIOS!E12&lt;&gt;0,SUM(F4:F32),0)</f>
        <v>0</v>
      </c>
      <c r="G33" s="43">
        <f>SUM(G4:G32)</f>
        <v>28550</v>
      </c>
      <c r="H33" s="44">
        <f>IF(PREMIOS!E16&lt;&gt;0,SUM(H4:H32),0)</f>
        <v>0</v>
      </c>
      <c r="J33" s="45">
        <f>SUM(J4:J32)</f>
        <v>66300</v>
      </c>
      <c r="K33" s="45">
        <f>SUM(K7:K32)</f>
        <v>6630</v>
      </c>
      <c r="L33" s="95">
        <f>SUM(L7:L32)</f>
        <v>0</v>
      </c>
      <c r="M33" s="95">
        <f>SUM(M7:M32)</f>
        <v>1500</v>
      </c>
      <c r="N33" s="95">
        <f>SUM(N4:N27)</f>
        <v>0</v>
      </c>
      <c r="O33" s="95">
        <f>SUM(O4:O27)</f>
        <v>0</v>
      </c>
      <c r="Q33" s="79">
        <f>SUM(Q4:Q32)</f>
        <v>59670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66300</v>
      </c>
      <c r="E37" s="43">
        <f>+D37-J4-J5-J6</f>
        <v>66300</v>
      </c>
      <c r="F37" s="275"/>
      <c r="G37" s="275"/>
    </row>
    <row r="38" spans="3:17" ht="15" thickBot="1" x14ac:dyDescent="0.4">
      <c r="C38" s="47" t="s">
        <v>33</v>
      </c>
      <c r="D38" s="30">
        <f>D37*10%</f>
        <v>6630</v>
      </c>
      <c r="E38" s="43">
        <f>+D38-K4-K5-K6</f>
        <v>6630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59670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59670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10</v>
      </c>
      <c r="D2" s="268"/>
      <c r="E2" s="267">
        <f>DigitaPRIMERA!E2</f>
        <v>76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4350</v>
      </c>
      <c r="D4" s="78">
        <f>IF(Vendedor1!$E$19="",0,Vendedor1!$E$19)</f>
        <v>100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5350</v>
      </c>
      <c r="I4" s="41">
        <f>MROUND(H4*Vendedor1!J$9,50)</f>
        <v>700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40000</v>
      </c>
      <c r="D8" s="30">
        <f>IF(Vendedor5!$E$19="",0,Vendedor5!$E$19)</f>
        <v>900</v>
      </c>
      <c r="E8" s="180">
        <f>IF(Vendedor5!$C$20="",0,Vendedor5!$C$20)</f>
        <v>24400</v>
      </c>
      <c r="F8" s="30">
        <f>IF(Vendedor5!$E$20="",0,Vendedor5!$E$20)</f>
        <v>350</v>
      </c>
      <c r="H8" s="133">
        <f t="shared" si="1"/>
        <v>64400</v>
      </c>
      <c r="I8" s="148">
        <f>MROUND(H8*Vendedor5!J$11,50)</f>
        <v>7750</v>
      </c>
      <c r="J8" s="133">
        <f t="shared" si="2"/>
        <v>1250</v>
      </c>
      <c r="K8" s="133">
        <f t="shared" si="3"/>
        <v>106250</v>
      </c>
      <c r="L8" s="133">
        <f>Vendedor5!$F$19+Vendedor5!$F$20</f>
        <v>100000</v>
      </c>
      <c r="M8" s="155"/>
      <c r="N8" s="133">
        <f t="shared" si="0"/>
        <v>-43350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24150</v>
      </c>
      <c r="D10" s="30">
        <f>IF(Vendedor7!$E$19="",0,Vendedor7!$E$19)</f>
        <v>150</v>
      </c>
      <c r="E10" s="180">
        <f>IF(Vendedor7!$C$20="",0,Vendedor7!$C$20)</f>
        <v>17650</v>
      </c>
      <c r="F10" s="30">
        <f>IF(Vendedor7!$E$20="",0,Vendedor7!$E$20)</f>
        <v>0</v>
      </c>
      <c r="H10" s="42">
        <f t="shared" si="1"/>
        <v>41800</v>
      </c>
      <c r="I10" s="41">
        <f>MROUND(H10*Vendedor7!J$14,50)</f>
        <v>5000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24050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40000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40000</v>
      </c>
      <c r="I12" s="148">
        <f>MROUND(H12*Vendedor9!J$11,50)</f>
        <v>4800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18200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9000</v>
      </c>
      <c r="I16" s="148">
        <f>MROUND(H16*Vendedor13!J$11,50)</f>
        <v>1100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7900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68950</v>
      </c>
      <c r="D17" s="30">
        <f>IF(Vendedor14!$E$19="",0,Vendedor14!$E$19)</f>
        <v>900</v>
      </c>
      <c r="E17" s="180">
        <f>IF(Vendedor14!$C$20="",0,Vendedor14!$C$20)</f>
        <v>16850</v>
      </c>
      <c r="F17" s="30">
        <f>IF(Vendedor14!$E$20="",0,Vendedor14!$E$20)</f>
        <v>250</v>
      </c>
      <c r="H17" s="42">
        <f t="shared" si="1"/>
        <v>85800</v>
      </c>
      <c r="I17" s="41">
        <f>MROUND(H17*Vendedor14!J$15,50)</f>
        <v>10300</v>
      </c>
      <c r="J17" s="42">
        <f t="shared" si="2"/>
        <v>1150</v>
      </c>
      <c r="K17" s="42">
        <f t="shared" si="3"/>
        <v>97750</v>
      </c>
      <c r="L17" s="42">
        <f>Vendedor14!$F$19+Vendedor14!$F$20</f>
        <v>97750</v>
      </c>
      <c r="N17" s="42">
        <f t="shared" si="0"/>
        <v>-22250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44850</v>
      </c>
      <c r="D18" s="30">
        <f>IF(Vendedor15!$E$19="",0,Vendedor15!$E$19)</f>
        <v>1300</v>
      </c>
      <c r="E18" s="180">
        <f>IF(Vendedor15!$C$20="",0,Vendedor15!$C$20)</f>
        <v>51350</v>
      </c>
      <c r="F18" s="30">
        <f>IF(Vendedor15!$E$20="",0,Vendedor15!$E$20)</f>
        <v>0</v>
      </c>
      <c r="H18" s="42">
        <f t="shared" si="1"/>
        <v>96200</v>
      </c>
      <c r="I18" s="41">
        <f>MROUND(H18*Vendedor15!J$15,50)</f>
        <v>11550</v>
      </c>
      <c r="J18" s="42">
        <f t="shared" si="2"/>
        <v>1300</v>
      </c>
      <c r="K18" s="42">
        <f t="shared" si="3"/>
        <v>110500</v>
      </c>
      <c r="L18" s="42">
        <f>Vendedor15!$F$19+Vendedor15!$F$20</f>
        <v>110500</v>
      </c>
      <c r="N18" s="42">
        <f t="shared" si="0"/>
        <v>-25850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232300</v>
      </c>
      <c r="D32" s="44">
        <f>SUM(D4:D31)</f>
        <v>3550</v>
      </c>
      <c r="E32" s="43">
        <f>SUM(E4:E31)</f>
        <v>111250</v>
      </c>
      <c r="F32" s="44">
        <f>SUM(F4:F31)</f>
        <v>600</v>
      </c>
      <c r="H32" s="95">
        <f>SUM(H4:H31)</f>
        <v>343550</v>
      </c>
      <c r="I32" s="45">
        <f>SUM(I7:I31)</f>
        <v>40500</v>
      </c>
      <c r="J32" s="95"/>
      <c r="K32" s="95">
        <f>SUM(K4:K31)</f>
        <v>352750</v>
      </c>
      <c r="L32" s="95">
        <f>SUM(L4:L31)</f>
        <v>346000</v>
      </c>
      <c r="N32" s="79">
        <f>SUM(N4:N31)</f>
        <v>-43800</v>
      </c>
    </row>
    <row r="33" spans="3:6" x14ac:dyDescent="0.35">
      <c r="D33" s="99">
        <f>+D32*85</f>
        <v>301750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343550</v>
      </c>
      <c r="E36" s="43">
        <f>+D36-H4-H5-H6</f>
        <v>337200</v>
      </c>
    </row>
    <row r="37" spans="3:6" x14ac:dyDescent="0.35">
      <c r="C37" s="47" t="s">
        <v>33</v>
      </c>
      <c r="D37" s="48">
        <f>D36*13%</f>
        <v>44661.5</v>
      </c>
      <c r="E37">
        <f>+D37-I4-I5-I6</f>
        <v>43811.5</v>
      </c>
    </row>
    <row r="38" spans="3:6" ht="15" thickBot="1" x14ac:dyDescent="0.4">
      <c r="C38" s="47" t="s">
        <v>30</v>
      </c>
      <c r="D38" s="30">
        <f>SUM(K4:K27)</f>
        <v>352750</v>
      </c>
    </row>
    <row r="39" spans="3:6" ht="15" thickBot="1" x14ac:dyDescent="0.4">
      <c r="C39" s="49" t="s">
        <v>4</v>
      </c>
      <c r="D39" s="80">
        <f>+D36-D37-D38</f>
        <v>-53861.5</v>
      </c>
      <c r="F39" s="98">
        <f>+N32-D39</f>
        <v>10061.5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-53861.5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98</v>
      </c>
      <c r="D2" s="268"/>
      <c r="E2" s="267">
        <f>DigitaHONDURAS!E2</f>
        <v>63</v>
      </c>
      <c r="F2" s="268"/>
      <c r="G2" s="267">
        <f>DigitaHONDURAS!G2</f>
        <v>37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2000</v>
      </c>
      <c r="D10" s="30">
        <f>IF(Vendedor7!$E$21="",0,Vendedor7!$E$21)</f>
        <v>0</v>
      </c>
      <c r="E10" s="180">
        <f>IF(Vendedor7!$C$22="",0,Vendedor7!$C$22)</f>
        <v>3000</v>
      </c>
      <c r="F10" s="30">
        <f>IF(Vendedor7!$E$22="",0,Vendedor7!$E$22)</f>
        <v>0</v>
      </c>
      <c r="G10" s="180">
        <f>IF(Vendedor7!$C$23="",0,Vendedor7!$C$23)</f>
        <v>5050</v>
      </c>
      <c r="H10" s="30">
        <f>IF(Vendedor7!$E$23="",0,Vendedor7!$E$23)</f>
        <v>0</v>
      </c>
      <c r="J10" s="42">
        <f t="shared" si="0"/>
        <v>10050</v>
      </c>
      <c r="K10" s="41">
        <f>MROUND(J10*Vendedor7!J$14,50)</f>
        <v>1200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5900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5900</v>
      </c>
      <c r="K12" s="41">
        <f>MROUND(J12*Vendedor9!J$14,50)</f>
        <v>700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5200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59550</v>
      </c>
      <c r="D17" s="30">
        <f>IF(Vendedor14!$E$21="",0,Vendedor14!$E$21)</f>
        <v>50</v>
      </c>
      <c r="E17" s="180">
        <f>IF(Vendedor14!$C$22="",0,Vendedor14!$C$22)</f>
        <v>7000</v>
      </c>
      <c r="F17" s="30">
        <f>IF(Vendedor14!$E$22="",0,Vendedor14!$E$22)</f>
        <v>100</v>
      </c>
      <c r="G17" s="180">
        <f>IF(Vendedor14!$C$23="",0,Vendedor14!$C$23)</f>
        <v>17600</v>
      </c>
      <c r="H17" s="30">
        <f>IF(Vendedor14!$E$23="",0,Vendedor14!$E$23)</f>
        <v>0</v>
      </c>
      <c r="J17" s="42">
        <f t="shared" si="0"/>
        <v>84150</v>
      </c>
      <c r="K17" s="41">
        <f>MROUND(J17*Vendedor14!J$15,50)</f>
        <v>10100</v>
      </c>
      <c r="L17" s="42">
        <f t="shared" si="1"/>
        <v>150</v>
      </c>
      <c r="M17" s="42">
        <f t="shared" si="3"/>
        <v>12750</v>
      </c>
      <c r="N17" s="42">
        <f>Vendedor14!$F$21+Vendedor14!$F$22+Vendedor14!$F$23</f>
        <v>12750</v>
      </c>
      <c r="P17" s="42">
        <f t="shared" si="2"/>
        <v>61300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21050</v>
      </c>
      <c r="D18" s="30">
        <f>IF(Vendedor15!$E$21="",0,Vendedor15!$E$21)</f>
        <v>0</v>
      </c>
      <c r="E18" s="180">
        <f>IF(Vendedor15!$C$22="",0,Vendedor15!$C$22)</f>
        <v>8500</v>
      </c>
      <c r="F18" s="30">
        <f>IF(Vendedor15!$E$22="",0,Vendedor15!$E$22)</f>
        <v>0</v>
      </c>
      <c r="G18" s="180">
        <f>IF(Vendedor15!$C$23="",0,Vendedor15!$C$23)</f>
        <v>4000</v>
      </c>
      <c r="H18" s="30">
        <f>IF(Vendedor15!$E$23="",0,Vendedor15!$E$23)</f>
        <v>0</v>
      </c>
      <c r="J18" s="42">
        <f t="shared" si="0"/>
        <v>33550</v>
      </c>
      <c r="K18" s="41">
        <f>MROUND(J18*Vendedor15!J$15,50)</f>
        <v>4050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29500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88500</v>
      </c>
      <c r="D32" s="44">
        <f t="shared" si="8"/>
        <v>50</v>
      </c>
      <c r="E32" s="43">
        <f t="shared" si="8"/>
        <v>18500</v>
      </c>
      <c r="F32" s="44">
        <f t="shared" si="8"/>
        <v>100</v>
      </c>
      <c r="G32" s="43">
        <f t="shared" si="8"/>
        <v>26650</v>
      </c>
      <c r="H32" s="44">
        <f t="shared" si="8"/>
        <v>0</v>
      </c>
      <c r="J32" s="95">
        <f>SUM(J4:J31)</f>
        <v>133650</v>
      </c>
      <c r="K32" s="45">
        <f>SUM(K7:K31)</f>
        <v>16050</v>
      </c>
      <c r="L32" s="95"/>
      <c r="M32" s="95">
        <f>SUM(M4:M31)</f>
        <v>12750</v>
      </c>
      <c r="N32" s="95">
        <f>SUM(N4:N31)</f>
        <v>12750</v>
      </c>
      <c r="P32" s="79">
        <f>SUM(P4:P31)</f>
        <v>104850</v>
      </c>
    </row>
    <row r="33" spans="3:8" x14ac:dyDescent="0.35">
      <c r="D33" s="99">
        <f>+D32*85</f>
        <v>4250</v>
      </c>
      <c r="F33" s="99">
        <f>+F32*85</f>
        <v>8500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133650</v>
      </c>
      <c r="E36" s="43">
        <f>+D36-J4-J5-J6</f>
        <v>133650</v>
      </c>
    </row>
    <row r="37" spans="3:8" x14ac:dyDescent="0.35">
      <c r="C37" s="47" t="s">
        <v>33</v>
      </c>
      <c r="D37" s="48">
        <f>D36*13%</f>
        <v>17374.5</v>
      </c>
      <c r="E37">
        <f>+D37-K4-K5-K6</f>
        <v>17374.5</v>
      </c>
    </row>
    <row r="38" spans="3:8" ht="15" thickBot="1" x14ac:dyDescent="0.4">
      <c r="C38" s="47" t="s">
        <v>30</v>
      </c>
      <c r="D38" s="30">
        <f>SUM(M4:M27)</f>
        <v>12750</v>
      </c>
      <c r="G38" s="100"/>
    </row>
    <row r="39" spans="3:8" ht="15" thickBot="1" x14ac:dyDescent="0.4">
      <c r="C39" s="49" t="s">
        <v>4</v>
      </c>
      <c r="D39" s="80">
        <f>+D36-D37-D38</f>
        <v>103525.5</v>
      </c>
      <c r="F39" s="98">
        <f>+P32-D39</f>
        <v>1324.5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103525.5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19</v>
      </c>
      <c r="D2" s="268"/>
      <c r="E2" s="267" t="str">
        <f>DigitaDOMINICANA!E2</f>
        <v>05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20250</v>
      </c>
      <c r="D10" s="30">
        <f>IF(Vendedor7!$E$24="",0,Vendedor7!$E$24)</f>
        <v>1000</v>
      </c>
      <c r="E10" s="180">
        <f>IF(Vendedor7!$C$25="",0,Vendedor7!$C$25)</f>
        <v>30750</v>
      </c>
      <c r="F10" s="30">
        <f>IF(Vendedor7!$E$25="",0,Vendedor7!$E$25)</f>
        <v>0</v>
      </c>
      <c r="H10" s="42">
        <f t="shared" si="1"/>
        <v>51000</v>
      </c>
      <c r="I10" s="41">
        <f>MROUND(H10*Vendedor7!J$14,50)</f>
        <v>6100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-40100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20250</v>
      </c>
      <c r="D32" s="44">
        <f>SUM(D4:D31)</f>
        <v>1000</v>
      </c>
      <c r="E32" s="43">
        <f>SUM(E4:E31)</f>
        <v>30750</v>
      </c>
      <c r="F32" s="44">
        <f>SUM(F4:F31)</f>
        <v>0</v>
      </c>
      <c r="H32" s="95">
        <f>SUM(H4:H31)</f>
        <v>51000</v>
      </c>
      <c r="I32" s="45">
        <f>SUM(I7:I31)</f>
        <v>6100</v>
      </c>
      <c r="J32" s="95"/>
      <c r="K32" s="95">
        <f>SUM(K4:K31)</f>
        <v>85000</v>
      </c>
      <c r="L32" s="95">
        <f>SUM(L4:L31)</f>
        <v>85000</v>
      </c>
      <c r="N32" s="79">
        <f>SUM(N4:N31)</f>
        <v>-40100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51000</v>
      </c>
      <c r="E36" s="43">
        <f>+D36-H4-H5-H6</f>
        <v>51000</v>
      </c>
    </row>
    <row r="37" spans="3:6" x14ac:dyDescent="0.35">
      <c r="C37" s="47" t="s">
        <v>33</v>
      </c>
      <c r="D37" s="48">
        <f>D36*13%</f>
        <v>6630</v>
      </c>
      <c r="E37">
        <f>+D37-I4-I5-I6</f>
        <v>6630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-40630</v>
      </c>
      <c r="F39" s="98">
        <f>+N32-D39</f>
        <v>530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-40630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575450</v>
      </c>
      <c r="C4" s="157">
        <f>HojaNICA!M32</f>
        <v>69050</v>
      </c>
      <c r="D4" s="150">
        <f>HojaNICA!E37</f>
        <v>74830</v>
      </c>
      <c r="E4" s="150">
        <f>HojaNICA!P32</f>
        <v>578750</v>
      </c>
      <c r="F4" s="150">
        <f>HojaNICA!O32</f>
        <v>599250</v>
      </c>
      <c r="G4" s="151">
        <f t="shared" ref="G4:G10" si="0">+D4-C4+F4-E4</f>
        <v>26280</v>
      </c>
      <c r="H4" s="21"/>
      <c r="I4" s="182"/>
    </row>
    <row r="5" spans="1:9" x14ac:dyDescent="0.35">
      <c r="A5" s="28" t="s">
        <v>19</v>
      </c>
      <c r="B5" s="156">
        <f>HojaTICA!$E$36</f>
        <v>941200</v>
      </c>
      <c r="C5" s="157">
        <f>HojaTICA!K32</f>
        <v>115800</v>
      </c>
      <c r="D5" s="150">
        <f>HojaTICA!E37</f>
        <v>122356.5</v>
      </c>
      <c r="E5" s="150">
        <f>HojaTICA!N32</f>
        <v>1406750</v>
      </c>
      <c r="F5" s="150">
        <f>HojaTICA!D38</f>
        <v>1406750</v>
      </c>
      <c r="G5" s="151">
        <f t="shared" si="0"/>
        <v>6556.5</v>
      </c>
      <c r="H5" s="21"/>
      <c r="I5" s="182"/>
    </row>
    <row r="6" spans="1:9" x14ac:dyDescent="0.35">
      <c r="A6" s="28" t="s">
        <v>125</v>
      </c>
      <c r="B6" s="156">
        <f>HojaREVENTADO!$E$37</f>
        <v>66300</v>
      </c>
      <c r="C6" s="157">
        <f>HojaREVENTADO!K33</f>
        <v>6630</v>
      </c>
      <c r="D6" s="150">
        <f>HojaREVENTADO!E38</f>
        <v>6630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337200</v>
      </c>
      <c r="C7" s="157">
        <f>HojaPrimera!I32</f>
        <v>40500</v>
      </c>
      <c r="D7" s="150">
        <f>HojaPrimera!E37</f>
        <v>43811.5</v>
      </c>
      <c r="E7" s="150">
        <f>HojaPrimera!L32</f>
        <v>346000</v>
      </c>
      <c r="F7" s="150">
        <f>HojaPrimera!K32</f>
        <v>352750</v>
      </c>
      <c r="G7" s="151">
        <f t="shared" si="0"/>
        <v>10061.5</v>
      </c>
      <c r="H7" s="21"/>
      <c r="I7" s="21"/>
    </row>
    <row r="8" spans="1:9" x14ac:dyDescent="0.35">
      <c r="A8" s="28" t="s">
        <v>104</v>
      </c>
      <c r="B8" s="156">
        <f>HojaHonduras!$E$36</f>
        <v>133650</v>
      </c>
      <c r="C8" s="157">
        <f>HojaHonduras!K32</f>
        <v>16050</v>
      </c>
      <c r="D8" s="150">
        <f>HojaHonduras!E37</f>
        <v>17374.5</v>
      </c>
      <c r="E8" s="150">
        <f>HojaHonduras!N32</f>
        <v>12750</v>
      </c>
      <c r="F8" s="150">
        <f>HojaHonduras!M32</f>
        <v>12750</v>
      </c>
      <c r="G8" s="151">
        <f t="shared" si="0"/>
        <v>1324.5</v>
      </c>
      <c r="H8" s="21"/>
      <c r="I8" s="21"/>
    </row>
    <row r="9" spans="1:9" x14ac:dyDescent="0.35">
      <c r="A9" s="28" t="s">
        <v>20</v>
      </c>
      <c r="B9" s="156">
        <f>HojaDominicana!$E$36</f>
        <v>51000</v>
      </c>
      <c r="C9" s="157">
        <f>HojaDominicana!I32</f>
        <v>6100</v>
      </c>
      <c r="D9" s="150">
        <f>HojaDominicana!E37</f>
        <v>6630</v>
      </c>
      <c r="E9" s="150">
        <f>HojaDominicana!L32</f>
        <v>85000</v>
      </c>
      <c r="F9" s="150">
        <f>HojaDominicana!K32</f>
        <v>85000</v>
      </c>
      <c r="G9" s="151">
        <f t="shared" si="0"/>
        <v>530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2104800</v>
      </c>
      <c r="C11" s="175">
        <f>SUM(C4:C10)</f>
        <v>254130</v>
      </c>
      <c r="D11" s="175">
        <f t="shared" ref="D11:F11" si="1">SUM(D4:D10)</f>
        <v>271632.5</v>
      </c>
      <c r="E11" s="175">
        <f t="shared" si="1"/>
        <v>2429250</v>
      </c>
      <c r="F11" s="175">
        <f t="shared" si="1"/>
        <v>2456500</v>
      </c>
      <c r="G11" s="176">
        <f>SUM(G4:G10)</f>
        <v>44752.5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9752.5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275100</v>
      </c>
      <c r="E16" s="157">
        <f>+Vendedor1!D21</f>
        <v>35763</v>
      </c>
      <c r="F16" s="158">
        <f>IF(D16&lt;&gt;0,15000,0)</f>
        <v>15000</v>
      </c>
      <c r="G16" s="151">
        <f>+E16-F16</f>
        <v>20763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175650</v>
      </c>
      <c r="E17" s="157">
        <f>+Vendedor2!D21</f>
        <v>22834.5</v>
      </c>
      <c r="F17" s="158">
        <f>IF(D17&lt;&gt;0,15000,0)</f>
        <v>15000</v>
      </c>
      <c r="G17" s="151">
        <f>+E17-F17</f>
        <v>7834.5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450750</v>
      </c>
      <c r="E19" s="159">
        <f>SUM(E16:E18)</f>
        <v>58597.5</v>
      </c>
      <c r="F19" s="160">
        <f>SUM(F16:F18)</f>
        <v>30000</v>
      </c>
      <c r="G19" s="161">
        <f>SUM(G16:G18)</f>
        <v>28597.5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38350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641000</v>
      </c>
      <c r="C5" s="150">
        <f>HojaNICA!D37</f>
        <v>83330</v>
      </c>
      <c r="D5" s="150">
        <f>HojaNICA!D38</f>
        <v>599250</v>
      </c>
      <c r="E5" s="150"/>
      <c r="F5" s="151">
        <f>+B5-C5-D5+E5</f>
        <v>-41580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1320050</v>
      </c>
      <c r="C6" s="150">
        <f>HojaTICA!D37</f>
        <v>171606.5</v>
      </c>
      <c r="D6" s="150">
        <f>HojaTICA!D38</f>
        <v>1406750</v>
      </c>
      <c r="E6" s="150"/>
      <c r="F6" s="151">
        <f t="shared" ref="F6:F11" si="0">+B6-C6-D6+E6</f>
        <v>-258306.5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66300</v>
      </c>
      <c r="C7" s="150">
        <f>HojaREVENTADO!D38</f>
        <v>6630</v>
      </c>
      <c r="D7" s="150">
        <f>HojaREVENTADO!D39</f>
        <v>0</v>
      </c>
      <c r="E7" s="150"/>
      <c r="F7" s="151">
        <f t="shared" si="0"/>
        <v>59670</v>
      </c>
    </row>
    <row r="8" spans="1:15" x14ac:dyDescent="0.35">
      <c r="A8" s="47" t="s">
        <v>96</v>
      </c>
      <c r="B8" s="150">
        <f>HojaPrimera!$D36</f>
        <v>343550</v>
      </c>
      <c r="C8" s="150">
        <f>HojaPrimera!$D37</f>
        <v>44661.5</v>
      </c>
      <c r="D8" s="150">
        <f>HojaPrimera!$D38</f>
        <v>352750</v>
      </c>
      <c r="E8" s="150"/>
      <c r="F8" s="151">
        <f t="shared" si="0"/>
        <v>-53861.5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133650</v>
      </c>
      <c r="C9" s="150">
        <f>HojaHonduras!$D37</f>
        <v>17374.5</v>
      </c>
      <c r="D9" s="150">
        <f>HojaHonduras!$D38</f>
        <v>12750</v>
      </c>
      <c r="E9" s="150"/>
      <c r="F9" s="151">
        <f t="shared" si="0"/>
        <v>103525.5</v>
      </c>
      <c r="H9" s="250">
        <f>+K12-K10-H6</f>
        <v>-231182.5</v>
      </c>
    </row>
    <row r="10" spans="1:15" ht="15" thickBot="1" x14ac:dyDescent="0.4">
      <c r="A10" s="47" t="s">
        <v>20</v>
      </c>
      <c r="B10" s="150">
        <f>HojaDominicana!$D36</f>
        <v>51000</v>
      </c>
      <c r="C10" s="150">
        <f>HojaDominicana!$D37</f>
        <v>6630</v>
      </c>
      <c r="D10" s="150">
        <f>HojaDominicana!$D38</f>
        <v>85000</v>
      </c>
      <c r="E10" s="150"/>
      <c r="F10" s="151">
        <f t="shared" si="0"/>
        <v>-40630</v>
      </c>
      <c r="H10" s="154"/>
      <c r="J10" t="s">
        <v>148</v>
      </c>
      <c r="K10" s="252">
        <v>1826761.06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1595578.56</v>
      </c>
    </row>
    <row r="12" spans="1:15" ht="16" thickBot="1" x14ac:dyDescent="0.4">
      <c r="A12" s="144" t="s">
        <v>5</v>
      </c>
      <c r="B12" s="152">
        <f>SUM(B5:B11)</f>
        <v>2555550</v>
      </c>
      <c r="C12" s="152">
        <f>SUM(C5:C11)</f>
        <v>330232.5</v>
      </c>
      <c r="D12" s="152">
        <f>SUM(D5:D11)</f>
        <v>2456500</v>
      </c>
      <c r="E12" s="152"/>
      <c r="F12" s="255">
        <f>SUM(F5:F11)</f>
        <v>-231182.5</v>
      </c>
      <c r="H12" s="251">
        <f>K12</f>
        <v>1595578.56</v>
      </c>
      <c r="J12" t="s">
        <v>140</v>
      </c>
      <c r="K12" s="254">
        <f>-4993287.26+1777176.34+2151354.5+2660334.98</f>
        <v>1595578.56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231250</v>
      </c>
      <c r="K4" s="231">
        <f t="shared" ref="K4" si="0">D7+D11+D15</f>
        <v>30062.5</v>
      </c>
      <c r="L4" s="220">
        <f>F7+F11+F15</f>
        <v>488750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IF(DigitaNICA!C4&lt;&gt;"",DigitaNICA!C4,"")</f>
        <v>17400</v>
      </c>
      <c r="D5" s="42">
        <f>IF(C5="",0,C5*J$10)</f>
        <v>2262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15138</v>
      </c>
      <c r="I5" s="241" t="s">
        <v>37</v>
      </c>
      <c r="J5" s="221">
        <f>SUM(IF(C5="",0,C5),IF(C9="",0,C9),IF(C13="",0,C13),IF(C17="",0,C17))</f>
        <v>38500</v>
      </c>
      <c r="K5" s="225">
        <f t="shared" ref="K5" si="2">D5+D9+D13+D17</f>
        <v>5005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5350</v>
      </c>
      <c r="K6" s="228">
        <f>D19+D20</f>
        <v>695.5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IF(DigitaTICA!C4&lt;&gt;"",DigitaTICA!C4,"")</f>
        <v>57400</v>
      </c>
      <c r="D7" s="42">
        <f>IF(C7="",0,C7*J$9)</f>
        <v>7462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28688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IF(DigitaNICA!E4&lt;&gt;"",DigitaNICA!E4,"")</f>
        <v>13900</v>
      </c>
      <c r="D9" s="42">
        <f>IF(C9="",0,C9*J$10)</f>
        <v>1807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12093</v>
      </c>
      <c r="I9" s="76" t="s">
        <v>36</v>
      </c>
      <c r="J9" s="77">
        <v>0.13</v>
      </c>
      <c r="K9" s="78">
        <f>MROUND(D7+D11+D15,50)</f>
        <v>30050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5000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IF(DigitaTICA!E4&lt;&gt;"",DigitaTICA!E4,"")</f>
        <v>53100</v>
      </c>
      <c r="D11" s="42">
        <f>IF(C11="",0,C11*J$9)</f>
        <v>6903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3697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34</v>
      </c>
      <c r="C13" s="29">
        <f>IF(DigitaNICA!G4&lt;&gt;"",DigitaNICA!G4,"")</f>
        <v>1950</v>
      </c>
      <c r="D13" s="42">
        <f>IF(C13="",0,C13*J$10)</f>
        <v>253.5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1696.5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IF(DigitaTICA!G4&lt;&gt;"",DigitaTICA!G4,"")</f>
        <v>120750</v>
      </c>
      <c r="D15" s="42">
        <f>IF(C15="",0,C15*J$9)</f>
        <v>15697.5</v>
      </c>
      <c r="E15" s="29">
        <f>IF(DigitaTICA!H4&lt;&gt;"",DigitaTICA!H4,"")</f>
        <v>5000</v>
      </c>
      <c r="F15" s="42">
        <f>IF(E15="",0,E15*PREMIOS!F15)</f>
        <v>425000</v>
      </c>
      <c r="G15" s="30">
        <f t="shared" si="3"/>
        <v>-319947.5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IF(DigitaNICA!I4&lt;&gt;"",DigitaNICA!I4,"")</f>
        <v>5250</v>
      </c>
      <c r="D17" s="42">
        <f>IF(C17="",0,C17*J$10)</f>
        <v>682.5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4567.5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>
        <f>IF(DigitaPRIMERA!C4&lt;&gt;"",DigitaPRIMERA!C4,"")</f>
        <v>4350</v>
      </c>
      <c r="D19" s="42">
        <f>IF(C19="",0,C19*J$12)</f>
        <v>565.5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-4215.5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275100</v>
      </c>
      <c r="D21" s="122">
        <f t="shared" ref="D21:G21" si="6">SUM(D5:D20)</f>
        <v>35763</v>
      </c>
      <c r="E21" s="122">
        <f t="shared" si="6"/>
        <v>5850</v>
      </c>
      <c r="F21" s="122">
        <f t="shared" si="6"/>
        <v>496750</v>
      </c>
      <c r="G21" s="123">
        <f t="shared" si="6"/>
        <v>-257413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147600</v>
      </c>
      <c r="K4" s="231">
        <f t="shared" ref="K4" si="0">D7+D11+D15</f>
        <v>19188</v>
      </c>
      <c r="L4" s="220">
        <f>F7+F11+F15</f>
        <v>357000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IF(DigitaNICA!C5&lt;&gt;"",DigitaNICA!C5,"")</f>
        <v>8950</v>
      </c>
      <c r="D5" s="42">
        <f>IF(C5="",0,C5*J$10)</f>
        <v>1163.5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7786.5</v>
      </c>
      <c r="I5" s="241" t="s">
        <v>37</v>
      </c>
      <c r="J5" s="221">
        <f>SUM(IF(C5="",0,C5),IF(C9="",0,C9),IF(C13="",0,C13),IF(C17="",0,C17))</f>
        <v>27050</v>
      </c>
      <c r="K5" s="225">
        <f t="shared" ref="K5" si="2">D5+D9+D13+D17</f>
        <v>3516.5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1000</v>
      </c>
      <c r="K6" s="228">
        <f>D19+D20</f>
        <v>130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IF(DigitaTICA!C5&lt;&gt;"",DigitaTICA!C5,"")</f>
        <v>44550</v>
      </c>
      <c r="D7" s="42">
        <f>IF(C7="",0,C7*J$9)</f>
        <v>5791.5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-3741.5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IF(DigitaNICA!E5&lt;&gt;"",DigitaNICA!E5,"")</f>
        <v>18100</v>
      </c>
      <c r="D9" s="42">
        <f>IF(C9="",0,C9*J$10)</f>
        <v>2353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15747</v>
      </c>
      <c r="I9" s="60" t="s">
        <v>36</v>
      </c>
      <c r="J9" s="61">
        <v>0.13</v>
      </c>
      <c r="K9" s="62">
        <f>MROUND(D7+D11+D15,50)</f>
        <v>19200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3500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IF(DigitaTICA!E5&lt;&gt;"",DigitaTICA!E5,"")</f>
        <v>42200</v>
      </c>
      <c r="D11" s="42">
        <f>IF(C11="",0,C11*J$9)</f>
        <v>5486</v>
      </c>
      <c r="E11" s="29">
        <f>IF(DigitaTICA!F5&lt;&gt;"",DigitaTICA!F5,"")</f>
        <v>2500</v>
      </c>
      <c r="F11" s="42">
        <f>IF(E11="",0,E11*PREMIOS!F11)</f>
        <v>212500</v>
      </c>
      <c r="G11" s="30">
        <f t="shared" si="1"/>
        <v>-175786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IF(DigitaTICA!G5&lt;&gt;"",DigitaTICA!G5,"")</f>
        <v>60850</v>
      </c>
      <c r="D15" s="42">
        <f>IF(C15="",0,C15*J$9)</f>
        <v>7910.5</v>
      </c>
      <c r="E15" s="29">
        <f>IF(DigitaTICA!H5&lt;&gt;"",DigitaTICA!H5,"")</f>
        <v>1200</v>
      </c>
      <c r="F15" s="42">
        <f>IF(E15="",0,E15*PREMIOS!F15)</f>
        <v>102000</v>
      </c>
      <c r="G15" s="30">
        <f t="shared" si="3"/>
        <v>-49060.5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175650</v>
      </c>
      <c r="D21" s="68">
        <f t="shared" ref="D21:G21" si="4">SUM(D5:D20)</f>
        <v>22834.5</v>
      </c>
      <c r="E21" s="68">
        <f t="shared" si="4"/>
        <v>4200</v>
      </c>
      <c r="F21" s="68">
        <f t="shared" si="4"/>
        <v>357000</v>
      </c>
      <c r="G21" s="88">
        <f t="shared" si="4"/>
        <v>-204184.5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231050</v>
      </c>
      <c r="K4" s="231">
        <f t="shared" ref="K4" si="0">D7+D11+D15</f>
        <v>27726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IF(DigitaNICA!C8&lt;&gt;"",DigitaNICA!C8,"")</f>
        <v>74250</v>
      </c>
      <c r="D5" s="42">
        <f>IF(C5="",0,C5*J$12)</f>
        <v>8910</v>
      </c>
      <c r="E5" s="29">
        <f>IF(DigitaNICA!D8&lt;&gt;"",DigitaNICA!D8,"")</f>
        <v>1550</v>
      </c>
      <c r="F5" s="42">
        <f>IF(E5="",0,E5*PREMIOS!E5)</f>
        <v>124000</v>
      </c>
      <c r="G5" s="30">
        <f t="shared" ref="G5:G12" si="1">IF(OR(C5="",E5=""),0,C5-D5-F5)</f>
        <v>-58660</v>
      </c>
      <c r="I5" s="241" t="s">
        <v>37</v>
      </c>
      <c r="J5" s="221">
        <f>SUM(IF(C5="",0,C5),IF(C9="",0,C9),IF(C13="",0,C13),IF(C17="",0,C17))</f>
        <v>160150</v>
      </c>
      <c r="K5" s="225">
        <f t="shared" ref="K5" si="2">D5+D9+D13+D17</f>
        <v>19218</v>
      </c>
      <c r="L5" s="222">
        <f>F5+F9+F13+F17</f>
        <v>216000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IF(DigitaTICA!C8&lt;&gt;"",DigitaTICA!C8,"")</f>
        <v>87400</v>
      </c>
      <c r="D7" s="42">
        <f>IF(C7="",0,C7*J$11)</f>
        <v>10488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76912</v>
      </c>
      <c r="I7" s="242" t="s">
        <v>96</v>
      </c>
      <c r="J7" s="224">
        <f>SUM(IF(C19="",0,C19),IF(C20="",0,C20))</f>
        <v>64400</v>
      </c>
      <c r="K7" s="228">
        <f>+D19+D20</f>
        <v>7728</v>
      </c>
      <c r="L7" s="229">
        <f>+F19+F20</f>
        <v>100000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IF(DigitaNICA!E8&lt;&gt;"",DigitaNICA!E8,"")</f>
        <v>42400</v>
      </c>
      <c r="D9" s="42">
        <f>IF(C9="",0,C9*J$12)</f>
        <v>5088</v>
      </c>
      <c r="E9" s="29">
        <f>IF(DigitaNICA!F8&lt;&gt;"",DigitaNICA!F8,"")</f>
        <v>150</v>
      </c>
      <c r="F9" s="42">
        <f>IF(E9="",0,E9*PREMIOS!E9)</f>
        <v>12000</v>
      </c>
      <c r="G9" s="30">
        <f t="shared" si="1"/>
        <v>25312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IF(DigitaTICA!E8&lt;&gt;"",DigitaTICA!E8,"")</f>
        <v>68850</v>
      </c>
      <c r="D11" s="42">
        <f>IF(C11="",0,C11*J$11)</f>
        <v>8262</v>
      </c>
      <c r="E11" s="29">
        <f>IF(DigitaTICA!F8&lt;&gt;"",DigitaTICA!F8,"")</f>
        <v>1300</v>
      </c>
      <c r="F11" s="42">
        <f>IF(E11="",0,E11*PREMIOS!F11)</f>
        <v>110500</v>
      </c>
      <c r="G11" s="30">
        <f t="shared" si="1"/>
        <v>-49912</v>
      </c>
      <c r="I11" s="60" t="s">
        <v>36</v>
      </c>
      <c r="J11" s="61">
        <v>0.12</v>
      </c>
      <c r="K11" s="62">
        <f>MROUND(D7+D11+D15,50)</f>
        <v>27750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19200</v>
      </c>
    </row>
    <row r="13" spans="1:12" x14ac:dyDescent="0.35">
      <c r="A13" s="28" t="s">
        <v>50</v>
      </c>
      <c r="B13" s="132">
        <f>IF(DigitaNICA!G2&lt;&gt;"",DigitaNICA!G2,"")</f>
        <v>34</v>
      </c>
      <c r="C13" s="29">
        <f>IF(DigitaNICA!G8&lt;&gt;"",DigitaNICA!G8,"")</f>
        <v>28000</v>
      </c>
      <c r="D13" s="42">
        <f>IF(C13="",0,C13*J$12)</f>
        <v>3360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24640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7750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IF(DigitaTICA!G8&lt;&gt;"",DigitaTICA!G8,"")</f>
        <v>74800</v>
      </c>
      <c r="D15" s="42">
        <f>IF(C15="",0,C15*J$11)</f>
        <v>8976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48824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IF(DigitaNICA!I8&lt;&gt;"",DigitaNICA!I8,"")</f>
        <v>15500</v>
      </c>
      <c r="D17" s="42">
        <f>IF(C17="",0,C17*J$12)</f>
        <v>1860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-66360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>
        <f>IF(DigitaPRIMERA!C8&lt;&gt;"",DigitaPRIMERA!C8,"")</f>
        <v>40000</v>
      </c>
      <c r="D19" s="42">
        <f>IF(C19="",0,C19*J$14)</f>
        <v>4800</v>
      </c>
      <c r="E19" s="29">
        <f>IF(DigitaPRIMERA!D8&lt;&gt;"",DigitaPRIMERA!D8,"")</f>
        <v>900</v>
      </c>
      <c r="F19" s="42">
        <f>IF(E19="",0,E19*PREMIOS!E19)</f>
        <v>72000</v>
      </c>
      <c r="G19" s="30">
        <f t="shared" si="4"/>
        <v>-36800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IF(DigitaPRIMERA!E8&lt;&gt;"",DigitaPRIMERA!E8,"")</f>
        <v>24400</v>
      </c>
      <c r="D20" s="42">
        <f>IF(C20="",0,C20*J$14)</f>
        <v>2928</v>
      </c>
      <c r="E20" s="29">
        <f>IF(DigitaPRIMERA!F8&lt;&gt;"",DigitaPRIMERA!F8,"")</f>
        <v>350</v>
      </c>
      <c r="F20" s="42">
        <f>IF(E20="",0,E20*PREMIOS!E19)</f>
        <v>28000</v>
      </c>
      <c r="G20" s="30">
        <f t="shared" si="4"/>
        <v>-6528</v>
      </c>
    </row>
    <row r="21" spans="1:7" ht="15" thickBot="1" x14ac:dyDescent="0.4">
      <c r="A21" s="121" t="s">
        <v>5</v>
      </c>
      <c r="B21" s="128"/>
      <c r="C21" s="122">
        <f>SUM(C5:C20)</f>
        <v>455600</v>
      </c>
      <c r="D21" s="122">
        <f t="shared" ref="D21:G21" si="5">SUM(D5:D20)</f>
        <v>54672</v>
      </c>
      <c r="E21" s="122">
        <f t="shared" si="5"/>
        <v>5450</v>
      </c>
      <c r="F21" s="122">
        <f t="shared" si="5"/>
        <v>443500</v>
      </c>
      <c r="G21" s="123">
        <f t="shared" si="5"/>
        <v>-42572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352850</v>
      </c>
      <c r="K4" s="231">
        <f t="shared" ref="K4" si="0">D7+D11+D15</f>
        <v>42342</v>
      </c>
      <c r="L4" s="220">
        <f>F7+F11+F15</f>
        <v>182750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IF(DigitaNICA!C10&lt;&gt;"",DigitaNICA!C10,"")</f>
        <v>50650</v>
      </c>
      <c r="D5" s="42">
        <f>IF(C5="",0,C5*J$15)</f>
        <v>6078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36072</v>
      </c>
      <c r="I5" s="217" t="s">
        <v>37</v>
      </c>
      <c r="J5" s="221">
        <f>SUM(IF(C5="",0,C5),IF(C9="",0,C9),IF(C13="",0,C13),IF(C17="",0,C17))</f>
        <v>225300</v>
      </c>
      <c r="K5" s="225">
        <f t="shared" ref="K5" si="2">D5+D9+D13+D17</f>
        <v>27036</v>
      </c>
      <c r="L5" s="222">
        <f>F5+F9+F13+F17</f>
        <v>204000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55550</v>
      </c>
      <c r="K6" s="226">
        <f t="shared" ref="K6" si="3">+D8+D12+D16</f>
        <v>5555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IF(DigitaTICA!C10&lt;&gt;"",DigitaTICA!C10,"")</f>
        <v>117500</v>
      </c>
      <c r="D7" s="42">
        <f>IF(C7="",0,C7*J$14)</f>
        <v>14100</v>
      </c>
      <c r="E7" s="29">
        <f>IF(DigitaTICA!D10&lt;&gt;"",DigitaTICA!D10,"")</f>
        <v>550</v>
      </c>
      <c r="F7" s="42">
        <f>IF(E7="",0,E7*PREMIOS!F7)</f>
        <v>46750</v>
      </c>
      <c r="G7" s="30">
        <f t="shared" si="1"/>
        <v>56650</v>
      </c>
      <c r="I7" s="217" t="s">
        <v>96</v>
      </c>
      <c r="J7" s="223">
        <f>SUM(IF(C19="",0,C19),IF(C20="",0,C20))</f>
        <v>41800</v>
      </c>
      <c r="K7" s="226">
        <f>+D19+D20</f>
        <v>5016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15300</v>
      </c>
      <c r="D8" s="42">
        <f>IF(C8="",0,C8*J$16)</f>
        <v>1530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13770</v>
      </c>
      <c r="I8" s="217" t="s">
        <v>104</v>
      </c>
      <c r="J8" s="223">
        <f>SUM(IF(C21="",0,C21),IF(C22="",0,C22),IF(C23="",0,C23))</f>
        <v>10050</v>
      </c>
      <c r="K8" s="226">
        <f t="shared" ref="K8" si="4">D21+D22+D23</f>
        <v>1206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IF(DigitaNICA!E10&lt;&gt;"",DigitaNICA!E10,"")</f>
        <v>30850</v>
      </c>
      <c r="D9" s="42">
        <f>IF(C9="",0,C9*J$15)</f>
        <v>3702</v>
      </c>
      <c r="E9" s="29">
        <f>IF(DigitaNICA!F10&lt;&gt;"",DigitaNICA!F10,"")</f>
        <v>50</v>
      </c>
      <c r="F9" s="42">
        <f>IF(E9="",0,E9*PREMIOS!F9)</f>
        <v>4250</v>
      </c>
      <c r="G9" s="30">
        <f t="shared" si="1"/>
        <v>22898</v>
      </c>
      <c r="I9" s="217" t="s">
        <v>20</v>
      </c>
      <c r="J9" s="223">
        <f>SUM(IF(C24="",0,C24),IF(C25="",0,C25))</f>
        <v>51000</v>
      </c>
      <c r="K9" s="226">
        <f t="shared" ref="K9" si="5">+D24+D25</f>
        <v>6120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IF(DigitaTICA!E10&lt;&gt;"",DigitaTICA!E10,"")</f>
        <v>94050</v>
      </c>
      <c r="D11" s="42">
        <f>IF(C11="",0,C11*J$14)</f>
        <v>11286</v>
      </c>
      <c r="E11" s="29">
        <f>IF(DigitaTICA!F10&lt;&gt;"",DigitaTICA!F10,"")</f>
        <v>1550</v>
      </c>
      <c r="F11" s="42">
        <f>IF(E11="",0,E11*PREMIOS!F11)</f>
        <v>131750</v>
      </c>
      <c r="G11" s="30">
        <f t="shared" si="1"/>
        <v>-48986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13700</v>
      </c>
      <c r="D12" s="42">
        <f>IF(C12="",0,C12*J$16)</f>
        <v>1370</v>
      </c>
      <c r="E12" s="29">
        <f>IF(DigitaREVENTADO!F10&lt;&gt;"",DigitaREVENTADO!F10,"")</f>
        <v>1500</v>
      </c>
      <c r="F12" s="42">
        <f>IF(E12="",0,E12*PREMIOS!F12)</f>
        <v>0</v>
      </c>
      <c r="G12" s="30">
        <f t="shared" si="1"/>
        <v>12330</v>
      </c>
    </row>
    <row r="13" spans="1:12" ht="15" thickBot="1" x14ac:dyDescent="0.4">
      <c r="A13" s="28" t="s">
        <v>50</v>
      </c>
      <c r="B13" s="132">
        <f>IF(DigitaNICA!G2&lt;&gt;"",DigitaNICA!G2,"")</f>
        <v>34</v>
      </c>
      <c r="C13" s="29">
        <f>IF(DigitaNICA!G10&lt;&gt;"",DigitaNICA!G10,"")</f>
        <v>45650</v>
      </c>
      <c r="D13" s="42">
        <f>IF(C13="",0,C13*J$15)</f>
        <v>5478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14672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42350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IF(DigitaTICA!G10&lt;&gt;"",DigitaTICA!G10,"")</f>
        <v>141300</v>
      </c>
      <c r="D15" s="42">
        <f>IF(C15="",0,C15*J$14)</f>
        <v>16956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120094</v>
      </c>
      <c r="I15" s="63" t="s">
        <v>37</v>
      </c>
      <c r="J15" s="64">
        <v>0.12</v>
      </c>
      <c r="K15" s="30">
        <f>MROUND(D5+D9+D13+D17,50)</f>
        <v>27050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26550</v>
      </c>
      <c r="D16" s="42">
        <f>IF(C16="",0,C16*J$16)</f>
        <v>2655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23895</v>
      </c>
      <c r="I16" s="63" t="s">
        <v>38</v>
      </c>
      <c r="J16" s="64">
        <v>0.1</v>
      </c>
      <c r="K16" s="30">
        <f>MROUND(D6+D8+D10+D12+D14+D16+D18,50)</f>
        <v>5550</v>
      </c>
    </row>
    <row r="17" spans="1:11" x14ac:dyDescent="0.35">
      <c r="A17" s="28" t="s">
        <v>52</v>
      </c>
      <c r="B17" s="132">
        <f>IF(DigitaNICA!I2&lt;&gt;"",DigitaNICA!I2,"")</f>
        <v>84</v>
      </c>
      <c r="C17" s="29">
        <f>IF(DigitaNICA!I10&lt;&gt;"",DigitaNICA!I10,"")</f>
        <v>98150</v>
      </c>
      <c r="D17" s="42">
        <f>IF(C17="",0,C17*J$15)</f>
        <v>11778</v>
      </c>
      <c r="E17" s="29">
        <f>IF(DigitaNICA!J10&lt;&gt;"",DigitaNICA!J10,"")</f>
        <v>1950</v>
      </c>
      <c r="F17" s="42">
        <f>IF(E17="",0,E17*PREMIOS!F17)</f>
        <v>165750</v>
      </c>
      <c r="G17" s="30">
        <f t="shared" si="6"/>
        <v>-79378</v>
      </c>
      <c r="I17" s="63" t="s">
        <v>96</v>
      </c>
      <c r="J17" s="64">
        <v>0.12</v>
      </c>
      <c r="K17" s="30">
        <f>MROUND(D19+D20,50)</f>
        <v>5000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1200</v>
      </c>
    </row>
    <row r="19" spans="1:11" x14ac:dyDescent="0.35">
      <c r="A19" s="28" t="s">
        <v>97</v>
      </c>
      <c r="B19" s="132">
        <f>IF(DigitaPRIMERA!C2&lt;&gt;"",DigitaPRIMERA!C2,"")</f>
        <v>10</v>
      </c>
      <c r="C19" s="29">
        <f>IF(DigitaPRIMERA!$C$10&lt;&gt;"",DigitaPRIMERA!$C$10,"")</f>
        <v>24150</v>
      </c>
      <c r="D19" s="42">
        <f>IF(C19="",0,C19*J$17)</f>
        <v>2898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8502</v>
      </c>
      <c r="I19" s="63" t="s">
        <v>20</v>
      </c>
      <c r="J19" s="64">
        <v>0.12</v>
      </c>
      <c r="K19" s="30">
        <f>MROUND(D24+D25,50)</f>
        <v>6100</v>
      </c>
    </row>
    <row r="20" spans="1:11" ht="15" thickBot="1" x14ac:dyDescent="0.4">
      <c r="A20" s="28" t="s">
        <v>98</v>
      </c>
      <c r="B20" s="132">
        <f>IF(DigitaPRIMERA!E2&lt;&gt;"",DigitaPRIMERA!E2,"")</f>
        <v>76</v>
      </c>
      <c r="C20" s="29">
        <f>IF(DigitaPRIMERA!$E$10&lt;&gt;"",DigitaPRIMERA!$E$10,"")</f>
        <v>17650</v>
      </c>
      <c r="D20" s="42">
        <f>IF(C20="",0,C20*J$17)</f>
        <v>2118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15532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98</v>
      </c>
      <c r="C21" s="29">
        <f>IF(DigitaHONDURAS!$C$10&lt;&gt;"",DigitaHONDURAS!$C$10,"")</f>
        <v>2000</v>
      </c>
      <c r="D21" s="42">
        <f>IF(C21="",0,C21*J$18)</f>
        <v>240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1760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2">
        <f>IF(DigitaHONDURAS!G2&lt;&gt;"",DigitaHONDURAS!G2,"")</f>
        <v>37</v>
      </c>
      <c r="C23" s="29">
        <f>IF(DigitaHONDURAS!$G$10&lt;&gt;"",DigitaHONDURAS!$G$10,"")</f>
        <v>5050</v>
      </c>
      <c r="D23" s="42">
        <f>IF(C23="",0,C23*J$18)</f>
        <v>606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4444</v>
      </c>
    </row>
    <row r="24" spans="1:11" x14ac:dyDescent="0.35">
      <c r="A24" s="28" t="s">
        <v>107</v>
      </c>
      <c r="B24" s="132">
        <f>IF(DigitaDOMINICANA!C2&lt;&gt;"",DigitaDOMINICANA!C2,"")</f>
        <v>19</v>
      </c>
      <c r="C24" s="29">
        <f>IF(DigitaDOMINICANA!$C$10&lt;&gt;"",DigitaDOMINICANA!$C$10,"")</f>
        <v>20250</v>
      </c>
      <c r="D24" s="42">
        <f>IF(C24="",0,C24*J$19)</f>
        <v>2430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-67180</v>
      </c>
    </row>
    <row r="25" spans="1:11" x14ac:dyDescent="0.35">
      <c r="A25" s="28" t="s">
        <v>108</v>
      </c>
      <c r="B25" s="132" t="str">
        <f>IF(DigitaDOMINICANA!E2&lt;&gt;"",DigitaDOMINICANA!E2,"")</f>
        <v>05</v>
      </c>
      <c r="C25" s="29">
        <f>IF(DigitaDOMINICANA!$E$10&lt;&gt;"",DigitaDOMINICANA!$E$10,"")</f>
        <v>30750</v>
      </c>
      <c r="D25" s="42">
        <f>IF(C25="",0,C25*J$19)</f>
        <v>3690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27060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736550</v>
      </c>
      <c r="D27" s="68">
        <f t="shared" ref="D27:F27" si="9">SUM(D5:D26)</f>
        <v>87275</v>
      </c>
      <c r="E27" s="68">
        <f t="shared" si="9"/>
        <v>7200</v>
      </c>
      <c r="F27" s="68">
        <f t="shared" si="9"/>
        <v>484500</v>
      </c>
      <c r="G27" s="88">
        <f>SUM(G5:G26)</f>
        <v>164775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12500</v>
      </c>
      <c r="K4" s="231">
        <f t="shared" ref="K4" si="0">D7+D11+D15</f>
        <v>1500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IF(DigitaTICA!G11&lt;&gt;"",DigitaTICA!G11,"")</f>
        <v>10000</v>
      </c>
      <c r="D15" s="42">
        <f>IF(C15="",0,C15*J$11)</f>
        <v>1200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8800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12500</v>
      </c>
      <c r="D21" s="122">
        <f t="shared" ref="D21:G21" si="5">SUM(D5:D20)</f>
        <v>1500</v>
      </c>
      <c r="E21" s="122">
        <f t="shared" si="5"/>
        <v>0</v>
      </c>
      <c r="F21" s="122">
        <f t="shared" si="5"/>
        <v>0</v>
      </c>
      <c r="G21" s="123">
        <f t="shared" si="5"/>
        <v>11000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91800</v>
      </c>
      <c r="K4" s="231">
        <f>D7+D11+D15</f>
        <v>11016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IF(DigitaNICA!C12&lt;&gt;"",DigitaNICA!C12,"")</f>
        <v>46250</v>
      </c>
      <c r="D5" s="42">
        <f>IF(C5="",0,C5*J$12)</f>
        <v>5550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-6050</v>
      </c>
      <c r="I5" s="217" t="s">
        <v>37</v>
      </c>
      <c r="J5" s="221">
        <f>SUM(IF(C5="",0,C5),IF(C9="",0,C9),IF(C13="",0,C13),IF(C17="",0,C17))</f>
        <v>78200</v>
      </c>
      <c r="K5" s="225">
        <f t="shared" ref="K5" si="1">D5+D9+D13+D17</f>
        <v>9384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8250</v>
      </c>
      <c r="K6" s="226">
        <f t="shared" ref="K6" si="2">+D8+D12+D16</f>
        <v>825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IF(DigitaTICA!C12&lt;&gt;"",DigitaTICA!C12,"")</f>
        <v>46650</v>
      </c>
      <c r="D7" s="42">
        <f>IF(C7="",0,C7*J$11)</f>
        <v>5598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19802</v>
      </c>
      <c r="I7" s="217" t="s">
        <v>96</v>
      </c>
      <c r="J7" s="223">
        <f>SUM(IF(C19="",0,C19),IF(C20="",0,C20))</f>
        <v>40000</v>
      </c>
      <c r="K7" s="226">
        <f>+D19+D20</f>
        <v>4800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6250</v>
      </c>
      <c r="D8" s="42">
        <f>IF(C8="",0,C8*J$13)</f>
        <v>625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5625</v>
      </c>
      <c r="I8" s="218" t="s">
        <v>104</v>
      </c>
      <c r="J8" s="224">
        <f>SUM(IF(C21="",0,C21),IF(C22="",0,C22),IF(C23="",0,C23))</f>
        <v>5900</v>
      </c>
      <c r="K8" s="228">
        <f>+D21+D22+D23</f>
        <v>708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IF(DigitaNICA!E12&lt;&gt;"",DigitaNICA!E12,"")</f>
        <v>31950</v>
      </c>
      <c r="D9" s="42">
        <f>IF(C9="",0,C9*J$12)</f>
        <v>3834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28116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IF(DigitaTICA!E12&lt;&gt;"",DigitaTICA!E12,"")</f>
        <v>23300</v>
      </c>
      <c r="D11" s="42">
        <f>IF(C11="",0,C11*J$11)</f>
        <v>2796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-746</v>
      </c>
      <c r="I11" s="60" t="s">
        <v>36</v>
      </c>
      <c r="J11" s="61">
        <v>0.12</v>
      </c>
      <c r="K11" s="62">
        <f>MROUND(D7+D11+D15,50)</f>
        <v>11000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9400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4800</v>
      </c>
    </row>
    <row r="15" spans="1:12" ht="15" thickBot="1" x14ac:dyDescent="0.4">
      <c r="A15" s="28" t="s">
        <v>61</v>
      </c>
      <c r="B15" s="132">
        <f>IF(DigitaTICA!G2&lt;&gt;"",DigitaTICA!G2,"")</f>
        <v>58</v>
      </c>
      <c r="C15" s="29">
        <f>IF(DigitaTICA!G12&lt;&gt;"",DigitaTICA!G12,"")</f>
        <v>21850</v>
      </c>
      <c r="D15" s="42">
        <f>IF(C15="",0,C15*J$11)</f>
        <v>2622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-2022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2000</v>
      </c>
      <c r="D16" s="42">
        <f>IF(C16="",0,C16*J$13)</f>
        <v>200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>
        <f>IF(DigitaPRIMERA!$C$12&lt;&gt;"",DigitaPRIMERA!$C$12,"")</f>
        <v>40000</v>
      </c>
      <c r="D19" s="42">
        <f>IF(C19="",0,C19*J$14)</f>
        <v>4800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18200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98</v>
      </c>
      <c r="C21" s="29">
        <f>IF(DigitaHONDURAS!$C$12&lt;&gt;"",DigitaHONDURAS!$C$12,"")</f>
        <v>5900</v>
      </c>
      <c r="D21" s="42">
        <f>IF(C21="",0,C21*J$15)</f>
        <v>708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5192</v>
      </c>
    </row>
    <row r="22" spans="1:7" x14ac:dyDescent="0.35">
      <c r="A22" s="28" t="s">
        <v>100</v>
      </c>
      <c r="B22" s="132">
        <f>IF(DigitaHONDURAS!E2&lt;&gt;"",DigitaHONDURAS!E2,"")</f>
        <v>63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224150</v>
      </c>
      <c r="D24" s="68">
        <f t="shared" ref="D24:G24" si="4">SUM(D5:D23)</f>
        <v>26733</v>
      </c>
      <c r="E24" s="68">
        <f t="shared" si="4"/>
        <v>1500</v>
      </c>
      <c r="F24" s="68">
        <f t="shared" si="4"/>
        <v>127500</v>
      </c>
      <c r="G24" s="88">
        <f t="shared" si="4"/>
        <v>69917</v>
      </c>
    </row>
    <row r="27" spans="1:7" x14ac:dyDescent="0.35">
      <c r="G27" s="21">
        <v>64416</v>
      </c>
    </row>
    <row r="28" spans="1:7" x14ac:dyDescent="0.35">
      <c r="G28" s="141">
        <f>+G24+G27</f>
        <v>134333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90150</v>
      </c>
      <c r="K4" s="231">
        <f t="shared" ref="K4" si="0">D7+D11+D15</f>
        <v>10818</v>
      </c>
      <c r="L4" s="220">
        <f>F7+F11+F15</f>
        <v>97750</v>
      </c>
    </row>
    <row r="5" spans="1:12" ht="15" thickBot="1" x14ac:dyDescent="0.4">
      <c r="A5" s="28" t="s">
        <v>43</v>
      </c>
      <c r="B5" s="132">
        <f>IF(DigitaNICA!C2&lt;&gt;"",DigitaNICA!C2,"")</f>
        <v>98</v>
      </c>
      <c r="C5" s="29">
        <f>IF(DigitaNICA!C13&lt;&gt;"",DigitaNICA!C13,"")</f>
        <v>40600</v>
      </c>
      <c r="D5" s="42">
        <f>IF(C5="",0,C5*J$10)</f>
        <v>4872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35728</v>
      </c>
      <c r="I5" s="218" t="s">
        <v>37</v>
      </c>
      <c r="J5" s="232">
        <f>SUM(IF(C5="",0,C5),IF(C9="",0,C9),IF(C13="",0,C13),IF(C17="",0,C17))</f>
        <v>59650</v>
      </c>
      <c r="K5" s="233">
        <f t="shared" ref="K5" si="2">D5+D9+D13+D17</f>
        <v>7158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IF(DigitaTICA!C13&lt;&gt;"",DigitaTICA!C13,"")</f>
        <v>41700</v>
      </c>
      <c r="D7" s="42">
        <f>IF(C7="",0,C7*J$9)</f>
        <v>5004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36696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IF(DigitaNICA!E13&lt;&gt;"",DigitaNICA!E13,"")</f>
        <v>14400</v>
      </c>
      <c r="D9" s="42">
        <f>IF(C9="",0,C9*J$10)</f>
        <v>1728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12672</v>
      </c>
      <c r="I9" s="60" t="s">
        <v>36</v>
      </c>
      <c r="J9" s="61">
        <v>0.12</v>
      </c>
      <c r="K9" s="62">
        <f>MROUND(D7+D11+D15,50)</f>
        <v>10800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7150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IF(DigitaTICA!E13&lt;&gt;"",DigitaTICA!E13,"")</f>
        <v>22200</v>
      </c>
      <c r="D11" s="42">
        <f>IF(C11="",0,C11*J$9)</f>
        <v>2664</v>
      </c>
      <c r="E11" s="29">
        <f>IF(DigitaTICA!F13&lt;&gt;"",DigitaTICA!F13,"")</f>
        <v>1150</v>
      </c>
      <c r="F11" s="133">
        <f>IF(E11="",0,E11*PREMIOS!F11)</f>
        <v>97750</v>
      </c>
      <c r="G11" s="30">
        <f t="shared" si="1"/>
        <v>-78214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>
        <f>IF(DigitaNICA!G13&lt;&gt;"",DigitaNICA!G13,"")</f>
        <v>1650</v>
      </c>
      <c r="D13" s="42">
        <f>IF(C13="",0,C13*J$10)</f>
        <v>198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1452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IF(DigitaTICA!G13&lt;&gt;"",DigitaTICA!G13,"")</f>
        <v>26250</v>
      </c>
      <c r="D15" s="42">
        <f>IF(C15="",0,C15*J$9)</f>
        <v>3150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23100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IF(DigitaNICA!I13&lt;&gt;"",DigitaNICA!I13,"")</f>
        <v>3000</v>
      </c>
      <c r="D17" s="42">
        <f>IF(C17="",0,C17*J$10)</f>
        <v>360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149800</v>
      </c>
      <c r="D19" s="68">
        <f>MROUND(SUM(D5:D18),50)</f>
        <v>18000</v>
      </c>
      <c r="E19" s="68">
        <f>SUM(E5:E18)</f>
        <v>1150</v>
      </c>
      <c r="F19" s="68">
        <f>SUM(F5:F18)</f>
        <v>97750</v>
      </c>
      <c r="G19" s="88">
        <f>SUM(G5:G18)</f>
        <v>34074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95600</v>
      </c>
      <c r="K4" s="236">
        <f t="shared" ref="K4" si="0">D7+D11+D15</f>
        <v>14340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IF(DigitaTICA!C14&lt;&gt;"",DigitaTICA!C14,"")</f>
        <v>46800</v>
      </c>
      <c r="D7" s="42">
        <f>IF(C7="",0,C7*J$9)</f>
        <v>7020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39780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IF(DigitaTICA!E14&lt;&gt;"",DigitaTICA!E14,"")</f>
        <v>18800</v>
      </c>
      <c r="D11" s="42">
        <f>IF(C11="",0,C11*J$9)</f>
        <v>2820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>
        <f>IF(DigitaTICA!G14&lt;&gt;"",DigitaTICA!G14,"")</f>
        <v>30000</v>
      </c>
      <c r="D15" s="42">
        <f>IF(C15="",0,C15*J$9)</f>
        <v>4500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25500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95600</v>
      </c>
      <c r="D19" s="68">
        <f>MROUND(SUM(D5:D18),50)</f>
        <v>14350</v>
      </c>
      <c r="E19" s="68">
        <f>SUM(E5:E18)</f>
        <v>0</v>
      </c>
      <c r="F19" s="68">
        <f>SUM(F5:F18)</f>
        <v>0</v>
      </c>
      <c r="G19" s="88">
        <f>SUM(G5:G18)</f>
        <v>81260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67250</v>
      </c>
      <c r="K4" s="231">
        <f>D7+D11+D15</f>
        <v>8070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98</v>
      </c>
      <c r="C5" s="29">
        <f>IF(DigitaNICA!C16&lt;&gt;"",DigitaNICA!C16,"")</f>
        <v>8850</v>
      </c>
      <c r="D5" s="42">
        <f>IF(C5="",0,C5*J$12)</f>
        <v>1062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7788</v>
      </c>
      <c r="I5" s="63" t="s">
        <v>37</v>
      </c>
      <c r="J5" s="225">
        <f>SUM(IF(C5="",0,C5),IF(C9="",0,C9),IF(C13="",0,C13),IF(C17="",0,C17))</f>
        <v>52150</v>
      </c>
      <c r="K5" s="225">
        <f t="shared" ref="K5" si="1">D5+D9+D13+D17</f>
        <v>6258</v>
      </c>
      <c r="L5" s="222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IF(DigitaTICA!C16&lt;&gt;"",DigitaTICA!C16,"")</f>
        <v>26850</v>
      </c>
      <c r="D7" s="42">
        <f>IF(C7="",0,C7*J$11)</f>
        <v>3222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2378</v>
      </c>
      <c r="I7" s="63" t="s">
        <v>96</v>
      </c>
      <c r="J7" s="226">
        <f>SUM(IF(C19="",0,C19),IF(C20="",0,C20))</f>
        <v>9000</v>
      </c>
      <c r="K7" s="226">
        <f>+D19+D20</f>
        <v>1080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2500</v>
      </c>
      <c r="D8" s="42">
        <f>IF(C8="",0,C8*J$13)</f>
        <v>250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2250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IF(DigitaNICA!E16&lt;&gt;"",DigitaNICA!E16,"")</f>
        <v>22600</v>
      </c>
      <c r="D9" s="42">
        <f>IF(C9="",0,C9*J$12)</f>
        <v>2712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19888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IF(DigitaTICA!E16&lt;&gt;"",DigitaTICA!E16,"")</f>
        <v>17200</v>
      </c>
      <c r="D11" s="42">
        <f>IF(C11="",0,C11*J$11)</f>
        <v>2064</v>
      </c>
      <c r="E11" s="29">
        <f>IF(DigitaTICA!F16&lt;&gt;"",DigitaTICA!F16,"")</f>
        <v>800</v>
      </c>
      <c r="F11" s="133">
        <f>IF(E11="",0,E11*PREMIOS!F11)</f>
        <v>68000</v>
      </c>
      <c r="G11" s="30">
        <f t="shared" si="0"/>
        <v>-52864</v>
      </c>
      <c r="I11" s="76" t="s">
        <v>36</v>
      </c>
      <c r="J11" s="77">
        <v>0.12</v>
      </c>
      <c r="K11" s="78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6250</v>
      </c>
    </row>
    <row r="13" spans="1:12" x14ac:dyDescent="0.35">
      <c r="A13" s="28" t="s">
        <v>50</v>
      </c>
      <c r="B13" s="132">
        <f>IF(DigitaNICA!G2&lt;&gt;"",DigitaNICA!G2,"")</f>
        <v>34</v>
      </c>
      <c r="C13" s="29">
        <f>IF(DigitaNICA!G16&lt;&gt;"",DigitaNICA!G16,"")</f>
        <v>13900</v>
      </c>
      <c r="D13" s="42">
        <f>IF(C13="",0,C13*J$12)</f>
        <v>1668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12232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1100</v>
      </c>
    </row>
    <row r="15" spans="1:12" ht="15" thickBot="1" x14ac:dyDescent="0.4">
      <c r="A15" s="28" t="s">
        <v>61</v>
      </c>
      <c r="B15" s="132">
        <f>IF(DigitaTICA!G2&lt;&gt;"",DigitaTICA!G2,"")</f>
        <v>58</v>
      </c>
      <c r="C15" s="29">
        <f>IF(DigitaTICA!G16&lt;&gt;"",DigitaTICA!G16,"")</f>
        <v>23200</v>
      </c>
      <c r="D15" s="42">
        <f>IF(C15="",0,C15*J$11)</f>
        <v>2784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20416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IF(DigitaNICA!I16&lt;&gt;"",DigitaNICA!I16,"")</f>
        <v>6800</v>
      </c>
      <c r="D17" s="42">
        <f>IF(C17="",0,C17*J$12)</f>
        <v>816</v>
      </c>
      <c r="E17" s="29">
        <f>IF(DigitaNICA!J16&lt;&gt;"",DigitaNICA!J16,"")</f>
        <v>1400</v>
      </c>
      <c r="F17" s="42">
        <f>IF(E17="",0,E17*PREMIOS!E17)</f>
        <v>112000</v>
      </c>
      <c r="G17" s="30">
        <f t="shared" si="3"/>
        <v>-106016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10</v>
      </c>
      <c r="C19" s="29">
        <f>IF(DigitaPRIMERA!C16&lt;&gt;"",DigitaPRIMERA!C16,"")</f>
        <v>9000</v>
      </c>
      <c r="D19" s="42">
        <f>IF(C19="",0,C19*J$14)</f>
        <v>1080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7920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130900</v>
      </c>
      <c r="D24" s="122">
        <f t="shared" ref="D24:G24" si="5">SUM(D5:D23)</f>
        <v>15658</v>
      </c>
      <c r="E24" s="122">
        <f t="shared" si="5"/>
        <v>2450</v>
      </c>
      <c r="F24" s="122">
        <f t="shared" si="5"/>
        <v>201250</v>
      </c>
      <c r="G24" s="123">
        <f t="shared" si="5"/>
        <v>-86008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85800</v>
      </c>
      <c r="K7" s="226">
        <f>+D19+D20</f>
        <v>10296</v>
      </c>
      <c r="L7" s="227">
        <f>+F19+F20</f>
        <v>97750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84150</v>
      </c>
      <c r="K8" s="226">
        <f t="shared" ref="K8" si="4">D21+D22+D23</f>
        <v>10098</v>
      </c>
      <c r="L8" s="227">
        <f>F21+F22+F23</f>
        <v>12750</v>
      </c>
    </row>
    <row r="9" spans="1:12" x14ac:dyDescent="0.35">
      <c r="A9" s="28" t="s">
        <v>48</v>
      </c>
      <c r="B9" s="132">
        <f>IF(DigitaNICA!E2&lt;&gt;"",DigitaNICA!E2,"")</f>
        <v>44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34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10300</v>
      </c>
    </row>
    <row r="19" spans="1:11" x14ac:dyDescent="0.35">
      <c r="A19" s="28" t="s">
        <v>97</v>
      </c>
      <c r="B19" s="132">
        <f>IF(DigitaPRIMERA!C2&lt;&gt;"",DigitaPRIMERA!C2,"")</f>
        <v>10</v>
      </c>
      <c r="C19" s="29">
        <f>IF(DigitaPRIMERA!$C$17&lt;&gt;"",DigitaPRIMERA!$C$17,"")</f>
        <v>68950</v>
      </c>
      <c r="D19" s="42">
        <f>IF(C19="",0,C19*J$18)</f>
        <v>8274</v>
      </c>
      <c r="E19" s="29">
        <f>IF(DigitaPRIMERA!$D$17&lt;&gt;"",DigitaPRIMERA!$D$17,"")</f>
        <v>900</v>
      </c>
      <c r="F19" s="42">
        <f>IF(E19="",0,E19*PREMIOS!F19)</f>
        <v>76500</v>
      </c>
      <c r="G19" s="30">
        <f t="shared" si="6"/>
        <v>-15824</v>
      </c>
      <c r="I19" s="63" t="s">
        <v>104</v>
      </c>
      <c r="J19" s="64">
        <v>0.12</v>
      </c>
      <c r="K19" s="30">
        <f>MROUND(D21+D22+D23,50)</f>
        <v>10100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>
        <f>IF(DigitaPRIMERA!$E$17&lt;&gt;"",DigitaPRIMERA!$E$17,"")</f>
        <v>16850</v>
      </c>
      <c r="D20" s="42">
        <f>IF(C20="",0,C20*J$18)</f>
        <v>2022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-6422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98</v>
      </c>
      <c r="C21" s="29">
        <f>IF(DigitaHONDURAS!$C$17&lt;&gt;"",DigitaHONDURAS!$C$17,"")</f>
        <v>59550</v>
      </c>
      <c r="D21" s="42">
        <f>IF(C21="",0,C21*J$19)</f>
        <v>7146</v>
      </c>
      <c r="E21" s="29">
        <f>IF(DigitaHONDURAS!$D$17&lt;&gt;"",DigitaHONDURAS!$D$17,"")</f>
        <v>50</v>
      </c>
      <c r="F21" s="42">
        <f>IF(E21="",0,E21*PREMIOS!F20)</f>
        <v>4250</v>
      </c>
      <c r="G21" s="30">
        <f t="shared" si="6"/>
        <v>48154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>
        <f>IF(DigitaHONDURAS!$E$17&lt;&gt;"",DigitaHONDURAS!$E$17,"")</f>
        <v>7000</v>
      </c>
      <c r="D22" s="42">
        <f>IF(C22="",0,C22*J$19)</f>
        <v>840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-2340</v>
      </c>
    </row>
    <row r="23" spans="1:11" x14ac:dyDescent="0.35">
      <c r="A23" s="28" t="s">
        <v>101</v>
      </c>
      <c r="B23" s="132">
        <f>IF(DigitaHONDURAS!G2&lt;&gt;"",DigitaHONDURAS!G2,"")</f>
        <v>37</v>
      </c>
      <c r="C23" s="29">
        <f>IF(DigitaHONDURAS!$G$17&lt;&gt;"",DigitaHONDURAS!$G$17,"")</f>
        <v>17600</v>
      </c>
      <c r="D23" s="42">
        <f>IF(C23="",0,C23*J$19)</f>
        <v>2112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15488</v>
      </c>
    </row>
    <row r="24" spans="1:11" x14ac:dyDescent="0.35">
      <c r="A24" s="28" t="s">
        <v>102</v>
      </c>
      <c r="B24" s="132">
        <f>IF(DigitaDOMINICANA!C2&lt;&gt;"",DigitaDOMINICANA!C2,"")</f>
        <v>19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169950</v>
      </c>
      <c r="D27" s="68">
        <f t="shared" ref="D27:G27" si="7">SUM(D5:D26)</f>
        <v>20394</v>
      </c>
      <c r="E27" s="68">
        <f t="shared" si="7"/>
        <v>1300</v>
      </c>
      <c r="F27" s="68">
        <f t="shared" si="7"/>
        <v>110500</v>
      </c>
      <c r="G27" s="88">
        <f t="shared" si="7"/>
        <v>39056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98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96200</v>
      </c>
      <c r="K7" s="226">
        <f>+D19+D20</f>
        <v>11544</v>
      </c>
      <c r="L7" s="227">
        <f>+F19+F20</f>
        <v>110500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33550</v>
      </c>
      <c r="K8" s="226">
        <f t="shared" ref="K8" si="4">D21+D22+D23</f>
        <v>4026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11550</v>
      </c>
    </row>
    <row r="19" spans="1:11" x14ac:dyDescent="0.35">
      <c r="A19" s="28" t="s">
        <v>97</v>
      </c>
      <c r="B19" s="132">
        <f>IF(DigitaPRIMERA!C2&lt;&gt;"",DigitaPRIMERA!C2,"")</f>
        <v>10</v>
      </c>
      <c r="C19" s="29">
        <f>IF(DigitaPRIMERA!$C$18&lt;&gt;"",DigitaPRIMERA!$C$18,"")</f>
        <v>44850</v>
      </c>
      <c r="D19" s="42">
        <f>IF(C19="",0,C19*J$18)</f>
        <v>5382</v>
      </c>
      <c r="E19" s="29">
        <f>IF(DigitaPRIMERA!$D$18&lt;&gt;"",DigitaPRIMERA!$D$18,"")</f>
        <v>1300</v>
      </c>
      <c r="F19" s="42">
        <f>IF(E19="",0,E19*PREMIOS!F19)</f>
        <v>110500</v>
      </c>
      <c r="G19" s="30">
        <f t="shared" si="6"/>
        <v>-71032</v>
      </c>
      <c r="I19" s="63" t="s">
        <v>104</v>
      </c>
      <c r="J19" s="64">
        <v>0.12</v>
      </c>
      <c r="K19" s="30">
        <f>MROUND(D21+D22+D23,50)</f>
        <v>4050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>
        <f>IF(DigitaPRIMERA!$E$18&lt;&gt;"",DigitaPRIMERA!$E$18,"")</f>
        <v>51350</v>
      </c>
      <c r="D20" s="42">
        <f>IF(C20="",0,C20*J$18)</f>
        <v>6162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45188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98</v>
      </c>
      <c r="C21" s="29">
        <f>IF(DigitaHONDURAS!$C$18&lt;&gt;"",DigitaHONDURAS!$C$18,"")</f>
        <v>21050</v>
      </c>
      <c r="D21" s="42">
        <f>IF(C21="",0,C21*J$19)</f>
        <v>2526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18524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>
        <f>IF(DigitaHONDURAS!$E$18&lt;&gt;"",DigitaHONDURAS!$E$18,"")</f>
        <v>8500</v>
      </c>
      <c r="D22" s="42">
        <f>IF(C22="",0,C22*J$19)</f>
        <v>1020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7480</v>
      </c>
    </row>
    <row r="23" spans="1:11" x14ac:dyDescent="0.35">
      <c r="A23" s="28" t="s">
        <v>101</v>
      </c>
      <c r="B23" s="132">
        <f>IF(DigitaHONDURAS!G2&lt;&gt;"",DigitaHONDURAS!G2,"")</f>
        <v>37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>
        <f>IF(DigitaDOMINICANA!C2&lt;&gt;"",DigitaDOMINICANA!C2,"")</f>
        <v>19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129750</v>
      </c>
      <c r="D27" s="68">
        <f t="shared" ref="D27:G27" si="7">SUM(D5:D26)</f>
        <v>15570</v>
      </c>
      <c r="E27" s="68">
        <f t="shared" si="7"/>
        <v>1300</v>
      </c>
      <c r="F27" s="68">
        <f t="shared" si="7"/>
        <v>110500</v>
      </c>
      <c r="G27" s="88">
        <f t="shared" si="7"/>
        <v>3680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24</v>
      </c>
      <c r="D2" s="268"/>
      <c r="E2" s="267">
        <f>IF(PREMIOS!$B11="","",PREMIOS!$B11)</f>
        <v>88</v>
      </c>
      <c r="F2" s="268"/>
      <c r="G2" s="267">
        <f>IF(PREMIOS!$B15="","",PREMIOS!$B15)</f>
        <v>58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57400</v>
      </c>
      <c r="D4" s="78">
        <v>250</v>
      </c>
      <c r="E4" s="189">
        <v>53100</v>
      </c>
      <c r="F4" s="78">
        <v>500</v>
      </c>
      <c r="G4" s="189">
        <v>120750</v>
      </c>
      <c r="H4" s="78">
        <v>5000</v>
      </c>
      <c r="J4" s="42">
        <f t="shared" ref="J4:J8" si="0">+C4+E4+G4</f>
        <v>231250</v>
      </c>
      <c r="K4" s="42">
        <f>IF(D4="",0,IF(F4="",D4,IF(H4="",D4+F4,D4+F4+H4)))</f>
        <v>5750</v>
      </c>
    </row>
    <row r="5" spans="1:11" x14ac:dyDescent="0.35">
      <c r="A5" s="47">
        <v>2</v>
      </c>
      <c r="B5" s="178" t="str">
        <f>Vendedor2!$B$2</f>
        <v>PUESTO 2</v>
      </c>
      <c r="C5" s="180">
        <v>44550</v>
      </c>
      <c r="D5" s="30">
        <v>500</v>
      </c>
      <c r="E5" s="180">
        <v>42200</v>
      </c>
      <c r="F5" s="30">
        <v>2500</v>
      </c>
      <c r="G5" s="180">
        <v>60850</v>
      </c>
      <c r="H5" s="30">
        <v>1200</v>
      </c>
      <c r="J5" s="42">
        <f t="shared" si="0"/>
        <v>147600</v>
      </c>
      <c r="K5" s="42">
        <f t="shared" ref="K5:K27" si="1">IF(D5="",0,IF(F5="",D5,IF(H5="",D5+F5,D5+F5+H5)))</f>
        <v>4200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87400</v>
      </c>
      <c r="D8" s="30">
        <f t="shared" si="2"/>
        <v>0</v>
      </c>
      <c r="E8" s="180">
        <v>68850</v>
      </c>
      <c r="F8" s="30">
        <v>1300</v>
      </c>
      <c r="G8" s="180">
        <v>74800</v>
      </c>
      <c r="H8" s="30">
        <v>200</v>
      </c>
      <c r="J8" s="42">
        <f t="shared" si="0"/>
        <v>231050</v>
      </c>
      <c r="K8" s="42">
        <f t="shared" si="1"/>
        <v>1500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17000+100500</f>
        <v>117500</v>
      </c>
      <c r="D10" s="30">
        <f>500+50</f>
        <v>550</v>
      </c>
      <c r="E10" s="180">
        <f>17000+77050</f>
        <v>94050</v>
      </c>
      <c r="F10" s="30">
        <f>1000+550</f>
        <v>1550</v>
      </c>
      <c r="G10" s="180">
        <f>35700+105600</f>
        <v>141300</v>
      </c>
      <c r="H10" s="30">
        <v>50</v>
      </c>
      <c r="J10" s="42">
        <f t="shared" si="3"/>
        <v>352850</v>
      </c>
      <c r="K10" s="42">
        <f t="shared" si="1"/>
        <v>2150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2"/>
        <v>0</v>
      </c>
      <c r="E11" s="180"/>
      <c r="F11" s="30" t="str">
        <f t="shared" si="2"/>
        <v/>
      </c>
      <c r="G11" s="180">
        <v>10000</v>
      </c>
      <c r="H11" s="30">
        <f t="shared" si="2"/>
        <v>0</v>
      </c>
      <c r="J11" s="42">
        <f t="shared" si="3"/>
        <v>12500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46650</v>
      </c>
      <c r="D12" s="30">
        <v>250</v>
      </c>
      <c r="E12" s="180">
        <v>23300</v>
      </c>
      <c r="F12" s="30">
        <v>250</v>
      </c>
      <c r="G12" s="180">
        <v>21850</v>
      </c>
      <c r="H12" s="30">
        <v>250</v>
      </c>
      <c r="J12" s="42">
        <f t="shared" si="3"/>
        <v>91800</v>
      </c>
      <c r="K12" s="42">
        <f t="shared" si="1"/>
        <v>750</v>
      </c>
    </row>
    <row r="13" spans="1:11" x14ac:dyDescent="0.35">
      <c r="A13" s="47">
        <v>10</v>
      </c>
      <c r="B13" s="178" t="str">
        <f>Vendedor10!$B$2</f>
        <v>MARIALIZ</v>
      </c>
      <c r="C13" s="180">
        <v>41700</v>
      </c>
      <c r="D13" s="30">
        <f t="shared" si="2"/>
        <v>0</v>
      </c>
      <c r="E13" s="180">
        <v>22200</v>
      </c>
      <c r="F13" s="30">
        <v>1150</v>
      </c>
      <c r="G13" s="180">
        <v>26250</v>
      </c>
      <c r="H13" s="30">
        <f t="shared" si="2"/>
        <v>0</v>
      </c>
      <c r="J13" s="42">
        <f t="shared" si="3"/>
        <v>90150</v>
      </c>
      <c r="K13" s="42">
        <f t="shared" si="1"/>
        <v>1150</v>
      </c>
    </row>
    <row r="14" spans="1:11" x14ac:dyDescent="0.35">
      <c r="A14" s="47">
        <v>11</v>
      </c>
      <c r="B14" s="178" t="str">
        <f>Vendedor11!$B$2</f>
        <v>CHARLY</v>
      </c>
      <c r="C14" s="180">
        <v>46800</v>
      </c>
      <c r="D14" s="30">
        <f t="shared" si="2"/>
        <v>0</v>
      </c>
      <c r="E14" s="180">
        <v>18800</v>
      </c>
      <c r="F14" s="30">
        <f t="shared" si="2"/>
        <v>0</v>
      </c>
      <c r="G14" s="180">
        <v>30000</v>
      </c>
      <c r="H14" s="30">
        <f t="shared" si="2"/>
        <v>0</v>
      </c>
      <c r="J14" s="42">
        <f t="shared" si="3"/>
        <v>95600</v>
      </c>
      <c r="K14" s="42">
        <f t="shared" si="1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26850</v>
      </c>
      <c r="D16" s="30">
        <v>250</v>
      </c>
      <c r="E16" s="180">
        <v>17200</v>
      </c>
      <c r="F16" s="30">
        <v>800</v>
      </c>
      <c r="G16" s="180">
        <v>23200</v>
      </c>
      <c r="H16" s="30">
        <f t="shared" si="2"/>
        <v>0</v>
      </c>
      <c r="J16" s="42">
        <f t="shared" si="3"/>
        <v>67250</v>
      </c>
      <c r="K16" s="42">
        <f t="shared" si="1"/>
        <v>1050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2"/>
        <v/>
      </c>
      <c r="E17" s="180"/>
      <c r="F17" s="30" t="str">
        <f t="shared" si="2"/>
        <v/>
      </c>
      <c r="G17" s="180"/>
      <c r="H17" s="30" t="str">
        <f t="shared" si="2"/>
        <v/>
      </c>
      <c r="J17" s="42">
        <f t="shared" si="3"/>
        <v>0</v>
      </c>
      <c r="K17" s="42">
        <f t="shared" si="1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2"/>
        <v/>
      </c>
      <c r="E18" s="180"/>
      <c r="F18" s="30" t="str">
        <f t="shared" si="2"/>
        <v/>
      </c>
      <c r="G18" s="180"/>
      <c r="H18" s="30" t="str">
        <f t="shared" si="2"/>
        <v/>
      </c>
      <c r="J18" s="42">
        <f t="shared" si="3"/>
        <v>0</v>
      </c>
      <c r="K18" s="42">
        <f t="shared" si="1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471350</v>
      </c>
      <c r="D32" s="44">
        <f t="shared" si="6"/>
        <v>1800</v>
      </c>
      <c r="E32" s="43">
        <f t="shared" si="6"/>
        <v>339700</v>
      </c>
      <c r="F32" s="44">
        <f t="shared" si="6"/>
        <v>8050</v>
      </c>
      <c r="G32" s="43">
        <f t="shared" si="6"/>
        <v>509000</v>
      </c>
      <c r="H32" s="44">
        <f t="shared" si="6"/>
        <v>6700</v>
      </c>
      <c r="J32" s="95">
        <f>SUM(J4:J31)</f>
        <v>1320050</v>
      </c>
      <c r="K32" s="95"/>
    </row>
    <row r="33" spans="2:8" x14ac:dyDescent="0.35">
      <c r="D33" s="99">
        <f>+D32*85</f>
        <v>153000</v>
      </c>
      <c r="F33" s="99">
        <f>+F32*85</f>
        <v>684250</v>
      </c>
      <c r="H33" s="99">
        <f>+H32*85</f>
        <v>569500</v>
      </c>
    </row>
    <row r="34" spans="2:8" x14ac:dyDescent="0.35">
      <c r="B34" s="247" t="s">
        <v>149</v>
      </c>
      <c r="C34" s="43">
        <f t="shared" ref="C34:H34" si="7">+C4+C5+C6+C8+C13</f>
        <v>231050</v>
      </c>
      <c r="D34" s="43" t="e">
        <f t="shared" si="7"/>
        <v>#VALUE!</v>
      </c>
      <c r="E34" s="43">
        <f t="shared" si="7"/>
        <v>186350</v>
      </c>
      <c r="F34" s="43" t="e">
        <f t="shared" si="7"/>
        <v>#VALUE!</v>
      </c>
      <c r="G34" s="43">
        <f t="shared" si="7"/>
        <v>282650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49300</v>
      </c>
      <c r="D35" s="43" t="e">
        <f t="shared" ref="D35:H35" si="8">+D11+D14+D15+D17+D18</f>
        <v>#VALUE!</v>
      </c>
      <c r="E35" s="43">
        <f t="shared" si="8"/>
        <v>18800</v>
      </c>
      <c r="F35" s="43" t="e">
        <f t="shared" si="8"/>
        <v>#VALUE!</v>
      </c>
      <c r="G35" s="43">
        <f t="shared" si="8"/>
        <v>40000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164150</v>
      </c>
      <c r="D36" s="43" t="e">
        <f t="shared" ref="D36:H36" si="9">+D10+D12+D27</f>
        <v>#VALUE!</v>
      </c>
      <c r="E36" s="43">
        <f t="shared" si="9"/>
        <v>117350</v>
      </c>
      <c r="F36" s="43" t="e">
        <f t="shared" si="9"/>
        <v>#VALUE!</v>
      </c>
      <c r="G36" s="43">
        <f t="shared" si="9"/>
        <v>163150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98</v>
      </c>
      <c r="D2" s="268"/>
      <c r="E2" s="267">
        <f>IF(PREMIOS!$B9="","",PREMIOS!$B9)</f>
        <v>44</v>
      </c>
      <c r="F2" s="268"/>
      <c r="G2" s="267">
        <f>IF(PREMIOS!$B13="","",PREMIOS!$B13)</f>
        <v>34</v>
      </c>
      <c r="H2" s="268"/>
      <c r="I2" s="267">
        <f>IF(PREMIOS!$B17="","",PREMIOS!$B17)</f>
        <v>84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17400</v>
      </c>
      <c r="D4" s="78">
        <f t="shared" ref="D4:J27" si="0">IF(C4="","",0)</f>
        <v>0</v>
      </c>
      <c r="E4" s="206">
        <v>13900</v>
      </c>
      <c r="F4" s="78">
        <f t="shared" si="0"/>
        <v>0</v>
      </c>
      <c r="G4" s="189">
        <v>1950</v>
      </c>
      <c r="H4" s="78">
        <f t="shared" ref="H4:H27" si="1">IF(G4="","",0)</f>
        <v>0</v>
      </c>
      <c r="I4" s="189">
        <v>5250</v>
      </c>
      <c r="J4" s="78">
        <f t="shared" si="0"/>
        <v>0</v>
      </c>
      <c r="L4" s="42">
        <f t="shared" ref="L4:L8" si="2">+C4+E4+G4+I4</f>
        <v>38500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8950</v>
      </c>
      <c r="D5" s="30">
        <f t="shared" si="0"/>
        <v>0</v>
      </c>
      <c r="E5" s="207">
        <v>18100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27050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74250</v>
      </c>
      <c r="D8" s="30">
        <v>1550</v>
      </c>
      <c r="E8" s="207">
        <v>42400</v>
      </c>
      <c r="F8" s="30">
        <v>150</v>
      </c>
      <c r="G8" s="180">
        <v>28000</v>
      </c>
      <c r="H8" s="30">
        <f t="shared" si="1"/>
        <v>0</v>
      </c>
      <c r="I8" s="180">
        <v>15500</v>
      </c>
      <c r="J8" s="30">
        <v>1000</v>
      </c>
      <c r="L8" s="42">
        <f t="shared" si="2"/>
        <v>160150</v>
      </c>
      <c r="M8" s="42">
        <f t="shared" si="4"/>
        <v>2700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14100+36550</f>
        <v>50650</v>
      </c>
      <c r="D10" s="30">
        <v>100</v>
      </c>
      <c r="E10" s="207">
        <f>8400+22450</f>
        <v>30850</v>
      </c>
      <c r="F10" s="30">
        <v>50</v>
      </c>
      <c r="G10" s="180">
        <f>12500+33150</f>
        <v>45650</v>
      </c>
      <c r="H10" s="30">
        <v>300</v>
      </c>
      <c r="I10" s="180">
        <f>37200+60950</f>
        <v>98150</v>
      </c>
      <c r="J10" s="30">
        <v>1950</v>
      </c>
      <c r="L10" s="42">
        <f t="shared" si="5"/>
        <v>225300</v>
      </c>
      <c r="M10" s="42">
        <f t="shared" si="4"/>
        <v>2400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46250</v>
      </c>
      <c r="D12" s="30">
        <v>550</v>
      </c>
      <c r="E12" s="207">
        <v>31950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78200</v>
      </c>
      <c r="M12" s="42">
        <f t="shared" si="4"/>
        <v>550</v>
      </c>
    </row>
    <row r="13" spans="1:13" x14ac:dyDescent="0.35">
      <c r="A13" s="47">
        <v>10</v>
      </c>
      <c r="B13" s="178" t="str">
        <f>Vendedor10!$B$2</f>
        <v>MARIALIZ</v>
      </c>
      <c r="C13" s="180">
        <v>40600</v>
      </c>
      <c r="D13" s="30">
        <f t="shared" si="0"/>
        <v>0</v>
      </c>
      <c r="E13" s="207">
        <v>14400</v>
      </c>
      <c r="F13" s="30">
        <f t="shared" si="0"/>
        <v>0</v>
      </c>
      <c r="G13" s="180">
        <v>1650</v>
      </c>
      <c r="H13" s="30">
        <f t="shared" si="0"/>
        <v>0</v>
      </c>
      <c r="I13" s="180">
        <v>3000</v>
      </c>
      <c r="J13" s="30">
        <f t="shared" si="0"/>
        <v>0</v>
      </c>
      <c r="L13" s="42">
        <f t="shared" si="5"/>
        <v>59650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8850</v>
      </c>
      <c r="D16" s="30">
        <f t="shared" si="0"/>
        <v>0</v>
      </c>
      <c r="E16" s="207">
        <v>22600</v>
      </c>
      <c r="F16" s="30">
        <f t="shared" si="0"/>
        <v>0</v>
      </c>
      <c r="G16" s="180">
        <v>13900</v>
      </c>
      <c r="H16" s="30">
        <f t="shared" si="0"/>
        <v>0</v>
      </c>
      <c r="I16" s="180">
        <v>6800</v>
      </c>
      <c r="J16" s="30">
        <v>1400</v>
      </c>
      <c r="L16" s="42">
        <f t="shared" si="5"/>
        <v>52150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246950</v>
      </c>
      <c r="D32" s="44">
        <f t="shared" si="7"/>
        <v>2200</v>
      </c>
      <c r="E32" s="43">
        <f t="shared" si="7"/>
        <v>174200</v>
      </c>
      <c r="F32" s="44">
        <f t="shared" si="7"/>
        <v>200</v>
      </c>
      <c r="G32" s="43">
        <f t="shared" si="7"/>
        <v>91150</v>
      </c>
      <c r="H32" s="44">
        <f t="shared" si="7"/>
        <v>300</v>
      </c>
      <c r="I32" s="43">
        <f t="shared" si="7"/>
        <v>128700</v>
      </c>
      <c r="J32" s="44">
        <f t="shared" si="7"/>
        <v>4350</v>
      </c>
      <c r="L32" s="95">
        <f>SUM(L9:L31)</f>
        <v>415300</v>
      </c>
      <c r="M32" s="95">
        <f>SUM(M9:M31)</f>
        <v>2950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24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58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3500+11800</f>
        <v>15300</v>
      </c>
      <c r="D10" s="30">
        <f t="shared" si="0"/>
        <v>0</v>
      </c>
      <c r="E10" s="180">
        <f>1000+12700</f>
        <v>13700</v>
      </c>
      <c r="F10" s="30">
        <f>1000+500</f>
        <v>1500</v>
      </c>
      <c r="G10" s="180">
        <f>13500+13050</f>
        <v>26550</v>
      </c>
      <c r="H10" s="30">
        <f t="shared" si="0"/>
        <v>0</v>
      </c>
      <c r="J10" s="42">
        <f t="shared" si="3"/>
        <v>55550</v>
      </c>
      <c r="K10" s="42">
        <f t="shared" si="4"/>
        <v>1500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6250</v>
      </c>
      <c r="D12" s="30">
        <f t="shared" si="0"/>
        <v>0</v>
      </c>
      <c r="E12" s="180"/>
      <c r="F12" s="30" t="str">
        <f t="shared" si="1"/>
        <v/>
      </c>
      <c r="G12" s="180">
        <v>2000</v>
      </c>
      <c r="H12" s="30">
        <f t="shared" si="0"/>
        <v>0</v>
      </c>
      <c r="J12" s="42">
        <f t="shared" si="3"/>
        <v>8250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24050</v>
      </c>
      <c r="D33" s="44">
        <f t="shared" si="7"/>
        <v>0</v>
      </c>
      <c r="E33" s="43">
        <f t="shared" si="7"/>
        <v>13700</v>
      </c>
      <c r="F33" s="44">
        <f t="shared" si="7"/>
        <v>1500</v>
      </c>
      <c r="G33" s="43">
        <f t="shared" si="7"/>
        <v>28550</v>
      </c>
      <c r="H33" s="44">
        <f t="shared" si="7"/>
        <v>0</v>
      </c>
      <c r="J33" s="45">
        <f>SUM(J4:J32)</f>
        <v>66300</v>
      </c>
      <c r="K33" s="95">
        <f>SUM(K4:K32)</f>
        <v>1500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10</v>
      </c>
      <c r="D2" s="268"/>
      <c r="E2" s="267">
        <f>IF(PREMIOS!$C19="","",PREMIOS!$C19)</f>
        <v>76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4350</v>
      </c>
      <c r="D4" s="78">
        <v>100</v>
      </c>
      <c r="E4" s="189">
        <v>1000</v>
      </c>
      <c r="F4" s="78">
        <f t="shared" ref="D4:F27" si="0">IF(E4="","",0)</f>
        <v>0</v>
      </c>
      <c r="H4" s="42">
        <f>+C4+E4</f>
        <v>5350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40000</v>
      </c>
      <c r="D8" s="30">
        <v>900</v>
      </c>
      <c r="E8" s="194">
        <v>24400</v>
      </c>
      <c r="F8" s="195">
        <v>350</v>
      </c>
      <c r="H8" s="42">
        <f t="shared" si="2"/>
        <v>64400</v>
      </c>
      <c r="I8" s="42">
        <f t="shared" si="3"/>
        <v>1250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24150</v>
      </c>
      <c r="D10" s="30">
        <v>150</v>
      </c>
      <c r="E10" s="180">
        <v>17650</v>
      </c>
      <c r="F10" s="195">
        <f t="shared" si="1"/>
        <v>0</v>
      </c>
      <c r="H10" s="42">
        <f t="shared" si="2"/>
        <v>41800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40000</v>
      </c>
      <c r="D12" s="30">
        <v>200</v>
      </c>
      <c r="E12" s="194"/>
      <c r="F12" s="30" t="str">
        <f t="shared" si="0"/>
        <v/>
      </c>
      <c r="H12" s="42">
        <f t="shared" si="2"/>
        <v>40000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9000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68950</v>
      </c>
      <c r="D17" s="195">
        <v>900</v>
      </c>
      <c r="E17" s="180">
        <v>16850</v>
      </c>
      <c r="F17" s="30">
        <v>250</v>
      </c>
      <c r="H17" s="42">
        <f t="shared" si="2"/>
        <v>85800</v>
      </c>
      <c r="I17" s="42">
        <f t="shared" si="3"/>
        <v>1150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44850</v>
      </c>
      <c r="D18" s="195">
        <v>1300</v>
      </c>
      <c r="E18" s="180">
        <v>51350</v>
      </c>
      <c r="F18" s="30">
        <f t="shared" si="0"/>
        <v>0</v>
      </c>
      <c r="H18" s="42">
        <f t="shared" si="2"/>
        <v>96200</v>
      </c>
      <c r="I18" s="42">
        <f t="shared" si="3"/>
        <v>1300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232300</v>
      </c>
      <c r="D33" s="44">
        <f>SUM(D4:D32)</f>
        <v>3550</v>
      </c>
      <c r="E33" s="43">
        <f>SUM(E4:E32)</f>
        <v>111250</v>
      </c>
      <c r="F33" s="44">
        <f>SUM(F4:F32)</f>
        <v>600</v>
      </c>
      <c r="H33" s="95">
        <f>SUM(H4:H32)</f>
        <v>343550</v>
      </c>
      <c r="I33" s="95">
        <f>SUM(I4:I32)</f>
        <v>4150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98</v>
      </c>
      <c r="D2" s="268"/>
      <c r="E2" s="267">
        <f>IF(PREMIOS!$C20="","",PREMIOS!$C20)</f>
        <v>63</v>
      </c>
      <c r="F2" s="268"/>
      <c r="G2" s="267">
        <f>IF(PREMIOS!$D20="","",PREMIOS!$D20)</f>
        <v>37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2000</v>
      </c>
      <c r="D10" s="195">
        <f t="shared" si="0"/>
        <v>0</v>
      </c>
      <c r="E10" s="180">
        <v>3000</v>
      </c>
      <c r="F10" s="30">
        <f t="shared" si="0"/>
        <v>0</v>
      </c>
      <c r="G10" s="180">
        <v>5050</v>
      </c>
      <c r="H10" s="195">
        <f t="shared" si="0"/>
        <v>0</v>
      </c>
      <c r="J10" s="42">
        <f t="shared" si="3"/>
        <v>10050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5900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59550</v>
      </c>
      <c r="D17" s="195">
        <v>50</v>
      </c>
      <c r="E17" s="194">
        <v>7000</v>
      </c>
      <c r="F17" s="195">
        <v>100</v>
      </c>
      <c r="G17" s="194">
        <v>17600</v>
      </c>
      <c r="H17" s="195">
        <f t="shared" si="2"/>
        <v>0</v>
      </c>
      <c r="J17" s="42">
        <f t="shared" si="3"/>
        <v>84150</v>
      </c>
      <c r="K17" s="42">
        <f t="shared" si="4"/>
        <v>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21050</v>
      </c>
      <c r="D18" s="195">
        <f t="shared" si="0"/>
        <v>0</v>
      </c>
      <c r="E18" s="180">
        <v>8500</v>
      </c>
      <c r="F18" s="30">
        <f t="shared" si="1"/>
        <v>0</v>
      </c>
      <c r="G18" s="180">
        <v>4000</v>
      </c>
      <c r="H18" s="30">
        <f t="shared" si="2"/>
        <v>0</v>
      </c>
      <c r="J18" s="42">
        <f t="shared" si="3"/>
        <v>33550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88500</v>
      </c>
      <c r="D33" s="44">
        <f t="shared" si="6"/>
        <v>50</v>
      </c>
      <c r="E33" s="43">
        <f t="shared" si="6"/>
        <v>18500</v>
      </c>
      <c r="F33" s="44">
        <f t="shared" si="6"/>
        <v>100</v>
      </c>
      <c r="G33" s="43">
        <f t="shared" si="6"/>
        <v>26650</v>
      </c>
      <c r="H33" s="44">
        <f t="shared" si="6"/>
        <v>0</v>
      </c>
      <c r="J33" s="45">
        <f>SUM(J4:J32)</f>
        <v>133650</v>
      </c>
      <c r="K33" s="95">
        <f>SUM(K4:K32)</f>
        <v>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19</v>
      </c>
      <c r="D2" s="268"/>
      <c r="E2" s="267" t="str">
        <f>IF(PREMIOS!$C21="","",PREMIOS!$C21)</f>
        <v>05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20250</v>
      </c>
      <c r="D10" s="30">
        <v>1000</v>
      </c>
      <c r="E10" s="180">
        <v>30750</v>
      </c>
      <c r="F10" s="30">
        <f t="shared" si="0"/>
        <v>0</v>
      </c>
      <c r="H10" s="42">
        <f t="shared" si="2"/>
        <v>51000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20250</v>
      </c>
      <c r="D33" s="44">
        <f>SUM(D4:D32)</f>
        <v>1000</v>
      </c>
      <c r="E33" s="43">
        <f>SUM(E4:E32)</f>
        <v>30750</v>
      </c>
      <c r="F33" s="44">
        <f>SUM(F4:F32)</f>
        <v>0</v>
      </c>
      <c r="H33" s="45">
        <f>SUM(H4:H32)</f>
        <v>51000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2026-06-06T23:06:06Z</dcterms:modified>
  <dc:language>es-CR</dc:language>
</cp:coreProperties>
</file>
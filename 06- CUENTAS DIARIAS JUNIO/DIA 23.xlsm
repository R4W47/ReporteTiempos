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87" documentId="11_026917EBAE37525702E3358E5A251E675916158C" xr6:coauthVersionLast="47" xr6:coauthVersionMax="47" xr10:uidLastSave="{A24F6433-50E3-4898-A061-117CCCF8970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1"/>
  <c r="H10" i="60"/>
  <c r="G10" i="60"/>
  <c r="E10" i="60"/>
  <c r="C10" i="62"/>
  <c r="D12" i="62"/>
  <c r="F10" i="61"/>
  <c r="E10" i="61"/>
  <c r="D10" i="60"/>
  <c r="C10" i="60"/>
  <c r="C10" i="65" l="1"/>
  <c r="D10" i="61"/>
  <c r="C10" i="61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2" i="60"/>
  <c r="D36" i="60" s="1"/>
  <c r="D11" i="60"/>
  <c r="D9" i="60"/>
  <c r="D7" i="60"/>
  <c r="D5" i="60"/>
  <c r="D34" i="60" s="1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H17" i="60"/>
  <c r="H15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F34" i="60"/>
  <c r="F35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K20" i="19"/>
  <c r="K9" i="19"/>
  <c r="L21" i="71"/>
  <c r="M21" i="71" s="1"/>
  <c r="J31" i="71"/>
  <c r="D18" i="72"/>
  <c r="J31" i="64"/>
  <c r="E33" i="66"/>
  <c r="H22" i="70"/>
  <c r="J25" i="70"/>
  <c r="K25" i="70" s="1"/>
  <c r="L9" i="19"/>
  <c r="J30" i="71"/>
  <c r="K30" i="71" s="1"/>
  <c r="I15" i="72"/>
  <c r="N15" i="72" s="1"/>
  <c r="H24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K21" i="19"/>
  <c r="K10" i="19"/>
  <c r="N27" i="71"/>
  <c r="P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4" i="23" l="1"/>
  <c r="J5" i="19"/>
  <c r="M20" i="52"/>
  <c r="J6" i="23"/>
  <c r="L5" i="23"/>
  <c r="C24" i="15"/>
  <c r="F17" i="52"/>
  <c r="F12" i="8"/>
  <c r="M26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I32" i="61"/>
  <c r="L6" i="22"/>
  <c r="M19" i="52"/>
  <c r="F32" i="60"/>
  <c r="F33" i="60" s="1"/>
  <c r="G32" i="60"/>
  <c r="F24" i="15"/>
  <c r="H32" i="60"/>
  <c r="H33" i="60" s="1"/>
  <c r="K5" i="23"/>
  <c r="J19" i="70"/>
  <c r="K19" i="70" s="1"/>
  <c r="G32" i="61"/>
  <c r="F32" i="61"/>
  <c r="L6" i="25"/>
  <c r="H32" i="61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M5" i="52" s="1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0" i="52"/>
  <c r="C19" i="1" s="1"/>
  <c r="B19" i="1"/>
  <c r="K23" i="52"/>
  <c r="C22" i="1" s="1"/>
  <c r="B22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<sst xmlns="http://schemas.openxmlformats.org/spreadsheetml/2006/main" count="1293" uniqueCount="160">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</sst>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260550</v>
      </c>
      <c r="C3" s="9">
        <f>+HojaTICA!K4+HojaNICA!M4+HojaREVENTADO!K4+HojaPrimera!I4+HojaHonduras!K4+HojaDominicana!I4+HojaPANA!G4</f>
        <v>33900</v>
      </c>
      <c r="D3" s="9">
        <f>+HojaTICA!N4+HojaNICA!P4+HojaREVENTADO!O4+HojaPrimera!L4+HojaHonduras!N4+HojaDominicana!L4+HojaPANA!J4</f>
        <v>264500</v>
      </c>
      <c r="F3" s="10">
        <f t="shared" ref="F3:F27" si="0">+B3-C3-D3</f>
        <v>-37850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221700</v>
      </c>
      <c r="C4" s="9">
        <f>+HojaTICA!K5+HojaNICA!M5+HojaREVENTADO!K5+HojaPrimera!I5+HojaHonduras!K5+HojaDominicana!I5+HojaPANA!G5</f>
        <v>28800</v>
      </c>
      <c r="D4" s="9">
        <f>+HojaTICA!N5+HojaNICA!P5+HojaREVENTADO!O5+HojaPrimera!L5+HojaHonduras!N5+HojaDominicana!L5+HojaPANA!J5</f>
        <v>146250</v>
      </c>
      <c r="F4" s="14">
        <f t="shared" si="0"/>
        <v>46650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384450</v>
      </c>
      <c r="C7" s="9">
        <f>+HojaTICA!K8+HojaNICA!M8+HojaREVENTADO!K8+HojaPrimera!I8+HojaHonduras!K8+HojaDominicana!I8+HojaPANA!G8</f>
        <v>46150</v>
      </c>
      <c r="D7" s="9">
        <f>+HojaTICA!N8+HojaNICA!P8+HojaREVENTADO!O8+HojaPrimera!L8+HojaHonduras!N8+HojaDominicana!L8+HojaPANA!J8</f>
        <v>438500</v>
      </c>
      <c r="F7" s="14">
        <f t="shared" si="0"/>
        <v>-100200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819850</v>
      </c>
      <c r="C9" s="9">
        <f>+HojaTICA!K10+HojaNICA!M10+HojaREVENTADO!K10+HojaPrimera!I10+HojaHonduras!K10+HojaDominicana!I10+HojaPANA!G10</f>
        <v>97270</v>
      </c>
      <c r="D9" s="9">
        <f>+HojaTICA!N10+HojaNICA!P10+HojaREVENTADO!O10+HojaPrimera!L10+HojaHonduras!N10+HojaDominicana!L10+HojaPANA!J10</f>
        <v>654500</v>
      </c>
      <c r="F9" s="14">
        <f t="shared" si="0"/>
        <v>68080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16000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0</v>
      </c>
      <c r="F10" s="14">
        <f t="shared" si="0"/>
        <v>14100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161550</v>
      </c>
      <c r="C11" s="9">
        <f>+HojaTICA!K12+HojaNICA!M12+HojaREVENTADO!K12+HojaPrimera!I12+HojaHonduras!K12+HojaDominicana!I12+HojaPANA!G12</f>
        <v>19365</v>
      </c>
      <c r="D11" s="9">
        <f>+HojaTICA!N12+HojaNICA!P12+HojaREVENTADO!O12+HojaPrimera!L12+HojaHonduras!N12+HojaDominicana!L12+HojaPANA!J12</f>
        <v>157250</v>
      </c>
      <c r="F11" s="14">
        <f t="shared" si="0"/>
        <v>-15065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116100</v>
      </c>
      <c r="C12" s="9">
        <f>+HojaTICA!K13+HojaNICA!M13+HojaREVENTADO!K13+HojaPrimera!I13+HojaHonduras!K13+HojaDominicana!I13+HojaPANA!G13</f>
        <v>13950</v>
      </c>
      <c r="D12" s="9">
        <f>+HojaTICA!N13+HojaNICA!P13+HojaREVENTADO!O13+HojaPrimera!L13+HojaHonduras!N13+HojaDominicana!L13+HojaPANA!J13</f>
        <v>215500</v>
      </c>
      <c r="F12" s="14">
        <f t="shared" si="0"/>
        <v>-113350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54650</v>
      </c>
      <c r="C13" s="9">
        <f>+HojaTICA!K14+HojaNICA!M14+HojaREVENTADO!K14+HojaPrimera!I14+HojaHonduras!K14+HojaDominicana!I14+HojaPANA!G14</f>
        <v>8200</v>
      </c>
      <c r="D13" s="9">
        <f>+HojaTICA!N14+HojaNICA!P14+HojaREVENTADO!O14+HojaPrimera!L14+HojaHonduras!N14+HojaDominicana!L14+HojaPANA!J14</f>
        <v>32000</v>
      </c>
      <c r="F13" s="14">
        <f t="shared" si="0"/>
        <v>14450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87750</v>
      </c>
      <c r="C15" s="9">
        <f>+HojaTICA!K16+HojaNICA!M16+HojaREVENTADO!K16+HojaPrimera!I16+HojaHonduras!K16+HojaDominicana!I16+HojaPANA!G16</f>
        <v>10500</v>
      </c>
      <c r="D15" s="9">
        <f>+HojaTICA!N16+HojaNICA!P16+HojaREVENTADO!O16+HojaPrimera!L16+HojaHonduras!N16+HojaDominicana!L16+HojaPANA!J16</f>
        <v>106250</v>
      </c>
      <c r="F15" s="14">
        <f t="shared" si="0"/>
        <v>-29000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2122600</v>
      </c>
      <c r="C28" s="17">
        <f t="shared" si="1"/>
        <v>260035</v>
      </c>
      <c r="D28" s="18">
        <f t="shared" si="1"/>
        <v>2014750</v>
      </c>
      <c r="F28" s="20">
        <f>SUM(F3:F27)</f>
        <v>-152185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89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84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22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12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Roja</v>
      </c>
      <c r="C12" s="135"/>
      <c r="D12" s="136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35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30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39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12</v>
      </c>
      <c r="C19" s="132">
        <v>38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85</v>
      </c>
      <c r="C20" s="162">
        <v>71</v>
      </c>
      <c r="D20" s="165">
        <v>88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159</v>
      </c>
      <c r="C21" s="163">
        <v>35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84</v>
      </c>
      <c r="D2" s="267"/>
      <c r="E2" s="266">
        <f>DigitaTICA!E2</f>
        <v>12</v>
      </c>
      <c r="F2" s="267"/>
      <c r="G2" s="266">
        <f>DigitaTICA!G2</f>
        <v>30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68250</v>
      </c>
      <c r="D4" s="30">
        <f>IF(Vendedor1!$E$7="",0,Vendedor1!$E$7)</f>
        <v>500</v>
      </c>
      <c r="E4" s="179">
        <f>IF(Vendedor1!$C$11="",0,Vendedor1!$C$11)</f>
        <v>44000</v>
      </c>
      <c r="F4" s="30">
        <f>IF(Vendedor1!$E$11="",0,Vendedor1!$E$11)</f>
        <v>550</v>
      </c>
      <c r="G4" s="179">
        <f>IF(Vendedor1!$C$15="",0,Vendedor1!$C$15)</f>
        <v>103800</v>
      </c>
      <c r="H4" s="30">
        <f>IF(Vendedor1!$E$15="",0,Vendedor1!$E$15)</f>
        <v>650</v>
      </c>
      <c r="J4" s="42">
        <f t="shared" ref="J4:J7" si="0">+C4+E4+G4</f>
        <v>216050</v>
      </c>
      <c r="K4" s="41">
        <f>MROUND(J4*Vendedor1!J$9,50)</f>
        <v>28100</v>
      </c>
      <c r="L4" s="42">
        <f t="shared" ref="L4:L7" si="1">+D4+F4+H4</f>
        <v>1700</v>
      </c>
      <c r="M4" s="42">
        <f t="shared" ref="M4:M7" si="2">+L4*85</f>
        <v>144500</v>
      </c>
      <c r="N4" s="42">
        <f>Vendedor1!$F$7+Vendedor1!$F$11+Vendedor1!$F$15</f>
        <v>144500</v>
      </c>
      <c r="P4" s="42">
        <f t="shared" ref="P4:P7" si="3">+J4-K4-N4</f>
        <v>43450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75400</v>
      </c>
      <c r="D5" s="30">
        <f>IF(Vendedor2!$E$7="",0,Vendedor2!$E$7)</f>
        <v>0</v>
      </c>
      <c r="E5" s="179">
        <f>IF(Vendedor2!$C$11="",0,Vendedor2!$C$11)</f>
        <v>45950</v>
      </c>
      <c r="F5" s="30">
        <f>IF(Vendedor2!$E$11="",0,Vendedor2!$E$11)</f>
        <v>250</v>
      </c>
      <c r="G5" s="179">
        <f>IF(Vendedor2!$C$15="",0,Vendedor2!$C$15)</f>
        <v>80950</v>
      </c>
      <c r="H5" s="30">
        <f>IF(Vendedor2!$E$15="",0,Vendedor2!$E$15)</f>
        <v>1000</v>
      </c>
      <c r="J5" s="42">
        <f t="shared" si="0"/>
        <v>202300</v>
      </c>
      <c r="K5" s="41">
        <f>MROUND(J5*Vendedor2!J$9,50)</f>
        <v>26300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69750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67250</v>
      </c>
      <c r="D8" s="30">
        <f>IF(Vendedor5!$E$7="",0,Vendedor5!$E$7)</f>
        <v>700</v>
      </c>
      <c r="E8" s="179">
        <f>IF(Vendedor5!$C$11="",0,Vendedor5!$C$11)</f>
        <v>55250</v>
      </c>
      <c r="F8" s="30">
        <f>IF(Vendedor5!$E$11="",0,Vendedor5!$E$11)</f>
        <v>500</v>
      </c>
      <c r="G8" s="179">
        <f>IF(Vendedor5!$C$15="",0,Vendedor5!$C$15)</f>
        <v>67850</v>
      </c>
      <c r="H8" s="30">
        <f>IF(Vendedor5!$E$15="",0,Vendedor5!$E$15)</f>
        <v>1700</v>
      </c>
      <c r="J8" s="42">
        <f t="shared" ref="J8" si="4">+C8+E8+G8</f>
        <v>190350</v>
      </c>
      <c r="K8" s="41">
        <f>MROUND(J8*Vendedor5!J$11,50)</f>
        <v>22850</v>
      </c>
      <c r="L8" s="42">
        <f t="shared" ref="L8" si="5">+D8+F8+H8</f>
        <v>2900</v>
      </c>
      <c r="M8" s="42">
        <f t="shared" ref="M8" si="6">+L8*85</f>
        <v>246500</v>
      </c>
      <c r="N8" s="42">
        <f>Vendedor5!$F$7+Vendedor5!$F$11+Vendedor5!$F$15</f>
        <v>246500</v>
      </c>
      <c r="P8" s="42">
        <f t="shared" ref="P8" si="7">+J8-K8-N8</f>
        <v>-79000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115400</v>
      </c>
      <c r="D10" s="30">
        <f>IF(Vendedor7!$E$7="",0,Vendedor7!$E$7)</f>
        <v>2000</v>
      </c>
      <c r="E10" s="179">
        <f>IF(Vendedor7!$C$11="",0,Vendedor7!$C$11)</f>
        <v>109100</v>
      </c>
      <c r="F10" s="30">
        <f>IF(Vendedor7!$E$11="",0,Vendedor7!$E$11)</f>
        <v>500</v>
      </c>
      <c r="G10" s="179">
        <f>IF(Vendedor7!$C$15="",0,Vendedor7!$C$15)</f>
        <v>115750</v>
      </c>
      <c r="H10" s="30">
        <f>IF(Vendedor7!$E$15="",0,Vendedor7!$E$15)</f>
        <v>600</v>
      </c>
      <c r="J10" s="42">
        <f t="shared" si="8"/>
        <v>340250</v>
      </c>
      <c r="K10" s="41">
        <f>MROUND(J10*Vendedor7!J$14,50)</f>
        <v>40850</v>
      </c>
      <c r="L10" s="42">
        <f t="shared" si="9"/>
        <v>3100</v>
      </c>
      <c r="M10" s="42">
        <f t="shared" si="10"/>
        <v>263500</v>
      </c>
      <c r="N10" s="42">
        <f>Vendedor7!$F$7+Vendedor7!$F$11+Vendedor7!$F$15</f>
        <v>263500</v>
      </c>
      <c r="P10" s="42">
        <f t="shared" si="11"/>
        <v>35900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14000</v>
      </c>
      <c r="H11" s="30">
        <f>IF(Vendedor8!$E$15="",0,Vendedor8!$E$15)</f>
        <v>0</v>
      </c>
      <c r="J11" s="42">
        <f t="shared" si="8"/>
        <v>16000</v>
      </c>
      <c r="K11" s="41">
        <f>MROUND(J11*Vendedor8!J$11,50)</f>
        <v>1900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14100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31200</v>
      </c>
      <c r="D12" s="30">
        <f>IF(Vendedor9!$E$7="",0,Vendedor9!$E$7)</f>
        <v>0</v>
      </c>
      <c r="E12" s="179">
        <f>IF(Vendedor9!$C$11="",0,Vendedor9!$C$11)</f>
        <v>19800</v>
      </c>
      <c r="F12" s="30">
        <f>IF(Vendedor9!$E$11="",0,Vendedor9!$E$11)</f>
        <v>300</v>
      </c>
      <c r="G12" s="179">
        <f>IF(Vendedor9!$C$15="",0,Vendedor9!$C$15)</f>
        <v>28400</v>
      </c>
      <c r="H12" s="30">
        <f>IF(Vendedor9!$E$15="",0,Vendedor9!$E$15)</f>
        <v>300</v>
      </c>
      <c r="J12" s="42">
        <f t="shared" si="8"/>
        <v>79400</v>
      </c>
      <c r="K12" s="41">
        <f>MROUND(J12*Vendedor9!J$11,50)</f>
        <v>9550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18850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25750</v>
      </c>
      <c r="D13" s="30">
        <f>IF(Vendedor10!$E$7="",0,Vendedor10!$E$7)</f>
        <v>400</v>
      </c>
      <c r="E13" s="179">
        <f>IF(Vendedor10!$C$11="",0,Vendedor10!$C$11)</f>
        <v>15900</v>
      </c>
      <c r="F13" s="30">
        <f>IF(Vendedor10!$E$11="",0,Vendedor10!$E$11)</f>
        <v>100</v>
      </c>
      <c r="G13" s="179">
        <f>IF(Vendedor10!$C$15="",0,Vendedor10!$C$15)</f>
        <v>38650</v>
      </c>
      <c r="H13" s="30">
        <f>IF(Vendedor10!$E$15="",0,Vendedor10!$E$15)</f>
        <v>1000</v>
      </c>
      <c r="J13" s="42">
        <f t="shared" si="8"/>
        <v>80300</v>
      </c>
      <c r="K13" s="41">
        <f>MROUND(J13*Vendedor10!J$9,50)</f>
        <v>9650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-56850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27200</v>
      </c>
      <c r="D14" s="30">
        <f>IF(Vendedor11!$E$7="",0,Vendedor11!$E$7)</f>
        <v>0</v>
      </c>
      <c r="E14" s="179">
        <f>IF(Vendedor11!$C$11="",0,Vendedor11!$C$11)</f>
        <v>9300</v>
      </c>
      <c r="F14" s="30">
        <f>IF(Vendedor11!$E$11="",0,Vendedor11!$E$11)</f>
        <v>0</v>
      </c>
      <c r="G14" s="179">
        <f>IF(Vendedor11!$C$15="",0,Vendedor11!$C$15)</f>
        <v>18150</v>
      </c>
      <c r="H14" s="30">
        <f>IF(Vendedor11!$E$15="",0,Vendedor11!$E$15)</f>
        <v>400</v>
      </c>
      <c r="J14" s="42">
        <f t="shared" si="8"/>
        <v>54650</v>
      </c>
      <c r="K14" s="41">
        <f>MROUND(J14*Vendedor11!J$9,50)</f>
        <v>8200</v>
      </c>
      <c r="L14" s="42">
        <f t="shared" si="9"/>
        <v>400</v>
      </c>
      <c r="M14" s="42">
        <f t="shared" si="10"/>
        <v>34000</v>
      </c>
      <c r="N14" s="42">
        <f>Vendedor11!$F$7+Vendedor11!$F$11+Vendedor11!$F$15</f>
        <v>32000</v>
      </c>
      <c r="P14" s="42">
        <f t="shared" si="11"/>
        <v>14450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18050</v>
      </c>
      <c r="D16" s="30">
        <f>IF(Vendedor13!$E$7="",0,Vendedor13!$E$7)</f>
        <v>0</v>
      </c>
      <c r="E16" s="179">
        <f>IF(Vendedor13!$C$11="",0,Vendedor13!$C$11)</f>
        <v>11650</v>
      </c>
      <c r="F16" s="30">
        <f>IF(Vendedor13!$E$11="",0,Vendedor13!$E$11)</f>
        <v>1000</v>
      </c>
      <c r="G16" s="179">
        <f>IF(Vendedor13!$C$15="",0,Vendedor13!$C$15)</f>
        <v>33600</v>
      </c>
      <c r="H16" s="30">
        <f>IF(Vendedor13!$E$15="",0,Vendedor13!$E$15)</f>
        <v>250</v>
      </c>
      <c r="J16" s="42">
        <f t="shared" si="8"/>
        <v>63300</v>
      </c>
      <c r="K16" s="41">
        <f>MROUND(J16*Vendedor13!J$11,50)</f>
        <v>7600</v>
      </c>
      <c r="L16" s="42">
        <f t="shared" si="9"/>
        <v>1250</v>
      </c>
      <c r="M16" s="42">
        <f t="shared" si="10"/>
        <v>106250</v>
      </c>
      <c r="N16" s="42">
        <f>Vendedor13!$F$7+Vendedor13!$F$11+Vendedor13!$F$15</f>
        <v>106250</v>
      </c>
      <c r="P16" s="42">
        <f t="shared" si="11"/>
        <v>-50550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430500</v>
      </c>
      <c r="D32" s="44">
        <f t="shared" si="16"/>
        <v>3600</v>
      </c>
      <c r="E32" s="43">
        <f t="shared" si="16"/>
        <v>310950</v>
      </c>
      <c r="F32" s="44">
        <f t="shared" si="16"/>
        <v>3200</v>
      </c>
      <c r="G32" s="43">
        <f t="shared" si="16"/>
        <v>501150</v>
      </c>
      <c r="H32" s="44">
        <f t="shared" si="16"/>
        <v>5900</v>
      </c>
      <c r="J32" s="95">
        <f>SUM(J4:J31)</f>
        <v>1242600</v>
      </c>
      <c r="K32" s="45">
        <f>SUM(K7:K31)</f>
        <v>100600</v>
      </c>
      <c r="L32" s="95">
        <f>SUM(L4:L31)</f>
        <v>12700</v>
      </c>
      <c r="M32" s="95">
        <f>SUM(M4:M31)</f>
        <v>1079500</v>
      </c>
      <c r="N32" s="95">
        <f>SUM(N4:N31)</f>
        <v>1077500</v>
      </c>
      <c r="P32" s="79">
        <f>SUM(P4:P31)</f>
        <v>10100</v>
      </c>
    </row>
    <row r="33" spans="3:13" x14ac:dyDescent="0.35">
      <c r="D33" s="99">
        <f>+D32*85</f>
        <v>306000</v>
      </c>
      <c r="F33" s="99">
        <f>+F32*85</f>
        <v>272000</v>
      </c>
      <c r="H33" s="99">
        <f>+H32*85</f>
        <v>501500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1242600</v>
      </c>
      <c r="E36" s="43">
        <f>+D36-J4-J5-J6</f>
        <v>824250</v>
      </c>
      <c r="G36" s="101"/>
    </row>
    <row r="37" spans="3:13" x14ac:dyDescent="0.35">
      <c r="C37" s="47" t="s">
        <v>33</v>
      </c>
      <c r="D37" s="48">
        <f>D36*13%</f>
        <v>161538</v>
      </c>
      <c r="E37">
        <f>+D37-K4-K5-K6</f>
        <v>107138</v>
      </c>
      <c r="G37" s="100"/>
      <c r="H37" s="100"/>
    </row>
    <row r="38" spans="3:13" ht="15" thickBot="1" x14ac:dyDescent="0.4">
      <c r="C38" s="47" t="s">
        <v>30</v>
      </c>
      <c r="D38" s="30">
        <f>M32</f>
        <v>1079500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1562</v>
      </c>
      <c r="F39" s="98">
        <f>+P32-D39</f>
        <v>8538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1562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89</v>
      </c>
      <c r="D2" s="267"/>
      <c r="E2" s="266">
        <f>DigitaNICA!E2</f>
        <v>22</v>
      </c>
      <c r="F2" s="267"/>
      <c r="G2" s="266">
        <f>DigitaNICA!G2</f>
        <v>35</v>
      </c>
      <c r="H2" s="267"/>
      <c r="I2" s="266">
        <f>DigitaNICA!I2</f>
        <v>39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20550</v>
      </c>
      <c r="D4" s="78">
        <f>IF(Vendedor1!$E$5="",0,Vendedor1!$E$5)</f>
        <v>0</v>
      </c>
      <c r="E4" s="188">
        <f>IF(Vendedor1!$C$9="",0,Vendedor1!$C$9)</f>
        <v>12500</v>
      </c>
      <c r="F4" s="78">
        <f>IF(Vendedor1!$E$9="",0,Vendedor1!$E$9)</f>
        <v>500</v>
      </c>
      <c r="G4" s="188">
        <f>IF(Vendedor1!$C$13="",0,Vendedor1!$C$13)</f>
        <v>200</v>
      </c>
      <c r="H4" s="78">
        <f>IF(Vendedor1!$E$13="",0,Vendedor1!$E$13)</f>
        <v>0</v>
      </c>
      <c r="I4" s="188">
        <f>IF(Vendedor1!$C$17="",0,Vendedor1!$C$17)</f>
        <v>6650</v>
      </c>
      <c r="J4" s="78">
        <f>IF(Vendedor1!$E$17="",0,Vendedor1!$E$17)</f>
        <v>1000</v>
      </c>
      <c r="L4" s="42">
        <f t="shared" ref="L4:L7" si="0">C4+E4+G4+I4</f>
        <v>39900</v>
      </c>
      <c r="M4" s="41">
        <f>MROUND(L4*Vendedor1!J$10,50)</f>
        <v>5200</v>
      </c>
      <c r="N4" s="42">
        <f t="shared" ref="N4:N7" si="1">D4+F4+H4+J4</f>
        <v>1500</v>
      </c>
      <c r="O4" s="41">
        <f>IFERROR(N4*85,0)</f>
        <v>127500</v>
      </c>
      <c r="P4" s="42">
        <f>Vendedor1!$F$5+Vendedor1!$F$9+Vendedor1!$F$13+Vendedor1!$F$17</f>
        <v>120000</v>
      </c>
      <c r="R4" s="41">
        <f t="shared" ref="R4:R7" si="2">+L4-M4-O4</f>
        <v>-92800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13500</v>
      </c>
      <c r="D5" s="30">
        <f>IF(Vendedor2!$E$5="",0,Vendedor2!$E$5)</f>
        <v>0</v>
      </c>
      <c r="E5" s="179">
        <f>IF(Vendedor2!$C$9="",0,Vendedor2!$C$9)</f>
        <v>5300</v>
      </c>
      <c r="F5" s="30">
        <f>IF(Vendedor2!$E$9="",0,Vendedor2!$E$9)</f>
        <v>500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600</v>
      </c>
      <c r="J5" s="30">
        <f>IF(Vendedor2!$E$17="",0,Vendedor2!$E$17)</f>
        <v>0</v>
      </c>
      <c r="L5" s="42">
        <f t="shared" si="0"/>
        <v>19400</v>
      </c>
      <c r="M5" s="41">
        <f>MROUND(L5*Vendedor2!J$10,50)</f>
        <v>2500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-25600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56300</v>
      </c>
      <c r="D8" s="30">
        <f>IF(Vendedor5!$E$5="",0,Vendedor5!$E$5)</f>
        <v>400</v>
      </c>
      <c r="E8" s="179">
        <f>IF(Vendedor5!$C$9="",0,Vendedor5!$C$9)</f>
        <v>42000</v>
      </c>
      <c r="F8" s="30">
        <f>IF(Vendedor5!$E$9="",0,Vendedor5!$E$9)</f>
        <v>550</v>
      </c>
      <c r="G8" s="179">
        <f>IF(Vendedor5!$C$13="",0,Vendedor5!$C$13)</f>
        <v>1500</v>
      </c>
      <c r="H8" s="30">
        <f>IF(Vendedor5!$E$13="",0,Vendedor5!$E$13)</f>
        <v>0</v>
      </c>
      <c r="I8" s="179">
        <f>IF(Vendedor5!$C$17="",0,Vendedor5!$C$17)</f>
        <v>38500</v>
      </c>
      <c r="J8" s="30">
        <f>IF(Vendedor5!$E$17="",0,Vendedor5!$E$17)</f>
        <v>0</v>
      </c>
      <c r="L8" s="42">
        <f t="shared" ref="L8" si="4">C8+E8+G8+I8</f>
        <v>138300</v>
      </c>
      <c r="M8" s="41">
        <f>MROUND(L8*Vendedor5!J$12,50)</f>
        <v>16600</v>
      </c>
      <c r="N8" s="42">
        <f t="shared" ref="N8" si="5">D8+F8+H8+J8</f>
        <v>950</v>
      </c>
      <c r="O8" s="41">
        <f t="shared" si="3"/>
        <v>80750</v>
      </c>
      <c r="P8" s="42">
        <f>Vendedor5!$F$5+Vendedor5!$F$9+Vendedor5!$F$13+Vendedor5!$F$17</f>
        <v>76000</v>
      </c>
      <c r="Q8">
        <v>17</v>
      </c>
      <c r="R8" s="41">
        <f t="shared" ref="R8" si="6">+L8-M8-O8</f>
        <v>40950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72200</v>
      </c>
      <c r="D10" s="30">
        <f>IF(Vendedor7!$E$5="",0,Vendedor7!$E$5)</f>
        <v>300</v>
      </c>
      <c r="E10" s="179">
        <f>IF(Vendedor7!$C$9="",0,Vendedor7!$C$9)</f>
        <v>54150</v>
      </c>
      <c r="F10" s="30">
        <f>IF(Vendedor7!$E$9="",0,Vendedor7!$E$9)</f>
        <v>2250</v>
      </c>
      <c r="G10" s="179">
        <f>IF(Vendedor7!$C$13="",0,Vendedor7!$C$13)</f>
        <v>23900</v>
      </c>
      <c r="H10" s="30">
        <f>IF(Vendedor7!$E$13="",0,Vendedor7!$E$13)</f>
        <v>300</v>
      </c>
      <c r="I10" s="179">
        <f>IF(Vendedor7!$C$17="",0,Vendedor7!$C$17)</f>
        <v>100650</v>
      </c>
      <c r="J10" s="30">
        <f>IF(Vendedor7!$E$17="",0,Vendedor7!$E$17)</f>
        <v>450</v>
      </c>
      <c r="L10" s="42">
        <f t="shared" si="7"/>
        <v>250900</v>
      </c>
      <c r="M10" s="41">
        <f>MROUND(L10*Vendedor7!J$15,50)</f>
        <v>30100</v>
      </c>
      <c r="N10" s="42">
        <f t="shared" ref="N10:N27" si="9">D10+F10+H10+J10</f>
        <v>3300</v>
      </c>
      <c r="O10" s="41">
        <f t="shared" si="3"/>
        <v>280500</v>
      </c>
      <c r="P10" s="42">
        <f>Vendedor7!$F$5+Vendedor7!$F$9+Vendedor7!$F$13+Vendedor7!$F$17</f>
        <v>280500</v>
      </c>
      <c r="R10" s="41">
        <f t="shared" si="8"/>
        <v>-59700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23400</v>
      </c>
      <c r="D12" s="30">
        <f>IF(Vendedor9!$E$5="",0,Vendedor9!$E$5)</f>
        <v>250</v>
      </c>
      <c r="E12" s="179">
        <f>IF(Vendedor9!$C$9="",0,Vendedor9!$C$9)</f>
        <v>12700</v>
      </c>
      <c r="F12" s="30">
        <f>IF(Vendedor9!$E$9="",0,Vendedor9!$E$9)</f>
        <v>1000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36100</v>
      </c>
      <c r="M12" s="41">
        <f>MROUND(L12*Vendedor9!J$12,50)</f>
        <v>4350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-74500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10950</v>
      </c>
      <c r="D13" s="30">
        <f>IF(Vendedor10!$E$5="",0,Vendedor10!$E$5)</f>
        <v>0</v>
      </c>
      <c r="E13" s="179">
        <f>IF(Vendedor10!$C$9="",0,Vendedor10!$C$9)</f>
        <v>17350</v>
      </c>
      <c r="F13" s="30">
        <f>IF(Vendedor10!$E$9="",0,Vendedor10!$E$9)</f>
        <v>1100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7500</v>
      </c>
      <c r="J13" s="30">
        <f>IF(Vendedor10!$E$17="",0,Vendedor10!$E$17)</f>
        <v>0</v>
      </c>
      <c r="L13" s="42">
        <f t="shared" si="7"/>
        <v>35800</v>
      </c>
      <c r="M13" s="41">
        <f>MROUND(L13*Vendedor10!J$10,50)</f>
        <v>4300</v>
      </c>
      <c r="N13" s="42">
        <f t="shared" si="9"/>
        <v>1100</v>
      </c>
      <c r="O13" s="41">
        <f t="shared" si="3"/>
        <v>93500</v>
      </c>
      <c r="P13" s="42">
        <f>Vendedor10!$F$5+Vendedor10!$F$9+Vendedor10!$F$13+Vendedor10!$F$17</f>
        <v>88000</v>
      </c>
      <c r="R13" s="41">
        <f t="shared" si="8"/>
        <v>-62000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6250</v>
      </c>
      <c r="D16" s="30">
        <f>IF(Vendedor13!$E$5="",0,Vendedor13!$E$5)</f>
        <v>0</v>
      </c>
      <c r="E16" s="179">
        <f>IF(Vendedor13!$C$9="",0,Vendedor13!$C$9)</f>
        <v>3000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14200</v>
      </c>
      <c r="J16" s="30">
        <f>IF(Vendedor13!$E$17="",0,Vendedor13!$E$17)</f>
        <v>0</v>
      </c>
      <c r="L16" s="42">
        <f t="shared" si="7"/>
        <v>23450</v>
      </c>
      <c r="M16" s="41">
        <f>MROUND(L16*Vendedor13!J$12,50)</f>
        <v>2800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20650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203150</v>
      </c>
      <c r="D32" s="44">
        <f t="shared" si="14"/>
        <v>950</v>
      </c>
      <c r="E32" s="43">
        <f t="shared" si="14"/>
        <v>147000</v>
      </c>
      <c r="F32" s="44">
        <f t="shared" si="14"/>
        <v>5900</v>
      </c>
      <c r="G32" s="43">
        <f t="shared" si="14"/>
        <v>25600</v>
      </c>
      <c r="H32" s="44">
        <f t="shared" si="14"/>
        <v>300</v>
      </c>
      <c r="I32" s="43">
        <f t="shared" si="14"/>
        <v>168100</v>
      </c>
      <c r="J32" s="44">
        <f t="shared" si="14"/>
        <v>1450</v>
      </c>
      <c r="L32" s="45">
        <f>SUM(L4:L31)</f>
        <v>543850</v>
      </c>
      <c r="M32" s="45">
        <f>SUM(M7:M31)</f>
        <v>58150</v>
      </c>
      <c r="N32" s="95">
        <f>SUM(N4:N31)</f>
        <v>8600</v>
      </c>
      <c r="O32" s="46">
        <f>SUM(O4:O31)</f>
        <v>731000</v>
      </c>
      <c r="P32" s="139">
        <f>SUM(P4:P31)</f>
        <v>710750</v>
      </c>
      <c r="R32" s="79">
        <f>SUM(R4:R31)</f>
        <v>-253000</v>
      </c>
    </row>
    <row r="33" spans="3:15" x14ac:dyDescent="0.35">
      <c r="D33" s="120">
        <f>+D32*85</f>
        <v>80750</v>
      </c>
      <c r="F33" s="120">
        <f>+F32*85</f>
        <v>501500</v>
      </c>
      <c r="H33" s="120">
        <f>+H32*85</f>
        <v>25500</v>
      </c>
      <c r="J33" s="120">
        <f>+J32*85</f>
        <v>123250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543850</v>
      </c>
      <c r="E36" s="43">
        <f>+D36-L4-L5-L6</f>
        <v>484550</v>
      </c>
    </row>
    <row r="37" spans="3:15" x14ac:dyDescent="0.35">
      <c r="C37" s="47" t="s">
        <v>33</v>
      </c>
      <c r="D37" s="48">
        <f>D36*13%</f>
        <v>70700.5</v>
      </c>
      <c r="E37">
        <f>+D37-M4-M5-M6</f>
        <v>63000.5</v>
      </c>
    </row>
    <row r="38" spans="3:15" x14ac:dyDescent="0.35">
      <c r="C38" s="47" t="s">
        <v>30</v>
      </c>
      <c r="D38" s="30">
        <f>SUM(O4:O27)</f>
        <v>731000</v>
      </c>
      <c r="G38" s="100"/>
    </row>
    <row r="39" spans="3:15" ht="15" thickBot="1" x14ac:dyDescent="0.4">
      <c r="C39" s="49" t="s">
        <v>4</v>
      </c>
      <c r="D39" s="80">
        <f>+D36-D37-D38</f>
        <v>-257850.5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-257850.5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84 Roja</v>
      </c>
      <c r="D2" s="267"/>
      <c r="E2" s="266" t="str">
        <f>IF(E33=0,"",CONCATENATE(PREMIOS!$B11," ",PREMIOS!$B12))</f>
        <v>12 Roja</v>
      </c>
      <c r="F2" s="267"/>
      <c r="G2" s="266" t="str">
        <f>IF(G33=0,"",CONCATENATE(PREMIOS!$B15," ",PREMIOS!$B16))</f>
        <v>30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18250</v>
      </c>
      <c r="D10" s="30">
        <f>IF(Vendedor7!$E$8="",0,Vendedor7!$E$8)</f>
        <v>0</v>
      </c>
      <c r="E10" s="179">
        <f>IF(Vendedor7!$C$12="",0,Vendedor7!$C$12)</f>
        <v>20150</v>
      </c>
      <c r="F10" s="30">
        <f>IF(Vendedor7!$E$12="",0,Vendedor7!$E$12)</f>
        <v>0</v>
      </c>
      <c r="G10" s="179">
        <f>IF(Vendedor7!$C$16="",0,Vendedor7!$C$16)</f>
        <v>19300</v>
      </c>
      <c r="H10" s="30">
        <f>IF(Vendedor7!$E$16="",0,Vendedor7!$E$16)</f>
        <v>0</v>
      </c>
      <c r="J10" s="42">
        <f t="shared" si="1"/>
        <v>57700</v>
      </c>
      <c r="K10" s="41">
        <f>J10*Vendedor7!J$16</f>
        <v>5770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51930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1650</v>
      </c>
      <c r="D12" s="30">
        <f>IF(Vendedor9!$E$8="",0,Vendedor9!$E$8)</f>
        <v>0</v>
      </c>
      <c r="E12" s="179">
        <f>IF(Vendedor9!$C$12="",0,Vendedor9!$C$12)</f>
        <v>1000</v>
      </c>
      <c r="F12" s="30">
        <f>IF(Vendedor9!$E$12="",0,Vendedor9!$E$12)</f>
        <v>0</v>
      </c>
      <c r="G12" s="179">
        <f>IF(Vendedor9!$C$16="",0,Vendedor9!$C$16)</f>
        <v>500</v>
      </c>
      <c r="H12" s="30">
        <f>IF(Vendedor9!$E$16="",0,Vendedor9!$E$16)</f>
        <v>0</v>
      </c>
      <c r="J12" s="42">
        <f t="shared" si="1"/>
        <v>3150</v>
      </c>
      <c r="K12" s="41">
        <f>J12*Vendedor9!J$13</f>
        <v>315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2835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19900</v>
      </c>
      <c r="D33" s="44">
        <f>IF(PREMIOS!E8&lt;&gt;0,SUM(D4:D32),0)</f>
        <v>0</v>
      </c>
      <c r="E33" s="43">
        <f>SUM(E4:E32)</f>
        <v>21150</v>
      </c>
      <c r="F33" s="44">
        <f>IF(PREMIOS!E12&lt;&gt;0,SUM(F4:F32),0)</f>
        <v>0</v>
      </c>
      <c r="G33" s="43">
        <f>SUM(G4:G32)</f>
        <v>20800</v>
      </c>
      <c r="H33" s="44">
        <f>IF(PREMIOS!E16&lt;&gt;0,SUM(H4:H32),0)</f>
        <v>0</v>
      </c>
      <c r="J33" s="45">
        <f>SUM(J4:J32)</f>
        <v>61850</v>
      </c>
      <c r="K33" s="45">
        <f>SUM(K7:K32)</f>
        <v>6185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55665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61850</v>
      </c>
      <c r="E37" s="43">
        <f>+D37-J4-J5-J6</f>
        <v>61850</v>
      </c>
      <c r="F37" s="274"/>
      <c r="G37" s="274"/>
    </row>
    <row r="38" spans="3:17" ht="15" thickBot="1" x14ac:dyDescent="0.4">
      <c r="C38" s="47" t="s">
        <v>33</v>
      </c>
      <c r="D38" s="30">
        <f>D37*10%</f>
        <v>6185</v>
      </c>
      <c r="E38" s="43">
        <f>+D38-K4-K5-K6</f>
        <v>6185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55665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55665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12</v>
      </c>
      <c r="D2" s="267"/>
      <c r="E2" s="266">
        <f>DigitaPRIMERA!E2</f>
        <v>38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4600</v>
      </c>
      <c r="D4" s="78">
        <f>IF(Vendedor1!$E$19="",0,Vendedor1!$E$19)</f>
        <v>0</v>
      </c>
      <c r="E4" s="188">
        <f>IF(Vendedor1!$C$20="",0,Vendedor1!$C$20)</f>
        <v>0</v>
      </c>
      <c r="F4" s="78">
        <f>IF(Vendedor1!$E$20="",0,Vendedor1!$E$20)</f>
        <v>0</v>
      </c>
      <c r="H4" s="42">
        <f>+C4+E4</f>
        <v>4600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4000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24300</v>
      </c>
      <c r="D8" s="30">
        <f>IF(Vendedor5!$E$19="",0,Vendedor5!$E$19)</f>
        <v>950</v>
      </c>
      <c r="E8" s="179">
        <f>IF(Vendedor5!$C$20="",0,Vendedor5!$C$20)</f>
        <v>31500</v>
      </c>
      <c r="F8" s="30">
        <f>IF(Vendedor5!$E$20="",0,Vendedor5!$E$20)</f>
        <v>500</v>
      </c>
      <c r="H8" s="133">
        <f t="shared" si="1"/>
        <v>55800</v>
      </c>
      <c r="I8" s="147">
        <f>MROUND(H8*Vendedor5!J$11,50)</f>
        <v>6700</v>
      </c>
      <c r="J8" s="133">
        <f t="shared" si="2"/>
        <v>1450</v>
      </c>
      <c r="K8" s="133">
        <f t="shared" si="3"/>
        <v>123250</v>
      </c>
      <c r="L8" s="133">
        <f>Vendedor5!$F$19+Vendedor5!$F$20</f>
        <v>116000</v>
      </c>
      <c r="M8" s="154"/>
      <c r="N8" s="133">
        <f t="shared" si="0"/>
        <v>-66900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9350</v>
      </c>
      <c r="D10" s="30">
        <f>IF(Vendedor7!$E$19="",0,Vendedor7!$E$19)</f>
        <v>0</v>
      </c>
      <c r="E10" s="179">
        <f>IF(Vendedor7!$C$20="",0,Vendedor7!$C$20)</f>
        <v>19750</v>
      </c>
      <c r="F10" s="30">
        <f>IF(Vendedor7!$E$20="",0,Vendedor7!$E$20)</f>
        <v>0</v>
      </c>
      <c r="H10" s="42">
        <f t="shared" si="1"/>
        <v>29100</v>
      </c>
      <c r="I10" s="41">
        <f>MROUND(H10*Vendedor7!J$14,50)</f>
        <v>3500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25600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33650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33650</v>
      </c>
      <c r="I12" s="147">
        <f>MROUND(H12*Vendedor9!J$11,50)</f>
        <v>4050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29600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71900</v>
      </c>
      <c r="D32" s="44">
        <f>SUM(D4:D31)</f>
        <v>950</v>
      </c>
      <c r="E32" s="43">
        <f>SUM(E4:E31)</f>
        <v>51250</v>
      </c>
      <c r="F32" s="44">
        <f>SUM(F4:F31)</f>
        <v>500</v>
      </c>
      <c r="H32" s="95">
        <f>SUM(H4:H31)</f>
        <v>123150</v>
      </c>
      <c r="I32" s="45">
        <f>SUM(I7:I31)</f>
        <v>14250</v>
      </c>
      <c r="J32" s="95"/>
      <c r="K32" s="95">
        <f>SUM(K4:K31)</f>
        <v>123250</v>
      </c>
      <c r="L32" s="95">
        <f>SUM(L4:L31)</f>
        <v>116000</v>
      </c>
      <c r="N32" s="79">
        <f>SUM(N4:N31)</f>
        <v>-7700</v>
      </c>
    </row>
    <row r="33" spans="3:6" x14ac:dyDescent="0.35">
      <c r="D33" s="99">
        <f>+D32*85</f>
        <v>80750</v>
      </c>
      <c r="F33" s="99">
        <f>+F32*85</f>
        <v>42500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123150</v>
      </c>
      <c r="E36" s="43">
        <f>+D36-H4-H5-H6</f>
        <v>118550</v>
      </c>
    </row>
    <row r="37" spans="3:6" x14ac:dyDescent="0.35">
      <c r="C37" s="47" t="s">
        <v>33</v>
      </c>
      <c r="D37" s="48">
        <f>D36*13%</f>
        <v>16009.5</v>
      </c>
      <c r="E37">
        <f>+D37-I4-I5-I6</f>
        <v>15409.5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-16109.5</v>
      </c>
      <c r="F39" s="98">
        <f>+N32-D39</f>
        <v>8409.5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-16109.5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85</v>
      </c>
      <c r="D2" s="267"/>
      <c r="E2" s="266">
        <f>DigitaHONDURAS!E2</f>
        <v>71</v>
      </c>
      <c r="F2" s="267"/>
      <c r="G2" s="266">
        <f>DigitaHONDURAS!G2</f>
        <v>88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25000</v>
      </c>
      <c r="D10" s="30">
        <f>IF(Vendedor7!$E$21="",0,Vendedor7!$E$21)</f>
        <v>0</v>
      </c>
      <c r="E10" s="179">
        <f>IF(Vendedor7!$C$22="",0,Vendedor7!$C$22)</f>
        <v>11750</v>
      </c>
      <c r="F10" s="30">
        <f>IF(Vendedor7!$E$22="",0,Vendedor7!$E$22)</f>
        <v>300</v>
      </c>
      <c r="G10" s="179">
        <f>IF(Vendedor7!$C$23="",0,Vendedor7!$C$23)</f>
        <v>16400</v>
      </c>
      <c r="H10" s="30">
        <f>IF(Vendedor7!$E$23="",0,Vendedor7!$E$23)</f>
        <v>0</v>
      </c>
      <c r="J10" s="42">
        <f t="shared" si="0"/>
        <v>53150</v>
      </c>
      <c r="K10" s="41">
        <f>MROUND(J10*Vendedor7!J$14,50)</f>
        <v>6400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21250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9250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9250</v>
      </c>
      <c r="K12" s="41">
        <f>MROUND(J12*Vendedor9!J$14,50)</f>
        <v>1100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8150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34250</v>
      </c>
      <c r="D32" s="44">
        <f t="shared" si="8"/>
        <v>0</v>
      </c>
      <c r="E32" s="43">
        <f t="shared" si="8"/>
        <v>11750</v>
      </c>
      <c r="F32" s="44">
        <f t="shared" si="8"/>
        <v>300</v>
      </c>
      <c r="G32" s="43">
        <f t="shared" si="8"/>
        <v>16400</v>
      </c>
      <c r="H32" s="44">
        <f t="shared" si="8"/>
        <v>0</v>
      </c>
      <c r="J32" s="95">
        <f>SUM(J4:J31)</f>
        <v>62400</v>
      </c>
      <c r="K32" s="45">
        <f>SUM(K7:K31)</f>
        <v>7500</v>
      </c>
      <c r="L32" s="95"/>
      <c r="M32" s="95">
        <f>SUM(M4:M31)</f>
        <v>25500</v>
      </c>
      <c r="N32" s="95">
        <f>SUM(N4:N31)</f>
        <v>25500</v>
      </c>
      <c r="P32" s="79">
        <f>SUM(P4:P31)</f>
        <v>29400</v>
      </c>
    </row>
    <row r="33" spans="3:8" x14ac:dyDescent="0.35">
      <c r="D33" s="99">
        <f>+D32*85</f>
        <v>0</v>
      </c>
      <c r="F33" s="99">
        <f>+F32*85</f>
        <v>25500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62400</v>
      </c>
      <c r="E36" s="43">
        <f>+D36-J4-J5-J6</f>
        <v>62400</v>
      </c>
    </row>
    <row r="37" spans="3:8" x14ac:dyDescent="0.35">
      <c r="C37" s="47" t="s">
        <v>33</v>
      </c>
      <c r="D37" s="48">
        <f>D36*13%</f>
        <v>8112</v>
      </c>
      <c r="E37">
        <f>+D37-K4-K5-K6</f>
        <v>8112</v>
      </c>
    </row>
    <row r="38" spans="3:8" ht="15" thickBot="1" x14ac:dyDescent="0.4">
      <c r="C38" s="47" t="s">
        <v>30</v>
      </c>
      <c r="D38" s="30">
        <f>SUM(M4:M27)</f>
        <v>25500</v>
      </c>
      <c r="G38" s="100"/>
    </row>
    <row r="39" spans="3:8" ht="15" thickBot="1" x14ac:dyDescent="0.4">
      <c r="C39" s="49" t="s">
        <v>4</v>
      </c>
      <c r="D39" s="80">
        <f>+D36-D37-D38</f>
        <v>28788</v>
      </c>
      <c r="F39" s="98">
        <f>+P32-D39</f>
        <v>612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28788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07</v>
      </c>
      <c r="D2" s="267"/>
      <c r="E2" s="266">
        <f>DigitaDOMINICANA!E2</f>
        <v>35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41500</v>
      </c>
      <c r="D10" s="30">
        <f>IF(Vendedor7!$E$24="",0,Vendedor7!$E$24)</f>
        <v>0</v>
      </c>
      <c r="E10" s="179">
        <f>IF(Vendedor7!$C$25="",0,Vendedor7!$C$25)</f>
        <v>47250</v>
      </c>
      <c r="F10" s="30">
        <f>IF(Vendedor7!$E$25="",0,Vendedor7!$E$25)</f>
        <v>1000</v>
      </c>
      <c r="H10" s="42">
        <f t="shared" si="1"/>
        <v>88750</v>
      </c>
      <c r="I10" s="41">
        <f>MROUND(H10*Vendedor7!J$14,50)</f>
        <v>10650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-6900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41500</v>
      </c>
      <c r="D32" s="44">
        <f>SUM(D4:D31)</f>
        <v>0</v>
      </c>
      <c r="E32" s="43">
        <f>SUM(E4:E31)</f>
        <v>47250</v>
      </c>
      <c r="F32" s="44">
        <f>SUM(F4:F31)</f>
        <v>1000</v>
      </c>
      <c r="H32" s="95">
        <f>SUM(H4:H31)</f>
        <v>88750</v>
      </c>
      <c r="I32" s="45">
        <f>SUM(I7:I31)</f>
        <v>10650</v>
      </c>
      <c r="J32" s="95"/>
      <c r="K32" s="95">
        <f>SUM(K4:K31)</f>
        <v>85000</v>
      </c>
      <c r="L32" s="95">
        <f>SUM(L4:L31)</f>
        <v>85000</v>
      </c>
      <c r="N32" s="79">
        <f>SUM(N4:N31)</f>
        <v>-6900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88750</v>
      </c>
      <c r="E36" s="43">
        <f>+D36-H4-H5-H6</f>
        <v>88750</v>
      </c>
    </row>
    <row r="37" spans="3:6" x14ac:dyDescent="0.35">
      <c r="C37" s="47" t="s">
        <v>33</v>
      </c>
      <c r="D37" s="48">
        <f>D36*13%</f>
        <v>11537.5</v>
      </c>
      <c r="E37">
        <f>+D37-I4-I5-I6</f>
        <v>11537.5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-7787.5</v>
      </c>
      <c r="F39" s="98">
        <f>+N32-D39</f>
        <v>887.5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-7787.5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25-06-2026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484550</v>
      </c>
      <c r="C4" s="156">
        <f>HojaNICA!M32</f>
        <v>58150</v>
      </c>
      <c r="D4" s="149">
        <f>HojaNICA!E37</f>
        <v>63000.5</v>
      </c>
      <c r="E4" s="149">
        <f>HojaNICA!P32</f>
        <v>710750</v>
      </c>
      <c r="F4" s="149">
        <f>HojaNICA!O32</f>
        <v>731000</v>
      </c>
      <c r="G4" s="150">
        <f t="shared" ref="G4:G10" si="0">+D4-C4+F4-E4</f>
        <v>25100.5</v>
      </c>
      <c r="H4" s="21"/>
      <c r="I4" s="181"/>
    </row>
    <row r="5" spans="1:9" x14ac:dyDescent="0.35">
      <c r="A5" s="28" t="s">
        <v>19</v>
      </c>
      <c r="B5" s="155">
        <f>HojaTICA!$E$36</f>
        <v>824250</v>
      </c>
      <c r="C5" s="156">
        <f>HojaTICA!K32</f>
        <v>100600</v>
      </c>
      <c r="D5" s="149">
        <f>HojaTICA!E37</f>
        <v>107138</v>
      </c>
      <c r="E5" s="149">
        <f>HojaTICA!N32</f>
        <v>1077500</v>
      </c>
      <c r="F5" s="149">
        <f>HojaTICA!D38</f>
        <v>1079500</v>
      </c>
      <c r="G5" s="150">
        <f t="shared" si="0"/>
        <v>8538</v>
      </c>
      <c r="H5" s="21"/>
      <c r="I5" s="181"/>
    </row>
    <row r="6" spans="1:9" x14ac:dyDescent="0.35">
      <c r="A6" s="28" t="s">
        <v>125</v>
      </c>
      <c r="B6" s="155">
        <f>HojaREVENTADO!$E$37</f>
        <v>61850</v>
      </c>
      <c r="C6" s="156">
        <f>HojaREVENTADO!K33</f>
        <v>6185</v>
      </c>
      <c r="D6" s="149">
        <f>HojaREVENTADO!E38</f>
        <v>6185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118550</v>
      </c>
      <c r="C7" s="156">
        <f>HojaPrimera!I32</f>
        <v>14250</v>
      </c>
      <c r="D7" s="149">
        <f>HojaPrimera!E37</f>
        <v>15409.5</v>
      </c>
      <c r="E7" s="149">
        <f>HojaPrimera!L32</f>
        <v>116000</v>
      </c>
      <c r="F7" s="149">
        <f>HojaPrimera!K32</f>
        <v>123250</v>
      </c>
      <c r="G7" s="150">
        <f t="shared" si="0"/>
        <v>8409.5</v>
      </c>
      <c r="H7" s="21"/>
      <c r="I7" s="21"/>
    </row>
    <row r="8" spans="1:9" x14ac:dyDescent="0.35">
      <c r="A8" s="28" t="s">
        <v>104</v>
      </c>
      <c r="B8" s="155">
        <f>HojaHonduras!$E$36</f>
        <v>62400</v>
      </c>
      <c r="C8" s="156">
        <f>HojaHonduras!K32</f>
        <v>7500</v>
      </c>
      <c r="D8" s="149">
        <f>HojaHonduras!E37</f>
        <v>8112</v>
      </c>
      <c r="E8" s="149">
        <f>HojaHonduras!N32</f>
        <v>25500</v>
      </c>
      <c r="F8" s="149">
        <f>HojaHonduras!M32</f>
        <v>25500</v>
      </c>
      <c r="G8" s="150">
        <f t="shared" si="0"/>
        <v>612</v>
      </c>
      <c r="H8" s="21"/>
      <c r="I8" s="21"/>
    </row>
    <row r="9" spans="1:9" x14ac:dyDescent="0.35">
      <c r="A9" s="28" t="s">
        <v>20</v>
      </c>
      <c r="B9" s="155">
        <f>HojaDominicana!$E$36</f>
        <v>88750</v>
      </c>
      <c r="C9" s="156">
        <f>HojaDominicana!I32</f>
        <v>10650</v>
      </c>
      <c r="D9" s="149">
        <f>HojaDominicana!E37</f>
        <v>11537.5</v>
      </c>
      <c r="E9" s="149">
        <f>HojaDominicana!L32</f>
        <v>85000</v>
      </c>
      <c r="F9" s="149">
        <f>HojaDominicana!K32</f>
        <v>85000</v>
      </c>
      <c r="G9" s="150">
        <f t="shared" si="0"/>
        <v>887.5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1640350</v>
      </c>
      <c r="C11" s="174">
        <f>SUM(C4:C10)</f>
        <v>197335</v>
      </c>
      <c r="D11" s="174">
        <f t="shared" ref="D11:F11" si="1">SUM(D4:D10)</f>
        <v>211382.5</v>
      </c>
      <c r="E11" s="174">
        <f t="shared" si="1"/>
        <v>2014750</v>
      </c>
      <c r="F11" s="174">
        <f t="shared" si="1"/>
        <v>2044250</v>
      </c>
      <c r="G11" s="175">
        <f>SUM(G4:G10)</f>
        <v>43547.5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8547.5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260550</v>
      </c>
      <c r="E16" s="156">
        <f>+Vendedor1!D21</f>
        <v>33871.5</v>
      </c>
      <c r="F16" s="157">
        <f>IF(D16&lt;&gt;0,15000,0)</f>
        <v>15000</v>
      </c>
      <c r="G16" s="150">
        <f>+E16-F16</f>
        <v>18871.5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221700</v>
      </c>
      <c r="E17" s="156">
        <f>+Vendedor2!D21</f>
        <v>28821</v>
      </c>
      <c r="F17" s="157">
        <f>IF(D17&lt;&gt;0,15000,0)</f>
        <v>15000</v>
      </c>
      <c r="G17" s="150">
        <f>+E17-F17</f>
        <v>13821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482250</v>
      </c>
      <c r="E19" s="158">
        <f>SUM(E16:E18)</f>
        <v>62692.5</v>
      </c>
      <c r="F19" s="159">
        <f>SUM(F16:F18)</f>
        <v>30000</v>
      </c>
      <c r="G19" s="160">
        <f>SUM(G16:G18)</f>
        <v>32692.5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41240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25-06-2026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543850</v>
      </c>
      <c r="C5" s="149">
        <f>HojaNICA!D37</f>
        <v>70700.5</v>
      </c>
      <c r="D5" s="149">
        <f>HojaNICA!D38</f>
        <v>731000</v>
      </c>
      <c r="E5" s="149"/>
      <c r="F5" s="150">
        <f>+B5-C5-D5+E5</f>
        <v>-257850.5</v>
      </c>
      <c r="H5" s="248" t="s">
        <v>105</v>
      </c>
      <c r="I5" s="242">
        <f ca="1">TODAY()-1</f>
        <v>46198</v>
      </c>
      <c r="O5" s="119"/>
    </row>
    <row r="6" spans="1:15" ht="15" thickBot="1" x14ac:dyDescent="0.4">
      <c r="A6" s="47" t="s">
        <v>36</v>
      </c>
      <c r="B6" s="149">
        <f>HojaTICA!D36</f>
        <v>1242600</v>
      </c>
      <c r="C6" s="149">
        <f>HojaTICA!D37</f>
        <v>161538</v>
      </c>
      <c r="D6" s="149">
        <f>HojaTICA!D38</f>
        <v>1079500</v>
      </c>
      <c r="E6" s="149"/>
      <c r="F6" s="150">
        <f t="shared" ref="F6:F11" si="0">+B6-C6-D6+E6</f>
        <v>1562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61850</v>
      </c>
      <c r="C7" s="149">
        <f>HojaREVENTADO!D38</f>
        <v>6185</v>
      </c>
      <c r="D7" s="149">
        <f>HojaREVENTADO!D39</f>
        <v>0</v>
      </c>
      <c r="E7" s="149"/>
      <c r="F7" s="150">
        <f t="shared" si="0"/>
        <v>55665</v>
      </c>
    </row>
    <row r="8" spans="1:15" x14ac:dyDescent="0.35">
      <c r="A8" s="47" t="s">
        <v>96</v>
      </c>
      <c r="B8" s="149">
        <f>HojaPrimera!$D36</f>
        <v>123150</v>
      </c>
      <c r="C8" s="149">
        <f>HojaPrimera!$D37</f>
        <v>16009.5</v>
      </c>
      <c r="D8" s="149">
        <f>HojaPrimera!$D38</f>
        <v>123250</v>
      </c>
      <c r="E8" s="149"/>
      <c r="F8" s="150">
        <f t="shared" si="0"/>
        <v>-16109.5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62400</v>
      </c>
      <c r="C9" s="149">
        <f>HojaHonduras!$D37</f>
        <v>8112</v>
      </c>
      <c r="D9" s="149">
        <f>HojaHonduras!$D38</f>
        <v>25500</v>
      </c>
      <c r="E9" s="149"/>
      <c r="F9" s="150">
        <f t="shared" si="0"/>
        <v>28788</v>
      </c>
      <c r="H9" s="249">
        <f>+K12-K10-H6</f>
        <v>-195732.5</v>
      </c>
    </row>
    <row r="10" spans="1:15" ht="15" thickBot="1" x14ac:dyDescent="0.4">
      <c r="A10" s="47" t="s">
        <v>20</v>
      </c>
      <c r="B10" s="149">
        <f>HojaDominicana!$D36</f>
        <v>88750</v>
      </c>
      <c r="C10" s="149">
        <f>HojaDominicana!$D37</f>
        <v>11537.5</v>
      </c>
      <c r="D10" s="149">
        <f>HojaDominicana!$D38</f>
        <v>85000</v>
      </c>
      <c r="E10" s="149"/>
      <c r="F10" s="150">
        <f t="shared" si="0"/>
        <v>-7787.5</v>
      </c>
      <c r="H10" s="153"/>
      <c r="J10" t="s">
        <v>148</v>
      </c>
      <c r="K10" s="251">
        <v>2877038.4899999998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2681305.9899999998</v>
      </c>
    </row>
    <row r="12" spans="1:15" ht="16" thickBot="1" x14ac:dyDescent="0.4">
      <c r="A12" s="143" t="s">
        <v>5</v>
      </c>
      <c r="B12" s="151">
        <f>SUM(B5:B11)</f>
        <v>2122600</v>
      </c>
      <c r="C12" s="151">
        <f>SUM(C5:C11)</f>
        <v>274082.5</v>
      </c>
      <c r="D12" s="151">
        <f>SUM(D5:D11)</f>
        <v>2044250</v>
      </c>
      <c r="E12" s="151"/>
      <c r="F12" s="254">
        <f>SUM(F5:F11)</f>
        <v>-195732.5</v>
      </c>
      <c r="H12" s="250">
        <f>K12</f>
        <v>2681305.9899999998</v>
      </c>
      <c r="J12" t="s">
        <v>140</v>
      </c>
      <c r="K12" s="253">
        <f>-1804582.83-830936.16+3259374.5+2057450.48</f>
        <v>2681305.9899999998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216050</v>
      </c>
      <c r="K4" s="230">
        <f t="shared" ref="K4" si="0">D7+D11+D15</f>
        <v>28086.5</v>
      </c>
      <c r="L4" s="219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IF(DigitaNICA!C4&lt;&gt;"",DigitaNICA!C4,"")</f>
        <v>20550</v>
      </c>
      <c r="D5" s="42">
        <f>IF(C5="",0,C5*J$10)</f>
        <v>2671.5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17878.5</v>
      </c>
      <c r="I5" s="240" t="s">
        <v>37</v>
      </c>
      <c r="J5" s="220">
        <f>SUM(IF(C5="",0,C5),IF(C9="",0,C9),IF(C13="",0,C13),IF(C17="",0,C17))</f>
        <v>39900</v>
      </c>
      <c r="K5" s="224">
        <f t="shared" ref="K5" si="2">D5+D9+D13+D17</f>
        <v>5187</v>
      </c>
      <c r="L5" s="221">
        <f>F5+F9+F13+F17</f>
        <v>120000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4600</v>
      </c>
      <c r="K6" s="227">
        <f>D19+D20</f>
        <v>598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IF(DigitaTICA!C4&lt;&gt;"",DigitaTICA!C4,"")</f>
        <v>68250</v>
      </c>
      <c r="D7" s="42">
        <f>IF(C7="",0,C7*J$9)</f>
        <v>8872.5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16877.5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22</v>
      </c>
      <c r="C9" s="29">
        <f>IF(DigitaNICA!E4&lt;&gt;"",DigitaNICA!E4,"")</f>
        <v>12500</v>
      </c>
      <c r="D9" s="42">
        <f>IF(C9="",0,C9*J$10)</f>
        <v>1625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-29125</v>
      </c>
      <c r="I9" s="76" t="s">
        <v>36</v>
      </c>
      <c r="J9" s="77">
        <v>0.13</v>
      </c>
      <c r="K9" s="78">
        <f>MROUND(D7+D11+D15,50)</f>
        <v>28100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IF(DigitaTICA!E4&lt;&gt;"",DigitaTICA!E4,"")</f>
        <v>44000</v>
      </c>
      <c r="D11" s="42">
        <f>IF(C11="",0,C11*J$9)</f>
        <v>5720</v>
      </c>
      <c r="E11" s="29">
        <f>IF(DigitaTICA!F4&lt;&gt;"",DigitaTICA!F4,"")</f>
        <v>550</v>
      </c>
      <c r="F11" s="42">
        <f>IF(E11="",0,E11*PREMIOS!F11)</f>
        <v>46750</v>
      </c>
      <c r="G11" s="30">
        <f t="shared" si="1"/>
        <v>-8470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35</v>
      </c>
      <c r="C13" s="29">
        <f>IF(DigitaNICA!G4&lt;&gt;"",DigitaNICA!G4,"")</f>
        <v>200</v>
      </c>
      <c r="D13" s="42">
        <f>IF(C13="",0,C13*J$10)</f>
        <v>26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IF(DigitaTICA!G4&lt;&gt;"",DigitaTICA!G4,"")</f>
        <v>103800</v>
      </c>
      <c r="D15" s="42">
        <f>IF(C15="",0,C15*J$9)</f>
        <v>13494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35056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IF(DigitaNICA!I4&lt;&gt;"",DigitaNICA!I4,"")</f>
        <v>6650</v>
      </c>
      <c r="D17" s="42">
        <f>IF(C17="",0,C17*J$10)</f>
        <v>864.5</v>
      </c>
      <c r="E17" s="29">
        <f>IF(DigitaNICA!J4&lt;&gt;"",DigitaNICA!J4,"")</f>
        <v>1000</v>
      </c>
      <c r="F17" s="42">
        <f>IF(E17="",0,E17*PREMIOS!E17)</f>
        <v>80000</v>
      </c>
      <c r="G17" s="30">
        <f t="shared" si="3"/>
        <v>-74214.5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IF(DigitaPRIMERA!C4&lt;&gt;"",DigitaPRIMERA!C4,"")</f>
        <v>4600</v>
      </c>
      <c r="D19" s="42">
        <f>IF(C19="",0,C19*J$12)</f>
        <v>598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4002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260550</v>
      </c>
      <c r="D21" s="122">
        <f t="shared" ref="D21:G21" si="6">SUM(D5:D20)</f>
        <v>33871.5</v>
      </c>
      <c r="E21" s="122">
        <f t="shared" si="6"/>
        <v>3200</v>
      </c>
      <c r="F21" s="122">
        <f t="shared" si="6"/>
        <v>264500</v>
      </c>
      <c r="G21" s="123">
        <f t="shared" si="6"/>
        <v>-37821.5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202300</v>
      </c>
      <c r="K4" s="230">
        <f t="shared" ref="K4" si="0">D7+D11+D15</f>
        <v>26299</v>
      </c>
      <c r="L4" s="219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IF(DigitaNICA!C5&lt;&gt;"",DigitaNICA!C5,"")</f>
        <v>13500</v>
      </c>
      <c r="D5" s="42">
        <f>IF(C5="",0,C5*J$10)</f>
        <v>1755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11745</v>
      </c>
      <c r="I5" s="240" t="s">
        <v>37</v>
      </c>
      <c r="J5" s="220">
        <f>SUM(IF(C5="",0,C5),IF(C9="",0,C9),IF(C13="",0,C13),IF(C17="",0,C17))</f>
        <v>19400</v>
      </c>
      <c r="K5" s="224">
        <f t="shared" ref="K5" si="2">D5+D9+D13+D17</f>
        <v>2522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IF(DigitaTICA!C5&lt;&gt;"",DigitaTICA!C5,"")</f>
        <v>75400</v>
      </c>
      <c r="D7" s="42">
        <f>IF(C7="",0,C7*J$9)</f>
        <v>9802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65598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22</v>
      </c>
      <c r="C9" s="29">
        <f>IF(DigitaNICA!E5&lt;&gt;"",DigitaNICA!E5,"")</f>
        <v>5300</v>
      </c>
      <c r="D9" s="42">
        <f>IF(C9="",0,C9*J$10)</f>
        <v>689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-35389</v>
      </c>
      <c r="I9" s="60" t="s">
        <v>36</v>
      </c>
      <c r="J9" s="61">
        <v>0.13</v>
      </c>
      <c r="K9" s="62">
        <f>MROUND(D7+D11+D15,50)</f>
        <v>26300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IF(DigitaTICA!E5&lt;&gt;"",DigitaTICA!E5,"")</f>
        <v>45950</v>
      </c>
      <c r="D11" s="42">
        <f>IF(C11="",0,C11*J$9)</f>
        <v>5973.5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18726.5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IF(DigitaTICA!G5&lt;&gt;"",DigitaTICA!G5,"")</f>
        <v>80950</v>
      </c>
      <c r="D15" s="42">
        <f>IF(C15="",0,C15*J$9)</f>
        <v>10523.5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-14573.5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IF(DigitaNICA!I5&lt;&gt;"",DigitaNICA!I5,"")</f>
        <v>600</v>
      </c>
      <c r="D17" s="42">
        <f>IF(C17="",0,C17*J$10)</f>
        <v>78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522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221700</v>
      </c>
      <c r="D21" s="68">
        <f t="shared" ref="D21:G21" si="4">SUM(D5:D20)</f>
        <v>28821</v>
      </c>
      <c r="E21" s="68">
        <f t="shared" si="4"/>
        <v>1750</v>
      </c>
      <c r="F21" s="68">
        <f t="shared" si="4"/>
        <v>146250</v>
      </c>
      <c r="G21" s="88">
        <f t="shared" si="4"/>
        <v>46629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22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190350</v>
      </c>
      <c r="K4" s="230">
        <f t="shared" ref="K4" si="0">D7+D11+D15</f>
        <v>22842</v>
      </c>
      <c r="L4" s="219">
        <f>F7+F11+F15</f>
        <v>246500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IF(DigitaNICA!C8&lt;&gt;"",DigitaNICA!C8,"")</f>
        <v>56300</v>
      </c>
      <c r="D5" s="42">
        <f>IF(C5="",0,C5*J$12)</f>
        <v>6756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17544</v>
      </c>
      <c r="I5" s="240" t="s">
        <v>37</v>
      </c>
      <c r="J5" s="220">
        <f>SUM(IF(C5="",0,C5),IF(C9="",0,C9),IF(C13="",0,C13),IF(C17="",0,C17))</f>
        <v>138300</v>
      </c>
      <c r="K5" s="224">
        <f t="shared" ref="K5" si="2">D5+D9+D13+D17</f>
        <v>16596</v>
      </c>
      <c r="L5" s="221">
        <f>F5+F9+F13+F17</f>
        <v>76000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IF(DigitaTICA!C8&lt;&gt;"",DigitaTICA!C8,"")</f>
        <v>67250</v>
      </c>
      <c r="D7" s="42">
        <f>IF(C7="",0,C7*J$11)</f>
        <v>8070</v>
      </c>
      <c r="E7" s="29">
        <f>IF(DigitaTICA!D8&lt;&gt;"",DigitaTICA!D8,"")</f>
        <v>700</v>
      </c>
      <c r="F7" s="42">
        <f>IF(E7="",0,E7*PREMIOS!F7)</f>
        <v>59500</v>
      </c>
      <c r="G7" s="30">
        <f t="shared" si="1"/>
        <v>-320</v>
      </c>
      <c r="I7" s="241" t="s">
        <v>96</v>
      </c>
      <c r="J7" s="223">
        <f>SUM(IF(C19="",0,C19),IF(C20="",0,C20))</f>
        <v>55800</v>
      </c>
      <c r="K7" s="227">
        <f>+D19+D20</f>
        <v>6696</v>
      </c>
      <c r="L7" s="228">
        <f>+F19+F20</f>
        <v>116000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22</v>
      </c>
      <c r="C9" s="29">
        <f>IF(DigitaNICA!E8&lt;&gt;"",DigitaNICA!E8,"")</f>
        <v>42000</v>
      </c>
      <c r="D9" s="42">
        <f>IF(C9="",0,C9*J$12)</f>
        <v>5040</v>
      </c>
      <c r="E9" s="29">
        <f>IF(DigitaNICA!F8&lt;&gt;"",DigitaNICA!F8,"")</f>
        <v>550</v>
      </c>
      <c r="F9" s="42">
        <f>IF(E9="",0,E9*PREMIOS!E9)</f>
        <v>44000</v>
      </c>
      <c r="G9" s="30">
        <f t="shared" si="1"/>
        <v>-7040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IF(DigitaTICA!E8&lt;&gt;"",DigitaTICA!E8,"")</f>
        <v>55250</v>
      </c>
      <c r="D11" s="42">
        <f>IF(C11="",0,C11*J$11)</f>
        <v>6630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6120</v>
      </c>
      <c r="I11" s="60" t="s">
        <v>36</v>
      </c>
      <c r="J11" s="61">
        <v>0.12</v>
      </c>
      <c r="K11" s="62">
        <f>MROUND(D7+D11+D15,50)</f>
        <v>22850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16600</v>
      </c>
    </row>
    <row r="13" spans="1:12" x14ac:dyDescent="0.35">
      <c r="A13" s="28" t="s">
        <v>50</v>
      </c>
      <c r="B13" s="132">
        <f>IF(DigitaNICA!G2&lt;&gt;"",DigitaNICA!G2,"")</f>
        <v>35</v>
      </c>
      <c r="C13" s="29">
        <f>IF(DigitaNICA!G8&lt;&gt;"",DigitaNICA!G8,"")</f>
        <v>1500</v>
      </c>
      <c r="D13" s="42">
        <f>IF(C13="",0,C13*J$12)</f>
        <v>180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6700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IF(DigitaTICA!G8&lt;&gt;"",DigitaTICA!G8,"")</f>
        <v>67850</v>
      </c>
      <c r="D15" s="42">
        <f>IF(C15="",0,C15*J$11)</f>
        <v>8142</v>
      </c>
      <c r="E15" s="29">
        <f>IF(DigitaTICA!H8&lt;&gt;"",DigitaTICA!H8,"")</f>
        <v>1700</v>
      </c>
      <c r="F15" s="42">
        <f>IF(E15="",0,E15*PREMIOS!F15)</f>
        <v>144500</v>
      </c>
      <c r="G15" s="30">
        <f t="shared" si="4"/>
        <v>-84792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IF(DigitaNICA!I8&lt;&gt;"",DigitaNICA!I8,"")</f>
        <v>38500</v>
      </c>
      <c r="D17" s="42">
        <f>IF(C17="",0,C17*J$12)</f>
        <v>4620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33880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IF(DigitaPRIMERA!C8&lt;&gt;"",DigitaPRIMERA!C8,"")</f>
        <v>24300</v>
      </c>
      <c r="D19" s="42">
        <f>IF(C19="",0,C19*J$14)</f>
        <v>2916</v>
      </c>
      <c r="E19" s="29">
        <f>IF(DigitaPRIMERA!D8&lt;&gt;"",DigitaPRIMERA!D8,"")</f>
        <v>950</v>
      </c>
      <c r="F19" s="42">
        <f>IF(E19="",0,E19*PREMIOS!E19)</f>
        <v>76000</v>
      </c>
      <c r="G19" s="30">
        <f t="shared" si="4"/>
        <v>-54616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IF(DigitaPRIMERA!E8&lt;&gt;"",DigitaPRIMERA!E8,"")</f>
        <v>31500</v>
      </c>
      <c r="D20" s="42">
        <f>IF(C20="",0,C20*J$14)</f>
        <v>3780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-12280</v>
      </c>
    </row>
    <row r="21" spans="1:7" ht="15" thickBot="1" x14ac:dyDescent="0.4">
      <c r="A21" s="121" t="s">
        <v>5</v>
      </c>
      <c r="B21" s="128"/>
      <c r="C21" s="122">
        <f>SUM(C5:C20)</f>
        <v>384450</v>
      </c>
      <c r="D21" s="122">
        <f t="shared" ref="D21:G21" si="5">SUM(D5:D20)</f>
        <v>46134</v>
      </c>
      <c r="E21" s="122">
        <f t="shared" si="5"/>
        <v>5300</v>
      </c>
      <c r="F21" s="122">
        <f t="shared" si="5"/>
        <v>438500</v>
      </c>
      <c r="G21" s="123">
        <f t="shared" si="5"/>
        <v>-100184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340250</v>
      </c>
      <c r="K4" s="230">
        <f t="shared" ref="K4" si="0">D7+D11+D15</f>
        <v>40830</v>
      </c>
      <c r="L4" s="219">
        <f>F7+F11+F15</f>
        <v>263500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IF(DigitaNICA!C10&lt;&gt;"",DigitaNICA!C10,"")</f>
        <v>72200</v>
      </c>
      <c r="D5" s="42">
        <f>IF(C5="",0,C5*J$15)</f>
        <v>8664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38036</v>
      </c>
      <c r="I5" s="216" t="s">
        <v>37</v>
      </c>
      <c r="J5" s="220">
        <f>SUM(IF(C5="",0,C5),IF(C9="",0,C9),IF(C13="",0,C13),IF(C17="",0,C17))</f>
        <v>250900</v>
      </c>
      <c r="K5" s="224">
        <f t="shared" ref="K5" si="2">D5+D9+D13+D17</f>
        <v>30108</v>
      </c>
      <c r="L5" s="221">
        <f>F5+F9+F13+F17</f>
        <v>280500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57700</v>
      </c>
      <c r="K6" s="225">
        <f t="shared" ref="K6" si="3">+D8+D12+D16</f>
        <v>5770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IF(DigitaTICA!C10&lt;&gt;"",DigitaTICA!C10,"")</f>
        <v>115400</v>
      </c>
      <c r="D7" s="42">
        <f>IF(C7="",0,C7*J$14)</f>
        <v>13848</v>
      </c>
      <c r="E7" s="29">
        <f>IF(DigitaTICA!D10&lt;&gt;"",DigitaTICA!D10,"")</f>
        <v>2000</v>
      </c>
      <c r="F7" s="42">
        <f>IF(E7="",0,E7*PREMIOS!F7)</f>
        <v>170000</v>
      </c>
      <c r="G7" s="30">
        <f t="shared" si="1"/>
        <v>-68448</v>
      </c>
      <c r="I7" s="216" t="s">
        <v>96</v>
      </c>
      <c r="J7" s="222">
        <f>SUM(IF(C19="",0,C19),IF(C20="",0,C20))</f>
        <v>29100</v>
      </c>
      <c r="K7" s="225">
        <f>+D19+D20</f>
        <v>3492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18250</v>
      </c>
      <c r="D8" s="42">
        <f>IF(C8="",0,C8*J$16)</f>
        <v>1825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16425</v>
      </c>
      <c r="I8" s="216" t="s">
        <v>104</v>
      </c>
      <c r="J8" s="222">
        <f>SUM(IF(C21="",0,C21),IF(C22="",0,C22),IF(C23="",0,C23))</f>
        <v>53150</v>
      </c>
      <c r="K8" s="225">
        <f t="shared" ref="K8" si="4">D21+D22+D23</f>
        <v>6378</v>
      </c>
      <c r="L8" s="226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22</v>
      </c>
      <c r="C9" s="29">
        <f>IF(DigitaNICA!E10&lt;&gt;"",DigitaNICA!E10,"")</f>
        <v>54150</v>
      </c>
      <c r="D9" s="42">
        <f>IF(C9="",0,C9*J$15)</f>
        <v>6498</v>
      </c>
      <c r="E9" s="29">
        <f>IF(DigitaNICA!F10&lt;&gt;"",DigitaNICA!F10,"")</f>
        <v>2250</v>
      </c>
      <c r="F9" s="42">
        <f>IF(E9="",0,E9*PREMIOS!F9)</f>
        <v>191250</v>
      </c>
      <c r="G9" s="30">
        <f t="shared" si="1"/>
        <v>-143598</v>
      </c>
      <c r="I9" s="216" t="s">
        <v>20</v>
      </c>
      <c r="J9" s="222">
        <f>SUM(IF(C24="",0,C24),IF(C25="",0,C25))</f>
        <v>88750</v>
      </c>
      <c r="K9" s="225">
        <f t="shared" ref="K9" si="5">+D24+D25</f>
        <v>10650</v>
      </c>
      <c r="L9" s="226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IF(DigitaTICA!E10&lt;&gt;"",DigitaTICA!E10,"")</f>
        <v>109100</v>
      </c>
      <c r="D11" s="42">
        <f>IF(C11="",0,C11*J$14)</f>
        <v>13092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53508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20150</v>
      </c>
      <c r="D12" s="42">
        <f>IF(C12="",0,C12*J$16)</f>
        <v>2015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18135</v>
      </c>
    </row>
    <row r="13" spans="1:12" ht="15" thickBot="1" x14ac:dyDescent="0.4">
      <c r="A13" s="28" t="s">
        <v>50</v>
      </c>
      <c r="B13" s="132">
        <f>IF(DigitaNICA!G2&lt;&gt;"",DigitaNICA!G2,"")</f>
        <v>35</v>
      </c>
      <c r="C13" s="29">
        <f>IF(DigitaNICA!G10&lt;&gt;"",DigitaNICA!G10,"")</f>
        <v>23900</v>
      </c>
      <c r="D13" s="42">
        <f>IF(C13="",0,C13*J$15)</f>
        <v>2868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-4468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40850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IF(DigitaTICA!G10&lt;&gt;"",DigitaTICA!G10,"")</f>
        <v>115750</v>
      </c>
      <c r="D15" s="42">
        <f>IF(C15="",0,C15*J$14)</f>
        <v>13890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50860</v>
      </c>
      <c r="I15" s="63" t="s">
        <v>37</v>
      </c>
      <c r="J15" s="64">
        <v>0.12</v>
      </c>
      <c r="K15" s="30">
        <f>MROUND(D5+D9+D13+D17,50)</f>
        <v>30100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19300</v>
      </c>
      <c r="D16" s="42">
        <f>IF(C16="",0,C16*J$16)</f>
        <v>1930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17370</v>
      </c>
      <c r="I16" s="63" t="s">
        <v>38</v>
      </c>
      <c r="J16" s="64">
        <v>0.1</v>
      </c>
      <c r="K16" s="30">
        <f>MROUND(D6+D8+D10+D12+D14+D16+D18,50)</f>
        <v>5750</v>
      </c>
    </row>
    <row r="17" spans="1:11" x14ac:dyDescent="0.35">
      <c r="A17" s="28" t="s">
        <v>52</v>
      </c>
      <c r="B17" s="132">
        <f>IF(DigitaNICA!I2&lt;&gt;"",DigitaNICA!I2,"")</f>
        <v>39</v>
      </c>
      <c r="C17" s="29">
        <f>IF(DigitaNICA!I10&lt;&gt;"",DigitaNICA!I10,"")</f>
        <v>100650</v>
      </c>
      <c r="D17" s="42">
        <f>IF(C17="",0,C17*J$15)</f>
        <v>12078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50322</v>
      </c>
      <c r="I17" s="63" t="s">
        <v>96</v>
      </c>
      <c r="J17" s="64">
        <v>0.12</v>
      </c>
      <c r="K17" s="30">
        <f>MROUND(D19+D20,50)</f>
        <v>3500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6400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>
        <f>IF(DigitaPRIMERA!$C$10&lt;&gt;"",DigitaPRIMERA!$C$10,"")</f>
        <v>9350</v>
      </c>
      <c r="D19" s="42">
        <f>IF(C19="",0,C19*J$17)</f>
        <v>1122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8228</v>
      </c>
      <c r="I19" s="63" t="s">
        <v>20</v>
      </c>
      <c r="J19" s="64">
        <v>0.12</v>
      </c>
      <c r="K19" s="30">
        <f>MROUND(D24+D25,50)</f>
        <v>10650</v>
      </c>
    </row>
    <row r="20" spans="1:11" ht="15" thickBot="1" x14ac:dyDescent="0.4">
      <c r="A20" s="28" t="s">
        <v>98</v>
      </c>
      <c r="B20" s="132">
        <f>IF(DigitaPRIMERA!E2&lt;&gt;"",DigitaPRIMERA!E2,"")</f>
        <v>38</v>
      </c>
      <c r="C20" s="29">
        <f>IF(DigitaPRIMERA!$E$10&lt;&gt;"",DigitaPRIMERA!$E$10,"")</f>
        <v>19750</v>
      </c>
      <c r="D20" s="42">
        <f>IF(C20="",0,C20*J$17)</f>
        <v>2370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17380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85</v>
      </c>
      <c r="C21" s="29">
        <f>IF(DigitaHONDURAS!$C$10&lt;&gt;"",DigitaHONDURAS!$C$10,"")</f>
        <v>25000</v>
      </c>
      <c r="D21" s="42">
        <f>IF(C21="",0,C21*J$18)</f>
        <v>3000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22000</v>
      </c>
    </row>
    <row r="22" spans="1:11" x14ac:dyDescent="0.35">
      <c r="A22" s="28" t="s">
        <v>100</v>
      </c>
      <c r="B22" s="132">
        <f>IF(DigitaHONDURAS!E2&lt;&gt;"",DigitaHONDURAS!E2,"")</f>
        <v>71</v>
      </c>
      <c r="C22" s="29">
        <f>IF(DigitaHONDURAS!$E$10&lt;&gt;"",DigitaHONDURAS!$E$10,"")</f>
        <v>11750</v>
      </c>
      <c r="D22" s="42">
        <f>IF(C22="",0,C22*J$18)</f>
        <v>1410</v>
      </c>
      <c r="E22" s="29">
        <f>IF(DigitaHONDURAS!$F$10&lt;&gt;"",DigitaHONDURAS!$F$10,"")</f>
        <v>300</v>
      </c>
      <c r="F22" s="42">
        <f>IF(E22="",0,E22*PREMIOS!F20)</f>
        <v>25500</v>
      </c>
      <c r="G22" s="30">
        <f t="shared" si="7"/>
        <v>-15160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>
        <f>IF(DigitaHONDURAS!$G$10&lt;&gt;"",DigitaHONDURAS!$G$10,"")</f>
        <v>16400</v>
      </c>
      <c r="D23" s="42">
        <f>IF(C23="",0,C23*J$18)</f>
        <v>1968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14432</v>
      </c>
    </row>
    <row r="24" spans="1:11" x14ac:dyDescent="0.35">
      <c r="A24" s="28" t="s">
        <v>107</v>
      </c>
      <c r="B24" s="132" t="str">
        <f>IF(DigitaDOMINICANA!C2&lt;&gt;"",DigitaDOMINICANA!C2,"")</f>
        <v>07</v>
      </c>
      <c r="C24" s="29">
        <f>IF(DigitaDOMINICANA!$C$10&lt;&gt;"",DigitaDOMINICANA!$C$10,"")</f>
        <v>41500</v>
      </c>
      <c r="D24" s="42">
        <f>IF(C24="",0,C24*J$19)</f>
        <v>4980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36520</v>
      </c>
    </row>
    <row r="25" spans="1:11" x14ac:dyDescent="0.35">
      <c r="A25" s="28" t="s">
        <v>108</v>
      </c>
      <c r="B25" s="132">
        <f>IF(DigitaDOMINICANA!E2&lt;&gt;"",DigitaDOMINICANA!E2,"")</f>
        <v>35</v>
      </c>
      <c r="C25" s="29">
        <f>IF(DigitaDOMINICANA!$E$10&lt;&gt;"",DigitaDOMINICANA!$E$10,"")</f>
        <v>47250</v>
      </c>
      <c r="D25" s="42">
        <f>IF(C25="",0,C25*J$19)</f>
        <v>5670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-43420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819850</v>
      </c>
      <c r="D27" s="68">
        <f t="shared" ref="D27:F27" si="9">SUM(D5:D26)</f>
        <v>97228</v>
      </c>
      <c r="E27" s="68">
        <f t="shared" si="9"/>
        <v>7700</v>
      </c>
      <c r="F27" s="68">
        <f t="shared" si="9"/>
        <v>654500</v>
      </c>
      <c r="G27" s="88">
        <f>SUM(G5:G26)</f>
        <v>68122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16000</v>
      </c>
      <c r="K4" s="230">
        <f t="shared" ref="K4" si="0">D7+D11+D15</f>
        <v>1920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IF(DigitaTICA!G11&lt;&gt;"",DigitaTICA!G11,"")</f>
        <v>14000</v>
      </c>
      <c r="D15" s="42">
        <f>IF(C15="",0,C15*J$11)</f>
        <v>1680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12320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16000</v>
      </c>
      <c r="D21" s="122">
        <f t="shared" ref="D21:G21" si="5">SUM(D5:D20)</f>
        <v>1920</v>
      </c>
      <c r="E21" s="122">
        <f t="shared" si="5"/>
        <v>0</v>
      </c>
      <c r="F21" s="122">
        <f t="shared" si="5"/>
        <v>0</v>
      </c>
      <c r="G21" s="123">
        <f t="shared" si="5"/>
        <v>14080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79400</v>
      </c>
      <c r="K4" s="230">
        <f>D7+D11+D15</f>
        <v>9528</v>
      </c>
      <c r="L4" s="219">
        <f>F7+F11+F15</f>
        <v>51000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IF(DigitaNICA!C12&lt;&gt;"",DigitaNICA!C12,"")</f>
        <v>23400</v>
      </c>
      <c r="D5" s="42">
        <f>IF(C5="",0,C5*J$12)</f>
        <v>2808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-658</v>
      </c>
      <c r="I5" s="216" t="s">
        <v>37</v>
      </c>
      <c r="J5" s="220">
        <f>SUM(IF(C5="",0,C5),IF(C9="",0,C9),IF(C13="",0,C13),IF(C17="",0,C17))</f>
        <v>36100</v>
      </c>
      <c r="K5" s="224">
        <f t="shared" ref="K5" si="1">D5+D9+D13+D17</f>
        <v>4332</v>
      </c>
      <c r="L5" s="221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3150</v>
      </c>
      <c r="K6" s="225">
        <f t="shared" ref="K6" si="2">+D8+D12+D16</f>
        <v>315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IF(DigitaTICA!C12&lt;&gt;"",DigitaTICA!C12,"")</f>
        <v>31200</v>
      </c>
      <c r="D7" s="42">
        <f>IF(C7="",0,C7*J$11)</f>
        <v>3744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27456</v>
      </c>
      <c r="I7" s="216" t="s">
        <v>96</v>
      </c>
      <c r="J7" s="222">
        <f>SUM(IF(C19="",0,C19),IF(C20="",0,C20))</f>
        <v>33650</v>
      </c>
      <c r="K7" s="225">
        <f>+D19+D20</f>
        <v>4038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1650</v>
      </c>
      <c r="D8" s="42">
        <f>IF(C8="",0,C8*J$13)</f>
        <v>165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1485</v>
      </c>
      <c r="I8" s="217" t="s">
        <v>104</v>
      </c>
      <c r="J8" s="223">
        <f>SUM(IF(C21="",0,C21),IF(C22="",0,C22),IF(C23="",0,C23))</f>
        <v>9250</v>
      </c>
      <c r="K8" s="227">
        <f>+D21+D22+D23</f>
        <v>1110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22</v>
      </c>
      <c r="C9" s="29">
        <f>IF(DigitaNICA!E12&lt;&gt;"",DigitaNICA!E12,"")</f>
        <v>12700</v>
      </c>
      <c r="D9" s="42">
        <f>IF(C9="",0,C9*J$12)</f>
        <v>1524</v>
      </c>
      <c r="E9" s="29">
        <f>IF(DigitaNICA!F12&lt;&gt;"",DigitaNICA!F12,"")</f>
        <v>1000</v>
      </c>
      <c r="F9" s="42">
        <f>IF(E9="",0,E9*PREMIOS!F9)</f>
        <v>85000</v>
      </c>
      <c r="G9" s="30">
        <f t="shared" si="0"/>
        <v>-73824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IF(DigitaTICA!E12&lt;&gt;"",DigitaTICA!E12,"")</f>
        <v>19800</v>
      </c>
      <c r="D11" s="42">
        <f>IF(C11="",0,C11*J$11)</f>
        <v>2376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-8076</v>
      </c>
      <c r="I11" s="60" t="s">
        <v>36</v>
      </c>
      <c r="J11" s="61">
        <v>0.12</v>
      </c>
      <c r="K11" s="62">
        <f>MROUND(D7+D11+D15,50)</f>
        <v>9550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4350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4050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IF(DigitaTICA!G12&lt;&gt;"",DigitaTICA!G12,"")</f>
        <v>28400</v>
      </c>
      <c r="D15" s="42">
        <f>IF(C15="",0,C15*J$11)</f>
        <v>3408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-508</v>
      </c>
      <c r="I15" s="65" t="s">
        <v>104</v>
      </c>
      <c r="J15" s="66">
        <v>0.12</v>
      </c>
      <c r="K15" s="50">
        <f>MROUND(D21+D22+D23,50)</f>
        <v>1100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IF(DigitaPRIMERA!$C$12&lt;&gt;"",DigitaPRIMERA!$C$12,"")</f>
        <v>33650</v>
      </c>
      <c r="D19" s="42">
        <f>IF(C19="",0,C19*J$14)</f>
        <v>4038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29612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85</v>
      </c>
      <c r="C21" s="29">
        <f>IF(DigitaHONDURAS!$C$12&lt;&gt;"",DigitaHONDURAS!$C$12,"")</f>
        <v>9250</v>
      </c>
      <c r="D21" s="42">
        <f>IF(C21="",0,C21*J$15)</f>
        <v>1110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8140</v>
      </c>
    </row>
    <row r="22" spans="1:7" x14ac:dyDescent="0.35">
      <c r="A22" s="28" t="s">
        <v>100</v>
      </c>
      <c r="B22" s="132">
        <f>IF(DigitaHONDURAS!E2&lt;&gt;"",DigitaHONDURAS!E2,"")</f>
        <v>71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161550</v>
      </c>
      <c r="D24" s="68">
        <f t="shared" ref="D24:G24" si="4">SUM(D5:D23)</f>
        <v>19323</v>
      </c>
      <c r="E24" s="68">
        <f t="shared" si="4"/>
        <v>1850</v>
      </c>
      <c r="F24" s="68">
        <f t="shared" si="4"/>
        <v>157250</v>
      </c>
      <c r="G24" s="88">
        <f t="shared" si="4"/>
        <v>-15023</v>
      </c>
    </row>
    <row r="27" spans="1:7" x14ac:dyDescent="0.35">
      <c r="G27" s="21">
        <v>180976</v>
      </c>
    </row>
    <row r="28" spans="1:7" x14ac:dyDescent="0.35">
      <c r="G28" s="140">
        <f>+G24+G27</f>
        <v>165953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80300</v>
      </c>
      <c r="K4" s="230">
        <f t="shared" ref="K4" si="0">D7+D11+D15</f>
        <v>9636</v>
      </c>
      <c r="L4" s="219">
        <f>F7+F11+F15</f>
        <v>127500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>
        <f>IF(DigitaNICA!C13&lt;&gt;"",DigitaNICA!C13,"")</f>
        <v>10950</v>
      </c>
      <c r="D5" s="42">
        <f>IF(C5="",0,C5*J$10)</f>
        <v>1314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9636</v>
      </c>
      <c r="I5" s="217" t="s">
        <v>37</v>
      </c>
      <c r="J5" s="231">
        <f>SUM(IF(C5="",0,C5),IF(C9="",0,C9),IF(C13="",0,C13),IF(C17="",0,C17))</f>
        <v>35800</v>
      </c>
      <c r="K5" s="232">
        <f t="shared" ref="K5" si="2">D5+D9+D13+D17</f>
        <v>4296</v>
      </c>
      <c r="L5" s="233">
        <f>F5+F9+F13+F17</f>
        <v>88000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IF(DigitaTICA!C13&lt;&gt;"",DigitaTICA!C13,"")</f>
        <v>25750</v>
      </c>
      <c r="D7" s="42">
        <f>IF(C7="",0,C7*J$9)</f>
        <v>3090</v>
      </c>
      <c r="E7" s="29">
        <f>IF(DigitaTICA!D13&lt;&gt;"",DigitaTICA!D13,"")</f>
        <v>400</v>
      </c>
      <c r="F7" s="133">
        <f>IF(E7="",0,E7*PREMIOS!F7)</f>
        <v>34000</v>
      </c>
      <c r="G7" s="30">
        <f t="shared" si="1"/>
        <v>-11340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22</v>
      </c>
      <c r="C9" s="29">
        <f>IF(DigitaNICA!E13&lt;&gt;"",DigitaNICA!E13,"")</f>
        <v>17350</v>
      </c>
      <c r="D9" s="42">
        <f>IF(C9="",0,C9*J$10)</f>
        <v>2082</v>
      </c>
      <c r="E9" s="29">
        <f>IF(DigitaNICA!F13&lt;&gt;"",DigitaNICA!F13,"")</f>
        <v>1100</v>
      </c>
      <c r="F9" s="133">
        <f>IF(E9="",0,E9*PREMIOS!E9)</f>
        <v>88000</v>
      </c>
      <c r="G9" s="30">
        <f t="shared" si="1"/>
        <v>-72732</v>
      </c>
      <c r="I9" s="60" t="s">
        <v>36</v>
      </c>
      <c r="J9" s="61">
        <v>0.12</v>
      </c>
      <c r="K9" s="62">
        <f>MROUND(D7+D11+D15,50)</f>
        <v>9650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4300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>
        <f>IF(DigitaTICA!E13&lt;&gt;"",DigitaTICA!E13,"")</f>
        <v>15900</v>
      </c>
      <c r="D11" s="42">
        <f>IF(C11="",0,C11*J$9)</f>
        <v>1908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5492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IF(DigitaTICA!G13&lt;&gt;"",DigitaTICA!G13,"")</f>
        <v>38650</v>
      </c>
      <c r="D15" s="42">
        <f>IF(C15="",0,C15*J$9)</f>
        <v>4638</v>
      </c>
      <c r="E15" s="29">
        <f>IF(DigitaTICA!H13&lt;&gt;"",DigitaTICA!H13,"")</f>
        <v>1000</v>
      </c>
      <c r="F15" s="133">
        <f>IF(E15="",0,E15*PREMIOS!F15)</f>
        <v>85000</v>
      </c>
      <c r="G15" s="30">
        <f t="shared" si="3"/>
        <v>-50988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IF(DigitaNICA!I13&lt;&gt;"",DigitaNICA!I13,"")</f>
        <v>7500</v>
      </c>
      <c r="D17" s="42">
        <f>IF(C17="",0,C17*J$10)</f>
        <v>900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6600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116100</v>
      </c>
      <c r="D19" s="68">
        <f>MROUND(SUM(D5:D18),50)</f>
        <v>13950</v>
      </c>
      <c r="E19" s="68">
        <f>SUM(E5:E18)</f>
        <v>2600</v>
      </c>
      <c r="F19" s="68">
        <f>SUM(F5:F18)</f>
        <v>215500</v>
      </c>
      <c r="G19" s="88">
        <f>SUM(G5:G18)</f>
        <v>-113332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54650</v>
      </c>
      <c r="K4" s="235">
        <f t="shared" ref="K4" si="0">D7+D11+D15</f>
        <v>8197.5</v>
      </c>
      <c r="L4" s="236">
        <f>F7+F11+F15</f>
        <v>32000</v>
      </c>
    </row>
    <row r="5" spans="1:12" x14ac:dyDescent="0.35">
      <c r="A5" s="28" t="s">
        <v>43</v>
      </c>
      <c r="B5" s="132">
        <f>IF(DigitaNICA!C2&lt;&gt;"",DigitaNICA!C2,"")</f>
        <v>89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>
        <f>IF(DigitaTICA!C14&lt;&gt;"",DigitaTICA!C14,"")</f>
        <v>27200</v>
      </c>
      <c r="D7" s="42">
        <f>IF(C7="",0,C7*J$9)</f>
        <v>4080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23120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>
        <f>IF(DigitaTICA!E14&lt;&gt;"",DigitaTICA!E14,"")</f>
        <v>9300</v>
      </c>
      <c r="D11" s="42">
        <f>IF(C11="",0,C11*J$9)</f>
        <v>1395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7905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IF(DigitaTICA!G14&lt;&gt;"",DigitaTICA!G14,"")</f>
        <v>18150</v>
      </c>
      <c r="D15" s="42">
        <f>IF(C15="",0,C15*J$9)</f>
        <v>2722.5</v>
      </c>
      <c r="E15" s="29">
        <f>IF(DigitaTICA!H14&lt;&gt;"",DigitaTICA!H14,"")</f>
        <v>400</v>
      </c>
      <c r="F15" s="42">
        <f>IF(E15="",0,E15*PREMIOS!E15)</f>
        <v>32000</v>
      </c>
      <c r="G15" s="30">
        <f t="shared" si="2"/>
        <v>-16572.5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54650</v>
      </c>
      <c r="D19" s="68">
        <f>MROUND(SUM(D5:D18),50)</f>
        <v>8200</v>
      </c>
      <c r="E19" s="68">
        <f>SUM(E5:E18)</f>
        <v>400</v>
      </c>
      <c r="F19" s="68">
        <f>SUM(F5:F18)</f>
        <v>32000</v>
      </c>
      <c r="G19" s="88">
        <f>SUM(G5:G18)</f>
        <v>14452.5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63300</v>
      </c>
      <c r="K4" s="230">
        <f>D7+D11+D15</f>
        <v>7596</v>
      </c>
      <c r="L4" s="219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IF(DigitaNICA!C16&lt;&gt;"",DigitaNICA!C16,"")</f>
        <v>6250</v>
      </c>
      <c r="D5" s="42">
        <f>IF(C5="",0,C5*J$12)</f>
        <v>750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5500</v>
      </c>
      <c r="I5" s="63" t="s">
        <v>37</v>
      </c>
      <c r="J5" s="224">
        <f>SUM(IF(C5="",0,C5),IF(C9="",0,C9),IF(C13="",0,C13),IF(C17="",0,C17))</f>
        <v>23450</v>
      </c>
      <c r="K5" s="224">
        <f t="shared" ref="K5" si="1">D5+D9+D13+D17</f>
        <v>2814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1000</v>
      </c>
      <c r="K6" s="225">
        <f t="shared" ref="K6" si="2">+D8+D12+D16</f>
        <v>100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29">
        <f>IF(DigitaTICA!C16&lt;&gt;"",DigitaTICA!C16,"")</f>
        <v>18050</v>
      </c>
      <c r="D7" s="42">
        <f>IF(C7="",0,C7*J$11)</f>
        <v>2166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15884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22</v>
      </c>
      <c r="C9" s="29">
        <f>IF(DigitaNICA!E16&lt;&gt;"",DigitaNICA!E16,"")</f>
        <v>3000</v>
      </c>
      <c r="D9" s="42">
        <f>IF(C9="",0,C9*J$12)</f>
        <v>360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2640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IF(DigitaTICA!E16&lt;&gt;"",DigitaTICA!E16,"")</f>
        <v>11650</v>
      </c>
      <c r="D11" s="42">
        <f>IF(C11="",0,C11*J$11)</f>
        <v>1398</v>
      </c>
      <c r="E11" s="29">
        <f>IF(DigitaTICA!F16&lt;&gt;"",DigitaTICA!F16,"")</f>
        <v>1000</v>
      </c>
      <c r="F11" s="133">
        <f>IF(E11="",0,E11*PREMIOS!F11)</f>
        <v>85000</v>
      </c>
      <c r="G11" s="30">
        <f t="shared" si="0"/>
        <v>-74748</v>
      </c>
      <c r="I11" s="76" t="s">
        <v>36</v>
      </c>
      <c r="J11" s="77">
        <v>0.12</v>
      </c>
      <c r="K11" s="78">
        <f>MROUND(D7+D11+D15,50)</f>
        <v>7600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2">
        <f>IF(DigitaNICA!G2&lt;&gt;"",DigitaNICA!G2,"")</f>
        <v>35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IF(DigitaTICA!G16&lt;&gt;"",DigitaTICA!G16,"")</f>
        <v>33600</v>
      </c>
      <c r="D15" s="42">
        <f>IF(C15="",0,C15*J$11)</f>
        <v>4032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8318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IF(DigitaNICA!I16&lt;&gt;"",DigitaNICA!I16,"")</f>
        <v>14200</v>
      </c>
      <c r="D17" s="42">
        <f>IF(C17="",0,C17*J$12)</f>
        <v>1704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12496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87750</v>
      </c>
      <c r="D24" s="122">
        <f t="shared" ref="D24:G24" si="5">SUM(D5:D23)</f>
        <v>10510</v>
      </c>
      <c r="E24" s="122">
        <f t="shared" si="5"/>
        <v>1250</v>
      </c>
      <c r="F24" s="122">
        <f t="shared" si="5"/>
        <v>106250</v>
      </c>
      <c r="G24" s="123">
        <f t="shared" si="5"/>
        <v>-29010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22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35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30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89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35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30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22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84</v>
      </c>
      <c r="D2" s="267"/>
      <c r="E2" s="266">
        <f>IF(PREMIOS!$B11="","",PREMIOS!$B11)</f>
        <v>12</v>
      </c>
      <c r="F2" s="267"/>
      <c r="G2" s="266">
        <f>IF(PREMIOS!$B15="","",PREMIOS!$B15)</f>
        <v>30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68250</v>
      </c>
      <c r="D4" s="78">
        <v>500</v>
      </c>
      <c r="E4" s="188">
        <v>44000</v>
      </c>
      <c r="F4" s="78">
        <v>550</v>
      </c>
      <c r="G4" s="188">
        <v>103800</v>
      </c>
      <c r="H4" s="78">
        <v>650</v>
      </c>
      <c r="J4" s="42">
        <f t="shared" ref="J4:J8" si="0">+C4+E4+G4</f>
        <v>216050</v>
      </c>
      <c r="K4" s="42">
        <f>IF(D4="",0,IF(F4="",D4,IF(H4="",D4+F4,D4+F4+H4)))</f>
        <v>1700</v>
      </c>
    </row>
    <row r="5" spans="1:11" x14ac:dyDescent="0.35">
      <c r="A5" s="47">
        <v>2</v>
      </c>
      <c r="B5" s="177" t="str">
        <f>Vendedor2!$B$2</f>
        <v>PUESTO 2</v>
      </c>
      <c r="C5" s="179">
        <v>75400</v>
      </c>
      <c r="D5" s="30">
        <f t="shared" ref="D5:H27" si="1">IF(C5="","",0)</f>
        <v>0</v>
      </c>
      <c r="E5" s="179">
        <v>45950</v>
      </c>
      <c r="F5" s="30">
        <v>250</v>
      </c>
      <c r="G5" s="179">
        <v>80950</v>
      </c>
      <c r="H5" s="30">
        <v>1000</v>
      </c>
      <c r="J5" s="42">
        <f t="shared" si="0"/>
        <v>202300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67250</v>
      </c>
      <c r="D8" s="30">
        <v>700</v>
      </c>
      <c r="E8" s="179">
        <v>55250</v>
      </c>
      <c r="F8" s="30">
        <v>500</v>
      </c>
      <c r="G8" s="179">
        <v>67850</v>
      </c>
      <c r="H8" s="30">
        <v>1700</v>
      </c>
      <c r="J8" s="42">
        <f t="shared" si="0"/>
        <v>190350</v>
      </c>
      <c r="K8" s="42">
        <f t="shared" si="2"/>
        <v>2900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27800+87600</f>
        <v>115400</v>
      </c>
      <c r="D10" s="30">
        <f>100+1900</f>
        <v>2000</v>
      </c>
      <c r="E10" s="179">
        <f>19450+89650</f>
        <v>109100</v>
      </c>
      <c r="F10" s="30">
        <v>500</v>
      </c>
      <c r="G10" s="179">
        <f>26250+89500</f>
        <v>115750</v>
      </c>
      <c r="H10" s="30">
        <f>300+300</f>
        <v>600</v>
      </c>
      <c r="J10" s="42">
        <f t="shared" si="3"/>
        <v>340250</v>
      </c>
      <c r="K10" s="42">
        <f t="shared" si="2"/>
        <v>3100</v>
      </c>
    </row>
    <row r="11" spans="1:11" x14ac:dyDescent="0.35">
      <c r="A11" s="47">
        <v>8</v>
      </c>
      <c r="B11" s="177" t="str">
        <f>Vendedor8!$B$2</f>
        <v>ISA</v>
      </c>
      <c r="C11" s="179">
        <v>2000</v>
      </c>
      <c r="D11" s="30">
        <f t="shared" si="1"/>
        <v>0</v>
      </c>
      <c r="E11" s="179"/>
      <c r="F11" s="30" t="str">
        <f t="shared" si="1"/>
        <v/>
      </c>
      <c r="G11" s="179">
        <v>14000</v>
      </c>
      <c r="H11" s="30">
        <f t="shared" si="1"/>
        <v>0</v>
      </c>
      <c r="J11" s="42">
        <f t="shared" si="3"/>
        <v>16000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31200</v>
      </c>
      <c r="D12" s="30">
        <f t="shared" si="1"/>
        <v>0</v>
      </c>
      <c r="E12" s="179">
        <v>19800</v>
      </c>
      <c r="F12" s="30">
        <v>300</v>
      </c>
      <c r="G12" s="179">
        <v>28400</v>
      </c>
      <c r="H12" s="30">
        <v>300</v>
      </c>
      <c r="J12" s="42">
        <f t="shared" si="3"/>
        <v>79400</v>
      </c>
      <c r="K12" s="42">
        <f t="shared" si="2"/>
        <v>600</v>
      </c>
    </row>
    <row r="13" spans="1:11" x14ac:dyDescent="0.35">
      <c r="A13" s="47">
        <v>10</v>
      </c>
      <c r="B13" s="177" t="str">
        <f>Vendedor10!$B$2</f>
        <v>MARIALIZ</v>
      </c>
      <c r="C13" s="179">
        <v>25750</v>
      </c>
      <c r="D13" s="30">
        <v>400</v>
      </c>
      <c r="E13" s="179">
        <v>15900</v>
      </c>
      <c r="F13" s="30">
        <v>100</v>
      </c>
      <c r="G13" s="179">
        <v>38650</v>
      </c>
      <c r="H13" s="30">
        <v>1000</v>
      </c>
      <c r="J13" s="42">
        <f t="shared" si="3"/>
        <v>80300</v>
      </c>
      <c r="K13" s="42">
        <f t="shared" si="2"/>
        <v>1500</v>
      </c>
    </row>
    <row r="14" spans="1:11" x14ac:dyDescent="0.35">
      <c r="A14" s="47">
        <v>11</v>
      </c>
      <c r="B14" s="177" t="str">
        <f>Vendedor11!$B$2</f>
        <v>CHARLY</v>
      </c>
      <c r="C14" s="179">
        <v>27200</v>
      </c>
      <c r="D14" s="30">
        <f t="shared" si="1"/>
        <v>0</v>
      </c>
      <c r="E14" s="179">
        <v>9300</v>
      </c>
      <c r="F14" s="30">
        <f t="shared" si="1"/>
        <v>0</v>
      </c>
      <c r="G14" s="179">
        <v>18150</v>
      </c>
      <c r="H14" s="30">
        <v>400</v>
      </c>
      <c r="J14" s="42">
        <f t="shared" si="3"/>
        <v>54650</v>
      </c>
      <c r="K14" s="42">
        <f t="shared" si="2"/>
        <v>400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18050</v>
      </c>
      <c r="D16" s="30">
        <f t="shared" si="1"/>
        <v>0</v>
      </c>
      <c r="E16" s="179">
        <v>11650</v>
      </c>
      <c r="F16" s="30">
        <v>1000</v>
      </c>
      <c r="G16" s="179">
        <v>33600</v>
      </c>
      <c r="H16" s="30">
        <v>250</v>
      </c>
      <c r="J16" s="42">
        <f t="shared" si="3"/>
        <v>63300</v>
      </c>
      <c r="K16" s="42">
        <f t="shared" si="2"/>
        <v>1250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179"/>
      <c r="F17" s="30" t="str">
        <f t="shared" si="1"/>
        <v/>
      </c>
      <c r="G17" s="179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179"/>
      <c r="F18" s="30" t="str">
        <f t="shared" si="1"/>
        <v/>
      </c>
      <c r="G18" s="179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430500</v>
      </c>
      <c r="D32" s="44">
        <f t="shared" si="6"/>
        <v>3600</v>
      </c>
      <c r="E32" s="43">
        <f t="shared" si="6"/>
        <v>310950</v>
      </c>
      <c r="F32" s="44">
        <f t="shared" si="6"/>
        <v>3200</v>
      </c>
      <c r="G32" s="43">
        <f t="shared" si="6"/>
        <v>501150</v>
      </c>
      <c r="H32" s="44">
        <f t="shared" si="6"/>
        <v>5900</v>
      </c>
      <c r="J32" s="95">
        <f>SUM(J4:J31)</f>
        <v>1242600</v>
      </c>
      <c r="K32" s="95"/>
    </row>
    <row r="33" spans="2:8" x14ac:dyDescent="0.35">
      <c r="D33" s="99">
        <f>+D32*85</f>
        <v>306000</v>
      </c>
      <c r="F33" s="99">
        <f>+F32*85</f>
        <v>272000</v>
      </c>
      <c r="H33" s="99">
        <f>+H32*85</f>
        <v>501500</v>
      </c>
    </row>
    <row r="34" spans="2:8" x14ac:dyDescent="0.35">
      <c r="B34" s="246" t="s">
        <v>149</v>
      </c>
      <c r="C34" s="43">
        <f t="shared" ref="C34:H34" si="7">+C4+C5+C6+C8+C13</f>
        <v>236650</v>
      </c>
      <c r="D34" s="43" t="e">
        <f t="shared" si="7"/>
        <v>#VALUE!</v>
      </c>
      <c r="E34" s="43">
        <f t="shared" si="7"/>
        <v>161100</v>
      </c>
      <c r="F34" s="43" t="e">
        <f t="shared" si="7"/>
        <v>#VALUE!</v>
      </c>
      <c r="G34" s="43">
        <f t="shared" si="7"/>
        <v>291250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29200</v>
      </c>
      <c r="D35" s="43" t="e">
        <f t="shared" ref="D35:H35" si="8">+D11+D14+D15+D17+D18</f>
        <v>#VALUE!</v>
      </c>
      <c r="E35" s="43">
        <f t="shared" si="8"/>
        <v>9300</v>
      </c>
      <c r="F35" s="43" t="e">
        <f t="shared" si="8"/>
        <v>#VALUE!</v>
      </c>
      <c r="G35" s="43">
        <f t="shared" si="8"/>
        <v>32150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146600</v>
      </c>
      <c r="D36" s="43" t="e">
        <f t="shared" ref="D36:H36" si="9">+D10+D12+D27</f>
        <v>#VALUE!</v>
      </c>
      <c r="E36" s="43">
        <f t="shared" si="9"/>
        <v>128900</v>
      </c>
      <c r="F36" s="43" t="e">
        <f t="shared" si="9"/>
        <v>#VALUE!</v>
      </c>
      <c r="G36" s="43">
        <f t="shared" si="9"/>
        <v>144150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89</v>
      </c>
      <c r="D2" s="267"/>
      <c r="E2" s="266">
        <f>IF(PREMIOS!$B9="","",PREMIOS!$B9)</f>
        <v>22</v>
      </c>
      <c r="F2" s="267"/>
      <c r="G2" s="266">
        <f>IF(PREMIOS!$B13="","",PREMIOS!$B13)</f>
        <v>35</v>
      </c>
      <c r="H2" s="267"/>
      <c r="I2" s="266">
        <f>IF(PREMIOS!$B17="","",PREMIOS!$B17)</f>
        <v>39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20550</v>
      </c>
      <c r="D4" s="78">
        <f t="shared" ref="D4:J27" si="0">IF(C4="","",0)</f>
        <v>0</v>
      </c>
      <c r="E4" s="205">
        <v>12500</v>
      </c>
      <c r="F4" s="78">
        <v>500</v>
      </c>
      <c r="G4" s="188">
        <v>200</v>
      </c>
      <c r="H4" s="78">
        <f t="shared" ref="H4:H27" si="1">IF(G4="","",0)</f>
        <v>0</v>
      </c>
      <c r="I4" s="188">
        <v>6650</v>
      </c>
      <c r="J4" s="78">
        <v>1000</v>
      </c>
      <c r="L4" s="42">
        <f t="shared" ref="L4:L8" si="2">+C4+E4+G4+I4</f>
        <v>39900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13500</v>
      </c>
      <c r="D5" s="30">
        <f t="shared" si="0"/>
        <v>0</v>
      </c>
      <c r="E5" s="206">
        <v>5300</v>
      </c>
      <c r="F5" s="30">
        <v>500</v>
      </c>
      <c r="G5" s="179"/>
      <c r="H5" s="30" t="str">
        <f t="shared" si="1"/>
        <v/>
      </c>
      <c r="I5" s="179">
        <v>600</v>
      </c>
      <c r="J5" s="30">
        <f t="shared" ref="J5:J27" si="3">IF(I5="","",0)</f>
        <v>0</v>
      </c>
      <c r="L5" s="42">
        <f t="shared" si="2"/>
        <v>19400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56300</v>
      </c>
      <c r="D8" s="30">
        <v>400</v>
      </c>
      <c r="E8" s="206">
        <v>42000</v>
      </c>
      <c r="F8" s="30">
        <v>550</v>
      </c>
      <c r="G8" s="179">
        <v>1500</v>
      </c>
      <c r="H8" s="30">
        <f t="shared" si="1"/>
        <v>0</v>
      </c>
      <c r="I8" s="179">
        <v>38500</v>
      </c>
      <c r="J8" s="30">
        <f t="shared" si="0"/>
        <v>0</v>
      </c>
      <c r="L8" s="42">
        <f t="shared" si="2"/>
        <v>138300</v>
      </c>
      <c r="M8" s="42">
        <f t="shared" si="4"/>
        <v>950</v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19500+52700</f>
        <v>72200</v>
      </c>
      <c r="D10" s="30">
        <f>200+100</f>
        <v>300</v>
      </c>
      <c r="E10" s="206">
        <f>9800+44350</f>
        <v>54150</v>
      </c>
      <c r="F10" s="30">
        <f>300+1950</f>
        <v>2250</v>
      </c>
      <c r="G10" s="179">
        <f>5300+18600</f>
        <v>23900</v>
      </c>
      <c r="H10" s="30">
        <v>300</v>
      </c>
      <c r="I10" s="179">
        <f>39800+60850</f>
        <v>100650</v>
      </c>
      <c r="J10" s="30">
        <v>450</v>
      </c>
      <c r="L10" s="42">
        <f t="shared" si="5"/>
        <v>250900</v>
      </c>
      <c r="M10" s="42">
        <f t="shared" si="4"/>
        <v>3300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23400</v>
      </c>
      <c r="D12" s="30">
        <v>250</v>
      </c>
      <c r="E12" s="206">
        <v>12700</v>
      </c>
      <c r="F12" s="30">
        <v>1000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36100</v>
      </c>
      <c r="M12" s="42">
        <f t="shared" si="4"/>
        <v>1250</v>
      </c>
    </row>
    <row r="13" spans="1:13" x14ac:dyDescent="0.35">
      <c r="A13" s="47">
        <v>10</v>
      </c>
      <c r="B13" s="177" t="str">
        <f>Vendedor10!$B$2</f>
        <v>MARIALIZ</v>
      </c>
      <c r="C13" s="179">
        <v>10950</v>
      </c>
      <c r="D13" s="30">
        <f t="shared" si="0"/>
        <v>0</v>
      </c>
      <c r="E13" s="206">
        <v>17350</v>
      </c>
      <c r="F13" s="30">
        <v>1100</v>
      </c>
      <c r="G13" s="179"/>
      <c r="H13" s="30" t="str">
        <f t="shared" si="0"/>
        <v/>
      </c>
      <c r="I13" s="179">
        <v>7500</v>
      </c>
      <c r="J13" s="30">
        <f t="shared" si="0"/>
        <v>0</v>
      </c>
      <c r="L13" s="42">
        <f t="shared" si="5"/>
        <v>35800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6250</v>
      </c>
      <c r="D16" s="30">
        <f t="shared" si="0"/>
        <v>0</v>
      </c>
      <c r="E16" s="206">
        <v>3000</v>
      </c>
      <c r="F16" s="30">
        <f t="shared" si="0"/>
        <v>0</v>
      </c>
      <c r="G16" s="179"/>
      <c r="H16" s="30" t="str">
        <f t="shared" si="0"/>
        <v/>
      </c>
      <c r="I16" s="179">
        <v>14200</v>
      </c>
      <c r="J16" s="30">
        <f t="shared" si="0"/>
        <v>0</v>
      </c>
      <c r="L16" s="42">
        <f t="shared" si="5"/>
        <v>23450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203150</v>
      </c>
      <c r="D32" s="44">
        <f t="shared" si="7"/>
        <v>950</v>
      </c>
      <c r="E32" s="43">
        <f t="shared" si="7"/>
        <v>147000</v>
      </c>
      <c r="F32" s="44">
        <f t="shared" si="7"/>
        <v>5900</v>
      </c>
      <c r="G32" s="43">
        <f t="shared" si="7"/>
        <v>25600</v>
      </c>
      <c r="H32" s="44">
        <f t="shared" si="7"/>
        <v>300</v>
      </c>
      <c r="I32" s="43">
        <f t="shared" si="7"/>
        <v>168100</v>
      </c>
      <c r="J32" s="44">
        <f t="shared" si="7"/>
        <v>1450</v>
      </c>
      <c r="L32" s="95">
        <f>SUM(L9:L31)</f>
        <v>346250</v>
      </c>
      <c r="M32" s="95">
        <f>SUM(M9:M31)</f>
        <v>4550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84 Roja</v>
      </c>
      <c r="D2" s="267"/>
      <c r="E2" s="266" t="str">
        <f>IF(E33=0,"",CONCATENATE(PREMIOS!$B11," ",PREMIOS!$B12))</f>
        <v>12 Roja</v>
      </c>
      <c r="F2" s="267"/>
      <c r="G2" s="266" t="str">
        <f>IF(G33=0,"",CONCATENATE(PREMIOS!$B15," ",PREMIOS!$B16))</f>
        <v>30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5000+13250</f>
        <v>18250</v>
      </c>
      <c r="D10" s="30">
        <f t="shared" si="0"/>
        <v>0</v>
      </c>
      <c r="E10" s="179">
        <f>8750+11400</f>
        <v>20150</v>
      </c>
      <c r="F10" s="30">
        <f t="shared" si="0"/>
        <v>0</v>
      </c>
      <c r="G10" s="179">
        <f>9150+10150</f>
        <v>19300</v>
      </c>
      <c r="H10" s="30">
        <f t="shared" si="0"/>
        <v>0</v>
      </c>
      <c r="J10" s="42">
        <f t="shared" si="3"/>
        <v>57700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1650</v>
      </c>
      <c r="D12" s="30">
        <f t="shared" si="0"/>
        <v>0</v>
      </c>
      <c r="E12" s="179">
        <v>1000</v>
      </c>
      <c r="F12" s="30">
        <f t="shared" si="1"/>
        <v>0</v>
      </c>
      <c r="G12" s="179">
        <v>500</v>
      </c>
      <c r="H12" s="30">
        <f t="shared" si="0"/>
        <v>0</v>
      </c>
      <c r="J12" s="42">
        <f t="shared" si="3"/>
        <v>3150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>
        <v>1000</v>
      </c>
      <c r="H16" s="194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19900</v>
      </c>
      <c r="D33" s="44">
        <f t="shared" si="7"/>
        <v>0</v>
      </c>
      <c r="E33" s="43">
        <f t="shared" si="7"/>
        <v>21150</v>
      </c>
      <c r="F33" s="44">
        <f t="shared" si="7"/>
        <v>0</v>
      </c>
      <c r="G33" s="43">
        <f t="shared" si="7"/>
        <v>20800</v>
      </c>
      <c r="H33" s="44">
        <f t="shared" si="7"/>
        <v>0</v>
      </c>
      <c r="J33" s="45">
        <f>SUM(J4:J32)</f>
        <v>61850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12</v>
      </c>
      <c r="D2" s="267"/>
      <c r="E2" s="266">
        <f>IF(PREMIOS!$C19="","",PREMIOS!$C19)</f>
        <v>38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4600</v>
      </c>
      <c r="D4" s="78">
        <f t="shared" ref="D4:F27" si="0">IF(C4="","",0)</f>
        <v>0</v>
      </c>
      <c r="E4" s="188"/>
      <c r="F4" s="78" t="str">
        <f t="shared" si="0"/>
        <v/>
      </c>
      <c r="H4" s="42">
        <f>+C4+E4</f>
        <v>4600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/>
      <c r="D5" s="30" t="str">
        <f t="shared" si="0"/>
        <v/>
      </c>
      <c r="E5" s="179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24300</v>
      </c>
      <c r="D8" s="30">
        <v>950</v>
      </c>
      <c r="E8" s="193">
        <v>31500</v>
      </c>
      <c r="F8" s="194">
        <v>500</v>
      </c>
      <c r="H8" s="42">
        <f t="shared" si="2"/>
        <v>55800</v>
      </c>
      <c r="I8" s="42">
        <f t="shared" si="3"/>
        <v>1450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4500+4850</f>
        <v>9350</v>
      </c>
      <c r="D10" s="30">
        <f t="shared" si="0"/>
        <v>0</v>
      </c>
      <c r="E10" s="179">
        <v>19750</v>
      </c>
      <c r="F10" s="194">
        <f t="shared" si="1"/>
        <v>0</v>
      </c>
      <c r="H10" s="42">
        <f t="shared" si="2"/>
        <v>29100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33650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33650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71900</v>
      </c>
      <c r="D33" s="44">
        <f>SUM(D4:D32)</f>
        <v>950</v>
      </c>
      <c r="E33" s="43">
        <f>SUM(E4:E32)</f>
        <v>51250</v>
      </c>
      <c r="F33" s="44">
        <f>SUM(F4:F32)</f>
        <v>500</v>
      </c>
      <c r="H33" s="95">
        <f>SUM(H4:H32)</f>
        <v>123150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85</v>
      </c>
      <c r="D2" s="267"/>
      <c r="E2" s="266">
        <f>IF(PREMIOS!$C20="","",PREMIOS!$C20)</f>
        <v>71</v>
      </c>
      <c r="F2" s="267"/>
      <c r="G2" s="266">
        <f>IF(PREMIOS!$D20="","",PREMIOS!$D20)</f>
        <v>88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25000</v>
      </c>
      <c r="D10" s="194">
        <f t="shared" si="0"/>
        <v>0</v>
      </c>
      <c r="E10" s="179">
        <v>11750</v>
      </c>
      <c r="F10" s="30">
        <v>300</v>
      </c>
      <c r="G10" s="179">
        <v>16400</v>
      </c>
      <c r="H10" s="194">
        <f t="shared" si="0"/>
        <v>0</v>
      </c>
      <c r="J10" s="42">
        <f t="shared" si="3"/>
        <v>53150</v>
      </c>
      <c r="K10" s="42">
        <f t="shared" si="4"/>
        <v>300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>
        <v>9250</v>
      </c>
      <c r="D12" s="194">
        <f t="shared" si="0"/>
        <v>0</v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9250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34250</v>
      </c>
      <c r="D33" s="44">
        <f t="shared" si="6"/>
        <v>0</v>
      </c>
      <c r="E33" s="43">
        <f t="shared" si="6"/>
        <v>11750</v>
      </c>
      <c r="F33" s="44">
        <f t="shared" si="6"/>
        <v>300</v>
      </c>
      <c r="G33" s="43">
        <f t="shared" si="6"/>
        <v>16400</v>
      </c>
      <c r="H33" s="44">
        <f t="shared" si="6"/>
        <v>0</v>
      </c>
      <c r="J33" s="45">
        <f>SUM(J4:J32)</f>
        <v>62400</v>
      </c>
      <c r="K33" s="95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07</v>
      </c>
      <c r="D2" s="267"/>
      <c r="E2" s="266">
        <f>IF(PREMIOS!$C21="","",PREMIOS!$C21)</f>
        <v>35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41500</v>
      </c>
      <c r="D10" s="30">
        <f t="shared" si="0"/>
        <v>0</v>
      </c>
      <c r="E10" s="179">
        <v>47250</v>
      </c>
      <c r="F10" s="30">
        <v>1000</v>
      </c>
      <c r="H10" s="42">
        <f t="shared" si="2"/>
        <v>88750</v>
      </c>
      <c r="I10" s="42">
        <f t="shared" si="3"/>
        <v>1000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41500</v>
      </c>
      <c r="D33" s="44">
        <f>SUM(D4:D32)</f>
        <v>0</v>
      </c>
      <c r="E33" s="43">
        <f>SUM(E4:E32)</f>
        <v>47250</v>
      </c>
      <c r="F33" s="44">
        <f>SUM(F4:F32)</f>
        <v>1000</v>
      </c>
      <c r="H33" s="45">
        <f>SUM(H4:H32)</f>
        <v>88750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2026-06-26T16:22:32Z</dcterms:modified>
  <dc:language>es-CR</dc:language>
</cp:coreProperties>
</file>
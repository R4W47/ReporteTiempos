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6- CUENTAS DIARIAS JUNIO/"/>
    </mc:Choice>
  </mc:AlternateContent>
  <xr:revisionPtr revIDLastSave="63" documentId="11_186B27E708BBA1B96E0A6C3B11D135DBB62520B1" xr6:coauthVersionLast="47" xr6:coauthVersionMax="47" xr10:uidLastSave="{C811516A-97CB-4385-AB07-BDC3CD0BD63D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G10" i="62"/>
  <c r="J10" i="61"/>
  <c r="I10" i="61"/>
  <c r="H10" i="60"/>
  <c r="G10" i="60"/>
  <c r="C10" i="64"/>
  <c r="E10" i="62"/>
  <c r="C10" i="62"/>
  <c r="F10" i="61"/>
  <c r="E10" i="61"/>
  <c r="E10" i="60"/>
  <c r="D10" i="60"/>
  <c r="C10" i="60"/>
  <c r="D10" i="61" l="1"/>
  <c r="C10" i="61"/>
  <c r="C10" i="65"/>
  <c r="D18" i="64" l="1"/>
  <c r="D18" i="65"/>
  <c r="D11" i="65"/>
  <c r="D18" i="61"/>
  <c r="D17" i="61"/>
  <c r="D9" i="61"/>
  <c r="G16" i="71"/>
  <c r="E23" i="15"/>
  <c r="F23" i="15" s="1"/>
  <c r="D22" i="15"/>
  <c r="C23" i="15"/>
  <c r="D23" i="15" s="1"/>
  <c r="C22" i="15"/>
  <c r="E16" i="71" s="1"/>
  <c r="C21" i="15"/>
  <c r="C16" i="71" s="1"/>
  <c r="H16" i="64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H16" i="71" l="1"/>
  <c r="F21" i="15"/>
  <c r="D16" i="71"/>
  <c r="D21" i="15"/>
  <c r="G23" i="15"/>
  <c r="K8" i="15"/>
  <c r="K15" i="15"/>
  <c r="J8" i="15"/>
  <c r="G36" i="60" l="1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1" i="61"/>
  <c r="D7" i="61"/>
  <c r="D6" i="61"/>
  <c r="D27" i="60"/>
  <c r="D36" i="60" s="1"/>
  <c r="D26" i="60"/>
  <c r="D25" i="60"/>
  <c r="D24" i="60"/>
  <c r="D23" i="60"/>
  <c r="D22" i="60"/>
  <c r="D21" i="60"/>
  <c r="D20" i="60"/>
  <c r="D19" i="60"/>
  <c r="D18" i="60"/>
  <c r="D17" i="60"/>
  <c r="D16" i="60"/>
  <c r="D15" i="60"/>
  <c r="D13" i="60"/>
  <c r="D11" i="60"/>
  <c r="D35" i="60" s="1"/>
  <c r="D9" i="60"/>
  <c r="D7" i="60"/>
  <c r="D4" i="60"/>
  <c r="F18" i="23"/>
  <c r="F14" i="23"/>
  <c r="F10" i="23"/>
  <c r="F6" i="23"/>
  <c r="F6" i="14"/>
  <c r="F10" i="14"/>
  <c r="F14" i="14"/>
  <c r="F18" i="14"/>
  <c r="D10" i="66"/>
  <c r="H10" i="64"/>
  <c r="F17" i="64"/>
  <c r="F17" i="65"/>
  <c r="F8" i="65"/>
  <c r="F18" i="62"/>
  <c r="F10" i="62"/>
  <c r="D5" i="61"/>
  <c r="F17" i="61"/>
  <c r="F18" i="61"/>
  <c r="F16" i="61"/>
  <c r="J17" i="61"/>
  <c r="D6" i="60"/>
  <c r="F18" i="60"/>
  <c r="F17" i="60"/>
  <c r="F16" i="60"/>
  <c r="F15" i="60"/>
  <c r="F14" i="60"/>
  <c r="F13" i="60"/>
  <c r="F11" i="60"/>
  <c r="F10" i="60"/>
  <c r="F9" i="60"/>
  <c r="F8" i="60"/>
  <c r="F7" i="60"/>
  <c r="F6" i="60"/>
  <c r="F5" i="60"/>
  <c r="F4" i="60"/>
  <c r="H17" i="60"/>
  <c r="H15" i="60"/>
  <c r="H11" i="60"/>
  <c r="H9" i="60"/>
  <c r="H8" i="60"/>
  <c r="H7" i="60"/>
  <c r="H6" i="60"/>
  <c r="F18" i="21"/>
  <c r="F14" i="21"/>
  <c r="F10" i="21"/>
  <c r="F6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9" i="61"/>
  <c r="J7" i="61"/>
  <c r="F15" i="61"/>
  <c r="F14" i="61"/>
  <c r="F13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E5" i="16"/>
  <c r="H34" i="60" l="1"/>
  <c r="F35" i="60"/>
  <c r="F34" i="60"/>
  <c r="D34" i="60"/>
  <c r="J8" i="14"/>
  <c r="D21" i="14"/>
  <c r="C12" i="71"/>
  <c r="D22" i="14"/>
  <c r="K15" i="14" s="1"/>
  <c r="G12" i="71"/>
  <c r="E19" i="16"/>
  <c r="D4" i="65"/>
  <c r="D20" i="16"/>
  <c r="F18" i="64"/>
  <c r="F17" i="62"/>
  <c r="E11" i="16"/>
  <c r="H17" i="64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8" i="61"/>
  <c r="H17" i="61"/>
  <c r="H16" i="61"/>
  <c r="H15" i="61"/>
  <c r="H14" i="61"/>
  <c r="H13" i="61"/>
  <c r="H12" i="61"/>
  <c r="H11" i="61"/>
  <c r="E13" i="16" s="1"/>
  <c r="H10" i="61"/>
  <c r="H18" i="60"/>
  <c r="H35" i="60" s="1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 s="1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F31" i="73"/>
  <c r="H29" i="73"/>
  <c r="I29" i="73" s="1"/>
  <c r="F28" i="73"/>
  <c r="H25" i="73"/>
  <c r="I25" i="73" s="1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4" i="73"/>
  <c r="F20" i="73"/>
  <c r="F16" i="73"/>
  <c r="F15" i="73"/>
  <c r="G15" i="73" s="1"/>
  <c r="L15" i="73" s="1"/>
  <c r="F14" i="73"/>
  <c r="G14" i="73" s="1"/>
  <c r="L14" i="73" s="1"/>
  <c r="F13" i="73"/>
  <c r="F12" i="73"/>
  <c r="F11" i="73"/>
  <c r="F9" i="73"/>
  <c r="F8" i="73"/>
  <c r="G8" i="73" s="1"/>
  <c r="L8" i="73" s="1"/>
  <c r="F7" i="73"/>
  <c r="F6" i="73"/>
  <c r="F5" i="73"/>
  <c r="F4" i="73"/>
  <c r="D31" i="73"/>
  <c r="H31" i="73" s="1"/>
  <c r="I31" i="73" s="1"/>
  <c r="C31" i="73"/>
  <c r="B31" i="73"/>
  <c r="D30" i="73"/>
  <c r="H30" i="73" s="1"/>
  <c r="I30" i="73" s="1"/>
  <c r="C30" i="73"/>
  <c r="F30" i="73" s="1"/>
  <c r="B30" i="73"/>
  <c r="D29" i="73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C25" i="73"/>
  <c r="F25" i="73" s="1"/>
  <c r="B25" i="73"/>
  <c r="D24" i="73"/>
  <c r="H24" i="73" s="1"/>
  <c r="I24" i="73" s="1"/>
  <c r="C24" i="73"/>
  <c r="B24" i="73"/>
  <c r="D23" i="73"/>
  <c r="H23" i="73" s="1"/>
  <c r="I23" i="73" s="1"/>
  <c r="C23" i="73"/>
  <c r="F23" i="73" s="1"/>
  <c r="B23" i="73"/>
  <c r="D22" i="73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B15" i="73"/>
  <c r="B14" i="73"/>
  <c r="B13" i="73"/>
  <c r="B12" i="73"/>
  <c r="G11" i="73"/>
  <c r="L11" i="73" s="1"/>
  <c r="B10" i="73"/>
  <c r="G7" i="73"/>
  <c r="L7" i="73" s="1"/>
  <c r="B7" i="73"/>
  <c r="B6" i="73"/>
  <c r="B5" i="73"/>
  <c r="G4" i="73"/>
  <c r="B4" i="73"/>
  <c r="H18" i="72"/>
  <c r="H17" i="72"/>
  <c r="F31" i="72"/>
  <c r="E31" i="72"/>
  <c r="D31" i="72"/>
  <c r="C31" i="72"/>
  <c r="B31" i="72"/>
  <c r="H30" i="72"/>
  <c r="F30" i="72"/>
  <c r="E30" i="72"/>
  <c r="D30" i="72"/>
  <c r="J30" i="72" s="1"/>
  <c r="K30" i="72" s="1"/>
  <c r="C30" i="72"/>
  <c r="B30" i="72"/>
  <c r="F29" i="72"/>
  <c r="E29" i="72"/>
  <c r="D29" i="72"/>
  <c r="J29" i="72" s="1"/>
  <c r="K29" i="72" s="1"/>
  <c r="C29" i="72"/>
  <c r="H29" i="72" s="1"/>
  <c r="I29" i="72" s="1"/>
  <c r="B29" i="72"/>
  <c r="F28" i="72"/>
  <c r="E28" i="72"/>
  <c r="D28" i="72"/>
  <c r="J28" i="72" s="1"/>
  <c r="K28" i="72" s="1"/>
  <c r="C28" i="72"/>
  <c r="B28" i="72"/>
  <c r="B27" i="72"/>
  <c r="F26" i="72"/>
  <c r="E26" i="72"/>
  <c r="D26" i="72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H24" i="72" s="1"/>
  <c r="B24" i="72"/>
  <c r="F23" i="72"/>
  <c r="E23" i="72"/>
  <c r="D23" i="72"/>
  <c r="C23" i="72"/>
  <c r="H23" i="72" s="1"/>
  <c r="B23" i="72"/>
  <c r="H22" i="72"/>
  <c r="F22" i="72"/>
  <c r="E22" i="72"/>
  <c r="D22" i="72"/>
  <c r="J22" i="72" s="1"/>
  <c r="K22" i="72" s="1"/>
  <c r="C22" i="72"/>
  <c r="B22" i="72"/>
  <c r="F21" i="72"/>
  <c r="E21" i="72"/>
  <c r="H21" i="72" s="1"/>
  <c r="D21" i="72"/>
  <c r="C21" i="72"/>
  <c r="B21" i="72"/>
  <c r="J20" i="72"/>
  <c r="K20" i="72" s="1"/>
  <c r="F20" i="72"/>
  <c r="E20" i="72"/>
  <c r="D20" i="72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I11" i="72"/>
  <c r="N11" i="72" s="1"/>
  <c r="H11" i="72"/>
  <c r="B10" i="72"/>
  <c r="J9" i="72"/>
  <c r="K9" i="72" s="1"/>
  <c r="H9" i="72"/>
  <c r="I9" i="72" s="1"/>
  <c r="N9" i="72" s="1"/>
  <c r="B9" i="72"/>
  <c r="J8" i="72"/>
  <c r="K8" i="72" s="1"/>
  <c r="H8" i="72"/>
  <c r="I8" i="72" s="1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L24" i="71" s="1"/>
  <c r="M24" i="71" s="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D22" i="71"/>
  <c r="L22" i="71" s="1"/>
  <c r="M22" i="71" s="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H29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I16" i="66" s="1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K20" i="64" s="1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5" i="66"/>
  <c r="I14" i="66"/>
  <c r="I13" i="66"/>
  <c r="I12" i="66"/>
  <c r="I11" i="66"/>
  <c r="I9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J30" i="70" s="1"/>
  <c r="C30" i="70"/>
  <c r="H30" i="70" s="1"/>
  <c r="B30" i="70"/>
  <c r="F29" i="70"/>
  <c r="E29" i="70"/>
  <c r="D29" i="70"/>
  <c r="J29" i="70" s="1"/>
  <c r="C29" i="70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J24" i="70" s="1"/>
  <c r="K24" i="70" s="1"/>
  <c r="C24" i="70"/>
  <c r="B24" i="70"/>
  <c r="F23" i="70"/>
  <c r="E23" i="70"/>
  <c r="D23" i="70"/>
  <c r="J23" i="70" s="1"/>
  <c r="K23" i="70" s="1"/>
  <c r="C23" i="70"/>
  <c r="H23" i="70" s="1"/>
  <c r="B23" i="70"/>
  <c r="F22" i="70"/>
  <c r="E22" i="70"/>
  <c r="D22" i="70"/>
  <c r="C22" i="70"/>
  <c r="H22" i="70" s="1"/>
  <c r="B22" i="70"/>
  <c r="F21" i="70"/>
  <c r="E21" i="70"/>
  <c r="D21" i="70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B31" i="64"/>
  <c r="H30" i="64"/>
  <c r="G30" i="64"/>
  <c r="F30" i="64"/>
  <c r="E30" i="64"/>
  <c r="D30" i="64"/>
  <c r="C30" i="64"/>
  <c r="B30" i="64"/>
  <c r="H29" i="64"/>
  <c r="G29" i="64"/>
  <c r="G33" i="64" s="1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F25" i="29" l="1"/>
  <c r="F27" i="72"/>
  <c r="I25" i="72"/>
  <c r="N25" i="72" s="1"/>
  <c r="N15" i="72"/>
  <c r="J32" i="64"/>
  <c r="L6" i="6"/>
  <c r="K20" i="19"/>
  <c r="K9" i="19"/>
  <c r="L21" i="71"/>
  <c r="M21" i="71" s="1"/>
  <c r="J22" i="71"/>
  <c r="J31" i="71"/>
  <c r="J26" i="72"/>
  <c r="K26" i="72" s="1"/>
  <c r="D18" i="72"/>
  <c r="J31" i="64"/>
  <c r="L9" i="19"/>
  <c r="J30" i="71"/>
  <c r="K30" i="71" s="1"/>
  <c r="I15" i="72"/>
  <c r="H31" i="72"/>
  <c r="E27" i="72"/>
  <c r="J22" i="70"/>
  <c r="K22" i="70" s="1"/>
  <c r="D26" i="21"/>
  <c r="J10" i="21"/>
  <c r="C17" i="73"/>
  <c r="F17" i="73" s="1"/>
  <c r="J10" i="8"/>
  <c r="D26" i="19"/>
  <c r="J10" i="19"/>
  <c r="J29" i="71"/>
  <c r="J21" i="72"/>
  <c r="K21" i="72" s="1"/>
  <c r="J31" i="72"/>
  <c r="K31" i="72" s="1"/>
  <c r="J29" i="64"/>
  <c r="H24" i="70"/>
  <c r="J7" i="19"/>
  <c r="F25" i="19"/>
  <c r="F18" i="72"/>
  <c r="J26" i="71"/>
  <c r="L29" i="71"/>
  <c r="M29" i="71" s="1"/>
  <c r="J21" i="70"/>
  <c r="K21" i="70" s="1"/>
  <c r="F16" i="71"/>
  <c r="L16" i="71" s="1"/>
  <c r="M16" i="71" s="1"/>
  <c r="F22" i="15"/>
  <c r="L8" i="15" s="1"/>
  <c r="G22" i="15"/>
  <c r="L25" i="71"/>
  <c r="M25" i="71" s="1"/>
  <c r="J23" i="72"/>
  <c r="K23" i="72" s="1"/>
  <c r="K28" i="70"/>
  <c r="H28" i="72"/>
  <c r="D17" i="72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N27" i="71" s="1"/>
  <c r="F23" i="29"/>
  <c r="H27" i="71"/>
  <c r="E27" i="7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 s="1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N27" i="72" l="1"/>
  <c r="K20" i="21"/>
  <c r="K10" i="21"/>
  <c r="L27" i="70"/>
  <c r="K21" i="8"/>
  <c r="K10" i="8"/>
  <c r="L27" i="71"/>
  <c r="M27" i="71" s="1"/>
  <c r="K21" i="19"/>
  <c r="K10" i="19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M20" i="52" s="1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L6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J6" i="23" s="1"/>
  <c r="C7" i="23"/>
  <c r="J4" i="23" s="1"/>
  <c r="C5" i="23"/>
  <c r="M25" i="52" l="1"/>
  <c r="L4" i="23"/>
  <c r="M22" i="52"/>
  <c r="F17" i="52"/>
  <c r="F12" i="8"/>
  <c r="M24" i="52"/>
  <c r="M26" i="52"/>
  <c r="J5" i="23"/>
  <c r="M23" i="52"/>
  <c r="C24" i="15"/>
  <c r="M21" i="52"/>
  <c r="N17" i="7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D19" i="7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 s="1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L6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E32" i="61" s="1"/>
  <c r="D29" i="61"/>
  <c r="C29" i="61"/>
  <c r="B29" i="61"/>
  <c r="J28" i="61"/>
  <c r="J32" i="61" s="1"/>
  <c r="I28" i="61"/>
  <c r="H28" i="61"/>
  <c r="H32" i="61" s="1"/>
  <c r="G28" i="6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H32" i="60" s="1"/>
  <c r="G28" i="60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L6" i="25" l="1"/>
  <c r="K6" i="23"/>
  <c r="E32" i="60"/>
  <c r="I32" i="61"/>
  <c r="K4" i="23"/>
  <c r="G32" i="60"/>
  <c r="L19" i="59"/>
  <c r="L19" i="71"/>
  <c r="M19" i="71" s="1"/>
  <c r="M32" i="71" s="1"/>
  <c r="F8" i="74" s="1"/>
  <c r="F24" i="15"/>
  <c r="K5" i="23"/>
  <c r="J19" i="70"/>
  <c r="K19" i="70" s="1"/>
  <c r="G32" i="61"/>
  <c r="F32" i="61"/>
  <c r="D24" i="15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M4" i="52" s="1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D13" i="22"/>
  <c r="G13" i="22" s="1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6" i="52" l="1"/>
  <c r="M5" i="52"/>
  <c r="K6" i="25"/>
  <c r="K6" i="2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2" i="58" l="1"/>
  <c r="P25" i="58"/>
  <c r="P24" i="58"/>
  <c r="P20" i="58"/>
  <c r="P23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6" i="52" l="1"/>
  <c r="C25" i="1" s="1"/>
  <c r="B25" i="1"/>
  <c r="K22" i="52"/>
  <c r="C21" i="1" s="1"/>
  <c r="B21" i="1"/>
  <c r="K24" i="52"/>
  <c r="C23" i="1" s="1"/>
  <c r="B23" i="1"/>
  <c r="K25" i="52"/>
  <c r="C24" i="1" s="1"/>
  <c r="B24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F12" i="14" s="1"/>
  <c r="K23" i="52" l="1"/>
  <c r="C22" i="1" s="1"/>
  <c r="B22" i="1"/>
  <c r="K4" i="52"/>
  <c r="C3" i="1" s="1"/>
  <c r="B3" i="1"/>
  <c r="K20" i="52"/>
  <c r="C19" i="1" s="1"/>
  <c r="B19" i="1"/>
  <c r="K5" i="52"/>
  <c r="C4" i="1" s="1"/>
  <c r="B4" i="1"/>
  <c r="K6" i="52"/>
  <c r="C5" i="1" s="1"/>
  <c r="B5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0" i="52" l="1"/>
  <c r="D19" i="1"/>
  <c r="Q23" i="52"/>
  <c r="D22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 s="1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<sst xmlns="http://schemas.openxmlformats.org/spreadsheetml/2006/main" count="1294" uniqueCount="161">
  <si>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</si>
  <si>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</si>
  <si>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</si>
  <si>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</si>
  <si>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</si>
  <si>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</si>
  <si>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</si>
  <si>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</si>
  <si>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</si>
  <si>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</si>
  <si>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</si>
  <si>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</si>
  <si>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</si>
  <si>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</si>
  <si>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</si>
  <si>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</si>
  <si>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</si>
  <si>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</si>
  <si>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</si>
  <si>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</si>
  <si>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</si>
  <si>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</si>
  <si>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</si>
  <si>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</si>
  <si>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</si>
  <si>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</si>
  <si>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</si>
  <si>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</si>
  <si>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</si>
  <si>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</si>
  <si>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</si>
  <si>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</si>
  <si>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</si>
  <si>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</si>
  <si>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</si>
  <si>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</si>
  <si>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</si>
  <si>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</si>
  <si>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</si>
  <si>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</si>
  <si>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</si>
  <si>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</si>
  <si>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</si>
  <si>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</si>
  <si>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</si>
  <si>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</si>
  <si>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</si>
  <si>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</si>
  <si>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</si>
  <si>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</si>
  <si>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</si>
  <si>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</si>
  <si>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</si>
  <si>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</si>
  <si>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</si>
  <si>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</si>
  <si>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</si>
  <si>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</si>
  <si>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</si>
  <si>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</si>
  <si>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</si>
  <si>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</si>
  <si>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</si>
  <si>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</si>
  <si>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</si>
  <si>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</si>
  <si>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</si>
  <si>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</si>
  <si>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</si>
  <si>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</si>
  <si>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</si>
  <si>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</si>
  <si>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</si>
  <si>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</si>
  <si>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</si>
  <si>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</si>
  <si>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</si>
  <si>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</si>
  <si>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</si>
  <si>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</si>
  <si>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</si>
  <si>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</si>
  <si>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</si>
  <si>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</si>
  <si>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</si>
  <si>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</si>
  <si>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</si>
  <si>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</si>
  <si>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</si>
  <si>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</si>
  <si>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</si>
  <si>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</si>
  <si>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</si>
  <si>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</si>
  <si>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</si>
  <si>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</si>
  <si>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</si>
  <si>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</si>
  <si>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</si>
  <si>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</si>
  <si>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</si>
  <si>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</si>
  <si>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</si>
  <si>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</si>
  <si>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</si>
  <si>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</si>
  <si>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</si>
  <si>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</si>
  <si>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</si>
  <si>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</si>
  <si>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</si>
  <si>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</si>
  <si>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</si>
  <si>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</si>
  <si>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</si>
  <si>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</si>
  <si>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</si>
  <si>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</si>
  <si>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</si>
  <si>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</si>
  <si>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</si>
  <si>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</si>
  <si>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</si>
  <si>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</si>
  <si>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</si>
  <si>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</si>
  <si>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</si>
  <si>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</si>
  <si>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</si>
  <si>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</si>
  <si>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</si>
  <si>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</si>
  <si>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</si>
  <si>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</si>
  <si>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</si>
  <si>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</si>
  <si>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</si>
  <si>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</si>
  <si>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</si>
  <si>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</si>
  <si>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</si>
  <si>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</si>
  <si>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</si>
  <si>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</si>
  <si>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</si>
  <si>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</si>
  <si>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</si>
  <si>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</si>
  <si>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</si>
  <si>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</si>
  <si>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</si>
  <si>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</si>
  <si>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</si>
  <si>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</si>
  <si>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</si>
  <si>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</si>
  <si>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</si>
  <si>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</si>
  <si>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</si>
  <si>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07</t>
  </si>
  <si>
    <t>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</si>
</sst>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330950</v>
      </c>
      <c r="C3" s="9">
        <f>+HojaTICA!K4+HojaNICA!M4+HojaREVENTADO!K4+HojaPrimera!I4+HojaHonduras!K4+HojaDominicana!I4+HojaPANA!G4</f>
        <v>43000</v>
      </c>
      <c r="D3" s="9">
        <f>+HojaTICA!N4+HojaNICA!P4+HojaREVENTADO!O4+HojaPrimera!L4+HojaHonduras!N4+HojaDominicana!L4+HojaPANA!J4</f>
        <v>388000</v>
      </c>
      <c r="F3" s="10">
        <f t="shared" ref="F3:F27" si="0">+B3-C3-D3</f>
        <v>-100050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169100</v>
      </c>
      <c r="C4" s="9">
        <f>+HojaTICA!K5+HojaNICA!M5+HojaREVENTADO!K5+HojaPrimera!I5+HojaHonduras!K5+HojaDominicana!I5+HojaPANA!G5</f>
        <v>22000</v>
      </c>
      <c r="D4" s="9">
        <f>+HojaTICA!N5+HojaNICA!P5+HojaREVENTADO!O5+HojaPrimera!L5+HojaHonduras!N5+HojaDominicana!L5+HojaPANA!J5</f>
        <v>420750</v>
      </c>
      <c r="F4" s="14">
        <f t="shared" si="0"/>
        <v>-273650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375000</v>
      </c>
      <c r="C7" s="9">
        <f>+HojaTICA!K8+HojaNICA!M8+HojaREVENTADO!K8+HojaPrimera!I8+HojaHonduras!K8+HojaDominicana!I8+HojaPANA!G8</f>
        <v>45000</v>
      </c>
      <c r="D7" s="9">
        <f>+HojaTICA!N8+HojaNICA!P8+HojaREVENTADO!O8+HojaPrimera!L8+HojaHonduras!N8+HojaDominicana!L8+HojaPANA!J8</f>
        <v>218500</v>
      </c>
      <c r="F7" s="14">
        <f t="shared" si="0"/>
        <v>111500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873300</v>
      </c>
      <c r="C9" s="9">
        <f>+HojaTICA!K10+HojaNICA!M10+HojaREVENTADO!K10+HojaPrimera!I10+HojaHonduras!K10+HojaDominicana!I10+HojaPANA!G10</f>
        <v>103635</v>
      </c>
      <c r="D9" s="9">
        <f>+HojaTICA!N10+HojaNICA!P10+HojaREVENTADO!O10+HojaPrimera!L10+HojaHonduras!N10+HojaDominicana!L10+HojaPANA!J10</f>
        <v>669500</v>
      </c>
      <c r="F9" s="14">
        <f t="shared" si="0"/>
        <v>100165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15000</v>
      </c>
      <c r="C10" s="9">
        <f>+HojaTICA!K11+HojaNICA!M11+HojaREVENTADO!K11+HojaPrimera!I11+HojaHonduras!K11+HojaDominicana!I11+HojaPANA!G11</f>
        <v>1800</v>
      </c>
      <c r="D10" s="9">
        <f>+HojaTICA!N11+HojaNICA!P11+HojaREVENTADO!O11+HojaPrimera!L11+HojaHonduras!N11+HojaDominicana!L11+HojaPANA!J11</f>
        <v>0</v>
      </c>
      <c r="F10" s="14">
        <f t="shared" si="0"/>
        <v>13200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180050</v>
      </c>
      <c r="C11" s="9">
        <f>+HojaTICA!K12+HojaNICA!M12+HojaREVENTADO!K12+HojaPrimera!I12+HojaHonduras!K12+HojaDominicana!I12+HojaPANA!G12</f>
        <v>21435</v>
      </c>
      <c r="D11" s="9">
        <f>+HojaTICA!N12+HojaNICA!P12+HojaREVENTADO!O12+HojaPrimera!L12+HojaHonduras!N12+HojaDominicana!L12+HojaPANA!J12</f>
        <v>216750</v>
      </c>
      <c r="F11" s="14">
        <f t="shared" si="0"/>
        <v>-58135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146900</v>
      </c>
      <c r="C12" s="9">
        <f>+HojaTICA!K13+HojaNICA!M13+HojaREVENTADO!K13+HojaPrimera!I13+HojaHonduras!K13+HojaDominicana!I13+HojaPANA!G13</f>
        <v>17650</v>
      </c>
      <c r="D12" s="9">
        <f>+HojaTICA!N13+HojaNICA!P13+HojaREVENTADO!O13+HojaPrimera!L13+HojaHonduras!N13+HojaDominicana!L13+HojaPANA!J13</f>
        <v>279500</v>
      </c>
      <c r="F12" s="14">
        <f t="shared" si="0"/>
        <v>-150250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143400</v>
      </c>
      <c r="C13" s="9">
        <f>+HojaTICA!K14+HojaNICA!M14+HojaREVENTADO!K14+HojaPrimera!I14+HojaHonduras!K14+HojaDominicana!I14+HojaPANA!G14</f>
        <v>21500</v>
      </c>
      <c r="D13" s="9">
        <f>+HojaTICA!N14+HojaNICA!P14+HojaREVENTADO!O14+HojaPrimera!L14+HojaHonduras!N14+HojaDominicana!L14+HojaPANA!J14</f>
        <v>44000</v>
      </c>
      <c r="F13" s="14">
        <f t="shared" si="0"/>
        <v>77900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154750</v>
      </c>
      <c r="C15" s="9">
        <f>+HojaTICA!K16+HojaNICA!M16+HojaREVENTADO!K16+HojaPrimera!I16+HojaHonduras!K16+HojaDominicana!I16+HojaPANA!G16</f>
        <v>18600</v>
      </c>
      <c r="D15" s="9">
        <f>+HojaTICA!N16+HojaNICA!P16+HojaREVENTADO!O16+HojaPrimera!L16+HojaHonduras!N16+HojaDominicana!L16+HojaPANA!J16</f>
        <v>21250</v>
      </c>
      <c r="F15" s="14">
        <f t="shared" si="0"/>
        <v>114900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2388450</v>
      </c>
      <c r="C28" s="17">
        <f t="shared" si="1"/>
        <v>294620</v>
      </c>
      <c r="D28" s="18">
        <f t="shared" si="1"/>
        <v>2258250</v>
      </c>
      <c r="F28" s="20">
        <f>SUM(F3:F27)</f>
        <v>-164420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88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 t="s">
        <v>159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96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86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44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12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Roja</v>
      </c>
      <c r="C16" s="136"/>
      <c r="D16" s="137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3" t="s">
        <v>160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14</v>
      </c>
      <c r="C19" s="132">
        <v>39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65</v>
      </c>
      <c r="C20" s="163">
        <v>36</v>
      </c>
      <c r="D20" s="166">
        <v>96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67</v>
      </c>
      <c r="C21" s="164">
        <v>76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 t="str">
        <f>DigitaTICA!C2</f>
        <v>07</v>
      </c>
      <c r="D2" s="268"/>
      <c r="E2" s="267">
        <f>DigitaTICA!E2</f>
        <v>86</v>
      </c>
      <c r="F2" s="268"/>
      <c r="G2" s="267">
        <f>DigitaTICA!G2</f>
        <v>12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73800</v>
      </c>
      <c r="D4" s="30">
        <f>IF(Vendedor1!$E$7="",0,Vendedor1!$E$7)</f>
        <v>0</v>
      </c>
      <c r="E4" s="180">
        <f>IF(Vendedor1!$C$11="",0,Vendedor1!$C$11)</f>
        <v>58400</v>
      </c>
      <c r="F4" s="30">
        <f>IF(Vendedor1!$E$11="",0,Vendedor1!$E$11)</f>
        <v>0</v>
      </c>
      <c r="G4" s="180">
        <f>IF(Vendedor1!$C$15="",0,Vendedor1!$C$15)</f>
        <v>121750</v>
      </c>
      <c r="H4" s="30">
        <f>IF(Vendedor1!$E$15="",0,Vendedor1!$E$15)</f>
        <v>800</v>
      </c>
      <c r="J4" s="42">
        <f t="shared" ref="J4:J7" si="0">+C4+E4+G4</f>
        <v>253950</v>
      </c>
      <c r="K4" s="41">
        <f>MROUND(J4*Vendedor1!J$9,50)</f>
        <v>33000</v>
      </c>
      <c r="L4" s="42">
        <f t="shared" ref="L4:L7" si="1">+D4+F4+H4</f>
        <v>800</v>
      </c>
      <c r="M4" s="42">
        <f t="shared" ref="M4:M7" si="2">+L4*85</f>
        <v>68000</v>
      </c>
      <c r="N4" s="42">
        <f>Vendedor1!$F$7+Vendedor1!$F$11+Vendedor1!$F$15</f>
        <v>68000</v>
      </c>
      <c r="P4" s="42">
        <f t="shared" ref="P4:P7" si="3">+J4-K4-N4</f>
        <v>152950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39750</v>
      </c>
      <c r="D5" s="30">
        <f>IF(Vendedor2!$E$7="",0,Vendedor2!$E$7)</f>
        <v>2700</v>
      </c>
      <c r="E5" s="180">
        <f>IF(Vendedor2!$C$11="",0,Vendedor2!$C$11)</f>
        <v>32300</v>
      </c>
      <c r="F5" s="30">
        <f>IF(Vendedor2!$E$11="",0,Vendedor2!$E$11)</f>
        <v>0</v>
      </c>
      <c r="G5" s="180">
        <f>IF(Vendedor2!$C$15="",0,Vendedor2!$C$15)</f>
        <v>59550</v>
      </c>
      <c r="H5" s="30">
        <f>IF(Vendedor2!$E$15="",0,Vendedor2!$E$15)</f>
        <v>2250</v>
      </c>
      <c r="J5" s="42">
        <f t="shared" si="0"/>
        <v>131600</v>
      </c>
      <c r="K5" s="41">
        <f>MROUND(J5*Vendedor2!J$9,50)</f>
        <v>17100</v>
      </c>
      <c r="L5" s="42">
        <f t="shared" si="1"/>
        <v>4950</v>
      </c>
      <c r="M5" s="42">
        <f t="shared" si="2"/>
        <v>420750</v>
      </c>
      <c r="N5" s="42">
        <f>Vendedor2!$F$7+Vendedor2!$F$11+Vendedor2!$F$15</f>
        <v>420750</v>
      </c>
      <c r="P5" s="42">
        <f t="shared" si="3"/>
        <v>-306250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74950</v>
      </c>
      <c r="D8" s="30">
        <f>IF(Vendedor5!$E$7="",0,Vendedor5!$E$7)</f>
        <v>1300</v>
      </c>
      <c r="E8" s="180">
        <f>IF(Vendedor5!$C$11="",0,Vendedor5!$C$11)</f>
        <v>56350</v>
      </c>
      <c r="F8" s="30">
        <f>IF(Vendedor5!$E$11="",0,Vendedor5!$E$11)</f>
        <v>0</v>
      </c>
      <c r="G8" s="180">
        <f>IF(Vendedor5!$C$15="",0,Vendedor5!$C$15)</f>
        <v>44600</v>
      </c>
      <c r="H8" s="30">
        <f>IF(Vendedor5!$E$15="",0,Vendedor5!$E$15)</f>
        <v>0</v>
      </c>
      <c r="J8" s="42">
        <f t="shared" ref="J8" si="4">+C8+E8+G8</f>
        <v>175900</v>
      </c>
      <c r="K8" s="41">
        <f>MROUND(J8*Vendedor5!J$11,50)</f>
        <v>21100</v>
      </c>
      <c r="L8" s="42">
        <f t="shared" ref="L8" si="5">+D8+F8+H8</f>
        <v>1300</v>
      </c>
      <c r="M8" s="42">
        <f t="shared" ref="M8" si="6">+L8*85</f>
        <v>110500</v>
      </c>
      <c r="N8" s="42">
        <f>Vendedor5!$F$7+Vendedor5!$F$11+Vendedor5!$F$15</f>
        <v>110500</v>
      </c>
      <c r="P8" s="42">
        <f t="shared" ref="P8" si="7">+J8-K8-N8</f>
        <v>44300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103250</v>
      </c>
      <c r="D10" s="30">
        <f>IF(Vendedor7!$E$7="",0,Vendedor7!$E$7)</f>
        <v>150</v>
      </c>
      <c r="E10" s="180">
        <f>IF(Vendedor7!$C$11="",0,Vendedor7!$C$11)</f>
        <v>106100</v>
      </c>
      <c r="F10" s="30">
        <f>IF(Vendedor7!$E$11="",0,Vendedor7!$E$11)</f>
        <v>0</v>
      </c>
      <c r="G10" s="180">
        <f>IF(Vendedor7!$C$15="",0,Vendedor7!$C$15)</f>
        <v>150850</v>
      </c>
      <c r="H10" s="30">
        <f>IF(Vendedor7!$E$15="",0,Vendedor7!$E$15)</f>
        <v>2150</v>
      </c>
      <c r="J10" s="42">
        <f t="shared" si="8"/>
        <v>360200</v>
      </c>
      <c r="K10" s="41">
        <f>MROUND(J10*Vendedor7!J$14,50)</f>
        <v>43200</v>
      </c>
      <c r="L10" s="42">
        <f t="shared" si="9"/>
        <v>2300</v>
      </c>
      <c r="M10" s="42">
        <f t="shared" si="10"/>
        <v>195500</v>
      </c>
      <c r="N10" s="42">
        <f>Vendedor7!$F$7+Vendedor7!$F$11+Vendedor7!$F$15</f>
        <v>195500</v>
      </c>
      <c r="P10" s="42">
        <f t="shared" si="11"/>
        <v>121500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15000</v>
      </c>
      <c r="H11" s="30">
        <f>IF(Vendedor8!$E$15="",0,Vendedor8!$E$15)</f>
        <v>0</v>
      </c>
      <c r="J11" s="42">
        <f t="shared" si="8"/>
        <v>15000</v>
      </c>
      <c r="K11" s="41">
        <f>MROUND(J11*Vendedor8!J$11,50)</f>
        <v>1800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13200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23700</v>
      </c>
      <c r="D12" s="30">
        <f>IF(Vendedor9!$E$7="",0,Vendedor9!$E$7)</f>
        <v>200</v>
      </c>
      <c r="E12" s="180">
        <f>IF(Vendedor9!$C$11="",0,Vendedor9!$C$11)</f>
        <v>23300</v>
      </c>
      <c r="F12" s="30">
        <f>IF(Vendedor9!$E$11="",0,Vendedor9!$E$11)</f>
        <v>200</v>
      </c>
      <c r="G12" s="180">
        <f>IF(Vendedor9!$C$15="",0,Vendedor9!$C$15)</f>
        <v>35300</v>
      </c>
      <c r="H12" s="30">
        <f>IF(Vendedor9!$E$15="",0,Vendedor9!$E$15)</f>
        <v>500</v>
      </c>
      <c r="J12" s="42">
        <f t="shared" si="8"/>
        <v>82300</v>
      </c>
      <c r="K12" s="41">
        <f>MROUND(J12*Vendedor9!J$11,50)</f>
        <v>9900</v>
      </c>
      <c r="L12" s="42">
        <f t="shared" si="9"/>
        <v>900</v>
      </c>
      <c r="M12" s="42">
        <f t="shared" si="10"/>
        <v>76500</v>
      </c>
      <c r="N12" s="42">
        <f>Vendedor9!$F$7+Vendedor9!$F$11+Vendedor9!$F$15</f>
        <v>76500</v>
      </c>
      <c r="P12" s="42">
        <f t="shared" si="11"/>
        <v>-4100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26000</v>
      </c>
      <c r="D13" s="30">
        <f>IF(Vendedor10!$E$7="",0,Vendedor10!$E$7)</f>
        <v>0</v>
      </c>
      <c r="E13" s="180">
        <f>IF(Vendedor10!$C$11="",0,Vendedor10!$C$11)</f>
        <v>21900</v>
      </c>
      <c r="F13" s="30">
        <f>IF(Vendedor10!$E$11="",0,Vendedor10!$E$11)</f>
        <v>0</v>
      </c>
      <c r="G13" s="180">
        <f>IF(Vendedor10!$C$15="",0,Vendedor10!$C$15)</f>
        <v>53250</v>
      </c>
      <c r="H13" s="30">
        <f>IF(Vendedor10!$E$15="",0,Vendedor10!$E$15)</f>
        <v>3100</v>
      </c>
      <c r="J13" s="42">
        <f t="shared" si="8"/>
        <v>101150</v>
      </c>
      <c r="K13" s="41">
        <f>MROUND(J13*Vendedor10!J$9,50)</f>
        <v>12150</v>
      </c>
      <c r="L13" s="42">
        <f t="shared" si="9"/>
        <v>3100</v>
      </c>
      <c r="M13" s="42">
        <f t="shared" si="10"/>
        <v>263500</v>
      </c>
      <c r="N13" s="42">
        <f>Vendedor10!$F$7+Vendedor10!$F$11+Vendedor10!$F$15</f>
        <v>263500</v>
      </c>
      <c r="P13" s="42">
        <f t="shared" si="11"/>
        <v>-174500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53950</v>
      </c>
      <c r="D14" s="30">
        <f>IF(Vendedor11!$E$7="",0,Vendedor11!$E$7)</f>
        <v>300</v>
      </c>
      <c r="E14" s="180">
        <f>IF(Vendedor11!$C$11="",0,Vendedor11!$C$11)</f>
        <v>34150</v>
      </c>
      <c r="F14" s="30">
        <f>IF(Vendedor11!$E$11="",0,Vendedor11!$E$11)</f>
        <v>0</v>
      </c>
      <c r="G14" s="180">
        <f>IF(Vendedor11!$C$15="",0,Vendedor11!$C$15)</f>
        <v>55300</v>
      </c>
      <c r="H14" s="30">
        <f>IF(Vendedor11!$E$15="",0,Vendedor11!$E$15)</f>
        <v>250</v>
      </c>
      <c r="J14" s="42">
        <f t="shared" si="8"/>
        <v>143400</v>
      </c>
      <c r="K14" s="41">
        <f>MROUND(J14*Vendedor11!J$9,50)</f>
        <v>21500</v>
      </c>
      <c r="L14" s="42">
        <f t="shared" si="9"/>
        <v>550</v>
      </c>
      <c r="M14" s="42">
        <f t="shared" si="10"/>
        <v>46750</v>
      </c>
      <c r="N14" s="42">
        <f>Vendedor11!$F$7+Vendedor11!$F$11+Vendedor11!$F$15</f>
        <v>44000</v>
      </c>
      <c r="P14" s="42">
        <f t="shared" si="11"/>
        <v>77900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26950</v>
      </c>
      <c r="D16" s="30">
        <f>IF(Vendedor13!$E$7="",0,Vendedor13!$E$7)</f>
        <v>0</v>
      </c>
      <c r="E16" s="180">
        <f>IF(Vendedor13!$C$11="",0,Vendedor13!$C$11)</f>
        <v>27950</v>
      </c>
      <c r="F16" s="30">
        <f>IF(Vendedor13!$E$11="",0,Vendedor13!$E$11)</f>
        <v>0</v>
      </c>
      <c r="G16" s="180">
        <f>IF(Vendedor13!$C$15="",0,Vendedor13!$C$15)</f>
        <v>23250</v>
      </c>
      <c r="H16" s="30">
        <f>IF(Vendedor13!$E$15="",0,Vendedor13!$E$15)</f>
        <v>250</v>
      </c>
      <c r="J16" s="42">
        <f t="shared" si="8"/>
        <v>78150</v>
      </c>
      <c r="K16" s="41">
        <f>MROUND(J16*Vendedor13!J$11,50)</f>
        <v>9400</v>
      </c>
      <c r="L16" s="42">
        <f t="shared" si="9"/>
        <v>250</v>
      </c>
      <c r="M16" s="42">
        <f t="shared" si="10"/>
        <v>21250</v>
      </c>
      <c r="N16" s="42">
        <f>Vendedor13!$F$7+Vendedor13!$F$11+Vendedor13!$F$15</f>
        <v>21250</v>
      </c>
      <c r="P16" s="42">
        <f t="shared" si="11"/>
        <v>47500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422350</v>
      </c>
      <c r="D32" s="44">
        <f t="shared" si="16"/>
        <v>4650</v>
      </c>
      <c r="E32" s="43">
        <f t="shared" si="16"/>
        <v>360450</v>
      </c>
      <c r="F32" s="44">
        <f t="shared" si="16"/>
        <v>200</v>
      </c>
      <c r="G32" s="43">
        <f t="shared" si="16"/>
        <v>558850</v>
      </c>
      <c r="H32" s="44">
        <f t="shared" si="16"/>
        <v>9300</v>
      </c>
      <c r="J32" s="95">
        <f>SUM(J4:J31)</f>
        <v>1341650</v>
      </c>
      <c r="K32" s="45">
        <f>SUM(K7:K31)</f>
        <v>119050</v>
      </c>
      <c r="L32" s="95">
        <f>SUM(L4:L31)</f>
        <v>14150</v>
      </c>
      <c r="M32" s="95">
        <f>SUM(M4:M31)</f>
        <v>1202750</v>
      </c>
      <c r="N32" s="95">
        <f>SUM(N4:N31)</f>
        <v>1200000</v>
      </c>
      <c r="P32" s="79">
        <f>SUM(P4:P31)</f>
        <v>-27500</v>
      </c>
    </row>
    <row r="33" spans="3:13" x14ac:dyDescent="0.35">
      <c r="D33" s="99">
        <f>+D32*85</f>
        <v>395250</v>
      </c>
      <c r="F33" s="99">
        <f>+F32*85</f>
        <v>17000</v>
      </c>
      <c r="H33" s="99">
        <f>+H32*85</f>
        <v>790500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1341650</v>
      </c>
      <c r="E36" s="43">
        <f>+D36-J4-J5-J6</f>
        <v>956100</v>
      </c>
      <c r="G36" s="101"/>
    </row>
    <row r="37" spans="3:13" x14ac:dyDescent="0.35">
      <c r="C37" s="47" t="s">
        <v>33</v>
      </c>
      <c r="D37" s="48">
        <f>D36*13%</f>
        <v>174414.5</v>
      </c>
      <c r="E37">
        <f>+D37-K4-K5-K6</f>
        <v>124314.5</v>
      </c>
      <c r="G37" s="100"/>
      <c r="H37" s="100"/>
    </row>
    <row r="38" spans="3:13" ht="15" thickBot="1" x14ac:dyDescent="0.4">
      <c r="C38" s="47" t="s">
        <v>30</v>
      </c>
      <c r="D38" s="30">
        <f>M32</f>
        <v>1202750</v>
      </c>
      <c r="G38" s="100"/>
      <c r="H38" s="100"/>
    </row>
    <row r="39" spans="3:13" ht="15" thickBot="1" x14ac:dyDescent="0.4">
      <c r="C39" s="49" t="s">
        <v>4</v>
      </c>
      <c r="D39" s="80">
        <f>+D36-D37-D38</f>
        <v>-35514.5</v>
      </c>
      <c r="F39" s="98">
        <f>+P32-D39</f>
        <v>8014.5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-35514.5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88</v>
      </c>
      <c r="D2" s="268"/>
      <c r="E2" s="267">
        <f>DigitaNICA!E2</f>
        <v>96</v>
      </c>
      <c r="F2" s="268"/>
      <c r="G2" s="267">
        <f>DigitaNICA!G2</f>
        <v>44</v>
      </c>
      <c r="H2" s="268"/>
      <c r="I2" s="267" t="str">
        <f>DigitaNICA!I2</f>
        <v>05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56450</v>
      </c>
      <c r="D4" s="78">
        <f>IF(Vendedor1!$E$5="",0,Vendedor1!$E$5)</f>
        <v>4000</v>
      </c>
      <c r="E4" s="189">
        <f>IF(Vendedor1!$C$9="",0,Vendedor1!$C$9)</f>
        <v>6350</v>
      </c>
      <c r="F4" s="78">
        <f>IF(Vendedor1!$E$9="",0,Vendedor1!$E$9)</f>
        <v>0</v>
      </c>
      <c r="G4" s="189">
        <f>IF(Vendedor1!$C$13="",0,Vendedor1!$C$13)</f>
        <v>1400</v>
      </c>
      <c r="H4" s="78">
        <f>IF(Vendedor1!$E$13="",0,Vendedor1!$E$13)</f>
        <v>0</v>
      </c>
      <c r="I4" s="189">
        <f>IF(Vendedor1!$C$17="",0,Vendedor1!$C$17)</f>
        <v>0</v>
      </c>
      <c r="J4" s="78">
        <f>IF(Vendedor1!$E$17="",0,Vendedor1!$E$17)</f>
        <v>0</v>
      </c>
      <c r="L4" s="42">
        <f t="shared" ref="L4:L7" si="0">C4+E4+G4+I4</f>
        <v>64200</v>
      </c>
      <c r="M4" s="41">
        <f>MROUND(L4*Vendedor1!J$10,50)</f>
        <v>8350</v>
      </c>
      <c r="N4" s="42">
        <f t="shared" ref="N4:N7" si="1">D4+F4+H4+J4</f>
        <v>4000</v>
      </c>
      <c r="O4" s="41">
        <f>IFERROR(N4*85,0)</f>
        <v>340000</v>
      </c>
      <c r="P4" s="42">
        <f>Vendedor1!$F$5+Vendedor1!$F$9+Vendedor1!$F$13+Vendedor1!$F$17</f>
        <v>320000</v>
      </c>
      <c r="R4" s="41">
        <f t="shared" ref="R4:R7" si="2">+L4-M4-O4</f>
        <v>-284150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14000</v>
      </c>
      <c r="D5" s="30">
        <f>IF(Vendedor2!$E$5="",0,Vendedor2!$E$5)</f>
        <v>0</v>
      </c>
      <c r="E5" s="180">
        <f>IF(Vendedor2!$C$9="",0,Vendedor2!$C$9)</f>
        <v>8500</v>
      </c>
      <c r="F5" s="30">
        <f>IF(Vendedor2!$E$9="",0,Vendedor2!$E$9)</f>
        <v>0</v>
      </c>
      <c r="G5" s="180">
        <f>IF(Vendedor2!$C$13="",0,Vendedor2!$C$13)</f>
        <v>1000</v>
      </c>
      <c r="H5" s="30">
        <f>IF(Vendedor2!$E$13="",0,Vendedor2!$E$13)</f>
        <v>0</v>
      </c>
      <c r="I5" s="180">
        <f>IF(Vendedor2!$C$17="",0,Vendedor2!$C$17)</f>
        <v>1000</v>
      </c>
      <c r="J5" s="30">
        <f>IF(Vendedor2!$E$17="",0,Vendedor2!$E$17)</f>
        <v>0</v>
      </c>
      <c r="L5" s="42">
        <f t="shared" si="0"/>
        <v>24500</v>
      </c>
      <c r="M5" s="41">
        <f>MROUND(L5*Vendedor2!J$10,50)</f>
        <v>3200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21300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72250</v>
      </c>
      <c r="D8" s="30">
        <f>IF(Vendedor5!$E$5="",0,Vendedor5!$E$5)</f>
        <v>1100</v>
      </c>
      <c r="E8" s="180">
        <f>IF(Vendedor5!$C$9="",0,Vendedor5!$C$9)</f>
        <v>52550</v>
      </c>
      <c r="F8" s="30">
        <f>IF(Vendedor5!$E$9="",0,Vendedor5!$E$9)</f>
        <v>0</v>
      </c>
      <c r="G8" s="180">
        <f>IF(Vendedor5!$C$13="",0,Vendedor5!$C$13)</f>
        <v>15600</v>
      </c>
      <c r="H8" s="30">
        <f>IF(Vendedor5!$E$13="",0,Vendedor5!$E$13)</f>
        <v>0</v>
      </c>
      <c r="I8" s="180">
        <f>IF(Vendedor5!$C$17="",0,Vendedor5!$C$17)</f>
        <v>11700</v>
      </c>
      <c r="J8" s="30">
        <f>IF(Vendedor5!$E$17="",0,Vendedor5!$E$17)</f>
        <v>250</v>
      </c>
      <c r="L8" s="42">
        <f t="shared" ref="L8" si="4">C8+E8+G8+I8</f>
        <v>152100</v>
      </c>
      <c r="M8" s="41">
        <f>MROUND(L8*Vendedor5!J$12,50)</f>
        <v>18250</v>
      </c>
      <c r="N8" s="42">
        <f t="shared" ref="N8" si="5">D8+F8+H8+J8</f>
        <v>1350</v>
      </c>
      <c r="O8" s="41">
        <f t="shared" si="3"/>
        <v>114750</v>
      </c>
      <c r="P8" s="42">
        <f>Vendedor5!$F$5+Vendedor5!$F$9+Vendedor5!$F$13+Vendedor5!$F$17</f>
        <v>108000</v>
      </c>
      <c r="Q8">
        <v>17</v>
      </c>
      <c r="R8" s="41">
        <f t="shared" ref="R8" si="6">+L8-M8-O8</f>
        <v>19100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56750</v>
      </c>
      <c r="D10" s="30">
        <f>IF(Vendedor7!$E$5="",0,Vendedor7!$E$5)</f>
        <v>350</v>
      </c>
      <c r="E10" s="180">
        <f>IF(Vendedor7!$C$9="",0,Vendedor7!$C$9)</f>
        <v>76600</v>
      </c>
      <c r="F10" s="30">
        <f>IF(Vendedor7!$E$9="",0,Vendedor7!$E$9)</f>
        <v>1600</v>
      </c>
      <c r="G10" s="180">
        <f>IF(Vendedor7!$C$13="",0,Vendedor7!$C$13)</f>
        <v>25450</v>
      </c>
      <c r="H10" s="30">
        <f>IF(Vendedor7!$E$13="",0,Vendedor7!$E$13)</f>
        <v>0</v>
      </c>
      <c r="I10" s="180">
        <f>IF(Vendedor7!$C$17="",0,Vendedor7!$C$17)</f>
        <v>107050</v>
      </c>
      <c r="J10" s="30">
        <f>IF(Vendedor7!$E$17="",0,Vendedor7!$E$17)</f>
        <v>2150</v>
      </c>
      <c r="L10" s="42">
        <f t="shared" si="7"/>
        <v>265850</v>
      </c>
      <c r="M10" s="41">
        <f>MROUND(L10*Vendedor7!J$15,50)</f>
        <v>31900</v>
      </c>
      <c r="N10" s="42">
        <f t="shared" ref="N10:N27" si="9">D10+F10+H10+J10</f>
        <v>4100</v>
      </c>
      <c r="O10" s="41">
        <f t="shared" si="3"/>
        <v>348500</v>
      </c>
      <c r="P10" s="42">
        <f>Vendedor7!$F$5+Vendedor7!$F$9+Vendedor7!$F$13+Vendedor7!$F$17</f>
        <v>348500</v>
      </c>
      <c r="R10" s="41">
        <f t="shared" si="8"/>
        <v>-114550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35500</v>
      </c>
      <c r="D12" s="30">
        <f>IF(Vendedor9!$E$5="",0,Vendedor9!$E$5)</f>
        <v>750</v>
      </c>
      <c r="E12" s="180">
        <f>IF(Vendedor9!$C$9="",0,Vendedor9!$C$9)</f>
        <v>28100</v>
      </c>
      <c r="F12" s="30">
        <f>IF(Vendedor9!$E$9="",0,Vendedor9!$E$9)</f>
        <v>500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63600</v>
      </c>
      <c r="M12" s="41">
        <f>MROUND(L12*Vendedor9!J$12,50)</f>
        <v>7650</v>
      </c>
      <c r="N12" s="42">
        <f t="shared" si="9"/>
        <v>1250</v>
      </c>
      <c r="O12" s="41">
        <f t="shared" si="3"/>
        <v>106250</v>
      </c>
      <c r="P12" s="42">
        <f>Vendedor9!$F$5+Vendedor9!$F$9+Vendedor9!$F$13+Vendedor9!$F$17</f>
        <v>106250</v>
      </c>
      <c r="R12" s="41">
        <f t="shared" si="8"/>
        <v>-50300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10500</v>
      </c>
      <c r="D13" s="30">
        <f>IF(Vendedor10!$E$5="",0,Vendedor10!$E$5)</f>
        <v>200</v>
      </c>
      <c r="E13" s="180">
        <f>IF(Vendedor10!$C$9="",0,Vendedor10!$C$9)</f>
        <v>17650</v>
      </c>
      <c r="F13" s="30">
        <f>IF(Vendedor10!$E$9="",0,Vendedor10!$E$9)</f>
        <v>0</v>
      </c>
      <c r="G13" s="180">
        <f>IF(Vendedor10!$C$13="",0,Vendedor10!$C$13)</f>
        <v>14750</v>
      </c>
      <c r="H13" s="30">
        <f>IF(Vendedor10!$E$13="",0,Vendedor10!$E$13)</f>
        <v>0</v>
      </c>
      <c r="I13" s="180">
        <f>IF(Vendedor10!$C$17="",0,Vendedor10!$C$17)</f>
        <v>2850</v>
      </c>
      <c r="J13" s="30">
        <f>IF(Vendedor10!$E$17="",0,Vendedor10!$E$17)</f>
        <v>0</v>
      </c>
      <c r="L13" s="42">
        <f t="shared" si="7"/>
        <v>45750</v>
      </c>
      <c r="M13" s="41">
        <f>MROUND(L13*Vendedor10!J$10,50)</f>
        <v>5500</v>
      </c>
      <c r="N13" s="42">
        <f t="shared" si="9"/>
        <v>200</v>
      </c>
      <c r="O13" s="41">
        <f t="shared" si="3"/>
        <v>17000</v>
      </c>
      <c r="P13" s="42">
        <f>Vendedor10!$F$5+Vendedor10!$F$9+Vendedor10!$F$13+Vendedor10!$F$17</f>
        <v>16000</v>
      </c>
      <c r="R13" s="41">
        <f t="shared" si="8"/>
        <v>23250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13000</v>
      </c>
      <c r="D16" s="30">
        <f>IF(Vendedor13!$E$5="",0,Vendedor13!$E$5)</f>
        <v>0</v>
      </c>
      <c r="E16" s="180">
        <f>IF(Vendedor13!$C$9="",0,Vendedor13!$C$9)</f>
        <v>15200</v>
      </c>
      <c r="F16" s="30">
        <f>IF(Vendedor13!$E$9="",0,Vendedor13!$E$9)</f>
        <v>0</v>
      </c>
      <c r="G16" s="180">
        <f>IF(Vendedor13!$C$13="",0,Vendedor13!$C$13)</f>
        <v>12700</v>
      </c>
      <c r="H16" s="30">
        <f>IF(Vendedor13!$E$13="",0,Vendedor13!$E$13)</f>
        <v>0</v>
      </c>
      <c r="I16" s="180">
        <f>IF(Vendedor13!$C$17="",0,Vendedor13!$C$17)</f>
        <v>24800</v>
      </c>
      <c r="J16" s="30">
        <f>IF(Vendedor13!$E$17="",0,Vendedor13!$E$17)</f>
        <v>0</v>
      </c>
      <c r="L16" s="42">
        <f t="shared" si="7"/>
        <v>65700</v>
      </c>
      <c r="M16" s="41">
        <f>MROUND(L16*Vendedor13!J$12,50)</f>
        <v>7900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57800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0</v>
      </c>
      <c r="D17" s="30">
        <f>IF(Vendedor14!$E$5="",0,Vendedor14!$E$5)</f>
        <v>0</v>
      </c>
      <c r="E17" s="180">
        <f>IF(Vendedor14!$C$9="",0,Vendedor14!$C$9)</f>
        <v>0</v>
      </c>
      <c r="F17" s="30">
        <f>IF(Vendedor14!$E$9="",0,Vendedor14!$E$9)</f>
        <v>0</v>
      </c>
      <c r="G17" s="180">
        <f>IF(Vendedor14!$C$13="",0,Vendedor14!$C$13)</f>
        <v>0</v>
      </c>
      <c r="H17" s="30">
        <f>IF(Vendedor14!$E$13="",0,Vendedor14!$E$13)</f>
        <v>0</v>
      </c>
      <c r="I17" s="180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0</v>
      </c>
      <c r="D18" s="30">
        <f>IF(Vendedor15!$E$5="",0,Vendedor15!$E$5)</f>
        <v>0</v>
      </c>
      <c r="E18" s="180">
        <f>IF(Vendedor15!$C$9="",0,Vendedor15!$C$9)</f>
        <v>0</v>
      </c>
      <c r="F18" s="30">
        <f>IF(Vendedor15!$E$9="",0,Vendedor15!$E$9)</f>
        <v>0</v>
      </c>
      <c r="G18" s="180">
        <f>IF(Vendedor15!$C$13="",0,Vendedor15!$C$13)</f>
        <v>0</v>
      </c>
      <c r="H18" s="30">
        <f>IF(Vendedor15!$E$13="",0,Vendedor15!$E$13)</f>
        <v>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258450</v>
      </c>
      <c r="D32" s="44">
        <f t="shared" si="14"/>
        <v>6400</v>
      </c>
      <c r="E32" s="43">
        <f t="shared" si="14"/>
        <v>204950</v>
      </c>
      <c r="F32" s="44">
        <f t="shared" si="14"/>
        <v>2100</v>
      </c>
      <c r="G32" s="43">
        <f t="shared" si="14"/>
        <v>70900</v>
      </c>
      <c r="H32" s="44">
        <f t="shared" si="14"/>
        <v>0</v>
      </c>
      <c r="I32" s="43">
        <f t="shared" si="14"/>
        <v>147400</v>
      </c>
      <c r="J32" s="44">
        <f t="shared" si="14"/>
        <v>2400</v>
      </c>
      <c r="L32" s="45">
        <f>SUM(L4:L31)</f>
        <v>681700</v>
      </c>
      <c r="M32" s="45">
        <f>SUM(M7:M31)</f>
        <v>71200</v>
      </c>
      <c r="N32" s="95">
        <f>SUM(N4:N31)</f>
        <v>10900</v>
      </c>
      <c r="O32" s="46">
        <f>SUM(O4:O31)</f>
        <v>926500</v>
      </c>
      <c r="P32" s="140">
        <f>SUM(P4:P31)</f>
        <v>898750</v>
      </c>
      <c r="R32" s="79">
        <f>SUM(R4:R31)</f>
        <v>-327550</v>
      </c>
    </row>
    <row r="33" spans="3:15" x14ac:dyDescent="0.35">
      <c r="D33" s="120">
        <f>+D32*85</f>
        <v>544000</v>
      </c>
      <c r="F33" s="120">
        <f>+F32*85</f>
        <v>178500</v>
      </c>
      <c r="H33" s="120">
        <f>+H32*85</f>
        <v>0</v>
      </c>
      <c r="J33" s="120">
        <f>+J32*85</f>
        <v>204000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681700</v>
      </c>
      <c r="E36" s="43">
        <f>+D36-L4-L5-L6</f>
        <v>593000</v>
      </c>
    </row>
    <row r="37" spans="3:15" x14ac:dyDescent="0.35">
      <c r="C37" s="47" t="s">
        <v>33</v>
      </c>
      <c r="D37" s="48">
        <f>D36*13%</f>
        <v>88621</v>
      </c>
      <c r="E37">
        <f>+D37-M4-M5-M6</f>
        <v>77071</v>
      </c>
    </row>
    <row r="38" spans="3:15" x14ac:dyDescent="0.35">
      <c r="C38" s="47" t="s">
        <v>30</v>
      </c>
      <c r="D38" s="30">
        <f>SUM(O4:O27)</f>
        <v>926500</v>
      </c>
      <c r="G38" s="100"/>
    </row>
    <row r="39" spans="3:15" ht="15" thickBot="1" x14ac:dyDescent="0.4">
      <c r="C39" s="49" t="s">
        <v>4</v>
      </c>
      <c r="D39" s="80">
        <f>+D36-D37-D38</f>
        <v>-333421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-333421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07 Blanca</v>
      </c>
      <c r="D2" s="268"/>
      <c r="E2" s="267" t="str">
        <f>IF(E33=0,"",CONCATENATE(PREMIOS!$B11," ",PREMIOS!$B12))</f>
        <v>86 Blanca</v>
      </c>
      <c r="F2" s="268"/>
      <c r="G2" s="267" t="str">
        <f>IF(G33=0,"",CONCATENATE(PREMIOS!$B15," ",PREMIOS!$B16))</f>
        <v>12 Roja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19800</v>
      </c>
      <c r="D10" s="30">
        <f>IF(Vendedor7!$E$8="",0,Vendedor7!$E$8)</f>
        <v>0</v>
      </c>
      <c r="E10" s="180">
        <f>IF(Vendedor7!$C$12="",0,Vendedor7!$C$12)</f>
        <v>18000</v>
      </c>
      <c r="F10" s="30">
        <f>IF(Vendedor7!$E$12="",0,Vendedor7!$E$12)</f>
        <v>0</v>
      </c>
      <c r="G10" s="180">
        <f>IF(Vendedor7!$C$16="",0,Vendedor7!$C$16)</f>
        <v>16550</v>
      </c>
      <c r="H10" s="30">
        <f>IF(Vendedor7!$E$16="",0,Vendedor7!$E$16)</f>
        <v>500</v>
      </c>
      <c r="J10" s="42">
        <f t="shared" si="1"/>
        <v>54350</v>
      </c>
      <c r="K10" s="41">
        <f>J10*Vendedor7!J$16</f>
        <v>5435</v>
      </c>
      <c r="L10" s="42">
        <f t="shared" si="2"/>
        <v>500</v>
      </c>
      <c r="M10" s="42">
        <f t="shared" si="3"/>
        <v>500</v>
      </c>
      <c r="N10" s="42">
        <f t="shared" si="0"/>
        <v>110000</v>
      </c>
      <c r="O10" s="42">
        <f>Vendedor7!$F$8+Vendedor7!$F$12+Vendedor7!$F$16</f>
        <v>100000</v>
      </c>
      <c r="Q10" s="42">
        <f t="shared" si="4"/>
        <v>-51085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3950</v>
      </c>
      <c r="D12" s="30">
        <f>IF(Vendedor9!$E$8="",0,Vendedor9!$E$8)</f>
        <v>0</v>
      </c>
      <c r="E12" s="180">
        <f>IF(Vendedor9!$C$12="",0,Vendedor9!$C$12)</f>
        <v>4000</v>
      </c>
      <c r="F12" s="30">
        <f>IF(Vendedor9!$E$12="",0,Vendedor9!$E$12)</f>
        <v>0</v>
      </c>
      <c r="G12" s="180">
        <f>IF(Vendedor9!$C$16="",0,Vendedor9!$C$16)</f>
        <v>3900</v>
      </c>
      <c r="H12" s="30">
        <f>IF(Vendedor9!$E$16="",0,Vendedor9!$E$16)</f>
        <v>0</v>
      </c>
      <c r="J12" s="42">
        <f t="shared" si="1"/>
        <v>11850</v>
      </c>
      <c r="K12" s="41">
        <f>J12*Vendedor9!J$13</f>
        <v>1185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10665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0</v>
      </c>
      <c r="K16" s="41">
        <f>J16*Vendedor13!J$13</f>
        <v>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23750</v>
      </c>
      <c r="D33" s="44">
        <f>IF(PREMIOS!E8&lt;&gt;0,SUM(D4:D32),0)</f>
        <v>0</v>
      </c>
      <c r="E33" s="43">
        <f>SUM(E4:E32)</f>
        <v>22000</v>
      </c>
      <c r="F33" s="44">
        <f>IF(PREMIOS!E12&lt;&gt;0,SUM(F4:F32),0)</f>
        <v>0</v>
      </c>
      <c r="G33" s="43">
        <f>SUM(G4:G32)</f>
        <v>20450</v>
      </c>
      <c r="H33" s="44">
        <f>IF(PREMIOS!E16&lt;&gt;0,SUM(H4:H32),0)</f>
        <v>500</v>
      </c>
      <c r="J33" s="45">
        <f>SUM(J4:J32)</f>
        <v>66200</v>
      </c>
      <c r="K33" s="45">
        <f>SUM(K7:K32)</f>
        <v>6620</v>
      </c>
      <c r="L33" s="95">
        <f>SUM(L7:L32)</f>
        <v>500</v>
      </c>
      <c r="M33" s="95">
        <f>SUM(M7:M32)</f>
        <v>500</v>
      </c>
      <c r="N33" s="95">
        <f>SUM(N4:N27)</f>
        <v>110000</v>
      </c>
      <c r="O33" s="95">
        <f>SUM(O4:O27)</f>
        <v>100000</v>
      </c>
      <c r="Q33" s="79">
        <f>SUM(Q4:Q32)</f>
        <v>-40420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110000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66200</v>
      </c>
      <c r="E37" s="43">
        <f>+D37-J4-J5-J6</f>
        <v>66200</v>
      </c>
      <c r="F37" s="275"/>
      <c r="G37" s="275"/>
    </row>
    <row r="38" spans="3:17" ht="15" thickBot="1" x14ac:dyDescent="0.4">
      <c r="C38" s="47" t="s">
        <v>33</v>
      </c>
      <c r="D38" s="30">
        <f>D37*10%</f>
        <v>6620</v>
      </c>
      <c r="E38" s="43">
        <f>+D38-K4-K5-K6</f>
        <v>6620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110000</v>
      </c>
    </row>
    <row r="40" spans="3:17" ht="15" thickBot="1" x14ac:dyDescent="0.4">
      <c r="C40" s="49" t="s">
        <v>4</v>
      </c>
      <c r="D40" s="80">
        <f>+D37-D38-D39</f>
        <v>-50420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-50420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14</v>
      </c>
      <c r="D2" s="268"/>
      <c r="E2" s="267">
        <f>DigitaPRIMERA!E2</f>
        <v>39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10800</v>
      </c>
      <c r="D4" s="78">
        <f>IF(Vendedor1!$E$19="",0,Vendedor1!$E$19)</f>
        <v>0</v>
      </c>
      <c r="E4" s="189">
        <f>IF(Vendedor1!$C$20="",0,Vendedor1!$C$20)</f>
        <v>2000</v>
      </c>
      <c r="F4" s="78">
        <f>IF(Vendedor1!$E$20="",0,Vendedor1!$E$20)</f>
        <v>0</v>
      </c>
      <c r="H4" s="42">
        <f>+C4+E4</f>
        <v>12800</v>
      </c>
      <c r="I4" s="41">
        <f>MROUND(H4*Vendedor1!J$9,50)</f>
        <v>1650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11150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5000</v>
      </c>
      <c r="D5" s="30">
        <f>IF(Vendedor2!$E$19="",0,Vendedor2!$E$19)</f>
        <v>0</v>
      </c>
      <c r="E5" s="180">
        <f>IF(Vendedor2!$C$20="",0,Vendedor2!$C$20)</f>
        <v>8000</v>
      </c>
      <c r="F5" s="30">
        <f>IF(Vendedor2!$E$20="",0,Vendedor2!$E$20)</f>
        <v>0</v>
      </c>
      <c r="H5" s="42">
        <f t="shared" ref="H5:H31" si="1">+C5+E5</f>
        <v>13000</v>
      </c>
      <c r="I5" s="41">
        <f>MROUND(H5*Vendedor2!J$9,50)</f>
        <v>1700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11300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30050</v>
      </c>
      <c r="D8" s="30">
        <f>IF(Vendedor5!$E$19="",0,Vendedor5!$E$19)</f>
        <v>0</v>
      </c>
      <c r="E8" s="180">
        <f>IF(Vendedor5!$C$20="",0,Vendedor5!$C$20)</f>
        <v>16950</v>
      </c>
      <c r="F8" s="30">
        <f>IF(Vendedor5!$E$20="",0,Vendedor5!$E$20)</f>
        <v>0</v>
      </c>
      <c r="H8" s="133">
        <f t="shared" si="1"/>
        <v>47000</v>
      </c>
      <c r="I8" s="148">
        <f>MROUND(H8*Vendedor5!J$11,50)</f>
        <v>5650</v>
      </c>
      <c r="J8" s="133">
        <f t="shared" si="2"/>
        <v>0</v>
      </c>
      <c r="K8" s="133">
        <f t="shared" si="3"/>
        <v>0</v>
      </c>
      <c r="L8" s="133">
        <f>Vendedor5!$F$19+Vendedor5!$F$20</f>
        <v>0</v>
      </c>
      <c r="M8" s="155"/>
      <c r="N8" s="133">
        <f t="shared" si="0"/>
        <v>41350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21350</v>
      </c>
      <c r="D10" s="30">
        <f>IF(Vendedor7!$E$19="",0,Vendedor7!$E$19)</f>
        <v>50</v>
      </c>
      <c r="E10" s="180">
        <f>IF(Vendedor7!$C$20="",0,Vendedor7!$C$20)</f>
        <v>17850</v>
      </c>
      <c r="F10" s="30">
        <f>IF(Vendedor7!$E$20="",0,Vendedor7!$E$20)</f>
        <v>150</v>
      </c>
      <c r="H10" s="42">
        <f t="shared" si="1"/>
        <v>39200</v>
      </c>
      <c r="I10" s="41">
        <f>MROUND(H10*Vendedor7!J$14,50)</f>
        <v>4700</v>
      </c>
      <c r="J10" s="42">
        <f t="shared" si="2"/>
        <v>200</v>
      </c>
      <c r="K10" s="42">
        <f t="shared" si="3"/>
        <v>17000</v>
      </c>
      <c r="L10" s="42">
        <f>Vendedor7!$F$19+Vendedor7!$F$20</f>
        <v>17000</v>
      </c>
      <c r="N10" s="42">
        <f t="shared" si="0"/>
        <v>17500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22300</v>
      </c>
      <c r="D12" s="30">
        <f>IF(Vendedor9!$E$19="",0,Vendedor9!$E$19)</f>
        <v>400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22300</v>
      </c>
      <c r="I12" s="148">
        <f>MROUND(H12*Vendedor9!J$11,50)</f>
        <v>2700</v>
      </c>
      <c r="J12" s="133">
        <f t="shared" si="2"/>
        <v>400</v>
      </c>
      <c r="K12" s="133">
        <f t="shared" si="3"/>
        <v>34000</v>
      </c>
      <c r="L12" s="133">
        <f>Vendedor9!$F$19+Vendedor9!$F$20</f>
        <v>34000</v>
      </c>
      <c r="M12" s="155"/>
      <c r="N12" s="133">
        <f t="shared" si="0"/>
        <v>-14400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10900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10900</v>
      </c>
      <c r="I16" s="148">
        <f>MROUND(H16*Vendedor13!J$11,50)</f>
        <v>1300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9600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0</v>
      </c>
      <c r="D17" s="30">
        <f>IF(Vendedor14!$E$19="",0,Vendedor14!$E$19)</f>
        <v>0</v>
      </c>
      <c r="E17" s="180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0</v>
      </c>
      <c r="D18" s="30">
        <f>IF(Vendedor15!$E$19="",0,Vendedor15!$E$19)</f>
        <v>0</v>
      </c>
      <c r="E18" s="180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100400</v>
      </c>
      <c r="D32" s="44">
        <f>SUM(D4:D31)</f>
        <v>450</v>
      </c>
      <c r="E32" s="43">
        <f>SUM(E4:E31)</f>
        <v>44800</v>
      </c>
      <c r="F32" s="44">
        <f>SUM(F4:F31)</f>
        <v>150</v>
      </c>
      <c r="H32" s="95">
        <f>SUM(H4:H31)</f>
        <v>145200</v>
      </c>
      <c r="I32" s="45">
        <f>SUM(I7:I31)</f>
        <v>14350</v>
      </c>
      <c r="J32" s="95"/>
      <c r="K32" s="95">
        <f>SUM(K4:K31)</f>
        <v>51000</v>
      </c>
      <c r="L32" s="95">
        <f>SUM(L4:L31)</f>
        <v>51000</v>
      </c>
      <c r="N32" s="79">
        <f>SUM(N4:N31)</f>
        <v>76500</v>
      </c>
    </row>
    <row r="33" spans="3:6" x14ac:dyDescent="0.35">
      <c r="D33" s="99">
        <f>+D32*85</f>
        <v>38250</v>
      </c>
      <c r="F33" s="99">
        <f>+F32*85</f>
        <v>12750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145200</v>
      </c>
      <c r="E36" s="43">
        <f>+D36-H4-H5-H6</f>
        <v>119400</v>
      </c>
    </row>
    <row r="37" spans="3:6" x14ac:dyDescent="0.35">
      <c r="C37" s="47" t="s">
        <v>33</v>
      </c>
      <c r="D37" s="48">
        <f>D36*13%</f>
        <v>18876</v>
      </c>
      <c r="E37">
        <f>+D37-I4-I5-I6</f>
        <v>15526</v>
      </c>
    </row>
    <row r="38" spans="3:6" ht="15" thickBot="1" x14ac:dyDescent="0.4">
      <c r="C38" s="47" t="s">
        <v>30</v>
      </c>
      <c r="D38" s="30">
        <f>SUM(K4:K27)</f>
        <v>51000</v>
      </c>
    </row>
    <row r="39" spans="3:6" ht="15" thickBot="1" x14ac:dyDescent="0.4">
      <c r="C39" s="49" t="s">
        <v>4</v>
      </c>
      <c r="D39" s="80">
        <f>+D36-D37-D38</f>
        <v>75324</v>
      </c>
      <c r="F39" s="98">
        <f>+N32-D39</f>
        <v>1176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75324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65</v>
      </c>
      <c r="D2" s="268"/>
      <c r="E2" s="267">
        <f>DigitaHONDURAS!E2</f>
        <v>36</v>
      </c>
      <c r="F2" s="268"/>
      <c r="G2" s="267">
        <f>DigitaHONDURAS!G2</f>
        <v>96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39900</v>
      </c>
      <c r="D10" s="30">
        <f>IF(Vendedor7!$E$21="",0,Vendedor7!$E$21)</f>
        <v>100</v>
      </c>
      <c r="E10" s="180">
        <f>IF(Vendedor7!$C$22="",0,Vendedor7!$C$22)</f>
        <v>16550</v>
      </c>
      <c r="F10" s="30">
        <f>IF(Vendedor7!$E$22="",0,Vendedor7!$E$22)</f>
        <v>0</v>
      </c>
      <c r="G10" s="180">
        <f>IF(Vendedor7!$C$23="",0,Vendedor7!$C$23)</f>
        <v>11250</v>
      </c>
      <c r="H10" s="30">
        <f>IF(Vendedor7!$E$23="",0,Vendedor7!$E$23)</f>
        <v>0</v>
      </c>
      <c r="J10" s="42">
        <f t="shared" si="0"/>
        <v>67700</v>
      </c>
      <c r="K10" s="41">
        <f>MROUND(J10*Vendedor7!J$14,50)</f>
        <v>8100</v>
      </c>
      <c r="L10" s="42">
        <f t="shared" si="1"/>
        <v>100</v>
      </c>
      <c r="M10" s="42">
        <f t="shared" si="3"/>
        <v>8500</v>
      </c>
      <c r="N10" s="42">
        <f>Vendedor7!$F$21+Vendedor7!$F$22+Vendedor7!$F$23</f>
        <v>8500</v>
      </c>
      <c r="P10" s="42">
        <f t="shared" si="2"/>
        <v>51100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0</v>
      </c>
      <c r="D17" s="30">
        <f>IF(Vendedor14!$E$21="",0,Vendedor14!$E$21)</f>
        <v>0</v>
      </c>
      <c r="E17" s="180">
        <f>IF(Vendedor14!$C$22="",0,Vendedor14!$C$22)</f>
        <v>0</v>
      </c>
      <c r="F17" s="30">
        <f>IF(Vendedor14!$E$22="",0,Vendedor14!$E$22)</f>
        <v>0</v>
      </c>
      <c r="G17" s="180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0</v>
      </c>
      <c r="D18" s="30">
        <f>IF(Vendedor15!$E$21="",0,Vendedor15!$E$21)</f>
        <v>0</v>
      </c>
      <c r="E18" s="180">
        <f>IF(Vendedor15!$C$22="",0,Vendedor15!$C$22)</f>
        <v>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39900</v>
      </c>
      <c r="D32" s="44">
        <f t="shared" si="8"/>
        <v>100</v>
      </c>
      <c r="E32" s="43">
        <f t="shared" si="8"/>
        <v>16550</v>
      </c>
      <c r="F32" s="44">
        <f t="shared" si="8"/>
        <v>0</v>
      </c>
      <c r="G32" s="43">
        <f t="shared" si="8"/>
        <v>11250</v>
      </c>
      <c r="H32" s="44">
        <f t="shared" si="8"/>
        <v>0</v>
      </c>
      <c r="J32" s="95">
        <f>SUM(J4:J31)</f>
        <v>67700</v>
      </c>
      <c r="K32" s="45">
        <f>SUM(K7:K31)</f>
        <v>8100</v>
      </c>
      <c r="L32" s="95"/>
      <c r="M32" s="95">
        <f>SUM(M4:M31)</f>
        <v>8500</v>
      </c>
      <c r="N32" s="95">
        <f>SUM(N4:N31)</f>
        <v>8500</v>
      </c>
      <c r="P32" s="79">
        <f>SUM(P4:P31)</f>
        <v>51100</v>
      </c>
    </row>
    <row r="33" spans="3:8" x14ac:dyDescent="0.35">
      <c r="D33" s="99">
        <f>+D32*85</f>
        <v>8500</v>
      </c>
      <c r="F33" s="99">
        <f>+F32*85</f>
        <v>0</v>
      </c>
      <c r="H33" s="99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67700</v>
      </c>
      <c r="E36" s="43">
        <f>+D36-J4-J5-J6</f>
        <v>67700</v>
      </c>
    </row>
    <row r="37" spans="3:8" x14ac:dyDescent="0.35">
      <c r="C37" s="47" t="s">
        <v>33</v>
      </c>
      <c r="D37" s="48">
        <f>D36*13%</f>
        <v>8801</v>
      </c>
      <c r="E37">
        <f>+D37-K4-K5-K6</f>
        <v>8801</v>
      </c>
    </row>
    <row r="38" spans="3:8" ht="15" thickBot="1" x14ac:dyDescent="0.4">
      <c r="C38" s="47" t="s">
        <v>30</v>
      </c>
      <c r="D38" s="30">
        <f>SUM(M4:M27)</f>
        <v>8500</v>
      </c>
      <c r="G38" s="100"/>
    </row>
    <row r="39" spans="3:8" ht="15" thickBot="1" x14ac:dyDescent="0.4">
      <c r="C39" s="49" t="s">
        <v>4</v>
      </c>
      <c r="D39" s="80">
        <f>+D36-D37-D38</f>
        <v>50399</v>
      </c>
      <c r="F39" s="98">
        <f>+P32-D39</f>
        <v>701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50399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67</v>
      </c>
      <c r="D2" s="268"/>
      <c r="E2" s="267">
        <f>DigitaDOMINICANA!E2</f>
        <v>76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41750</v>
      </c>
      <c r="D10" s="30">
        <f>IF(Vendedor7!$E$24="",0,Vendedor7!$E$24)</f>
        <v>0</v>
      </c>
      <c r="E10" s="180">
        <f>IF(Vendedor7!$C$25="",0,Vendedor7!$C$25)</f>
        <v>44250</v>
      </c>
      <c r="F10" s="30">
        <f>IF(Vendedor7!$E$25="",0,Vendedor7!$E$25)</f>
        <v>0</v>
      </c>
      <c r="H10" s="42">
        <f t="shared" si="1"/>
        <v>86000</v>
      </c>
      <c r="I10" s="41">
        <f>MROUND(H10*Vendedor7!J$14,50)</f>
        <v>10300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75700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41750</v>
      </c>
      <c r="D32" s="44">
        <f>SUM(D4:D31)</f>
        <v>0</v>
      </c>
      <c r="E32" s="43">
        <f>SUM(E4:E31)</f>
        <v>44250</v>
      </c>
      <c r="F32" s="44">
        <f>SUM(F4:F31)</f>
        <v>0</v>
      </c>
      <c r="H32" s="95">
        <f>SUM(H4:H31)</f>
        <v>86000</v>
      </c>
      <c r="I32" s="45">
        <f>SUM(I7:I31)</f>
        <v>10300</v>
      </c>
      <c r="J32" s="95"/>
      <c r="K32" s="95">
        <f>SUM(K4:K31)</f>
        <v>0</v>
      </c>
      <c r="L32" s="95">
        <f>SUM(L4:L31)</f>
        <v>0</v>
      </c>
      <c r="N32" s="79">
        <f>SUM(N4:N31)</f>
        <v>75700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86000</v>
      </c>
      <c r="E36" s="43">
        <f>+D36-H4-H5-H6</f>
        <v>86000</v>
      </c>
    </row>
    <row r="37" spans="3:6" x14ac:dyDescent="0.35">
      <c r="C37" s="47" t="s">
        <v>33</v>
      </c>
      <c r="D37" s="48">
        <f>D36*13%</f>
        <v>11180</v>
      </c>
      <c r="E37">
        <f>+D37-I4-I5-I6</f>
        <v>11180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74820</v>
      </c>
      <c r="F39" s="98">
        <f>+N32-D39</f>
        <v>880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74820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09-06-2026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593000</v>
      </c>
      <c r="C4" s="157">
        <f>HojaNICA!M32</f>
        <v>71200</v>
      </c>
      <c r="D4" s="150">
        <f>HojaNICA!E37</f>
        <v>77071</v>
      </c>
      <c r="E4" s="150">
        <f>HojaNICA!P32</f>
        <v>898750</v>
      </c>
      <c r="F4" s="150">
        <f>HojaNICA!O32</f>
        <v>926500</v>
      </c>
      <c r="G4" s="151">
        <f t="shared" ref="G4:G10" si="0">+D4-C4+F4-E4</f>
        <v>33621</v>
      </c>
      <c r="H4" s="21"/>
      <c r="I4" s="182"/>
    </row>
    <row r="5" spans="1:9" x14ac:dyDescent="0.35">
      <c r="A5" s="28" t="s">
        <v>19</v>
      </c>
      <c r="B5" s="156">
        <f>HojaTICA!$E$36</f>
        <v>956100</v>
      </c>
      <c r="C5" s="157">
        <f>HojaTICA!K32</f>
        <v>119050</v>
      </c>
      <c r="D5" s="150">
        <f>HojaTICA!E37</f>
        <v>124314.5</v>
      </c>
      <c r="E5" s="150">
        <f>HojaTICA!N32</f>
        <v>1200000</v>
      </c>
      <c r="F5" s="150">
        <f>HojaTICA!D38</f>
        <v>1202750</v>
      </c>
      <c r="G5" s="151">
        <f t="shared" si="0"/>
        <v>8014.5</v>
      </c>
      <c r="H5" s="21"/>
      <c r="I5" s="182"/>
    </row>
    <row r="6" spans="1:9" x14ac:dyDescent="0.35">
      <c r="A6" s="28" t="s">
        <v>125</v>
      </c>
      <c r="B6" s="156">
        <f>HojaREVENTADO!$E$37</f>
        <v>66200</v>
      </c>
      <c r="C6" s="157">
        <f>HojaREVENTADO!K33</f>
        <v>6620</v>
      </c>
      <c r="D6" s="150">
        <f>HojaREVENTADO!E38</f>
        <v>6620</v>
      </c>
      <c r="E6" s="150">
        <f>HojaREVENTADO!O33</f>
        <v>100000</v>
      </c>
      <c r="F6" s="150">
        <f>HojaREVENTADO!N33</f>
        <v>110000</v>
      </c>
      <c r="G6" s="151">
        <f t="shared" si="0"/>
        <v>10000</v>
      </c>
      <c r="H6" s="21"/>
      <c r="I6" s="182"/>
    </row>
    <row r="7" spans="1:9" x14ac:dyDescent="0.35">
      <c r="A7" s="28" t="s">
        <v>96</v>
      </c>
      <c r="B7" s="156">
        <f>HojaPrimera!$E$36</f>
        <v>119400</v>
      </c>
      <c r="C7" s="157">
        <f>HojaPrimera!I32</f>
        <v>14350</v>
      </c>
      <c r="D7" s="150">
        <f>HojaPrimera!E37</f>
        <v>15526</v>
      </c>
      <c r="E7" s="150">
        <f>HojaPrimera!L32</f>
        <v>51000</v>
      </c>
      <c r="F7" s="150">
        <f>HojaPrimera!K32</f>
        <v>51000</v>
      </c>
      <c r="G7" s="151">
        <f t="shared" si="0"/>
        <v>1176</v>
      </c>
      <c r="H7" s="21"/>
      <c r="I7" s="21"/>
    </row>
    <row r="8" spans="1:9" x14ac:dyDescent="0.35">
      <c r="A8" s="28" t="s">
        <v>104</v>
      </c>
      <c r="B8" s="156">
        <f>HojaHonduras!$E$36</f>
        <v>67700</v>
      </c>
      <c r="C8" s="157">
        <f>HojaHonduras!K32</f>
        <v>8100</v>
      </c>
      <c r="D8" s="150">
        <f>HojaHonduras!E37</f>
        <v>8801</v>
      </c>
      <c r="E8" s="150">
        <f>HojaHonduras!N32</f>
        <v>8500</v>
      </c>
      <c r="F8" s="150">
        <f>HojaHonduras!M32</f>
        <v>8500</v>
      </c>
      <c r="G8" s="151">
        <f t="shared" si="0"/>
        <v>701</v>
      </c>
      <c r="H8" s="21"/>
      <c r="I8" s="21"/>
    </row>
    <row r="9" spans="1:9" x14ac:dyDescent="0.35">
      <c r="A9" s="28" t="s">
        <v>20</v>
      </c>
      <c r="B9" s="156">
        <f>HojaDominicana!$E$36</f>
        <v>86000</v>
      </c>
      <c r="C9" s="157">
        <f>HojaDominicana!I32</f>
        <v>10300</v>
      </c>
      <c r="D9" s="150">
        <f>HojaDominicana!E37</f>
        <v>11180</v>
      </c>
      <c r="E9" s="150">
        <f>HojaDominicana!L32</f>
        <v>0</v>
      </c>
      <c r="F9" s="150">
        <f>HojaDominicana!K32</f>
        <v>0</v>
      </c>
      <c r="G9" s="151">
        <f t="shared" si="0"/>
        <v>880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1888400</v>
      </c>
      <c r="C11" s="175">
        <f>SUM(C4:C10)</f>
        <v>229620</v>
      </c>
      <c r="D11" s="175">
        <f t="shared" ref="D11:F11" si="1">SUM(D4:D10)</f>
        <v>243512.5</v>
      </c>
      <c r="E11" s="175">
        <f t="shared" si="1"/>
        <v>2258250</v>
      </c>
      <c r="F11" s="175">
        <f t="shared" si="1"/>
        <v>2298750</v>
      </c>
      <c r="G11" s="176">
        <f>SUM(G4:G10)</f>
        <v>54392.5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19392.5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330950</v>
      </c>
      <c r="E16" s="157">
        <f>+Vendedor1!D21</f>
        <v>43023.5</v>
      </c>
      <c r="F16" s="158">
        <f>IF(D16&lt;&gt;0,15000,0)</f>
        <v>15000</v>
      </c>
      <c r="G16" s="151">
        <f>+E16-F16</f>
        <v>28023.5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169100</v>
      </c>
      <c r="E17" s="157">
        <f>+Vendedor2!D21</f>
        <v>21983</v>
      </c>
      <c r="F17" s="158">
        <f>IF(D17&lt;&gt;0,15000,0)</f>
        <v>15000</v>
      </c>
      <c r="G17" s="151">
        <f>+E17-F17</f>
        <v>6983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500050</v>
      </c>
      <c r="E19" s="159">
        <f>SUM(E16:E18)</f>
        <v>65006.5</v>
      </c>
      <c r="F19" s="160">
        <f>SUM(F16:F18)</f>
        <v>30000</v>
      </c>
      <c r="G19" s="161">
        <f>SUM(G16:G18)</f>
        <v>35006.5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54399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09-06-2026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681700</v>
      </c>
      <c r="C5" s="150">
        <f>HojaNICA!D37</f>
        <v>88621</v>
      </c>
      <c r="D5" s="150">
        <f>HojaNICA!D38</f>
        <v>926500</v>
      </c>
      <c r="E5" s="150"/>
      <c r="F5" s="151">
        <f>+B5-C5-D5+E5</f>
        <v>-333421</v>
      </c>
      <c r="H5" s="249" t="s">
        <v>105</v>
      </c>
      <c r="I5" s="243">
        <f ca="1">TODAY()-1</f>
        <v>46182</v>
      </c>
      <c r="O5" s="119"/>
    </row>
    <row r="6" spans="1:15" ht="15" thickBot="1" x14ac:dyDescent="0.4">
      <c r="A6" s="47" t="s">
        <v>36</v>
      </c>
      <c r="B6" s="150">
        <f>HojaTICA!D36</f>
        <v>1341650</v>
      </c>
      <c r="C6" s="150">
        <f>HojaTICA!D37</f>
        <v>174414.5</v>
      </c>
      <c r="D6" s="150">
        <f>HojaTICA!D38</f>
        <v>1202750</v>
      </c>
      <c r="E6" s="150"/>
      <c r="F6" s="151">
        <f t="shared" ref="F6:F11" si="0">+B6-C6-D6+E6</f>
        <v>-35514.5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66200</v>
      </c>
      <c r="C7" s="150">
        <f>HojaREVENTADO!D38</f>
        <v>6620</v>
      </c>
      <c r="D7" s="150">
        <f>HojaREVENTADO!D39</f>
        <v>110000</v>
      </c>
      <c r="E7" s="150"/>
      <c r="F7" s="151">
        <f t="shared" si="0"/>
        <v>-50420</v>
      </c>
    </row>
    <row r="8" spans="1:15" x14ac:dyDescent="0.35">
      <c r="A8" s="47" t="s">
        <v>96</v>
      </c>
      <c r="B8" s="150">
        <f>HojaPrimera!$D36</f>
        <v>145200</v>
      </c>
      <c r="C8" s="150">
        <f>HojaPrimera!$D37</f>
        <v>18876</v>
      </c>
      <c r="D8" s="150">
        <f>HojaPrimera!$D38</f>
        <v>51000</v>
      </c>
      <c r="E8" s="150"/>
      <c r="F8" s="151">
        <f t="shared" si="0"/>
        <v>75324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67700</v>
      </c>
      <c r="C9" s="150">
        <f>HojaHonduras!$D37</f>
        <v>8801</v>
      </c>
      <c r="D9" s="150">
        <f>HojaHonduras!$D38</f>
        <v>8500</v>
      </c>
      <c r="E9" s="150"/>
      <c r="F9" s="151">
        <f t="shared" si="0"/>
        <v>50399</v>
      </c>
      <c r="H9" s="250">
        <f>+K12-K10-H6</f>
        <v>-218812.5</v>
      </c>
    </row>
    <row r="10" spans="1:15" ht="15" thickBot="1" x14ac:dyDescent="0.4">
      <c r="A10" s="47" t="s">
        <v>20</v>
      </c>
      <c r="B10" s="150">
        <f>HojaDominicana!$D36</f>
        <v>86000</v>
      </c>
      <c r="C10" s="150">
        <f>HojaDominicana!$D37</f>
        <v>11180</v>
      </c>
      <c r="D10" s="150">
        <f>HojaDominicana!$D38</f>
        <v>0</v>
      </c>
      <c r="E10" s="150"/>
      <c r="F10" s="151">
        <f t="shared" si="0"/>
        <v>74820</v>
      </c>
      <c r="H10" s="154"/>
      <c r="J10" t="s">
        <v>148</v>
      </c>
      <c r="K10" s="252">
        <v>1700637.56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1481825.06</v>
      </c>
    </row>
    <row r="12" spans="1:15" ht="16" thickBot="1" x14ac:dyDescent="0.4">
      <c r="A12" s="144" t="s">
        <v>5</v>
      </c>
      <c r="B12" s="152">
        <f>SUM(B5:B11)</f>
        <v>2388450</v>
      </c>
      <c r="C12" s="152">
        <f>SUM(C5:C11)</f>
        <v>308512.5</v>
      </c>
      <c r="D12" s="152">
        <f>SUM(D5:D11)</f>
        <v>2298750</v>
      </c>
      <c r="E12" s="152"/>
      <c r="F12" s="255">
        <f>SUM(F5:F11)</f>
        <v>-218812.5</v>
      </c>
      <c r="H12" s="251">
        <f>K12</f>
        <v>1481825.06</v>
      </c>
      <c r="J12" t="s">
        <v>140</v>
      </c>
      <c r="K12" s="254">
        <f>-3621646.76+628678.34+2370409.5+2104383.98</f>
        <v>1481825.06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253950</v>
      </c>
      <c r="K4" s="231">
        <f t="shared" ref="K4" si="0">D7+D11+D15</f>
        <v>33013.5</v>
      </c>
      <c r="L4" s="220">
        <f>F7+F11+F15</f>
        <v>68000</v>
      </c>
    </row>
    <row r="5" spans="1:12" x14ac:dyDescent="0.35">
      <c r="A5" s="28" t="s">
        <v>43</v>
      </c>
      <c r="B5" s="132">
        <f>IF(DigitaNICA!C2&lt;&gt;"",DigitaNICA!C2,"")</f>
        <v>88</v>
      </c>
      <c r="C5" s="29">
        <f>IF(DigitaNICA!C4&lt;&gt;"",DigitaNICA!C4,"")</f>
        <v>56450</v>
      </c>
      <c r="D5" s="42">
        <f>IF(C5="",0,C5*J$10)</f>
        <v>7338.5</v>
      </c>
      <c r="E5" s="29">
        <f>IF(DigitaNICA!D4&lt;&gt;"",DigitaNICA!D4,"")</f>
        <v>4000</v>
      </c>
      <c r="F5" s="42">
        <f>IF(E5="",0,E5*PREMIOS!E5)</f>
        <v>320000</v>
      </c>
      <c r="G5" s="30">
        <f t="shared" ref="G5:G12" si="1">IF(OR(C5="",E5=""),0,C5-D5-F5)</f>
        <v>-270888.5</v>
      </c>
      <c r="I5" s="241" t="s">
        <v>37</v>
      </c>
      <c r="J5" s="221">
        <f>SUM(IF(C5="",0,C5),IF(C9="",0,C9),IF(C13="",0,C13),IF(C17="",0,C17))</f>
        <v>64200</v>
      </c>
      <c r="K5" s="225">
        <f t="shared" ref="K5" si="2">D5+D9+D13+D17</f>
        <v>8346</v>
      </c>
      <c r="L5" s="222">
        <f>F5+F9+F13+F17</f>
        <v>320000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12800</v>
      </c>
      <c r="K6" s="228">
        <f>D19+D20</f>
        <v>1664</v>
      </c>
      <c r="L6" s="229">
        <f>F19+F20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07</v>
      </c>
      <c r="C7" s="29">
        <f>IF(DigitaTICA!C4&lt;&gt;"",DigitaTICA!C4,"")</f>
        <v>73800</v>
      </c>
      <c r="D7" s="42">
        <f>IF(C7="",0,C7*J$9)</f>
        <v>9594</v>
      </c>
      <c r="E7" s="29">
        <f>IF(DigitaTICA!D4&lt;&gt;"",DigitaTICA!D4,"")</f>
        <v>0</v>
      </c>
      <c r="F7" s="42">
        <f>IF(E7="",0,E7*PREMIOS!F7)</f>
        <v>0</v>
      </c>
      <c r="G7" s="30">
        <f t="shared" si="1"/>
        <v>64206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96</v>
      </c>
      <c r="C9" s="29">
        <f>IF(DigitaNICA!E4&lt;&gt;"",DigitaNICA!E4,"")</f>
        <v>6350</v>
      </c>
      <c r="D9" s="42">
        <f>IF(C9="",0,C9*J$10)</f>
        <v>825.5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5524.5</v>
      </c>
      <c r="I9" s="76" t="s">
        <v>36</v>
      </c>
      <c r="J9" s="77">
        <v>0.13</v>
      </c>
      <c r="K9" s="78">
        <f>MROUND(D7+D11+D15,50)</f>
        <v>33000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8350</v>
      </c>
    </row>
    <row r="11" spans="1:12" x14ac:dyDescent="0.35">
      <c r="A11" s="28" t="s">
        <v>59</v>
      </c>
      <c r="B11" s="132">
        <f>IF(DigitaTICA!E2&lt;&gt;"",DigitaTICA!E2,"")</f>
        <v>86</v>
      </c>
      <c r="C11" s="29">
        <f>IF(DigitaTICA!E4&lt;&gt;"",DigitaTICA!E4,"")</f>
        <v>58400</v>
      </c>
      <c r="D11" s="42">
        <f>IF(C11="",0,C11*J$9)</f>
        <v>7592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50808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1650</v>
      </c>
    </row>
    <row r="13" spans="1:12" x14ac:dyDescent="0.35">
      <c r="A13" s="28" t="s">
        <v>50</v>
      </c>
      <c r="B13" s="132">
        <f>IF(DigitaNICA!G2&lt;&gt;"",DigitaNICA!G2,"")</f>
        <v>44</v>
      </c>
      <c r="C13" s="29">
        <f>IF(DigitaNICA!G4&lt;&gt;"",DigitaNICA!G4,"")</f>
        <v>1400</v>
      </c>
      <c r="D13" s="42">
        <f>IF(C13="",0,C13*J$10)</f>
        <v>182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1218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12</v>
      </c>
      <c r="C15" s="29">
        <f>IF(DigitaTICA!G4&lt;&gt;"",DigitaTICA!G4,"")</f>
        <v>121750</v>
      </c>
      <c r="D15" s="42">
        <f>IF(C15="",0,C15*J$9)</f>
        <v>15827.5</v>
      </c>
      <c r="E15" s="29">
        <f>IF(DigitaTICA!H4&lt;&gt;"",DigitaTICA!H4,"")</f>
        <v>800</v>
      </c>
      <c r="F15" s="42">
        <f>IF(E15="",0,E15*PREMIOS!F15)</f>
        <v>68000</v>
      </c>
      <c r="G15" s="30">
        <f t="shared" si="3"/>
        <v>37922.5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>05</v>
      </c>
      <c r="C17" s="29" t="str">
        <f>IF(DigitaNICA!I4&lt;&gt;"",DigitaNICA!I4,"")</f>
        <v/>
      </c>
      <c r="D17" s="42">
        <f>IF(C17="",0,C17*J$10)</f>
        <v>0</v>
      </c>
      <c r="E17" s="29" t="str">
        <f>IF(DigitaNICA!J4&lt;&gt;"",DigitaNICA!J4,"")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14</v>
      </c>
      <c r="C19" s="29">
        <f>IF(DigitaPRIMERA!C4&lt;&gt;"",DigitaPRIMERA!C4,"")</f>
        <v>10800</v>
      </c>
      <c r="D19" s="42">
        <f>IF(C19="",0,C19*J$12)</f>
        <v>1404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9396</v>
      </c>
    </row>
    <row r="20" spans="1:7" x14ac:dyDescent="0.35">
      <c r="A20" s="28" t="s">
        <v>98</v>
      </c>
      <c r="B20" s="132">
        <f>IF(DigitaPRIMERA!E2&lt;&gt;"",DigitaPRIMERA!E2,"")</f>
        <v>39</v>
      </c>
      <c r="C20" s="29">
        <f>IF(DigitaPRIMERA!E4&lt;&gt;"",DigitaPRIMERA!E4,"")</f>
        <v>2000</v>
      </c>
      <c r="D20" s="42">
        <f>IF(C20="",0,C20*J$12)</f>
        <v>260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1740</v>
      </c>
    </row>
    <row r="21" spans="1:7" ht="15" thickBot="1" x14ac:dyDescent="0.4">
      <c r="A21" s="121" t="s">
        <v>5</v>
      </c>
      <c r="B21" s="128"/>
      <c r="C21" s="122">
        <f>SUM(C5:C20)</f>
        <v>330950</v>
      </c>
      <c r="D21" s="122">
        <f t="shared" ref="D21:G21" si="6">SUM(D5:D20)</f>
        <v>43023.5</v>
      </c>
      <c r="E21" s="122">
        <f t="shared" si="6"/>
        <v>4800</v>
      </c>
      <c r="F21" s="122">
        <f t="shared" si="6"/>
        <v>388000</v>
      </c>
      <c r="G21" s="123">
        <f t="shared" si="6"/>
        <v>-100073.5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131600</v>
      </c>
      <c r="K4" s="231">
        <f t="shared" ref="K4" si="0">D7+D11+D15</f>
        <v>17108</v>
      </c>
      <c r="L4" s="220">
        <f>F7+F11+F15</f>
        <v>420750</v>
      </c>
    </row>
    <row r="5" spans="1:12" x14ac:dyDescent="0.35">
      <c r="A5" s="28" t="s">
        <v>43</v>
      </c>
      <c r="B5" s="132">
        <f>IF(DigitaNICA!C2&lt;&gt;"",DigitaNICA!C2,"")</f>
        <v>88</v>
      </c>
      <c r="C5" s="29">
        <f>IF(DigitaNICA!C5&lt;&gt;"",DigitaNICA!C5,"")</f>
        <v>14000</v>
      </c>
      <c r="D5" s="42">
        <f>IF(C5="",0,C5*J$10)</f>
        <v>1820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12180</v>
      </c>
      <c r="I5" s="241" t="s">
        <v>37</v>
      </c>
      <c r="J5" s="221">
        <f>SUM(IF(C5="",0,C5),IF(C9="",0,C9),IF(C13="",0,C13),IF(C17="",0,C17))</f>
        <v>24500</v>
      </c>
      <c r="K5" s="225">
        <f t="shared" ref="K5" si="2">D5+D9+D13+D17</f>
        <v>3185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13000</v>
      </c>
      <c r="K6" s="228">
        <f>D19+D20</f>
        <v>1690</v>
      </c>
      <c r="L6" s="229">
        <f>F19+F20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07</v>
      </c>
      <c r="C7" s="29">
        <f>IF(DigitaTICA!C5&lt;&gt;"",DigitaTICA!C5,"")</f>
        <v>39750</v>
      </c>
      <c r="D7" s="42">
        <f>IF(C7="",0,C7*J$9)</f>
        <v>5167.5</v>
      </c>
      <c r="E7" s="29">
        <f>IF(DigitaTICA!D5&lt;&gt;"",DigitaTICA!D5,"")</f>
        <v>2700</v>
      </c>
      <c r="F7" s="42">
        <f>IF(E7="",0,E7*PREMIOS!F7)</f>
        <v>229500</v>
      </c>
      <c r="G7" s="30">
        <f t="shared" si="1"/>
        <v>-194917.5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96</v>
      </c>
      <c r="C9" s="29">
        <f>IF(DigitaNICA!E5&lt;&gt;"",DigitaNICA!E5,"")</f>
        <v>8500</v>
      </c>
      <c r="D9" s="42">
        <f>IF(C9="",0,C9*J$10)</f>
        <v>1105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7395</v>
      </c>
      <c r="I9" s="60" t="s">
        <v>36</v>
      </c>
      <c r="J9" s="61">
        <v>0.13</v>
      </c>
      <c r="K9" s="62">
        <f>MROUND(D7+D11+D15,50)</f>
        <v>17100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3200</v>
      </c>
    </row>
    <row r="11" spans="1:12" x14ac:dyDescent="0.35">
      <c r="A11" s="28" t="s">
        <v>59</v>
      </c>
      <c r="B11" s="132">
        <f>IF(DigitaTICA!E2&lt;&gt;"",DigitaTICA!E2,"")</f>
        <v>86</v>
      </c>
      <c r="C11" s="29">
        <f>IF(DigitaTICA!E5&lt;&gt;"",DigitaTICA!E5,"")</f>
        <v>32300</v>
      </c>
      <c r="D11" s="42">
        <f>IF(C11="",0,C11*J$9)</f>
        <v>4199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28101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1700</v>
      </c>
    </row>
    <row r="13" spans="1:12" x14ac:dyDescent="0.35">
      <c r="A13" s="28" t="s">
        <v>50</v>
      </c>
      <c r="B13" s="132">
        <f>IF(DigitaNICA!G2&lt;&gt;"",DigitaNICA!G2,"")</f>
        <v>44</v>
      </c>
      <c r="C13" s="29">
        <f>IF(DigitaNICA!G5&lt;&gt;"",DigitaNICA!G5,"")</f>
        <v>1000</v>
      </c>
      <c r="D13" s="42">
        <f>IF(C13="",0,C13*J$10)</f>
        <v>130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870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12</v>
      </c>
      <c r="C15" s="29">
        <f>IF(DigitaTICA!G5&lt;&gt;"",DigitaTICA!G5,"")</f>
        <v>59550</v>
      </c>
      <c r="D15" s="42">
        <f>IF(C15="",0,C15*J$9)</f>
        <v>7741.5</v>
      </c>
      <c r="E15" s="29">
        <f>IF(DigitaTICA!H5&lt;&gt;"",DigitaTICA!H5,"")</f>
        <v>2250</v>
      </c>
      <c r="F15" s="42">
        <f>IF(E15="",0,E15*PREMIOS!F15)</f>
        <v>191250</v>
      </c>
      <c r="G15" s="30">
        <f t="shared" si="3"/>
        <v>-139441.5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>05</v>
      </c>
      <c r="C17" s="29">
        <f>IF(DigitaNICA!I5&lt;&gt;"",DigitaNICA!I5,"")</f>
        <v>1000</v>
      </c>
      <c r="D17" s="42">
        <f>IF(C17="",0,C17*J$10)</f>
        <v>130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870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14</v>
      </c>
      <c r="C19" s="29">
        <f>IF(DigitaPRIMERA!C5&lt;&gt;"",DigitaPRIMERA!C5,"")</f>
        <v>5000</v>
      </c>
      <c r="D19" s="42">
        <f>IF(C19="",0,C19*J$12)</f>
        <v>650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4350</v>
      </c>
    </row>
    <row r="20" spans="1:7" x14ac:dyDescent="0.35">
      <c r="A20" s="28" t="s">
        <v>98</v>
      </c>
      <c r="B20" s="132">
        <f>IF(DigitaPRIMERA!E2&lt;&gt;"",DigitaPRIMERA!E2,"")</f>
        <v>39</v>
      </c>
      <c r="C20" s="29">
        <f>IF(DigitaPRIMERA!E5&lt;&gt;"",DigitaPRIMERA!E5,"")</f>
        <v>8000</v>
      </c>
      <c r="D20" s="42">
        <f>IF(C20="",0,C20*J$12)</f>
        <v>1040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6960</v>
      </c>
    </row>
    <row r="21" spans="1:7" ht="15" thickBot="1" x14ac:dyDescent="0.4">
      <c r="A21" s="67" t="s">
        <v>5</v>
      </c>
      <c r="B21" s="127"/>
      <c r="C21" s="68">
        <f>SUM(C5:C20)</f>
        <v>169100</v>
      </c>
      <c r="D21" s="68">
        <f t="shared" ref="D21:G21" si="4">SUM(D5:D20)</f>
        <v>21983</v>
      </c>
      <c r="E21" s="68">
        <f t="shared" si="4"/>
        <v>4950</v>
      </c>
      <c r="F21" s="68">
        <f t="shared" si="4"/>
        <v>420750</v>
      </c>
      <c r="G21" s="88">
        <f t="shared" si="4"/>
        <v>-273633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88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07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96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86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44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12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>05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14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39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88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07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96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86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44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12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 t="str">
        <f>IF(DigitaNICA!I2&lt;&gt;"",DigitaNICA!I2,"")</f>
        <v>05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175900</v>
      </c>
      <c r="K4" s="231">
        <f t="shared" ref="K4" si="0">D7+D11+D15</f>
        <v>21108</v>
      </c>
      <c r="L4" s="220">
        <f>F7+F11+F15</f>
        <v>110500</v>
      </c>
    </row>
    <row r="5" spans="1:12" x14ac:dyDescent="0.35">
      <c r="A5" s="28" t="s">
        <v>43</v>
      </c>
      <c r="B5" s="132">
        <f>IF(DigitaNICA!C2&lt;&gt;"",DigitaNICA!C2,"")</f>
        <v>88</v>
      </c>
      <c r="C5" s="29">
        <f>IF(DigitaNICA!C8&lt;&gt;"",DigitaNICA!C8,"")</f>
        <v>72250</v>
      </c>
      <c r="D5" s="42">
        <f>IF(C5="",0,C5*J$12)</f>
        <v>8670</v>
      </c>
      <c r="E5" s="29">
        <f>IF(DigitaNICA!D8&lt;&gt;"",DigitaNICA!D8,"")</f>
        <v>1100</v>
      </c>
      <c r="F5" s="42">
        <f>IF(E5="",0,E5*PREMIOS!E5)</f>
        <v>88000</v>
      </c>
      <c r="G5" s="30">
        <f t="shared" ref="G5:G12" si="1">IF(OR(C5="",E5=""),0,C5-D5-F5)</f>
        <v>-24420</v>
      </c>
      <c r="I5" s="241" t="s">
        <v>37</v>
      </c>
      <c r="J5" s="221">
        <f>SUM(IF(C5="",0,C5),IF(C9="",0,C9),IF(C13="",0,C13),IF(C17="",0,C17))</f>
        <v>152100</v>
      </c>
      <c r="K5" s="225">
        <f t="shared" ref="K5" si="2">D5+D9+D13+D17</f>
        <v>18252</v>
      </c>
      <c r="L5" s="222">
        <f>F5+F9+F13+F17</f>
        <v>108000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07</v>
      </c>
      <c r="C7" s="29">
        <f>IF(DigitaTICA!C8&lt;&gt;"",DigitaTICA!C8,"")</f>
        <v>74950</v>
      </c>
      <c r="D7" s="42">
        <f>IF(C7="",0,C7*J$11)</f>
        <v>8994</v>
      </c>
      <c r="E7" s="29">
        <f>IF(DigitaTICA!D8&lt;&gt;"",DigitaTICA!D8,"")</f>
        <v>1300</v>
      </c>
      <c r="F7" s="42">
        <f>IF(E7="",0,E7*PREMIOS!F7)</f>
        <v>110500</v>
      </c>
      <c r="G7" s="30">
        <f t="shared" si="1"/>
        <v>-44544</v>
      </c>
      <c r="I7" s="242" t="s">
        <v>96</v>
      </c>
      <c r="J7" s="224">
        <f>SUM(IF(C19="",0,C19),IF(C20="",0,C20))</f>
        <v>47000</v>
      </c>
      <c r="K7" s="228">
        <f>+D19+D20</f>
        <v>5640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96</v>
      </c>
      <c r="C9" s="29">
        <f>IF(DigitaNICA!E8&lt;&gt;"",DigitaNICA!E8,"")</f>
        <v>52550</v>
      </c>
      <c r="D9" s="42">
        <f>IF(C9="",0,C9*J$12)</f>
        <v>6306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46244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86</v>
      </c>
      <c r="C11" s="29">
        <f>IF(DigitaTICA!E8&lt;&gt;"",DigitaTICA!E8,"")</f>
        <v>56350</v>
      </c>
      <c r="D11" s="42">
        <f>IF(C11="",0,C11*J$11)</f>
        <v>6762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49588</v>
      </c>
      <c r="I11" s="60" t="s">
        <v>36</v>
      </c>
      <c r="J11" s="61">
        <v>0.12</v>
      </c>
      <c r="K11" s="62">
        <f>MROUND(D7+D11+D15,50)</f>
        <v>21100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18250</v>
      </c>
    </row>
    <row r="13" spans="1:12" x14ac:dyDescent="0.35">
      <c r="A13" s="28" t="s">
        <v>50</v>
      </c>
      <c r="B13" s="132">
        <f>IF(DigitaNICA!G2&lt;&gt;"",DigitaNICA!G2,"")</f>
        <v>44</v>
      </c>
      <c r="C13" s="29">
        <f>IF(DigitaNICA!G8&lt;&gt;"",DigitaNICA!G8,"")</f>
        <v>15600</v>
      </c>
      <c r="D13" s="42">
        <f>IF(C13="",0,C13*J$12)</f>
        <v>1872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13728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5650</v>
      </c>
    </row>
    <row r="15" spans="1:12" x14ac:dyDescent="0.35">
      <c r="A15" s="28" t="s">
        <v>61</v>
      </c>
      <c r="B15" s="132">
        <f>IF(DigitaTICA!G2&lt;&gt;"",DigitaTICA!G2,"")</f>
        <v>12</v>
      </c>
      <c r="C15" s="29">
        <f>IF(DigitaTICA!G8&lt;&gt;"",DigitaTICA!G8,"")</f>
        <v>44600</v>
      </c>
      <c r="D15" s="42">
        <f>IF(C15="",0,C15*J$11)</f>
        <v>5352</v>
      </c>
      <c r="E15" s="29">
        <f>IF(DigitaTICA!H8&lt;&gt;"",DigitaTICA!H8,"")</f>
        <v>0</v>
      </c>
      <c r="F15" s="42">
        <f>IF(E15="",0,E15*PREMIOS!F15)</f>
        <v>0</v>
      </c>
      <c r="G15" s="30">
        <f t="shared" si="4"/>
        <v>39248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 t="str">
        <f>IF(DigitaNICA!I2&lt;&gt;"",DigitaNICA!I2,"")</f>
        <v>05</v>
      </c>
      <c r="C17" s="29">
        <f>IF(DigitaNICA!I8&lt;&gt;"",DigitaNICA!I8,"")</f>
        <v>11700</v>
      </c>
      <c r="D17" s="42">
        <f>IF(C17="",0,C17*J$12)</f>
        <v>1404</v>
      </c>
      <c r="E17" s="29">
        <f>IF(DigitaNICA!J8&lt;&gt;"",DigitaNICA!J8,"")</f>
        <v>250</v>
      </c>
      <c r="F17" s="42">
        <f>IF(E17="",0,E17*PREMIOS!E17)</f>
        <v>20000</v>
      </c>
      <c r="G17" s="30">
        <f t="shared" si="4"/>
        <v>-9704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14</v>
      </c>
      <c r="C19" s="29">
        <f>IF(DigitaPRIMERA!C8&lt;&gt;"",DigitaPRIMERA!C8,"")</f>
        <v>30050</v>
      </c>
      <c r="D19" s="42">
        <f>IF(C19="",0,C19*J$14)</f>
        <v>3606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26444</v>
      </c>
    </row>
    <row r="20" spans="1:7" x14ac:dyDescent="0.35">
      <c r="A20" s="28" t="s">
        <v>98</v>
      </c>
      <c r="B20" s="132">
        <f>IF(DigitaPRIMERA!E2&lt;&gt;"",DigitaPRIMERA!E2,"")</f>
        <v>39</v>
      </c>
      <c r="C20" s="29">
        <f>IF(DigitaPRIMERA!E8&lt;&gt;"",DigitaPRIMERA!E8,"")</f>
        <v>16950</v>
      </c>
      <c r="D20" s="42">
        <f>IF(C20="",0,C20*J$14)</f>
        <v>2034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14916</v>
      </c>
    </row>
    <row r="21" spans="1:7" ht="15" thickBot="1" x14ac:dyDescent="0.4">
      <c r="A21" s="121" t="s">
        <v>5</v>
      </c>
      <c r="B21" s="128"/>
      <c r="C21" s="122">
        <f>SUM(C5:C20)</f>
        <v>375000</v>
      </c>
      <c r="D21" s="122">
        <f t="shared" ref="D21:G21" si="5">SUM(D5:D20)</f>
        <v>45000</v>
      </c>
      <c r="E21" s="122">
        <f t="shared" si="5"/>
        <v>2650</v>
      </c>
      <c r="F21" s="122">
        <f t="shared" si="5"/>
        <v>218500</v>
      </c>
      <c r="G21" s="123">
        <f t="shared" si="5"/>
        <v>111500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88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07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96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86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44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12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>05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14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39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360200</v>
      </c>
      <c r="K4" s="231">
        <f t="shared" ref="K4" si="0">D7+D11+D15</f>
        <v>43224</v>
      </c>
      <c r="L4" s="220">
        <f>F7+F11+F15</f>
        <v>195500</v>
      </c>
    </row>
    <row r="5" spans="1:12" x14ac:dyDescent="0.35">
      <c r="A5" s="28" t="s">
        <v>43</v>
      </c>
      <c r="B5" s="132">
        <f>IF(DigitaNICA!C2&lt;&gt;"",DigitaNICA!C2,"")</f>
        <v>88</v>
      </c>
      <c r="C5" s="29">
        <f>IF(DigitaNICA!C10&lt;&gt;"",DigitaNICA!C10,"")</f>
        <v>56750</v>
      </c>
      <c r="D5" s="42">
        <f>IF(C5="",0,C5*J$15)</f>
        <v>6810</v>
      </c>
      <c r="E5" s="29">
        <f>IF(DigitaNICA!D10&lt;&gt;"",DigitaNICA!D10,"")</f>
        <v>350</v>
      </c>
      <c r="F5" s="42">
        <f>IF(E5="",0,E5*PREMIOS!F5)</f>
        <v>29750</v>
      </c>
      <c r="G5" s="30">
        <f t="shared" ref="G5:G12" si="1">IF(OR(C5="",E5=""),0,C5-D5-F5)</f>
        <v>20190</v>
      </c>
      <c r="I5" s="217" t="s">
        <v>37</v>
      </c>
      <c r="J5" s="221">
        <f>SUM(IF(C5="",0,C5),IF(C9="",0,C9),IF(C13="",0,C13),IF(C17="",0,C17))</f>
        <v>265850</v>
      </c>
      <c r="K5" s="225">
        <f t="shared" ref="K5" si="2">D5+D9+D13+D17</f>
        <v>31902</v>
      </c>
      <c r="L5" s="222">
        <f>F5+F9+F13+F17</f>
        <v>348500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54350</v>
      </c>
      <c r="K6" s="226">
        <f t="shared" ref="K6" si="3">+D8+D12+D16</f>
        <v>5435</v>
      </c>
      <c r="L6" s="227">
        <f>F8+F12+F16</f>
        <v>100000</v>
      </c>
    </row>
    <row r="7" spans="1:12" x14ac:dyDescent="0.35">
      <c r="A7" s="28" t="s">
        <v>46</v>
      </c>
      <c r="B7" s="132" t="str">
        <f>IF(DigitaTICA!C2&lt;&gt;"",DigitaTICA!C2,"")</f>
        <v>07</v>
      </c>
      <c r="C7" s="29">
        <f>IF(DigitaTICA!C10&lt;&gt;"",DigitaTICA!C10,"")</f>
        <v>103250</v>
      </c>
      <c r="D7" s="42">
        <f>IF(C7="",0,C7*J$14)</f>
        <v>12390</v>
      </c>
      <c r="E7" s="29">
        <f>IF(DigitaTICA!D10&lt;&gt;"",DigitaTICA!D10,"")</f>
        <v>150</v>
      </c>
      <c r="F7" s="42">
        <f>IF(E7="",0,E7*PREMIOS!F7)</f>
        <v>12750</v>
      </c>
      <c r="G7" s="30">
        <f t="shared" si="1"/>
        <v>78110</v>
      </c>
      <c r="I7" s="217" t="s">
        <v>96</v>
      </c>
      <c r="J7" s="223">
        <f>SUM(IF(C19="",0,C19),IF(C20="",0,C20))</f>
        <v>39200</v>
      </c>
      <c r="K7" s="226">
        <f>+D19+D20</f>
        <v>4704</v>
      </c>
      <c r="L7" s="227">
        <f>+F19+F20</f>
        <v>17000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19800</v>
      </c>
      <c r="D8" s="42">
        <f>IF(C8="",0,C8*J$16)</f>
        <v>1980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17820</v>
      </c>
      <c r="I8" s="217" t="s">
        <v>104</v>
      </c>
      <c r="J8" s="223">
        <f>SUM(IF(C21="",0,C21),IF(C22="",0,C22),IF(C23="",0,C23))</f>
        <v>67700</v>
      </c>
      <c r="K8" s="226">
        <f t="shared" ref="K8" si="4">D21+D22+D23</f>
        <v>8124</v>
      </c>
      <c r="L8" s="227">
        <f>F21+F22+F23</f>
        <v>8500</v>
      </c>
    </row>
    <row r="9" spans="1:12" x14ac:dyDescent="0.35">
      <c r="A9" s="28" t="s">
        <v>48</v>
      </c>
      <c r="B9" s="132">
        <f>IF(DigitaNICA!E2&lt;&gt;"",DigitaNICA!E2,"")</f>
        <v>96</v>
      </c>
      <c r="C9" s="29">
        <f>IF(DigitaNICA!E10&lt;&gt;"",DigitaNICA!E10,"")</f>
        <v>76600</v>
      </c>
      <c r="D9" s="42">
        <f>IF(C9="",0,C9*J$15)</f>
        <v>9192</v>
      </c>
      <c r="E9" s="29">
        <f>IF(DigitaNICA!F10&lt;&gt;"",DigitaNICA!F10,"")</f>
        <v>1600</v>
      </c>
      <c r="F9" s="42">
        <f>IF(E9="",0,E9*PREMIOS!F9)</f>
        <v>136000</v>
      </c>
      <c r="G9" s="30">
        <f t="shared" si="1"/>
        <v>-68592</v>
      </c>
      <c r="I9" s="217" t="s">
        <v>20</v>
      </c>
      <c r="J9" s="223">
        <f>SUM(IF(C24="",0,C24),IF(C25="",0,C25))</f>
        <v>86000</v>
      </c>
      <c r="K9" s="226">
        <f t="shared" ref="K9" si="5">+D24+D25</f>
        <v>10320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86</v>
      </c>
      <c r="C11" s="29">
        <f>IF(DigitaTICA!E10&lt;&gt;"",DigitaTICA!E10,"")</f>
        <v>106100</v>
      </c>
      <c r="D11" s="42">
        <f>IF(C11="",0,C11*J$14)</f>
        <v>12732</v>
      </c>
      <c r="E11" s="29">
        <f>IF(DigitaTICA!F10&lt;&gt;"",DigitaTICA!F10,"")</f>
        <v>0</v>
      </c>
      <c r="F11" s="42">
        <f>IF(E11="",0,E11*PREMIOS!F11)</f>
        <v>0</v>
      </c>
      <c r="G11" s="30">
        <f t="shared" si="1"/>
        <v>93368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18000</v>
      </c>
      <c r="D12" s="42">
        <f>IF(C12="",0,C12*J$16)</f>
        <v>1800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16200</v>
      </c>
    </row>
    <row r="13" spans="1:12" ht="15" thickBot="1" x14ac:dyDescent="0.4">
      <c r="A13" s="28" t="s">
        <v>50</v>
      </c>
      <c r="B13" s="132">
        <f>IF(DigitaNICA!G2&lt;&gt;"",DigitaNICA!G2,"")</f>
        <v>44</v>
      </c>
      <c r="C13" s="29">
        <f>IF(DigitaNICA!G10&lt;&gt;"",DigitaNICA!G10,"")</f>
        <v>25450</v>
      </c>
      <c r="D13" s="42">
        <f>IF(C13="",0,C13*J$15)</f>
        <v>3054</v>
      </c>
      <c r="E13" s="29">
        <f>IF(DigitaNICA!H10&lt;&gt;"",DigitaNICA!H10,"")</f>
        <v>0</v>
      </c>
      <c r="F13" s="42">
        <f>IF(E13="",0,E13*PREMIOS!F13)</f>
        <v>0</v>
      </c>
      <c r="G13" s="30">
        <f>IF(OR(C13="",E13=""),0,C13-D13-F13)</f>
        <v>22396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43200</v>
      </c>
    </row>
    <row r="15" spans="1:12" x14ac:dyDescent="0.35">
      <c r="A15" s="28" t="s">
        <v>61</v>
      </c>
      <c r="B15" s="132">
        <f>IF(DigitaTICA!G2&lt;&gt;"",DigitaTICA!G2,"")</f>
        <v>12</v>
      </c>
      <c r="C15" s="29">
        <f>IF(DigitaTICA!G10&lt;&gt;"",DigitaTICA!G10,"")</f>
        <v>150850</v>
      </c>
      <c r="D15" s="42">
        <f>IF(C15="",0,C15*J$14)</f>
        <v>18102</v>
      </c>
      <c r="E15" s="29">
        <f>IF(DigitaTICA!H10&lt;&gt;"",DigitaTICA!H10,"")</f>
        <v>2150</v>
      </c>
      <c r="F15" s="42">
        <f>IF(E15="",0,E15*PREMIOS!F15)</f>
        <v>182750</v>
      </c>
      <c r="G15" s="30">
        <f t="shared" si="6"/>
        <v>-50002</v>
      </c>
      <c r="I15" s="63" t="s">
        <v>37</v>
      </c>
      <c r="J15" s="64">
        <v>0.12</v>
      </c>
      <c r="K15" s="30">
        <f>MROUND(D5+D9+D13+D17,50)</f>
        <v>31900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IF(DigitaREVENTADO!G10&lt;&gt;"",DigitaREVENTADO!G10,"")</f>
        <v>16550</v>
      </c>
      <c r="D16" s="42">
        <f>IF(C16="",0,C16*J$16)</f>
        <v>1655</v>
      </c>
      <c r="E16" s="29">
        <f>IF(DigitaREVENTADO!H10&lt;&gt;"",DigitaREVENTADO!H10,"")</f>
        <v>500</v>
      </c>
      <c r="F16" s="42">
        <f>IF(E16="",0,E16*PREMIOS!F16)</f>
        <v>100000</v>
      </c>
      <c r="G16" s="30">
        <f t="shared" si="6"/>
        <v>-85105</v>
      </c>
      <c r="I16" s="63" t="s">
        <v>38</v>
      </c>
      <c r="J16" s="64">
        <v>0.1</v>
      </c>
      <c r="K16" s="30">
        <f>MROUND(D6+D8+D10+D12+D14+D16+D18,50)</f>
        <v>5450</v>
      </c>
    </row>
    <row r="17" spans="1:11" x14ac:dyDescent="0.35">
      <c r="A17" s="28" t="s">
        <v>52</v>
      </c>
      <c r="B17" s="132" t="str">
        <f>IF(DigitaNICA!I2&lt;&gt;"",DigitaNICA!I2,"")</f>
        <v>05</v>
      </c>
      <c r="C17" s="29">
        <f>IF(DigitaNICA!I10&lt;&gt;"",DigitaNICA!I10,"")</f>
        <v>107050</v>
      </c>
      <c r="D17" s="42">
        <f>IF(C17="",0,C17*J$15)</f>
        <v>12846</v>
      </c>
      <c r="E17" s="29">
        <f>IF(DigitaNICA!J10&lt;&gt;"",DigitaNICA!J10,"")</f>
        <v>2150</v>
      </c>
      <c r="F17" s="42">
        <f>IF(E17="",0,E17*PREMIOS!F17)</f>
        <v>182750</v>
      </c>
      <c r="G17" s="30">
        <f t="shared" si="6"/>
        <v>-88546</v>
      </c>
      <c r="I17" s="63" t="s">
        <v>96</v>
      </c>
      <c r="J17" s="64">
        <v>0.12</v>
      </c>
      <c r="K17" s="30">
        <f>MROUND(D19+D20,50)</f>
        <v>4700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8100</v>
      </c>
    </row>
    <row r="19" spans="1:11" x14ac:dyDescent="0.35">
      <c r="A19" s="28" t="s">
        <v>97</v>
      </c>
      <c r="B19" s="132">
        <f>IF(DigitaPRIMERA!C2&lt;&gt;"",DigitaPRIMERA!C2,"")</f>
        <v>14</v>
      </c>
      <c r="C19" s="29">
        <f>IF(DigitaPRIMERA!$C$10&lt;&gt;"",DigitaPRIMERA!$C$10,"")</f>
        <v>21350</v>
      </c>
      <c r="D19" s="42">
        <f>IF(C19="",0,C19*J$17)</f>
        <v>2562</v>
      </c>
      <c r="E19" s="29">
        <f>IF(DigitaPRIMERA!$D$10&lt;&gt;"",DigitaPRIMERA!$D$10,"")</f>
        <v>50</v>
      </c>
      <c r="F19" s="42">
        <f>IF(E19="",0,E19*PREMIOS!F19)</f>
        <v>4250</v>
      </c>
      <c r="G19" s="30">
        <f t="shared" ref="G19:G22" si="7">IF(OR(C19="",E19=""),0,C19-D19-F19)</f>
        <v>14538</v>
      </c>
      <c r="I19" s="63" t="s">
        <v>20</v>
      </c>
      <c r="J19" s="64">
        <v>0.12</v>
      </c>
      <c r="K19" s="30">
        <f>MROUND(D24+D25,50)</f>
        <v>10300</v>
      </c>
    </row>
    <row r="20" spans="1:11" ht="15" thickBot="1" x14ac:dyDescent="0.4">
      <c r="A20" s="28" t="s">
        <v>98</v>
      </c>
      <c r="B20" s="132">
        <f>IF(DigitaPRIMERA!E2&lt;&gt;"",DigitaPRIMERA!E2,"")</f>
        <v>39</v>
      </c>
      <c r="C20" s="29">
        <f>IF(DigitaPRIMERA!$E$10&lt;&gt;"",DigitaPRIMERA!$E$10,"")</f>
        <v>17850</v>
      </c>
      <c r="D20" s="42">
        <f>IF(C20="",0,C20*J$17)</f>
        <v>2142</v>
      </c>
      <c r="E20" s="29">
        <f>IF(DigitaPRIMERA!$F$10&lt;&gt;"",DigitaPRIMERA!$F$10,"")</f>
        <v>150</v>
      </c>
      <c r="F20" s="42">
        <f>IF(E20="",0,E20*PREMIOS!F19)</f>
        <v>12750</v>
      </c>
      <c r="G20" s="30">
        <f t="shared" si="7"/>
        <v>2958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65</v>
      </c>
      <c r="C21" s="29">
        <f>IF(DigitaHONDURAS!$C$10&lt;&gt;"",DigitaHONDURAS!$C$10,"")</f>
        <v>39900</v>
      </c>
      <c r="D21" s="42">
        <f>IF(C21="",0,C21*J$18)</f>
        <v>4788</v>
      </c>
      <c r="E21" s="29">
        <f>IF(DigitaHONDURAS!$D$10&lt;&gt;"",DigitaHONDURAS!$D$10,"")</f>
        <v>100</v>
      </c>
      <c r="F21" s="42">
        <f>IF(E21="",0,E21*PREMIOS!F20)</f>
        <v>8500</v>
      </c>
      <c r="G21" s="30">
        <f t="shared" si="7"/>
        <v>26612</v>
      </c>
    </row>
    <row r="22" spans="1:11" x14ac:dyDescent="0.35">
      <c r="A22" s="28" t="s">
        <v>100</v>
      </c>
      <c r="B22" s="132">
        <f>IF(DigitaHONDURAS!E2&lt;&gt;"",DigitaHONDURAS!E2,"")</f>
        <v>36</v>
      </c>
      <c r="C22" s="29">
        <f>IF(DigitaHONDURAS!$E$10&lt;&gt;"",DigitaHONDURAS!$E$10,"")</f>
        <v>16550</v>
      </c>
      <c r="D22" s="42">
        <f>IF(C22="",0,C22*J$18)</f>
        <v>1986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14564</v>
      </c>
    </row>
    <row r="23" spans="1:11" x14ac:dyDescent="0.35">
      <c r="A23" s="28" t="s">
        <v>101</v>
      </c>
      <c r="B23" s="132">
        <f>IF(DigitaHONDURAS!G2&lt;&gt;"",DigitaHONDURAS!G2,"")</f>
        <v>96</v>
      </c>
      <c r="C23" s="29">
        <f>IF(DigitaHONDURAS!$G$10&lt;&gt;"",DigitaHONDURAS!$G$10,"")</f>
        <v>11250</v>
      </c>
      <c r="D23" s="42">
        <f>IF(C23="",0,C23*J$18)</f>
        <v>1350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9900</v>
      </c>
    </row>
    <row r="24" spans="1:11" x14ac:dyDescent="0.35">
      <c r="A24" s="28" t="s">
        <v>107</v>
      </c>
      <c r="B24" s="132">
        <f>IF(DigitaDOMINICANA!C2&lt;&gt;"",DigitaDOMINICANA!C2,"")</f>
        <v>67</v>
      </c>
      <c r="C24" s="29">
        <f>IF(DigitaDOMINICANA!$C$10&lt;&gt;"",DigitaDOMINICANA!$C$10,"")</f>
        <v>41750</v>
      </c>
      <c r="D24" s="42">
        <f>IF(C24="",0,C24*J$19)</f>
        <v>5010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36740</v>
      </c>
    </row>
    <row r="25" spans="1:11" x14ac:dyDescent="0.35">
      <c r="A25" s="28" t="s">
        <v>108</v>
      </c>
      <c r="B25" s="132">
        <f>IF(DigitaDOMINICANA!E2&lt;&gt;"",DigitaDOMINICANA!E2,"")</f>
        <v>76</v>
      </c>
      <c r="C25" s="29">
        <f>IF(DigitaDOMINICANA!$E$10&lt;&gt;"",DigitaDOMINICANA!$E$10,"")</f>
        <v>44250</v>
      </c>
      <c r="D25" s="42">
        <f>IF(C25="",0,C25*J$19)</f>
        <v>5310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38940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873300</v>
      </c>
      <c r="D27" s="68">
        <f t="shared" ref="D27:F27" si="9">SUM(D5:D26)</f>
        <v>103709</v>
      </c>
      <c r="E27" s="68">
        <f t="shared" si="9"/>
        <v>7200</v>
      </c>
      <c r="F27" s="68">
        <f t="shared" si="9"/>
        <v>669500</v>
      </c>
      <c r="G27" s="88">
        <f>SUM(G5:G26)</f>
        <v>100091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15000</v>
      </c>
      <c r="K4" s="231">
        <f t="shared" ref="K4" si="0">D7+D11+D15</f>
        <v>1800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88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07</v>
      </c>
      <c r="C7" s="29" t="str">
        <f>IF(DigitaTICA!C11&lt;&gt;"",DigitaTICA!C11,"")</f>
        <v/>
      </c>
      <c r="D7" s="42">
        <f>IF(C7="",0,C7*J$11)</f>
        <v>0</v>
      </c>
      <c r="E7" s="29" t="str">
        <f>IF(DigitaTICA!D11&lt;&gt;"",DigitaTICA!D11,"")</f>
        <v/>
      </c>
      <c r="F7" s="133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96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86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1800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44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12</v>
      </c>
      <c r="C15" s="29">
        <f>IF(DigitaTICA!G11&lt;&gt;"",DigitaTICA!G11,"")</f>
        <v>15000</v>
      </c>
      <c r="D15" s="42">
        <f>IF(C15="",0,C15*J$11)</f>
        <v>1800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13200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 t="str">
        <f>IF(DigitaNICA!I2&lt;&gt;"",DigitaNICA!I2,"")</f>
        <v>05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14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39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15000</v>
      </c>
      <c r="D21" s="122">
        <f t="shared" ref="D21:G21" si="5">SUM(D5:D20)</f>
        <v>1800</v>
      </c>
      <c r="E21" s="122">
        <f t="shared" si="5"/>
        <v>0</v>
      </c>
      <c r="F21" s="122">
        <f t="shared" si="5"/>
        <v>0</v>
      </c>
      <c r="G21" s="123">
        <f t="shared" si="5"/>
        <v>13200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82300</v>
      </c>
      <c r="K4" s="231">
        <f>D7+D11+D15</f>
        <v>9876</v>
      </c>
      <c r="L4" s="220">
        <f>F7+F11+F15</f>
        <v>76500</v>
      </c>
    </row>
    <row r="5" spans="1:12" x14ac:dyDescent="0.35">
      <c r="A5" s="28" t="s">
        <v>43</v>
      </c>
      <c r="B5" s="132">
        <f>IF(DigitaNICA!C2&lt;&gt;"",DigitaNICA!C2,"")</f>
        <v>88</v>
      </c>
      <c r="C5" s="29">
        <f>IF(DigitaNICA!C12&lt;&gt;"",DigitaNICA!C12,"")</f>
        <v>35500</v>
      </c>
      <c r="D5" s="42">
        <f>IF(C5="",0,C5*J$12)</f>
        <v>4260</v>
      </c>
      <c r="E5" s="29">
        <f>IF(DigitaNICA!D12&lt;&gt;"",DigitaNICA!D12,"")</f>
        <v>750</v>
      </c>
      <c r="F5" s="42">
        <f>IF(E5="",0,E5*PREMIOS!F5)</f>
        <v>63750</v>
      </c>
      <c r="G5" s="30">
        <f t="shared" ref="G5:G12" si="0">IF(OR(C5="",E5=""),0,C5-D5-F5)</f>
        <v>-32510</v>
      </c>
      <c r="I5" s="217" t="s">
        <v>37</v>
      </c>
      <c r="J5" s="221">
        <f>SUM(IF(C5="",0,C5),IF(C9="",0,C9),IF(C13="",0,C13),IF(C17="",0,C17))</f>
        <v>63600</v>
      </c>
      <c r="K5" s="225">
        <f t="shared" ref="K5" si="1">D5+D9+D13+D17</f>
        <v>7632</v>
      </c>
      <c r="L5" s="222">
        <f>F5+F9+F13+F17</f>
        <v>106250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11850</v>
      </c>
      <c r="K6" s="226">
        <f t="shared" ref="K6" si="2">+D8+D12+D16</f>
        <v>1185</v>
      </c>
      <c r="L6" s="227">
        <f>+F8+F12+F16</f>
        <v>0</v>
      </c>
    </row>
    <row r="7" spans="1:12" x14ac:dyDescent="0.35">
      <c r="A7" s="28" t="s">
        <v>46</v>
      </c>
      <c r="B7" s="132" t="str">
        <f>IF(DigitaTICA!C2&lt;&gt;"",DigitaTICA!C2,"")</f>
        <v>07</v>
      </c>
      <c r="C7" s="29">
        <f>IF(DigitaTICA!C12&lt;&gt;"",DigitaTICA!C12,"")</f>
        <v>23700</v>
      </c>
      <c r="D7" s="42">
        <f>IF(C7="",0,C7*J$11)</f>
        <v>2844</v>
      </c>
      <c r="E7" s="29">
        <f>IF(DigitaTICA!D12&lt;&gt;"",DigitaTICA!D12,"")</f>
        <v>200</v>
      </c>
      <c r="F7" s="42">
        <f>IF(E7="",0,E7*PREMIOS!F7)</f>
        <v>17000</v>
      </c>
      <c r="G7" s="30">
        <f t="shared" si="0"/>
        <v>3856</v>
      </c>
      <c r="I7" s="217" t="s">
        <v>96</v>
      </c>
      <c r="J7" s="223">
        <f>SUM(IF(C19="",0,C19),IF(C20="",0,C20))</f>
        <v>22300</v>
      </c>
      <c r="K7" s="226">
        <f>+D19+D20</f>
        <v>2676</v>
      </c>
      <c r="L7" s="227">
        <f>+F19+F20</f>
        <v>34000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3950</v>
      </c>
      <c r="D8" s="42">
        <f>IF(C8="",0,C8*J$13)</f>
        <v>395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3555</v>
      </c>
      <c r="I8" s="218" t="s">
        <v>104</v>
      </c>
      <c r="J8" s="224">
        <f>SUM(IF(C21="",0,C21),IF(C22="",0,C22),IF(C23="",0,C23))</f>
        <v>0</v>
      </c>
      <c r="K8" s="228">
        <f>+D21+D22+D23</f>
        <v>0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96</v>
      </c>
      <c r="C9" s="29">
        <f>IF(DigitaNICA!E12&lt;&gt;"",DigitaNICA!E12,"")</f>
        <v>28100</v>
      </c>
      <c r="D9" s="42">
        <f>IF(C9="",0,C9*J$12)</f>
        <v>3372</v>
      </c>
      <c r="E9" s="29">
        <f>IF(DigitaNICA!F12&lt;&gt;"",DigitaNICA!F12,"")</f>
        <v>500</v>
      </c>
      <c r="F9" s="42">
        <f>IF(E9="",0,E9*PREMIOS!F9)</f>
        <v>42500</v>
      </c>
      <c r="G9" s="30">
        <f t="shared" si="0"/>
        <v>-17772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86</v>
      </c>
      <c r="C11" s="29">
        <f>IF(DigitaTICA!E12&lt;&gt;"",DigitaTICA!E12,"")</f>
        <v>23300</v>
      </c>
      <c r="D11" s="42">
        <f>IF(C11="",0,C11*J$11)</f>
        <v>2796</v>
      </c>
      <c r="E11" s="29">
        <f>IF(DigitaTICA!F12&lt;&gt;"",DigitaTICA!F12,"")</f>
        <v>200</v>
      </c>
      <c r="F11" s="42">
        <f>IF(E11="",0,E11*PREMIOS!F11)</f>
        <v>17000</v>
      </c>
      <c r="G11" s="30">
        <f t="shared" si="0"/>
        <v>3504</v>
      </c>
      <c r="I11" s="60" t="s">
        <v>36</v>
      </c>
      <c r="J11" s="61">
        <v>0.12</v>
      </c>
      <c r="K11" s="62">
        <f>MROUND(D7+D11+D15,50)</f>
        <v>9900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IF(DigitaREVENTADO!E12&lt;&gt;"",DigitaREVENTADO!E12,"")</f>
        <v>4000</v>
      </c>
      <c r="D12" s="42">
        <f>IF(C12="",0,C12*J$13)</f>
        <v>400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3600</v>
      </c>
      <c r="I12" s="63" t="s">
        <v>37</v>
      </c>
      <c r="J12" s="64">
        <v>0.12</v>
      </c>
      <c r="K12" s="30">
        <f>MROUND(D5+D9+D13+D17,50)</f>
        <v>7650</v>
      </c>
    </row>
    <row r="13" spans="1:12" x14ac:dyDescent="0.35">
      <c r="A13" s="28" t="s">
        <v>50</v>
      </c>
      <c r="B13" s="132">
        <f>IF(DigitaNICA!G2&lt;&gt;"",DigitaNICA!G2,"")</f>
        <v>44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1200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2700</v>
      </c>
    </row>
    <row r="15" spans="1:12" ht="15" thickBot="1" x14ac:dyDescent="0.4">
      <c r="A15" s="28" t="s">
        <v>61</v>
      </c>
      <c r="B15" s="132">
        <f>IF(DigitaTICA!G2&lt;&gt;"",DigitaTICA!G2,"")</f>
        <v>12</v>
      </c>
      <c r="C15" s="29">
        <f>IF(DigitaTICA!G12&lt;&gt;"",DigitaTICA!G12,"")</f>
        <v>35300</v>
      </c>
      <c r="D15" s="42">
        <f>IF(C15="",0,C15*J$11)</f>
        <v>4236</v>
      </c>
      <c r="E15" s="29">
        <f>IF(DigitaTICA!H12&lt;&gt;"",DigitaTICA!H12,"")</f>
        <v>500</v>
      </c>
      <c r="F15" s="42">
        <f>IF(E15="",0,E15*PREMIOS!F15)</f>
        <v>42500</v>
      </c>
      <c r="G15" s="30">
        <f t="shared" si="3"/>
        <v>-11436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IF(DigitaREVENTADO!G12&lt;&gt;"",DigitaREVENTADO!G12,"")</f>
        <v>3900</v>
      </c>
      <c r="D16" s="42">
        <f>IF(C16="",0,C16*J$13)</f>
        <v>390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3510</v>
      </c>
    </row>
    <row r="17" spans="1:7" x14ac:dyDescent="0.35">
      <c r="A17" s="28" t="s">
        <v>52</v>
      </c>
      <c r="B17" s="132" t="str">
        <f>IF(DigitaNICA!I2&lt;&gt;"",DigitaNICA!I2,"")</f>
        <v>05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14</v>
      </c>
      <c r="C19" s="29">
        <f>IF(DigitaPRIMERA!$C$12&lt;&gt;"",DigitaPRIMERA!$C$12,"")</f>
        <v>22300</v>
      </c>
      <c r="D19" s="42">
        <f>IF(C19="",0,C19*J$14)</f>
        <v>2676</v>
      </c>
      <c r="E19" s="29">
        <f>IF(DigitaPRIMERA!$D$12&lt;&gt;"",DigitaPRIMERA!$D$12,"")</f>
        <v>400</v>
      </c>
      <c r="F19" s="42">
        <f>IF(E19="",0,E19*PREMIOS!F19)</f>
        <v>34000</v>
      </c>
      <c r="G19" s="30">
        <f t="shared" si="3"/>
        <v>-14376</v>
      </c>
    </row>
    <row r="20" spans="1:7" x14ac:dyDescent="0.35">
      <c r="A20" s="28" t="s">
        <v>98</v>
      </c>
      <c r="B20" s="132">
        <f>IF(DigitaPRIMERA!E2&lt;&gt;"",DigitaPRIMERA!E2,"")</f>
        <v>39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65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36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96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180050</v>
      </c>
      <c r="D24" s="68">
        <f t="shared" ref="D24:G24" si="4">SUM(D5:D23)</f>
        <v>21369</v>
      </c>
      <c r="E24" s="68">
        <f t="shared" si="4"/>
        <v>2550</v>
      </c>
      <c r="F24" s="68">
        <f t="shared" si="4"/>
        <v>216750</v>
      </c>
      <c r="G24" s="88">
        <f t="shared" si="4"/>
        <v>-58069</v>
      </c>
    </row>
    <row r="27" spans="1:7" x14ac:dyDescent="0.35">
      <c r="G27" s="21">
        <v>193344</v>
      </c>
    </row>
    <row r="28" spans="1:7" x14ac:dyDescent="0.35">
      <c r="G28" s="141">
        <f>+G24+G27</f>
        <v>135275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101150</v>
      </c>
      <c r="K4" s="231">
        <f t="shared" ref="K4" si="0">D7+D11+D15</f>
        <v>12138</v>
      </c>
      <c r="L4" s="220">
        <f>F7+F11+F15</f>
        <v>263500</v>
      </c>
    </row>
    <row r="5" spans="1:12" ht="15" thickBot="1" x14ac:dyDescent="0.4">
      <c r="A5" s="28" t="s">
        <v>43</v>
      </c>
      <c r="B5" s="132">
        <f>IF(DigitaNICA!C2&lt;&gt;"",DigitaNICA!C2,"")</f>
        <v>88</v>
      </c>
      <c r="C5" s="29">
        <f>IF(DigitaNICA!C13&lt;&gt;"",DigitaNICA!C13,"")</f>
        <v>10500</v>
      </c>
      <c r="D5" s="42">
        <f>IF(C5="",0,C5*J$10)</f>
        <v>1260</v>
      </c>
      <c r="E5" s="29">
        <f>IF(DigitaNICA!D13&lt;&gt;"",DigitaNICA!D13,"")</f>
        <v>200</v>
      </c>
      <c r="F5" s="42">
        <f>IF(E5="",0,E5*PREMIOS!E5)</f>
        <v>16000</v>
      </c>
      <c r="G5" s="30">
        <f t="shared" ref="G5:G12" si="1">IF(OR(C5="",E5=""),0,C5-D5-F5)</f>
        <v>-6760</v>
      </c>
      <c r="I5" s="218" t="s">
        <v>37</v>
      </c>
      <c r="J5" s="232">
        <f>SUM(IF(C5="",0,C5),IF(C9="",0,C9),IF(C13="",0,C13),IF(C17="",0,C17))</f>
        <v>45750</v>
      </c>
      <c r="K5" s="233">
        <f t="shared" ref="K5" si="2">D5+D9+D13+D17</f>
        <v>5490</v>
      </c>
      <c r="L5" s="234">
        <f>F5+F9+F13+F17</f>
        <v>16000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 t="str">
        <f>IF(DigitaTICA!C2&lt;&gt;"",DigitaTICA!C2,"")</f>
        <v>07</v>
      </c>
      <c r="C7" s="29">
        <f>IF(DigitaTICA!C13&lt;&gt;"",DigitaTICA!C13,"")</f>
        <v>26000</v>
      </c>
      <c r="D7" s="42">
        <f>IF(C7="",0,C7*J$9)</f>
        <v>3120</v>
      </c>
      <c r="E7" s="29">
        <f>IF(DigitaTICA!D13&lt;&gt;"",DigitaTICA!D13,"")</f>
        <v>0</v>
      </c>
      <c r="F7" s="133">
        <f>IF(E7="",0,E7*PREMIOS!F7)</f>
        <v>0</v>
      </c>
      <c r="G7" s="30">
        <f t="shared" si="1"/>
        <v>22880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96</v>
      </c>
      <c r="C9" s="29">
        <f>IF(DigitaNICA!E13&lt;&gt;"",DigitaNICA!E13,"")</f>
        <v>17650</v>
      </c>
      <c r="D9" s="42">
        <f>IF(C9="",0,C9*J$10)</f>
        <v>2118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15532</v>
      </c>
      <c r="I9" s="60" t="s">
        <v>36</v>
      </c>
      <c r="J9" s="61">
        <v>0.12</v>
      </c>
      <c r="K9" s="62">
        <f>MROUND(D7+D11+D15,50)</f>
        <v>12150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5500</v>
      </c>
    </row>
    <row r="11" spans="1:12" ht="15" thickBot="1" x14ac:dyDescent="0.4">
      <c r="A11" s="28" t="s">
        <v>59</v>
      </c>
      <c r="B11" s="132">
        <f>IF(DigitaTICA!E2&lt;&gt;"",DigitaTICA!E2,"")</f>
        <v>86</v>
      </c>
      <c r="C11" s="29">
        <f>IF(DigitaTICA!E13&lt;&gt;"",DigitaTICA!E13,"")</f>
        <v>21900</v>
      </c>
      <c r="D11" s="42">
        <f>IF(C11="",0,C11*J$9)</f>
        <v>2628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19272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44</v>
      </c>
      <c r="C13" s="29">
        <f>IF(DigitaNICA!G13&lt;&gt;"",DigitaNICA!G13,"")</f>
        <v>14750</v>
      </c>
      <c r="D13" s="42">
        <f>IF(C13="",0,C13*J$10)</f>
        <v>1770</v>
      </c>
      <c r="E13" s="29">
        <f>IF(DigitaNICA!H13&lt;&gt;"",DigitaNICA!H13,"")</f>
        <v>0</v>
      </c>
      <c r="F13" s="133">
        <f>IF(E13="",0,E13*PREMIOS!E13)</f>
        <v>0</v>
      </c>
      <c r="G13" s="30">
        <f>IF(OR(C13="",E13=""),0,C13-D13-F13)</f>
        <v>12980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12</v>
      </c>
      <c r="C15" s="29">
        <f>IF(DigitaTICA!G13&lt;&gt;"",DigitaTICA!G13,"")</f>
        <v>53250</v>
      </c>
      <c r="D15" s="42">
        <f>IF(C15="",0,C15*J$9)</f>
        <v>6390</v>
      </c>
      <c r="E15" s="29">
        <f>IF(DigitaTICA!H13&lt;&gt;"",DigitaTICA!H13,"")</f>
        <v>3100</v>
      </c>
      <c r="F15" s="133">
        <f>IF(E15="",0,E15*PREMIOS!F15)</f>
        <v>263500</v>
      </c>
      <c r="G15" s="30">
        <f t="shared" si="3"/>
        <v>-216640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>05</v>
      </c>
      <c r="C17" s="29">
        <f>IF(DigitaNICA!I13&lt;&gt;"",DigitaNICA!I13,"")</f>
        <v>2850</v>
      </c>
      <c r="D17" s="42">
        <f>IF(C17="",0,C17*J$10)</f>
        <v>342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2508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146900</v>
      </c>
      <c r="D19" s="68">
        <f>MROUND(SUM(D5:D18),50)</f>
        <v>17650</v>
      </c>
      <c r="E19" s="68">
        <f>SUM(E5:E18)</f>
        <v>3300</v>
      </c>
      <c r="F19" s="68">
        <f>SUM(F5:F18)</f>
        <v>279500</v>
      </c>
      <c r="G19" s="88">
        <f>SUM(G5:G18)</f>
        <v>-150228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143400</v>
      </c>
      <c r="K4" s="236">
        <f t="shared" ref="K4" si="0">D7+D11+D15</f>
        <v>21510</v>
      </c>
      <c r="L4" s="237">
        <f>F7+F11+F15</f>
        <v>44000</v>
      </c>
    </row>
    <row r="5" spans="1:12" x14ac:dyDescent="0.35">
      <c r="A5" s="28" t="s">
        <v>43</v>
      </c>
      <c r="B5" s="132">
        <f>IF(DigitaNICA!C2&lt;&gt;"",DigitaNICA!C2,"")</f>
        <v>88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 t="str">
        <f>IF(DigitaTICA!C2&lt;&gt;"",DigitaTICA!C2,"")</f>
        <v>07</v>
      </c>
      <c r="C7" s="29">
        <f>IF(DigitaTICA!C14&lt;&gt;"",DigitaTICA!C14,"")</f>
        <v>53950</v>
      </c>
      <c r="D7" s="42">
        <f>IF(C7="",0,C7*J$9)</f>
        <v>8092.5</v>
      </c>
      <c r="E7" s="29">
        <f>IF(DigitaTICA!D14&lt;&gt;"",DigitaTICA!D14,"")</f>
        <v>300</v>
      </c>
      <c r="F7" s="42">
        <f>IF(E7="",0,E7*PREMIOS!E7)</f>
        <v>24000</v>
      </c>
      <c r="G7" s="30">
        <f t="shared" si="1"/>
        <v>21857.5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96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21500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86</v>
      </c>
      <c r="C11" s="29">
        <f>IF(DigitaTICA!E14&lt;&gt;"",DigitaTICA!E14,"")</f>
        <v>34150</v>
      </c>
      <c r="D11" s="42">
        <f>IF(C11="",0,C11*J$9)</f>
        <v>5122.5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29027.5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44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12</v>
      </c>
      <c r="C15" s="29">
        <f>IF(DigitaTICA!G14&lt;&gt;"",DigitaTICA!G14,"")</f>
        <v>55300</v>
      </c>
      <c r="D15" s="42">
        <f>IF(C15="",0,C15*J$9)</f>
        <v>8295</v>
      </c>
      <c r="E15" s="29">
        <f>IF(DigitaTICA!H14&lt;&gt;"",DigitaTICA!H14,"")</f>
        <v>250</v>
      </c>
      <c r="F15" s="42">
        <f>IF(E15="",0,E15*PREMIOS!E15)</f>
        <v>20000</v>
      </c>
      <c r="G15" s="30">
        <f t="shared" si="2"/>
        <v>27005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 t="str">
        <f>IF(DigitaNICA!I2&lt;&gt;"",DigitaNICA!I2,"")</f>
        <v>05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143400</v>
      </c>
      <c r="D19" s="68">
        <f>MROUND(SUM(D5:D18),50)</f>
        <v>21500</v>
      </c>
      <c r="E19" s="68">
        <f>SUM(E5:E18)</f>
        <v>550</v>
      </c>
      <c r="F19" s="68">
        <f>SUM(F5:F18)</f>
        <v>44000</v>
      </c>
      <c r="G19" s="88">
        <f>SUM(G5:G18)</f>
        <v>77890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88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 t="str">
        <f>IF(DigitaTICA!C2&lt;&gt;"",DigitaTICA!C2,"")</f>
        <v>07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96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86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44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12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>05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78150</v>
      </c>
      <c r="K4" s="231">
        <f>D7+D11+D15</f>
        <v>9378</v>
      </c>
      <c r="L4" s="220">
        <f>F7+F11+F15</f>
        <v>21250</v>
      </c>
    </row>
    <row r="5" spans="1:12" x14ac:dyDescent="0.35">
      <c r="A5" s="28" t="s">
        <v>43</v>
      </c>
      <c r="B5" s="132">
        <f>IF(DigitaNICA!C2&lt;&gt;"",DigitaNICA!C2,"")</f>
        <v>88</v>
      </c>
      <c r="C5" s="29">
        <f>IF(DigitaNICA!C16&lt;&gt;"",DigitaNICA!C16,"")</f>
        <v>13000</v>
      </c>
      <c r="D5" s="42">
        <f>IF(C5="",0,C5*J$12)</f>
        <v>1560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11440</v>
      </c>
      <c r="I5" s="63" t="s">
        <v>37</v>
      </c>
      <c r="J5" s="225">
        <f>SUM(IF(C5="",0,C5),IF(C9="",0,C9),IF(C13="",0,C13),IF(C17="",0,C17))</f>
        <v>65700</v>
      </c>
      <c r="K5" s="225">
        <f t="shared" ref="K5" si="1">D5+D9+D13+D17</f>
        <v>7884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0</v>
      </c>
      <c r="K6" s="226">
        <f t="shared" ref="K6" si="2">+D8+D12+D16</f>
        <v>0</v>
      </c>
      <c r="L6" s="227">
        <f>F8+F12+F16</f>
        <v>0</v>
      </c>
    </row>
    <row r="7" spans="1:12" x14ac:dyDescent="0.35">
      <c r="A7" s="28" t="s">
        <v>46</v>
      </c>
      <c r="B7" s="132" t="str">
        <f>IF(DigitaTICA!C2&lt;&gt;"",DigitaTICA!C2,"")</f>
        <v>07</v>
      </c>
      <c r="C7" s="29">
        <f>IF(DigitaTICA!C16&lt;&gt;"",DigitaTICA!C16,"")</f>
        <v>26950</v>
      </c>
      <c r="D7" s="42">
        <f>IF(C7="",0,C7*J$11)</f>
        <v>3234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23716</v>
      </c>
      <c r="I7" s="63" t="s">
        <v>96</v>
      </c>
      <c r="J7" s="226">
        <f>SUM(IF(C19="",0,C19),IF(C20="",0,C20))</f>
        <v>10900</v>
      </c>
      <c r="K7" s="226">
        <f>+D19+D20</f>
        <v>1308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IF(DigitaREVENTADO!C16&lt;&gt;"",DigitaREVENTADO!C16,"")</f>
        <v/>
      </c>
      <c r="D8" s="42">
        <f>IF(C8="",0,C8*J$13)</f>
        <v>0</v>
      </c>
      <c r="E8" s="29" t="str">
        <f>IF(DigitaREVENTADO!D16&lt;&gt;"",DigitaREVENTADO!D16,"")</f>
        <v/>
      </c>
      <c r="F8" s="133">
        <f>IF(E8="",0,E8*PREMIOS!F8)</f>
        <v>0</v>
      </c>
      <c r="G8" s="30">
        <f t="shared" si="0"/>
        <v>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96</v>
      </c>
      <c r="C9" s="29">
        <f>IF(DigitaNICA!E16&lt;&gt;"",DigitaNICA!E16,"")</f>
        <v>15200</v>
      </c>
      <c r="D9" s="42">
        <f>IF(C9="",0,C9*J$12)</f>
        <v>1824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13376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86</v>
      </c>
      <c r="C11" s="29">
        <f>IF(DigitaTICA!E16&lt;&gt;"",DigitaTICA!E16,"")</f>
        <v>27950</v>
      </c>
      <c r="D11" s="42">
        <f>IF(C11="",0,C11*J$11)</f>
        <v>3354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24596</v>
      </c>
      <c r="I11" s="76" t="s">
        <v>36</v>
      </c>
      <c r="J11" s="77">
        <v>0.12</v>
      </c>
      <c r="K11" s="78">
        <f>MROUND(D7+D11+D15,50)</f>
        <v>9400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7900</v>
      </c>
    </row>
    <row r="13" spans="1:12" x14ac:dyDescent="0.35">
      <c r="A13" s="28" t="s">
        <v>50</v>
      </c>
      <c r="B13" s="132">
        <f>IF(DigitaNICA!G2&lt;&gt;"",DigitaNICA!G2,"")</f>
        <v>44</v>
      </c>
      <c r="C13" s="29">
        <f>IF(DigitaNICA!G16&lt;&gt;"",DigitaNICA!G16,"")</f>
        <v>12700</v>
      </c>
      <c r="D13" s="42">
        <f>IF(C13="",0,C13*J$12)</f>
        <v>1524</v>
      </c>
      <c r="E13" s="29">
        <f>IF(DigitaNICA!H16&lt;&gt;"",DigitaNICA!H16,"")</f>
        <v>0</v>
      </c>
      <c r="F13" s="133">
        <f>IF(E13="",0,E13*PREMIOS!E13)</f>
        <v>0</v>
      </c>
      <c r="G13" s="30">
        <f>IF(OR(C13="",E13=""),0,C13-D13-F13)</f>
        <v>11176</v>
      </c>
      <c r="I13" s="63" t="s">
        <v>38</v>
      </c>
      <c r="J13" s="64">
        <v>0.1</v>
      </c>
      <c r="K13" s="30">
        <f>MROUND(D6+D8+D10+D12+D14+D16+D18,50)</f>
        <v>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1300</v>
      </c>
    </row>
    <row r="15" spans="1:12" ht="15" thickBot="1" x14ac:dyDescent="0.4">
      <c r="A15" s="28" t="s">
        <v>61</v>
      </c>
      <c r="B15" s="132">
        <f>IF(DigitaTICA!G2&lt;&gt;"",DigitaTICA!G2,"")</f>
        <v>12</v>
      </c>
      <c r="C15" s="29">
        <f>IF(DigitaTICA!G16&lt;&gt;"",DigitaTICA!G16,"")</f>
        <v>23250</v>
      </c>
      <c r="D15" s="42">
        <f>IF(C15="",0,C15*J$11)</f>
        <v>2790</v>
      </c>
      <c r="E15" s="29">
        <f>IF(DigitaTICA!H16&lt;&gt;"",DigitaTICA!H16,"")</f>
        <v>250</v>
      </c>
      <c r="F15" s="133">
        <f>IF(E15="",0,E15*PREMIOS!F15)</f>
        <v>21250</v>
      </c>
      <c r="G15" s="30">
        <f t="shared" si="3"/>
        <v>-790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IF(DigitaREVENTADO!G16&lt;&gt;"",DigitaREVENTADO!G16,"")</f>
        <v/>
      </c>
      <c r="D16" s="42">
        <f>IF(C16="",0,C16*J$13)</f>
        <v>0</v>
      </c>
      <c r="E16" s="29" t="str">
        <f>IF(DigitaREVENTADO!H16&lt;&gt;"",DigitaREVENTADO!H16,"")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>05</v>
      </c>
      <c r="C17" s="29">
        <f>IF(DigitaNICA!I16&lt;&gt;"",DigitaNICA!I16,"")</f>
        <v>24800</v>
      </c>
      <c r="D17" s="42">
        <f>IF(C17="",0,C17*J$12)</f>
        <v>2976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21824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14</v>
      </c>
      <c r="C19" s="29">
        <f>IF(DigitaPRIMERA!C16&lt;&gt;"",DigitaPRIMERA!C16,"")</f>
        <v>10900</v>
      </c>
      <c r="D19" s="42">
        <f>IF(C19="",0,C19*J$14)</f>
        <v>1308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9592</v>
      </c>
    </row>
    <row r="20" spans="1:7" x14ac:dyDescent="0.35">
      <c r="A20" s="28" t="s">
        <v>98</v>
      </c>
      <c r="B20" s="132">
        <f>IF(DigitaPRIMERA!E2&lt;&gt;"",DigitaPRIMERA!E2,"")</f>
        <v>39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65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36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96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154750</v>
      </c>
      <c r="D24" s="122">
        <f t="shared" ref="D24:G24" si="5">SUM(D5:D23)</f>
        <v>18570</v>
      </c>
      <c r="E24" s="122">
        <f t="shared" si="5"/>
        <v>250</v>
      </c>
      <c r="F24" s="122">
        <f t="shared" si="5"/>
        <v>21250</v>
      </c>
      <c r="G24" s="123">
        <f t="shared" si="5"/>
        <v>114930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88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">
        <v>46</v>
      </c>
      <c r="B7" s="132" t="str">
        <f>IF(DigitaTICA!C2&lt;&gt;"",DigitaTICA!C2,"")</f>
        <v>07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96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86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>
        <f>IF(DigitaNICA!G2&lt;&gt;"",DigitaNICA!G2,"")</f>
        <v>44</v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12</v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 t="str">
        <f>IF(DigitaNICA!I2&lt;&gt;"",DigitaNICA!I2,"")</f>
        <v>05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14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39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65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36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96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67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76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tr">
        <f>+Vendedor1!A5</f>
        <v>Nica 11am</v>
      </c>
      <c r="B5" s="132">
        <f>IF(DigitaNICA!C2&lt;&gt;"",DigitaNICA!C2,"")</f>
        <v>88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tr">
        <f>+Vendedor1!A7</f>
        <v>Tica 1pm</v>
      </c>
      <c r="B7" s="132" t="str">
        <f>IF(DigitaTICA!C2&lt;&gt;"",DigitaTICA!C2,"")</f>
        <v>07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96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86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44</v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12</v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Roja</v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 t="str">
        <f>IF(DigitaNICA!I2&lt;&gt;"",DigitaNICA!I2,"")</f>
        <v>05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14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39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65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36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96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67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76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88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 t="str">
        <f>IF(DigitaTICA!C2&lt;&gt;"",DigitaTICA!C2,"")</f>
        <v>07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96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86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44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12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 t="str">
        <f>IF(DigitaNICA!I2&lt;&gt;"",DigitaNICA!I2,"")</f>
        <v>05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88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>07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96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86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44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>05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88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>07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96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86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44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>05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88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>07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96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86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44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>05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88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>07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96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86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44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>05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IF(PREMIOS!$B7="","",PREMIOS!$B7)</f>
        <v>07</v>
      </c>
      <c r="D2" s="268"/>
      <c r="E2" s="267">
        <f>IF(PREMIOS!$B11="","",PREMIOS!$B11)</f>
        <v>86</v>
      </c>
      <c r="F2" s="268"/>
      <c r="G2" s="267">
        <f>IF(PREMIOS!$B15="","",PREMIOS!$B15)</f>
        <v>12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73800</v>
      </c>
      <c r="D4" s="78">
        <f t="shared" ref="D4:H27" si="0">IF(C4="","",0)</f>
        <v>0</v>
      </c>
      <c r="E4" s="189">
        <v>58400</v>
      </c>
      <c r="F4" s="78">
        <f t="shared" si="0"/>
        <v>0</v>
      </c>
      <c r="G4" s="189">
        <v>121750</v>
      </c>
      <c r="H4" s="78">
        <v>800</v>
      </c>
      <c r="J4" s="42">
        <f t="shared" ref="J4:J8" si="1">+C4+E4+G4</f>
        <v>253950</v>
      </c>
      <c r="K4" s="42">
        <f>IF(D4="",0,IF(F4="",D4,IF(H4="",D4+F4,D4+F4+H4)))</f>
        <v>800</v>
      </c>
    </row>
    <row r="5" spans="1:11" x14ac:dyDescent="0.35">
      <c r="A5" s="47">
        <v>2</v>
      </c>
      <c r="B5" s="178" t="str">
        <f>Vendedor2!$B$2</f>
        <v>PUESTO 2</v>
      </c>
      <c r="C5" s="180">
        <v>39750</v>
      </c>
      <c r="D5" s="30">
        <v>2700</v>
      </c>
      <c r="E5" s="180">
        <v>32300</v>
      </c>
      <c r="F5" s="30">
        <f t="shared" si="0"/>
        <v>0</v>
      </c>
      <c r="G5" s="180">
        <v>59550</v>
      </c>
      <c r="H5" s="30">
        <v>2250</v>
      </c>
      <c r="J5" s="42">
        <f t="shared" si="1"/>
        <v>131600</v>
      </c>
      <c r="K5" s="42">
        <f t="shared" ref="K5:K27" si="2">IF(D5="",0,IF(F5="",D5,IF(H5="",D5+F5,D5+F5+H5)))</f>
        <v>4950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74950</v>
      </c>
      <c r="D8" s="30">
        <v>1300</v>
      </c>
      <c r="E8" s="180">
        <v>56350</v>
      </c>
      <c r="F8" s="30">
        <f t="shared" si="0"/>
        <v>0</v>
      </c>
      <c r="G8" s="180">
        <v>44600</v>
      </c>
      <c r="H8" s="30">
        <f t="shared" si="0"/>
        <v>0</v>
      </c>
      <c r="J8" s="42">
        <f t="shared" si="1"/>
        <v>175900</v>
      </c>
      <c r="K8" s="42">
        <f t="shared" si="2"/>
        <v>1300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21950+81300</f>
        <v>103250</v>
      </c>
      <c r="D10" s="30">
        <f>100+50</f>
        <v>150</v>
      </c>
      <c r="E10" s="180">
        <f>21350+84750</f>
        <v>106100</v>
      </c>
      <c r="F10" s="30">
        <f t="shared" si="0"/>
        <v>0</v>
      </c>
      <c r="G10" s="180">
        <f>31800+119050</f>
        <v>150850</v>
      </c>
      <c r="H10" s="30">
        <f>650+1500</f>
        <v>2150</v>
      </c>
      <c r="J10" s="42">
        <f t="shared" si="3"/>
        <v>360200</v>
      </c>
      <c r="K10" s="42">
        <f t="shared" si="2"/>
        <v>2300</v>
      </c>
    </row>
    <row r="11" spans="1:11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180"/>
      <c r="F11" s="30" t="str">
        <f t="shared" si="0"/>
        <v/>
      </c>
      <c r="G11" s="180">
        <v>15000</v>
      </c>
      <c r="H11" s="30">
        <f t="shared" si="0"/>
        <v>0</v>
      </c>
      <c r="J11" s="42">
        <f t="shared" si="3"/>
        <v>15000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23700</v>
      </c>
      <c r="D12" s="30">
        <v>200</v>
      </c>
      <c r="E12" s="180">
        <v>23300</v>
      </c>
      <c r="F12" s="30">
        <v>200</v>
      </c>
      <c r="G12" s="180">
        <v>35300</v>
      </c>
      <c r="H12" s="30">
        <v>500</v>
      </c>
      <c r="J12" s="42">
        <f t="shared" si="3"/>
        <v>82300</v>
      </c>
      <c r="K12" s="42">
        <f t="shared" si="2"/>
        <v>900</v>
      </c>
    </row>
    <row r="13" spans="1:11" x14ac:dyDescent="0.35">
      <c r="A13" s="47">
        <v>10</v>
      </c>
      <c r="B13" s="178" t="str">
        <f>Vendedor10!$B$2</f>
        <v>MARIALIZ</v>
      </c>
      <c r="C13" s="180">
        <v>26000</v>
      </c>
      <c r="D13" s="30">
        <f t="shared" si="0"/>
        <v>0</v>
      </c>
      <c r="E13" s="180">
        <v>21900</v>
      </c>
      <c r="F13" s="30">
        <f t="shared" si="0"/>
        <v>0</v>
      </c>
      <c r="G13" s="180">
        <v>53250</v>
      </c>
      <c r="H13" s="30">
        <v>3100</v>
      </c>
      <c r="J13" s="42">
        <f t="shared" si="3"/>
        <v>101150</v>
      </c>
      <c r="K13" s="42">
        <f t="shared" si="2"/>
        <v>3100</v>
      </c>
    </row>
    <row r="14" spans="1:11" x14ac:dyDescent="0.35">
      <c r="A14" s="47">
        <v>11</v>
      </c>
      <c r="B14" s="178" t="str">
        <f>Vendedor11!$B$2</f>
        <v>CHARLY</v>
      </c>
      <c r="C14" s="180">
        <v>53950</v>
      </c>
      <c r="D14" s="30">
        <v>300</v>
      </c>
      <c r="E14" s="180">
        <v>34150</v>
      </c>
      <c r="F14" s="30">
        <f t="shared" si="0"/>
        <v>0</v>
      </c>
      <c r="G14" s="180">
        <v>55300</v>
      </c>
      <c r="H14" s="30">
        <v>250</v>
      </c>
      <c r="J14" s="42">
        <f t="shared" si="3"/>
        <v>143400</v>
      </c>
      <c r="K14" s="42">
        <f t="shared" si="2"/>
        <v>550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26950</v>
      </c>
      <c r="D16" s="30">
        <f t="shared" si="0"/>
        <v>0</v>
      </c>
      <c r="E16" s="180">
        <v>27950</v>
      </c>
      <c r="F16" s="30">
        <f t="shared" si="0"/>
        <v>0</v>
      </c>
      <c r="G16" s="180">
        <v>23250</v>
      </c>
      <c r="H16" s="30">
        <v>250</v>
      </c>
      <c r="J16" s="42">
        <f t="shared" si="3"/>
        <v>78150</v>
      </c>
      <c r="K16" s="42">
        <f t="shared" si="2"/>
        <v>250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422350</v>
      </c>
      <c r="D32" s="44">
        <f t="shared" si="6"/>
        <v>4650</v>
      </c>
      <c r="E32" s="43">
        <f t="shared" si="6"/>
        <v>360450</v>
      </c>
      <c r="F32" s="44">
        <f t="shared" si="6"/>
        <v>200</v>
      </c>
      <c r="G32" s="43">
        <f t="shared" si="6"/>
        <v>558850</v>
      </c>
      <c r="H32" s="44">
        <f t="shared" si="6"/>
        <v>9300</v>
      </c>
      <c r="J32" s="95">
        <f>SUM(J4:J31)</f>
        <v>1341650</v>
      </c>
      <c r="K32" s="95"/>
    </row>
    <row r="33" spans="2:8" x14ac:dyDescent="0.35">
      <c r="D33" s="99">
        <f>+D32*85</f>
        <v>395250</v>
      </c>
      <c r="F33" s="99">
        <f>+F32*85</f>
        <v>17000</v>
      </c>
      <c r="H33" s="99">
        <f>+H32*85</f>
        <v>790500</v>
      </c>
    </row>
    <row r="34" spans="2:8" x14ac:dyDescent="0.35">
      <c r="B34" s="247" t="s">
        <v>149</v>
      </c>
      <c r="C34" s="43">
        <f t="shared" ref="C34:H34" si="7">+C4+C5+C6+C8+C13</f>
        <v>214500</v>
      </c>
      <c r="D34" s="43" t="e">
        <f t="shared" si="7"/>
        <v>#VALUE!</v>
      </c>
      <c r="E34" s="43">
        <f t="shared" si="7"/>
        <v>168950</v>
      </c>
      <c r="F34" s="43" t="e">
        <f t="shared" si="7"/>
        <v>#VALUE!</v>
      </c>
      <c r="G34" s="43">
        <f t="shared" si="7"/>
        <v>279150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53950</v>
      </c>
      <c r="D35" s="43" t="e">
        <f t="shared" ref="D35:H35" si="8">+D11+D14+D15+D17+D18</f>
        <v>#VALUE!</v>
      </c>
      <c r="E35" s="43">
        <f t="shared" si="8"/>
        <v>34150</v>
      </c>
      <c r="F35" s="43" t="e">
        <f t="shared" si="8"/>
        <v>#VALUE!</v>
      </c>
      <c r="G35" s="43">
        <f t="shared" si="8"/>
        <v>70300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126950</v>
      </c>
      <c r="D36" s="43" t="e">
        <f t="shared" ref="D36:H36" si="9">+D10+D12+D27</f>
        <v>#VALUE!</v>
      </c>
      <c r="E36" s="43">
        <f t="shared" si="9"/>
        <v>129400</v>
      </c>
      <c r="F36" s="43" t="e">
        <f t="shared" si="9"/>
        <v>#VALUE!</v>
      </c>
      <c r="G36" s="43">
        <f t="shared" si="9"/>
        <v>186150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88</v>
      </c>
      <c r="D2" s="268"/>
      <c r="E2" s="267">
        <f>IF(PREMIOS!$B9="","",PREMIOS!$B9)</f>
        <v>96</v>
      </c>
      <c r="F2" s="268"/>
      <c r="G2" s="267">
        <f>IF(PREMIOS!$B13="","",PREMIOS!$B13)</f>
        <v>44</v>
      </c>
      <c r="H2" s="268"/>
      <c r="I2" s="267" t="str">
        <f>IF(PREMIOS!$B17="","",PREMIOS!$B17)</f>
        <v>05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56450</v>
      </c>
      <c r="D4" s="78">
        <v>4000</v>
      </c>
      <c r="E4" s="206">
        <v>6350</v>
      </c>
      <c r="F4" s="78">
        <f t="shared" ref="D4:J27" si="0">IF(E4="","",0)</f>
        <v>0</v>
      </c>
      <c r="G4" s="189">
        <v>1400</v>
      </c>
      <c r="H4" s="78">
        <f t="shared" ref="H4:H27" si="1">IF(G4="","",0)</f>
        <v>0</v>
      </c>
      <c r="I4" s="189"/>
      <c r="J4" s="78" t="str">
        <f t="shared" si="0"/>
        <v/>
      </c>
      <c r="L4" s="42">
        <f t="shared" ref="L4:L8" si="2">+C4+E4+G4+I4</f>
        <v>64200</v>
      </c>
      <c r="M4" s="42">
        <f>IF(D4=0,0,IF(F4="",D4,IF(H4="",D4+F4,IF(J4="",D4+F4+H4,D4+F4+H4+J4))))</f>
        <v>4000</v>
      </c>
    </row>
    <row r="5" spans="1:13" x14ac:dyDescent="0.35">
      <c r="A5" s="47">
        <v>2</v>
      </c>
      <c r="B5" s="178" t="str">
        <f>Vendedor2!$B$2</f>
        <v>PUESTO 2</v>
      </c>
      <c r="C5" s="180">
        <v>14000</v>
      </c>
      <c r="D5" s="30">
        <f t="shared" si="0"/>
        <v>0</v>
      </c>
      <c r="E5" s="207">
        <v>8500</v>
      </c>
      <c r="F5" s="30">
        <f t="shared" si="0"/>
        <v>0</v>
      </c>
      <c r="G5" s="180">
        <v>1000</v>
      </c>
      <c r="H5" s="30">
        <f t="shared" si="1"/>
        <v>0</v>
      </c>
      <c r="I5" s="180">
        <v>1000</v>
      </c>
      <c r="J5" s="30">
        <f t="shared" ref="J5:J27" si="3">IF(I5="","",0)</f>
        <v>0</v>
      </c>
      <c r="L5" s="42">
        <f t="shared" si="2"/>
        <v>24500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72250</v>
      </c>
      <c r="D8" s="30">
        <v>1100</v>
      </c>
      <c r="E8" s="207">
        <v>52550</v>
      </c>
      <c r="F8" s="30">
        <f t="shared" si="0"/>
        <v>0</v>
      </c>
      <c r="G8" s="180">
        <v>15600</v>
      </c>
      <c r="H8" s="30">
        <f t="shared" si="1"/>
        <v>0</v>
      </c>
      <c r="I8" s="180">
        <v>11700</v>
      </c>
      <c r="J8" s="30">
        <v>250</v>
      </c>
      <c r="L8" s="42">
        <f t="shared" si="2"/>
        <v>152100</v>
      </c>
      <c r="M8" s="42">
        <f t="shared" si="4"/>
        <v>1350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16900+39850</f>
        <v>56750</v>
      </c>
      <c r="D10" s="30">
        <f>100+250</f>
        <v>350</v>
      </c>
      <c r="E10" s="207">
        <f>13300+63300</f>
        <v>76600</v>
      </c>
      <c r="F10" s="30">
        <f>300+1300</f>
        <v>1600</v>
      </c>
      <c r="G10" s="180">
        <v>25450</v>
      </c>
      <c r="H10" s="30">
        <f t="shared" si="0"/>
        <v>0</v>
      </c>
      <c r="I10" s="180">
        <f>30400+76650</f>
        <v>107050</v>
      </c>
      <c r="J10" s="30">
        <f>600+1550</f>
        <v>2150</v>
      </c>
      <c r="L10" s="42">
        <f t="shared" si="5"/>
        <v>265850</v>
      </c>
      <c r="M10" s="42">
        <f t="shared" si="4"/>
        <v>4100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35500</v>
      </c>
      <c r="D12" s="30">
        <v>750</v>
      </c>
      <c r="E12" s="207">
        <v>28100</v>
      </c>
      <c r="F12" s="30">
        <v>500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63600</v>
      </c>
      <c r="M12" s="42">
        <f t="shared" si="4"/>
        <v>1250</v>
      </c>
    </row>
    <row r="13" spans="1:13" x14ac:dyDescent="0.35">
      <c r="A13" s="47">
        <v>10</v>
      </c>
      <c r="B13" s="178" t="str">
        <f>Vendedor10!$B$2</f>
        <v>MARIALIZ</v>
      </c>
      <c r="C13" s="180">
        <v>10500</v>
      </c>
      <c r="D13" s="30">
        <v>200</v>
      </c>
      <c r="E13" s="207">
        <v>17650</v>
      </c>
      <c r="F13" s="30">
        <f t="shared" si="0"/>
        <v>0</v>
      </c>
      <c r="G13" s="180">
        <v>14750</v>
      </c>
      <c r="H13" s="30">
        <f t="shared" si="0"/>
        <v>0</v>
      </c>
      <c r="I13" s="180">
        <v>2850</v>
      </c>
      <c r="J13" s="30">
        <f t="shared" si="0"/>
        <v>0</v>
      </c>
      <c r="L13" s="42">
        <f t="shared" si="5"/>
        <v>45750</v>
      </c>
      <c r="M13" s="42">
        <f t="shared" si="4"/>
        <v>200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13000</v>
      </c>
      <c r="D16" s="30">
        <f t="shared" si="0"/>
        <v>0</v>
      </c>
      <c r="E16" s="207">
        <v>15200</v>
      </c>
      <c r="F16" s="30">
        <f t="shared" si="0"/>
        <v>0</v>
      </c>
      <c r="G16" s="180">
        <v>12700</v>
      </c>
      <c r="H16" s="30">
        <f t="shared" si="0"/>
        <v>0</v>
      </c>
      <c r="I16" s="180">
        <v>24800</v>
      </c>
      <c r="J16" s="30">
        <f t="shared" si="0"/>
        <v>0</v>
      </c>
      <c r="L16" s="42">
        <f t="shared" si="5"/>
        <v>65700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207"/>
      <c r="F17" s="30" t="str">
        <f t="shared" si="0"/>
        <v/>
      </c>
      <c r="G17" s="180"/>
      <c r="H17" s="30" t="str">
        <f t="shared" si="0"/>
        <v/>
      </c>
      <c r="I17" s="180"/>
      <c r="J17" s="30" t="str">
        <f t="shared" si="0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207"/>
      <c r="F18" s="30" t="str">
        <f t="shared" si="0"/>
        <v/>
      </c>
      <c r="G18" s="180"/>
      <c r="H18" s="30" t="str">
        <f t="shared" si="0"/>
        <v/>
      </c>
      <c r="I18" s="180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258450</v>
      </c>
      <c r="D32" s="44">
        <f t="shared" si="7"/>
        <v>6400</v>
      </c>
      <c r="E32" s="43">
        <f t="shared" si="7"/>
        <v>204950</v>
      </c>
      <c r="F32" s="44">
        <f t="shared" si="7"/>
        <v>2100</v>
      </c>
      <c r="G32" s="43">
        <f t="shared" si="7"/>
        <v>70900</v>
      </c>
      <c r="H32" s="44">
        <f t="shared" si="7"/>
        <v>0</v>
      </c>
      <c r="I32" s="43">
        <f t="shared" si="7"/>
        <v>147400</v>
      </c>
      <c r="J32" s="44">
        <f t="shared" si="7"/>
        <v>2400</v>
      </c>
      <c r="L32" s="95">
        <f>SUM(L9:L31)</f>
        <v>440900</v>
      </c>
      <c r="M32" s="95">
        <f>SUM(M9:M31)</f>
        <v>5550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07 Blanca</v>
      </c>
      <c r="D2" s="268"/>
      <c r="E2" s="267" t="str">
        <f>IF(E33=0,"",CONCATENATE(PREMIOS!$B11," ",PREMIOS!$B12))</f>
        <v>86 Blanca</v>
      </c>
      <c r="F2" s="268"/>
      <c r="G2" s="267" t="str">
        <f>IF(G33=0,"",CONCATENATE(PREMIOS!$B15," ",PREMIOS!$B16))</f>
        <v>12 Roja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10500+9300</f>
        <v>19800</v>
      </c>
      <c r="D10" s="30">
        <f t="shared" si="0"/>
        <v>0</v>
      </c>
      <c r="E10" s="180">
        <f>6950+11050</f>
        <v>18000</v>
      </c>
      <c r="F10" s="30">
        <f t="shared" si="0"/>
        <v>0</v>
      </c>
      <c r="G10" s="180">
        <f>9000+7550</f>
        <v>16550</v>
      </c>
      <c r="H10" s="30">
        <v>500</v>
      </c>
      <c r="J10" s="42">
        <f t="shared" si="3"/>
        <v>54350</v>
      </c>
      <c r="K10" s="42">
        <f t="shared" si="4"/>
        <v>500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3950</v>
      </c>
      <c r="D12" s="30">
        <f t="shared" si="0"/>
        <v>0</v>
      </c>
      <c r="E12" s="180">
        <v>4000</v>
      </c>
      <c r="F12" s="30">
        <f t="shared" si="1"/>
        <v>0</v>
      </c>
      <c r="G12" s="180">
        <v>3900</v>
      </c>
      <c r="H12" s="30">
        <f t="shared" si="0"/>
        <v>0</v>
      </c>
      <c r="J12" s="42">
        <f t="shared" si="3"/>
        <v>11850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 t="shared" si="0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23750</v>
      </c>
      <c r="D33" s="44">
        <f t="shared" si="7"/>
        <v>0</v>
      </c>
      <c r="E33" s="43">
        <f t="shared" si="7"/>
        <v>22000</v>
      </c>
      <c r="F33" s="44">
        <f t="shared" si="7"/>
        <v>0</v>
      </c>
      <c r="G33" s="43">
        <f t="shared" si="7"/>
        <v>20450</v>
      </c>
      <c r="H33" s="44">
        <f t="shared" si="7"/>
        <v>500</v>
      </c>
      <c r="J33" s="45">
        <f>SUM(J4:J32)</f>
        <v>66200</v>
      </c>
      <c r="K33" s="95">
        <f>SUM(K4:K32)</f>
        <v>500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14</v>
      </c>
      <c r="D2" s="268"/>
      <c r="E2" s="267">
        <f>IF(PREMIOS!$C19="","",PREMIOS!$C19)</f>
        <v>39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10800</v>
      </c>
      <c r="D4" s="78">
        <f t="shared" ref="D4:F27" si="0">IF(C4="","",0)</f>
        <v>0</v>
      </c>
      <c r="E4" s="189">
        <v>2000</v>
      </c>
      <c r="F4" s="78">
        <f t="shared" si="0"/>
        <v>0</v>
      </c>
      <c r="H4" s="42">
        <f>+C4+E4</f>
        <v>12800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5000</v>
      </c>
      <c r="D5" s="30">
        <f t="shared" si="0"/>
        <v>0</v>
      </c>
      <c r="E5" s="180">
        <v>8000</v>
      </c>
      <c r="F5" s="30">
        <f t="shared" ref="F5:F27" si="1">IF(E5="","",0)</f>
        <v>0</v>
      </c>
      <c r="H5" s="42">
        <f t="shared" ref="H5:H32" si="2">+C5+E5</f>
        <v>13000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30050</v>
      </c>
      <c r="D8" s="30">
        <f t="shared" si="0"/>
        <v>0</v>
      </c>
      <c r="E8" s="194">
        <v>16950</v>
      </c>
      <c r="F8" s="195">
        <f t="shared" si="1"/>
        <v>0</v>
      </c>
      <c r="H8" s="42">
        <f t="shared" si="2"/>
        <v>47000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f>6900+14450</f>
        <v>21350</v>
      </c>
      <c r="D10" s="30">
        <v>50</v>
      </c>
      <c r="E10" s="180">
        <v>17850</v>
      </c>
      <c r="F10" s="195">
        <v>150</v>
      </c>
      <c r="H10" s="42">
        <f t="shared" si="2"/>
        <v>39200</v>
      </c>
      <c r="I10" s="42">
        <f t="shared" si="3"/>
        <v>200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22300</v>
      </c>
      <c r="D12" s="30">
        <v>400</v>
      </c>
      <c r="E12" s="194"/>
      <c r="F12" s="30" t="str">
        <f t="shared" si="0"/>
        <v/>
      </c>
      <c r="H12" s="42">
        <f t="shared" si="2"/>
        <v>22300</v>
      </c>
      <c r="I12" s="42">
        <f t="shared" si="3"/>
        <v>400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>
        <v>10900</v>
      </c>
      <c r="D16" s="195">
        <f t="shared" si="0"/>
        <v>0</v>
      </c>
      <c r="E16" s="194"/>
      <c r="F16" s="195" t="str">
        <f t="shared" si="0"/>
        <v/>
      </c>
      <c r="H16" s="42">
        <f t="shared" si="2"/>
        <v>10900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195" t="str">
        <f t="shared" si="0"/>
        <v/>
      </c>
      <c r="E17" s="180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100400</v>
      </c>
      <c r="D33" s="44">
        <f>SUM(D4:D32)</f>
        <v>450</v>
      </c>
      <c r="E33" s="43">
        <f>SUM(E4:E32)</f>
        <v>44800</v>
      </c>
      <c r="F33" s="44">
        <f>SUM(F4:F32)</f>
        <v>150</v>
      </c>
      <c r="H33" s="95">
        <f>SUM(H4:H32)</f>
        <v>145200</v>
      </c>
      <c r="I33" s="95">
        <f>SUM(I4:I32)</f>
        <v>600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65</v>
      </c>
      <c r="D2" s="268"/>
      <c r="E2" s="267">
        <f>IF(PREMIOS!$C20="","",PREMIOS!$C20)</f>
        <v>36</v>
      </c>
      <c r="F2" s="268"/>
      <c r="G2" s="267">
        <f>IF(PREMIOS!$D20="","",PREMIOS!$D20)</f>
        <v>96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1900+38000</f>
        <v>39900</v>
      </c>
      <c r="D10" s="195">
        <v>100</v>
      </c>
      <c r="E10" s="180">
        <v>16550</v>
      </c>
      <c r="F10" s="30">
        <f t="shared" si="0"/>
        <v>0</v>
      </c>
      <c r="G10" s="180">
        <v>11250</v>
      </c>
      <c r="H10" s="195">
        <f t="shared" si="0"/>
        <v>0</v>
      </c>
      <c r="J10" s="42">
        <f t="shared" si="3"/>
        <v>67700</v>
      </c>
      <c r="K10" s="42">
        <f t="shared" si="4"/>
        <v>100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/>
      <c r="D17" s="195" t="str">
        <f t="shared" si="0"/>
        <v/>
      </c>
      <c r="E17" s="194"/>
      <c r="F17" s="195" t="str">
        <f t="shared" si="0"/>
        <v/>
      </c>
      <c r="G17" s="194"/>
      <c r="H17" s="195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1"/>
        <v/>
      </c>
      <c r="G18" s="180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39900</v>
      </c>
      <c r="D33" s="44">
        <f t="shared" si="6"/>
        <v>100</v>
      </c>
      <c r="E33" s="43">
        <f t="shared" si="6"/>
        <v>16550</v>
      </c>
      <c r="F33" s="44">
        <f t="shared" si="6"/>
        <v>0</v>
      </c>
      <c r="G33" s="43">
        <f t="shared" si="6"/>
        <v>11250</v>
      </c>
      <c r="H33" s="44">
        <f t="shared" si="6"/>
        <v>0</v>
      </c>
      <c r="J33" s="45">
        <f>SUM(J4:J32)</f>
        <v>67700</v>
      </c>
      <c r="K33" s="95">
        <f>SUM(K4:K32)</f>
        <v>100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67</v>
      </c>
      <c r="D2" s="268"/>
      <c r="E2" s="267">
        <f>IF(PREMIOS!$C21="","",PREMIOS!$C21)</f>
        <v>76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41750</v>
      </c>
      <c r="D10" s="30">
        <f t="shared" si="0"/>
        <v>0</v>
      </c>
      <c r="E10" s="180">
        <v>44250</v>
      </c>
      <c r="F10" s="30">
        <f t="shared" si="0"/>
        <v>0</v>
      </c>
      <c r="H10" s="42">
        <f t="shared" si="2"/>
        <v>86000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41750</v>
      </c>
      <c r="D33" s="44">
        <f>SUM(D4:D32)</f>
        <v>0</v>
      </c>
      <c r="E33" s="43">
        <f>SUM(E4:E32)</f>
        <v>44250</v>
      </c>
      <c r="F33" s="44">
        <f>SUM(F4:F32)</f>
        <v>0</v>
      </c>
      <c r="H33" s="45">
        <f>SUM(H4:H32)</f>
        <v>86000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2026-06-10T18:14:46Z</dcterms:modified>
  <dc:language>es-CR</dc:language>
</cp:coreProperties>
</file>
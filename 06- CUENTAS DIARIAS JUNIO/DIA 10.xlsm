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ul Watson\OneDrive\panaguanacastelj@gmail.com - Google Drive\06- CUENTAS DIARIAS JUNIO\"/>
    </mc:Choice>
  </mc:AlternateContent>
  <bookViews>
    <workbookView xWindow="-105" yWindow="-105" windowWidth="19425" windowHeight="10305" tabRatio="692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K12" i="69"/>
  <c r="H10" i="62"/>
  <c r="G10" i="62"/>
  <c r="J10" i="61"/>
  <c r="I10" i="61"/>
  <c r="G10" i="61"/>
  <c r="H10" i="60"/>
  <c r="G10" i="60"/>
  <c r="F10" i="62"/>
  <c r="E10" i="62"/>
  <c r="C10" i="62"/>
  <c r="F10" i="61"/>
  <c r="E10" i="61"/>
  <c r="F10" i="60"/>
  <c r="E10" i="60"/>
  <c r="C10" i="60"/>
  <c r="C10" i="64" l="1"/>
  <c r="D10" i="61"/>
  <c r="C10" i="61"/>
  <c r="C10" i="65"/>
  <c r="D18" i="64" l="1"/>
  <c r="D18" i="65"/>
  <c r="D11" i="65"/>
  <c r="D10" i="65"/>
  <c r="D18" i="61"/>
  <c r="D17" i="61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2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3" i="60"/>
  <c r="D12" i="60"/>
  <c r="D11" i="60"/>
  <c r="E7" i="16" s="1"/>
  <c r="D10" i="60"/>
  <c r="D9" i="60"/>
  <c r="D8" i="60"/>
  <c r="D7" i="60"/>
  <c r="D5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D5" i="61"/>
  <c r="F17" i="61"/>
  <c r="F18" i="61"/>
  <c r="J17" i="61"/>
  <c r="D6" i="60"/>
  <c r="F18" i="60"/>
  <c r="F17" i="60"/>
  <c r="F15" i="60"/>
  <c r="F12" i="60"/>
  <c r="F11" i="60"/>
  <c r="F35" i="60" s="1"/>
  <c r="F9" i="60"/>
  <c r="F8" i="60"/>
  <c r="F34" i="60" s="1"/>
  <c r="F7" i="60"/>
  <c r="F6" i="60"/>
  <c r="H17" i="60"/>
  <c r="H15" i="60"/>
  <c r="H14" i="60"/>
  <c r="H12" i="60"/>
  <c r="H9" i="60"/>
  <c r="H8" i="60"/>
  <c r="H7" i="60"/>
  <c r="H6" i="60"/>
  <c r="H3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D36" i="60" l="1"/>
  <c r="D35" i="60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5" i="61"/>
  <c r="H14" i="61"/>
  <c r="H13" i="61"/>
  <c r="H12" i="61"/>
  <c r="H11" i="61"/>
  <c r="E13" i="16" s="1"/>
  <c r="H18" i="60"/>
  <c r="H35" i="60" s="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M21" i="61" s="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30" i="73"/>
  <c r="H29" i="73"/>
  <c r="I29" i="73" s="1"/>
  <c r="H28" i="73"/>
  <c r="I28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C30" i="73"/>
  <c r="B30" i="73"/>
  <c r="D29" i="73"/>
  <c r="C29" i="73"/>
  <c r="F29" i="73" s="1"/>
  <c r="B29" i="73"/>
  <c r="D28" i="73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B4" i="73"/>
  <c r="E27" i="72"/>
  <c r="D18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J24" i="72" s="1"/>
  <c r="K24" i="72" s="1"/>
  <c r="E24" i="72"/>
  <c r="D24" i="72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I12" i="66" s="1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K24" i="64" s="1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2" i="66"/>
  <c r="I21" i="66"/>
  <c r="I19" i="66"/>
  <c r="I15" i="66"/>
  <c r="I14" i="66"/>
  <c r="I13" i="66"/>
  <c r="I11" i="66"/>
  <c r="I8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H30" i="70" s="1"/>
  <c r="D30" i="70"/>
  <c r="J30" i="70" s="1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F7" i="66"/>
  <c r="D7" i="66"/>
  <c r="I7" i="66" s="1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F25" i="29"/>
  <c r="F27" i="72"/>
  <c r="I25" i="72"/>
  <c r="N25" i="72" s="1"/>
  <c r="L9" i="19"/>
  <c r="I15" i="72"/>
  <c r="N15" i="72" s="1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26" i="71"/>
  <c r="L29" i="71"/>
  <c r="M29" i="71" s="1"/>
  <c r="H21" i="72"/>
  <c r="I21" i="72" s="1"/>
  <c r="N21" i="72" s="1"/>
  <c r="E33" i="66"/>
  <c r="I18" i="66"/>
  <c r="F25" i="19"/>
  <c r="F18" i="72"/>
  <c r="L28" i="71"/>
  <c r="M28" i="71" s="1"/>
  <c r="K20" i="19"/>
  <c r="K9" i="19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H32" i="66"/>
  <c r="H23" i="70"/>
  <c r="J26" i="70"/>
  <c r="K26" i="70" s="1"/>
  <c r="K28" i="70"/>
  <c r="H28" i="72"/>
  <c r="I28" i="72" s="1"/>
  <c r="N28" i="72" s="1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I33" i="66"/>
  <c r="P26" i="71"/>
  <c r="N31" i="71"/>
  <c r="N27" i="71"/>
  <c r="K20" i="21"/>
  <c r="K10" i="21"/>
  <c r="K21" i="8"/>
  <c r="K10" i="8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M24" i="52" l="1"/>
  <c r="L6" i="23"/>
  <c r="M26" i="52"/>
  <c r="F17" i="52"/>
  <c r="F12" i="8"/>
  <c r="M23" i="52"/>
  <c r="J5" i="23"/>
  <c r="J4" i="23"/>
  <c r="J5" i="19"/>
  <c r="M20" i="52"/>
  <c r="N18" i="71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H32" i="61" s="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G32" i="60" l="1"/>
  <c r="F24" i="15"/>
  <c r="K5" i="23"/>
  <c r="G32" i="61"/>
  <c r="F32" i="61"/>
  <c r="L6" i="25"/>
  <c r="L19" i="59"/>
  <c r="H19" i="70"/>
  <c r="L5" i="15"/>
  <c r="H32" i="60"/>
  <c r="H33" i="60" s="1"/>
  <c r="K6" i="23"/>
  <c r="K5" i="19"/>
  <c r="E32" i="60"/>
  <c r="J32" i="61"/>
  <c r="M27" i="52"/>
  <c r="C32" i="61"/>
  <c r="I32" i="61"/>
  <c r="L6" i="22"/>
  <c r="M19" i="52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5" i="52"/>
  <c r="M6" i="52"/>
  <c r="K6" i="25"/>
  <c r="M7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4" i="58"/>
  <c r="P20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6" i="52"/>
  <c r="C25" i="1" s="1"/>
  <c r="B25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4" i="52" l="1"/>
  <c r="C3" i="1" s="1"/>
  <c r="B3" i="1"/>
  <c r="K6" i="52"/>
  <c r="C5" i="1" s="1"/>
  <c r="B5" i="1"/>
  <c r="K23" i="52"/>
  <c r="C22" i="1" s="1"/>
  <c r="B22" i="1"/>
  <c r="K20" i="52"/>
  <c r="C19" i="1" s="1"/>
  <c r="B19" i="1"/>
  <c r="K5" i="52"/>
  <c r="C4" i="1" s="1"/>
  <c r="B4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<sst xmlns="http://schemas.openxmlformats.org/spreadsheetml/2006/main" count="1295" uniqueCount="162">
  <si>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</si>
  <si>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</si>
  <si>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</si>
  <si>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</si>
  <si>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</si>
  <si>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</si>
  <si>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</si>
  <si>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</si>
  <si>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</si>
  <si>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</si>
  <si>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</si>
  <si>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</si>
  <si>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</si>
  <si>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</si>
  <si>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</si>
  <si>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</si>
  <si>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</si>
  <si>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</si>
  <si>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</si>
  <si>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</si>
  <si>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</si>
  <si>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</si>
  <si>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</si>
  <si>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</si>
  <si>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</si>
  <si>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</si>
  <si>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</si>
  <si>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</si>
  <si>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</si>
  <si>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</si>
  <si>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</si>
  <si>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</si>
  <si>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</si>
  <si>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</si>
  <si>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</si>
  <si>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</si>
  <si>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</si>
  <si>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</si>
  <si>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</si>
  <si>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</si>
  <si>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</si>
  <si>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</si>
  <si>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</si>
  <si>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</si>
  <si>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</si>
  <si>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</si>
  <si>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</si>
  <si>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</si>
  <si>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</si>
  <si>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</si>
  <si>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</si>
  <si>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</si>
  <si>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</si>
  <si>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</si>
  <si>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</si>
  <si>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</si>
  <si>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</si>
  <si>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</si>
  <si>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</si>
  <si>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</si>
  <si>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</si>
  <si>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</si>
  <si>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</si>
  <si>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</si>
  <si>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</si>
  <si>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</si>
  <si>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</si>
  <si>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</si>
  <si>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</si>
  <si>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</si>
  <si>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</si>
  <si>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</si>
  <si>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</si>
  <si>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</si>
  <si>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</si>
  <si>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</si>
  <si>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</si>
  <si>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</si>
  <si>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</si>
  <si>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</si>
  <si>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</si>
  <si>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</si>
  <si>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</si>
  <si>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</si>
  <si>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</si>
  <si>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</si>
  <si>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</si>
  <si>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</si>
  <si>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</si>
  <si>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</si>
  <si>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</si>
  <si>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</si>
  <si>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</si>
  <si>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</si>
  <si>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</si>
  <si>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</si>
  <si>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</si>
  <si>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</si>
  <si>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</si>
  <si>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</si>
  <si>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</si>
  <si>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</si>
  <si>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</si>
  <si>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</si>
  <si>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</si>
  <si>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</si>
  <si>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</si>
  <si>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</si>
  <si>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</si>
  <si>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</si>
  <si>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</si>
  <si>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</si>
  <si>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</si>
  <si>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</si>
  <si>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</si>
  <si>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</si>
  <si>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</si>
  <si>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</si>
  <si>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</si>
  <si>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</si>
  <si>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</si>
  <si>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</si>
  <si>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</si>
  <si>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</si>
  <si>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</si>
  <si>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</si>
  <si>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</si>
  <si>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</si>
  <si>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</si>
  <si>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</si>
  <si>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</si>
  <si>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</si>
  <si>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</si>
  <si>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</si>
  <si>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</si>
  <si>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</si>
  <si>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</si>
  <si>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</si>
  <si>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</si>
  <si>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</si>
  <si>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</si>
  <si>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</si>
  <si>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</si>
  <si>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</si>
  <si>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</si>
  <si>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</si>
  <si>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</si>
  <si>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</si>
  <si>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</si>
  <si>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</si>
  <si>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</si>
  <si>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</si>
  <si>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</si>
  <si>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</si>
  <si>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</si>
  <si>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</si>
  <si>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</si>
  <si>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</si>
  <si>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</si>
  <si>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</si>
  <si>
    <t>02</t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</si>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</sst>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40625" defaultRowHeight="15"/>
  <cols>
    <col min="1" max="1" width="30.28515625" style="1" customWidth="1"/>
    <col min="2" max="2" width="12.85546875" style="1" customWidth="1"/>
    <col min="3" max="3" width="11.85546875" style="1" customWidth="1"/>
    <col min="4" max="4" width="12.42578125" style="1" customWidth="1"/>
    <col min="5" max="5" width="3.5703125" style="1" customWidth="1"/>
    <col min="6" max="6" width="14" style="1" bestFit="1" customWidth="1"/>
    <col min="7" max="7" width="9.140625" style="1"/>
  </cols>
  <sheetData>
    <row r="1" spans="1:7" ht="15.75" thickBot="1"/>
    <row r="2" spans="1:7" s="256" customFormat="1" ht="54.75" thickBot="1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75">
      <c r="A3" s="15" t="str">
        <f>Vendedor1!B$2</f>
        <v>VENTANA</v>
      </c>
      <c r="B3" s="9">
        <f>+HojaTICA!J4+HojaNICA!L4+HojaREVENTADO!J4+HojaPrimera!H4+HojaHonduras!J4+HojaDominicana!H4+HojaPANA!F4</f>
        <v>263950</v>
      </c>
      <c r="C3" s="9">
        <f>+HojaTICA!K4+HojaNICA!M4+HojaREVENTADO!K4+HojaPrimera!I4+HojaHonduras!K4+HojaDominicana!I4+HojaPANA!G4</f>
        <v>34300</v>
      </c>
      <c r="D3" s="9">
        <f>+HojaTICA!N4+HojaNICA!P4+HojaREVENTADO!O4+HojaPrimera!L4+HojaHonduras!N4+HojaDominicana!L4+HojaPANA!J4</f>
        <v>364000</v>
      </c>
      <c r="F3" s="10">
        <f t="shared" ref="F3:F27" si="0">+B3-C3-D3</f>
        <v>-134350</v>
      </c>
    </row>
    <row r="4" spans="1:7" ht="15.75">
      <c r="A4" s="15" t="str">
        <f>Vendedor2!B$2</f>
        <v>PUESTO 2</v>
      </c>
      <c r="B4" s="9">
        <f>+HojaTICA!J5+HojaNICA!L5+HojaREVENTADO!J5+HojaPrimera!H5+HojaHonduras!J5+HojaDominicana!H5+HojaPANA!F5</f>
        <v>249050</v>
      </c>
      <c r="C4" s="9">
        <f>+HojaTICA!K5+HojaNICA!M5+HojaREVENTADO!K5+HojaPrimera!I5+HojaHonduras!K5+HojaDominicana!I5+HojaPANA!G5</f>
        <v>32400</v>
      </c>
      <c r="D4" s="9">
        <f>+HojaTICA!N5+HojaNICA!P5+HojaREVENTADO!O5+HojaPrimera!L5+HojaHonduras!N5+HojaDominicana!L5+HojaPANA!J5</f>
        <v>59500</v>
      </c>
      <c r="F4" s="14">
        <f t="shared" si="0"/>
        <v>157150</v>
      </c>
    </row>
    <row r="5" spans="1:7" ht="15.7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7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7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7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75">
      <c r="A9" s="15" t="str">
        <f>Vendedor7!B$2</f>
        <v>PIKIS</v>
      </c>
      <c r="B9" s="9">
        <f>+HojaTICA!J10+HojaNICA!L10+HojaREVENTADO!J10+HojaPrimera!H10+HojaHonduras!J10+HojaDominicana!H10+HojaPANA!F10</f>
        <v>846000</v>
      </c>
      <c r="C9" s="9">
        <f>+HojaTICA!K10+HojaNICA!M10+HojaREVENTADO!K10+HojaPrimera!I10+HojaHonduras!K10+HojaDominicana!I10+HojaPANA!G10</f>
        <v>100365</v>
      </c>
      <c r="D9" s="9">
        <f>+HojaTICA!N10+HojaNICA!P10+HojaREVENTADO!O10+HojaPrimera!L10+HojaHonduras!N10+HojaDominicana!L10+HojaPANA!J10</f>
        <v>943500</v>
      </c>
      <c r="F9" s="14">
        <f t="shared" si="0"/>
        <v>-197865</v>
      </c>
    </row>
    <row r="10" spans="1:7" ht="15.75">
      <c r="A10" s="15" t="str">
        <f>Vendedor8!B$2</f>
        <v>ISA</v>
      </c>
      <c r="B10" s="9">
        <f>+HojaTICA!J11+HojaNICA!L11+HojaREVENTADO!J11+HojaPrimera!H11+HojaHonduras!J11+HojaDominicana!H11+HojaPANA!F11</f>
        <v>4000</v>
      </c>
      <c r="C10" s="9">
        <f>+HojaTICA!K11+HojaNICA!M11+HojaREVENTADO!K11+HojaPrimera!I11+HojaHonduras!K11+HojaDominicana!I11+HojaPANA!G11</f>
        <v>500</v>
      </c>
      <c r="D10" s="9">
        <f>+HojaTICA!N11+HojaNICA!P11+HojaREVENTADO!O11+HojaPrimera!L11+HojaHonduras!N11+HojaDominicana!L11+HojaPANA!J11</f>
        <v>17000</v>
      </c>
      <c r="F10" s="14">
        <f t="shared" si="0"/>
        <v>-13500</v>
      </c>
    </row>
    <row r="11" spans="1:7" ht="15.75">
      <c r="A11" s="15" t="str">
        <f>Vendedor9!B$2</f>
        <v>JUAN FELIX</v>
      </c>
      <c r="B11" s="9">
        <f>+HojaTICA!J12+HojaNICA!L12+HojaREVENTADO!J12+HojaPrimera!H12+HojaHonduras!J12+HojaDominicana!H12+HojaPANA!F12</f>
        <v>84950</v>
      </c>
      <c r="C11" s="9">
        <f>+HojaTICA!K12+HojaNICA!M12+HojaREVENTADO!K12+HojaPrimera!I12+HojaHonduras!K12+HojaDominicana!I12+HojaPANA!G12</f>
        <v>10110</v>
      </c>
      <c r="D11" s="9">
        <f>+HojaTICA!N12+HojaNICA!P12+HojaREVENTADO!O12+HojaPrimera!L12+HojaHonduras!N12+HojaDominicana!L12+HojaPANA!J12</f>
        <v>85000</v>
      </c>
      <c r="F11" s="14">
        <f t="shared" si="0"/>
        <v>-10160</v>
      </c>
    </row>
    <row r="12" spans="1:7" ht="15.75">
      <c r="A12" s="15" t="str">
        <f>Vendedor10!B$2</f>
        <v>MARIALIZ</v>
      </c>
      <c r="B12" s="9">
        <f>+HojaTICA!J13+HojaNICA!L13+HojaREVENTADO!J13+HojaPrimera!H13+HojaHonduras!J13+HojaDominicana!H13+HojaPANA!F13</f>
        <v>132500</v>
      </c>
      <c r="C12" s="9">
        <f>+HojaTICA!K13+HojaNICA!M13+HojaREVENTADO!K13+HojaPrimera!I13+HojaHonduras!K13+HojaDominicana!I13+HojaPANA!G13</f>
        <v>15900</v>
      </c>
      <c r="D12" s="9">
        <f>+HojaTICA!N13+HojaNICA!P13+HojaREVENTADO!O13+HojaPrimera!L13+HojaHonduras!N13+HojaDominicana!L13+HojaPANA!J13</f>
        <v>408500</v>
      </c>
      <c r="F12" s="14">
        <f t="shared" si="0"/>
        <v>-291900</v>
      </c>
    </row>
    <row r="13" spans="1:7" ht="15.75">
      <c r="A13" s="15" t="str">
        <f>Vendedor11!B$2</f>
        <v>CHARLY</v>
      </c>
      <c r="B13" s="9">
        <f>+HojaTICA!J14+HojaNICA!L14+HojaREVENTADO!J14+HojaPrimera!H14+HojaHonduras!J14+HojaDominicana!H14+HojaPANA!F14</f>
        <v>104450</v>
      </c>
      <c r="C13" s="9">
        <f>+HojaTICA!K14+HojaNICA!M14+HojaREVENTADO!K14+HojaPrimera!I14+HojaHonduras!K14+HojaDominicana!I14+HojaPANA!G14</f>
        <v>15650</v>
      </c>
      <c r="D13" s="9">
        <f>+HojaTICA!N14+HojaNICA!P14+HojaREVENTADO!O14+HojaPrimera!L14+HojaHonduras!N14+HojaDominicana!L14+HojaPANA!J14</f>
        <v>120000</v>
      </c>
      <c r="F13" s="14">
        <f t="shared" si="0"/>
        <v>-31200</v>
      </c>
    </row>
    <row r="14" spans="1:7" ht="15.7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75">
      <c r="A15" s="15" t="str">
        <f>Vendedor13!B$2</f>
        <v>MINERO</v>
      </c>
      <c r="B15" s="9">
        <f>+HojaTICA!J16+HojaNICA!L16+HojaREVENTADO!J16+HojaPrimera!H16+HojaHonduras!J16+HojaDominicana!H16+HojaPANA!F16</f>
        <v>174325</v>
      </c>
      <c r="C15" s="9">
        <f>+HojaTICA!K16+HojaNICA!M16+HojaREVENTADO!K16+HojaPrimera!I16+HojaHonduras!K16+HojaDominicana!I16+HojaPANA!G16</f>
        <v>20950</v>
      </c>
      <c r="D15" s="9">
        <f>+HojaTICA!N16+HojaNICA!P16+HojaREVENTADO!O16+HojaPrimera!L16+HojaHonduras!N16+HojaDominicana!L16+HojaPANA!J16</f>
        <v>188750</v>
      </c>
      <c r="F15" s="14">
        <f t="shared" si="0"/>
        <v>-35375</v>
      </c>
    </row>
    <row r="16" spans="1:7" ht="15.7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>
      <c r="A28" s="16" t="s">
        <v>5</v>
      </c>
      <c r="B28" s="19">
        <f t="shared" ref="B28:D28" si="1">SUM(B3:B27)</f>
        <v>1859225</v>
      </c>
      <c r="C28" s="17">
        <f t="shared" si="1"/>
        <v>230175</v>
      </c>
      <c r="D28" s="18">
        <f t="shared" si="1"/>
        <v>2186250</v>
      </c>
      <c r="F28" s="20">
        <f>SUM(F3:F27)</f>
        <v>-557200</v>
      </c>
    </row>
    <row r="32" spans="1:6" ht="18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/>
    <hyperlink ref="A5" location="Vendedor3!B5" display="Vendedor3!B5"/>
    <hyperlink ref="A6" location="Vendedor4!B5" display="#Vendedor4.B5"/>
    <hyperlink ref="A7" location="Vendedor5!B5" display="Vendedor5!B5"/>
    <hyperlink ref="A8" location="Vendedor6!B5" display="#Vendedor6.B5"/>
    <hyperlink ref="A9" location="Vendedor7!B5" display="#Vendedor7.B5"/>
    <hyperlink ref="A10" location="Vendedor8!B5" display="#Vendedor8.B5"/>
    <hyperlink ref="A11" location="Vendedor9!B5" display="Vendedor9!B5"/>
    <hyperlink ref="A12" location="Vendedor10!B5" display="#Vendedor10.B5"/>
    <hyperlink ref="A13" location="Vendedor11!B5" display="#Vendedor11.B5"/>
    <hyperlink ref="A14" location="Vendedor12!B5" display="#Vendedor12.B5"/>
    <hyperlink ref="A15" location="Vendedor13!B5" display="#Vendedor13.B5"/>
    <hyperlink ref="A16" location="Vendedor14!B5" display="#Vendedor14.B5"/>
    <hyperlink ref="A17" location="Vendedor15!B5" display="#Vendedor15.B5"/>
    <hyperlink ref="A18" location="Vendedor16!B5" display="#Vendedor16.B5"/>
    <hyperlink ref="A19" location="Vendedor17!B5" display="#Vendedor17.B5"/>
    <hyperlink ref="A20" location="Vendedor18!B5" display="#Vendedor18.B5"/>
    <hyperlink ref="A21" location="Vendedor19!B5" display="#Vendedor19.B5"/>
    <hyperlink ref="A22" location="Vendedor20!B5" display="#Vendedor20.B5"/>
    <hyperlink ref="A23" location="Vendedor21!B5" display="#Vendedor21.B5"/>
    <hyperlink ref="A24" location="Vendedor22!B5" display="#Vendedor22.B5"/>
    <hyperlink ref="A25" location="Vendedor23!B5" display="#Vendedor23.B5"/>
    <hyperlink ref="A26" location="Vendedor24!B5" display="#Vendedor24.B5"/>
    <hyperlink ref="A27" location="Vendedor25!B5" display="#Vendedor25.B5"/>
    <hyperlink ref="A4" location="Vendedor2!B5" display="Vendedor2!B5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2:AMN22"/>
  <sheetViews>
    <sheetView showGridLines="0" zoomScale="80" zoomScaleNormal="80" workbookViewId="0">
      <selection activeCell="C15" sqref="C15"/>
    </sheetView>
  </sheetViews>
  <sheetFormatPr baseColWidth="10" defaultColWidth="11.42578125" defaultRowHeight="15"/>
  <cols>
    <col min="1" max="1" width="16.5703125" style="21" bestFit="1" customWidth="1"/>
    <col min="2" max="2" width="8.140625" style="21" bestFit="1" customWidth="1"/>
    <col min="3" max="3" width="8.140625" style="21" customWidth="1"/>
    <col min="4" max="12" width="11.42578125" style="21"/>
    <col min="13" max="13" width="6.28515625" style="22" customWidth="1"/>
    <col min="14" max="14" width="6.85546875" style="21" customWidth="1"/>
    <col min="15" max="1028" width="11.42578125" style="21"/>
  </cols>
  <sheetData>
    <row r="2" spans="1:13" ht="23.25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.75" thickBot="1"/>
    <row r="4" spans="1:13" ht="15.75" thickBot="1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.75" thickBot="1">
      <c r="A5" s="28" t="s">
        <v>157</v>
      </c>
      <c r="B5" s="162">
        <v>13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.75" thickBot="1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.75" thickBot="1">
      <c r="A7" s="28" t="s">
        <v>46</v>
      </c>
      <c r="B7" s="162">
        <v>95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.75" thickBot="1">
      <c r="A8" s="28" t="s">
        <v>47</v>
      </c>
      <c r="B8" s="135" t="str">
        <f>D8</f>
        <v>Roja</v>
      </c>
      <c r="C8" s="135"/>
      <c r="D8" s="136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8"/>
      <c r="J8" s="35" t="s">
        <v>18</v>
      </c>
      <c r="K8" s="36">
        <v>200</v>
      </c>
    </row>
    <row r="9" spans="1:13" ht="15.75" thickBot="1">
      <c r="A9" s="28" t="s">
        <v>48</v>
      </c>
      <c r="B9" s="162">
        <v>50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>
      <c r="A11" s="28" t="s">
        <v>59</v>
      </c>
      <c r="B11" s="162" t="s">
        <v>159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.75" thickBot="1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>
      <c r="A13" s="28" t="s">
        <v>50</v>
      </c>
      <c r="B13" s="132">
        <v>22</v>
      </c>
      <c r="C13" s="132"/>
      <c r="D13" s="136"/>
      <c r="E13" s="30">
        <v>80</v>
      </c>
      <c r="F13" s="30">
        <v>85</v>
      </c>
      <c r="G13" s="30">
        <v>85</v>
      </c>
    </row>
    <row r="14" spans="1:13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>
      <c r="A15" s="28" t="s">
        <v>155</v>
      </c>
      <c r="B15" s="162" t="s">
        <v>161</v>
      </c>
      <c r="C15" s="132"/>
      <c r="D15" s="136"/>
      <c r="E15" s="30">
        <v>80</v>
      </c>
      <c r="F15" s="30">
        <v>85</v>
      </c>
      <c r="G15" s="30">
        <v>85</v>
      </c>
    </row>
    <row r="16" spans="1:13">
      <c r="A16" s="28" t="s">
        <v>156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>
      <c r="A17" s="28" t="s">
        <v>52</v>
      </c>
      <c r="B17" s="162">
        <v>35</v>
      </c>
      <c r="C17" s="132"/>
      <c r="D17" s="136"/>
      <c r="E17" s="30">
        <v>80</v>
      </c>
      <c r="F17" s="30">
        <v>85</v>
      </c>
      <c r="G17" s="30">
        <v>85</v>
      </c>
    </row>
    <row r="18" spans="1:7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>
      <c r="A19" s="28" t="s">
        <v>96</v>
      </c>
      <c r="B19" s="162">
        <v>79</v>
      </c>
      <c r="C19" s="132">
        <v>75</v>
      </c>
      <c r="D19" s="136"/>
      <c r="E19" s="30">
        <v>80</v>
      </c>
      <c r="F19" s="30">
        <v>85</v>
      </c>
      <c r="G19" s="30">
        <v>85</v>
      </c>
    </row>
    <row r="20" spans="1:7">
      <c r="A20" s="28" t="s">
        <v>104</v>
      </c>
      <c r="B20" s="162">
        <v>52</v>
      </c>
      <c r="C20" s="162">
        <v>24</v>
      </c>
      <c r="D20" s="165">
        <v>99</v>
      </c>
      <c r="E20" s="30">
        <v>80</v>
      </c>
      <c r="F20" s="30">
        <v>85</v>
      </c>
      <c r="G20" s="30">
        <v>85</v>
      </c>
    </row>
    <row r="21" spans="1:7">
      <c r="A21" s="28" t="s">
        <v>20</v>
      </c>
      <c r="B21" s="163" t="s">
        <v>160</v>
      </c>
      <c r="C21" s="163">
        <v>89</v>
      </c>
      <c r="D21" s="137"/>
      <c r="E21" s="30">
        <v>80</v>
      </c>
      <c r="F21" s="30">
        <v>85</v>
      </c>
      <c r="G21" s="30">
        <v>85</v>
      </c>
    </row>
    <row r="22" spans="1:7" ht="15.75" thickBot="1">
      <c r="A22" s="102" t="s">
        <v>21</v>
      </c>
      <c r="B22" s="134">
        <v>25</v>
      </c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>
      <formula1>PREMIOS!_xlnm.Criteria</formula1>
      <formula2>0</formula2>
    </dataValidation>
    <dataValidation type="list" allowBlank="1" showInputMessage="1" showErrorMessage="1" sqref="D8 D16 D12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>
      <c r="C2" s="266">
        <f>DigitaTICA!C2</f>
        <v>95</v>
      </c>
      <c r="D2" s="267"/>
      <c r="E2" s="266" t="str">
        <f>DigitaTICA!E2</f>
        <v>00</v>
      </c>
      <c r="F2" s="267"/>
      <c r="G2" s="266" t="str">
        <f>DigitaTICA!G2</f>
        <v>08</v>
      </c>
      <c r="H2" s="267"/>
    </row>
    <row r="3" spans="1:16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6" t="str">
        <f>Vendedor1!$B$2</f>
        <v>VENTANA</v>
      </c>
      <c r="C4" s="179">
        <f>IF(Vendedor1!$C$7="",0,Vendedor1!$C$7)</f>
        <v>76000</v>
      </c>
      <c r="D4" s="30">
        <f>IF(Vendedor1!$E$7="",0,Vendedor1!$E$7)</f>
        <v>250</v>
      </c>
      <c r="E4" s="179">
        <f>IF(Vendedor1!$C$11="",0,Vendedor1!$C$11)</f>
        <v>39700</v>
      </c>
      <c r="F4" s="30">
        <f>IF(Vendedor1!$E$11="",0,Vendedor1!$E$11)</f>
        <v>1000</v>
      </c>
      <c r="G4" s="179">
        <f>IF(Vendedor1!$C$15="",0,Vendedor1!$C$15)</f>
        <v>70450</v>
      </c>
      <c r="H4" s="30">
        <f>IF(Vendedor1!$E$15="",0,Vendedor1!$E$15)</f>
        <v>1150</v>
      </c>
      <c r="J4" s="42">
        <f t="shared" ref="J4:J7" si="0">+C4+E4+G4</f>
        <v>186150</v>
      </c>
      <c r="K4" s="41">
        <f>MROUND(J4*Vendedor1!J$9,50)</f>
        <v>24200</v>
      </c>
      <c r="L4" s="42">
        <f t="shared" ref="L4:L7" si="1">+D4+F4+H4</f>
        <v>2400</v>
      </c>
      <c r="M4" s="42">
        <f t="shared" ref="M4:M7" si="2">+L4*85</f>
        <v>204000</v>
      </c>
      <c r="N4" s="42">
        <f>Vendedor1!$F$7+Vendedor1!$F$11+Vendedor1!$F$15</f>
        <v>204000</v>
      </c>
      <c r="P4" s="42">
        <f t="shared" ref="P4:P7" si="3">+J4-K4-N4</f>
        <v>-42050</v>
      </c>
    </row>
    <row r="5" spans="1:16">
      <c r="A5" s="41">
        <v>2</v>
      </c>
      <c r="B5" s="176" t="str">
        <f>Vendedor2!$B$2</f>
        <v>PUESTO 2</v>
      </c>
      <c r="C5" s="179">
        <f>IF(Vendedor2!$C$7="",0,Vendedor2!$C$7)</f>
        <v>49800</v>
      </c>
      <c r="D5" s="30">
        <f>IF(Vendedor2!$E$7="",0,Vendedor2!$E$7)</f>
        <v>0</v>
      </c>
      <c r="E5" s="179">
        <f>IF(Vendedor2!$C$11="",0,Vendedor2!$C$11)</f>
        <v>51250</v>
      </c>
      <c r="F5" s="30">
        <f>IF(Vendedor2!$E$11="",0,Vendedor2!$E$11)</f>
        <v>450</v>
      </c>
      <c r="G5" s="179">
        <f>IF(Vendedor2!$C$15="",0,Vendedor2!$C$15)</f>
        <v>89050</v>
      </c>
      <c r="H5" s="30">
        <f>IF(Vendedor2!$E$15="",0,Vendedor2!$E$15)</f>
        <v>250</v>
      </c>
      <c r="J5" s="42">
        <f t="shared" si="0"/>
        <v>190100</v>
      </c>
      <c r="K5" s="41">
        <f>MROUND(J5*Vendedor2!J$9,50)</f>
        <v>24700</v>
      </c>
      <c r="L5" s="42">
        <f t="shared" si="1"/>
        <v>700</v>
      </c>
      <c r="M5" s="42">
        <f t="shared" si="2"/>
        <v>59500</v>
      </c>
      <c r="N5" s="42">
        <f>Vendedor2!$F$7+Vendedor2!$F$11+Vendedor2!$F$15</f>
        <v>59500</v>
      </c>
      <c r="P5" s="42">
        <f t="shared" si="3"/>
        <v>105900</v>
      </c>
    </row>
    <row r="6" spans="1:16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>
      <c r="A8" s="41">
        <v>5</v>
      </c>
      <c r="B8" s="176" t="str">
        <f>Vendedor5!$B$2</f>
        <v>YOYO</v>
      </c>
      <c r="C8" s="179">
        <f>IF(Vendedor5!$C$7="",0,Vendedor5!$C$7)</f>
        <v>0</v>
      </c>
      <c r="D8" s="30">
        <f>IF(Vendedor5!$E$7="",0,Vendedor5!$E$7)</f>
        <v>0</v>
      </c>
      <c r="E8" s="179">
        <f>IF(Vendedor5!$C$11="",0,Vendedor5!$C$11)</f>
        <v>0</v>
      </c>
      <c r="F8" s="30">
        <f>IF(Vendedor5!$E$11="",0,Vendedor5!$E$11)</f>
        <v>0</v>
      </c>
      <c r="G8" s="179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>
      <c r="A9" s="41">
        <v>6</v>
      </c>
      <c r="B9" s="177" t="str">
        <f>Vendedor6!$B$2</f>
        <v>MARTA ROSA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>
      <c r="A10" s="41">
        <v>7</v>
      </c>
      <c r="B10" s="177" t="str">
        <f>Vendedor7!$B$2</f>
        <v>PIKIS</v>
      </c>
      <c r="C10" s="179">
        <f>IF(Vendedor7!$C$7="",0,Vendedor7!$C$7)</f>
        <v>109500</v>
      </c>
      <c r="D10" s="30">
        <f>IF(Vendedor7!$E$7="",0,Vendedor7!$E$7)</f>
        <v>0</v>
      </c>
      <c r="E10" s="179">
        <f>IF(Vendedor7!$C$11="",0,Vendedor7!$C$11)</f>
        <v>103600</v>
      </c>
      <c r="F10" s="30">
        <f>IF(Vendedor7!$E$11="",0,Vendedor7!$E$11)</f>
        <v>2500</v>
      </c>
      <c r="G10" s="179">
        <f>IF(Vendedor7!$C$15="",0,Vendedor7!$C$15)</f>
        <v>156150</v>
      </c>
      <c r="H10" s="30">
        <f>IF(Vendedor7!$E$15="",0,Vendedor7!$E$15)</f>
        <v>2550</v>
      </c>
      <c r="J10" s="42">
        <f t="shared" si="8"/>
        <v>369250</v>
      </c>
      <c r="K10" s="41">
        <f>MROUND(J10*Vendedor7!J$14,50)</f>
        <v>44300</v>
      </c>
      <c r="L10" s="42">
        <f t="shared" si="9"/>
        <v>5050</v>
      </c>
      <c r="M10" s="42">
        <f t="shared" si="10"/>
        <v>429250</v>
      </c>
      <c r="N10" s="42">
        <f>Vendedor7!$F$7+Vendedor7!$F$11+Vendedor7!$F$15</f>
        <v>429250</v>
      </c>
      <c r="P10" s="42">
        <f t="shared" si="11"/>
        <v>-104300</v>
      </c>
    </row>
    <row r="11" spans="1:16">
      <c r="A11" s="41">
        <v>8</v>
      </c>
      <c r="B11" s="177" t="str">
        <f>Vendedor8!$B$2</f>
        <v>ISA</v>
      </c>
      <c r="C11" s="179">
        <f>IF(Vendedor8!$C$7="",0,Vendedor8!$C$7)</f>
        <v>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4000</v>
      </c>
      <c r="H11" s="30">
        <f>IF(Vendedor8!$E$15="",0,Vendedor8!$E$15)</f>
        <v>200</v>
      </c>
      <c r="J11" s="42">
        <f t="shared" si="8"/>
        <v>4000</v>
      </c>
      <c r="K11" s="41">
        <f>MROUND(J11*Vendedor8!J$11,50)</f>
        <v>500</v>
      </c>
      <c r="L11" s="42">
        <f t="shared" si="9"/>
        <v>200</v>
      </c>
      <c r="M11" s="42">
        <f t="shared" si="10"/>
        <v>17000</v>
      </c>
      <c r="N11" s="42">
        <f>Vendedor8!$F$7+Vendedor8!$F$11+Vendedor8!$F$15</f>
        <v>17000</v>
      </c>
      <c r="P11" s="42">
        <f t="shared" si="11"/>
        <v>-13500</v>
      </c>
    </row>
    <row r="12" spans="1:16">
      <c r="A12" s="41">
        <v>9</v>
      </c>
      <c r="B12" s="177" t="str">
        <f>Vendedor9!$B$2</f>
        <v>JUAN FELIX</v>
      </c>
      <c r="C12" s="179">
        <f>IF(Vendedor9!$C$7="",0,Vendedor9!$C$7)</f>
        <v>28900</v>
      </c>
      <c r="D12" s="30">
        <f>IF(Vendedor9!$E$7="",0,Vendedor9!$E$7)</f>
        <v>0</v>
      </c>
      <c r="E12" s="179">
        <f>IF(Vendedor9!$C$11="",0,Vendedor9!$C$11)</f>
        <v>13700</v>
      </c>
      <c r="F12" s="30">
        <f>IF(Vendedor9!$E$11="",0,Vendedor9!$E$11)</f>
        <v>0</v>
      </c>
      <c r="G12" s="179">
        <f>IF(Vendedor9!$C$15="",0,Vendedor9!$C$15)</f>
        <v>0</v>
      </c>
      <c r="H12" s="30">
        <f>IF(Vendedor9!$E$15="",0,Vendedor9!$E$15)</f>
        <v>0</v>
      </c>
      <c r="J12" s="42">
        <f t="shared" si="8"/>
        <v>42600</v>
      </c>
      <c r="K12" s="41">
        <f>MROUND(J12*Vendedor9!J$11,50)</f>
        <v>5100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37500</v>
      </c>
    </row>
    <row r="13" spans="1:16">
      <c r="A13" s="41">
        <v>10</v>
      </c>
      <c r="B13" s="177" t="str">
        <f>Vendedor10!$B$2</f>
        <v>MARIALIZ</v>
      </c>
      <c r="C13" s="179">
        <f>IF(Vendedor10!$C$7="",0,Vendedor10!$C$7)</f>
        <v>27700</v>
      </c>
      <c r="D13" s="30">
        <f>IF(Vendedor10!$E$7="",0,Vendedor10!$E$7)</f>
        <v>0</v>
      </c>
      <c r="E13" s="179">
        <f>IF(Vendedor10!$C$11="",0,Vendedor10!$C$11)</f>
        <v>20350</v>
      </c>
      <c r="F13" s="30">
        <f>IF(Vendedor10!$E$11="",0,Vendedor10!$E$11)</f>
        <v>1500</v>
      </c>
      <c r="G13" s="179">
        <f>IF(Vendedor10!$C$15="",0,Vendedor10!$C$15)</f>
        <v>42100</v>
      </c>
      <c r="H13" s="30">
        <f>IF(Vendedor10!$E$15="",0,Vendedor10!$E$15)</f>
        <v>2600</v>
      </c>
      <c r="J13" s="42">
        <f t="shared" si="8"/>
        <v>90150</v>
      </c>
      <c r="K13" s="41">
        <f>MROUND(J13*Vendedor10!J$9,50)</f>
        <v>10800</v>
      </c>
      <c r="L13" s="42">
        <f t="shared" si="9"/>
        <v>4100</v>
      </c>
      <c r="M13" s="42">
        <f t="shared" si="10"/>
        <v>348500</v>
      </c>
      <c r="N13" s="42">
        <f>Vendedor10!$F$7+Vendedor10!$F$11+Vendedor10!$F$15</f>
        <v>348500</v>
      </c>
      <c r="P13" s="42">
        <f t="shared" si="11"/>
        <v>-269150</v>
      </c>
    </row>
    <row r="14" spans="1:16">
      <c r="A14" s="41">
        <v>11</v>
      </c>
      <c r="B14" s="177" t="str">
        <f>Vendedor11!$B$2</f>
        <v>CHARLY</v>
      </c>
      <c r="C14" s="179">
        <f>IF(Vendedor11!$C$7="",0,Vendedor11!$C$7)</f>
        <v>57350</v>
      </c>
      <c r="D14" s="30">
        <f>IF(Vendedor11!$E$7="",0,Vendedor11!$E$7)</f>
        <v>500</v>
      </c>
      <c r="E14" s="179">
        <f>IF(Vendedor11!$C$11="",0,Vendedor11!$C$11)</f>
        <v>18350</v>
      </c>
      <c r="F14" s="30">
        <f>IF(Vendedor11!$E$11="",0,Vendedor11!$E$11)</f>
        <v>1000</v>
      </c>
      <c r="G14" s="179">
        <f>IF(Vendedor11!$C$15="",0,Vendedor11!$C$15)</f>
        <v>28750</v>
      </c>
      <c r="H14" s="30">
        <f>IF(Vendedor11!$E$15="",0,Vendedor11!$E$15)</f>
        <v>0</v>
      </c>
      <c r="J14" s="42">
        <f t="shared" si="8"/>
        <v>104450</v>
      </c>
      <c r="K14" s="41">
        <f>MROUND(J14*Vendedor11!J$9,50)</f>
        <v>15650</v>
      </c>
      <c r="L14" s="42">
        <f t="shared" si="9"/>
        <v>1500</v>
      </c>
      <c r="M14" s="42">
        <f t="shared" si="10"/>
        <v>127500</v>
      </c>
      <c r="N14" s="42">
        <f>Vendedor11!$F$7+Vendedor11!$F$11+Vendedor11!$F$15</f>
        <v>120000</v>
      </c>
      <c r="P14" s="42">
        <f t="shared" si="11"/>
        <v>-31200</v>
      </c>
    </row>
    <row r="15" spans="1:16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>
      <c r="A16" s="41">
        <v>13</v>
      </c>
      <c r="B16" s="177" t="str">
        <f>Vendedor13!$B$2</f>
        <v>MINERO</v>
      </c>
      <c r="C16" s="179">
        <f>IF(Vendedor13!$C$7="",0,Vendedor13!$C$7)</f>
        <v>25950</v>
      </c>
      <c r="D16" s="30">
        <f>IF(Vendedor13!$E$7="",0,Vendedor13!$E$7)</f>
        <v>0</v>
      </c>
      <c r="E16" s="179">
        <f>IF(Vendedor13!$C$11="",0,Vendedor13!$C$11)</f>
        <v>27500</v>
      </c>
      <c r="F16" s="30">
        <f>IF(Vendedor13!$E$11="",0,Vendedor13!$E$11)</f>
        <v>250</v>
      </c>
      <c r="G16" s="179">
        <f>IF(Vendedor13!$C$15="",0,Vendedor13!$C$15)</f>
        <v>34675</v>
      </c>
      <c r="H16" s="30">
        <f>IF(Vendedor13!$E$15="",0,Vendedor13!$E$15)</f>
        <v>1500</v>
      </c>
      <c r="J16" s="42">
        <f t="shared" si="8"/>
        <v>88125</v>
      </c>
      <c r="K16" s="41">
        <f>MROUND(J16*Vendedor13!J$11,50)</f>
        <v>10600</v>
      </c>
      <c r="L16" s="42">
        <f t="shared" si="9"/>
        <v>1750</v>
      </c>
      <c r="M16" s="42">
        <f t="shared" si="10"/>
        <v>148750</v>
      </c>
      <c r="N16" s="42">
        <f>Vendedor13!$F$7+Vendedor13!$F$11+Vendedor13!$F$15</f>
        <v>148750</v>
      </c>
      <c r="P16" s="42">
        <f t="shared" si="11"/>
        <v>-71225</v>
      </c>
    </row>
    <row r="17" spans="1:16">
      <c r="A17" s="41">
        <v>14</v>
      </c>
      <c r="B17" s="177" t="str">
        <f>Vendedor14!$B$2</f>
        <v>EDUARDO TIEMPOS LICORERA</v>
      </c>
      <c r="C17" s="179">
        <f>IF(Vendedor14!$C$7="",0,Vendedor14!$C$7)</f>
        <v>0</v>
      </c>
      <c r="D17" s="30">
        <f>IF(Vendedor14!$E$7="",0,Vendedor14!$E$7)</f>
        <v>0</v>
      </c>
      <c r="E17" s="179">
        <f>IF(Vendedor14!$C$11="",0,Vendedor14!$C$11)</f>
        <v>0</v>
      </c>
      <c r="F17" s="30">
        <f>IF(Vendedor14!$E$11="",0,Vendedor14!$E$11)</f>
        <v>0</v>
      </c>
      <c r="G17" s="179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>
      <c r="A18" s="41">
        <v>15</v>
      </c>
      <c r="B18" s="177" t="str">
        <f>Vendedor15!$B$2</f>
        <v>EDUARDO PUESTO CENTRO</v>
      </c>
      <c r="C18" s="179">
        <f>IF(Vendedor15!$C$7="",0,Vendedor15!$C$7)</f>
        <v>0</v>
      </c>
      <c r="D18" s="30">
        <f>IF(Vendedor15!$E$7="",0,Vendedor15!$E$7)</f>
        <v>0</v>
      </c>
      <c r="E18" s="179">
        <f>IF(Vendedor15!$C$11="",0,Vendedor15!$C$11)</f>
        <v>0</v>
      </c>
      <c r="F18" s="30">
        <f>IF(Vendedor15!$E$11="",0,Vendedor15!$E$11)</f>
        <v>0</v>
      </c>
      <c r="G18" s="179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.75" thickBot="1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>
      <c r="C32" s="43">
        <f t="shared" ref="C32:H32" si="16">SUM(C4:C31)</f>
        <v>375200</v>
      </c>
      <c r="D32" s="44">
        <f t="shared" si="16"/>
        <v>750</v>
      </c>
      <c r="E32" s="43">
        <f t="shared" si="16"/>
        <v>274450</v>
      </c>
      <c r="F32" s="44">
        <f t="shared" si="16"/>
        <v>6700</v>
      </c>
      <c r="G32" s="43">
        <f t="shared" si="16"/>
        <v>425175</v>
      </c>
      <c r="H32" s="44">
        <f t="shared" si="16"/>
        <v>8250</v>
      </c>
      <c r="J32" s="95">
        <f>SUM(J4:J31)</f>
        <v>1074825</v>
      </c>
      <c r="K32" s="45">
        <f>SUM(K7:K31)</f>
        <v>86950</v>
      </c>
      <c r="L32" s="95">
        <f>SUM(L4:L31)</f>
        <v>15700</v>
      </c>
      <c r="M32" s="95">
        <f>SUM(M4:M31)</f>
        <v>1334500</v>
      </c>
      <c r="N32" s="95">
        <f>SUM(N4:N31)</f>
        <v>1327000</v>
      </c>
      <c r="P32" s="79">
        <f>SUM(P4:P31)</f>
        <v>-388025</v>
      </c>
    </row>
    <row r="33" spans="3:13">
      <c r="D33" s="99">
        <f>+D32*85</f>
        <v>63750</v>
      </c>
      <c r="F33" s="99">
        <f>+F32*85</f>
        <v>569500</v>
      </c>
      <c r="H33" s="99">
        <f>+H32*85</f>
        <v>701250</v>
      </c>
    </row>
    <row r="34" spans="3:13" ht="15.75" thickBot="1">
      <c r="L34" s="148"/>
      <c r="M34" s="43"/>
    </row>
    <row r="35" spans="3:13">
      <c r="C35" s="265" t="s">
        <v>89</v>
      </c>
      <c r="D35" s="265"/>
    </row>
    <row r="36" spans="3:13">
      <c r="C36" s="47" t="s">
        <v>28</v>
      </c>
      <c r="D36" s="30">
        <f>+C32+E32+G32</f>
        <v>1074825</v>
      </c>
      <c r="E36" s="43">
        <f>+D36-J4-J5-J6</f>
        <v>698575</v>
      </c>
      <c r="G36" s="101"/>
    </row>
    <row r="37" spans="3:13">
      <c r="C37" s="47" t="s">
        <v>33</v>
      </c>
      <c r="D37" s="48">
        <f>D36*13%</f>
        <v>139727.25</v>
      </c>
      <c r="E37">
        <f>+D37-K4-K5-K6</f>
        <v>90827.25</v>
      </c>
      <c r="G37" s="100"/>
      <c r="H37" s="100"/>
    </row>
    <row r="38" spans="3:13" ht="15.75" thickBot="1">
      <c r="C38" s="47" t="s">
        <v>30</v>
      </c>
      <c r="D38" s="30">
        <f>M32</f>
        <v>1334500</v>
      </c>
      <c r="G38" s="100"/>
      <c r="H38" s="100"/>
    </row>
    <row r="39" spans="3:13" ht="15.75" thickBot="1">
      <c r="C39" s="49" t="s">
        <v>4</v>
      </c>
      <c r="D39" s="80">
        <f>+D36-D37-D38</f>
        <v>-399402.25</v>
      </c>
      <c r="F39" s="98">
        <f>+P32-D39</f>
        <v>11377.25</v>
      </c>
      <c r="G39" s="101"/>
      <c r="H39" s="101"/>
    </row>
    <row r="40" spans="3:13" ht="15.75" thickBot="1">
      <c r="G40" s="100"/>
    </row>
    <row r="41" spans="3:13">
      <c r="C41" s="104" t="s">
        <v>78</v>
      </c>
      <c r="D41" s="105">
        <v>0</v>
      </c>
      <c r="G41" s="100"/>
    </row>
    <row r="42" spans="3:13">
      <c r="C42" s="106" t="s">
        <v>80</v>
      </c>
      <c r="D42" s="107">
        <v>0</v>
      </c>
      <c r="G42" s="100"/>
    </row>
    <row r="43" spans="3:13" ht="15.75" thickBot="1">
      <c r="C43" s="108" t="s">
        <v>79</v>
      </c>
      <c r="D43" s="109">
        <f>+D39+D41+D42</f>
        <v>-399402.25</v>
      </c>
    </row>
    <row r="45" spans="3:13">
      <c r="F45" s="43"/>
    </row>
    <row r="46" spans="3:13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1.140625" customWidth="1"/>
    <col min="3" max="10" width="12.5703125" customWidth="1"/>
    <col min="11" max="11" width="3.5703125" customWidth="1"/>
    <col min="12" max="16" width="12.5703125" customWidth="1"/>
    <col min="17" max="17" width="3.5703125" customWidth="1"/>
  </cols>
  <sheetData>
    <row r="1" spans="1:18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>
      <c r="C2" s="266">
        <f>DigitaNICA!C2</f>
        <v>13</v>
      </c>
      <c r="D2" s="267"/>
      <c r="E2" s="266">
        <f>DigitaNICA!E2</f>
        <v>50</v>
      </c>
      <c r="F2" s="267"/>
      <c r="G2" s="266">
        <f>DigitaNICA!G2</f>
        <v>22</v>
      </c>
      <c r="H2" s="267"/>
      <c r="I2" s="266">
        <f>DigitaNICA!I2</f>
        <v>35</v>
      </c>
      <c r="J2" s="267"/>
    </row>
    <row r="3" spans="1:18" ht="15.75" thickBot="1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>
      <c r="A4" s="186">
        <v>1</v>
      </c>
      <c r="B4" s="198" t="str">
        <f>Vendedor1!$B$2</f>
        <v>VENTANA</v>
      </c>
      <c r="C4" s="188">
        <f>IF(Vendedor1!$C$5="",0,Vendedor1!$C$5)</f>
        <v>43400</v>
      </c>
      <c r="D4" s="78">
        <f>IF(Vendedor1!$E$5="",0,Vendedor1!$E$5)</f>
        <v>1000</v>
      </c>
      <c r="E4" s="188">
        <f>IF(Vendedor1!$C$9="",0,Vendedor1!$C$9)</f>
        <v>13850</v>
      </c>
      <c r="F4" s="78">
        <f>IF(Vendedor1!$E$9="",0,Vendedor1!$E$9)</f>
        <v>0</v>
      </c>
      <c r="G4" s="188">
        <f>IF(Vendedor1!$C$13="",0,Vendedor1!$C$13)</f>
        <v>5600</v>
      </c>
      <c r="H4" s="78">
        <f>IF(Vendedor1!$E$13="",0,Vendedor1!$E$13)</f>
        <v>0</v>
      </c>
      <c r="I4" s="188">
        <f>IF(Vendedor1!$C$17="",0,Vendedor1!$C$17)</f>
        <v>6000</v>
      </c>
      <c r="J4" s="78">
        <f>IF(Vendedor1!$E$17="",0,Vendedor1!$E$17)</f>
        <v>1000</v>
      </c>
      <c r="L4" s="42">
        <f t="shared" ref="L4:L7" si="0">C4+E4+G4+I4</f>
        <v>68850</v>
      </c>
      <c r="M4" s="41">
        <f>MROUND(L4*Vendedor1!J$10,50)</f>
        <v>8950</v>
      </c>
      <c r="N4" s="42">
        <f t="shared" ref="N4:N7" si="1">D4+F4+H4+J4</f>
        <v>2000</v>
      </c>
      <c r="O4" s="41">
        <f>IFERROR(N4*85,0)</f>
        <v>170000</v>
      </c>
      <c r="P4" s="42">
        <f>Vendedor1!$F$5+Vendedor1!$F$9+Vendedor1!$F$13+Vendedor1!$F$17</f>
        <v>160000</v>
      </c>
      <c r="R4" s="41">
        <f t="shared" ref="R4:R7" si="2">+L4-M4-O4</f>
        <v>-110100</v>
      </c>
    </row>
    <row r="5" spans="1:18">
      <c r="A5" s="47">
        <v>2</v>
      </c>
      <c r="B5" s="176" t="str">
        <f>Vendedor2!$B$2</f>
        <v>PUESTO 2</v>
      </c>
      <c r="C5" s="179">
        <f>IF(Vendedor2!$C$5="",0,Vendedor2!$C$5)</f>
        <v>17500</v>
      </c>
      <c r="D5" s="30">
        <f>IF(Vendedor2!$E$5="",0,Vendedor2!$E$5)</f>
        <v>0</v>
      </c>
      <c r="E5" s="179">
        <f>IF(Vendedor2!$C$9="",0,Vendedor2!$C$9)</f>
        <v>23950</v>
      </c>
      <c r="F5" s="30">
        <f>IF(Vendedor2!$E$9="",0,Vendedor2!$E$9)</f>
        <v>0</v>
      </c>
      <c r="G5" s="179">
        <f>IF(Vendedor2!$C$13="",0,Vendedor2!$C$13)</f>
        <v>4300</v>
      </c>
      <c r="H5" s="30">
        <f>IF(Vendedor2!$E$13="",0,Vendedor2!$E$13)</f>
        <v>0</v>
      </c>
      <c r="I5" s="179">
        <f>IF(Vendedor2!$C$17="",0,Vendedor2!$C$17)</f>
        <v>2200</v>
      </c>
      <c r="J5" s="30">
        <f>IF(Vendedor2!$E$17="",0,Vendedor2!$E$17)</f>
        <v>0</v>
      </c>
      <c r="L5" s="42">
        <f t="shared" si="0"/>
        <v>47950</v>
      </c>
      <c r="M5" s="41">
        <f>MROUND(L5*Vendedor2!J$10,50)</f>
        <v>6250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41700</v>
      </c>
    </row>
    <row r="6" spans="1:18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>
      <c r="A8" s="47">
        <v>5</v>
      </c>
      <c r="B8" s="176" t="str">
        <f>Vendedor5!$B$2</f>
        <v>YOYO</v>
      </c>
      <c r="C8" s="179">
        <f>IF(Vendedor5!$C$5="",0,Vendedor5!$C$5)</f>
        <v>0</v>
      </c>
      <c r="D8" s="30">
        <f>IF(Vendedor5!$E$5="",0,Vendedor5!$E$5)</f>
        <v>0</v>
      </c>
      <c r="E8" s="179">
        <f>IF(Vendedor5!$C$9="",0,Vendedor5!$C$9)</f>
        <v>0</v>
      </c>
      <c r="F8" s="30">
        <f>IF(Vendedor5!$E$9="",0,Vendedor5!$E$9)</f>
        <v>0</v>
      </c>
      <c r="G8" s="179">
        <f>IF(Vendedor5!$C$13="",0,Vendedor5!$C$13)</f>
        <v>0</v>
      </c>
      <c r="H8" s="30">
        <f>IF(Vendedor5!$E$13="",0,Vendedor5!$E$13)</f>
        <v>0</v>
      </c>
      <c r="I8" s="179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>
      <c r="A9" s="47">
        <v>6</v>
      </c>
      <c r="B9" s="177" t="str">
        <f>Vendedor6!$B$2</f>
        <v>MARTA ROSA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>
      <c r="A10" s="47">
        <v>7</v>
      </c>
      <c r="B10" s="177" t="str">
        <f>Vendedor7!$B$2</f>
        <v>PIKIS</v>
      </c>
      <c r="C10" s="179">
        <f>IF(Vendedor7!$C$5="",0,Vendedor7!$C$5)</f>
        <v>54100</v>
      </c>
      <c r="D10" s="30">
        <f>IF(Vendedor7!$E$5="",0,Vendedor7!$E$5)</f>
        <v>2000</v>
      </c>
      <c r="E10" s="179">
        <f>IF(Vendedor7!$C$9="",0,Vendedor7!$C$9)</f>
        <v>58000</v>
      </c>
      <c r="F10" s="30">
        <f>IF(Vendedor7!$E$9="",0,Vendedor7!$E$9)</f>
        <v>2800</v>
      </c>
      <c r="G10" s="179">
        <f>IF(Vendedor7!$C$13="",0,Vendedor7!$C$13)</f>
        <v>35750</v>
      </c>
      <c r="H10" s="30">
        <f>IF(Vendedor7!$E$13="",0,Vendedor7!$E$13)</f>
        <v>250</v>
      </c>
      <c r="I10" s="179">
        <f>IF(Vendedor7!$C$17="",0,Vendedor7!$C$17)</f>
        <v>86650</v>
      </c>
      <c r="J10" s="30">
        <f>IF(Vendedor7!$E$17="",0,Vendedor7!$E$17)</f>
        <v>1000</v>
      </c>
      <c r="L10" s="42">
        <f t="shared" si="7"/>
        <v>234500</v>
      </c>
      <c r="M10" s="41">
        <f>MROUND(L10*Vendedor7!J$15,50)</f>
        <v>28150</v>
      </c>
      <c r="N10" s="42">
        <f t="shared" ref="N10:N27" si="9">D10+F10+H10+J10</f>
        <v>6050</v>
      </c>
      <c r="O10" s="41">
        <f t="shared" si="3"/>
        <v>514250</v>
      </c>
      <c r="P10" s="42">
        <f>Vendedor7!$F$5+Vendedor7!$F$9+Vendedor7!$F$13+Vendedor7!$F$17</f>
        <v>514250</v>
      </c>
      <c r="R10" s="41">
        <f t="shared" si="8"/>
        <v>-307900</v>
      </c>
    </row>
    <row r="11" spans="1:18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>
      <c r="A12" s="47">
        <v>9</v>
      </c>
      <c r="B12" s="177" t="str">
        <f>Vendedor9!$B$2</f>
        <v>JUAN FELIX</v>
      </c>
      <c r="C12" s="179">
        <f>IF(Vendedor9!$C$5="",0,Vendedor9!$C$5)</f>
        <v>15350</v>
      </c>
      <c r="D12" s="30">
        <f>IF(Vendedor9!$E$5="",0,Vendedor9!$E$5)</f>
        <v>0</v>
      </c>
      <c r="E12" s="179">
        <f>IF(Vendedor9!$C$9="",0,Vendedor9!$C$9)</f>
        <v>0</v>
      </c>
      <c r="F12" s="30">
        <f>IF(Vendedor9!$E$9="",0,Vendedor9!$E$9)</f>
        <v>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15350</v>
      </c>
      <c r="M12" s="41">
        <f>MROUND(L12*Vendedor9!J$12,50)</f>
        <v>1850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13500</v>
      </c>
    </row>
    <row r="13" spans="1:18">
      <c r="A13" s="47">
        <v>10</v>
      </c>
      <c r="B13" s="177" t="str">
        <f>Vendedor10!$B$2</f>
        <v>MARIALIZ</v>
      </c>
      <c r="C13" s="179">
        <f>IF(Vendedor10!$C$5="",0,Vendedor10!$C$5)</f>
        <v>22750</v>
      </c>
      <c r="D13" s="30">
        <f>IF(Vendedor10!$E$5="",0,Vendedor10!$E$5)</f>
        <v>750</v>
      </c>
      <c r="E13" s="179">
        <f>IF(Vendedor10!$C$9="",0,Vendedor10!$C$9)</f>
        <v>16300</v>
      </c>
      <c r="F13" s="30">
        <f>IF(Vendedor10!$E$9="",0,Vendedor10!$E$9)</f>
        <v>0</v>
      </c>
      <c r="G13" s="179">
        <f>IF(Vendedor10!$C$13="",0,Vendedor10!$C$13)</f>
        <v>1000</v>
      </c>
      <c r="H13" s="30">
        <f>IF(Vendedor10!$E$13="",0,Vendedor10!$E$13)</f>
        <v>0</v>
      </c>
      <c r="I13" s="179">
        <f>IF(Vendedor10!$C$17="",0,Vendedor10!$C$17)</f>
        <v>2300</v>
      </c>
      <c r="J13" s="30">
        <f>IF(Vendedor10!$E$17="",0,Vendedor10!$E$17)</f>
        <v>0</v>
      </c>
      <c r="L13" s="42">
        <f t="shared" si="7"/>
        <v>42350</v>
      </c>
      <c r="M13" s="41">
        <f>MROUND(L13*Vendedor10!J$10,50)</f>
        <v>5100</v>
      </c>
      <c r="N13" s="42">
        <f t="shared" si="9"/>
        <v>750</v>
      </c>
      <c r="O13" s="41">
        <f t="shared" si="3"/>
        <v>63750</v>
      </c>
      <c r="P13" s="42">
        <f>Vendedor10!$F$5+Vendedor10!$F$9+Vendedor10!$F$13+Vendedor10!$F$17</f>
        <v>60000</v>
      </c>
      <c r="R13" s="41">
        <f t="shared" si="8"/>
        <v>-26500</v>
      </c>
    </row>
    <row r="14" spans="1:18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>
      <c r="A16" s="47">
        <v>13</v>
      </c>
      <c r="B16" s="177" t="str">
        <f>Vendedor13!$B$2</f>
        <v>MINERO</v>
      </c>
      <c r="C16" s="179">
        <f>IF(Vendedor13!$C$5="",0,Vendedor13!$C$5)</f>
        <v>19100</v>
      </c>
      <c r="D16" s="30">
        <f>IF(Vendedor13!$E$5="",0,Vendedor13!$E$5)</f>
        <v>0</v>
      </c>
      <c r="E16" s="179">
        <f>IF(Vendedor13!$C$9="",0,Vendedor13!$C$9)</f>
        <v>9100</v>
      </c>
      <c r="F16" s="30">
        <f>IF(Vendedor13!$E$9="",0,Vendedor13!$E$9)</f>
        <v>250</v>
      </c>
      <c r="G16" s="179">
        <f>IF(Vendedor13!$C$13="",0,Vendedor13!$C$13)</f>
        <v>15400</v>
      </c>
      <c r="H16" s="30">
        <f>IF(Vendedor13!$E$13="",0,Vendedor13!$E$13)</f>
        <v>250</v>
      </c>
      <c r="I16" s="179">
        <f>IF(Vendedor13!$C$17="",0,Vendedor13!$C$17)</f>
        <v>31300</v>
      </c>
      <c r="J16" s="30">
        <f>IF(Vendedor13!$E$17="",0,Vendedor13!$E$17)</f>
        <v>0</v>
      </c>
      <c r="L16" s="42">
        <f t="shared" si="7"/>
        <v>74900</v>
      </c>
      <c r="M16" s="41">
        <f>MROUND(L16*Vendedor13!J$12,50)</f>
        <v>9000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23400</v>
      </c>
    </row>
    <row r="17" spans="1:18">
      <c r="A17" s="47">
        <v>14</v>
      </c>
      <c r="B17" s="177" t="str">
        <f>Vendedor14!$B$2</f>
        <v>EDUARDO TIEMPOS LICORERA</v>
      </c>
      <c r="C17" s="179">
        <f>IF(Vendedor14!$C$5="",0,Vendedor14!$C$5)</f>
        <v>0</v>
      </c>
      <c r="D17" s="30">
        <f>IF(Vendedor14!$E$5="",0,Vendedor14!$E$5)</f>
        <v>0</v>
      </c>
      <c r="E17" s="179">
        <f>IF(Vendedor14!$C$9="",0,Vendedor14!$C$9)</f>
        <v>0</v>
      </c>
      <c r="F17" s="30">
        <f>IF(Vendedor14!$E$9="",0,Vendedor14!$E$9)</f>
        <v>0</v>
      </c>
      <c r="G17" s="179">
        <f>IF(Vendedor14!$C$13="",0,Vendedor14!$C$13)</f>
        <v>0</v>
      </c>
      <c r="H17" s="30">
        <f>IF(Vendedor14!$E$13="",0,Vendedor14!$E$13)</f>
        <v>0</v>
      </c>
      <c r="I17" s="179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>
      <c r="A18" s="47">
        <v>15</v>
      </c>
      <c r="B18" s="177" t="str">
        <f>Vendedor15!$B$2</f>
        <v>EDUARDO PUESTO CENTRO</v>
      </c>
      <c r="C18" s="179">
        <f>IF(Vendedor15!$C$5="",0,Vendedor15!$C$5)</f>
        <v>0</v>
      </c>
      <c r="D18" s="30">
        <f>IF(Vendedor15!$E$5="",0,Vendedor15!$E$5)</f>
        <v>0</v>
      </c>
      <c r="E18" s="179">
        <f>IF(Vendedor15!$C$9="",0,Vendedor15!$C$9)</f>
        <v>0</v>
      </c>
      <c r="F18" s="30">
        <f>IF(Vendedor15!$E$9="",0,Vendedor15!$E$9)</f>
        <v>0</v>
      </c>
      <c r="G18" s="179">
        <f>IF(Vendedor15!$C$13="",0,Vendedor15!$C$13)</f>
        <v>0</v>
      </c>
      <c r="H18" s="30">
        <f>IF(Vendedor15!$E$13="",0,Vendedor15!$E$13)</f>
        <v>0</v>
      </c>
      <c r="I18" s="179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.75" thickBot="1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>
      <c r="C32" s="43">
        <f t="shared" ref="C32:J32" si="14">SUM(C4:C31)</f>
        <v>172200</v>
      </c>
      <c r="D32" s="44">
        <f t="shared" si="14"/>
        <v>3750</v>
      </c>
      <c r="E32" s="43">
        <f t="shared" si="14"/>
        <v>121200</v>
      </c>
      <c r="F32" s="44">
        <f t="shared" si="14"/>
        <v>3050</v>
      </c>
      <c r="G32" s="43">
        <f t="shared" si="14"/>
        <v>62050</v>
      </c>
      <c r="H32" s="44">
        <f t="shared" si="14"/>
        <v>500</v>
      </c>
      <c r="I32" s="43">
        <f t="shared" si="14"/>
        <v>128450</v>
      </c>
      <c r="J32" s="44">
        <f t="shared" si="14"/>
        <v>2000</v>
      </c>
      <c r="L32" s="45">
        <f>SUM(L4:L31)</f>
        <v>483900</v>
      </c>
      <c r="M32" s="45">
        <f>SUM(M7:M31)</f>
        <v>44100</v>
      </c>
      <c r="N32" s="95">
        <f>SUM(N4:N31)</f>
        <v>9300</v>
      </c>
      <c r="O32" s="46">
        <f>SUM(O4:O31)</f>
        <v>790500</v>
      </c>
      <c r="P32" s="139">
        <f>SUM(P4:P31)</f>
        <v>774250</v>
      </c>
      <c r="R32" s="79">
        <f>SUM(R4:R31)</f>
        <v>-365900</v>
      </c>
    </row>
    <row r="33" spans="3:15">
      <c r="D33" s="120">
        <f>+D32*85</f>
        <v>318750</v>
      </c>
      <c r="F33" s="120">
        <f>+F32*85</f>
        <v>259250</v>
      </c>
      <c r="H33" s="120">
        <f>+H32*85</f>
        <v>42500</v>
      </c>
      <c r="J33" s="120">
        <f>+J32*85</f>
        <v>170000</v>
      </c>
    </row>
    <row r="34" spans="3:15" ht="15.75" thickBot="1"/>
    <row r="35" spans="3:15">
      <c r="C35" s="265" t="s">
        <v>89</v>
      </c>
      <c r="D35" s="265"/>
      <c r="N35" s="148"/>
      <c r="O35" s="43"/>
    </row>
    <row r="36" spans="3:15">
      <c r="C36" s="47" t="s">
        <v>28</v>
      </c>
      <c r="D36" s="30">
        <f>+C32+E32+G32+I32</f>
        <v>483900</v>
      </c>
      <c r="E36" s="43">
        <f>+D36-L4-L5-L6</f>
        <v>367100</v>
      </c>
    </row>
    <row r="37" spans="3:15">
      <c r="C37" s="47" t="s">
        <v>33</v>
      </c>
      <c r="D37" s="48">
        <f>D36*13%</f>
        <v>62907</v>
      </c>
      <c r="E37">
        <f>+D37-M4-M5-M6</f>
        <v>47707</v>
      </c>
    </row>
    <row r="38" spans="3:15">
      <c r="C38" s="47" t="s">
        <v>30</v>
      </c>
      <c r="D38" s="30">
        <f>SUM(O4:O27)</f>
        <v>790500</v>
      </c>
      <c r="G38" s="100"/>
    </row>
    <row r="39" spans="3:15" ht="15.75" thickBot="1">
      <c r="C39" s="49" t="s">
        <v>4</v>
      </c>
      <c r="D39" s="80">
        <f>+D36-D37-D38</f>
        <v>-369507</v>
      </c>
      <c r="G39" s="101"/>
    </row>
    <row r="40" spans="3:15" ht="15.75" thickBot="1">
      <c r="G40" s="100"/>
    </row>
    <row r="41" spans="3:15">
      <c r="C41" s="104" t="s">
        <v>78</v>
      </c>
      <c r="D41" s="105">
        <v>0</v>
      </c>
      <c r="G41" s="100"/>
    </row>
    <row r="42" spans="3:15">
      <c r="C42" s="106" t="s">
        <v>80</v>
      </c>
      <c r="D42" s="107">
        <v>0</v>
      </c>
      <c r="G42" s="100"/>
    </row>
    <row r="43" spans="3:15" ht="15.75" thickBot="1">
      <c r="C43" s="108" t="s">
        <v>79</v>
      </c>
      <c r="D43" s="109">
        <f>+D39+D41+D42</f>
        <v>-369507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703125" defaultRowHeight="15"/>
  <cols>
    <col min="1" max="1" width="5.42578125" customWidth="1"/>
    <col min="2" max="2" width="11.140625" customWidth="1"/>
    <col min="3" max="8" width="12.5703125" customWidth="1"/>
    <col min="9" max="9" width="3.5703125" customWidth="1"/>
    <col min="10" max="14" width="12.5703125" customWidth="1"/>
    <col min="15" max="15" width="14.85546875" bestFit="1" customWidth="1"/>
    <col min="16" max="16" width="3.5703125" customWidth="1"/>
  </cols>
  <sheetData>
    <row r="1" spans="1:17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45" customHeight="1">
      <c r="C2" s="266" t="str">
        <f>IF(C33=0,"",CONCATENATE(PREMIOS!$B7," ",PREMIOS!$B8))</f>
        <v>95 Roja</v>
      </c>
      <c r="D2" s="267"/>
      <c r="E2" s="266" t="str">
        <f>IF(E33=0,"",CONCATENATE(PREMIOS!$B11," ",PREMIOS!$B12))</f>
        <v>00 Blanca</v>
      </c>
      <c r="F2" s="267"/>
      <c r="G2" s="266" t="str">
        <f>IF(G33=0,"",CONCATENATE(PREMIOS!$B15," ",PREMIOS!$B16))</f>
        <v>08 Blanca</v>
      </c>
      <c r="H2" s="267"/>
    </row>
    <row r="3" spans="1:17" ht="15" customHeight="1" thickBot="1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>
      <c r="A9" s="47">
        <v>6</v>
      </c>
      <c r="B9" s="177" t="str">
        <f>Vendedor6!$B$2</f>
        <v>MARTA ROSA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>
      <c r="A10" s="47">
        <v>7</v>
      </c>
      <c r="B10" s="177" t="str">
        <f>Vendedor7!$B$2</f>
        <v>PIKIS</v>
      </c>
      <c r="C10" s="179">
        <f>IF(Vendedor7!$C$8="",0,Vendedor7!$C$8)</f>
        <v>12700</v>
      </c>
      <c r="D10" s="30">
        <f>IF(Vendedor7!$E$8="",0,Vendedor7!$E$8)</f>
        <v>0</v>
      </c>
      <c r="E10" s="179">
        <f>IF(Vendedor7!$C$12="",0,Vendedor7!$C$12)</f>
        <v>21500</v>
      </c>
      <c r="F10" s="30">
        <f>IF(Vendedor7!$E$12="",0,Vendedor7!$E$12)</f>
        <v>1000</v>
      </c>
      <c r="G10" s="179">
        <f>IF(Vendedor7!$C$16="",0,Vendedor7!$C$16)</f>
        <v>21450</v>
      </c>
      <c r="H10" s="30">
        <f>IF(Vendedor7!$E$16="",0,Vendedor7!$E$16)</f>
        <v>500</v>
      </c>
      <c r="J10" s="42">
        <f t="shared" si="1"/>
        <v>55650</v>
      </c>
      <c r="K10" s="41">
        <f>J10*Vendedor7!J$16</f>
        <v>5565</v>
      </c>
      <c r="L10" s="42">
        <f t="shared" si="2"/>
        <v>0</v>
      </c>
      <c r="M10" s="42">
        <f t="shared" si="3"/>
        <v>1500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50085</v>
      </c>
    </row>
    <row r="11" spans="1:17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>
      <c r="A12" s="47">
        <v>9</v>
      </c>
      <c r="B12" s="177" t="str">
        <f>Vendedor9!$B$2</f>
        <v>JUAN FELIX</v>
      </c>
      <c r="C12" s="179">
        <f>IF(Vendedor9!$C$8="",0,Vendedor9!$C$8)</f>
        <v>4600</v>
      </c>
      <c r="D12" s="30">
        <f>IF(Vendedor9!$E$8="",0,Vendedor9!$E$8)</f>
        <v>0</v>
      </c>
      <c r="E12" s="179">
        <f>IF(Vendedor9!$C$12="",0,Vendedor9!$C$12)</f>
        <v>0</v>
      </c>
      <c r="F12" s="30">
        <f>IF(Vendedor9!$E$12="",0,Vendedor9!$E$12)</f>
        <v>0</v>
      </c>
      <c r="G12" s="179">
        <f>IF(Vendedor9!$C$16="",0,Vendedor9!$C$16)</f>
        <v>0</v>
      </c>
      <c r="H12" s="30">
        <f>IF(Vendedor9!$E$16="",0,Vendedor9!$E$16)</f>
        <v>0</v>
      </c>
      <c r="J12" s="42">
        <f t="shared" si="1"/>
        <v>4600</v>
      </c>
      <c r="K12" s="41">
        <f>J12*Vendedor9!J$13</f>
        <v>460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4140</v>
      </c>
    </row>
    <row r="13" spans="1:17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>
      <c r="A16" s="47">
        <v>13</v>
      </c>
      <c r="B16" s="177" t="str">
        <f>Vendedor13!$B$2</f>
        <v>MINERO</v>
      </c>
      <c r="C16" s="179">
        <f>IF(Vendedor13!$C$8="",0,Vendedor13!$C$8)</f>
        <v>0</v>
      </c>
      <c r="D16" s="30">
        <f>IF(Vendedor13!$E$8="",0,Vendedor13!$E$8)</f>
        <v>0</v>
      </c>
      <c r="E16" s="179">
        <f>IF(Vendedor13!$C$12="",0,Vendedor13!$C$12)</f>
        <v>0</v>
      </c>
      <c r="F16" s="30">
        <f>IF(Vendedor13!$E$12="",0,Vendedor13!$E$12)</f>
        <v>0</v>
      </c>
      <c r="G16" s="179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>
      <c r="A17" s="47">
        <v>14</v>
      </c>
      <c r="B17" s="177" t="str">
        <f>Vendedor14!$B$2</f>
        <v>EDUARDO TIEMPOS LICORERA</v>
      </c>
      <c r="C17" s="179">
        <f>IF(Vendedor14!$C$8="",0,Vendedor14!$C$8)</f>
        <v>0</v>
      </c>
      <c r="D17" s="30">
        <f>IF(Vendedor14!$E$8="",0,Vendedor14!$E$8)</f>
        <v>0</v>
      </c>
      <c r="E17" s="179">
        <f>IF(Vendedor14!$C$12="",0,Vendedor14!$C$12)</f>
        <v>0</v>
      </c>
      <c r="F17" s="30">
        <f>IF(Vendedor14!$E$12="",0,Vendedor14!$E$12)</f>
        <v>0</v>
      </c>
      <c r="G17" s="179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>
      <c r="A18" s="47">
        <v>15</v>
      </c>
      <c r="B18" s="177" t="str">
        <f>Vendedor15!$B$2</f>
        <v>EDUARDO PUESTO CENTRO</v>
      </c>
      <c r="C18" s="179">
        <f>IF(Vendedor15!$C$8="",0,Vendedor15!$C$8)</f>
        <v>0</v>
      </c>
      <c r="D18" s="30">
        <f>IF(Vendedor15!$E$8="",0,Vendedor15!$E$8)</f>
        <v>0</v>
      </c>
      <c r="E18" s="179">
        <f>IF(Vendedor15!$C$12="",0,Vendedor15!$C$12)</f>
        <v>0</v>
      </c>
      <c r="F18" s="30">
        <f>IF(Vendedor15!$E$12="",0,Vendedor15!$E$12)</f>
        <v>0</v>
      </c>
      <c r="G18" s="179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.75" thickBot="1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>
      <c r="C33" s="43">
        <f>SUM(C4:C32)</f>
        <v>17300</v>
      </c>
      <c r="D33" s="44">
        <f>IF(PREMIOS!E8&lt;&gt;0,SUM(D4:D32),0)</f>
        <v>0</v>
      </c>
      <c r="E33" s="43">
        <f>SUM(E4:E32)</f>
        <v>21500</v>
      </c>
      <c r="F33" s="44">
        <f>IF(PREMIOS!E12&lt;&gt;0,SUM(F4:F32),0)</f>
        <v>0</v>
      </c>
      <c r="G33" s="43">
        <f>SUM(G4:G32)</f>
        <v>21450</v>
      </c>
      <c r="H33" s="44">
        <f>IF(PREMIOS!E16&lt;&gt;0,SUM(H4:H32),0)</f>
        <v>0</v>
      </c>
      <c r="J33" s="45">
        <f>SUM(J4:J32)</f>
        <v>60250</v>
      </c>
      <c r="K33" s="45">
        <f>SUM(K7:K32)</f>
        <v>6025</v>
      </c>
      <c r="L33" s="95">
        <f>SUM(L7:L32)</f>
        <v>0</v>
      </c>
      <c r="M33" s="95">
        <f>SUM(M7:M32)</f>
        <v>1500</v>
      </c>
      <c r="N33" s="95">
        <f>SUM(N4:N27)</f>
        <v>0</v>
      </c>
      <c r="O33" s="95">
        <f>SUM(O4:O27)</f>
        <v>0</v>
      </c>
      <c r="Q33" s="79">
        <f>SUM(Q4:Q32)</f>
        <v>54225</v>
      </c>
    </row>
    <row r="34" spans="3:17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.75" thickBot="1"/>
    <row r="36" spans="3:17" ht="14.45" customHeight="1">
      <c r="C36" s="272" t="s">
        <v>90</v>
      </c>
      <c r="D36" s="272"/>
      <c r="F36" s="273" t="s">
        <v>94</v>
      </c>
      <c r="G36" s="273" t="s">
        <v>95</v>
      </c>
    </row>
    <row r="37" spans="3:17" ht="14.45" customHeight="1">
      <c r="C37" s="47" t="s">
        <v>28</v>
      </c>
      <c r="D37" s="30">
        <f>+C33+E33+G33</f>
        <v>60250</v>
      </c>
      <c r="E37" s="43">
        <f>+D37-J4-J5-J6</f>
        <v>60250</v>
      </c>
      <c r="F37" s="274"/>
      <c r="G37" s="274"/>
    </row>
    <row r="38" spans="3:17" ht="15.75" thickBot="1">
      <c r="C38" s="47" t="s">
        <v>33</v>
      </c>
      <c r="D38" s="30">
        <f>D37*10%</f>
        <v>6025</v>
      </c>
      <c r="E38" s="43">
        <f>+D38-K4-K5-K6</f>
        <v>6025</v>
      </c>
      <c r="F38" s="103">
        <v>220</v>
      </c>
      <c r="G38" s="103">
        <v>0</v>
      </c>
    </row>
    <row r="39" spans="3:17">
      <c r="C39" s="47" t="s">
        <v>30</v>
      </c>
      <c r="D39" s="30">
        <f>+D34+F34+H34</f>
        <v>0</v>
      </c>
    </row>
    <row r="40" spans="3:17" ht="15.75" thickBot="1">
      <c r="C40" s="49" t="s">
        <v>4</v>
      </c>
      <c r="D40" s="80">
        <f>+D37-D38-D39</f>
        <v>54225</v>
      </c>
    </row>
    <row r="41" spans="3:17" ht="15.75" thickBot="1"/>
    <row r="42" spans="3:17">
      <c r="C42" s="104" t="s">
        <v>78</v>
      </c>
      <c r="D42" s="116">
        <v>0</v>
      </c>
    </row>
    <row r="43" spans="3:17">
      <c r="C43" s="106" t="s">
        <v>80</v>
      </c>
      <c r="D43" s="152">
        <v>0</v>
      </c>
    </row>
    <row r="44" spans="3:17" ht="15.75" thickBot="1">
      <c r="C44" s="108" t="s">
        <v>79</v>
      </c>
      <c r="D44" s="109">
        <f>+D42+D40+D43</f>
        <v>54225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45" customHeight="1">
      <c r="C2" s="266">
        <f>DigitaPRIMERA!C2</f>
        <v>79</v>
      </c>
      <c r="D2" s="267"/>
      <c r="E2" s="266">
        <f>DigitaPRIMERA!E2</f>
        <v>75</v>
      </c>
      <c r="F2" s="267"/>
    </row>
    <row r="3" spans="1:14" ht="14.45" customHeight="1" thickBot="1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186">
        <v>1</v>
      </c>
      <c r="B4" s="198" t="str">
        <f>Vendedor1!$B$2</f>
        <v>VENTANA</v>
      </c>
      <c r="C4" s="188">
        <f>IF(Vendedor1!$C$19="",0,Vendedor1!$C$19)</f>
        <v>5000</v>
      </c>
      <c r="D4" s="78">
        <f>IF(Vendedor1!$E$19="",0,Vendedor1!$E$19)</f>
        <v>0</v>
      </c>
      <c r="E4" s="188">
        <f>IF(Vendedor1!$C$20="",0,Vendedor1!$C$20)</f>
        <v>3950</v>
      </c>
      <c r="F4" s="78">
        <f>IF(Vendedor1!$E$20="",0,Vendedor1!$E$20)</f>
        <v>0</v>
      </c>
      <c r="H4" s="42">
        <f>+C4+E4</f>
        <v>8950</v>
      </c>
      <c r="I4" s="41">
        <f>MROUND(H4*Vendedor1!J$9,50)</f>
        <v>1150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7800</v>
      </c>
    </row>
    <row r="5" spans="1:14">
      <c r="A5" s="47">
        <v>2</v>
      </c>
      <c r="B5" s="176" t="str">
        <f>Vendedor2!$B$2</f>
        <v>PUESTO 2</v>
      </c>
      <c r="C5" s="179">
        <f>IF(Vendedor2!$C$19="",0,Vendedor2!$C$19)</f>
        <v>9800</v>
      </c>
      <c r="D5" s="30">
        <f>IF(Vendedor2!$E$19="",0,Vendedor2!$E$19)</f>
        <v>0</v>
      </c>
      <c r="E5" s="179">
        <f>IF(Vendedor2!$C$20="",0,Vendedor2!$C$20)</f>
        <v>1200</v>
      </c>
      <c r="F5" s="30">
        <f>IF(Vendedor2!$E$20="",0,Vendedor2!$E$20)</f>
        <v>0</v>
      </c>
      <c r="H5" s="42">
        <f t="shared" ref="H5:H31" si="1">+C5+E5</f>
        <v>11000</v>
      </c>
      <c r="I5" s="41">
        <f>MROUND(H5*Vendedor2!J$9,50)</f>
        <v>1450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9550</v>
      </c>
    </row>
    <row r="6" spans="1:14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>
      <c r="A8" s="202">
        <v>5</v>
      </c>
      <c r="B8" s="200" t="str">
        <f>Vendedor5!$B$2</f>
        <v>YOYO</v>
      </c>
      <c r="C8" s="179">
        <f>IF(Vendedor5!$C$19="",0,Vendedor5!$C$19)</f>
        <v>0</v>
      </c>
      <c r="D8" s="30">
        <f>IF(Vendedor5!$E$19="",0,Vendedor5!$E$19)</f>
        <v>0</v>
      </c>
      <c r="E8" s="179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7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4"/>
      <c r="N8" s="133">
        <f t="shared" si="0"/>
        <v>0</v>
      </c>
    </row>
    <row r="9" spans="1:14">
      <c r="A9" s="202">
        <v>6</v>
      </c>
      <c r="B9" s="195" t="str">
        <f>Vendedor6!$B$2</f>
        <v>MARTA ROSA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>
      <c r="A10" s="47">
        <v>7</v>
      </c>
      <c r="B10" s="177" t="str">
        <f>Vendedor7!$B$2</f>
        <v>PIKIS</v>
      </c>
      <c r="C10" s="179">
        <f>IF(Vendedor7!$C$19="",0,Vendedor7!$C$19)</f>
        <v>19100</v>
      </c>
      <c r="D10" s="30">
        <f>IF(Vendedor7!$E$19="",0,Vendedor7!$E$19)</f>
        <v>0</v>
      </c>
      <c r="E10" s="179">
        <f>IF(Vendedor7!$C$20="",0,Vendedor7!$C$20)</f>
        <v>7300</v>
      </c>
      <c r="F10" s="30">
        <f>IF(Vendedor7!$E$20="",0,Vendedor7!$E$20)</f>
        <v>0</v>
      </c>
      <c r="H10" s="42">
        <f t="shared" si="1"/>
        <v>26400</v>
      </c>
      <c r="I10" s="41">
        <f>MROUND(H10*Vendedor7!J$14,50)</f>
        <v>3150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23250</v>
      </c>
    </row>
    <row r="11" spans="1:14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>
      <c r="A12" s="202">
        <v>9</v>
      </c>
      <c r="B12" s="195" t="str">
        <f>Vendedor9!$B$2</f>
        <v>JUAN FELIX</v>
      </c>
      <c r="C12" s="179">
        <f>IF(Vendedor9!$C$19="",0,Vendedor9!$C$19)</f>
        <v>22400</v>
      </c>
      <c r="D12" s="30">
        <f>IF(Vendedor9!$E$19="",0,Vendedor9!$E$19)</f>
        <v>1000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22400</v>
      </c>
      <c r="I12" s="147">
        <f>MROUND(H12*Vendedor9!J$11,50)</f>
        <v>2700</v>
      </c>
      <c r="J12" s="133">
        <f t="shared" si="2"/>
        <v>1000</v>
      </c>
      <c r="K12" s="133">
        <f t="shared" si="3"/>
        <v>85000</v>
      </c>
      <c r="L12" s="133">
        <f>Vendedor9!$F$19+Vendedor9!$F$20</f>
        <v>85000</v>
      </c>
      <c r="M12" s="154"/>
      <c r="N12" s="133">
        <f t="shared" si="0"/>
        <v>-65300</v>
      </c>
    </row>
    <row r="13" spans="1:14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>
      <c r="A16" s="202">
        <v>13</v>
      </c>
      <c r="B16" s="195" t="str">
        <f>Vendedor13!$B$2</f>
        <v>MINERO</v>
      </c>
      <c r="C16" s="179">
        <f>IF(Vendedor13!$C$19="",0,Vendedor13!$C$19)</f>
        <v>8300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8300</v>
      </c>
      <c r="I16" s="147">
        <f>MROUND(H16*Vendedor13!J$11,50)</f>
        <v>1000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7300</v>
      </c>
    </row>
    <row r="17" spans="1:14">
      <c r="A17" s="47">
        <v>14</v>
      </c>
      <c r="B17" s="177" t="str">
        <f>Vendedor14!$B$2</f>
        <v>EDUARDO TIEMPOS LICORERA</v>
      </c>
      <c r="C17" s="179">
        <f>IF(Vendedor14!$C$19="",0,Vendedor14!$C$19)</f>
        <v>0</v>
      </c>
      <c r="D17" s="30">
        <f>IF(Vendedor14!$E$19="",0,Vendedor14!$E$19)</f>
        <v>0</v>
      </c>
      <c r="E17" s="179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>
      <c r="A18" s="47">
        <v>15</v>
      </c>
      <c r="B18" s="177" t="str">
        <f>Vendedor15!$B$2</f>
        <v>EDUARDO PUESTO CENTRO</v>
      </c>
      <c r="C18" s="179">
        <f>IF(Vendedor15!$C$19="",0,Vendedor15!$C$19)</f>
        <v>0</v>
      </c>
      <c r="D18" s="30">
        <f>IF(Vendedor15!$E$19="",0,Vendedor15!$E$19)</f>
        <v>0</v>
      </c>
      <c r="E18" s="179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64600</v>
      </c>
      <c r="D32" s="44">
        <f>SUM(D4:D31)</f>
        <v>1000</v>
      </c>
      <c r="E32" s="43">
        <f>SUM(E4:E31)</f>
        <v>12450</v>
      </c>
      <c r="F32" s="44">
        <f>SUM(F4:F31)</f>
        <v>0</v>
      </c>
      <c r="H32" s="95">
        <f>SUM(H4:H31)</f>
        <v>77050</v>
      </c>
      <c r="I32" s="45">
        <f>SUM(I7:I31)</f>
        <v>6850</v>
      </c>
      <c r="J32" s="95"/>
      <c r="K32" s="95">
        <f>SUM(K4:K31)</f>
        <v>85000</v>
      </c>
      <c r="L32" s="95">
        <f>SUM(L4:L31)</f>
        <v>85000</v>
      </c>
      <c r="N32" s="79">
        <f>SUM(N4:N31)</f>
        <v>-17400</v>
      </c>
    </row>
    <row r="33" spans="3:6">
      <c r="D33" s="99">
        <f>+D32*85</f>
        <v>85000</v>
      </c>
      <c r="F33" s="99">
        <f>+F32*85</f>
        <v>0</v>
      </c>
    </row>
    <row r="34" spans="3:6" ht="15.75" thickBot="1"/>
    <row r="35" spans="3:6">
      <c r="C35" s="265" t="s">
        <v>89</v>
      </c>
      <c r="D35" s="265"/>
    </row>
    <row r="36" spans="3:6">
      <c r="C36" s="47" t="s">
        <v>28</v>
      </c>
      <c r="D36" s="30">
        <f>+C32+E32</f>
        <v>77050</v>
      </c>
      <c r="E36" s="43">
        <f>+D36-H4-H5-H6</f>
        <v>57100</v>
      </c>
    </row>
    <row r="37" spans="3:6">
      <c r="C37" s="47" t="s">
        <v>33</v>
      </c>
      <c r="D37" s="48">
        <f>D36*13%</f>
        <v>10016.5</v>
      </c>
      <c r="E37">
        <f>+D37-I4-I5-I6</f>
        <v>7416.5</v>
      </c>
    </row>
    <row r="38" spans="3:6" ht="15.75" thickBot="1">
      <c r="C38" s="47" t="s">
        <v>30</v>
      </c>
      <c r="D38" s="30">
        <f>SUM(K4:K27)</f>
        <v>85000</v>
      </c>
    </row>
    <row r="39" spans="3:6" ht="15.75" thickBot="1">
      <c r="C39" s="49" t="s">
        <v>4</v>
      </c>
      <c r="D39" s="80">
        <f>+D36-D37-D38</f>
        <v>-17966.5</v>
      </c>
      <c r="F39" s="98">
        <f>+N32-D39</f>
        <v>566.5</v>
      </c>
    </row>
    <row r="40" spans="3:6" ht="15.75" thickBot="1"/>
    <row r="41" spans="3:6">
      <c r="C41" s="104" t="s">
        <v>78</v>
      </c>
      <c r="D41" s="105">
        <v>0</v>
      </c>
    </row>
    <row r="42" spans="3:6">
      <c r="C42" s="106" t="s">
        <v>80</v>
      </c>
      <c r="D42" s="107">
        <v>0</v>
      </c>
    </row>
    <row r="43" spans="3:6" ht="15.75" thickBot="1">
      <c r="C43" s="108" t="s">
        <v>79</v>
      </c>
      <c r="D43" s="109">
        <f>+D39+D41+D42</f>
        <v>-17966.5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>
      <c r="C2" s="266">
        <f>DigitaHONDURAS!C2</f>
        <v>52</v>
      </c>
      <c r="D2" s="267"/>
      <c r="E2" s="266">
        <f>DigitaHONDURAS!E2</f>
        <v>24</v>
      </c>
      <c r="F2" s="267"/>
      <c r="G2" s="266">
        <f>DigitaHONDURAS!G2</f>
        <v>99</v>
      </c>
      <c r="H2" s="267"/>
    </row>
    <row r="3" spans="1:16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>
      <c r="A9" s="41">
        <v>6</v>
      </c>
      <c r="B9" s="177" t="str">
        <f>Vendedor6!$B$2</f>
        <v>MARTA ROSA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>
      <c r="A10" s="41">
        <v>7</v>
      </c>
      <c r="B10" s="177" t="str">
        <f>Vendedor7!$B$2</f>
        <v>PIKIS</v>
      </c>
      <c r="C10" s="179">
        <f>IF(Vendedor7!$C$21="",0,Vendedor7!$C$21)</f>
        <v>31700</v>
      </c>
      <c r="D10" s="30">
        <f>IF(Vendedor7!$E$21="",0,Vendedor7!$E$21)</f>
        <v>0</v>
      </c>
      <c r="E10" s="179">
        <f>IF(Vendedor7!$C$22="",0,Vendedor7!$C$22)</f>
        <v>10300</v>
      </c>
      <c r="F10" s="30">
        <f>IF(Vendedor7!$E$22="",0,Vendedor7!$E$22)</f>
        <v>0</v>
      </c>
      <c r="G10" s="179">
        <f>IF(Vendedor7!$C$23="",0,Vendedor7!$C$23)</f>
        <v>19850</v>
      </c>
      <c r="H10" s="30">
        <f>IF(Vendedor7!$E$23="",0,Vendedor7!$E$23)</f>
        <v>0</v>
      </c>
      <c r="J10" s="42">
        <f t="shared" si="0"/>
        <v>61850</v>
      </c>
      <c r="K10" s="41">
        <f>MROUND(J10*Vendedor7!J$14,50)</f>
        <v>7400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54450</v>
      </c>
    </row>
    <row r="11" spans="1:16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>
      <c r="A12" s="41">
        <v>9</v>
      </c>
      <c r="B12" s="177" t="str">
        <f>Vendedor9!$B$2</f>
        <v>JUAN FELIX</v>
      </c>
      <c r="C12" s="179">
        <f>IF(Vendedor9!$C$21="",0,Vendedor9!$C$21)</f>
        <v>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>
      <c r="A16" s="41">
        <v>13</v>
      </c>
      <c r="B16" s="177" t="str">
        <f>Vendedor13!$B$2</f>
        <v>MINERO</v>
      </c>
      <c r="C16" s="179">
        <f>IF(Vendedor13!$C$21="",0,Vendedor13!$C$21)</f>
        <v>3000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3000</v>
      </c>
      <c r="K16" s="147">
        <f>MROUND(J16*Vendedor13!J$11,50)</f>
        <v>350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2650</v>
      </c>
    </row>
    <row r="17" spans="1:16">
      <c r="A17" s="41">
        <v>14</v>
      </c>
      <c r="B17" s="177" t="str">
        <f>Vendedor14!$B$2</f>
        <v>EDUARDO TIEMPOS LICORERA</v>
      </c>
      <c r="C17" s="179">
        <f>IF(Vendedor14!$C$21="",0,Vendedor14!$C$21)</f>
        <v>0</v>
      </c>
      <c r="D17" s="30">
        <f>IF(Vendedor14!$E$21="",0,Vendedor14!$E$21)</f>
        <v>0</v>
      </c>
      <c r="E17" s="179">
        <f>IF(Vendedor14!$C$22="",0,Vendedor14!$C$22)</f>
        <v>0</v>
      </c>
      <c r="F17" s="30">
        <f>IF(Vendedor14!$E$22="",0,Vendedor14!$E$22)</f>
        <v>0</v>
      </c>
      <c r="G17" s="179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>
      <c r="A18" s="41">
        <v>15</v>
      </c>
      <c r="B18" s="177" t="str">
        <f>Vendedor15!$B$2</f>
        <v>EDUARDO PUESTO CENTRO</v>
      </c>
      <c r="C18" s="179">
        <f>IF(Vendedor15!$C$21="",0,Vendedor15!$C$21)</f>
        <v>0</v>
      </c>
      <c r="D18" s="30">
        <f>IF(Vendedor15!$E$21="",0,Vendedor15!$E$21)</f>
        <v>0</v>
      </c>
      <c r="E18" s="179">
        <f>IF(Vendedor15!$C$22="",0,Vendedor15!$C$22)</f>
        <v>0</v>
      </c>
      <c r="F18" s="30">
        <f>IF(Vendedor15!$E$22="",0,Vendedor15!$E$22)</f>
        <v>0</v>
      </c>
      <c r="G18" s="179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.75" thickBot="1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>
      <c r="C32" s="43">
        <f t="shared" ref="C32:H32" si="8">SUM(C4:C31)</f>
        <v>34700</v>
      </c>
      <c r="D32" s="44">
        <f t="shared" si="8"/>
        <v>0</v>
      </c>
      <c r="E32" s="43">
        <f t="shared" si="8"/>
        <v>10300</v>
      </c>
      <c r="F32" s="44">
        <f t="shared" si="8"/>
        <v>0</v>
      </c>
      <c r="G32" s="43">
        <f t="shared" si="8"/>
        <v>19850</v>
      </c>
      <c r="H32" s="44">
        <f t="shared" si="8"/>
        <v>0</v>
      </c>
      <c r="J32" s="95">
        <f>SUM(J4:J31)</f>
        <v>64850</v>
      </c>
      <c r="K32" s="45">
        <f>SUM(K7:K31)</f>
        <v>7750</v>
      </c>
      <c r="L32" s="95"/>
      <c r="M32" s="95">
        <f>SUM(M4:M31)</f>
        <v>0</v>
      </c>
      <c r="N32" s="95">
        <f>SUM(N4:N31)</f>
        <v>0</v>
      </c>
      <c r="P32" s="79">
        <f>SUM(P4:P31)</f>
        <v>57100</v>
      </c>
    </row>
    <row r="33" spans="3:8">
      <c r="D33" s="99">
        <f>+D32*85</f>
        <v>0</v>
      </c>
      <c r="F33" s="99">
        <f>+F32*85</f>
        <v>0</v>
      </c>
      <c r="H33" s="99">
        <f>+H32*85</f>
        <v>0</v>
      </c>
    </row>
    <row r="34" spans="3:8" ht="15.75" thickBot="1"/>
    <row r="35" spans="3:8">
      <c r="C35" s="265" t="s">
        <v>89</v>
      </c>
      <c r="D35" s="265"/>
    </row>
    <row r="36" spans="3:8">
      <c r="C36" s="47" t="s">
        <v>28</v>
      </c>
      <c r="D36" s="30">
        <f>+C32+E32+G32</f>
        <v>64850</v>
      </c>
      <c r="E36" s="43">
        <f>+D36-J4-J5-J6</f>
        <v>64850</v>
      </c>
    </row>
    <row r="37" spans="3:8">
      <c r="C37" s="47" t="s">
        <v>33</v>
      </c>
      <c r="D37" s="48">
        <f>D36*13%</f>
        <v>8430.5</v>
      </c>
      <c r="E37">
        <f>+D37-K4-K5-K6</f>
        <v>8430.5</v>
      </c>
    </row>
    <row r="38" spans="3:8" ht="15.75" thickBot="1">
      <c r="C38" s="47" t="s">
        <v>30</v>
      </c>
      <c r="D38" s="30">
        <f>SUM(M4:M27)</f>
        <v>0</v>
      </c>
      <c r="G38" s="100"/>
    </row>
    <row r="39" spans="3:8" ht="15.75" thickBot="1">
      <c r="C39" s="49" t="s">
        <v>4</v>
      </c>
      <c r="D39" s="80">
        <f>+D36-D37-D38</f>
        <v>56419.5</v>
      </c>
      <c r="F39" s="98">
        <f>+P32-D39</f>
        <v>680.5</v>
      </c>
      <c r="G39" s="101"/>
    </row>
    <row r="40" spans="3:8" ht="15.75" thickBot="1">
      <c r="G40" s="100"/>
    </row>
    <row r="41" spans="3:8">
      <c r="C41" s="104" t="s">
        <v>78</v>
      </c>
      <c r="D41" s="105">
        <v>0</v>
      </c>
      <c r="G41" s="100"/>
    </row>
    <row r="42" spans="3:8">
      <c r="C42" s="106" t="s">
        <v>80</v>
      </c>
      <c r="D42" s="107">
        <v>0</v>
      </c>
      <c r="G42" s="100"/>
    </row>
    <row r="43" spans="3:8" ht="15.75" thickBot="1">
      <c r="C43" s="108" t="s">
        <v>79</v>
      </c>
      <c r="D43" s="109">
        <f>+D39+D41+D42</f>
        <v>56419.5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>
      <c r="C2" s="266" t="str">
        <f>DigitaDOMINICANA!C2</f>
        <v>02</v>
      </c>
      <c r="D2" s="267"/>
      <c r="E2" s="266">
        <f>DigitaDOMINICANA!E2</f>
        <v>89</v>
      </c>
      <c r="F2" s="267"/>
    </row>
    <row r="3" spans="1:14" ht="15.75" thickBot="1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>
      <c r="A9" s="201">
        <v>6</v>
      </c>
      <c r="B9" s="191" t="str">
        <f>Vendedor6!$B$2</f>
        <v>MARTA ROSA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>
      <c r="A10" s="47">
        <v>7</v>
      </c>
      <c r="B10" s="177" t="str">
        <f>Vendedor7!$B$2</f>
        <v>PIKIS</v>
      </c>
      <c r="C10" s="179">
        <f>IF(Vendedor7!$C$24="",0,Vendedor7!$C$24)</f>
        <v>47000</v>
      </c>
      <c r="D10" s="30">
        <f>IF(Vendedor7!$E$24="",0,Vendedor7!$E$24)</f>
        <v>0</v>
      </c>
      <c r="E10" s="179">
        <f>IF(Vendedor7!$C$25="",0,Vendedor7!$C$25)</f>
        <v>51350</v>
      </c>
      <c r="F10" s="30">
        <f>IF(Vendedor7!$E$25="",0,Vendedor7!$E$25)</f>
        <v>0</v>
      </c>
      <c r="H10" s="42">
        <f t="shared" si="1"/>
        <v>98350</v>
      </c>
      <c r="I10" s="41">
        <f>MROUND(H10*Vendedor7!J$14,50)</f>
        <v>11800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86550</v>
      </c>
    </row>
    <row r="11" spans="1:14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47000</v>
      </c>
      <c r="D32" s="44">
        <f>SUM(D4:D31)</f>
        <v>0</v>
      </c>
      <c r="E32" s="43">
        <f>SUM(E4:E31)</f>
        <v>51350</v>
      </c>
      <c r="F32" s="44">
        <f>SUM(F4:F31)</f>
        <v>0</v>
      </c>
      <c r="H32" s="95">
        <f>SUM(H4:H31)</f>
        <v>98350</v>
      </c>
      <c r="I32" s="45">
        <f>SUM(I7:I31)</f>
        <v>11800</v>
      </c>
      <c r="J32" s="95"/>
      <c r="K32" s="95">
        <f>SUM(K4:K31)</f>
        <v>0</v>
      </c>
      <c r="L32" s="95">
        <f>SUM(L4:L31)</f>
        <v>0</v>
      </c>
      <c r="N32" s="79">
        <f>SUM(N4:N31)</f>
        <v>86550</v>
      </c>
    </row>
    <row r="33" spans="3:6">
      <c r="D33" s="99">
        <f>+D32*85</f>
        <v>0</v>
      </c>
      <c r="F33" s="99">
        <f>+F32*85</f>
        <v>0</v>
      </c>
    </row>
    <row r="34" spans="3:6" ht="15.75" thickBot="1"/>
    <row r="35" spans="3:6">
      <c r="C35" s="265" t="s">
        <v>89</v>
      </c>
      <c r="D35" s="265"/>
    </row>
    <row r="36" spans="3:6">
      <c r="C36" s="47" t="s">
        <v>28</v>
      </c>
      <c r="D36" s="30">
        <f>+C32+E32</f>
        <v>98350</v>
      </c>
      <c r="E36" s="43">
        <f>+D36-H4-H5-H6</f>
        <v>98350</v>
      </c>
    </row>
    <row r="37" spans="3:6">
      <c r="C37" s="47" t="s">
        <v>33</v>
      </c>
      <c r="D37" s="48">
        <f>D36*13%</f>
        <v>12785.5</v>
      </c>
      <c r="E37">
        <f>+D37-I4-I5-I6</f>
        <v>12785.5</v>
      </c>
    </row>
    <row r="38" spans="3:6" ht="15.75" thickBot="1">
      <c r="C38" s="47" t="s">
        <v>30</v>
      </c>
      <c r="D38" s="30">
        <f>SUM(K4:K27)</f>
        <v>0</v>
      </c>
    </row>
    <row r="39" spans="3:6" ht="15.75" thickBot="1">
      <c r="C39" s="49" t="s">
        <v>4</v>
      </c>
      <c r="D39" s="80">
        <f>+D36-D37-D38</f>
        <v>85564.5</v>
      </c>
      <c r="F39" s="98">
        <f>+N32-D39</f>
        <v>985.5</v>
      </c>
    </row>
    <row r="40" spans="3:6" ht="15.75" thickBot="1"/>
    <row r="41" spans="3:6">
      <c r="C41" s="104" t="s">
        <v>78</v>
      </c>
      <c r="D41" s="105">
        <v>0</v>
      </c>
    </row>
    <row r="42" spans="3:6">
      <c r="C42" s="106" t="s">
        <v>80</v>
      </c>
      <c r="D42" s="107">
        <v>0</v>
      </c>
    </row>
    <row r="43" spans="3:6" ht="15.75" thickBot="1">
      <c r="C43" s="108" t="s">
        <v>79</v>
      </c>
      <c r="D43" s="109">
        <f>+D39+D41+D42</f>
        <v>85564.5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4" width="12.5703125" customWidth="1"/>
    <col min="5" max="5" width="3.5703125" customWidth="1"/>
    <col min="6" max="8" width="12.5703125" customWidth="1"/>
    <col min="9" max="9" width="10.42578125" bestFit="1" customWidth="1"/>
    <col min="10" max="10" width="10.42578125" customWidth="1"/>
    <col min="11" max="11" width="3.28515625" customWidth="1"/>
  </cols>
  <sheetData>
    <row r="1" spans="1:12">
      <c r="A1" s="79" t="s">
        <v>19</v>
      </c>
      <c r="B1" s="79"/>
      <c r="C1" s="270" t="s">
        <v>109</v>
      </c>
      <c r="D1" s="271"/>
    </row>
    <row r="2" spans="1:12">
      <c r="C2" s="266">
        <f>DigitaPANAMENA!C2</f>
        <v>25</v>
      </c>
      <c r="D2" s="267"/>
    </row>
    <row r="3" spans="1:12" ht="15.75" thickBot="1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>
      <c r="A9" s="201">
        <v>6</v>
      </c>
      <c r="B9" s="191" t="str">
        <f>Vendedor6!$B$2</f>
        <v>MARTA ROSA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>
      <c r="A10" s="47">
        <v>7</v>
      </c>
      <c r="B10" s="177" t="str">
        <f>Vendedor7!$B$2</f>
        <v>PIKIS</v>
      </c>
      <c r="C10" s="179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5.95" customHeight="1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5.95" hidden="1" customHeight="1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5.95" hidden="1" customHeight="1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5.95" hidden="1" customHeight="1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5.95" hidden="1" customHeight="1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5.95" hidden="1" customHeight="1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5.95" hidden="1" customHeight="1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5.95" hidden="1" customHeight="1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5.95" hidden="1" customHeight="1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.75" thickBot="1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5.95" customHeight="1">
      <c r="D33" s="99">
        <f>+D32*85</f>
        <v>0</v>
      </c>
    </row>
    <row r="34" spans="3:6" ht="15.75" thickBot="1"/>
    <row r="35" spans="3:6">
      <c r="C35" s="265" t="s">
        <v>89</v>
      </c>
      <c r="D35" s="265"/>
    </row>
    <row r="36" spans="3:6">
      <c r="C36" s="47" t="s">
        <v>28</v>
      </c>
      <c r="D36" s="30">
        <f>+C32</f>
        <v>0</v>
      </c>
      <c r="F36" s="43">
        <f>+D36-F4-F5-F6</f>
        <v>0</v>
      </c>
    </row>
    <row r="37" spans="3:6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>
      <c r="C38" s="47" t="s">
        <v>30</v>
      </c>
      <c r="D38" s="30">
        <f>SUM(I4:I27)</f>
        <v>0</v>
      </c>
    </row>
    <row r="39" spans="3:6" ht="15.75" thickBot="1">
      <c r="C39" s="49" t="s">
        <v>4</v>
      </c>
      <c r="D39" s="80">
        <f>+D36-D37-D38</f>
        <v>0</v>
      </c>
    </row>
    <row r="40" spans="3:6" ht="15.75" thickBot="1"/>
    <row r="41" spans="3:6">
      <c r="C41" s="104" t="s">
        <v>78</v>
      </c>
      <c r="D41" s="116">
        <v>0</v>
      </c>
    </row>
    <row r="42" spans="3:6">
      <c r="C42" s="106" t="s">
        <v>80</v>
      </c>
      <c r="D42" s="152">
        <v>0</v>
      </c>
    </row>
    <row r="43" spans="3:6" ht="15.75" thickBot="1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45" customHeight="1"/>
  <cols>
    <col min="1" max="1" width="16.5703125" bestFit="1" customWidth="1"/>
    <col min="2" max="2" width="16.5703125" customWidth="1"/>
    <col min="3" max="3" width="15.42578125" bestFit="1" customWidth="1"/>
    <col min="4" max="4" width="14.28515625" bestFit="1" customWidth="1"/>
    <col min="5" max="5" width="14.28515625" customWidth="1"/>
    <col min="6" max="6" width="15.7109375" bestFit="1" customWidth="1"/>
    <col min="7" max="7" width="14.5703125" bestFit="1" customWidth="1"/>
    <col min="8" max="8" width="13.7109375" bestFit="1" customWidth="1"/>
    <col min="9" max="9" width="14.5703125" bestFit="1" customWidth="1"/>
    <col min="10" max="10" width="13.7109375" hidden="1" customWidth="1"/>
    <col min="11" max="11" width="14.5703125" hidden="1" customWidth="1"/>
    <col min="12" max="15" width="0" hidden="1" customWidth="1"/>
    <col min="16" max="16384" width="10.85546875" hidden="1"/>
  </cols>
  <sheetData>
    <row r="1" spans="1:9" ht="18.75">
      <c r="A1" s="275" t="str">
        <f ca="1">CONCATENATE("Cuentas ALI ",TEXT('Ctas Banca'!I5,"dd-mm-yyyy"))</f>
        <v>Cuentas ALI 10-06-2026</v>
      </c>
      <c r="B1" s="275"/>
      <c r="C1" s="275"/>
      <c r="D1" s="275"/>
      <c r="E1" s="275"/>
      <c r="F1" s="275"/>
      <c r="G1" s="275"/>
      <c r="H1" s="21"/>
      <c r="I1" s="21"/>
    </row>
    <row r="2" spans="1:9" ht="15.75" thickBot="1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ht="1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ht="15">
      <c r="A4" s="28" t="s">
        <v>13</v>
      </c>
      <c r="B4" s="155">
        <f>HojaNICA!$E$36</f>
        <v>367100</v>
      </c>
      <c r="C4" s="156">
        <f>HojaNICA!M32</f>
        <v>44100</v>
      </c>
      <c r="D4" s="149">
        <f>HojaNICA!E37</f>
        <v>47707</v>
      </c>
      <c r="E4" s="149">
        <f>HojaNICA!P32</f>
        <v>774250</v>
      </c>
      <c r="F4" s="149">
        <f>HojaNICA!O32</f>
        <v>790500</v>
      </c>
      <c r="G4" s="150">
        <f t="shared" ref="G4:G10" si="0">+D4-C4+F4-E4</f>
        <v>19857</v>
      </c>
      <c r="H4" s="21"/>
      <c r="I4" s="181"/>
    </row>
    <row r="5" spans="1:9" ht="15">
      <c r="A5" s="28" t="s">
        <v>19</v>
      </c>
      <c r="B5" s="155">
        <f>HojaTICA!$E$36</f>
        <v>698575</v>
      </c>
      <c r="C5" s="156">
        <f>HojaTICA!K32</f>
        <v>86950</v>
      </c>
      <c r="D5" s="149">
        <f>HojaTICA!E37</f>
        <v>90827.25</v>
      </c>
      <c r="E5" s="149">
        <f>HojaTICA!N32</f>
        <v>1327000</v>
      </c>
      <c r="F5" s="149">
        <f>HojaTICA!D38</f>
        <v>1334500</v>
      </c>
      <c r="G5" s="150">
        <f t="shared" si="0"/>
        <v>11377.25</v>
      </c>
      <c r="H5" s="21"/>
      <c r="I5" s="181"/>
    </row>
    <row r="6" spans="1:9" ht="15">
      <c r="A6" s="28" t="s">
        <v>125</v>
      </c>
      <c r="B6" s="155">
        <f>HojaREVENTADO!$E$37</f>
        <v>60250</v>
      </c>
      <c r="C6" s="156">
        <f>HojaREVENTADO!K33</f>
        <v>6025</v>
      </c>
      <c r="D6" s="149">
        <f>HojaREVENTADO!E38</f>
        <v>6025</v>
      </c>
      <c r="E6" s="149">
        <f>HojaREVENTADO!O33</f>
        <v>0</v>
      </c>
      <c r="F6" s="149">
        <f>HojaREVENTADO!N33</f>
        <v>0</v>
      </c>
      <c r="G6" s="150">
        <f t="shared" si="0"/>
        <v>0</v>
      </c>
      <c r="H6" s="21"/>
      <c r="I6" s="181"/>
    </row>
    <row r="7" spans="1:9" ht="15">
      <c r="A7" s="28" t="s">
        <v>96</v>
      </c>
      <c r="B7" s="155">
        <f>HojaPrimera!$E$36</f>
        <v>57100</v>
      </c>
      <c r="C7" s="156">
        <f>HojaPrimera!I32</f>
        <v>6850</v>
      </c>
      <c r="D7" s="149">
        <f>HojaPrimera!E37</f>
        <v>7416.5</v>
      </c>
      <c r="E7" s="149">
        <f>HojaPrimera!L32</f>
        <v>85000</v>
      </c>
      <c r="F7" s="149">
        <f>HojaPrimera!K32</f>
        <v>85000</v>
      </c>
      <c r="G7" s="150">
        <f t="shared" si="0"/>
        <v>566.5</v>
      </c>
      <c r="H7" s="21"/>
      <c r="I7" s="21"/>
    </row>
    <row r="8" spans="1:9" ht="15">
      <c r="A8" s="28" t="s">
        <v>104</v>
      </c>
      <c r="B8" s="155">
        <f>HojaHonduras!$E$36</f>
        <v>64850</v>
      </c>
      <c r="C8" s="156">
        <f>HojaHonduras!K32</f>
        <v>7750</v>
      </c>
      <c r="D8" s="149">
        <f>HojaHonduras!E37</f>
        <v>8430.5</v>
      </c>
      <c r="E8" s="149">
        <f>HojaHonduras!N32</f>
        <v>0</v>
      </c>
      <c r="F8" s="149">
        <f>HojaHonduras!M32</f>
        <v>0</v>
      </c>
      <c r="G8" s="150">
        <f t="shared" si="0"/>
        <v>680.5</v>
      </c>
      <c r="H8" s="21"/>
      <c r="I8" s="21"/>
    </row>
    <row r="9" spans="1:9" ht="15">
      <c r="A9" s="28" t="s">
        <v>20</v>
      </c>
      <c r="B9" s="155">
        <f>HojaDominicana!$E$36</f>
        <v>98350</v>
      </c>
      <c r="C9" s="156">
        <f>HojaDominicana!I32</f>
        <v>11800</v>
      </c>
      <c r="D9" s="149">
        <f>HojaDominicana!E37</f>
        <v>12785.5</v>
      </c>
      <c r="E9" s="149">
        <f>HojaDominicana!L32</f>
        <v>0</v>
      </c>
      <c r="F9" s="149">
        <f>HojaDominicana!K32</f>
        <v>0</v>
      </c>
      <c r="G9" s="150">
        <f t="shared" si="0"/>
        <v>985.5</v>
      </c>
      <c r="H9" s="21"/>
      <c r="I9" s="21"/>
    </row>
    <row r="10" spans="1:9" ht="15.75" thickBot="1">
      <c r="A10" s="166" t="s">
        <v>21</v>
      </c>
      <c r="B10" s="167">
        <f>HojaPANA!F36</f>
        <v>0</v>
      </c>
      <c r="C10" s="168">
        <f>HojaPANA!G32</f>
        <v>0</v>
      </c>
      <c r="D10" s="169">
        <f>HojaPANA!F37</f>
        <v>0</v>
      </c>
      <c r="E10" s="169">
        <f>HojaPANA!J32</f>
        <v>0</v>
      </c>
      <c r="F10" s="169">
        <f>HojaPANA!I32</f>
        <v>0</v>
      </c>
      <c r="G10" s="170">
        <f t="shared" si="0"/>
        <v>0</v>
      </c>
      <c r="H10" s="21"/>
      <c r="I10" s="21"/>
    </row>
    <row r="11" spans="1:9" ht="19.5" thickBot="1">
      <c r="A11" s="173" t="s">
        <v>32</v>
      </c>
      <c r="B11" s="174">
        <f>SUM(B4:B10)</f>
        <v>1346225</v>
      </c>
      <c r="C11" s="174">
        <f>SUM(C4:C10)</f>
        <v>163475</v>
      </c>
      <c r="D11" s="174">
        <f t="shared" ref="D11:F11" si="1">SUM(D4:D10)</f>
        <v>173191.75</v>
      </c>
      <c r="E11" s="174">
        <f t="shared" si="1"/>
        <v>2186250</v>
      </c>
      <c r="F11" s="174">
        <f t="shared" si="1"/>
        <v>2210000</v>
      </c>
      <c r="G11" s="175">
        <f>SUM(G4:G10)</f>
        <v>33466.75</v>
      </c>
      <c r="H11" s="21"/>
      <c r="I11" s="21"/>
    </row>
    <row r="12" spans="1:9" ht="19.5" thickBot="1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-1533.25</v>
      </c>
      <c r="I12" s="21"/>
    </row>
    <row r="13" spans="1:9" ht="1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.75" thickBot="1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ht="1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ht="15">
      <c r="A16" s="21"/>
      <c r="B16" s="21"/>
      <c r="C16" s="28" t="s">
        <v>129</v>
      </c>
      <c r="D16" s="156">
        <f>+Vendedor1!C21</f>
        <v>263950</v>
      </c>
      <c r="E16" s="156">
        <f>+Vendedor1!D21</f>
        <v>34313.5</v>
      </c>
      <c r="F16" s="157">
        <f>IF(D16&lt;&gt;0,15000,0)</f>
        <v>15000</v>
      </c>
      <c r="G16" s="150">
        <f>+E16-F16</f>
        <v>19313.5</v>
      </c>
      <c r="H16" s="21"/>
      <c r="I16" s="21"/>
    </row>
    <row r="17" spans="1:9" ht="15">
      <c r="A17" s="21"/>
      <c r="B17" s="21"/>
      <c r="C17" s="28" t="s">
        <v>130</v>
      </c>
      <c r="D17" s="156">
        <f>+Vendedor2!C21</f>
        <v>249050</v>
      </c>
      <c r="E17" s="156">
        <f>+Vendedor2!D21</f>
        <v>32376.5</v>
      </c>
      <c r="F17" s="157">
        <f>IF(D17&lt;&gt;0,15000,0)</f>
        <v>15000</v>
      </c>
      <c r="G17" s="150">
        <f>+E17-F17</f>
        <v>17376.5</v>
      </c>
      <c r="H17" s="21"/>
      <c r="I17" s="21"/>
    </row>
    <row r="18" spans="1:9" ht="15.75" thickBot="1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45" customHeight="1" thickBot="1">
      <c r="A19" s="21"/>
      <c r="B19" s="21"/>
      <c r="C19" s="141" t="s">
        <v>32</v>
      </c>
      <c r="D19" s="158">
        <f>SUM(D16:D18)</f>
        <v>513000</v>
      </c>
      <c r="E19" s="158">
        <f>SUM(E16:E18)</f>
        <v>66690</v>
      </c>
      <c r="F19" s="159">
        <f>SUM(F16:F18)</f>
        <v>30000</v>
      </c>
      <c r="G19" s="160">
        <f>SUM(G16:G18)</f>
        <v>36690</v>
      </c>
      <c r="H19" s="21"/>
      <c r="I19" s="21"/>
    </row>
    <row r="20" spans="1:9" ht="14.45" customHeight="1" thickBot="1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45" customHeight="1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45" customHeight="1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45" customHeight="1" thickBot="1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45" customHeight="1" thickBot="1">
      <c r="A24" s="21"/>
      <c r="B24" s="21"/>
      <c r="C24" s="21"/>
      <c r="D24" s="21"/>
      <c r="E24" s="21"/>
      <c r="F24" s="142" t="s">
        <v>124</v>
      </c>
      <c r="G24" s="161">
        <f>G11+G19-G12+G22</f>
        <v>35156.75</v>
      </c>
      <c r="H24" s="21"/>
      <c r="I24" s="21"/>
    </row>
    <row r="25" spans="1:9" ht="14.45" customHeight="1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5"/>
  <cols>
    <col min="1" max="1" width="16.5703125" bestFit="1" customWidth="1"/>
    <col min="2" max="2" width="13.42578125" bestFit="1" customWidth="1"/>
    <col min="3" max="3" width="11.85546875" bestFit="1" customWidth="1"/>
    <col min="4" max="4" width="13.42578125" bestFit="1" customWidth="1"/>
    <col min="6" max="6" width="11" bestFit="1" customWidth="1"/>
    <col min="7" max="7" width="4.140625" customWidth="1"/>
    <col min="9" max="9" width="14.85546875" bestFit="1" customWidth="1"/>
    <col min="10" max="13" width="10.85546875" customWidth="1"/>
  </cols>
  <sheetData>
    <row r="2" spans="1:15">
      <c r="A2" s="277" t="str">
        <f ca="1">CONCATENATE("Tiempos Pana ",TEXT(I5,"dd-mm-yyyy"))</f>
        <v>Tiempos Pana 10-06-2026</v>
      </c>
      <c r="B2" s="277"/>
      <c r="C2" s="277"/>
      <c r="D2" s="277"/>
      <c r="E2" s="277"/>
      <c r="F2" s="277"/>
    </row>
    <row r="3" spans="1:15" ht="15.75" thickBot="1"/>
    <row r="4" spans="1:15" ht="16.5" thickBot="1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>
      <c r="A5" s="47" t="s">
        <v>37</v>
      </c>
      <c r="B5" s="149">
        <f>HojaNICA!D36</f>
        <v>483900</v>
      </c>
      <c r="C5" s="149">
        <f>HojaNICA!D37</f>
        <v>62907</v>
      </c>
      <c r="D5" s="149">
        <f>HojaNICA!D38</f>
        <v>790500</v>
      </c>
      <c r="E5" s="149"/>
      <c r="F5" s="150">
        <f>+B5-C5-D5+E5</f>
        <v>-369507</v>
      </c>
      <c r="H5" s="248" t="s">
        <v>105</v>
      </c>
      <c r="I5" s="242">
        <f ca="1">TODAY()-1</f>
        <v>46183</v>
      </c>
      <c r="O5" s="119"/>
    </row>
    <row r="6" spans="1:15" ht="15.75" thickBot="1">
      <c r="A6" s="47" t="s">
        <v>36</v>
      </c>
      <c r="B6" s="149">
        <f>HojaTICA!D36</f>
        <v>1074825</v>
      </c>
      <c r="C6" s="149">
        <f>HojaTICA!D37</f>
        <v>139727.25</v>
      </c>
      <c r="D6" s="149">
        <f>HojaTICA!D38</f>
        <v>1334500</v>
      </c>
      <c r="E6" s="149"/>
      <c r="F6" s="150">
        <f t="shared" ref="F6:F11" si="0">+B6-C6-D6+E6</f>
        <v>-399402.25</v>
      </c>
      <c r="H6" s="255">
        <v>0</v>
      </c>
    </row>
    <row r="7" spans="1:15" ht="15.75" thickBot="1">
      <c r="A7" s="47" t="s">
        <v>38</v>
      </c>
      <c r="B7" s="149">
        <f>HojaREVENTADO!D37</f>
        <v>60250</v>
      </c>
      <c r="C7" s="149">
        <f>HojaREVENTADO!D38</f>
        <v>6025</v>
      </c>
      <c r="D7" s="149">
        <f>HojaREVENTADO!D39</f>
        <v>0</v>
      </c>
      <c r="E7" s="149"/>
      <c r="F7" s="150">
        <f t="shared" si="0"/>
        <v>54225</v>
      </c>
    </row>
    <row r="8" spans="1:15">
      <c r="A8" s="47" t="s">
        <v>96</v>
      </c>
      <c r="B8" s="149">
        <f>HojaPrimera!$D36</f>
        <v>77050</v>
      </c>
      <c r="C8" s="149">
        <f>HojaPrimera!$D37</f>
        <v>10016.5</v>
      </c>
      <c r="D8" s="149">
        <f>HojaPrimera!$D38</f>
        <v>85000</v>
      </c>
      <c r="E8" s="149"/>
      <c r="F8" s="150">
        <f t="shared" si="0"/>
        <v>-17966.5</v>
      </c>
      <c r="H8" s="248" t="s">
        <v>153</v>
      </c>
    </row>
    <row r="9" spans="1:15" ht="15.75" thickBot="1">
      <c r="A9" s="47" t="s">
        <v>104</v>
      </c>
      <c r="B9" s="149">
        <f>HojaHonduras!$D36</f>
        <v>64850</v>
      </c>
      <c r="C9" s="149">
        <f>HojaHonduras!$D37</f>
        <v>8430.5</v>
      </c>
      <c r="D9" s="149">
        <f>HojaHonduras!$D38</f>
        <v>0</v>
      </c>
      <c r="E9" s="149"/>
      <c r="F9" s="150">
        <f t="shared" si="0"/>
        <v>56419.5</v>
      </c>
      <c r="H9" s="249">
        <f>+K12-K10-H6</f>
        <v>-590666.75</v>
      </c>
    </row>
    <row r="10" spans="1:15" ht="15.75" thickBot="1">
      <c r="A10" s="47" t="s">
        <v>20</v>
      </c>
      <c r="B10" s="149">
        <f>HojaDominicana!$D36</f>
        <v>98350</v>
      </c>
      <c r="C10" s="149">
        <f>HojaDominicana!$D37</f>
        <v>12785.5</v>
      </c>
      <c r="D10" s="149">
        <f>HojaDominicana!$D38</f>
        <v>0</v>
      </c>
      <c r="E10" s="149"/>
      <c r="F10" s="150">
        <f t="shared" si="0"/>
        <v>85564.5</v>
      </c>
      <c r="H10" s="153"/>
      <c r="J10" t="s">
        <v>148</v>
      </c>
      <c r="K10" s="251">
        <v>1481825.06</v>
      </c>
    </row>
    <row r="11" spans="1:15" ht="15.75" thickBot="1">
      <c r="A11" s="47" t="s">
        <v>21</v>
      </c>
      <c r="B11" s="149">
        <f>HojaPANA!$D36</f>
        <v>0</v>
      </c>
      <c r="C11" s="149">
        <f>HojaPANA!$D37</f>
        <v>0</v>
      </c>
      <c r="D11" s="164">
        <f>HojaPANA!$D38</f>
        <v>0</v>
      </c>
      <c r="E11" s="149"/>
      <c r="F11" s="150">
        <f t="shared" si="0"/>
        <v>0</v>
      </c>
      <c r="H11" s="213" t="s">
        <v>154</v>
      </c>
      <c r="J11" t="s">
        <v>158</v>
      </c>
      <c r="K11" s="252">
        <f>+K10+F12+H6</f>
        <v>891158.31</v>
      </c>
    </row>
    <row r="12" spans="1:15" ht="16.5" thickBot="1">
      <c r="A12" s="143" t="s">
        <v>5</v>
      </c>
      <c r="B12" s="151">
        <f>SUM(B5:B11)</f>
        <v>1859225</v>
      </c>
      <c r="C12" s="151">
        <f>SUM(C5:C11)</f>
        <v>239891.75</v>
      </c>
      <c r="D12" s="151">
        <f>SUM(D5:D11)</f>
        <v>2210000</v>
      </c>
      <c r="E12" s="151"/>
      <c r="F12" s="254">
        <f>SUM(F5:F11)</f>
        <v>-590666.75</v>
      </c>
      <c r="H12" s="250">
        <f>K12</f>
        <v>891158.31</v>
      </c>
      <c r="J12" t="s">
        <v>140</v>
      </c>
      <c r="K12" s="253">
        <f>-4021049.01+259171.34+2424634.5+2228401.48</f>
        <v>891158.31</v>
      </c>
    </row>
    <row r="13" spans="1:15">
      <c r="M13" s="153"/>
    </row>
    <row r="14" spans="1:15">
      <c r="M14" s="43"/>
    </row>
    <row r="15" spans="1:15">
      <c r="M15" s="43"/>
    </row>
    <row r="16" spans="1:1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.75" thickBot="1">
      <c r="I3" s="237"/>
      <c r="J3" s="52" t="s">
        <v>39</v>
      </c>
      <c r="K3" s="238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186150</v>
      </c>
      <c r="K4" s="230">
        <f t="shared" ref="K4" si="0">D7+D11+D15</f>
        <v>24199.5</v>
      </c>
      <c r="L4" s="219">
        <f>F7+F11+F15</f>
        <v>204000</v>
      </c>
    </row>
    <row r="5" spans="1:12">
      <c r="A5" s="28" t="s">
        <v>43</v>
      </c>
      <c r="B5" s="132">
        <f>IF(DigitaNICA!C2&lt;&gt;"",DigitaNICA!C2,"")</f>
        <v>13</v>
      </c>
      <c r="C5" s="29">
        <f>IF(DigitaNICA!C4&lt;&gt;"",DigitaNICA!C4,"")</f>
        <v>43400</v>
      </c>
      <c r="D5" s="42">
        <f>IF(C5="",0,C5*J$10)</f>
        <v>5642</v>
      </c>
      <c r="E5" s="29">
        <f>IF(DigitaNICA!D4&lt;&gt;"",DigitaNICA!D4,"")</f>
        <v>1000</v>
      </c>
      <c r="F5" s="42">
        <f>IF(E5="",0,E5*PREMIOS!E5)</f>
        <v>80000</v>
      </c>
      <c r="G5" s="30">
        <f t="shared" ref="G5:G12" si="1">IF(OR(C5="",E5=""),0,C5-D5-F5)</f>
        <v>-42242</v>
      </c>
      <c r="I5" s="240" t="s">
        <v>37</v>
      </c>
      <c r="J5" s="220">
        <f>SUM(IF(C5="",0,C5),IF(C9="",0,C9),IF(C13="",0,C13),IF(C17="",0,C17))</f>
        <v>68850</v>
      </c>
      <c r="K5" s="224">
        <f t="shared" ref="K5" si="2">D5+D9+D13+D17</f>
        <v>8950.5</v>
      </c>
      <c r="L5" s="221">
        <f>F5+F9+F13+F17</f>
        <v>160000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8950</v>
      </c>
      <c r="K6" s="227">
        <f>D19+D20</f>
        <v>1163.5</v>
      </c>
      <c r="L6" s="228">
        <f>F19+F20</f>
        <v>0</v>
      </c>
    </row>
    <row r="7" spans="1:12" ht="15.75" thickBot="1">
      <c r="A7" s="28" t="s">
        <v>46</v>
      </c>
      <c r="B7" s="132">
        <f>IF(DigitaTICA!C2&lt;&gt;"",DigitaTICA!C2,"")</f>
        <v>95</v>
      </c>
      <c r="C7" s="29">
        <f>IF(DigitaTICA!C4&lt;&gt;"",DigitaTICA!C4,"")</f>
        <v>76000</v>
      </c>
      <c r="D7" s="42">
        <f>IF(C7="",0,C7*J$9)</f>
        <v>9880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44870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>
      <c r="A9" s="28" t="s">
        <v>48</v>
      </c>
      <c r="B9" s="132">
        <f>IF(DigitaNICA!E2&lt;&gt;"",DigitaNICA!E2,"")</f>
        <v>50</v>
      </c>
      <c r="C9" s="29">
        <f>IF(DigitaNICA!E4&lt;&gt;"",DigitaNICA!E4,"")</f>
        <v>13850</v>
      </c>
      <c r="D9" s="42">
        <f>IF(C9="",0,C9*J$10)</f>
        <v>1800.5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12049.5</v>
      </c>
      <c r="I9" s="76" t="s">
        <v>36</v>
      </c>
      <c r="J9" s="77">
        <v>0.13</v>
      </c>
      <c r="K9" s="78">
        <f>MROUND(D7+D11+D15,50)</f>
        <v>24200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8950</v>
      </c>
    </row>
    <row r="11" spans="1:12">
      <c r="A11" s="28" t="s">
        <v>59</v>
      </c>
      <c r="B11" s="132" t="str">
        <f>IF(DigitaTICA!E2&lt;&gt;"",DigitaTICA!E2,"")</f>
        <v>00</v>
      </c>
      <c r="C11" s="29">
        <f>IF(DigitaTICA!E4&lt;&gt;"",DigitaTICA!E4,"")</f>
        <v>39700</v>
      </c>
      <c r="D11" s="42">
        <f>IF(C11="",0,C11*J$9)</f>
        <v>5161</v>
      </c>
      <c r="E11" s="29">
        <f>IF(DigitaTICA!F4&lt;&gt;"",DigitaTICA!F4,"")</f>
        <v>1000</v>
      </c>
      <c r="F11" s="42">
        <f>IF(E11="",0,E11*PREMIOS!F11)</f>
        <v>85000</v>
      </c>
      <c r="G11" s="30">
        <f t="shared" si="1"/>
        <v>-50461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>
      <c r="A13" s="28" t="s">
        <v>50</v>
      </c>
      <c r="B13" s="132">
        <f>IF(DigitaNICA!G2&lt;&gt;"",DigitaNICA!G2,"")</f>
        <v>22</v>
      </c>
      <c r="C13" s="29">
        <f>IF(DigitaNICA!G4&lt;&gt;"",DigitaNICA!G4,"")</f>
        <v>5600</v>
      </c>
      <c r="D13" s="42">
        <f>IF(C13="",0,C13*J$10)</f>
        <v>728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4872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>08</v>
      </c>
      <c r="C15" s="29">
        <f>IF(DigitaTICA!G4&lt;&gt;"",DigitaTICA!G4,"")</f>
        <v>70450</v>
      </c>
      <c r="D15" s="42">
        <f>IF(C15="",0,C15*J$9)</f>
        <v>9158.5</v>
      </c>
      <c r="E15" s="29">
        <f>IF(DigitaTICA!H4&lt;&gt;"",DigitaTICA!H4,"")</f>
        <v>1150</v>
      </c>
      <c r="F15" s="42">
        <f>IF(E15="",0,E15*PREMIOS!F15)</f>
        <v>97750</v>
      </c>
      <c r="G15" s="30">
        <f t="shared" si="3"/>
        <v>-36458.5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35</v>
      </c>
      <c r="C17" s="29">
        <f>IF(DigitaNICA!I4&lt;&gt;"",DigitaNICA!I4,"")</f>
        <v>6000</v>
      </c>
      <c r="D17" s="42">
        <f>IF(C17="",0,C17*J$10)</f>
        <v>780</v>
      </c>
      <c r="E17" s="29">
        <f>IF(DigitaNICA!J4&lt;&gt;"",DigitaNICA!J4,"")</f>
        <v>1000</v>
      </c>
      <c r="F17" s="42">
        <f>IF(E17="",0,E17*PREMIOS!E17)</f>
        <v>80000</v>
      </c>
      <c r="G17" s="30">
        <f t="shared" si="3"/>
        <v>-74780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79</v>
      </c>
      <c r="C19" s="29">
        <f>IF(DigitaPRIMERA!C4&lt;&gt;"",DigitaPRIMERA!C4,"")</f>
        <v>5000</v>
      </c>
      <c r="D19" s="42">
        <f>IF(C19="",0,C19*J$12)</f>
        <v>650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4350</v>
      </c>
    </row>
    <row r="20" spans="1:7">
      <c r="A20" s="28" t="s">
        <v>98</v>
      </c>
      <c r="B20" s="132">
        <f>IF(DigitaPRIMERA!E2&lt;&gt;"",DigitaPRIMERA!E2,"")</f>
        <v>75</v>
      </c>
      <c r="C20" s="29">
        <f>IF(DigitaPRIMERA!E4&lt;&gt;"",DigitaPRIMERA!E4,"")</f>
        <v>3950</v>
      </c>
      <c r="D20" s="42">
        <f>IF(C20="",0,C20*J$12)</f>
        <v>513.5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3436.5</v>
      </c>
    </row>
    <row r="21" spans="1:7" ht="15.75" thickBot="1">
      <c r="A21" s="121" t="s">
        <v>5</v>
      </c>
      <c r="B21" s="128"/>
      <c r="C21" s="122">
        <f>SUM(C5:C20)</f>
        <v>263950</v>
      </c>
      <c r="D21" s="122">
        <f t="shared" ref="D21:G21" si="6">SUM(D5:D20)</f>
        <v>34313.5</v>
      </c>
      <c r="E21" s="122">
        <f t="shared" si="6"/>
        <v>4400</v>
      </c>
      <c r="F21" s="122">
        <f t="shared" si="6"/>
        <v>364000</v>
      </c>
      <c r="G21" s="123">
        <f t="shared" si="6"/>
        <v>-134363.5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.75" thickBot="1">
      <c r="I3" s="237"/>
      <c r="J3" s="52" t="s">
        <v>39</v>
      </c>
      <c r="K3" s="238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190100</v>
      </c>
      <c r="K4" s="230">
        <f t="shared" ref="K4" si="0">D7+D11+D15</f>
        <v>24713</v>
      </c>
      <c r="L4" s="219">
        <f>F7+F11+F15</f>
        <v>59500</v>
      </c>
    </row>
    <row r="5" spans="1:12">
      <c r="A5" s="28" t="s">
        <v>43</v>
      </c>
      <c r="B5" s="132">
        <f>IF(DigitaNICA!C2&lt;&gt;"",DigitaNICA!C2,"")</f>
        <v>13</v>
      </c>
      <c r="C5" s="29">
        <f>IF(DigitaNICA!C5&lt;&gt;"",DigitaNICA!C5,"")</f>
        <v>17500</v>
      </c>
      <c r="D5" s="42">
        <f>IF(C5="",0,C5*J$10)</f>
        <v>2275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15225</v>
      </c>
      <c r="I5" s="240" t="s">
        <v>37</v>
      </c>
      <c r="J5" s="220">
        <f>SUM(IF(C5="",0,C5),IF(C9="",0,C9),IF(C13="",0,C13),IF(C17="",0,C17))</f>
        <v>47950</v>
      </c>
      <c r="K5" s="224">
        <f t="shared" ref="K5" si="2">D5+D9+D13+D17</f>
        <v>6233.5</v>
      </c>
      <c r="L5" s="221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11000</v>
      </c>
      <c r="K6" s="227">
        <f>D19+D20</f>
        <v>1430</v>
      </c>
      <c r="L6" s="228">
        <f>F19+F20</f>
        <v>0</v>
      </c>
    </row>
    <row r="7" spans="1:12" ht="15.75" thickBot="1">
      <c r="A7" s="28" t="s">
        <v>46</v>
      </c>
      <c r="B7" s="132">
        <f>IF(DigitaTICA!C2&lt;&gt;"",DigitaTICA!C2,"")</f>
        <v>95</v>
      </c>
      <c r="C7" s="29">
        <f>IF(DigitaTICA!C5&lt;&gt;"",DigitaTICA!C5,"")</f>
        <v>49800</v>
      </c>
      <c r="D7" s="42">
        <f>IF(C7="",0,C7*J$9)</f>
        <v>6474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43326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>
      <c r="A9" s="28" t="s">
        <v>48</v>
      </c>
      <c r="B9" s="132">
        <f>IF(DigitaNICA!E2&lt;&gt;"",DigitaNICA!E2,"")</f>
        <v>50</v>
      </c>
      <c r="C9" s="29">
        <f>IF(DigitaNICA!E5&lt;&gt;"",DigitaNICA!E5,"")</f>
        <v>23950</v>
      </c>
      <c r="D9" s="42">
        <f>IF(C9="",0,C9*J$10)</f>
        <v>3113.5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20836.5</v>
      </c>
      <c r="I9" s="60" t="s">
        <v>36</v>
      </c>
      <c r="J9" s="61">
        <v>0.13</v>
      </c>
      <c r="K9" s="62">
        <f>MROUND(D7+D11+D15,50)</f>
        <v>24700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6250</v>
      </c>
    </row>
    <row r="11" spans="1:12">
      <c r="A11" s="28" t="s">
        <v>59</v>
      </c>
      <c r="B11" s="132" t="str">
        <f>IF(DigitaTICA!E2&lt;&gt;"",DigitaTICA!E2,"")</f>
        <v>00</v>
      </c>
      <c r="C11" s="29">
        <f>IF(DigitaTICA!E5&lt;&gt;"",DigitaTICA!E5,"")</f>
        <v>51250</v>
      </c>
      <c r="D11" s="42">
        <f>IF(C11="",0,C11*J$9)</f>
        <v>6662.5</v>
      </c>
      <c r="E11" s="29">
        <f>IF(DigitaTICA!F5&lt;&gt;"",DigitaTICA!F5,"")</f>
        <v>450</v>
      </c>
      <c r="F11" s="42">
        <f>IF(E11="",0,E11*PREMIOS!F11)</f>
        <v>38250</v>
      </c>
      <c r="G11" s="30">
        <f t="shared" si="1"/>
        <v>6337.5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1450</v>
      </c>
    </row>
    <row r="13" spans="1:12">
      <c r="A13" s="28" t="s">
        <v>50</v>
      </c>
      <c r="B13" s="132">
        <f>IF(DigitaNICA!G2&lt;&gt;"",DigitaNICA!G2,"")</f>
        <v>22</v>
      </c>
      <c r="C13" s="29">
        <f>IF(DigitaNICA!G5&lt;&gt;"",DigitaNICA!G5,"")</f>
        <v>4300</v>
      </c>
      <c r="D13" s="42">
        <f>IF(C13="",0,C13*J$10)</f>
        <v>559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3741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>08</v>
      </c>
      <c r="C15" s="29">
        <f>IF(DigitaTICA!G5&lt;&gt;"",DigitaTICA!G5,"")</f>
        <v>89050</v>
      </c>
      <c r="D15" s="42">
        <f>IF(C15="",0,C15*J$9)</f>
        <v>11576.5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56223.5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35</v>
      </c>
      <c r="C17" s="29">
        <f>IF(DigitaNICA!I5&lt;&gt;"",DigitaNICA!I5,"")</f>
        <v>2200</v>
      </c>
      <c r="D17" s="42">
        <f>IF(C17="",0,C17*J$10)</f>
        <v>286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1914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79</v>
      </c>
      <c r="C19" s="29">
        <f>IF(DigitaPRIMERA!C5&lt;&gt;"",DigitaPRIMERA!C5,"")</f>
        <v>9800</v>
      </c>
      <c r="D19" s="42">
        <f>IF(C19="",0,C19*J$12)</f>
        <v>1274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8526</v>
      </c>
    </row>
    <row r="20" spans="1:7">
      <c r="A20" s="28" t="s">
        <v>98</v>
      </c>
      <c r="B20" s="132">
        <f>IF(DigitaPRIMERA!E2&lt;&gt;"",DigitaPRIMERA!E2,"")</f>
        <v>75</v>
      </c>
      <c r="C20" s="29">
        <f>IF(DigitaPRIMERA!E5&lt;&gt;"",DigitaPRIMERA!E5,"")</f>
        <v>1200</v>
      </c>
      <c r="D20" s="42">
        <f>IF(C20="",0,C20*J$12)</f>
        <v>156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1044</v>
      </c>
    </row>
    <row r="21" spans="1:7" ht="15.75" thickBot="1">
      <c r="A21" s="67" t="s">
        <v>5</v>
      </c>
      <c r="B21" s="127"/>
      <c r="C21" s="68">
        <f>SUM(C5:C20)</f>
        <v>249050</v>
      </c>
      <c r="D21" s="68">
        <f t="shared" ref="D21:G21" si="4">SUM(D5:D20)</f>
        <v>32376.5</v>
      </c>
      <c r="E21" s="68">
        <f t="shared" si="4"/>
        <v>700</v>
      </c>
      <c r="F21" s="68">
        <f t="shared" si="4"/>
        <v>59500</v>
      </c>
      <c r="G21" s="88">
        <f t="shared" si="4"/>
        <v>157173.5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">
        <v>152</v>
      </c>
      <c r="C2" s="279"/>
      <c r="D2" s="280"/>
      <c r="J2" s="21" t="s">
        <v>152</v>
      </c>
    </row>
    <row r="3" spans="1:12" ht="15.75" thickBot="1">
      <c r="I3" s="237"/>
      <c r="J3" s="52" t="s">
        <v>39</v>
      </c>
      <c r="K3" s="238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>
      <c r="A5" s="28" t="s">
        <v>43</v>
      </c>
      <c r="B5" s="132">
        <f>IF(DigitaNICA!C2&lt;&gt;"",DigitaNICA!C2,"")</f>
        <v>13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.75" thickBot="1">
      <c r="A7" s="28" t="s">
        <v>46</v>
      </c>
      <c r="B7" s="132">
        <f>IF(DigitaTICA!C2&lt;&gt;"",DigitaTICA!C2,"")</f>
        <v>95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>
      <c r="A9" s="28" t="s">
        <v>48</v>
      </c>
      <c r="B9" s="132">
        <f>IF(DigitaNICA!E2&lt;&gt;"",DigitaNICA!E2,"")</f>
        <v>50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>
      <c r="A11" s="28" t="s">
        <v>59</v>
      </c>
      <c r="B11" s="132" t="str">
        <f>IF(DigitaTICA!E2&lt;&gt;"",DigitaTICA!E2,"")</f>
        <v>00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>
      <c r="A13" s="28" t="s">
        <v>50</v>
      </c>
      <c r="B13" s="132">
        <f>IF(DigitaNICA!G2&lt;&gt;"",DigitaNICA!G2,"")</f>
        <v>22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>08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79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>
        <f>IF(DigitaPRIMERA!E2&lt;&gt;"",DigitaPRIMERA!E2,"")</f>
        <v>75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026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.75" thickBot="1">
      <c r="I3" s="237"/>
      <c r="J3" s="52" t="s">
        <v>39</v>
      </c>
      <c r="K3" s="238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>
      <c r="A5" s="28" t="s">
        <v>43</v>
      </c>
      <c r="B5" s="132">
        <f>IF(DigitaNICA!C2&lt;&gt;"",DigitaNICA!C2,"")</f>
        <v>13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.75" thickBot="1">
      <c r="A7" s="28" t="s">
        <v>46</v>
      </c>
      <c r="B7" s="132">
        <f>IF(DigitaTICA!C2&lt;&gt;"",DigitaTICA!C2,"")</f>
        <v>95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>
      <c r="A9" s="28" t="s">
        <v>48</v>
      </c>
      <c r="B9" s="132">
        <f>IF(DigitaNICA!E2&lt;&gt;"",DigitaNICA!E2,"")</f>
        <v>50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2" t="str">
        <f>IF(DigitaTICA!E2&lt;&gt;"",DigitaTICA!E2,"")</f>
        <v>00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>
      <c r="A13" s="28" t="s">
        <v>50</v>
      </c>
      <c r="B13" s="132">
        <f>IF(DigitaNICA!G2&lt;&gt;"",DigitaNICA!G2,"")</f>
        <v>22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>
      <c r="A15" s="28" t="s">
        <v>61</v>
      </c>
      <c r="B15" s="132" t="str">
        <f>IF(DigitaTICA!G2&lt;&gt;"",DigitaTICA!G2,"")</f>
        <v>08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>
      <c r="A17" s="28" t="s">
        <v>52</v>
      </c>
      <c r="B17" s="132">
        <f>IF(DigitaNICA!I2&lt;&gt;"",DigitaNICA!I2,"")</f>
        <v>35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.75" thickBot="1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.75" thickBot="1">
      <c r="I3" s="237"/>
      <c r="J3" s="52" t="s">
        <v>39</v>
      </c>
      <c r="K3" s="238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>
      <c r="A5" s="28" t="s">
        <v>43</v>
      </c>
      <c r="B5" s="132">
        <f>IF(DigitaNICA!C2&lt;&gt;"",DigitaNICA!C2,"")</f>
        <v>13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.75" thickBot="1">
      <c r="A7" s="28" t="s">
        <v>46</v>
      </c>
      <c r="B7" s="132">
        <f>IF(DigitaTICA!C2&lt;&gt;"",DigitaTICA!C2,"")</f>
        <v>95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50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>
      <c r="A11" s="28" t="s">
        <v>59</v>
      </c>
      <c r="B11" s="132" t="str">
        <f>IF(DigitaTICA!E2&lt;&gt;"",DigitaTICA!E2,"")</f>
        <v>00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>
        <f>IF(DigitaNICA!G2&lt;&gt;"",DigitaNICA!G2,"")</f>
        <v>22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 t="str">
        <f>IF(DigitaTICA!G2&lt;&gt;"",DigitaTICA!G2,"")</f>
        <v>08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2">
        <f>IF(DigitaNICA!I2&lt;&gt;"",DigitaNICA!I2,"")</f>
        <v>35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2">
        <f>IF(DigitaPRIMERA!C2&lt;&gt;"",DigitaPRIMERA!C2,"")</f>
        <v>79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>
      <c r="A20" s="28" t="s">
        <v>98</v>
      </c>
      <c r="B20" s="132">
        <f>IF(DigitaPRIMERA!E2&lt;&gt;"",DigitaPRIMERA!E2,"")</f>
        <v>75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.75" thickBot="1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MARTA ROSA</v>
      </c>
      <c r="C2" s="279"/>
      <c r="D2" s="280"/>
      <c r="J2" s="21" t="s">
        <v>147</v>
      </c>
    </row>
    <row r="3" spans="1:12" ht="15.75" thickBot="1">
      <c r="I3" s="237"/>
      <c r="J3" s="243" t="s">
        <v>39</v>
      </c>
      <c r="K3" s="244" t="s">
        <v>141</v>
      </c>
      <c r="L3" s="245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>
      <c r="A5" s="28" t="s">
        <v>43</v>
      </c>
      <c r="B5" s="132">
        <f>IF(DigitaNICA!C2&lt;&gt;"",DigitaNICA!C2,"")</f>
        <v>13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.75" thickBot="1">
      <c r="A7" s="28" t="s">
        <v>46</v>
      </c>
      <c r="B7" s="132">
        <f>IF(DigitaTICA!C2&lt;&gt;"",DigitaTICA!C2,"")</f>
        <v>95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50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>
      <c r="A11" s="28" t="s">
        <v>59</v>
      </c>
      <c r="B11" s="132" t="str">
        <f>IF(DigitaTICA!E2&lt;&gt;"",DigitaTICA!E2,"")</f>
        <v>00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>
        <f>IF(DigitaNICA!G2&lt;&gt;"",DigitaNICA!G2,"")</f>
        <v>22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 t="str">
        <f>IF(DigitaTICA!G2&lt;&gt;"",DigitaTICA!G2,"")</f>
        <v>08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79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>
        <f>IF(DigitaPRIMERA!E2&lt;&gt;"",DigitaPRIMERA!E2,"")</f>
        <v>75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8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369250</v>
      </c>
      <c r="K4" s="230">
        <f t="shared" ref="K4" si="0">D7+D11+D15</f>
        <v>44310</v>
      </c>
      <c r="L4" s="219">
        <f>F7+F11+F15</f>
        <v>429250</v>
      </c>
    </row>
    <row r="5" spans="1:12">
      <c r="A5" s="28" t="s">
        <v>43</v>
      </c>
      <c r="B5" s="132">
        <f>IF(DigitaNICA!C2&lt;&gt;"",DigitaNICA!C2,"")</f>
        <v>13</v>
      </c>
      <c r="C5" s="29">
        <f>IF(DigitaNICA!C10&lt;&gt;"",DigitaNICA!C10,"")</f>
        <v>54100</v>
      </c>
      <c r="D5" s="42">
        <f>IF(C5="",0,C5*J$15)</f>
        <v>6492</v>
      </c>
      <c r="E5" s="29">
        <f>IF(DigitaNICA!D10&lt;&gt;"",DigitaNICA!D10,"")</f>
        <v>2000</v>
      </c>
      <c r="F5" s="42">
        <f>IF(E5="",0,E5*PREMIOS!F5)</f>
        <v>170000</v>
      </c>
      <c r="G5" s="30">
        <f t="shared" ref="G5:G12" si="1">IF(OR(C5="",E5=""),0,C5-D5-F5)</f>
        <v>-122392</v>
      </c>
      <c r="I5" s="216" t="s">
        <v>37</v>
      </c>
      <c r="J5" s="220">
        <f>SUM(IF(C5="",0,C5),IF(C9="",0,C9),IF(C13="",0,C13),IF(C17="",0,C17))</f>
        <v>234500</v>
      </c>
      <c r="K5" s="224">
        <f t="shared" ref="K5" si="2">D5+D9+D13+D17</f>
        <v>28140</v>
      </c>
      <c r="L5" s="221">
        <f>F5+F9+F13+F17</f>
        <v>514250</v>
      </c>
    </row>
    <row r="6" spans="1:12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55650</v>
      </c>
      <c r="K6" s="225">
        <f t="shared" ref="K6" si="3">+D8+D12+D16</f>
        <v>5565</v>
      </c>
      <c r="L6" s="226">
        <f>F8+F12+F16</f>
        <v>0</v>
      </c>
    </row>
    <row r="7" spans="1:12">
      <c r="A7" s="28" t="s">
        <v>46</v>
      </c>
      <c r="B7" s="132">
        <f>IF(DigitaTICA!C2&lt;&gt;"",DigitaTICA!C2,"")</f>
        <v>95</v>
      </c>
      <c r="C7" s="29">
        <f>IF(DigitaTICA!C10&lt;&gt;"",DigitaTICA!C10,"")</f>
        <v>109500</v>
      </c>
      <c r="D7" s="42">
        <f>IF(C7="",0,C7*J$14)</f>
        <v>13140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96360</v>
      </c>
      <c r="I7" s="216" t="s">
        <v>96</v>
      </c>
      <c r="J7" s="222">
        <f>SUM(IF(C19="",0,C19),IF(C20="",0,C20))</f>
        <v>26400</v>
      </c>
      <c r="K7" s="225">
        <f>+D19+D20</f>
        <v>3168</v>
      </c>
      <c r="L7" s="226">
        <f>+F19+F20</f>
        <v>0</v>
      </c>
    </row>
    <row r="8" spans="1:12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12700</v>
      </c>
      <c r="D8" s="42">
        <f>IF(C8="",0,C8*J$16)</f>
        <v>1270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11430</v>
      </c>
      <c r="I8" s="216" t="s">
        <v>104</v>
      </c>
      <c r="J8" s="222">
        <f>SUM(IF(C21="",0,C21),IF(C22="",0,C22),IF(C23="",0,C23))</f>
        <v>61850</v>
      </c>
      <c r="K8" s="225">
        <f t="shared" ref="K8" si="4">D21+D22+D23</f>
        <v>7422</v>
      </c>
      <c r="L8" s="226">
        <f>F21+F22+F23</f>
        <v>0</v>
      </c>
    </row>
    <row r="9" spans="1:12">
      <c r="A9" s="28" t="s">
        <v>48</v>
      </c>
      <c r="B9" s="132">
        <f>IF(DigitaNICA!E2&lt;&gt;"",DigitaNICA!E2,"")</f>
        <v>50</v>
      </c>
      <c r="C9" s="29">
        <f>IF(DigitaNICA!E10&lt;&gt;"",DigitaNICA!E10,"")</f>
        <v>58000</v>
      </c>
      <c r="D9" s="42">
        <f>IF(C9="",0,C9*J$15)</f>
        <v>6960</v>
      </c>
      <c r="E9" s="29">
        <f>IF(DigitaNICA!F10&lt;&gt;"",DigitaNICA!F10,"")</f>
        <v>2800</v>
      </c>
      <c r="F9" s="42">
        <f>IF(E9="",0,E9*PREMIOS!F9)</f>
        <v>238000</v>
      </c>
      <c r="G9" s="30">
        <f t="shared" si="1"/>
        <v>-186960</v>
      </c>
      <c r="I9" s="216" t="s">
        <v>20</v>
      </c>
      <c r="J9" s="222">
        <f>SUM(IF(C24="",0,C24),IF(C25="",0,C25))</f>
        <v>98350</v>
      </c>
      <c r="K9" s="225">
        <f t="shared" ref="K9" si="5">+D24+D25</f>
        <v>11802</v>
      </c>
      <c r="L9" s="226">
        <f>F24+F25</f>
        <v>0</v>
      </c>
    </row>
    <row r="10" spans="1:12" ht="15.75" thickBot="1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>
      <c r="A11" s="28" t="s">
        <v>59</v>
      </c>
      <c r="B11" s="132" t="str">
        <f>IF(DigitaTICA!E2&lt;&gt;"",DigitaTICA!E2,"")</f>
        <v>00</v>
      </c>
      <c r="C11" s="29">
        <f>IF(DigitaTICA!E10&lt;&gt;"",DigitaTICA!E10,"")</f>
        <v>103600</v>
      </c>
      <c r="D11" s="42">
        <f>IF(C11="",0,C11*J$14)</f>
        <v>12432</v>
      </c>
      <c r="E11" s="29">
        <f>IF(DigitaTICA!F10&lt;&gt;"",DigitaTICA!F10,"")</f>
        <v>2500</v>
      </c>
      <c r="F11" s="42">
        <f>IF(E11="",0,E11*PREMIOS!F11)</f>
        <v>212500</v>
      </c>
      <c r="G11" s="30">
        <f t="shared" si="1"/>
        <v>-121332</v>
      </c>
    </row>
    <row r="12" spans="1:12" ht="15.75" thickBot="1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21500</v>
      </c>
      <c r="D12" s="42">
        <f>IF(C12="",0,C12*J$16)</f>
        <v>2150</v>
      </c>
      <c r="E12" s="29">
        <f>IF(DigitaREVENTADO!F10&lt;&gt;"",DigitaREVENTADO!F10,"")</f>
        <v>1000</v>
      </c>
      <c r="F12" s="42">
        <f>IF(E12="",0,E12*PREMIOS!F12)</f>
        <v>0</v>
      </c>
      <c r="G12" s="30">
        <f t="shared" si="1"/>
        <v>19350</v>
      </c>
    </row>
    <row r="13" spans="1:12" ht="15.75" thickBot="1">
      <c r="A13" s="28" t="s">
        <v>50</v>
      </c>
      <c r="B13" s="132">
        <f>IF(DigitaNICA!G2&lt;&gt;"",DigitaNICA!G2,"")</f>
        <v>22</v>
      </c>
      <c r="C13" s="29">
        <f>IF(DigitaNICA!G10&lt;&gt;"",DigitaNICA!G10,"")</f>
        <v>35750</v>
      </c>
      <c r="D13" s="42">
        <f>IF(C13="",0,C13*J$15)</f>
        <v>4290</v>
      </c>
      <c r="E13" s="29">
        <f>IF(DigitaNICA!H10&lt;&gt;"",DigitaNICA!H10,"")</f>
        <v>250</v>
      </c>
      <c r="F13" s="42">
        <f>IF(E13="",0,E13*PREMIOS!F13)</f>
        <v>21250</v>
      </c>
      <c r="G13" s="30">
        <f>IF(OR(C13="",E13=""),0,C13-D13-F13)</f>
        <v>10210</v>
      </c>
      <c r="I13" s="278" t="s">
        <v>34</v>
      </c>
      <c r="J13" s="278"/>
      <c r="K13" s="278"/>
    </row>
    <row r="14" spans="1:12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44300</v>
      </c>
    </row>
    <row r="15" spans="1:12">
      <c r="A15" s="28" t="s">
        <v>61</v>
      </c>
      <c r="B15" s="132" t="str">
        <f>IF(DigitaTICA!G2&lt;&gt;"",DigitaTICA!G2,"")</f>
        <v>08</v>
      </c>
      <c r="C15" s="29">
        <f>IF(DigitaTICA!G10&lt;&gt;"",DigitaTICA!G10,"")</f>
        <v>156150</v>
      </c>
      <c r="D15" s="42">
        <f>IF(C15="",0,C15*J$14)</f>
        <v>18738</v>
      </c>
      <c r="E15" s="29">
        <f>IF(DigitaTICA!H10&lt;&gt;"",DigitaTICA!H10,"")</f>
        <v>2550</v>
      </c>
      <c r="F15" s="42">
        <f>IF(E15="",0,E15*PREMIOS!F15)</f>
        <v>216750</v>
      </c>
      <c r="G15" s="30">
        <f t="shared" si="6"/>
        <v>-79338</v>
      </c>
      <c r="I15" s="63" t="s">
        <v>37</v>
      </c>
      <c r="J15" s="64">
        <v>0.12</v>
      </c>
      <c r="K15" s="30">
        <f>MROUND(D5+D9+D13+D17,50)</f>
        <v>28150</v>
      </c>
    </row>
    <row r="16" spans="1:12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21450</v>
      </c>
      <c r="D16" s="42">
        <f>IF(C16="",0,C16*J$16)</f>
        <v>2145</v>
      </c>
      <c r="E16" s="29">
        <f>IF(DigitaREVENTADO!H10&lt;&gt;"",DigitaREVENTADO!H10,"")</f>
        <v>500</v>
      </c>
      <c r="F16" s="42">
        <f>IF(E16="",0,E16*PREMIOS!F16)</f>
        <v>0</v>
      </c>
      <c r="G16" s="30">
        <f t="shared" si="6"/>
        <v>19305</v>
      </c>
      <c r="I16" s="63" t="s">
        <v>38</v>
      </c>
      <c r="J16" s="64">
        <v>0.1</v>
      </c>
      <c r="K16" s="30">
        <f>MROUND(D6+D8+D10+D12+D14+D16+D18,50)</f>
        <v>5550</v>
      </c>
    </row>
    <row r="17" spans="1:11">
      <c r="A17" s="28" t="s">
        <v>52</v>
      </c>
      <c r="B17" s="132">
        <f>IF(DigitaNICA!I2&lt;&gt;"",DigitaNICA!I2,"")</f>
        <v>35</v>
      </c>
      <c r="C17" s="29">
        <f>IF(DigitaNICA!I10&lt;&gt;"",DigitaNICA!I10,"")</f>
        <v>86650</v>
      </c>
      <c r="D17" s="42">
        <f>IF(C17="",0,C17*J$15)</f>
        <v>10398</v>
      </c>
      <c r="E17" s="29">
        <f>IF(DigitaNICA!J10&lt;&gt;"",DigitaNICA!J10,"")</f>
        <v>1000</v>
      </c>
      <c r="F17" s="42">
        <f>IF(E17="",0,E17*PREMIOS!F17)</f>
        <v>85000</v>
      </c>
      <c r="G17" s="30">
        <f t="shared" si="6"/>
        <v>-8748</v>
      </c>
      <c r="I17" s="63" t="s">
        <v>96</v>
      </c>
      <c r="J17" s="64">
        <v>0.12</v>
      </c>
      <c r="K17" s="30">
        <f>MROUND(D19+D20,50)</f>
        <v>3150</v>
      </c>
    </row>
    <row r="18" spans="1:11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7400</v>
      </c>
    </row>
    <row r="19" spans="1:11">
      <c r="A19" s="28" t="s">
        <v>97</v>
      </c>
      <c r="B19" s="132">
        <f>IF(DigitaPRIMERA!C2&lt;&gt;"",DigitaPRIMERA!C2,"")</f>
        <v>79</v>
      </c>
      <c r="C19" s="29">
        <f>IF(DigitaPRIMERA!$C$10&lt;&gt;"",DigitaPRIMERA!$C$10,"")</f>
        <v>19100</v>
      </c>
      <c r="D19" s="42">
        <f>IF(C19="",0,C19*J$17)</f>
        <v>2292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16808</v>
      </c>
      <c r="I19" s="63" t="s">
        <v>20</v>
      </c>
      <c r="J19" s="64">
        <v>0.12</v>
      </c>
      <c r="K19" s="30">
        <f>MROUND(D24+D25,50)</f>
        <v>11800</v>
      </c>
    </row>
    <row r="20" spans="1:11" ht="15.75" thickBot="1">
      <c r="A20" s="28" t="s">
        <v>98</v>
      </c>
      <c r="B20" s="132">
        <f>IF(DigitaPRIMERA!E2&lt;&gt;"",DigitaPRIMERA!E2,"")</f>
        <v>75</v>
      </c>
      <c r="C20" s="29">
        <f>IF(DigitaPRIMERA!$E$10&lt;&gt;"",DigitaPRIMERA!$E$10,"")</f>
        <v>7300</v>
      </c>
      <c r="D20" s="42">
        <f>IF(C20="",0,C20*J$17)</f>
        <v>876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6424</v>
      </c>
      <c r="I20" s="65" t="s">
        <v>21</v>
      </c>
      <c r="J20" s="66">
        <v>0.12</v>
      </c>
      <c r="K20" s="50">
        <f>MROUND(D26,50)</f>
        <v>0</v>
      </c>
    </row>
    <row r="21" spans="1:11">
      <c r="A21" s="28" t="s">
        <v>99</v>
      </c>
      <c r="B21" s="132">
        <f>IF(DigitaHONDURAS!C2&lt;&gt;"",DigitaHONDURAS!C2,"")</f>
        <v>52</v>
      </c>
      <c r="C21" s="29">
        <f>IF(DigitaHONDURAS!$C$10&lt;&gt;"",DigitaHONDURAS!$C$10,"")</f>
        <v>31700</v>
      </c>
      <c r="D21" s="42">
        <f>IF(C21="",0,C21*J$18)</f>
        <v>3804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27896</v>
      </c>
    </row>
    <row r="22" spans="1:11">
      <c r="A22" s="28" t="s">
        <v>100</v>
      </c>
      <c r="B22" s="132">
        <f>IF(DigitaHONDURAS!E2&lt;&gt;"",DigitaHONDURAS!E2,"")</f>
        <v>24</v>
      </c>
      <c r="C22" s="29">
        <f>IF(DigitaHONDURAS!$E$10&lt;&gt;"",DigitaHONDURAS!$E$10,"")</f>
        <v>10300</v>
      </c>
      <c r="D22" s="42">
        <f>IF(C22="",0,C22*J$18)</f>
        <v>1236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9064</v>
      </c>
    </row>
    <row r="23" spans="1:11">
      <c r="A23" s="28" t="s">
        <v>101</v>
      </c>
      <c r="B23" s="132">
        <f>IF(DigitaHONDURAS!G2&lt;&gt;"",DigitaHONDURAS!G2,"")</f>
        <v>99</v>
      </c>
      <c r="C23" s="29">
        <f>IF(DigitaHONDURAS!$G$10&lt;&gt;"",DigitaHONDURAS!$G$10,"")</f>
        <v>19850</v>
      </c>
      <c r="D23" s="42">
        <f>IF(C23="",0,C23*J$18)</f>
        <v>2382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17468</v>
      </c>
    </row>
    <row r="24" spans="1:11">
      <c r="A24" s="28" t="s">
        <v>107</v>
      </c>
      <c r="B24" s="132" t="str">
        <f>IF(DigitaDOMINICANA!C2&lt;&gt;"",DigitaDOMINICANA!C2,"")</f>
        <v>02</v>
      </c>
      <c r="C24" s="29">
        <f>IF(DigitaDOMINICANA!$C$10&lt;&gt;"",DigitaDOMINICANA!$C$10,"")</f>
        <v>47000</v>
      </c>
      <c r="D24" s="42">
        <f>IF(C24="",0,C24*J$19)</f>
        <v>5640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41360</v>
      </c>
    </row>
    <row r="25" spans="1:11">
      <c r="A25" s="28" t="s">
        <v>108</v>
      </c>
      <c r="B25" s="132">
        <f>IF(DigitaDOMINICANA!E2&lt;&gt;"",DigitaDOMINICANA!E2,"")</f>
        <v>89</v>
      </c>
      <c r="C25" s="29">
        <f>IF(DigitaDOMINICANA!$E$10&lt;&gt;"",DigitaDOMINICANA!$E$10,"")</f>
        <v>51350</v>
      </c>
      <c r="D25" s="42">
        <f>IF(C25="",0,C25*J$19)</f>
        <v>6162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45188</v>
      </c>
    </row>
    <row r="26" spans="1:11">
      <c r="A26" s="28" t="s">
        <v>21</v>
      </c>
      <c r="B26" s="132">
        <f>IF(DigitaPANAMENA!C2&lt;&gt;"",DigitaPANAMENA!C2,"")</f>
        <v>25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.75" thickBot="1">
      <c r="A27" s="67" t="s">
        <v>5</v>
      </c>
      <c r="B27" s="127"/>
      <c r="C27" s="68">
        <f>SUM(C5:C26)</f>
        <v>846000</v>
      </c>
      <c r="D27" s="68">
        <f t="shared" ref="D27:F27" si="9">SUM(D5:D26)</f>
        <v>100407</v>
      </c>
      <c r="E27" s="68">
        <f t="shared" si="9"/>
        <v>12600</v>
      </c>
      <c r="F27" s="68">
        <f t="shared" si="9"/>
        <v>943500</v>
      </c>
      <c r="G27" s="88">
        <f>SUM(G5:G26)</f>
        <v>-197907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4" style="21" customWidth="1"/>
    <col min="9" max="12" width="11.5703125" style="21" customWidth="1"/>
    <col min="13" max="13" width="7.42578125" style="21" customWidth="1"/>
    <col min="14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.75" thickBot="1">
      <c r="I3" s="237"/>
      <c r="J3" s="52" t="s">
        <v>39</v>
      </c>
      <c r="K3" s="238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4000</v>
      </c>
      <c r="K4" s="230">
        <f t="shared" ref="K4" si="0">D7+D11+D15</f>
        <v>480</v>
      </c>
      <c r="L4" s="219">
        <f>F7+F11+F15</f>
        <v>17000</v>
      </c>
    </row>
    <row r="5" spans="1:12">
      <c r="A5" s="28" t="s">
        <v>43</v>
      </c>
      <c r="B5" s="132">
        <f>IF(DigitaNICA!C2&lt;&gt;"",DigitaNICA!C2,"")</f>
        <v>13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.75" thickBot="1">
      <c r="A7" s="28" t="s">
        <v>46</v>
      </c>
      <c r="B7" s="132">
        <f>IF(DigitaTICA!C2&lt;&gt;"",DigitaTICA!C2,"")</f>
        <v>95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50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>
      <c r="A11" s="28" t="s">
        <v>59</v>
      </c>
      <c r="B11" s="132" t="str">
        <f>IF(DigitaTICA!E2&lt;&gt;"",DigitaTICA!E2,"")</f>
        <v>00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500</v>
      </c>
    </row>
    <row r="12" spans="1:12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>
        <f>IF(DigitaNICA!G2&lt;&gt;"",DigitaNICA!G2,"")</f>
        <v>22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 t="str">
        <f>IF(DigitaTICA!G2&lt;&gt;"",DigitaTICA!G2,"")</f>
        <v>08</v>
      </c>
      <c r="C15" s="29">
        <f>IF(DigitaTICA!G11&lt;&gt;"",DigitaTICA!G11,"")</f>
        <v>4000</v>
      </c>
      <c r="D15" s="42">
        <f>IF(C15="",0,C15*J$11)</f>
        <v>480</v>
      </c>
      <c r="E15" s="29">
        <f>IF(DigitaTICA!H11&lt;&gt;"",DigitaTICA!H11,"")</f>
        <v>200</v>
      </c>
      <c r="F15" s="133">
        <f>IF(E15="",0,E15*PREMIOS!F15)</f>
        <v>17000</v>
      </c>
      <c r="G15" s="30">
        <f t="shared" si="4"/>
        <v>-13480</v>
      </c>
    </row>
    <row r="16" spans="1:12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2">
        <f>IF(DigitaNICA!I2&lt;&gt;"",DigitaNICA!I2,"")</f>
        <v>35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2">
        <f>IF(DigitaPRIMERA!C2&lt;&gt;"",DigitaPRIMERA!C2,"")</f>
        <v>79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>
      <c r="A20" s="28" t="s">
        <v>98</v>
      </c>
      <c r="B20" s="132">
        <f>IF(DigitaPRIMERA!E2&lt;&gt;"",DigitaPRIMERA!E2,"")</f>
        <v>75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.75" thickBot="1">
      <c r="A21" s="121" t="s">
        <v>5</v>
      </c>
      <c r="B21" s="128"/>
      <c r="C21" s="122">
        <f>SUM(C5:C20)</f>
        <v>4000</v>
      </c>
      <c r="D21" s="122">
        <f t="shared" ref="D21:G21" si="5">SUM(D5:D20)</f>
        <v>480</v>
      </c>
      <c r="E21" s="122">
        <f t="shared" si="5"/>
        <v>200</v>
      </c>
      <c r="F21" s="122">
        <f t="shared" si="5"/>
        <v>17000</v>
      </c>
      <c r="G21" s="123">
        <f t="shared" si="5"/>
        <v>-13480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ML28"/>
  <sheetViews>
    <sheetView showGridLines="0" topLeftCell="A7" zoomScale="90" zoomScaleNormal="90" workbookViewId="0">
      <selection activeCell="G29" sqref="G29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42600</v>
      </c>
      <c r="K4" s="230">
        <f>D7+D11+D15</f>
        <v>5112</v>
      </c>
      <c r="L4" s="219">
        <f>F7+F11+F15</f>
        <v>0</v>
      </c>
    </row>
    <row r="5" spans="1:12">
      <c r="A5" s="28" t="s">
        <v>43</v>
      </c>
      <c r="B5" s="132">
        <f>IF(DigitaNICA!C2&lt;&gt;"",DigitaNICA!C2,"")</f>
        <v>13</v>
      </c>
      <c r="C5" s="29">
        <f>IF(DigitaNICA!C12&lt;&gt;"",DigitaNICA!C12,"")</f>
        <v>15350</v>
      </c>
      <c r="D5" s="42">
        <f>IF(C5="",0,C5*J$12)</f>
        <v>1842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13508</v>
      </c>
      <c r="I5" s="216" t="s">
        <v>37</v>
      </c>
      <c r="J5" s="220">
        <f>SUM(IF(C5="",0,C5),IF(C9="",0,C9),IF(C13="",0,C13),IF(C17="",0,C17))</f>
        <v>15350</v>
      </c>
      <c r="K5" s="224">
        <f t="shared" ref="K5" si="1">D5+D9+D13+D17</f>
        <v>1842</v>
      </c>
      <c r="L5" s="221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4600</v>
      </c>
      <c r="K6" s="225">
        <f t="shared" ref="K6" si="2">+D8+D12+D16</f>
        <v>460</v>
      </c>
      <c r="L6" s="226">
        <f>+F8+F12+F16</f>
        <v>0</v>
      </c>
    </row>
    <row r="7" spans="1:12">
      <c r="A7" s="28" t="s">
        <v>46</v>
      </c>
      <c r="B7" s="132">
        <f>IF(DigitaTICA!C2&lt;&gt;"",DigitaTICA!C2,"")</f>
        <v>95</v>
      </c>
      <c r="C7" s="29">
        <f>IF(DigitaTICA!C12&lt;&gt;"",DigitaTICA!C12,"")</f>
        <v>28900</v>
      </c>
      <c r="D7" s="42">
        <f>IF(C7="",0,C7*J$11)</f>
        <v>3468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25432</v>
      </c>
      <c r="I7" s="216" t="s">
        <v>96</v>
      </c>
      <c r="J7" s="222">
        <f>SUM(IF(C19="",0,C19),IF(C20="",0,C20))</f>
        <v>22400</v>
      </c>
      <c r="K7" s="225">
        <f>+D19+D20</f>
        <v>2688</v>
      </c>
      <c r="L7" s="226">
        <f>+F19+F20</f>
        <v>85000</v>
      </c>
    </row>
    <row r="8" spans="1:12" ht="15.75" thickBot="1">
      <c r="A8" s="28" t="s">
        <v>47</v>
      </c>
      <c r="B8" s="132" t="str">
        <f>IF(B7&lt;&gt;"",PREMIOS!B8,"")</f>
        <v>Roja</v>
      </c>
      <c r="C8" s="29">
        <f>IF(DigitaREVENTADO!C12&lt;&gt;"",DigitaREVENTADO!C12,"")</f>
        <v>4600</v>
      </c>
      <c r="D8" s="42">
        <f>IF(C8="",0,C8*J$13)</f>
        <v>460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4140</v>
      </c>
      <c r="I8" s="217" t="s">
        <v>104</v>
      </c>
      <c r="J8" s="223">
        <f>SUM(IF(C21="",0,C21),IF(C22="",0,C22),IF(C23="",0,C23))</f>
        <v>0</v>
      </c>
      <c r="K8" s="227">
        <f>+D21+D22+D23</f>
        <v>0</v>
      </c>
      <c r="L8" s="228">
        <f>+F21+F22+F23</f>
        <v>0</v>
      </c>
    </row>
    <row r="9" spans="1:12" ht="15.75" thickBot="1">
      <c r="A9" s="28" t="s">
        <v>48</v>
      </c>
      <c r="B9" s="132">
        <f>IF(DigitaNICA!E2&lt;&gt;"",DigitaNICA!E2,"")</f>
        <v>50</v>
      </c>
      <c r="C9" s="29" t="str">
        <f>IF(DigitaNICA!E12&lt;&gt;"",DigitaNICA!E12,"")</f>
        <v/>
      </c>
      <c r="D9" s="42">
        <f>IF(C9="",0,C9*J$12)</f>
        <v>0</v>
      </c>
      <c r="E9" s="29" t="str">
        <f>IF(DigitaNICA!F12&lt;&gt;"",DigitaNICA!F12,"")</f>
        <v/>
      </c>
      <c r="F9" s="42">
        <f>IF(E9="",0,E9*PREMIOS!F9)</f>
        <v>0</v>
      </c>
      <c r="G9" s="30">
        <f t="shared" si="0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>
      <c r="A11" s="28" t="s">
        <v>59</v>
      </c>
      <c r="B11" s="132" t="str">
        <f>IF(DigitaTICA!E2&lt;&gt;"",DigitaTICA!E2,"")</f>
        <v>00</v>
      </c>
      <c r="C11" s="29">
        <f>IF(DigitaTICA!E12&lt;&gt;"",DigitaTICA!E12,"")</f>
        <v>13700</v>
      </c>
      <c r="D11" s="42">
        <f>IF(C11="",0,C11*J$11)</f>
        <v>1644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12056</v>
      </c>
      <c r="I11" s="60" t="s">
        <v>36</v>
      </c>
      <c r="J11" s="61">
        <v>0.12</v>
      </c>
      <c r="K11" s="62">
        <f>MROUND(D7+D11+D15,50)</f>
        <v>5100</v>
      </c>
    </row>
    <row r="12" spans="1:12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1850</v>
      </c>
    </row>
    <row r="13" spans="1:12">
      <c r="A13" s="28" t="s">
        <v>50</v>
      </c>
      <c r="B13" s="132">
        <f>IF(DigitaNICA!G2&lt;&gt;"",DigitaNICA!G2,"")</f>
        <v>22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2700</v>
      </c>
    </row>
    <row r="15" spans="1:12" ht="15.75" thickBot="1">
      <c r="A15" s="28" t="s">
        <v>61</v>
      </c>
      <c r="B15" s="132" t="str">
        <f>IF(DigitaTICA!G2&lt;&gt;"",DigitaTICA!G2,"")</f>
        <v>08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79</v>
      </c>
      <c r="C19" s="29">
        <f>IF(DigitaPRIMERA!$C$12&lt;&gt;"",DigitaPRIMERA!$C$12,"")</f>
        <v>22400</v>
      </c>
      <c r="D19" s="42">
        <f>IF(C19="",0,C19*J$14)</f>
        <v>2688</v>
      </c>
      <c r="E19" s="29">
        <f>IF(DigitaPRIMERA!$D$12&lt;&gt;"",DigitaPRIMERA!$D$12,"")</f>
        <v>1000</v>
      </c>
      <c r="F19" s="42">
        <f>IF(E19="",0,E19*PREMIOS!F19)</f>
        <v>85000</v>
      </c>
      <c r="G19" s="30">
        <f t="shared" si="3"/>
        <v>-65288</v>
      </c>
    </row>
    <row r="20" spans="1:7">
      <c r="A20" s="28" t="s">
        <v>98</v>
      </c>
      <c r="B20" s="132">
        <f>IF(DigitaPRIMERA!E2&lt;&gt;"",DigitaPRIMERA!E2,"")</f>
        <v>75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>
      <c r="A21" s="28" t="s">
        <v>99</v>
      </c>
      <c r="B21" s="132">
        <f>IF(DigitaHONDURAS!C2&lt;&gt;"",DigitaHONDURAS!C2,"")</f>
        <v>52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>
      <c r="A22" s="28" t="s">
        <v>100</v>
      </c>
      <c r="B22" s="132">
        <f>IF(DigitaHONDURAS!E2&lt;&gt;"",DigitaHONDURAS!E2,"")</f>
        <v>24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>
      <c r="A23" s="28" t="s">
        <v>101</v>
      </c>
      <c r="B23" s="132">
        <f>IF(DigitaHONDURAS!G2&lt;&gt;"",DigitaHONDURAS!G2,"")</f>
        <v>99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.75" thickBot="1">
      <c r="A24" s="67" t="s">
        <v>5</v>
      </c>
      <c r="B24" s="127"/>
      <c r="C24" s="68">
        <f>SUM(C5:C23)</f>
        <v>84950</v>
      </c>
      <c r="D24" s="68">
        <f t="shared" ref="D24:G24" si="4">SUM(D5:D23)</f>
        <v>10102</v>
      </c>
      <c r="E24" s="68">
        <f t="shared" si="4"/>
        <v>1000</v>
      </c>
      <c r="F24" s="68">
        <f t="shared" si="4"/>
        <v>85000</v>
      </c>
      <c r="G24" s="88">
        <f t="shared" si="4"/>
        <v>-10152</v>
      </c>
    </row>
    <row r="27" spans="1:7">
      <c r="G27" s="21">
        <v>135275</v>
      </c>
    </row>
    <row r="28" spans="1:7">
      <c r="G28" s="140">
        <f>+G24+G27</f>
        <v>125123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">
        <v>57</v>
      </c>
      <c r="C2" s="279"/>
      <c r="D2" s="280"/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90150</v>
      </c>
      <c r="K4" s="230">
        <f t="shared" ref="K4" si="0">D7+D11+D15</f>
        <v>10818</v>
      </c>
      <c r="L4" s="219">
        <f>F7+F11+F15</f>
        <v>348500</v>
      </c>
    </row>
    <row r="5" spans="1:12" ht="15.75" thickBot="1">
      <c r="A5" s="28" t="s">
        <v>43</v>
      </c>
      <c r="B5" s="132">
        <f>IF(DigitaNICA!C2&lt;&gt;"",DigitaNICA!C2,"")</f>
        <v>13</v>
      </c>
      <c r="C5" s="29">
        <f>IF(DigitaNICA!C13&lt;&gt;"",DigitaNICA!C13,"")</f>
        <v>22750</v>
      </c>
      <c r="D5" s="42">
        <f>IF(C5="",0,C5*J$10)</f>
        <v>2730</v>
      </c>
      <c r="E5" s="29">
        <f>IF(DigitaNICA!D13&lt;&gt;"",DigitaNICA!D13,"")</f>
        <v>750</v>
      </c>
      <c r="F5" s="42">
        <f>IF(E5="",0,E5*PREMIOS!E5)</f>
        <v>60000</v>
      </c>
      <c r="G5" s="30">
        <f t="shared" ref="G5:G12" si="1">IF(OR(C5="",E5=""),0,C5-D5-F5)</f>
        <v>-39980</v>
      </c>
      <c r="I5" s="217" t="s">
        <v>37</v>
      </c>
      <c r="J5" s="231">
        <f>SUM(IF(C5="",0,C5),IF(C9="",0,C9),IF(C13="",0,C13),IF(C17="",0,C17))</f>
        <v>42350</v>
      </c>
      <c r="K5" s="232">
        <f t="shared" ref="K5" si="2">D5+D9+D13+D17</f>
        <v>5082</v>
      </c>
      <c r="L5" s="233">
        <f>F5+F9+F13+F17</f>
        <v>60000</v>
      </c>
    </row>
    <row r="6" spans="1:12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95</v>
      </c>
      <c r="C7" s="29">
        <f>IF(DigitaTICA!C13&lt;&gt;"",DigitaTICA!C13,"")</f>
        <v>27700</v>
      </c>
      <c r="D7" s="42">
        <f>IF(C7="",0,C7*J$9)</f>
        <v>3324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24376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>
      <c r="A9" s="28" t="s">
        <v>48</v>
      </c>
      <c r="B9" s="132">
        <f>IF(DigitaNICA!E2&lt;&gt;"",DigitaNICA!E2,"")</f>
        <v>50</v>
      </c>
      <c r="C9" s="29">
        <f>IF(DigitaNICA!E13&lt;&gt;"",DigitaNICA!E13,"")</f>
        <v>16300</v>
      </c>
      <c r="D9" s="42">
        <f>IF(C9="",0,C9*J$10)</f>
        <v>1956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14344</v>
      </c>
      <c r="I9" s="60" t="s">
        <v>36</v>
      </c>
      <c r="J9" s="61">
        <v>0.12</v>
      </c>
      <c r="K9" s="62">
        <f>MROUND(D7+D11+D15,50)</f>
        <v>10800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5100</v>
      </c>
    </row>
    <row r="11" spans="1:12" ht="15.75" thickBot="1">
      <c r="A11" s="28" t="s">
        <v>59</v>
      </c>
      <c r="B11" s="132" t="str">
        <f>IF(DigitaTICA!E2&lt;&gt;"",DigitaTICA!E2,"")</f>
        <v>00</v>
      </c>
      <c r="C11" s="29">
        <f>IF(DigitaTICA!E13&lt;&gt;"",DigitaTICA!E13,"")</f>
        <v>20350</v>
      </c>
      <c r="D11" s="42">
        <f>IF(C11="",0,C11*J$9)</f>
        <v>2442</v>
      </c>
      <c r="E11" s="29">
        <f>IF(DigitaTICA!F13&lt;&gt;"",DigitaTICA!F13,"")</f>
        <v>1500</v>
      </c>
      <c r="F11" s="133">
        <f>IF(E11="",0,E11*PREMIOS!F11)</f>
        <v>127500</v>
      </c>
      <c r="G11" s="30">
        <f t="shared" si="1"/>
        <v>-109592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2">
        <f>IF(DigitaNICA!G2&lt;&gt;"",DigitaNICA!G2,"")</f>
        <v>22</v>
      </c>
      <c r="C13" s="29">
        <f>IF(DigitaNICA!G13&lt;&gt;"",DigitaNICA!G13,"")</f>
        <v>1000</v>
      </c>
      <c r="D13" s="42">
        <f>IF(C13="",0,C13*J$10)</f>
        <v>120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880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>08</v>
      </c>
      <c r="C15" s="29">
        <f>IF(DigitaTICA!G13&lt;&gt;"",DigitaTICA!G13,"")</f>
        <v>42100</v>
      </c>
      <c r="D15" s="42">
        <f>IF(C15="",0,C15*J$9)</f>
        <v>5052</v>
      </c>
      <c r="E15" s="29">
        <f>IF(DigitaTICA!H13&lt;&gt;"",DigitaTICA!H13,"")</f>
        <v>2600</v>
      </c>
      <c r="F15" s="133">
        <f>IF(E15="",0,E15*PREMIOS!F15)</f>
        <v>221000</v>
      </c>
      <c r="G15" s="30">
        <f t="shared" si="3"/>
        <v>-183952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35</v>
      </c>
      <c r="C17" s="29">
        <f>IF(DigitaNICA!I13&lt;&gt;"",DigitaNICA!I13,"")</f>
        <v>2300</v>
      </c>
      <c r="D17" s="42">
        <f>IF(C17="",0,C17*J$10)</f>
        <v>276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2024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7"/>
      <c r="C19" s="68">
        <f>SUM(C5:C18)</f>
        <v>132500</v>
      </c>
      <c r="D19" s="68">
        <f>MROUND(SUM(D5:D18),50)</f>
        <v>15900</v>
      </c>
      <c r="E19" s="68">
        <f>SUM(E5:E18)</f>
        <v>4850</v>
      </c>
      <c r="F19" s="68">
        <f>SUM(F5:F18)</f>
        <v>408500</v>
      </c>
      <c r="G19" s="88">
        <f>SUM(G5:G18)</f>
        <v>-291900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">
        <v>54</v>
      </c>
      <c r="C2" s="279"/>
      <c r="D2" s="280"/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 ht="15.75" thickBot="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104450</v>
      </c>
      <c r="K4" s="235">
        <f t="shared" ref="K4" si="0">D7+D11+D15</f>
        <v>15667.5</v>
      </c>
      <c r="L4" s="236">
        <f>F7+F11+F15</f>
        <v>120000</v>
      </c>
    </row>
    <row r="5" spans="1:12">
      <c r="A5" s="28" t="s">
        <v>43</v>
      </c>
      <c r="B5" s="132">
        <f>IF(DigitaNICA!C2&lt;&gt;"",DigitaNICA!C2,"")</f>
        <v>13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95</v>
      </c>
      <c r="C7" s="29">
        <f>IF(DigitaTICA!C14&lt;&gt;"",DigitaTICA!C14,"")</f>
        <v>57350</v>
      </c>
      <c r="D7" s="42">
        <f>IF(C7="",0,C7*J$9)</f>
        <v>8602.5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8747.5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>
      <c r="A9" s="28" t="s">
        <v>48</v>
      </c>
      <c r="B9" s="132">
        <f>IF(DigitaNICA!E2&lt;&gt;"",DigitaNICA!E2,"")</f>
        <v>50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15650</v>
      </c>
    </row>
    <row r="10" spans="1:12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.75" thickBot="1">
      <c r="A11" s="28" t="s">
        <v>59</v>
      </c>
      <c r="B11" s="132" t="str">
        <f>IF(DigitaTICA!E2&lt;&gt;"",DigitaTICA!E2,"")</f>
        <v>00</v>
      </c>
      <c r="C11" s="29">
        <f>IF(DigitaTICA!E14&lt;&gt;"",DigitaTICA!E14,"")</f>
        <v>18350</v>
      </c>
      <c r="D11" s="42">
        <f>IF(C11="",0,C11*J$9)</f>
        <v>2752.5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-64402.5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>
      <c r="A13" s="28" t="s">
        <v>50</v>
      </c>
      <c r="B13" s="132">
        <f>IF(DigitaNICA!G2&lt;&gt;"",DigitaNICA!G2,"")</f>
        <v>22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>
      <c r="A15" s="28" t="s">
        <v>61</v>
      </c>
      <c r="B15" s="132" t="str">
        <f>IF(DigitaTICA!G2&lt;&gt;"",DigitaTICA!G2,"")</f>
        <v>08</v>
      </c>
      <c r="C15" s="29">
        <f>IF(DigitaTICA!G14&lt;&gt;"",DigitaTICA!G14,"")</f>
        <v>28750</v>
      </c>
      <c r="D15" s="42">
        <f>IF(C15="",0,C15*J$9)</f>
        <v>4312.5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24437.5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>
      <c r="A17" s="28" t="s">
        <v>52</v>
      </c>
      <c r="B17" s="132">
        <f>IF(DigitaNICA!I2&lt;&gt;"",DigitaNICA!I2,"")</f>
        <v>35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.75" thickBot="1">
      <c r="A19" s="67" t="s">
        <v>5</v>
      </c>
      <c r="B19" s="127"/>
      <c r="C19" s="68">
        <f>SUM(C5:C18)</f>
        <v>104450</v>
      </c>
      <c r="D19" s="68">
        <f>MROUND(SUM(D5:D18),50)</f>
        <v>15650</v>
      </c>
      <c r="E19" s="68">
        <f>SUM(E5:E18)</f>
        <v>1500</v>
      </c>
      <c r="F19" s="68">
        <f>SUM(F5:F18)</f>
        <v>120000</v>
      </c>
      <c r="G19" s="88">
        <f>SUM(G5:G18)</f>
        <v>-31217.5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">
        <v>55</v>
      </c>
      <c r="C2" s="279"/>
      <c r="D2" s="280"/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.75" thickBot="1">
      <c r="A5" s="28" t="s">
        <v>43</v>
      </c>
      <c r="B5" s="132">
        <f>IF(DigitaNICA!C2&lt;&gt;"",DigitaNICA!C2,"")</f>
        <v>13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95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>
      <c r="A9" s="28" t="s">
        <v>48</v>
      </c>
      <c r="B9" s="132">
        <f>IF(DigitaNICA!E2&lt;&gt;"",DigitaNICA!E2,"")</f>
        <v>50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2" t="str">
        <f>IF(DigitaTICA!E2&lt;&gt;"",DigitaTICA!E2,"")</f>
        <v>00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2">
        <f>IF(DigitaNICA!G2&lt;&gt;"",DigitaNICA!G2,"")</f>
        <v>22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>08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88125</v>
      </c>
      <c r="K4" s="230">
        <f>D7+D11+D15</f>
        <v>10575</v>
      </c>
      <c r="L4" s="219">
        <f>F7+F11+F15</f>
        <v>148750</v>
      </c>
    </row>
    <row r="5" spans="1:12">
      <c r="A5" s="28" t="s">
        <v>43</v>
      </c>
      <c r="B5" s="132">
        <f>IF(DigitaNICA!C2&lt;&gt;"",DigitaNICA!C2,"")</f>
        <v>13</v>
      </c>
      <c r="C5" s="29">
        <f>IF(DigitaNICA!C16&lt;&gt;"",DigitaNICA!C16,"")</f>
        <v>19100</v>
      </c>
      <c r="D5" s="42">
        <f>IF(C5="",0,C5*J$12)</f>
        <v>2292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16808</v>
      </c>
      <c r="I5" s="63" t="s">
        <v>37</v>
      </c>
      <c r="J5" s="224">
        <f>SUM(IF(C5="",0,C5),IF(C9="",0,C9),IF(C13="",0,C13),IF(C17="",0,C17))</f>
        <v>74900</v>
      </c>
      <c r="K5" s="224">
        <f t="shared" ref="K5" si="1">D5+D9+D13+D17</f>
        <v>8988</v>
      </c>
      <c r="L5" s="221">
        <f>F5+F9+F13+F17</f>
        <v>40000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0</v>
      </c>
      <c r="K6" s="225">
        <f t="shared" ref="K6" si="2">+D8+D12+D16</f>
        <v>0</v>
      </c>
      <c r="L6" s="226">
        <f>F8+F12+F16</f>
        <v>0</v>
      </c>
    </row>
    <row r="7" spans="1:12">
      <c r="A7" s="28" t="s">
        <v>46</v>
      </c>
      <c r="B7" s="132">
        <f>IF(DigitaTICA!C2&lt;&gt;"",DigitaTICA!C2,"")</f>
        <v>95</v>
      </c>
      <c r="C7" s="29">
        <f>IF(DigitaTICA!C16&lt;&gt;"",DigitaTICA!C16,"")</f>
        <v>25950</v>
      </c>
      <c r="D7" s="42">
        <f>IF(C7="",0,C7*J$11)</f>
        <v>3114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22836</v>
      </c>
      <c r="I7" s="63" t="s">
        <v>96</v>
      </c>
      <c r="J7" s="225">
        <f>SUM(IF(C19="",0,C19),IF(C20="",0,C20))</f>
        <v>8300</v>
      </c>
      <c r="K7" s="225">
        <f>+D19+D20</f>
        <v>996</v>
      </c>
      <c r="L7" s="226">
        <f>+F19+F20</f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7">
        <f>SUM(IF(C21="",0,C21),IF(C22="",0,C22),IF(C23="",0,C23))</f>
        <v>3000</v>
      </c>
      <c r="K8" s="227">
        <f>D21+D22+D23</f>
        <v>360</v>
      </c>
      <c r="L8" s="228">
        <f>F21+F22+F23</f>
        <v>0</v>
      </c>
    </row>
    <row r="9" spans="1:12" ht="15.75" thickBot="1">
      <c r="A9" s="28" t="s">
        <v>48</v>
      </c>
      <c r="B9" s="132">
        <f>IF(DigitaNICA!E2&lt;&gt;"",DigitaNICA!E2,"")</f>
        <v>50</v>
      </c>
      <c r="C9" s="29">
        <f>IF(DigitaNICA!E16&lt;&gt;"",DigitaNICA!E16,"")</f>
        <v>9100</v>
      </c>
      <c r="D9" s="42">
        <f>IF(C9="",0,C9*J$12)</f>
        <v>1092</v>
      </c>
      <c r="E9" s="29">
        <f>IF(DigitaNICA!F16&lt;&gt;"",DigitaNICA!F16,"")</f>
        <v>250</v>
      </c>
      <c r="F9" s="133">
        <f>IF(E9="",0,E9*PREMIOS!E9)</f>
        <v>20000</v>
      </c>
      <c r="G9" s="30">
        <f t="shared" si="0"/>
        <v>-11992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>
      <c r="A11" s="28" t="s">
        <v>59</v>
      </c>
      <c r="B11" s="132" t="str">
        <f>IF(DigitaTICA!E2&lt;&gt;"",DigitaTICA!E2,"")</f>
        <v>00</v>
      </c>
      <c r="C11" s="29">
        <f>IF(DigitaTICA!E16&lt;&gt;"",DigitaTICA!E16,"")</f>
        <v>27500</v>
      </c>
      <c r="D11" s="42">
        <f>IF(C11="",0,C11*J$11)</f>
        <v>3300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2950</v>
      </c>
      <c r="I11" s="76" t="s">
        <v>36</v>
      </c>
      <c r="J11" s="77">
        <v>0.12</v>
      </c>
      <c r="K11" s="78">
        <f>MROUND(D7+D11+D15,50)</f>
        <v>10600</v>
      </c>
    </row>
    <row r="12" spans="1:12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9000</v>
      </c>
    </row>
    <row r="13" spans="1:12">
      <c r="A13" s="28" t="s">
        <v>50</v>
      </c>
      <c r="B13" s="132">
        <f>IF(DigitaNICA!G2&lt;&gt;"",DigitaNICA!G2,"")</f>
        <v>22</v>
      </c>
      <c r="C13" s="29">
        <f>IF(DigitaNICA!G16&lt;&gt;"",DigitaNICA!G16,"")</f>
        <v>15400</v>
      </c>
      <c r="D13" s="42">
        <f>IF(C13="",0,C13*J$12)</f>
        <v>1848</v>
      </c>
      <c r="E13" s="29">
        <f>IF(DigitaNICA!H16&lt;&gt;"",DigitaNICA!H16,"")</f>
        <v>250</v>
      </c>
      <c r="F13" s="133">
        <f>IF(E13="",0,E13*PREMIOS!E13)</f>
        <v>20000</v>
      </c>
      <c r="G13" s="30">
        <f>IF(OR(C13="",E13=""),0,C13-D13-F13)</f>
        <v>-6448</v>
      </c>
      <c r="I13" s="63" t="s">
        <v>38</v>
      </c>
      <c r="J13" s="64">
        <v>0.1</v>
      </c>
      <c r="K13" s="30">
        <f>MROUND(D6+D8+D10+D12+D14+D16+D18,50)</f>
        <v>0</v>
      </c>
    </row>
    <row r="14" spans="1:12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1000</v>
      </c>
    </row>
    <row r="15" spans="1:12" ht="15.75" thickBot="1">
      <c r="A15" s="28" t="s">
        <v>61</v>
      </c>
      <c r="B15" s="132" t="str">
        <f>IF(DigitaTICA!G2&lt;&gt;"",DigitaTICA!G2,"")</f>
        <v>08</v>
      </c>
      <c r="C15" s="29">
        <f>IF(DigitaTICA!G16&lt;&gt;"",DigitaTICA!G16,"")</f>
        <v>34675</v>
      </c>
      <c r="D15" s="42">
        <f>IF(C15="",0,C15*J$11)</f>
        <v>4161</v>
      </c>
      <c r="E15" s="29">
        <f>IF(DigitaTICA!H16&lt;&gt;"",DigitaTICA!H16,"")</f>
        <v>1500</v>
      </c>
      <c r="F15" s="133">
        <f>IF(E15="",0,E15*PREMIOS!F15)</f>
        <v>127500</v>
      </c>
      <c r="G15" s="30">
        <f t="shared" si="3"/>
        <v>-96986</v>
      </c>
      <c r="I15" s="65" t="s">
        <v>104</v>
      </c>
      <c r="J15" s="66">
        <v>0.12</v>
      </c>
      <c r="K15" s="50">
        <f>MROUND(D21+D22+D23,50)</f>
        <v>350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35</v>
      </c>
      <c r="C17" s="29">
        <f>IF(DigitaNICA!I16&lt;&gt;"",DigitaNICA!I16,"")</f>
        <v>31300</v>
      </c>
      <c r="D17" s="42">
        <f>IF(C17="",0,C17*J$12)</f>
        <v>3756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27544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79</v>
      </c>
      <c r="C19" s="29">
        <f>IF(DigitaPRIMERA!C16&lt;&gt;"",DigitaPRIMERA!C16,"")</f>
        <v>8300</v>
      </c>
      <c r="D19" s="42">
        <f>IF(C19="",0,C19*J$14)</f>
        <v>996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7304</v>
      </c>
    </row>
    <row r="20" spans="1:7">
      <c r="A20" s="28" t="s">
        <v>98</v>
      </c>
      <c r="B20" s="132">
        <f>IF(DigitaPRIMERA!E2&lt;&gt;"",DigitaPRIMERA!E2,"")</f>
        <v>75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>
      <c r="A21" s="28" t="s">
        <v>99</v>
      </c>
      <c r="B21" s="132">
        <f>IF(DigitaHONDURAS!C2&lt;&gt;"",DigitaHONDURAS!C2,"")</f>
        <v>52</v>
      </c>
      <c r="C21" s="29">
        <f>IF(DigitaHONDURAS!$C$16&lt;&gt;"",DigitaHONDURAS!$C$16,"")</f>
        <v>3000</v>
      </c>
      <c r="D21" s="42">
        <f>IF(C21="",0,C21*J$15)</f>
        <v>360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2640</v>
      </c>
    </row>
    <row r="22" spans="1:7">
      <c r="A22" s="28" t="s">
        <v>100</v>
      </c>
      <c r="B22" s="132">
        <f>IF(DigitaHONDURAS!E2&lt;&gt;"",DigitaHONDURAS!E2,"")</f>
        <v>24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>
      <c r="A23" s="28" t="s">
        <v>101</v>
      </c>
      <c r="B23" s="132">
        <f>IF(DigitaHONDURAS!G2&lt;&gt;"",DigitaHONDURAS!G2,"")</f>
        <v>99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.75" thickBot="1">
      <c r="A24" s="121" t="s">
        <v>5</v>
      </c>
      <c r="B24" s="128"/>
      <c r="C24" s="122">
        <f>SUM(C5:C23)</f>
        <v>174325</v>
      </c>
      <c r="D24" s="122">
        <f t="shared" ref="D24:G24" si="5">SUM(D5:D23)</f>
        <v>20919</v>
      </c>
      <c r="E24" s="122">
        <f t="shared" si="5"/>
        <v>2250</v>
      </c>
      <c r="F24" s="122">
        <f t="shared" si="5"/>
        <v>188750</v>
      </c>
      <c r="G24" s="123">
        <f t="shared" si="5"/>
        <v>-35344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">
        <v>91</v>
      </c>
      <c r="C2" s="279"/>
      <c r="D2" s="280"/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>
      <c r="A5" s="28" t="s">
        <v>43</v>
      </c>
      <c r="B5" s="132">
        <f>IF(DigitaNICA!C2&lt;&gt;"",DigitaNICA!C2,"")</f>
        <v>13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>
      <c r="A7" s="28" t="s">
        <v>46</v>
      </c>
      <c r="B7" s="132">
        <f>IF(DigitaTICA!C2&lt;&gt;"",DigitaTICA!C2,"")</f>
        <v>95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>
      <c r="A9" s="28" t="s">
        <v>48</v>
      </c>
      <c r="B9" s="132">
        <f>IF(DigitaNICA!E2&lt;&gt;"",DigitaNICA!E2,"")</f>
        <v>50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.75" thickBot="1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>
      <c r="A11" s="28" t="s">
        <v>59</v>
      </c>
      <c r="B11" s="132" t="str">
        <f>IF(DigitaTICA!E2&lt;&gt;"",DigitaTICA!E2,"")</f>
        <v>00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.75" thickBot="1">
      <c r="A13" s="28" t="s">
        <v>50</v>
      </c>
      <c r="B13" s="132">
        <f>IF(DigitaNICA!G2&lt;&gt;"",DigitaNICA!G2,"")</f>
        <v>22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.75" thickBot="1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>
      <c r="A15" s="28" t="s">
        <v>61</v>
      </c>
      <c r="B15" s="132" t="str">
        <f>IF(DigitaTICA!G2&lt;&gt;"",DigitaTICA!G2,"")</f>
        <v>08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>
      <c r="A17" s="28" t="s">
        <v>52</v>
      </c>
      <c r="B17" s="132">
        <f>IF(DigitaNICA!I2&lt;&gt;"",DigitaNICA!I2,"")</f>
        <v>35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>
      <c r="A19" s="28" t="s">
        <v>97</v>
      </c>
      <c r="B19" s="132">
        <f>IF(DigitaPRIMERA!C2&lt;&gt;"",DigitaPRIMERA!C2,"")</f>
        <v>79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>
      <c r="A20" s="28" t="s">
        <v>98</v>
      </c>
      <c r="B20" s="132">
        <f>IF(DigitaPRIMERA!E2&lt;&gt;"",DigitaPRIMERA!E2,"")</f>
        <v>75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2">
        <f>IF(DigitaHONDURAS!C2&lt;&gt;"",DigitaHONDURAS!C2,"")</f>
        <v>52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2">
        <f>IF(DigitaHONDURAS!E2&lt;&gt;"",DigitaHONDURAS!E2,"")</f>
        <v>24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>
      <c r="A23" s="28" t="s">
        <v>101</v>
      </c>
      <c r="B23" s="132">
        <f>IF(DigitaHONDURAS!G2&lt;&gt;"",DigitaHONDURAS!G2,"")</f>
        <v>99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>
      <c r="A24" s="28" t="s">
        <v>102</v>
      </c>
      <c r="B24" s="132" t="str">
        <f>IF(DigitaDOMINICANA!C2&lt;&gt;"",DigitaDOMINICANA!C2,"")</f>
        <v>02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2">
        <f>IF(DigitaDOMINICANA!E2&lt;&gt;"",DigitaDOMINICANA!E2,"")</f>
        <v>89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2">
        <f>IF(DigitaPANAMENA!C2&lt;&gt;"",DigitaPANAMENA!C2,"")</f>
        <v>25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">
        <v>92</v>
      </c>
      <c r="C2" s="279"/>
      <c r="D2" s="280"/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>
      <c r="A5" s="28" t="str">
        <f>+Vendedor1!A5</f>
        <v>Nica 11am</v>
      </c>
      <c r="B5" s="132">
        <f>IF(DigitaNICA!C2&lt;&gt;"",DigitaNICA!C2,"")</f>
        <v>13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>
      <c r="A7" s="28" t="str">
        <f>+Vendedor1!A7</f>
        <v>Tica 1pm</v>
      </c>
      <c r="B7" s="132">
        <f>IF(DigitaTICA!C2&lt;&gt;"",DigitaTICA!C2,"")</f>
        <v>95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>
      <c r="A9" s="28" t="str">
        <f>+Vendedor1!A9</f>
        <v>Nica 3pm</v>
      </c>
      <c r="B9" s="132">
        <f>IF(DigitaNICA!E2&lt;&gt;"",DigitaNICA!E2,"")</f>
        <v>50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.75" thickBot="1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>
      <c r="A11" s="28" t="s">
        <v>59</v>
      </c>
      <c r="B11" s="132" t="str">
        <f>IF(DigitaTICA!E2&lt;&gt;"",DigitaTICA!E2,"")</f>
        <v>00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.75" thickBot="1">
      <c r="A13" s="28" t="str">
        <f>+Vendedor1!A13</f>
        <v>Nica 6pm</v>
      </c>
      <c r="B13" s="132">
        <f>IF(DigitaNICA!G2&lt;&gt;"",DigitaNICA!G2,"")</f>
        <v>22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.75" thickBot="1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>
      <c r="A15" s="28" t="str">
        <f>+Vendedor1!A15</f>
        <v>Tica 7:30pm</v>
      </c>
      <c r="B15" s="132" t="str">
        <f>IF(DigitaTICA!G2&lt;&gt;"",DigitaTICA!G2,"")</f>
        <v>08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>
      <c r="A17" s="28" t="str">
        <f>+Vendedor1!A17</f>
        <v>Nica 9pm</v>
      </c>
      <c r="B17" s="132">
        <f>IF(DigitaNICA!I2&lt;&gt;"",DigitaNICA!I2,"")</f>
        <v>35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>
      <c r="A19" s="28" t="s">
        <v>97</v>
      </c>
      <c r="B19" s="132">
        <f>IF(DigitaPRIMERA!C2&lt;&gt;"",DigitaPRIMERA!C2,"")</f>
        <v>79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>
      <c r="A20" s="28" t="s">
        <v>98</v>
      </c>
      <c r="B20" s="132">
        <f>IF(DigitaPRIMERA!E2&lt;&gt;"",DigitaPRIMERA!E2,"")</f>
        <v>75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2">
        <f>IF(DigitaHONDURAS!C2&lt;&gt;"",DigitaHONDURAS!C2,"")</f>
        <v>52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2">
        <f>IF(DigitaHONDURAS!E2&lt;&gt;"",DigitaHONDURAS!E2,"")</f>
        <v>24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>
      <c r="A23" s="28" t="s">
        <v>101</v>
      </c>
      <c r="B23" s="132">
        <f>IF(DigitaHONDURAS!G2&lt;&gt;"",DigitaHONDURAS!G2,"")</f>
        <v>99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>
      <c r="A24" s="28" t="s">
        <v>102</v>
      </c>
      <c r="B24" s="132" t="str">
        <f>IF(DigitaDOMINICANA!C2&lt;&gt;"",DigitaDOMINICANA!C2,"")</f>
        <v>02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2">
        <f>IF(DigitaDOMINICANA!E2&lt;&gt;"",DigitaDOMINICANA!E2,"")</f>
        <v>89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2">
        <f>IF(DigitaPANAMENA!C2&lt;&gt;"",DigitaPANAMENA!C2,"")</f>
        <v>25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2" spans="1:11">
      <c r="A2" s="51" t="s">
        <v>35</v>
      </c>
      <c r="B2" s="124"/>
      <c r="C2" s="280" t="s">
        <v>88</v>
      </c>
      <c r="D2" s="280"/>
      <c r="E2" s="280"/>
    </row>
    <row r="3" spans="1:11" ht="15.75" thickBot="1">
      <c r="J3" s="72" t="s">
        <v>39</v>
      </c>
      <c r="K3" s="7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.75" thickBot="1">
      <c r="A5" s="28" t="str">
        <f>+Vendedor1!A5</f>
        <v>Nica 11am</v>
      </c>
      <c r="B5" s="132">
        <f>IF(DigitaNICA!C2&lt;&gt;"",DigitaNICA!C2,"")</f>
        <v>13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tr">
        <f>+Vendedor1!A7</f>
        <v>Tica 1pm</v>
      </c>
      <c r="B7" s="132">
        <f>IF(DigitaTICA!C2&lt;&gt;"",DigitaTICA!C2,"")</f>
        <v>95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.75" thickBot="1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>
      <c r="A9" s="28" t="str">
        <f>+Vendedor1!A9</f>
        <v>Nica 3pm</v>
      </c>
      <c r="B9" s="132">
        <f>IF(DigitaNICA!E2&lt;&gt;"",DigitaNICA!E2,"")</f>
        <v>50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>00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>
      <c r="A13" s="28" t="str">
        <f>+Vendedor1!A13</f>
        <v>Nica 6pm</v>
      </c>
      <c r="B13" s="132">
        <f>IF(DigitaNICA!G2&lt;&gt;"",DigitaNICA!G2,"")</f>
        <v>22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tr">
        <f>+Vendedor1!A15</f>
        <v>Tica 7:30pm</v>
      </c>
      <c r="B15" s="132" t="str">
        <f>IF(DigitaTICA!G2&lt;&gt;"",DigitaTICA!G2,"")</f>
        <v>08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tr">
        <f>+Vendedor1!A17</f>
        <v>Nica 9pm</v>
      </c>
      <c r="B17" s="132">
        <f>IF(DigitaNICA!I2&lt;&gt;"",DigitaNICA!I2,"")</f>
        <v>35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4"/>
      <c r="C2" s="280" t="s">
        <v>85</v>
      </c>
      <c r="D2" s="280"/>
      <c r="E2" s="280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13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95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>
      <c r="A9" s="28" t="s">
        <v>48</v>
      </c>
      <c r="B9" s="132">
        <f>IF(DigitaNICA!E2&lt;&gt;"",DigitaNICA!E2,"")</f>
        <v>50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>00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22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35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K19"/>
  <sheetViews>
    <sheetView showGridLines="0" zoomScaleNormal="100" workbookViewId="0"/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6384" width="11.42578125" style="214"/>
  </cols>
  <sheetData>
    <row r="1" spans="1:11" ht="15.75" thickBot="1"/>
    <row r="2" spans="1:11" ht="15.75" thickBot="1">
      <c r="A2" s="51" t="s">
        <v>35</v>
      </c>
      <c r="B2" s="124"/>
      <c r="C2" s="280" t="s">
        <v>84</v>
      </c>
      <c r="D2" s="280"/>
      <c r="E2" s="280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13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95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>
      <c r="A9" s="28" t="s">
        <v>48</v>
      </c>
      <c r="B9" s="132">
        <f>IF(DigitaNICA!E2&lt;&gt;"",DigitaNICA!E2,"")</f>
        <v>50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>00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22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35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1">
      <c r="A2" s="51" t="s">
        <v>35</v>
      </c>
      <c r="B2" s="124"/>
      <c r="C2" s="280" t="s">
        <v>83</v>
      </c>
      <c r="D2" s="280"/>
      <c r="E2" s="280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13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95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>
      <c r="A9" s="28" t="s">
        <v>48</v>
      </c>
      <c r="B9" s="132">
        <f>IF(DigitaNICA!E2&lt;&gt;"",DigitaNICA!E2,"")</f>
        <v>50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>00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22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35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1">
      <c r="A2" s="51" t="s">
        <v>35</v>
      </c>
      <c r="B2" s="124"/>
      <c r="C2" s="280" t="s">
        <v>82</v>
      </c>
      <c r="D2" s="280"/>
      <c r="E2" s="280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13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95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>
      <c r="A9" s="28" t="s">
        <v>48</v>
      </c>
      <c r="B9" s="132">
        <f>IF(DigitaNICA!E2&lt;&gt;"",DigitaNICA!E2,"")</f>
        <v>50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>00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22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35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67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70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66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.75" thickBot="1"/>
    <row r="21" spans="1:6" ht="15.75" thickBot="1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4"/>
      <c r="C2" s="280" t="s">
        <v>81</v>
      </c>
      <c r="D2" s="280"/>
      <c r="E2" s="280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.75" thickBot="1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.75" thickBot="1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106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64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69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58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68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1:K36"/>
  <sheetViews>
    <sheetView showGridLines="0" zoomScale="90" zoomScaleNormal="90" workbookViewId="0">
      <selection activeCell="G9" sqref="G9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</cols>
  <sheetData>
    <row r="1" spans="1:11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>
      <c r="C2" s="266">
        <f>IF(PREMIOS!$B7="","",PREMIOS!$B7)</f>
        <v>95</v>
      </c>
      <c r="D2" s="267"/>
      <c r="E2" s="266" t="str">
        <f>IF(PREMIOS!$B11="","",PREMIOS!$B11)</f>
        <v>00</v>
      </c>
      <c r="F2" s="267"/>
      <c r="G2" s="266" t="str">
        <f>IF(PREMIOS!$B15="","",PREMIOS!$B15)</f>
        <v>08</v>
      </c>
      <c r="H2" s="267"/>
    </row>
    <row r="3" spans="1:11" ht="21" customHeight="1" thickBot="1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>
      <c r="A4" s="186">
        <v>1</v>
      </c>
      <c r="B4" s="187" t="str">
        <f>Vendedor1!$B$2</f>
        <v>VENTANA</v>
      </c>
      <c r="C4" s="188">
        <v>76000</v>
      </c>
      <c r="D4" s="78">
        <v>250</v>
      </c>
      <c r="E4" s="188">
        <v>39700</v>
      </c>
      <c r="F4" s="78">
        <v>1000</v>
      </c>
      <c r="G4" s="188">
        <v>70450</v>
      </c>
      <c r="H4" s="78">
        <v>1150</v>
      </c>
      <c r="J4" s="42">
        <f t="shared" ref="J4:J8" si="0">+C4+E4+G4</f>
        <v>186150</v>
      </c>
      <c r="K4" s="42">
        <f>IF(D4="",0,IF(F4="",D4,IF(H4="",D4+F4,D4+F4+H4)))</f>
        <v>2400</v>
      </c>
    </row>
    <row r="5" spans="1:11">
      <c r="A5" s="47">
        <v>2</v>
      </c>
      <c r="B5" s="177" t="str">
        <f>Vendedor2!$B$2</f>
        <v>PUESTO 2</v>
      </c>
      <c r="C5" s="179">
        <v>49800</v>
      </c>
      <c r="D5" s="30">
        <f t="shared" ref="D5:H27" si="1">IF(C5="","",0)</f>
        <v>0</v>
      </c>
      <c r="E5" s="179">
        <v>51250</v>
      </c>
      <c r="F5" s="30">
        <v>450</v>
      </c>
      <c r="G5" s="179">
        <v>89050</v>
      </c>
      <c r="H5" s="30">
        <v>250</v>
      </c>
      <c r="J5" s="42">
        <f t="shared" si="0"/>
        <v>190100</v>
      </c>
      <c r="K5" s="42">
        <f t="shared" ref="K5:K27" si="2">IF(D5="",0,IF(F5="",D5,IF(H5="",D5+F5,D5+F5+H5)))</f>
        <v>700</v>
      </c>
    </row>
    <row r="6" spans="1:11">
      <c r="A6" s="47">
        <v>3</v>
      </c>
      <c r="B6" s="177" t="str">
        <f>Vendedor3!$B$2</f>
        <v>TABLET</v>
      </c>
      <c r="C6" s="179"/>
      <c r="D6" s="30" t="str">
        <f t="shared" si="1"/>
        <v/>
      </c>
      <c r="E6" s="179"/>
      <c r="F6" s="30" t="str">
        <f t="shared" si="1"/>
        <v/>
      </c>
      <c r="G6" s="179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>
      <c r="A7" s="47">
        <v>4</v>
      </c>
      <c r="B7" s="177" t="str">
        <f>Vendedor4!$B$2</f>
        <v>Nuevo 2</v>
      </c>
      <c r="C7" s="179"/>
      <c r="D7" s="30" t="str">
        <f t="shared" si="1"/>
        <v/>
      </c>
      <c r="E7" s="179"/>
      <c r="F7" s="30" t="str">
        <f t="shared" si="1"/>
        <v/>
      </c>
      <c r="G7" s="179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>
      <c r="A8" s="47">
        <v>5</v>
      </c>
      <c r="B8" s="177" t="str">
        <f>Vendedor5!$B$2</f>
        <v>YOYO</v>
      </c>
      <c r="C8" s="179"/>
      <c r="D8" s="30" t="str">
        <f t="shared" si="1"/>
        <v/>
      </c>
      <c r="E8" s="179"/>
      <c r="F8" s="30" t="str">
        <f t="shared" si="1"/>
        <v/>
      </c>
      <c r="G8" s="179"/>
      <c r="H8" s="30" t="str">
        <f t="shared" si="1"/>
        <v/>
      </c>
      <c r="J8" s="42">
        <f t="shared" si="0"/>
        <v>0</v>
      </c>
      <c r="K8" s="42">
        <f t="shared" si="2"/>
        <v>0</v>
      </c>
    </row>
    <row r="9" spans="1:11">
      <c r="A9" s="47">
        <v>6</v>
      </c>
      <c r="B9" s="177" t="str">
        <f>Vendedor6!$B$2</f>
        <v>MARTA ROSA</v>
      </c>
      <c r="C9" s="179"/>
      <c r="D9" s="30" t="str">
        <f t="shared" si="1"/>
        <v/>
      </c>
      <c r="E9" s="179"/>
      <c r="F9" s="30" t="str">
        <f t="shared" si="1"/>
        <v/>
      </c>
      <c r="G9" s="179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>
      <c r="A10" s="47">
        <v>7</v>
      </c>
      <c r="B10" s="177" t="str">
        <f>Vendedor7!$B$2</f>
        <v>PIKIS</v>
      </c>
      <c r="C10" s="179">
        <f>21500+88000</f>
        <v>109500</v>
      </c>
      <c r="D10" s="30">
        <f t="shared" si="1"/>
        <v>0</v>
      </c>
      <c r="E10" s="179">
        <f>22550+81050</f>
        <v>103600</v>
      </c>
      <c r="F10" s="30">
        <f>2000+500</f>
        <v>2500</v>
      </c>
      <c r="G10" s="179">
        <f>55350+100800</f>
        <v>156150</v>
      </c>
      <c r="H10" s="30">
        <f>1700+850</f>
        <v>2550</v>
      </c>
      <c r="J10" s="42">
        <f t="shared" si="3"/>
        <v>369250</v>
      </c>
      <c r="K10" s="42">
        <f t="shared" si="2"/>
        <v>5050</v>
      </c>
    </row>
    <row r="11" spans="1:11">
      <c r="A11" s="47">
        <v>8</v>
      </c>
      <c r="B11" s="177" t="str">
        <f>Vendedor8!$B$2</f>
        <v>ISA</v>
      </c>
      <c r="C11" s="179"/>
      <c r="D11" s="30" t="str">
        <f t="shared" si="1"/>
        <v/>
      </c>
      <c r="E11" s="179"/>
      <c r="F11" s="30" t="str">
        <f t="shared" si="1"/>
        <v/>
      </c>
      <c r="G11" s="179">
        <v>4000</v>
      </c>
      <c r="H11" s="30">
        <v>200</v>
      </c>
      <c r="J11" s="42">
        <f t="shared" si="3"/>
        <v>4000</v>
      </c>
      <c r="K11" s="42">
        <f t="shared" si="2"/>
        <v>0</v>
      </c>
    </row>
    <row r="12" spans="1:11">
      <c r="A12" s="47">
        <v>9</v>
      </c>
      <c r="B12" s="177" t="str">
        <f>Vendedor9!$B$2</f>
        <v>JUAN FELIX</v>
      </c>
      <c r="C12" s="179">
        <v>28900</v>
      </c>
      <c r="D12" s="30">
        <f t="shared" si="1"/>
        <v>0</v>
      </c>
      <c r="E12" s="179">
        <v>13700</v>
      </c>
      <c r="F12" s="30">
        <f t="shared" si="1"/>
        <v>0</v>
      </c>
      <c r="G12" s="179"/>
      <c r="H12" s="30" t="str">
        <f t="shared" si="1"/>
        <v/>
      </c>
      <c r="J12" s="42">
        <f t="shared" si="3"/>
        <v>42600</v>
      </c>
      <c r="K12" s="42">
        <f t="shared" si="2"/>
        <v>0</v>
      </c>
    </row>
    <row r="13" spans="1:11">
      <c r="A13" s="47">
        <v>10</v>
      </c>
      <c r="B13" s="177" t="str">
        <f>Vendedor10!$B$2</f>
        <v>MARIALIZ</v>
      </c>
      <c r="C13" s="179">
        <v>27700</v>
      </c>
      <c r="D13" s="30">
        <f t="shared" si="1"/>
        <v>0</v>
      </c>
      <c r="E13" s="179">
        <v>20350</v>
      </c>
      <c r="F13" s="30">
        <v>1500</v>
      </c>
      <c r="G13" s="179">
        <v>42100</v>
      </c>
      <c r="H13" s="30">
        <v>2600</v>
      </c>
      <c r="J13" s="42">
        <f t="shared" si="3"/>
        <v>90150</v>
      </c>
      <c r="K13" s="42">
        <f t="shared" si="2"/>
        <v>4100</v>
      </c>
    </row>
    <row r="14" spans="1:11">
      <c r="A14" s="47">
        <v>11</v>
      </c>
      <c r="B14" s="177" t="str">
        <f>Vendedor11!$B$2</f>
        <v>CHARLY</v>
      </c>
      <c r="C14" s="179">
        <v>57350</v>
      </c>
      <c r="D14" s="30">
        <v>500</v>
      </c>
      <c r="E14" s="179">
        <v>18350</v>
      </c>
      <c r="F14" s="30">
        <v>1000</v>
      </c>
      <c r="G14" s="179">
        <v>28750</v>
      </c>
      <c r="H14" s="30">
        <f t="shared" si="1"/>
        <v>0</v>
      </c>
      <c r="J14" s="42">
        <f t="shared" si="3"/>
        <v>104450</v>
      </c>
      <c r="K14" s="42">
        <f t="shared" si="2"/>
        <v>1500</v>
      </c>
    </row>
    <row r="15" spans="1:11">
      <c r="A15" s="47">
        <v>12</v>
      </c>
      <c r="B15" s="177" t="str">
        <f>Vendedor12!$B$2</f>
        <v>LAURY</v>
      </c>
      <c r="C15" s="179"/>
      <c r="D15" s="30" t="str">
        <f t="shared" si="1"/>
        <v/>
      </c>
      <c r="E15" s="179"/>
      <c r="F15" s="30" t="str">
        <f t="shared" si="1"/>
        <v/>
      </c>
      <c r="G15" s="179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>
      <c r="A16" s="47">
        <v>13</v>
      </c>
      <c r="B16" s="177" t="str">
        <f>Vendedor13!$B$2</f>
        <v>MINERO</v>
      </c>
      <c r="C16" s="179">
        <v>25950</v>
      </c>
      <c r="D16" s="30">
        <f t="shared" si="1"/>
        <v>0</v>
      </c>
      <c r="E16" s="179">
        <v>27500</v>
      </c>
      <c r="F16" s="30">
        <v>250</v>
      </c>
      <c r="G16" s="179">
        <v>34675</v>
      </c>
      <c r="H16" s="30">
        <v>1500</v>
      </c>
      <c r="J16" s="42">
        <f t="shared" si="3"/>
        <v>88125</v>
      </c>
      <c r="K16" s="42">
        <f t="shared" si="2"/>
        <v>1750</v>
      </c>
    </row>
    <row r="17" spans="1:11">
      <c r="A17" s="47">
        <v>14</v>
      </c>
      <c r="B17" s="177" t="str">
        <f>Vendedor14!$B$2</f>
        <v>EDUARDO TIEMPOS LICORERA</v>
      </c>
      <c r="C17" s="179"/>
      <c r="D17" s="30" t="str">
        <f t="shared" si="1"/>
        <v/>
      </c>
      <c r="E17" s="179"/>
      <c r="F17" s="30" t="str">
        <f t="shared" si="1"/>
        <v/>
      </c>
      <c r="G17" s="179"/>
      <c r="H17" s="30" t="str">
        <f t="shared" si="1"/>
        <v/>
      </c>
      <c r="J17" s="42">
        <f t="shared" si="3"/>
        <v>0</v>
      </c>
      <c r="K17" s="42">
        <f t="shared" si="2"/>
        <v>0</v>
      </c>
    </row>
    <row r="18" spans="1:11">
      <c r="A18" s="47">
        <v>15</v>
      </c>
      <c r="B18" s="177" t="str">
        <f>Vendedor15!$B$2</f>
        <v>EDUARDO PUESTO CENTRO</v>
      </c>
      <c r="C18" s="179"/>
      <c r="D18" s="30" t="str">
        <f t="shared" si="1"/>
        <v/>
      </c>
      <c r="E18" s="179"/>
      <c r="F18" s="30" t="str">
        <f t="shared" si="1"/>
        <v/>
      </c>
      <c r="G18" s="179"/>
      <c r="H18" s="30" t="str">
        <f t="shared" si="1"/>
        <v/>
      </c>
      <c r="J18" s="42">
        <f t="shared" si="3"/>
        <v>0</v>
      </c>
      <c r="K18" s="42">
        <f t="shared" si="2"/>
        <v>0</v>
      </c>
    </row>
    <row r="19" spans="1:11" hidden="1">
      <c r="A19" s="47">
        <v>16</v>
      </c>
      <c r="B19" s="177" t="str">
        <f>Vendedor16!$C$2</f>
        <v>Vendedor 16</v>
      </c>
      <c r="C19" s="179"/>
      <c r="D19" s="30" t="str">
        <f t="shared" si="1"/>
        <v/>
      </c>
      <c r="E19" s="179"/>
      <c r="F19" s="30" t="str">
        <f t="shared" si="1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>
      <c r="A20" s="47">
        <v>17</v>
      </c>
      <c r="B20" s="177" t="str">
        <f>Vendedor17!$C$2</f>
        <v>Vendedor 17</v>
      </c>
      <c r="C20" s="179"/>
      <c r="D20" s="30" t="str">
        <f t="shared" si="1"/>
        <v/>
      </c>
      <c r="E20" s="179"/>
      <c r="F20" s="30" t="str">
        <f t="shared" si="1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>
      <c r="A21" s="47">
        <v>18</v>
      </c>
      <c r="B21" s="177" t="str">
        <f>Vendedor18!$C$2</f>
        <v>Vendedor 18</v>
      </c>
      <c r="C21" s="179"/>
      <c r="D21" s="30" t="str">
        <f t="shared" si="1"/>
        <v/>
      </c>
      <c r="E21" s="179"/>
      <c r="F21" s="30" t="str">
        <f t="shared" si="1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>
      <c r="A22" s="47">
        <v>19</v>
      </c>
      <c r="B22" s="177" t="str">
        <f>Vendedor19!$C$2</f>
        <v>Vendedor 19</v>
      </c>
      <c r="C22" s="179"/>
      <c r="D22" s="30" t="str">
        <f t="shared" si="1"/>
        <v/>
      </c>
      <c r="E22" s="179"/>
      <c r="F22" s="30" t="str">
        <f t="shared" si="1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>
      <c r="A23" s="47">
        <v>20</v>
      </c>
      <c r="B23" s="177" t="str">
        <f>Vendedor20!$C$2</f>
        <v>Vendedor 20</v>
      </c>
      <c r="C23" s="179"/>
      <c r="D23" s="30" t="str">
        <f t="shared" si="1"/>
        <v/>
      </c>
      <c r="E23" s="179"/>
      <c r="F23" s="30" t="str">
        <f t="shared" si="1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>
      <c r="A24" s="47">
        <v>21</v>
      </c>
      <c r="B24" s="177" t="str">
        <f>Vendedor21!$B$2</f>
        <v>Vendedor 21</v>
      </c>
      <c r="C24" s="179"/>
      <c r="D24" s="30" t="str">
        <f t="shared" si="1"/>
        <v/>
      </c>
      <c r="E24" s="179"/>
      <c r="F24" s="30" t="str">
        <f t="shared" si="1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>
      <c r="A25" s="47">
        <v>22</v>
      </c>
      <c r="B25" s="177" t="str">
        <f>Vendedor22!$B$2</f>
        <v>Vendedor 22</v>
      </c>
      <c r="C25" s="179"/>
      <c r="D25" s="30" t="str">
        <f t="shared" si="1"/>
        <v/>
      </c>
      <c r="E25" s="179"/>
      <c r="F25" s="30" t="str">
        <f t="shared" si="1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>
      <c r="A26" s="47">
        <v>23</v>
      </c>
      <c r="B26" s="177" t="str">
        <f>Vendedor23!$B$2</f>
        <v>Vendedor 23</v>
      </c>
      <c r="C26" s="179"/>
      <c r="D26" s="30" t="str">
        <f t="shared" si="1"/>
        <v/>
      </c>
      <c r="E26" s="179"/>
      <c r="F26" s="30" t="str">
        <f t="shared" si="1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.75" thickBot="1">
      <c r="A27" s="49">
        <v>24</v>
      </c>
      <c r="B27" s="190" t="str">
        <f>Vendedor24!$C$2</f>
        <v>Arreglo Otro</v>
      </c>
      <c r="C27" s="180"/>
      <c r="D27" s="50" t="str">
        <f t="shared" si="1"/>
        <v/>
      </c>
      <c r="E27" s="180"/>
      <c r="F27" s="50" t="str">
        <f t="shared" si="1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>
      <c r="C32" s="43">
        <f t="shared" ref="C32:H32" si="6">SUM(C4:C31)</f>
        <v>375200</v>
      </c>
      <c r="D32" s="44">
        <f t="shared" si="6"/>
        <v>750</v>
      </c>
      <c r="E32" s="43">
        <f t="shared" si="6"/>
        <v>274450</v>
      </c>
      <c r="F32" s="44">
        <f t="shared" si="6"/>
        <v>6700</v>
      </c>
      <c r="G32" s="43">
        <f t="shared" si="6"/>
        <v>425175</v>
      </c>
      <c r="H32" s="44">
        <f t="shared" si="6"/>
        <v>8250</v>
      </c>
      <c r="J32" s="95">
        <f>SUM(J4:J31)</f>
        <v>1074825</v>
      </c>
      <c r="K32" s="95"/>
    </row>
    <row r="33" spans="2:8">
      <c r="D33" s="99">
        <f>+D32*85</f>
        <v>63750</v>
      </c>
      <c r="F33" s="99">
        <f>+F32*85</f>
        <v>569500</v>
      </c>
      <c r="H33" s="99">
        <f>+H32*85</f>
        <v>701250</v>
      </c>
    </row>
    <row r="34" spans="2:8">
      <c r="B34" s="246" t="s">
        <v>149</v>
      </c>
      <c r="C34" s="43">
        <f t="shared" ref="C34:H34" si="7">+C4+C5+C6+C8+C13</f>
        <v>153500</v>
      </c>
      <c r="D34" s="43" t="e">
        <f t="shared" si="7"/>
        <v>#VALUE!</v>
      </c>
      <c r="E34" s="43">
        <f t="shared" si="7"/>
        <v>111300</v>
      </c>
      <c r="F34" s="43" t="e">
        <f t="shared" si="7"/>
        <v>#VALUE!</v>
      </c>
      <c r="G34" s="43">
        <f t="shared" si="7"/>
        <v>201600</v>
      </c>
      <c r="H34" s="43" t="e">
        <f t="shared" si="7"/>
        <v>#VALUE!</v>
      </c>
    </row>
    <row r="35" spans="2:8">
      <c r="B35" s="246" t="s">
        <v>150</v>
      </c>
      <c r="C35" s="43">
        <f>+C11+C14+C15+C17+C18</f>
        <v>57350</v>
      </c>
      <c r="D35" s="43" t="e">
        <f t="shared" ref="D35:H35" si="8">+D11+D14+D15+D17+D18</f>
        <v>#VALUE!</v>
      </c>
      <c r="E35" s="43">
        <f t="shared" si="8"/>
        <v>18350</v>
      </c>
      <c r="F35" s="43" t="e">
        <f t="shared" si="8"/>
        <v>#VALUE!</v>
      </c>
      <c r="G35" s="43">
        <f t="shared" si="8"/>
        <v>32750</v>
      </c>
      <c r="H35" s="43" t="e">
        <f t="shared" si="8"/>
        <v>#VALUE!</v>
      </c>
    </row>
    <row r="36" spans="2:8">
      <c r="B36" s="246" t="s">
        <v>151</v>
      </c>
      <c r="C36" s="43">
        <f>+C10+C12+C27</f>
        <v>138400</v>
      </c>
      <c r="D36" s="43" t="e">
        <f t="shared" ref="D36:H36" si="9">+D10+D12+D27</f>
        <v>#VALUE!</v>
      </c>
      <c r="E36" s="43">
        <f t="shared" si="9"/>
        <v>117300</v>
      </c>
      <c r="F36" s="43" t="e">
        <f t="shared" si="9"/>
        <v>#VALUE!</v>
      </c>
      <c r="G36" s="43">
        <f t="shared" si="9"/>
        <v>156150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10" width="12.5703125" customWidth="1"/>
    <col min="11" max="11" width="3.5703125" customWidth="1"/>
    <col min="12" max="13" width="12.5703125" customWidth="1"/>
    <col min="14" max="14" width="3.5703125" customWidth="1"/>
  </cols>
  <sheetData>
    <row r="1" spans="1:13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>
      <c r="C2" s="266">
        <f>IF(PREMIOS!$B5="","",PREMIOS!$B5)</f>
        <v>13</v>
      </c>
      <c r="D2" s="267"/>
      <c r="E2" s="266">
        <f>IF(PREMIOS!$B9="","",PREMIOS!$B9)</f>
        <v>50</v>
      </c>
      <c r="F2" s="267"/>
      <c r="G2" s="266">
        <f>IF(PREMIOS!$B13="","",PREMIOS!$B13)</f>
        <v>22</v>
      </c>
      <c r="H2" s="267"/>
      <c r="I2" s="266">
        <f>IF(PREMIOS!$B17="","",PREMIOS!$B17)</f>
        <v>35</v>
      </c>
      <c r="J2" s="267"/>
    </row>
    <row r="3" spans="1:13" ht="21" customHeight="1" thickBot="1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>
      <c r="A4" s="186">
        <v>1</v>
      </c>
      <c r="B4" s="187" t="str">
        <f>Vendedor1!$B$2</f>
        <v>VENTANA</v>
      </c>
      <c r="C4" s="188">
        <v>43400</v>
      </c>
      <c r="D4" s="78">
        <v>1000</v>
      </c>
      <c r="E4" s="205">
        <v>13850</v>
      </c>
      <c r="F4" s="78">
        <f t="shared" ref="D4:J27" si="0">IF(E4="","",0)</f>
        <v>0</v>
      </c>
      <c r="G4" s="188">
        <v>5600</v>
      </c>
      <c r="H4" s="78">
        <f t="shared" ref="H4:H27" si="1">IF(G4="","",0)</f>
        <v>0</v>
      </c>
      <c r="I4" s="188">
        <v>6000</v>
      </c>
      <c r="J4" s="78">
        <v>1000</v>
      </c>
      <c r="L4" s="42">
        <f t="shared" ref="L4:L8" si="2">+C4+E4+G4+I4</f>
        <v>68850</v>
      </c>
      <c r="M4" s="42">
        <f>IF(D4=0,0,IF(F4="",D4,IF(H4="",D4+F4,IF(J4="",D4+F4+H4,D4+F4+H4+J4))))</f>
        <v>2000</v>
      </c>
    </row>
    <row r="5" spans="1:13">
      <c r="A5" s="47">
        <v>2</v>
      </c>
      <c r="B5" s="177" t="str">
        <f>Vendedor2!$B$2</f>
        <v>PUESTO 2</v>
      </c>
      <c r="C5" s="179">
        <v>17500</v>
      </c>
      <c r="D5" s="30">
        <f t="shared" si="0"/>
        <v>0</v>
      </c>
      <c r="E5" s="206">
        <v>23950</v>
      </c>
      <c r="F5" s="30">
        <f t="shared" si="0"/>
        <v>0</v>
      </c>
      <c r="G5" s="179">
        <v>4300</v>
      </c>
      <c r="H5" s="30">
        <f t="shared" si="1"/>
        <v>0</v>
      </c>
      <c r="I5" s="179">
        <v>2200</v>
      </c>
      <c r="J5" s="30">
        <f t="shared" ref="J5:J27" si="3">IF(I5="","",0)</f>
        <v>0</v>
      </c>
      <c r="L5" s="42">
        <f t="shared" si="2"/>
        <v>47950</v>
      </c>
      <c r="M5" s="42">
        <f t="shared" ref="M5:M27" si="4">IF(D5=0,0,IF(F5="",D5,IF(H5="",D5+F5,IF(J5="",D5+F5+H5,D5+F5+H5+J5))))</f>
        <v>0</v>
      </c>
    </row>
    <row r="6" spans="1:13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>
      <c r="A8" s="47">
        <v>5</v>
      </c>
      <c r="B8" s="177" t="str">
        <f>Vendedor5!$B$2</f>
        <v>YOYO</v>
      </c>
      <c r="C8" s="179"/>
      <c r="D8" s="30" t="str">
        <f t="shared" si="0"/>
        <v/>
      </c>
      <c r="E8" s="206"/>
      <c r="F8" s="30" t="str">
        <f t="shared" si="0"/>
        <v/>
      </c>
      <c r="G8" s="179"/>
      <c r="H8" s="30" t="str">
        <f t="shared" si="1"/>
        <v/>
      </c>
      <c r="I8" s="179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>
      <c r="A10" s="47">
        <v>7</v>
      </c>
      <c r="B10" s="177" t="str">
        <f>Vendedor7!$B$2</f>
        <v>PIKIS</v>
      </c>
      <c r="C10" s="179">
        <f>13600+40500</f>
        <v>54100</v>
      </c>
      <c r="D10" s="30">
        <f>500+1500</f>
        <v>2000</v>
      </c>
      <c r="E10" s="206">
        <f>19700+38300</f>
        <v>58000</v>
      </c>
      <c r="F10" s="30">
        <f>300+2500</f>
        <v>2800</v>
      </c>
      <c r="G10" s="179">
        <f>10100+25650</f>
        <v>35750</v>
      </c>
      <c r="H10" s="30">
        <v>250</v>
      </c>
      <c r="I10" s="179">
        <f>29550+57100</f>
        <v>86650</v>
      </c>
      <c r="J10" s="30">
        <f>500+500</f>
        <v>1000</v>
      </c>
      <c r="L10" s="42">
        <f t="shared" si="5"/>
        <v>234500</v>
      </c>
      <c r="M10" s="42">
        <f t="shared" si="4"/>
        <v>6050</v>
      </c>
    </row>
    <row r="11" spans="1:13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>
      <c r="A12" s="47">
        <v>9</v>
      </c>
      <c r="B12" s="177" t="str">
        <f>Vendedor9!$B$2</f>
        <v>JUAN FELIX</v>
      </c>
      <c r="C12" s="179">
        <v>15350</v>
      </c>
      <c r="D12" s="30">
        <f t="shared" si="0"/>
        <v>0</v>
      </c>
      <c r="E12" s="206"/>
      <c r="F12" s="30" t="str">
        <f t="shared" si="0"/>
        <v/>
      </c>
      <c r="G12" s="179"/>
      <c r="H12" s="30" t="str">
        <f t="shared" si="0"/>
        <v/>
      </c>
      <c r="I12" s="179"/>
      <c r="J12" s="30" t="str">
        <f t="shared" si="0"/>
        <v/>
      </c>
      <c r="L12" s="42">
        <f t="shared" si="5"/>
        <v>15350</v>
      </c>
      <c r="M12" s="42">
        <f t="shared" si="4"/>
        <v>0</v>
      </c>
    </row>
    <row r="13" spans="1:13">
      <c r="A13" s="47">
        <v>10</v>
      </c>
      <c r="B13" s="177" t="str">
        <f>Vendedor10!$B$2</f>
        <v>MARIALIZ</v>
      </c>
      <c r="C13" s="179">
        <v>22750</v>
      </c>
      <c r="D13" s="30">
        <v>750</v>
      </c>
      <c r="E13" s="206">
        <v>16300</v>
      </c>
      <c r="F13" s="30">
        <f t="shared" si="0"/>
        <v>0</v>
      </c>
      <c r="G13" s="179">
        <v>1000</v>
      </c>
      <c r="H13" s="30">
        <f t="shared" si="0"/>
        <v>0</v>
      </c>
      <c r="I13" s="179">
        <v>2300</v>
      </c>
      <c r="J13" s="30">
        <f t="shared" si="0"/>
        <v>0</v>
      </c>
      <c r="L13" s="42">
        <f t="shared" si="5"/>
        <v>42350</v>
      </c>
      <c r="M13" s="42">
        <f t="shared" si="4"/>
        <v>750</v>
      </c>
    </row>
    <row r="14" spans="1:13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>
      <c r="A16" s="47">
        <v>13</v>
      </c>
      <c r="B16" s="177" t="str">
        <f>Vendedor13!$B$2</f>
        <v>MINERO</v>
      </c>
      <c r="C16" s="179">
        <v>19100</v>
      </c>
      <c r="D16" s="30">
        <f t="shared" si="0"/>
        <v>0</v>
      </c>
      <c r="E16" s="206">
        <v>9100</v>
      </c>
      <c r="F16" s="30">
        <v>250</v>
      </c>
      <c r="G16" s="179">
        <v>15400</v>
      </c>
      <c r="H16" s="30">
        <v>250</v>
      </c>
      <c r="I16" s="179">
        <v>31300</v>
      </c>
      <c r="J16" s="30">
        <f t="shared" si="0"/>
        <v>0</v>
      </c>
      <c r="L16" s="42">
        <f t="shared" si="5"/>
        <v>74900</v>
      </c>
      <c r="M16" s="42">
        <f t="shared" si="4"/>
        <v>0</v>
      </c>
    </row>
    <row r="17" spans="1:13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206"/>
      <c r="F17" s="30" t="str">
        <f t="shared" si="0"/>
        <v/>
      </c>
      <c r="G17" s="179"/>
      <c r="H17" s="30" t="str">
        <f t="shared" si="0"/>
        <v/>
      </c>
      <c r="I17" s="179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206"/>
      <c r="F18" s="30" t="str">
        <f t="shared" si="0"/>
        <v/>
      </c>
      <c r="G18" s="179"/>
      <c r="H18" s="30" t="str">
        <f t="shared" si="0"/>
        <v/>
      </c>
      <c r="I18" s="179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.75" thickBot="1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>
      <c r="C32" s="43">
        <f t="shared" ref="C32:J32" si="7">SUM(C4:C31)</f>
        <v>172200</v>
      </c>
      <c r="D32" s="44">
        <f t="shared" si="7"/>
        <v>3750</v>
      </c>
      <c r="E32" s="43">
        <f t="shared" si="7"/>
        <v>121200</v>
      </c>
      <c r="F32" s="44">
        <f t="shared" si="7"/>
        <v>3050</v>
      </c>
      <c r="G32" s="43">
        <f t="shared" si="7"/>
        <v>62050</v>
      </c>
      <c r="H32" s="44">
        <f t="shared" si="7"/>
        <v>500</v>
      </c>
      <c r="I32" s="43">
        <f t="shared" si="7"/>
        <v>128450</v>
      </c>
      <c r="J32" s="44">
        <f t="shared" si="7"/>
        <v>2000</v>
      </c>
      <c r="L32" s="95">
        <f>SUM(L9:L31)</f>
        <v>367100</v>
      </c>
      <c r="M32" s="95">
        <f>SUM(M9:M31)</f>
        <v>6800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>
      <c r="C2" s="266" t="str">
        <f>IF(C33=0,"",CONCATENATE(PREMIOS!$B7," ",PREMIOS!$B8))</f>
        <v>95 Roja</v>
      </c>
      <c r="D2" s="267"/>
      <c r="E2" s="266" t="str">
        <f>IF(E33=0,"",CONCATENATE(PREMIOS!$B11," ",PREMIOS!$B12))</f>
        <v>00 Blanca</v>
      </c>
      <c r="F2" s="267"/>
      <c r="G2" s="266" t="str">
        <f>IF(G33=0,"",CONCATENATE(PREMIOS!$B15," ",PREMIOS!$B16))</f>
        <v>08 Blanca</v>
      </c>
      <c r="H2" s="267"/>
    </row>
    <row r="3" spans="1:11" ht="21" customHeight="1" thickBot="1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7" t="str">
        <f>Vendedor7!$B$2</f>
        <v>PIKIS</v>
      </c>
      <c r="C10" s="179">
        <f>5100+7600</f>
        <v>12700</v>
      </c>
      <c r="D10" s="30">
        <f t="shared" si="0"/>
        <v>0</v>
      </c>
      <c r="E10" s="179">
        <f>8000+13500</f>
        <v>21500</v>
      </c>
      <c r="F10" s="30">
        <f>1000+0</f>
        <v>1000</v>
      </c>
      <c r="G10" s="179">
        <f>14950+6500</f>
        <v>21450</v>
      </c>
      <c r="H10" s="30">
        <f>500+0</f>
        <v>500</v>
      </c>
      <c r="J10" s="42">
        <f t="shared" si="3"/>
        <v>55650</v>
      </c>
      <c r="K10" s="42">
        <f t="shared" si="4"/>
        <v>1500</v>
      </c>
    </row>
    <row r="11" spans="1:11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7" t="str">
        <f>Vendedor9!$B$2</f>
        <v>JUAN FELIX</v>
      </c>
      <c r="C12" s="179">
        <v>4600</v>
      </c>
      <c r="D12" s="30">
        <f t="shared" si="0"/>
        <v>0</v>
      </c>
      <c r="E12" s="179"/>
      <c r="F12" s="30" t="str">
        <f t="shared" si="1"/>
        <v/>
      </c>
      <c r="G12" s="179"/>
      <c r="H12" s="30" t="str">
        <f t="shared" si="0"/>
        <v/>
      </c>
      <c r="J12" s="42">
        <f t="shared" si="3"/>
        <v>4600</v>
      </c>
      <c r="K12" s="42">
        <f t="shared" si="4"/>
        <v>0</v>
      </c>
    </row>
    <row r="13" spans="1:11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 t="shared" si="0"/>
        <v/>
      </c>
      <c r="J16" s="42">
        <f t="shared" si="3"/>
        <v>0</v>
      </c>
      <c r="K16" s="42">
        <f t="shared" si="4"/>
        <v>0</v>
      </c>
    </row>
    <row r="17" spans="1:11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7">SUM(C4:C32)</f>
        <v>17300</v>
      </c>
      <c r="D33" s="44">
        <f t="shared" si="7"/>
        <v>0</v>
      </c>
      <c r="E33" s="43">
        <f t="shared" si="7"/>
        <v>21500</v>
      </c>
      <c r="F33" s="44">
        <f t="shared" si="7"/>
        <v>1000</v>
      </c>
      <c r="G33" s="43">
        <f t="shared" si="7"/>
        <v>21450</v>
      </c>
      <c r="H33" s="44">
        <f t="shared" si="7"/>
        <v>500</v>
      </c>
      <c r="J33" s="45">
        <f>SUM(J4:J32)</f>
        <v>60250</v>
      </c>
      <c r="K33" s="95">
        <f>SUM(K4:K32)</f>
        <v>1500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>
      <c r="C2" s="266">
        <f>IF(PREMIOS!$B19="","",PREMIOS!$B19)</f>
        <v>79</v>
      </c>
      <c r="D2" s="267"/>
      <c r="E2" s="266">
        <f>IF(PREMIOS!$C19="","",PREMIOS!$C19)</f>
        <v>75</v>
      </c>
      <c r="F2" s="267"/>
    </row>
    <row r="3" spans="1:9" ht="21" customHeight="1" thickBot="1">
      <c r="C3" s="266"/>
      <c r="D3" s="267"/>
      <c r="E3" s="266"/>
      <c r="F3" s="267"/>
      <c r="H3" s="39" t="s">
        <v>28</v>
      </c>
      <c r="I3" s="39" t="s">
        <v>77</v>
      </c>
    </row>
    <row r="4" spans="1:9">
      <c r="A4" s="186">
        <v>1</v>
      </c>
      <c r="B4" s="187" t="str">
        <f>Vendedor1!$B$2</f>
        <v>VENTANA</v>
      </c>
      <c r="C4" s="188">
        <v>5000</v>
      </c>
      <c r="D4" s="78">
        <f t="shared" ref="D4:F27" si="0">IF(C4="","",0)</f>
        <v>0</v>
      </c>
      <c r="E4" s="188">
        <v>3950</v>
      </c>
      <c r="F4" s="78">
        <f t="shared" si="0"/>
        <v>0</v>
      </c>
      <c r="H4" s="42">
        <f>+C4+E4</f>
        <v>8950</v>
      </c>
      <c r="I4" s="42">
        <f>IF(D4="",0,IF(F4="",D4,D4+F4))</f>
        <v>0</v>
      </c>
    </row>
    <row r="5" spans="1:9">
      <c r="A5" s="47">
        <v>2</v>
      </c>
      <c r="B5" s="177" t="str">
        <f>Vendedor2!$B$2</f>
        <v>PUESTO 2</v>
      </c>
      <c r="C5" s="179">
        <v>9800</v>
      </c>
      <c r="D5" s="30">
        <f t="shared" si="0"/>
        <v>0</v>
      </c>
      <c r="E5" s="179">
        <v>1200</v>
      </c>
      <c r="F5" s="30">
        <f t="shared" ref="F5:F27" si="1">IF(E5="","",0)</f>
        <v>0</v>
      </c>
      <c r="H5" s="42">
        <f t="shared" ref="H5:H32" si="2">+C5+E5</f>
        <v>11000</v>
      </c>
      <c r="I5" s="42">
        <f t="shared" ref="I5:I27" si="3">IF(D5="",0,IF(F5="",D5,D5+F5))</f>
        <v>0</v>
      </c>
    </row>
    <row r="6" spans="1:9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7" t="str">
        <f>Vendedor5!$B$2</f>
        <v>YOYO</v>
      </c>
      <c r="C8" s="193"/>
      <c r="D8" s="30" t="str">
        <f t="shared" si="0"/>
        <v/>
      </c>
      <c r="E8" s="193"/>
      <c r="F8" s="194" t="str">
        <f t="shared" si="1"/>
        <v/>
      </c>
      <c r="H8" s="42">
        <f t="shared" si="2"/>
        <v>0</v>
      </c>
      <c r="I8" s="42">
        <f t="shared" si="3"/>
        <v>0</v>
      </c>
    </row>
    <row r="9" spans="1:9">
      <c r="A9" s="47">
        <v>6</v>
      </c>
      <c r="B9" s="177" t="str">
        <f>Vendedor6!$B$2</f>
        <v>MARTA ROSA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7" t="str">
        <f>Vendedor7!$B$2</f>
        <v>PIKIS</v>
      </c>
      <c r="C10" s="179">
        <f>7100+12000</f>
        <v>19100</v>
      </c>
      <c r="D10" s="30">
        <f t="shared" si="0"/>
        <v>0</v>
      </c>
      <c r="E10" s="179">
        <v>7300</v>
      </c>
      <c r="F10" s="194">
        <f t="shared" si="1"/>
        <v>0</v>
      </c>
      <c r="H10" s="42">
        <f t="shared" si="2"/>
        <v>26400</v>
      </c>
      <c r="I10" s="42">
        <f t="shared" si="3"/>
        <v>0</v>
      </c>
    </row>
    <row r="11" spans="1:9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7" t="str">
        <f>Vendedor9!$B$2</f>
        <v>JUAN FELIX</v>
      </c>
      <c r="C12" s="193">
        <v>22400</v>
      </c>
      <c r="D12" s="30">
        <v>1000</v>
      </c>
      <c r="E12" s="193"/>
      <c r="F12" s="30" t="str">
        <f t="shared" si="0"/>
        <v/>
      </c>
      <c r="H12" s="42">
        <f t="shared" si="2"/>
        <v>22400</v>
      </c>
      <c r="I12" s="42">
        <f t="shared" si="3"/>
        <v>1000</v>
      </c>
    </row>
    <row r="13" spans="1:9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7" t="str">
        <f>Vendedor13!$B$2</f>
        <v>MINERO</v>
      </c>
      <c r="C16" s="193">
        <v>8300</v>
      </c>
      <c r="D16" s="194">
        <f t="shared" si="0"/>
        <v>0</v>
      </c>
      <c r="E16" s="193"/>
      <c r="F16" s="194" t="str">
        <f t="shared" si="0"/>
        <v/>
      </c>
      <c r="H16" s="42">
        <f t="shared" si="2"/>
        <v>8300</v>
      </c>
      <c r="I16" s="42">
        <f t="shared" si="3"/>
        <v>0</v>
      </c>
    </row>
    <row r="17" spans="1:9">
      <c r="A17" s="47">
        <v>14</v>
      </c>
      <c r="B17" s="177" t="str">
        <f>Vendedor14!$B$2</f>
        <v>EDUARDO TIEMPOS LICORERA</v>
      </c>
      <c r="C17" s="179"/>
      <c r="D17" s="194" t="str">
        <f t="shared" si="0"/>
        <v/>
      </c>
      <c r="E17" s="179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.75" thickBot="1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>
      <c r="C33" s="43">
        <f>SUM(C4:C32)</f>
        <v>64600</v>
      </c>
      <c r="D33" s="44">
        <f>SUM(D4:D32)</f>
        <v>1000</v>
      </c>
      <c r="E33" s="43">
        <f>SUM(E4:E32)</f>
        <v>12450</v>
      </c>
      <c r="F33" s="44">
        <f>SUM(F4:F32)</f>
        <v>0</v>
      </c>
      <c r="H33" s="95">
        <f>SUM(H4:H32)</f>
        <v>77050</v>
      </c>
      <c r="I33" s="95">
        <f>SUM(I4:I32)</f>
        <v>1000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>
      <c r="C2" s="266">
        <f>IF(PREMIOS!$B20="","",PREMIOS!$B20)</f>
        <v>52</v>
      </c>
      <c r="D2" s="267"/>
      <c r="E2" s="266">
        <f>IF(PREMIOS!$C20="","",PREMIOS!$C20)</f>
        <v>24</v>
      </c>
      <c r="F2" s="267"/>
      <c r="G2" s="266">
        <f>IF(PREMIOS!$D20="","",PREMIOS!$D20)</f>
        <v>99</v>
      </c>
      <c r="H2" s="267"/>
    </row>
    <row r="3" spans="1:11" ht="21" customHeight="1" thickBot="1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7" t="str">
        <f>Vendedor6!$B$2</f>
        <v>MARTA ROSA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7" t="str">
        <f>Vendedor7!$B$2</f>
        <v>PIKIS</v>
      </c>
      <c r="C10" s="179">
        <f>5000+26700</f>
        <v>31700</v>
      </c>
      <c r="D10" s="194">
        <f t="shared" si="0"/>
        <v>0</v>
      </c>
      <c r="E10" s="179">
        <v>10300</v>
      </c>
      <c r="F10" s="30">
        <f t="shared" si="0"/>
        <v>0</v>
      </c>
      <c r="G10" s="179">
        <v>19850</v>
      </c>
      <c r="H10" s="194">
        <f t="shared" si="0"/>
        <v>0</v>
      </c>
      <c r="J10" s="42">
        <f t="shared" si="3"/>
        <v>61850</v>
      </c>
      <c r="K10" s="42">
        <f t="shared" si="4"/>
        <v>0</v>
      </c>
    </row>
    <row r="11" spans="1:11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7" t="str">
        <f>Vendedor9!$B$2</f>
        <v>JUAN FELIX</v>
      </c>
      <c r="C12" s="193"/>
      <c r="D12" s="194" t="str">
        <f t="shared" si="0"/>
        <v/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0</v>
      </c>
      <c r="K12" s="42">
        <f t="shared" si="4"/>
        <v>0</v>
      </c>
    </row>
    <row r="13" spans="1:11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7" t="str">
        <f>Vendedor13!$B$2</f>
        <v>MINERO</v>
      </c>
      <c r="C16" s="193">
        <v>3000</v>
      </c>
      <c r="D16" s="194">
        <f t="shared" si="0"/>
        <v>0</v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3000</v>
      </c>
      <c r="K16" s="42">
        <f t="shared" si="4"/>
        <v>0</v>
      </c>
    </row>
    <row r="17" spans="1:11">
      <c r="A17" s="47">
        <v>14</v>
      </c>
      <c r="B17" s="177" t="str">
        <f>Vendedor14!$B$2</f>
        <v>EDUARDO TIEMPOS LICORERA</v>
      </c>
      <c r="C17" s="193"/>
      <c r="D17" s="194" t="str">
        <f t="shared" si="0"/>
        <v/>
      </c>
      <c r="E17" s="193"/>
      <c r="F17" s="194" t="str">
        <f t="shared" si="0"/>
        <v/>
      </c>
      <c r="G17" s="193"/>
      <c r="H17" s="194" t="str">
        <f t="shared" si="2"/>
        <v/>
      </c>
      <c r="J17" s="42">
        <f t="shared" si="3"/>
        <v>0</v>
      </c>
      <c r="K17" s="42">
        <f t="shared" si="4"/>
        <v>0</v>
      </c>
    </row>
    <row r="18" spans="1:11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1"/>
        <v/>
      </c>
      <c r="G18" s="179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6">SUM(C4:C32)</f>
        <v>34700</v>
      </c>
      <c r="D33" s="44">
        <f t="shared" si="6"/>
        <v>0</v>
      </c>
      <c r="E33" s="43">
        <f t="shared" si="6"/>
        <v>10300</v>
      </c>
      <c r="F33" s="44">
        <f t="shared" si="6"/>
        <v>0</v>
      </c>
      <c r="G33" s="43">
        <f t="shared" si="6"/>
        <v>19850</v>
      </c>
      <c r="H33" s="44">
        <f t="shared" si="6"/>
        <v>0</v>
      </c>
      <c r="J33" s="45">
        <f>SUM(J4:J32)</f>
        <v>64850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>
      <c r="C2" s="266" t="str">
        <f>IF(PREMIOS!$B21="","",PREMIOS!$B21)</f>
        <v>02</v>
      </c>
      <c r="D2" s="267"/>
      <c r="E2" s="266">
        <f>IF(PREMIOS!$C21="","",PREMIOS!$C21)</f>
        <v>89</v>
      </c>
      <c r="F2" s="267"/>
    </row>
    <row r="3" spans="1:9" ht="21" customHeight="1" thickBot="1">
      <c r="C3" s="266"/>
      <c r="D3" s="267"/>
      <c r="E3" s="266"/>
      <c r="F3" s="267"/>
      <c r="H3" s="39" t="s">
        <v>28</v>
      </c>
      <c r="I3" s="39" t="s">
        <v>77</v>
      </c>
    </row>
    <row r="4" spans="1:9">
      <c r="A4" s="186">
        <v>1</v>
      </c>
      <c r="B4" s="187" t="str">
        <f>Vendedor1!$B$2</f>
        <v>VENTANA</v>
      </c>
      <c r="C4" s="196"/>
      <c r="D4" s="197" t="str">
        <f t="shared" ref="D4:F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>
      <c r="A9" s="47">
        <v>6</v>
      </c>
      <c r="B9" s="177" t="str">
        <f>Vendedor6!$B$2</f>
        <v>MARTA ROSA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7" t="str">
        <f>Vendedor7!$B$2</f>
        <v>PIKIS</v>
      </c>
      <c r="C10" s="179">
        <v>47000</v>
      </c>
      <c r="D10" s="30">
        <f t="shared" si="0"/>
        <v>0</v>
      </c>
      <c r="E10" s="179">
        <v>51350</v>
      </c>
      <c r="F10" s="30">
        <f t="shared" si="0"/>
        <v>0</v>
      </c>
      <c r="H10" s="42">
        <f t="shared" si="2"/>
        <v>98350</v>
      </c>
      <c r="I10" s="42">
        <f t="shared" si="3"/>
        <v>0</v>
      </c>
    </row>
    <row r="11" spans="1:9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>
      <c r="C33" s="43">
        <f>SUM(C4:C32)</f>
        <v>47000</v>
      </c>
      <c r="D33" s="44">
        <f>SUM(D4:D32)</f>
        <v>0</v>
      </c>
      <c r="E33" s="43">
        <f>SUM(E4:E32)</f>
        <v>51350</v>
      </c>
      <c r="F33" s="44">
        <f>SUM(F4:F32)</f>
        <v>0</v>
      </c>
      <c r="H33" s="45">
        <f>SUM(H4:H32)</f>
        <v>98350</v>
      </c>
      <c r="I33" s="95">
        <f>SUM(I4:I32)</f>
        <v>0</v>
      </c>
    </row>
    <row r="34" spans="3:9" ht="15" customHeight="1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4" width="12.5703125" customWidth="1"/>
    <col min="5" max="5" width="3.5703125" customWidth="1"/>
  </cols>
  <sheetData>
    <row r="1" spans="1:4">
      <c r="A1" s="79" t="s">
        <v>38</v>
      </c>
      <c r="B1" s="79"/>
      <c r="C1" s="270" t="s">
        <v>109</v>
      </c>
      <c r="D1" s="271"/>
    </row>
    <row r="2" spans="1:4" ht="21" customHeight="1">
      <c r="C2" s="266">
        <f>IF(PREMIOS!$B22="","",PREMIOS!$B22)</f>
        <v>25</v>
      </c>
      <c r="D2" s="267"/>
    </row>
    <row r="3" spans="1:4" ht="21" customHeight="1" thickBot="1">
      <c r="C3" s="266"/>
      <c r="D3" s="267"/>
    </row>
    <row r="4" spans="1:4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>
      <c r="A9" s="47">
        <v>6</v>
      </c>
      <c r="B9" s="177" t="str">
        <f>Vendedor6!$B$2</f>
        <v>MARTA ROSA</v>
      </c>
      <c r="C9" s="192"/>
      <c r="D9" s="83" t="str">
        <f t="shared" si="0"/>
        <v/>
      </c>
    </row>
    <row r="10" spans="1:4">
      <c r="A10" s="47">
        <v>7</v>
      </c>
      <c r="B10" s="177" t="str">
        <f>Vendedor7!$B$2</f>
        <v>PIKIS</v>
      </c>
      <c r="C10" s="179"/>
      <c r="D10" s="30" t="str">
        <f t="shared" si="0"/>
        <v/>
      </c>
    </row>
    <row r="11" spans="1:4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.75" thickBot="1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>
      <c r="A28" s="185">
        <v>25</v>
      </c>
      <c r="B28" s="178" t="str">
        <f>Vendedor25!$B$2</f>
        <v>Vendedor 25</v>
      </c>
      <c r="C28" s="178"/>
      <c r="D28" s="178"/>
    </row>
    <row r="29" spans="1:4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Raul Watson</cp:lastModifiedBy>
  <cp:revision>6</cp:revision>
  <dcterms:created xsi:type="dcterms:W3CDTF">2015-06-05T18:19:34Z</dcterms:created>
  <dcterms:modified xsi:type="dcterms:W3CDTF">2026-06-11T20:44:12Z</dcterms:modified>
  <dc:language>es-CR</dc:language>
</cp:coreProperties>
</file>
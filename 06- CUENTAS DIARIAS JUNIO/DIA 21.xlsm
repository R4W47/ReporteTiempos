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67" documentId="13_ncr:1_{EB1C27A7-1EBD-4619-B18B-0BCA469E8746}" xr6:coauthVersionLast="47" xr6:coauthVersionMax="47" xr10:uidLastSave="{2CF326AA-0718-4E72-A33A-99F78954288C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4" l="1"/>
  <c r="B2" i="7"/>
  <c r="B2" i="6"/>
  <c r="B2" i="15"/>
  <c r="B2" i="16"/>
  <c r="B2" i="21"/>
  <c r="B2" i="22"/>
  <c r="I5" i="69"/>
  <c r="K12" i="69" l="1"/>
  <c r="G10" i="62"/>
  <c r="E10" i="62"/>
  <c r="C10" i="62"/>
  <c r="I10" i="61"/>
  <c r="G10" i="61"/>
  <c r="F10" i="61"/>
  <c r="E10" i="61"/>
  <c r="D10" i="61"/>
  <c r="C10" i="61"/>
  <c r="G10" i="60"/>
  <c r="E10" i="60"/>
  <c r="D10" i="60"/>
  <c r="C10" i="60"/>
  <c r="D18" i="64" l="1"/>
  <c r="D18" i="65"/>
  <c r="D12" i="65"/>
  <c r="D11" i="65"/>
  <c r="D10" i="65"/>
  <c r="D18" i="61"/>
  <c r="D17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2" i="60"/>
  <c r="E7" i="16"/>
  <c r="D9" i="60"/>
  <c r="D7" i="60"/>
  <c r="D3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4" i="60"/>
  <c r="F35" i="60" s="1"/>
  <c r="F12" i="60"/>
  <c r="F36" i="60" s="1"/>
  <c r="F11" i="60"/>
  <c r="F9" i="60"/>
  <c r="F7" i="60"/>
  <c r="F6" i="60"/>
  <c r="F34" i="60"/>
  <c r="H17" i="60"/>
  <c r="H15" i="60"/>
  <c r="H12" i="60"/>
  <c r="H35" i="60"/>
  <c r="H9" i="60"/>
  <c r="H7" i="60"/>
  <c r="H6" i="60"/>
  <c r="H4" i="60"/>
  <c r="H34" i="60" s="1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6" i="60" l="1"/>
  <c r="D36" i="60"/>
  <c r="D35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5" i="61"/>
  <c r="H14" i="61"/>
  <c r="H13" i="61"/>
  <c r="H12" i="61"/>
  <c r="H11" i="61"/>
  <c r="E13" i="16" s="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M5" i="6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L6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F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<sst xmlns="http://schemas.openxmlformats.org/spreadsheetml/2006/main" count="1292" uniqueCount="159">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</sst>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3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2" fontId="22" fillId="2" borderId="0" xfId="0" applyNumberFormat="1" applyFont="1" applyFill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377850</v>
      </c>
      <c r="C3" s="9">
        <f>+HojaTICA!K4+HojaNICA!M4+HojaREVENTADO!K4+HojaPrimera!I4+HojaHonduras!K4+HojaDominicana!I4+HojaPANA!G4</f>
        <v>49100</v>
      </c>
      <c r="D3" s="9">
        <f>+HojaTICA!N4+HojaNICA!P4+HojaREVENTADO!O4+HojaPrimera!L4+HojaHonduras!N4+HojaDominicana!L4+HojaPANA!J4</f>
        <v>227000</v>
      </c>
      <c r="F3" s="10">
        <f t="shared" ref="F3:F27" si="0">+B3-C3-D3</f>
        <v>101750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395750</v>
      </c>
      <c r="C4" s="9">
        <f>+HojaTICA!K5+HojaNICA!M5+HojaREVENTADO!K5+HojaPrimera!I5+HojaHonduras!K5+HojaDominicana!I5+HojaPANA!G5</f>
        <v>51450</v>
      </c>
      <c r="D4" s="9">
        <f>+HojaTICA!N5+HojaNICA!P5+HojaREVENTADO!O5+HojaPrimera!L5+HojaHonduras!N5+HojaDominicana!L5+HojaPANA!J5</f>
        <v>797500</v>
      </c>
      <c r="F4" s="14">
        <f t="shared" si="0"/>
        <v>-453200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3000</v>
      </c>
      <c r="C6" s="9">
        <f>+HojaTICA!K7+HojaNICA!M7+HojaREVENTADO!K7+HojaPrimera!I7+HojaHonduras!K7+HojaDominicana!I7+HojaPANA!G7</f>
        <v>350</v>
      </c>
      <c r="D6" s="9">
        <f>+HojaTICA!N7+HojaNICA!P7+HojaREVENTADO!O7+HojaPrimera!L7+HojaHonduras!N7+HojaDominicana!L7+HojaPANA!J7</f>
        <v>0</v>
      </c>
      <c r="F6" s="14">
        <f t="shared" si="0"/>
        <v>2650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242000</v>
      </c>
      <c r="C7" s="9">
        <f>+HojaTICA!K8+HojaNICA!M8+HojaREVENTADO!K8+HojaPrimera!I8+HojaHonduras!K8+HojaDominicana!I8+HojaPANA!G8</f>
        <v>29000</v>
      </c>
      <c r="D7" s="9">
        <f>+HojaTICA!N8+HojaNICA!P8+HojaREVENTADO!O8+HojaPrimera!L8+HojaHonduras!N8+HojaDominicana!L8+HojaPANA!J8</f>
        <v>225250</v>
      </c>
      <c r="F7" s="14">
        <f t="shared" si="0"/>
        <v>-12250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950900</v>
      </c>
      <c r="C9" s="9">
        <f>+HojaTICA!K10+HojaNICA!M10+HojaREVENTADO!K10+HojaPrimera!I10+HojaHonduras!K10+HojaDominicana!I10+HojaPANA!G10</f>
        <v>113160</v>
      </c>
      <c r="D9" s="9">
        <f>+HojaTICA!N10+HojaNICA!P10+HojaREVENTADO!O10+HojaPrimera!L10+HojaHonduras!N10+HojaDominicana!L10+HojaPANA!J10</f>
        <v>1249500</v>
      </c>
      <c r="F9" s="14">
        <f t="shared" si="0"/>
        <v>-411760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18500</v>
      </c>
      <c r="C10" s="9">
        <f>+HojaTICA!K11+HojaNICA!M11+HojaREVENTADO!K11+HojaPrimera!I11+HojaHonduras!K11+HojaDominicana!I11+HojaPANA!G11</f>
        <v>2200</v>
      </c>
      <c r="D10" s="9">
        <f>+HojaTICA!N11+HojaNICA!P11+HojaREVENTADO!O11+HojaPrimera!L11+HojaHonduras!N11+HojaDominicana!L11+HojaPANA!J11</f>
        <v>76500</v>
      </c>
      <c r="F10" s="14">
        <f t="shared" si="0"/>
        <v>-60200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61650</v>
      </c>
      <c r="C11" s="9">
        <f>+HojaTICA!K12+HojaNICA!M12+HojaREVENTADO!K12+HojaPrimera!I12+HojaHonduras!K12+HojaDominicana!I12+HojaPANA!G12</f>
        <v>7400</v>
      </c>
      <c r="D11" s="9">
        <f>+HojaTICA!N12+HojaNICA!P12+HojaREVENTADO!O12+HojaPrimera!L12+HojaHonduras!N12+HojaDominicana!L12+HojaPANA!J12</f>
        <v>0</v>
      </c>
      <c r="F11" s="14">
        <f t="shared" si="0"/>
        <v>54250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196750</v>
      </c>
      <c r="C12" s="9">
        <f>+HojaTICA!K13+HojaNICA!M13+HojaREVENTADO!K13+HojaPrimera!I13+HojaHonduras!K13+HojaDominicana!I13+HojaPANA!G13</f>
        <v>23600</v>
      </c>
      <c r="D12" s="9">
        <f>+HojaTICA!N13+HojaNICA!P13+HojaREVENTADO!O13+HojaPrimera!L13+HojaHonduras!N13+HojaDominicana!L13+HojaPANA!J13</f>
        <v>122250</v>
      </c>
      <c r="F12" s="14">
        <f t="shared" si="0"/>
        <v>50900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79750</v>
      </c>
      <c r="C13" s="9">
        <f>+HojaTICA!K14+HojaNICA!M14+HojaREVENTADO!K14+HojaPrimera!I14+HojaHonduras!K14+HojaDominicana!I14+HojaPANA!G14</f>
        <v>11950</v>
      </c>
      <c r="D13" s="9">
        <f>+HojaTICA!N14+HojaNICA!P14+HojaREVENTADO!O14+HojaPrimera!L14+HojaHonduras!N14+HojaDominicana!L14+HojaPANA!J14</f>
        <v>40000</v>
      </c>
      <c r="F13" s="14">
        <f t="shared" si="0"/>
        <v>27800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179050</v>
      </c>
      <c r="C15" s="9">
        <f>+HojaTICA!K16+HojaNICA!M16+HojaREVENTADO!K16+HojaPrimera!I16+HojaHonduras!K16+HojaDominicana!I16+HojaPANA!G16</f>
        <v>21350</v>
      </c>
      <c r="D15" s="9">
        <f>+HojaTICA!N16+HojaNICA!P16+HojaREVENTADO!O16+HojaPrimera!L16+HojaHonduras!N16+HojaDominicana!L16+HojaPANA!J16</f>
        <v>137250</v>
      </c>
      <c r="F15" s="14">
        <f t="shared" si="0"/>
        <v>20450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2505200</v>
      </c>
      <c r="C28" s="17">
        <f t="shared" si="1"/>
        <v>309560</v>
      </c>
      <c r="D28" s="18">
        <f t="shared" si="1"/>
        <v>2875250</v>
      </c>
      <c r="F28" s="20">
        <f>SUM(F3:F27)</f>
        <v>-679610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7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49</v>
      </c>
      <c r="C5" s="132"/>
      <c r="D5" s="137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40</v>
      </c>
      <c r="C7" s="132"/>
      <c r="D7" s="137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19</v>
      </c>
      <c r="C11" s="132"/>
      <c r="D11" s="137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55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76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85</v>
      </c>
      <c r="C19" s="132">
        <v>88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52</v>
      </c>
      <c r="C20" s="163">
        <v>20</v>
      </c>
      <c r="D20" s="166">
        <v>80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41</v>
      </c>
      <c r="C21" s="164">
        <v>44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40</v>
      </c>
      <c r="D2" s="269"/>
      <c r="E2" s="268">
        <f>DigitaTICA!E2</f>
        <v>19</v>
      </c>
      <c r="F2" s="269"/>
      <c r="G2" s="268">
        <f>DigitaTICA!G2</f>
        <v>70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90300</v>
      </c>
      <c r="D4" s="30">
        <f>IF(Vendedor1!$E$7="",0,Vendedor1!$E$7)</f>
        <v>500</v>
      </c>
      <c r="E4" s="180">
        <f>IF(Vendedor1!$C$11="",0,Vendedor1!$C$11)</f>
        <v>41150</v>
      </c>
      <c r="F4" s="30">
        <f>IF(Vendedor1!$E$11="",0,Vendedor1!$E$11)</f>
        <v>1700</v>
      </c>
      <c r="G4" s="180">
        <f>IF(Vendedor1!$C$15="",0,Vendedor1!$C$15)</f>
        <v>168200</v>
      </c>
      <c r="H4" s="30">
        <f>IF(Vendedor1!$E$15="",0,Vendedor1!$E$15)</f>
        <v>0</v>
      </c>
      <c r="J4" s="42">
        <f t="shared" ref="J4:J7" si="0">+C4+E4+G4</f>
        <v>299650</v>
      </c>
      <c r="K4" s="41">
        <f>MROUND(J4*Vendedor1!J$9,50)</f>
        <v>38950</v>
      </c>
      <c r="L4" s="42">
        <f t="shared" ref="L4:L7" si="1">+D4+F4+H4</f>
        <v>2200</v>
      </c>
      <c r="M4" s="42">
        <f t="shared" ref="M4:M7" si="2">+L4*85</f>
        <v>187000</v>
      </c>
      <c r="N4" s="42">
        <f>Vendedor1!$F$7+Vendedor1!$F$11+Vendedor1!$F$15</f>
        <v>187000</v>
      </c>
      <c r="P4" s="42">
        <f t="shared" ref="P4:P7" si="3">+J4-K4-N4</f>
        <v>73700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140200</v>
      </c>
      <c r="D5" s="30">
        <f>IF(Vendedor2!$E$7="",0,Vendedor2!$E$7)</f>
        <v>3250</v>
      </c>
      <c r="E5" s="180">
        <f>IF(Vendedor2!$C$11="",0,Vendedor2!$C$11)</f>
        <v>60600</v>
      </c>
      <c r="F5" s="30">
        <f>IF(Vendedor2!$E$11="",0,Vendedor2!$E$11)</f>
        <v>2250</v>
      </c>
      <c r="G5" s="180">
        <f>IF(Vendedor2!$C$15="",0,Vendedor2!$C$15)</f>
        <v>130000</v>
      </c>
      <c r="H5" s="30">
        <f>IF(Vendedor2!$E$15="",0,Vendedor2!$E$15)</f>
        <v>2000</v>
      </c>
      <c r="J5" s="42">
        <f t="shared" si="0"/>
        <v>330800</v>
      </c>
      <c r="K5" s="41">
        <f>MROUND(J5*Vendedor2!J$9,50)</f>
        <v>43000</v>
      </c>
      <c r="L5" s="42">
        <f t="shared" si="1"/>
        <v>7500</v>
      </c>
      <c r="M5" s="42">
        <f t="shared" si="2"/>
        <v>637500</v>
      </c>
      <c r="N5" s="42">
        <f>Vendedor2!$F$7+Vendedor2!$F$11+Vendedor2!$F$15</f>
        <v>637500</v>
      </c>
      <c r="P5" s="42">
        <f t="shared" si="3"/>
        <v>-349700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3000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3000</v>
      </c>
      <c r="K7" s="41">
        <f>MROUND(J7*Vendedor4!J$9,50)</f>
        <v>350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2650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37450</v>
      </c>
      <c r="D8" s="30">
        <f>IF(Vendedor5!$E$7="",0,Vendedor5!$E$7)</f>
        <v>1550</v>
      </c>
      <c r="E8" s="180">
        <f>IF(Vendedor5!$C$11="",0,Vendedor5!$C$11)</f>
        <v>26400</v>
      </c>
      <c r="F8" s="30">
        <f>IF(Vendedor5!$E$11="",0,Vendedor5!$E$11)</f>
        <v>900</v>
      </c>
      <c r="G8" s="180">
        <f>IF(Vendedor5!$C$15="",0,Vendedor5!$C$15)</f>
        <v>50050</v>
      </c>
      <c r="H8" s="30">
        <f>IF(Vendedor5!$E$15="",0,Vendedor5!$E$15)</f>
        <v>200</v>
      </c>
      <c r="J8" s="42">
        <f t="shared" ref="J8" si="4">+C8+E8+G8</f>
        <v>113900</v>
      </c>
      <c r="K8" s="41">
        <f>MROUND(J8*Vendedor5!J$11,50)</f>
        <v>13650</v>
      </c>
      <c r="L8" s="42">
        <f t="shared" ref="L8" si="5">+D8+F8+H8</f>
        <v>2650</v>
      </c>
      <c r="M8" s="42">
        <f t="shared" ref="M8" si="6">+L8*85</f>
        <v>225250</v>
      </c>
      <c r="N8" s="42">
        <f>Vendedor5!$F$7+Vendedor5!$F$11+Vendedor5!$F$15</f>
        <v>225250</v>
      </c>
      <c r="P8" s="42">
        <f t="shared" ref="P8" si="7">+J8-K8-N8</f>
        <v>-125000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161900</v>
      </c>
      <c r="D10" s="30">
        <f>IF(Vendedor7!$E$7="",0,Vendedor7!$E$7)</f>
        <v>650</v>
      </c>
      <c r="E10" s="180">
        <f>IF(Vendedor7!$C$11="",0,Vendedor7!$C$11)</f>
        <v>83900</v>
      </c>
      <c r="F10" s="30">
        <f>IF(Vendedor7!$E$11="",0,Vendedor7!$E$11)</f>
        <v>450</v>
      </c>
      <c r="G10" s="180">
        <f>IF(Vendedor7!$C$15="",0,Vendedor7!$C$15)</f>
        <v>198000</v>
      </c>
      <c r="H10" s="30">
        <f>IF(Vendedor7!$E$15="",0,Vendedor7!$E$15)</f>
        <v>1600</v>
      </c>
      <c r="J10" s="42">
        <f t="shared" si="8"/>
        <v>443800</v>
      </c>
      <c r="K10" s="41">
        <f>MROUND(J10*Vendedor7!J$14,50)</f>
        <v>53250</v>
      </c>
      <c r="L10" s="42">
        <f t="shared" si="9"/>
        <v>2700</v>
      </c>
      <c r="M10" s="42">
        <f t="shared" si="10"/>
        <v>229500</v>
      </c>
      <c r="N10" s="42">
        <f>Vendedor7!$F$7+Vendedor7!$F$11+Vendedor7!$F$15</f>
        <v>229500</v>
      </c>
      <c r="P10" s="42">
        <f t="shared" si="11"/>
        <v>161050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4000</v>
      </c>
      <c r="D11" s="30">
        <f>IF(Vendedor8!$E$7="",0,Vendedor8!$E$7)</f>
        <v>200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14500</v>
      </c>
      <c r="H11" s="30">
        <f>IF(Vendedor8!$E$15="",0,Vendedor8!$E$15)</f>
        <v>700</v>
      </c>
      <c r="J11" s="42">
        <f t="shared" si="8"/>
        <v>18500</v>
      </c>
      <c r="K11" s="41">
        <f>MROUND(J11*Vendedor8!J$11,50)</f>
        <v>2200</v>
      </c>
      <c r="L11" s="42">
        <f t="shared" si="9"/>
        <v>900</v>
      </c>
      <c r="M11" s="42">
        <f t="shared" si="10"/>
        <v>76500</v>
      </c>
      <c r="N11" s="42">
        <f>Vendedor8!$F$7+Vendedor8!$F$11+Vendedor8!$F$15</f>
        <v>76500</v>
      </c>
      <c r="P11" s="42">
        <f t="shared" si="11"/>
        <v>-60200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25400</v>
      </c>
      <c r="D12" s="30">
        <f>IF(Vendedor9!$E$7="",0,Vendedor9!$E$7)</f>
        <v>0</v>
      </c>
      <c r="E12" s="180">
        <f>IF(Vendedor9!$C$11="",0,Vendedor9!$C$11)</f>
        <v>6500</v>
      </c>
      <c r="F12" s="30">
        <f>IF(Vendedor9!$E$11="",0,Vendedor9!$E$11)</f>
        <v>0</v>
      </c>
      <c r="G12" s="180">
        <f>IF(Vendedor9!$C$15="",0,Vendedor9!$C$15)</f>
        <v>21850</v>
      </c>
      <c r="H12" s="30">
        <f>IF(Vendedor9!$E$15="",0,Vendedor9!$E$15)</f>
        <v>0</v>
      </c>
      <c r="J12" s="42">
        <f t="shared" si="8"/>
        <v>53750</v>
      </c>
      <c r="K12" s="41">
        <f>MROUND(J12*Vendedor9!J$11,50)</f>
        <v>6450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47300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43200</v>
      </c>
      <c r="D13" s="30">
        <f>IF(Vendedor10!$E$7="",0,Vendedor10!$E$7)</f>
        <v>700</v>
      </c>
      <c r="E13" s="180">
        <f>IF(Vendedor10!$C$11="",0,Vendedor10!$C$11)</f>
        <v>18750</v>
      </c>
      <c r="F13" s="30">
        <f>IF(Vendedor10!$E$11="",0,Vendedor10!$E$11)</f>
        <v>300</v>
      </c>
      <c r="G13" s="180">
        <f>IF(Vendedor10!$C$15="",0,Vendedor10!$C$15)</f>
        <v>53050</v>
      </c>
      <c r="H13" s="30">
        <f>IF(Vendedor10!$E$15="",0,Vendedor10!$E$15)</f>
        <v>250</v>
      </c>
      <c r="J13" s="42">
        <f t="shared" si="8"/>
        <v>115000</v>
      </c>
      <c r="K13" s="41">
        <f>MROUND(J13*Vendedor10!J$9,50)</f>
        <v>13800</v>
      </c>
      <c r="L13" s="42">
        <f t="shared" si="9"/>
        <v>1250</v>
      </c>
      <c r="M13" s="42">
        <f t="shared" si="10"/>
        <v>106250</v>
      </c>
      <c r="N13" s="42">
        <f>Vendedor10!$F$7+Vendedor10!$F$11+Vendedor10!$F$15</f>
        <v>106250</v>
      </c>
      <c r="P13" s="42">
        <f t="shared" si="11"/>
        <v>-5050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29000</v>
      </c>
      <c r="D14" s="30">
        <f>IF(Vendedor11!$E$7="",0,Vendedor11!$E$7)</f>
        <v>0</v>
      </c>
      <c r="E14" s="180">
        <f>IF(Vendedor11!$C$11="",0,Vendedor11!$C$11)</f>
        <v>9750</v>
      </c>
      <c r="F14" s="30">
        <f>IF(Vendedor11!$E$11="",0,Vendedor11!$E$11)</f>
        <v>0</v>
      </c>
      <c r="G14" s="180">
        <f>IF(Vendedor11!$C$15="",0,Vendedor11!$C$15)</f>
        <v>41000</v>
      </c>
      <c r="H14" s="30">
        <f>IF(Vendedor11!$E$15="",0,Vendedor11!$E$15)</f>
        <v>500</v>
      </c>
      <c r="J14" s="42">
        <f t="shared" si="8"/>
        <v>79750</v>
      </c>
      <c r="K14" s="41">
        <f>MROUND(J14*Vendedor11!J$9,50)</f>
        <v>11950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27800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39400</v>
      </c>
      <c r="D16" s="30">
        <f>IF(Vendedor13!$E$7="",0,Vendedor13!$E$7)</f>
        <v>450</v>
      </c>
      <c r="E16" s="180">
        <f>IF(Vendedor13!$C$11="",0,Vendedor13!$C$11)</f>
        <v>23400</v>
      </c>
      <c r="F16" s="30">
        <f>IF(Vendedor13!$E$11="",0,Vendedor13!$E$11)</f>
        <v>300</v>
      </c>
      <c r="G16" s="180">
        <f>IF(Vendedor13!$C$15="",0,Vendedor13!$C$15)</f>
        <v>53900</v>
      </c>
      <c r="H16" s="30">
        <f>IF(Vendedor13!$E$15="",0,Vendedor13!$E$15)</f>
        <v>300</v>
      </c>
      <c r="J16" s="42">
        <f t="shared" si="8"/>
        <v>116700</v>
      </c>
      <c r="K16" s="41">
        <f>MROUND(J16*Vendedor13!J$11,50)</f>
        <v>14000</v>
      </c>
      <c r="L16" s="42">
        <f t="shared" si="9"/>
        <v>1050</v>
      </c>
      <c r="M16" s="42">
        <f t="shared" si="10"/>
        <v>89250</v>
      </c>
      <c r="N16" s="42">
        <f>Vendedor13!$F$7+Vendedor13!$F$11+Vendedor13!$F$15</f>
        <v>89250</v>
      </c>
      <c r="P16" s="42">
        <f t="shared" si="11"/>
        <v>13450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573850</v>
      </c>
      <c r="D32" s="44">
        <f t="shared" si="16"/>
        <v>7300</v>
      </c>
      <c r="E32" s="43">
        <f t="shared" si="16"/>
        <v>270450</v>
      </c>
      <c r="F32" s="44">
        <f t="shared" si="16"/>
        <v>5900</v>
      </c>
      <c r="G32" s="43">
        <f t="shared" si="16"/>
        <v>730550</v>
      </c>
      <c r="H32" s="44">
        <f t="shared" si="16"/>
        <v>5550</v>
      </c>
      <c r="J32" s="95">
        <f>SUM(J4:J31)</f>
        <v>1574850</v>
      </c>
      <c r="K32" s="45">
        <f>SUM(K7:K31)</f>
        <v>115650</v>
      </c>
      <c r="L32" s="95">
        <f>SUM(L4:L31)</f>
        <v>18750</v>
      </c>
      <c r="M32" s="95">
        <f>SUM(M4:M31)</f>
        <v>1593750</v>
      </c>
      <c r="N32" s="95">
        <f>SUM(N4:N31)</f>
        <v>1591250</v>
      </c>
      <c r="P32" s="79">
        <f>SUM(P4:P31)</f>
        <v>-214000</v>
      </c>
    </row>
    <row r="33" spans="3:13" x14ac:dyDescent="0.35">
      <c r="D33" s="99">
        <f>+D32*85</f>
        <v>620500</v>
      </c>
      <c r="F33" s="99">
        <f>+F32*85</f>
        <v>501500</v>
      </c>
      <c r="H33" s="99">
        <f>+H32*85</f>
        <v>471750</v>
      </c>
    </row>
    <row r="34" spans="3:13" ht="15" thickBot="1" x14ac:dyDescent="0.4">
      <c r="L34" s="149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1574850</v>
      </c>
      <c r="E36" s="43">
        <f>+D36-J4-J5-J6</f>
        <v>944400</v>
      </c>
      <c r="G36" s="101"/>
    </row>
    <row r="37" spans="3:13" x14ac:dyDescent="0.35">
      <c r="C37" s="47" t="s">
        <v>33</v>
      </c>
      <c r="D37" s="48">
        <f>D36*13%</f>
        <v>204730.5</v>
      </c>
      <c r="E37">
        <f>+D37-K4-K5-K6</f>
        <v>122780.5</v>
      </c>
      <c r="G37" s="100"/>
      <c r="H37" s="100"/>
    </row>
    <row r="38" spans="3:13" ht="15" thickBot="1" x14ac:dyDescent="0.4">
      <c r="C38" s="47" t="s">
        <v>30</v>
      </c>
      <c r="D38" s="30">
        <f>M32</f>
        <v>1593750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-223630.5</v>
      </c>
      <c r="F39" s="98">
        <f>+P32-D39</f>
        <v>9630.5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-223630.5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49</v>
      </c>
      <c r="D2" s="269"/>
      <c r="E2" s="268">
        <f>DigitaNICA!E2</f>
        <v>66</v>
      </c>
      <c r="F2" s="269"/>
      <c r="G2" s="268">
        <f>DigitaNICA!G2</f>
        <v>55</v>
      </c>
      <c r="H2" s="269"/>
      <c r="I2" s="268">
        <f>DigitaNICA!I2</f>
        <v>76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32000</v>
      </c>
      <c r="D4" s="78">
        <f>IF(Vendedor1!$E$5="",0,Vendedor1!$E$5)</f>
        <v>500</v>
      </c>
      <c r="E4" s="189">
        <f>IF(Vendedor1!$C$9="",0,Vendedor1!$C$9)</f>
        <v>18550</v>
      </c>
      <c r="F4" s="78">
        <f>IF(Vendedor1!$E$9="",0,Vendedor1!$E$9)</f>
        <v>0</v>
      </c>
      <c r="G4" s="189">
        <f>IF(Vendedor1!$C$13="",0,Vendedor1!$C$13)</f>
        <v>4000</v>
      </c>
      <c r="H4" s="78">
        <f>IF(Vendedor1!$E$13="",0,Vendedor1!$E$13)</f>
        <v>0</v>
      </c>
      <c r="I4" s="189">
        <f>IF(Vendedor1!$C$17="",0,Vendedor1!$C$17)</f>
        <v>15600</v>
      </c>
      <c r="J4" s="78">
        <f>IF(Vendedor1!$E$17="",0,Vendedor1!$E$17)</f>
        <v>0</v>
      </c>
      <c r="L4" s="42">
        <f t="shared" ref="L4:L7" si="0">C4+E4+G4+I4</f>
        <v>70150</v>
      </c>
      <c r="M4" s="41">
        <f>MROUND(L4*Vendedor1!J$10,50)</f>
        <v>9100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18550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29150</v>
      </c>
      <c r="D5" s="30">
        <f>IF(Vendedor2!$E$5="",0,Vendedor2!$E$5)</f>
        <v>0</v>
      </c>
      <c r="E5" s="180">
        <f>IF(Vendedor2!$C$9="",0,Vendedor2!$C$9)</f>
        <v>15700</v>
      </c>
      <c r="F5" s="30">
        <f>IF(Vendedor2!$E$9="",0,Vendedor2!$E$9)</f>
        <v>0</v>
      </c>
      <c r="G5" s="180">
        <f>IF(Vendedor2!$C$13="",0,Vendedor2!$C$13)</f>
        <v>11000</v>
      </c>
      <c r="H5" s="30">
        <f>IF(Vendedor2!$E$13="",0,Vendedor2!$E$13)</f>
        <v>2000</v>
      </c>
      <c r="I5" s="180">
        <f>IF(Vendedor2!$C$17="",0,Vendedor2!$C$17)</f>
        <v>1500</v>
      </c>
      <c r="J5" s="30">
        <f>IF(Vendedor2!$E$17="",0,Vendedor2!$E$17)</f>
        <v>0</v>
      </c>
      <c r="L5" s="42">
        <f t="shared" si="0"/>
        <v>57350</v>
      </c>
      <c r="M5" s="41">
        <f>MROUND(L5*Vendedor2!J$10,50)</f>
        <v>7450</v>
      </c>
      <c r="N5" s="42">
        <f t="shared" si="1"/>
        <v>2000</v>
      </c>
      <c r="O5" s="41">
        <f t="shared" ref="O5:O27" si="3">IFERROR(N5*85,0)</f>
        <v>170000</v>
      </c>
      <c r="P5" s="42">
        <f>Vendedor2!$F$5+Vendedor2!$F$9+Vendedor2!$F$13+Vendedor2!$F$17</f>
        <v>160000</v>
      </c>
      <c r="Q5">
        <v>5</v>
      </c>
      <c r="R5" s="41">
        <f t="shared" si="2"/>
        <v>-120100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39250</v>
      </c>
      <c r="D8" s="30">
        <f>IF(Vendedor5!$E$5="",0,Vendedor5!$E$5)</f>
        <v>0</v>
      </c>
      <c r="E8" s="180">
        <f>IF(Vendedor5!$C$9="",0,Vendedor5!$C$9)</f>
        <v>34400</v>
      </c>
      <c r="F8" s="30">
        <f>IF(Vendedor5!$E$9="",0,Vendedor5!$E$9)</f>
        <v>0</v>
      </c>
      <c r="G8" s="180">
        <f>IF(Vendedor5!$C$13="",0,Vendedor5!$C$13)</f>
        <v>7700</v>
      </c>
      <c r="H8" s="30">
        <f>IF(Vendedor5!$E$13="",0,Vendedor5!$E$13)</f>
        <v>0</v>
      </c>
      <c r="I8" s="180">
        <f>IF(Vendedor5!$C$17="",0,Vendedor5!$C$17)</f>
        <v>7500</v>
      </c>
      <c r="J8" s="30">
        <f>IF(Vendedor5!$E$17="",0,Vendedor5!$E$17)</f>
        <v>0</v>
      </c>
      <c r="L8" s="42">
        <f t="shared" ref="L8" si="4">C8+E8+G8+I8</f>
        <v>88850</v>
      </c>
      <c r="M8" s="41">
        <f>MROUND(L8*Vendedor5!J$12,50)</f>
        <v>10650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78200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58150</v>
      </c>
      <c r="D10" s="30">
        <f>IF(Vendedor7!$E$5="",0,Vendedor7!$E$5)</f>
        <v>600</v>
      </c>
      <c r="E10" s="180">
        <f>IF(Vendedor7!$C$9="",0,Vendedor7!$C$9)</f>
        <v>64500</v>
      </c>
      <c r="F10" s="30">
        <f>IF(Vendedor7!$E$9="",0,Vendedor7!$E$9)</f>
        <v>300</v>
      </c>
      <c r="G10" s="180">
        <f>IF(Vendedor7!$C$13="",0,Vendedor7!$C$13)</f>
        <v>98500</v>
      </c>
      <c r="H10" s="30">
        <f>IF(Vendedor7!$E$13="",0,Vendedor7!$E$13)</f>
        <v>3400</v>
      </c>
      <c r="I10" s="180">
        <f>IF(Vendedor7!$C$17="",0,Vendedor7!$C$17)</f>
        <v>87500</v>
      </c>
      <c r="J10" s="30">
        <f>IF(Vendedor7!$E$17="",0,Vendedor7!$E$17)</f>
        <v>4700</v>
      </c>
      <c r="L10" s="42">
        <f t="shared" si="7"/>
        <v>308650</v>
      </c>
      <c r="M10" s="41">
        <f>MROUND(L10*Vendedor7!J$15,50)</f>
        <v>37050</v>
      </c>
      <c r="N10" s="42">
        <f t="shared" ref="N10:N27" si="9">D10+F10+H10+J10</f>
        <v>9000</v>
      </c>
      <c r="O10" s="41">
        <f t="shared" si="3"/>
        <v>765000</v>
      </c>
      <c r="P10" s="42">
        <f>Vendedor7!$F$5+Vendedor7!$F$9+Vendedor7!$F$13+Vendedor7!$F$17</f>
        <v>765000</v>
      </c>
      <c r="R10" s="41">
        <f t="shared" si="8"/>
        <v>-493400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5400</v>
      </c>
      <c r="D12" s="30">
        <f>IF(Vendedor9!$E$5="",0,Vendedor9!$E$5)</f>
        <v>0</v>
      </c>
      <c r="E12" s="180">
        <f>IF(Vendedor9!$C$9="",0,Vendedor9!$C$9)</f>
        <v>2000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7400</v>
      </c>
      <c r="M12" s="41">
        <f>MROUND(L12*Vendedor9!J$12,50)</f>
        <v>900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6500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32350</v>
      </c>
      <c r="D13" s="30">
        <f>IF(Vendedor10!$E$5="",0,Vendedor10!$E$5)</f>
        <v>0</v>
      </c>
      <c r="E13" s="180">
        <f>IF(Vendedor10!$C$9="",0,Vendedor10!$C$9)</f>
        <v>44100</v>
      </c>
      <c r="F13" s="30">
        <f>IF(Vendedor10!$E$9="",0,Vendedor10!$E$9)</f>
        <v>200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5300</v>
      </c>
      <c r="J13" s="30">
        <f>IF(Vendedor10!$E$17="",0,Vendedor10!$E$17)</f>
        <v>0</v>
      </c>
      <c r="L13" s="42">
        <f t="shared" si="7"/>
        <v>81750</v>
      </c>
      <c r="M13" s="41">
        <f>MROUND(L13*Vendedor10!J$10,50)</f>
        <v>9800</v>
      </c>
      <c r="N13" s="42">
        <f t="shared" si="9"/>
        <v>200</v>
      </c>
      <c r="O13" s="41">
        <f t="shared" si="3"/>
        <v>17000</v>
      </c>
      <c r="P13" s="42">
        <f>Vendedor10!$F$5+Vendedor10!$F$9+Vendedor10!$F$13+Vendedor10!$F$17</f>
        <v>16000</v>
      </c>
      <c r="R13" s="41">
        <f t="shared" si="8"/>
        <v>54950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5800</v>
      </c>
      <c r="D16" s="30">
        <f>IF(Vendedor13!$E$5="",0,Vendedor13!$E$5)</f>
        <v>250</v>
      </c>
      <c r="E16" s="180">
        <f>IF(Vendedor13!$C$9="",0,Vendedor13!$C$9)</f>
        <v>8950</v>
      </c>
      <c r="F16" s="30">
        <f>IF(Vendedor13!$E$9="",0,Vendedor13!$E$9)</f>
        <v>0</v>
      </c>
      <c r="G16" s="180">
        <f>IF(Vendedor13!$C$13="",0,Vendedor13!$C$13)</f>
        <v>12900</v>
      </c>
      <c r="H16" s="30">
        <f>IF(Vendedor13!$E$13="",0,Vendedor13!$E$13)</f>
        <v>250</v>
      </c>
      <c r="I16" s="180">
        <f>IF(Vendedor13!$C$17="",0,Vendedor13!$C$17)</f>
        <v>28700</v>
      </c>
      <c r="J16" s="30">
        <f>IF(Vendedor13!$E$17="",0,Vendedor13!$E$17)</f>
        <v>100</v>
      </c>
      <c r="L16" s="42">
        <f t="shared" si="7"/>
        <v>56350</v>
      </c>
      <c r="M16" s="41">
        <f>MROUND(L16*Vendedor13!J$12,50)</f>
        <v>6750</v>
      </c>
      <c r="N16" s="42">
        <f t="shared" si="9"/>
        <v>600</v>
      </c>
      <c r="O16" s="41">
        <f t="shared" si="3"/>
        <v>51000</v>
      </c>
      <c r="P16" s="42">
        <f>Vendedor13!$F$5+Vendedor13!$F$9+Vendedor13!$F$13+Vendedor13!$F$17</f>
        <v>48000</v>
      </c>
      <c r="R16" s="41">
        <f t="shared" si="8"/>
        <v>-1400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202100</v>
      </c>
      <c r="D32" s="44">
        <f t="shared" si="14"/>
        <v>1350</v>
      </c>
      <c r="E32" s="43">
        <f t="shared" si="14"/>
        <v>188200</v>
      </c>
      <c r="F32" s="44">
        <f t="shared" si="14"/>
        <v>500</v>
      </c>
      <c r="G32" s="43">
        <f t="shared" si="14"/>
        <v>134100</v>
      </c>
      <c r="H32" s="44">
        <f t="shared" si="14"/>
        <v>5650</v>
      </c>
      <c r="I32" s="43">
        <f t="shared" si="14"/>
        <v>146100</v>
      </c>
      <c r="J32" s="44">
        <f t="shared" si="14"/>
        <v>4800</v>
      </c>
      <c r="L32" s="45">
        <f>SUM(L4:L31)</f>
        <v>670500</v>
      </c>
      <c r="M32" s="45">
        <f>SUM(M7:M31)</f>
        <v>65150</v>
      </c>
      <c r="N32" s="95">
        <f>SUM(N4:N31)</f>
        <v>12300</v>
      </c>
      <c r="O32" s="46">
        <f>SUM(O4:O31)</f>
        <v>1045500</v>
      </c>
      <c r="P32" s="140">
        <f>SUM(P4:P31)</f>
        <v>1029000</v>
      </c>
      <c r="R32" s="79">
        <f>SUM(R4:R31)</f>
        <v>-456700</v>
      </c>
    </row>
    <row r="33" spans="3:15" x14ac:dyDescent="0.35">
      <c r="D33" s="120">
        <f>+D32*85</f>
        <v>114750</v>
      </c>
      <c r="F33" s="120">
        <f>+F32*85</f>
        <v>42500</v>
      </c>
      <c r="H33" s="120">
        <f>+H32*85</f>
        <v>480250</v>
      </c>
      <c r="J33" s="120">
        <f>+J32*85</f>
        <v>408000</v>
      </c>
    </row>
    <row r="34" spans="3:15" ht="15" thickBot="1" x14ac:dyDescent="0.4"/>
    <row r="35" spans="3:15" x14ac:dyDescent="0.35">
      <c r="C35" s="267" t="s">
        <v>89</v>
      </c>
      <c r="D35" s="267"/>
      <c r="N35" s="149"/>
      <c r="O35" s="43"/>
    </row>
    <row r="36" spans="3:15" x14ac:dyDescent="0.35">
      <c r="C36" s="47" t="s">
        <v>28</v>
      </c>
      <c r="D36" s="30">
        <f>+C32+E32+G32+I32</f>
        <v>670500</v>
      </c>
      <c r="E36" s="43">
        <f>+D36-L4-L5-L6</f>
        <v>543000</v>
      </c>
    </row>
    <row r="37" spans="3:15" x14ac:dyDescent="0.35">
      <c r="C37" s="47" t="s">
        <v>33</v>
      </c>
      <c r="D37" s="48">
        <f>D36*13%</f>
        <v>87165</v>
      </c>
      <c r="E37">
        <f>+D37-M4-M5-M6</f>
        <v>70615</v>
      </c>
    </row>
    <row r="38" spans="3:15" x14ac:dyDescent="0.35">
      <c r="C38" s="47" t="s">
        <v>30</v>
      </c>
      <c r="D38" s="30">
        <f>SUM(O4:O27)</f>
        <v>1045500</v>
      </c>
      <c r="G38" s="100"/>
    </row>
    <row r="39" spans="3:15" ht="15" thickBot="1" x14ac:dyDescent="0.4">
      <c r="C39" s="49" t="s">
        <v>4</v>
      </c>
      <c r="D39" s="80">
        <f>+D36-D37-D38</f>
        <v>-462165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-462165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40 Blanca</v>
      </c>
      <c r="D2" s="269"/>
      <c r="E2" s="268" t="str">
        <f>IF(E33=0,"",CONCATENATE(PREMIOS!$B11," ",PREMIOS!$B12))</f>
        <v>19 Roja</v>
      </c>
      <c r="F2" s="269"/>
      <c r="G2" s="268" t="str">
        <f>IF(G33=0,"",CONCATENATE(PREMIOS!$B15," ",PREMIOS!$B16))</f>
        <v>70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20650</v>
      </c>
      <c r="D10" s="30">
        <f>IF(Vendedor7!$E$8="",0,Vendedor7!$E$8)</f>
        <v>0</v>
      </c>
      <c r="E10" s="180">
        <f>IF(Vendedor7!$C$12="",0,Vendedor7!$C$12)</f>
        <v>11450</v>
      </c>
      <c r="F10" s="30">
        <f>IF(Vendedor7!$E$12="",0,Vendedor7!$E$12)</f>
        <v>0</v>
      </c>
      <c r="G10" s="180">
        <f>IF(Vendedor7!$C$16="",0,Vendedor7!$C$16)</f>
        <v>16000</v>
      </c>
      <c r="H10" s="30">
        <f>IF(Vendedor7!$E$16="",0,Vendedor7!$E$16)</f>
        <v>0</v>
      </c>
      <c r="J10" s="42">
        <f t="shared" si="1"/>
        <v>48100</v>
      </c>
      <c r="K10" s="41">
        <f>J10*Vendedor7!J$16</f>
        <v>4810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43290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500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500</v>
      </c>
      <c r="K12" s="41">
        <f>J12*Vendedor9!J$13</f>
        <v>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5000</v>
      </c>
      <c r="H16" s="30">
        <f>IF(Vendedor13!$E$16="",0,Vendedor13!$E$16)</f>
        <v>0</v>
      </c>
      <c r="J16" s="42">
        <f t="shared" si="1"/>
        <v>6000</v>
      </c>
      <c r="K16" s="41">
        <f>J16*Vendedor13!J$13</f>
        <v>600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5400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22150</v>
      </c>
      <c r="D33" s="44">
        <f>IF(PREMIOS!E8&lt;&gt;0,SUM(D4:D32),0)</f>
        <v>0</v>
      </c>
      <c r="E33" s="43">
        <f>SUM(E4:E32)</f>
        <v>11450</v>
      </c>
      <c r="F33" s="44">
        <f>IF(PREMIOS!E12&lt;&gt;0,SUM(F4:F32),0)</f>
        <v>0</v>
      </c>
      <c r="G33" s="43">
        <f>SUM(G4:G32)</f>
        <v>21000</v>
      </c>
      <c r="H33" s="44">
        <f>IF(PREMIOS!E16&lt;&gt;0,SUM(H4:H32),0)</f>
        <v>0</v>
      </c>
      <c r="J33" s="45">
        <f>SUM(J4:J32)</f>
        <v>54600</v>
      </c>
      <c r="K33" s="45">
        <f>SUM(K7:K32)</f>
        <v>5460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49140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54600</v>
      </c>
      <c r="E37" s="43">
        <f>+D37-J4-J5-J6</f>
        <v>54600</v>
      </c>
      <c r="F37" s="276"/>
      <c r="G37" s="276"/>
    </row>
    <row r="38" spans="3:17" ht="15" thickBot="1" x14ac:dyDescent="0.4">
      <c r="C38" s="47" t="s">
        <v>33</v>
      </c>
      <c r="D38" s="30">
        <f>D37*10%</f>
        <v>5460</v>
      </c>
      <c r="E38" s="43">
        <f>+D38-K4-K5-K6</f>
        <v>5460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49140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49140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85</v>
      </c>
      <c r="D2" s="269"/>
      <c r="E2" s="268">
        <f>DigitaPRIMERA!E2</f>
        <v>88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7550</v>
      </c>
      <c r="D4" s="78">
        <f>IF(Vendedor1!$E$19="",0,Vendedor1!$E$19)</f>
        <v>0</v>
      </c>
      <c r="E4" s="189">
        <f>IF(Vendedor1!$C$20="",0,Vendedor1!$C$20)</f>
        <v>500</v>
      </c>
      <c r="F4" s="78">
        <f>IF(Vendedor1!$E$20="",0,Vendedor1!$E$20)</f>
        <v>0</v>
      </c>
      <c r="H4" s="42">
        <f>+C4+E4</f>
        <v>8050</v>
      </c>
      <c r="I4" s="41">
        <f>MROUND(H4*Vendedor1!J$9,50)</f>
        <v>1050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7000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7600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7600</v>
      </c>
      <c r="I5" s="41">
        <f>MROUND(H5*Vendedor2!J$9,50)</f>
        <v>1000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6600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14850</v>
      </c>
      <c r="D8" s="30">
        <f>IF(Vendedor5!$E$19="",0,Vendedor5!$E$19)</f>
        <v>0</v>
      </c>
      <c r="E8" s="180">
        <f>IF(Vendedor5!$C$20="",0,Vendedor5!$C$20)</f>
        <v>24400</v>
      </c>
      <c r="F8" s="30">
        <f>IF(Vendedor5!$E$20="",0,Vendedor5!$E$20)</f>
        <v>0</v>
      </c>
      <c r="H8" s="133">
        <f t="shared" si="1"/>
        <v>39250</v>
      </c>
      <c r="I8" s="148">
        <f>MROUND(H8*Vendedor5!J$11,50)</f>
        <v>4700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34550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24450</v>
      </c>
      <c r="D10" s="30">
        <f>IF(Vendedor7!$E$19="",0,Vendedor7!$E$19)</f>
        <v>0</v>
      </c>
      <c r="E10" s="180">
        <f>IF(Vendedor7!$C$20="",0,Vendedor7!$C$20)</f>
        <v>2100</v>
      </c>
      <c r="F10" s="30">
        <f>IF(Vendedor7!$E$20="",0,Vendedor7!$E$20)</f>
        <v>0</v>
      </c>
      <c r="H10" s="42">
        <f t="shared" si="1"/>
        <v>26550</v>
      </c>
      <c r="I10" s="41">
        <f>MROUND(H10*Vendedor7!J$14,50)</f>
        <v>3200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23350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0</v>
      </c>
      <c r="I12" s="148">
        <f>MROUND(H12*Vendedor9!J$11,50)</f>
        <v>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54450</v>
      </c>
      <c r="D32" s="44">
        <f>SUM(D4:D31)</f>
        <v>0</v>
      </c>
      <c r="E32" s="43">
        <f>SUM(E4:E31)</f>
        <v>27000</v>
      </c>
      <c r="F32" s="44">
        <f>SUM(F4:F31)</f>
        <v>0</v>
      </c>
      <c r="H32" s="95">
        <f>SUM(H4:H31)</f>
        <v>81450</v>
      </c>
      <c r="I32" s="45">
        <f>SUM(I7:I31)</f>
        <v>7900</v>
      </c>
      <c r="J32" s="95"/>
      <c r="K32" s="95">
        <f>SUM(K4:K31)</f>
        <v>0</v>
      </c>
      <c r="L32" s="95">
        <f>SUM(L4:L31)</f>
        <v>0</v>
      </c>
      <c r="N32" s="79">
        <f>SUM(N4:N31)</f>
        <v>71500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81450</v>
      </c>
      <c r="E36" s="43">
        <f>+D36-H4-H5-H6</f>
        <v>65800</v>
      </c>
    </row>
    <row r="37" spans="3:6" x14ac:dyDescent="0.35">
      <c r="C37" s="47" t="s">
        <v>33</v>
      </c>
      <c r="D37" s="48">
        <f>D36*13%</f>
        <v>10588.5</v>
      </c>
      <c r="E37">
        <f>+D37-I4-I5-I6</f>
        <v>8538.5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70861.5</v>
      </c>
      <c r="F39" s="98">
        <f>+N32-D39</f>
        <v>638.5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70861.5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52</v>
      </c>
      <c r="D2" s="269"/>
      <c r="E2" s="268">
        <f>DigitaHONDURAS!E2</f>
        <v>20</v>
      </c>
      <c r="F2" s="269"/>
      <c r="G2" s="268">
        <f>DigitaHONDURAS!G2</f>
        <v>80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14600</v>
      </c>
      <c r="D10" s="30">
        <f>IF(Vendedor7!$E$21="",0,Vendedor7!$E$21)</f>
        <v>3000</v>
      </c>
      <c r="E10" s="180">
        <f>IF(Vendedor7!$C$22="",0,Vendedor7!$C$22)</f>
        <v>27200</v>
      </c>
      <c r="F10" s="30">
        <f>IF(Vendedor7!$E$22="",0,Vendedor7!$E$22)</f>
        <v>0</v>
      </c>
      <c r="G10" s="180">
        <f>IF(Vendedor7!$C$23="",0,Vendedor7!$C$23)</f>
        <v>31000</v>
      </c>
      <c r="H10" s="30">
        <f>IF(Vendedor7!$E$23="",0,Vendedor7!$E$23)</f>
        <v>0</v>
      </c>
      <c r="J10" s="42">
        <f t="shared" si="0"/>
        <v>72800</v>
      </c>
      <c r="K10" s="41">
        <f>MROUND(J10*Vendedor7!J$14,50)</f>
        <v>8750</v>
      </c>
      <c r="L10" s="42">
        <f t="shared" si="1"/>
        <v>3000</v>
      </c>
      <c r="M10" s="42">
        <f t="shared" si="3"/>
        <v>255000</v>
      </c>
      <c r="N10" s="42">
        <f>Vendedor7!$F$21+Vendedor7!$F$22+Vendedor7!$F$23</f>
        <v>255000</v>
      </c>
      <c r="P10" s="42">
        <f t="shared" si="2"/>
        <v>-190950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14600</v>
      </c>
      <c r="D32" s="44">
        <f t="shared" si="8"/>
        <v>3000</v>
      </c>
      <c r="E32" s="43">
        <f t="shared" si="8"/>
        <v>27200</v>
      </c>
      <c r="F32" s="44">
        <f t="shared" si="8"/>
        <v>0</v>
      </c>
      <c r="G32" s="43">
        <f t="shared" si="8"/>
        <v>31000</v>
      </c>
      <c r="H32" s="44">
        <f t="shared" si="8"/>
        <v>0</v>
      </c>
      <c r="J32" s="95">
        <f>SUM(J4:J31)</f>
        <v>72800</v>
      </c>
      <c r="K32" s="45">
        <f>SUM(K7:K31)</f>
        <v>8750</v>
      </c>
      <c r="L32" s="95"/>
      <c r="M32" s="95">
        <f>SUM(M4:M31)</f>
        <v>255000</v>
      </c>
      <c r="N32" s="95">
        <f>SUM(N4:N31)</f>
        <v>255000</v>
      </c>
      <c r="P32" s="79">
        <f>SUM(P4:P31)</f>
        <v>-190950</v>
      </c>
    </row>
    <row r="33" spans="3:8" x14ac:dyDescent="0.35">
      <c r="D33" s="99">
        <f>+D32*85</f>
        <v>255000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72800</v>
      </c>
      <c r="E36" s="43">
        <f>+D36-J4-J5-J6</f>
        <v>72800</v>
      </c>
    </row>
    <row r="37" spans="3:8" x14ac:dyDescent="0.35">
      <c r="C37" s="47" t="s">
        <v>33</v>
      </c>
      <c r="D37" s="48">
        <f>D36*13%</f>
        <v>9464</v>
      </c>
      <c r="E37">
        <f>+D37-K4-K5-K6</f>
        <v>9464</v>
      </c>
    </row>
    <row r="38" spans="3:8" ht="15" thickBot="1" x14ac:dyDescent="0.4">
      <c r="C38" s="47" t="s">
        <v>30</v>
      </c>
      <c r="D38" s="30">
        <f>SUM(M4:M27)</f>
        <v>255000</v>
      </c>
      <c r="G38" s="100"/>
    </row>
    <row r="39" spans="3:8" ht="15" thickBot="1" x14ac:dyDescent="0.4">
      <c r="C39" s="49" t="s">
        <v>4</v>
      </c>
      <c r="D39" s="80">
        <f>+D36-D37-D38</f>
        <v>-191664</v>
      </c>
      <c r="F39" s="98">
        <f>+P32-D39</f>
        <v>714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-191664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41</v>
      </c>
      <c r="D2" s="269"/>
      <c r="E2" s="268">
        <f>DigitaDOMINICANA!E2</f>
        <v>44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51000</v>
      </c>
      <c r="F10" s="30">
        <f>IF(Vendedor7!$E$25="",0,Vendedor7!$E$25)</f>
        <v>0</v>
      </c>
      <c r="H10" s="42">
        <f t="shared" si="1"/>
        <v>51000</v>
      </c>
      <c r="I10" s="41">
        <f>MROUND(H10*Vendedor7!J$14,50)</f>
        <v>6100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44900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51000</v>
      </c>
      <c r="F32" s="44">
        <f>SUM(F4:F31)</f>
        <v>0</v>
      </c>
      <c r="H32" s="95">
        <f>SUM(H4:H31)</f>
        <v>51000</v>
      </c>
      <c r="I32" s="45">
        <f>SUM(I7:I31)</f>
        <v>6100</v>
      </c>
      <c r="J32" s="95"/>
      <c r="K32" s="95">
        <f>SUM(K4:K31)</f>
        <v>0</v>
      </c>
      <c r="L32" s="95">
        <f>SUM(L4:L31)</f>
        <v>0</v>
      </c>
      <c r="N32" s="79">
        <f>SUM(N4:N31)</f>
        <v>44900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51000</v>
      </c>
      <c r="E36" s="43">
        <f>+D36-H4-H5-H6</f>
        <v>51000</v>
      </c>
    </row>
    <row r="37" spans="3:6" x14ac:dyDescent="0.35">
      <c r="C37" s="47" t="s">
        <v>33</v>
      </c>
      <c r="D37" s="48">
        <f>D36*13%</f>
        <v>6630</v>
      </c>
      <c r="E37">
        <f>+D37-I4-I5-I6</f>
        <v>6630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44370</v>
      </c>
      <c r="F39" s="98">
        <f>+N32-D39</f>
        <v>530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44370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25-06-2026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543000</v>
      </c>
      <c r="C4" s="157">
        <f>HojaNICA!M32</f>
        <v>65150</v>
      </c>
      <c r="D4" s="150">
        <f>HojaNICA!E37</f>
        <v>70615</v>
      </c>
      <c r="E4" s="150">
        <f>HojaNICA!P32</f>
        <v>1029000</v>
      </c>
      <c r="F4" s="150">
        <f>HojaNICA!O32</f>
        <v>1045500</v>
      </c>
      <c r="G4" s="151">
        <f t="shared" ref="G4:G10" si="0">+D4-C4+F4-E4</f>
        <v>21965</v>
      </c>
      <c r="H4" s="21"/>
      <c r="I4" s="182"/>
    </row>
    <row r="5" spans="1:9" x14ac:dyDescent="0.35">
      <c r="A5" s="28" t="s">
        <v>19</v>
      </c>
      <c r="B5" s="156">
        <f>HojaTICA!$E$36</f>
        <v>944400</v>
      </c>
      <c r="C5" s="157">
        <f>HojaTICA!K32</f>
        <v>115650</v>
      </c>
      <c r="D5" s="150">
        <f>HojaTICA!E37</f>
        <v>122780.5</v>
      </c>
      <c r="E5" s="150">
        <f>HojaTICA!N32</f>
        <v>1591250</v>
      </c>
      <c r="F5" s="150">
        <f>HojaTICA!D38</f>
        <v>1593750</v>
      </c>
      <c r="G5" s="151">
        <f t="shared" si="0"/>
        <v>9630.5</v>
      </c>
      <c r="H5" s="21"/>
      <c r="I5" s="182"/>
    </row>
    <row r="6" spans="1:9" x14ac:dyDescent="0.35">
      <c r="A6" s="28" t="s">
        <v>125</v>
      </c>
      <c r="B6" s="156">
        <f>HojaREVENTADO!$E$37</f>
        <v>54600</v>
      </c>
      <c r="C6" s="157">
        <f>HojaREVENTADO!K33</f>
        <v>5460</v>
      </c>
      <c r="D6" s="150">
        <f>HojaREVENTADO!E38</f>
        <v>5460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65800</v>
      </c>
      <c r="C7" s="157">
        <f>HojaPrimera!I32</f>
        <v>7900</v>
      </c>
      <c r="D7" s="150">
        <f>HojaPrimera!E37</f>
        <v>8538.5</v>
      </c>
      <c r="E7" s="150">
        <f>HojaPrimera!L32</f>
        <v>0</v>
      </c>
      <c r="F7" s="150">
        <f>HojaPrimera!K32</f>
        <v>0</v>
      </c>
      <c r="G7" s="151">
        <f t="shared" si="0"/>
        <v>638.5</v>
      </c>
      <c r="H7" s="21"/>
      <c r="I7" s="21"/>
    </row>
    <row r="8" spans="1:9" x14ac:dyDescent="0.35">
      <c r="A8" s="28" t="s">
        <v>104</v>
      </c>
      <c r="B8" s="156">
        <f>HojaHonduras!$E$36</f>
        <v>72800</v>
      </c>
      <c r="C8" s="157">
        <f>HojaHonduras!K32</f>
        <v>8750</v>
      </c>
      <c r="D8" s="150">
        <f>HojaHonduras!E37</f>
        <v>9464</v>
      </c>
      <c r="E8" s="150">
        <f>HojaHonduras!N32</f>
        <v>255000</v>
      </c>
      <c r="F8" s="150">
        <f>HojaHonduras!M32</f>
        <v>255000</v>
      </c>
      <c r="G8" s="151">
        <f t="shared" si="0"/>
        <v>714</v>
      </c>
      <c r="H8" s="21"/>
      <c r="I8" s="21"/>
    </row>
    <row r="9" spans="1:9" x14ac:dyDescent="0.35">
      <c r="A9" s="28" t="s">
        <v>20</v>
      </c>
      <c r="B9" s="156">
        <f>HojaDominicana!$E$36</f>
        <v>51000</v>
      </c>
      <c r="C9" s="157">
        <f>HojaDominicana!I32</f>
        <v>6100</v>
      </c>
      <c r="D9" s="150">
        <f>HojaDominicana!E37</f>
        <v>6630</v>
      </c>
      <c r="E9" s="150">
        <f>HojaDominicana!L32</f>
        <v>0</v>
      </c>
      <c r="F9" s="150">
        <f>HojaDominicana!K32</f>
        <v>0</v>
      </c>
      <c r="G9" s="151">
        <f t="shared" si="0"/>
        <v>530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1731600</v>
      </c>
      <c r="C11" s="175">
        <f>SUM(C4:C10)</f>
        <v>209010</v>
      </c>
      <c r="D11" s="175">
        <f t="shared" ref="D11:F11" si="1">SUM(D4:D10)</f>
        <v>223488</v>
      </c>
      <c r="E11" s="175">
        <f t="shared" si="1"/>
        <v>2875250</v>
      </c>
      <c r="F11" s="175">
        <f t="shared" si="1"/>
        <v>2894250</v>
      </c>
      <c r="G11" s="176">
        <f>SUM(G4:G10)</f>
        <v>33478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18478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377850</v>
      </c>
      <c r="E16" s="157">
        <f>+Vendedor1!D21</f>
        <v>49120.5</v>
      </c>
      <c r="F16" s="158">
        <f>IF(D16&lt;&gt;0,15000,0)</f>
        <v>15000</v>
      </c>
      <c r="G16" s="151">
        <f>+E16-F16</f>
        <v>34120.5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395750</v>
      </c>
      <c r="E17" s="157">
        <f>+Vendedor2!D21</f>
        <v>51447.5</v>
      </c>
      <c r="F17" s="158">
        <f>IF(D17&lt;&gt;0,15000,0)</f>
        <v>15000</v>
      </c>
      <c r="G17" s="151">
        <f>+E17-F17</f>
        <v>36447.5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773600</v>
      </c>
      <c r="E19" s="159">
        <f>SUM(E16:E18)</f>
        <v>100568</v>
      </c>
      <c r="F19" s="160">
        <f>SUM(F16:F18)</f>
        <v>30000</v>
      </c>
      <c r="G19" s="161">
        <f>SUM(G16:G18)</f>
        <v>70568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89046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25-06-2026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670500</v>
      </c>
      <c r="C5" s="150">
        <f>HojaNICA!D37</f>
        <v>87165</v>
      </c>
      <c r="D5" s="150">
        <f>HojaNICA!D38</f>
        <v>1045500</v>
      </c>
      <c r="E5" s="150"/>
      <c r="F5" s="151">
        <f>+B5-C5-D5+E5</f>
        <v>-462165</v>
      </c>
      <c r="H5" s="249" t="s">
        <v>105</v>
      </c>
      <c r="I5" s="243">
        <f ca="1">TODAY()-1</f>
        <v>46198</v>
      </c>
      <c r="O5" s="119"/>
    </row>
    <row r="6" spans="1:15" ht="15" thickBot="1" x14ac:dyDescent="0.4">
      <c r="A6" s="47" t="s">
        <v>36</v>
      </c>
      <c r="B6" s="150">
        <f>HojaTICA!D36</f>
        <v>1574850</v>
      </c>
      <c r="C6" s="150">
        <f>HojaTICA!D37</f>
        <v>204730.5</v>
      </c>
      <c r="D6" s="150">
        <f>HojaTICA!D38</f>
        <v>1593750</v>
      </c>
      <c r="E6" s="150"/>
      <c r="F6" s="151">
        <f t="shared" ref="F6:F11" si="0">+B6-C6-D6+E6</f>
        <v>-223630.5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54600</v>
      </c>
      <c r="C7" s="150">
        <f>HojaREVENTADO!D38</f>
        <v>5460</v>
      </c>
      <c r="D7" s="150">
        <f>HojaREVENTADO!D39</f>
        <v>0</v>
      </c>
      <c r="E7" s="150"/>
      <c r="F7" s="151">
        <f t="shared" si="0"/>
        <v>49140</v>
      </c>
    </row>
    <row r="8" spans="1:15" x14ac:dyDescent="0.35">
      <c r="A8" s="47" t="s">
        <v>96</v>
      </c>
      <c r="B8" s="150">
        <f>HojaPrimera!$D36</f>
        <v>81450</v>
      </c>
      <c r="C8" s="150">
        <f>HojaPrimera!$D37</f>
        <v>10588.5</v>
      </c>
      <c r="D8" s="150">
        <f>HojaPrimera!$D38</f>
        <v>0</v>
      </c>
      <c r="E8" s="150"/>
      <c r="F8" s="151">
        <f t="shared" si="0"/>
        <v>70861.5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72800</v>
      </c>
      <c r="C9" s="150">
        <f>HojaHonduras!$D37</f>
        <v>9464</v>
      </c>
      <c r="D9" s="150">
        <f>HojaHonduras!$D38</f>
        <v>255000</v>
      </c>
      <c r="E9" s="150"/>
      <c r="F9" s="151">
        <f t="shared" si="0"/>
        <v>-191664</v>
      </c>
      <c r="H9" s="250">
        <f>+K12-K10-H6</f>
        <v>-713088</v>
      </c>
    </row>
    <row r="10" spans="1:15" ht="15" thickBot="1" x14ac:dyDescent="0.4">
      <c r="A10" s="47" t="s">
        <v>20</v>
      </c>
      <c r="B10" s="150">
        <f>HojaDominicana!$D36</f>
        <v>51000</v>
      </c>
      <c r="C10" s="150">
        <f>HojaDominicana!$D37</f>
        <v>6630</v>
      </c>
      <c r="D10" s="150">
        <f>HojaDominicana!$D38</f>
        <v>0</v>
      </c>
      <c r="E10" s="150"/>
      <c r="F10" s="151">
        <f t="shared" si="0"/>
        <v>44370</v>
      </c>
      <c r="H10" s="154"/>
      <c r="J10" t="s">
        <v>148</v>
      </c>
      <c r="K10" s="252">
        <v>3263978.9899999998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2550890.9899999998</v>
      </c>
    </row>
    <row r="12" spans="1:15" ht="16" thickBot="1" x14ac:dyDescent="0.4">
      <c r="A12" s="144" t="s">
        <v>5</v>
      </c>
      <c r="B12" s="152">
        <f>SUM(B5:B11)</f>
        <v>2505200</v>
      </c>
      <c r="C12" s="152">
        <f>SUM(C5:C11)</f>
        <v>324038</v>
      </c>
      <c r="D12" s="152">
        <f>SUM(D5:D11)</f>
        <v>2894250</v>
      </c>
      <c r="E12" s="152"/>
      <c r="F12" s="255">
        <f>SUM(F5:F11)</f>
        <v>-713088</v>
      </c>
      <c r="H12" s="251">
        <f>K12</f>
        <v>2550890.9899999998</v>
      </c>
      <c r="J12" t="s">
        <v>140</v>
      </c>
      <c r="K12" s="254">
        <f>-2410651.33-761760.16+3152409.5+2570892.98</f>
        <v>2550890.9899999998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299650</v>
      </c>
      <c r="K4" s="231">
        <f t="shared" ref="K4" si="0">D7+D11+D15</f>
        <v>38954.5</v>
      </c>
      <c r="L4" s="220">
        <f>F7+F11+F15</f>
        <v>187000</v>
      </c>
    </row>
    <row r="5" spans="1:12" x14ac:dyDescent="0.35">
      <c r="A5" s="28" t="s">
        <v>43</v>
      </c>
      <c r="B5" s="132">
        <f>IF(DigitaNICA!C2&lt;&gt;"",DigitaNICA!C2,"")</f>
        <v>49</v>
      </c>
      <c r="C5" s="29">
        <f>IF(DigitaNICA!C4&lt;&gt;"",DigitaNICA!C4,"")</f>
        <v>32000</v>
      </c>
      <c r="D5" s="42">
        <f>IF(C5="",0,C5*J$10)</f>
        <v>4160</v>
      </c>
      <c r="E5" s="29">
        <f>IF(DigitaNICA!D4&lt;&gt;"",DigitaNICA!D4,"")</f>
        <v>500</v>
      </c>
      <c r="F5" s="42">
        <f>IF(E5="",0,E5*PREMIOS!E5)</f>
        <v>40000</v>
      </c>
      <c r="G5" s="30">
        <f t="shared" ref="G5:G12" si="1">IF(OR(C5="",E5=""),0,C5-D5-F5)</f>
        <v>-12160</v>
      </c>
      <c r="I5" s="241" t="s">
        <v>37</v>
      </c>
      <c r="J5" s="221">
        <f>SUM(IF(C5="",0,C5),IF(C9="",0,C9),IF(C13="",0,C13),IF(C17="",0,C17))</f>
        <v>70150</v>
      </c>
      <c r="K5" s="225">
        <f t="shared" ref="K5" si="2">D5+D9+D13+D17</f>
        <v>9119.5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8050</v>
      </c>
      <c r="K6" s="228">
        <f>D19+D20</f>
        <v>1046.5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IF(DigitaTICA!C4&lt;&gt;"",DigitaTICA!C4,"")</f>
        <v>90300</v>
      </c>
      <c r="D7" s="42">
        <f>IF(C7="",0,C7*J$9)</f>
        <v>11739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36061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66</v>
      </c>
      <c r="C9" s="29">
        <f>IF(DigitaNICA!E4&lt;&gt;"",DigitaNICA!E4,"")</f>
        <v>18550</v>
      </c>
      <c r="D9" s="42">
        <f>IF(C9="",0,C9*J$10)</f>
        <v>2411.5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16138.5</v>
      </c>
      <c r="I9" s="76" t="s">
        <v>36</v>
      </c>
      <c r="J9" s="77">
        <v>0.13</v>
      </c>
      <c r="K9" s="78">
        <f>MROUND(D7+D11+D15,50)</f>
        <v>38950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9100</v>
      </c>
    </row>
    <row r="11" spans="1:12" x14ac:dyDescent="0.35">
      <c r="A11" s="28" t="s">
        <v>59</v>
      </c>
      <c r="B11" s="132">
        <f>IF(DigitaTICA!E2&lt;&gt;"",DigitaTICA!E2,"")</f>
        <v>19</v>
      </c>
      <c r="C11" s="29">
        <f>IF(DigitaTICA!E4&lt;&gt;"",DigitaTICA!E4,"")</f>
        <v>41150</v>
      </c>
      <c r="D11" s="42">
        <f>IF(C11="",0,C11*J$9)</f>
        <v>5349.5</v>
      </c>
      <c r="E11" s="29">
        <f>IF(DigitaTICA!F4&lt;&gt;"",DigitaTICA!F4,"")</f>
        <v>1700</v>
      </c>
      <c r="F11" s="42">
        <f>IF(E11="",0,E11*PREMIOS!F11)</f>
        <v>144500</v>
      </c>
      <c r="G11" s="30">
        <f t="shared" si="1"/>
        <v>-108699.5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1050</v>
      </c>
    </row>
    <row r="13" spans="1:12" x14ac:dyDescent="0.35">
      <c r="A13" s="28" t="s">
        <v>50</v>
      </c>
      <c r="B13" s="132">
        <f>IF(DigitaNICA!G2&lt;&gt;"",DigitaNICA!G2,"")</f>
        <v>55</v>
      </c>
      <c r="C13" s="29">
        <f>IF(DigitaNICA!G4&lt;&gt;"",DigitaNICA!G4,"")</f>
        <v>4000</v>
      </c>
      <c r="D13" s="42">
        <f>IF(C13="",0,C13*J$10)</f>
        <v>520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3480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IF(DigitaTICA!G4&lt;&gt;"",DigitaTICA!G4,"")</f>
        <v>168200</v>
      </c>
      <c r="D15" s="42">
        <f>IF(C15="",0,C15*J$9)</f>
        <v>21866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146334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>
        <f>IF(DigitaNICA!I4&lt;&gt;"",DigitaNICA!I4,"")</f>
        <v>15600</v>
      </c>
      <c r="D17" s="42">
        <f>IF(C17="",0,C17*J$10)</f>
        <v>2028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13572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IF(DigitaPRIMERA!C4&lt;&gt;"",DigitaPRIMERA!C4,"")</f>
        <v>7550</v>
      </c>
      <c r="D19" s="42">
        <f>IF(C19="",0,C19*J$12)</f>
        <v>981.5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6568.5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>
        <f>IF(DigitaPRIMERA!E4&lt;&gt;"",DigitaPRIMERA!E4,"")</f>
        <v>500</v>
      </c>
      <c r="D20" s="42">
        <f>IF(C20="",0,C20*J$12)</f>
        <v>65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435</v>
      </c>
    </row>
    <row r="21" spans="1:7" ht="15" thickBot="1" x14ac:dyDescent="0.4">
      <c r="A21" s="121" t="s">
        <v>5</v>
      </c>
      <c r="B21" s="128"/>
      <c r="C21" s="122">
        <f>SUM(C5:C20)</f>
        <v>377850</v>
      </c>
      <c r="D21" s="122">
        <f t="shared" ref="D21:G21" si="6">SUM(D5:D20)</f>
        <v>49120.5</v>
      </c>
      <c r="E21" s="122">
        <f t="shared" si="6"/>
        <v>2700</v>
      </c>
      <c r="F21" s="122">
        <f t="shared" si="6"/>
        <v>227000</v>
      </c>
      <c r="G21" s="123">
        <f t="shared" si="6"/>
        <v>101729.5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330800</v>
      </c>
      <c r="K4" s="231">
        <f t="shared" ref="K4" si="0">D7+D11+D15</f>
        <v>43004</v>
      </c>
      <c r="L4" s="220">
        <f>F7+F11+F15</f>
        <v>637500</v>
      </c>
    </row>
    <row r="5" spans="1:12" x14ac:dyDescent="0.35">
      <c r="A5" s="28" t="s">
        <v>43</v>
      </c>
      <c r="B5" s="132">
        <f>IF(DigitaNICA!C2&lt;&gt;"",DigitaNICA!C2,"")</f>
        <v>49</v>
      </c>
      <c r="C5" s="29">
        <f>IF(DigitaNICA!C5&lt;&gt;"",DigitaNICA!C5,"")</f>
        <v>29150</v>
      </c>
      <c r="D5" s="42">
        <f>IF(C5="",0,C5*J$10)</f>
        <v>3789.5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25360.5</v>
      </c>
      <c r="I5" s="241" t="s">
        <v>37</v>
      </c>
      <c r="J5" s="221">
        <f>SUM(IF(C5="",0,C5),IF(C9="",0,C9),IF(C13="",0,C13),IF(C17="",0,C17))</f>
        <v>57350</v>
      </c>
      <c r="K5" s="225">
        <f t="shared" ref="K5" si="2">D5+D9+D13+D17</f>
        <v>7455.5</v>
      </c>
      <c r="L5" s="222">
        <f>F5+F9+F13+F17</f>
        <v>160000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7600</v>
      </c>
      <c r="K6" s="228">
        <f>D19+D20</f>
        <v>988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IF(DigitaTICA!C5&lt;&gt;"",DigitaTICA!C5,"")</f>
        <v>140200</v>
      </c>
      <c r="D7" s="42">
        <f>IF(C7="",0,C7*J$9)</f>
        <v>18226</v>
      </c>
      <c r="E7" s="29">
        <f>IF(DigitaTICA!D5&lt;&gt;"",DigitaTICA!D5,"")</f>
        <v>3250</v>
      </c>
      <c r="F7" s="42">
        <f>IF(E7="",0,E7*PREMIOS!F7)</f>
        <v>276250</v>
      </c>
      <c r="G7" s="30">
        <f t="shared" si="1"/>
        <v>-154276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66</v>
      </c>
      <c r="C9" s="29">
        <f>IF(DigitaNICA!E5&lt;&gt;"",DigitaNICA!E5,"")</f>
        <v>15700</v>
      </c>
      <c r="D9" s="42">
        <f>IF(C9="",0,C9*J$10)</f>
        <v>2041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13659</v>
      </c>
      <c r="I9" s="60" t="s">
        <v>36</v>
      </c>
      <c r="J9" s="61">
        <v>0.13</v>
      </c>
      <c r="K9" s="62">
        <f>MROUND(D7+D11+D15,50)</f>
        <v>43000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7450</v>
      </c>
    </row>
    <row r="11" spans="1:12" x14ac:dyDescent="0.35">
      <c r="A11" s="28" t="s">
        <v>59</v>
      </c>
      <c r="B11" s="132">
        <f>IF(DigitaTICA!E2&lt;&gt;"",DigitaTICA!E2,"")</f>
        <v>19</v>
      </c>
      <c r="C11" s="29">
        <f>IF(DigitaTICA!E5&lt;&gt;"",DigitaTICA!E5,"")</f>
        <v>60600</v>
      </c>
      <c r="D11" s="42">
        <f>IF(C11="",0,C11*J$9)</f>
        <v>7878</v>
      </c>
      <c r="E11" s="29">
        <f>IF(DigitaTICA!F5&lt;&gt;"",DigitaTICA!F5,"")</f>
        <v>2250</v>
      </c>
      <c r="F11" s="42">
        <f>IF(E11="",0,E11*PREMIOS!F11)</f>
        <v>191250</v>
      </c>
      <c r="G11" s="30">
        <f t="shared" si="1"/>
        <v>-138528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2">
        <f>IF(DigitaNICA!G2&lt;&gt;"",DigitaNICA!G2,"")</f>
        <v>55</v>
      </c>
      <c r="C13" s="29">
        <f>IF(DigitaNICA!G5&lt;&gt;"",DigitaNICA!G5,"")</f>
        <v>11000</v>
      </c>
      <c r="D13" s="42">
        <f>IF(C13="",0,C13*J$10)</f>
        <v>1430</v>
      </c>
      <c r="E13" s="29">
        <f>IF(DigitaNICA!H5&lt;&gt;"",DigitaNICA!H5,"")</f>
        <v>2000</v>
      </c>
      <c r="F13" s="42">
        <f>IF(E13="",0,E13*PREMIOS!E13)</f>
        <v>160000</v>
      </c>
      <c r="G13" s="30">
        <f>IF(OR(C13="",E13=""),0,C13-D13-F13)</f>
        <v>-150430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IF(DigitaTICA!G5&lt;&gt;"",DigitaTICA!G5,"")</f>
        <v>130000</v>
      </c>
      <c r="D15" s="42">
        <f>IF(C15="",0,C15*J$9)</f>
        <v>16900</v>
      </c>
      <c r="E15" s="29">
        <f>IF(DigitaTICA!H5&lt;&gt;"",DigitaTICA!H5,"")</f>
        <v>2000</v>
      </c>
      <c r="F15" s="42">
        <f>IF(E15="",0,E15*PREMIOS!F15)</f>
        <v>170000</v>
      </c>
      <c r="G15" s="30">
        <f t="shared" si="3"/>
        <v>-56900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>
        <f>IF(DigitaNICA!I5&lt;&gt;"",DigitaNICA!I5,"")</f>
        <v>1500</v>
      </c>
      <c r="D17" s="42">
        <f>IF(C17="",0,C17*J$10)</f>
        <v>195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IF(DigitaPRIMERA!C5&lt;&gt;"",DigitaPRIMERA!C5,"")</f>
        <v>7600</v>
      </c>
      <c r="D19" s="42">
        <f>IF(C19="",0,C19*J$12)</f>
        <v>988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6612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395750</v>
      </c>
      <c r="D21" s="68">
        <f t="shared" ref="D21:G21" si="4">SUM(D5:D20)</f>
        <v>51447.5</v>
      </c>
      <c r="E21" s="68">
        <f t="shared" si="4"/>
        <v>9500</v>
      </c>
      <c r="F21" s="68">
        <f t="shared" si="4"/>
        <v>797500</v>
      </c>
      <c r="G21" s="88">
        <f t="shared" si="4"/>
        <v>-453197.5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66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3000</v>
      </c>
      <c r="K4" s="231">
        <f t="shared" ref="K4" si="0">D7+D11+D15</f>
        <v>360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94">
        <f>IF(DigitaTICA!C7&lt;&gt;"",DigitaTICA!C7,"")</f>
        <v>3000</v>
      </c>
      <c r="D7" s="112">
        <f>IF(C7="",0,C7*J$9)</f>
        <v>360</v>
      </c>
      <c r="E7" s="113">
        <f>IF(DigitaTICA!D7&lt;&gt;"",DigitaTICA!D7,"")</f>
        <v>0</v>
      </c>
      <c r="F7" s="112">
        <f>IF(E7="",0,E7*PREMIOS!F7)</f>
        <v>0</v>
      </c>
      <c r="G7" s="114">
        <f t="shared" si="1"/>
        <v>2640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66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3000</v>
      </c>
      <c r="D19" s="68">
        <f>SUM(D5:D18)</f>
        <v>360</v>
      </c>
      <c r="E19" s="68">
        <f>SUM(E5:E18)</f>
        <v>0</v>
      </c>
      <c r="F19" s="68">
        <f>SUM(F5:F18)</f>
        <v>0</v>
      </c>
      <c r="G19" s="88">
        <f>SUM(G5:G18)</f>
        <v>2640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113900</v>
      </c>
      <c r="K4" s="231">
        <f t="shared" ref="K4" si="0">D7+D11+D15</f>
        <v>13668</v>
      </c>
      <c r="L4" s="220">
        <f>F7+F11+F15</f>
        <v>225250</v>
      </c>
    </row>
    <row r="5" spans="1:12" x14ac:dyDescent="0.35">
      <c r="A5" s="28" t="s">
        <v>43</v>
      </c>
      <c r="B5" s="132">
        <f>IF(DigitaNICA!C2&lt;&gt;"",DigitaNICA!C2,"")</f>
        <v>49</v>
      </c>
      <c r="C5" s="29">
        <f>IF(DigitaNICA!C8&lt;&gt;"",DigitaNICA!C8,"")</f>
        <v>39250</v>
      </c>
      <c r="D5" s="42">
        <f>IF(C5="",0,C5*J$12)</f>
        <v>4710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34540</v>
      </c>
      <c r="I5" s="241" t="s">
        <v>37</v>
      </c>
      <c r="J5" s="221">
        <f>SUM(IF(C5="",0,C5),IF(C9="",0,C9),IF(C13="",0,C13),IF(C17="",0,C17))</f>
        <v>88850</v>
      </c>
      <c r="K5" s="225">
        <f t="shared" ref="K5" si="2">D5+D9+D13+D17</f>
        <v>10662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IF(DigitaTICA!C8&lt;&gt;"",DigitaTICA!C8,"")</f>
        <v>37450</v>
      </c>
      <c r="D7" s="42">
        <f>IF(C7="",0,C7*J$11)</f>
        <v>4494</v>
      </c>
      <c r="E7" s="29">
        <f>IF(DigitaTICA!D8&lt;&gt;"",DigitaTICA!D8,"")</f>
        <v>1550</v>
      </c>
      <c r="F7" s="42">
        <f>IF(E7="",0,E7*PREMIOS!F7)</f>
        <v>131750</v>
      </c>
      <c r="G7" s="30">
        <f t="shared" si="1"/>
        <v>-98794</v>
      </c>
      <c r="I7" s="242" t="s">
        <v>96</v>
      </c>
      <c r="J7" s="224">
        <f>SUM(IF(C19="",0,C19),IF(C20="",0,C20))</f>
        <v>39250</v>
      </c>
      <c r="K7" s="228">
        <f>+D19+D20</f>
        <v>4710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66</v>
      </c>
      <c r="C9" s="29">
        <f>IF(DigitaNICA!E8&lt;&gt;"",DigitaNICA!E8,"")</f>
        <v>34400</v>
      </c>
      <c r="D9" s="42">
        <f>IF(C9="",0,C9*J$12)</f>
        <v>4128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30272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19</v>
      </c>
      <c r="C11" s="29">
        <f>IF(DigitaTICA!E8&lt;&gt;"",DigitaTICA!E8,"")</f>
        <v>26400</v>
      </c>
      <c r="D11" s="42">
        <f>IF(C11="",0,C11*J$11)</f>
        <v>3168</v>
      </c>
      <c r="E11" s="29">
        <f>IF(DigitaTICA!F8&lt;&gt;"",DigitaTICA!F8,"")</f>
        <v>900</v>
      </c>
      <c r="F11" s="42">
        <f>IF(E11="",0,E11*PREMIOS!F11)</f>
        <v>76500</v>
      </c>
      <c r="G11" s="30">
        <f t="shared" si="1"/>
        <v>-53268</v>
      </c>
      <c r="I11" s="60" t="s">
        <v>36</v>
      </c>
      <c r="J11" s="61">
        <v>0.12</v>
      </c>
      <c r="K11" s="62">
        <f>MROUND(D7+D11+D15,50)</f>
        <v>13650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10650</v>
      </c>
    </row>
    <row r="13" spans="1:12" x14ac:dyDescent="0.35">
      <c r="A13" s="28" t="s">
        <v>50</v>
      </c>
      <c r="B13" s="132">
        <f>IF(DigitaNICA!G2&lt;&gt;"",DigitaNICA!G2,"")</f>
        <v>55</v>
      </c>
      <c r="C13" s="29">
        <f>IF(DigitaNICA!G8&lt;&gt;"",DigitaNICA!G8,"")</f>
        <v>7700</v>
      </c>
      <c r="D13" s="42">
        <f>IF(C13="",0,C13*J$12)</f>
        <v>924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6776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4700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IF(DigitaTICA!G8&lt;&gt;"",DigitaTICA!G8,"")</f>
        <v>50050</v>
      </c>
      <c r="D15" s="42">
        <f>IF(C15="",0,C15*J$11)</f>
        <v>6006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27044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>
        <f>IF(DigitaNICA!I8&lt;&gt;"",DigitaNICA!I8,"")</f>
        <v>7500</v>
      </c>
      <c r="D17" s="42">
        <f>IF(C17="",0,C17*J$12)</f>
        <v>900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6600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IF(DigitaPRIMERA!C8&lt;&gt;"",DigitaPRIMERA!C8,"")</f>
        <v>14850</v>
      </c>
      <c r="D19" s="42">
        <f>IF(C19="",0,C19*J$14)</f>
        <v>1782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13068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>
        <f>IF(DigitaPRIMERA!E8&lt;&gt;"",DigitaPRIMERA!E8,"")</f>
        <v>24400</v>
      </c>
      <c r="D20" s="42">
        <f>IF(C20="",0,C20*J$14)</f>
        <v>2928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21472</v>
      </c>
    </row>
    <row r="21" spans="1:7" ht="15" thickBot="1" x14ac:dyDescent="0.4">
      <c r="A21" s="121" t="s">
        <v>5</v>
      </c>
      <c r="B21" s="128"/>
      <c r="C21" s="122">
        <f>SUM(C5:C20)</f>
        <v>242000</v>
      </c>
      <c r="D21" s="122">
        <f t="shared" ref="D21:G21" si="5">SUM(D5:D20)</f>
        <v>29040</v>
      </c>
      <c r="E21" s="122">
        <f t="shared" si="5"/>
        <v>2650</v>
      </c>
      <c r="F21" s="122">
        <f t="shared" si="5"/>
        <v>225250</v>
      </c>
      <c r="G21" s="123">
        <f t="shared" si="5"/>
        <v>-12290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19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443800</v>
      </c>
      <c r="K4" s="231">
        <f t="shared" ref="K4" si="0">D7+D11+D15</f>
        <v>53256</v>
      </c>
      <c r="L4" s="220">
        <f>F7+F11+F15</f>
        <v>229500</v>
      </c>
    </row>
    <row r="5" spans="1:12" x14ac:dyDescent="0.35">
      <c r="A5" s="28" t="s">
        <v>43</v>
      </c>
      <c r="B5" s="132">
        <f>IF(DigitaNICA!C2&lt;&gt;"",DigitaNICA!C2,"")</f>
        <v>49</v>
      </c>
      <c r="C5" s="29">
        <f>IF(DigitaNICA!C10&lt;&gt;"",DigitaNICA!C10,"")</f>
        <v>58150</v>
      </c>
      <c r="D5" s="42">
        <f>IF(C5="",0,C5*J$15)</f>
        <v>6978</v>
      </c>
      <c r="E5" s="29">
        <f>IF(DigitaNICA!D10&lt;&gt;"",DigitaNICA!D10,"")</f>
        <v>600</v>
      </c>
      <c r="F5" s="42">
        <f>IF(E5="",0,E5*PREMIOS!F5)</f>
        <v>51000</v>
      </c>
      <c r="G5" s="30">
        <f t="shared" ref="G5:G12" si="1">IF(OR(C5="",E5=""),0,C5-D5-F5)</f>
        <v>172</v>
      </c>
      <c r="I5" s="217" t="s">
        <v>37</v>
      </c>
      <c r="J5" s="221">
        <f>SUM(IF(C5="",0,C5),IF(C9="",0,C9),IF(C13="",0,C13),IF(C17="",0,C17))</f>
        <v>308650</v>
      </c>
      <c r="K5" s="225">
        <f t="shared" ref="K5" si="2">D5+D9+D13+D17</f>
        <v>37038</v>
      </c>
      <c r="L5" s="222">
        <f>F5+F9+F13+F17</f>
        <v>765000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48100</v>
      </c>
      <c r="K6" s="226">
        <f t="shared" ref="K6" si="3">+D8+D12+D16</f>
        <v>4810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40</v>
      </c>
      <c r="C7" s="29">
        <f>IF(DigitaTICA!C10&lt;&gt;"",DigitaTICA!C10,"")</f>
        <v>161900</v>
      </c>
      <c r="D7" s="42">
        <f>IF(C7="",0,C7*J$14)</f>
        <v>19428</v>
      </c>
      <c r="E7" s="29">
        <f>IF(DigitaTICA!D10&lt;&gt;"",DigitaTICA!D10,"")</f>
        <v>650</v>
      </c>
      <c r="F7" s="42">
        <f>IF(E7="",0,E7*PREMIOS!F7)</f>
        <v>55250</v>
      </c>
      <c r="G7" s="30">
        <f t="shared" si="1"/>
        <v>87222</v>
      </c>
      <c r="I7" s="217" t="s">
        <v>96</v>
      </c>
      <c r="J7" s="223">
        <f>SUM(IF(C19="",0,C19),IF(C20="",0,C20))</f>
        <v>26550</v>
      </c>
      <c r="K7" s="226">
        <f>+D19+D20</f>
        <v>3186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20650</v>
      </c>
      <c r="D8" s="42">
        <f>IF(C8="",0,C8*J$16)</f>
        <v>2065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18585</v>
      </c>
      <c r="I8" s="217" t="s">
        <v>104</v>
      </c>
      <c r="J8" s="223">
        <f>SUM(IF(C21="",0,C21),IF(C22="",0,C22),IF(C23="",0,C23))</f>
        <v>72800</v>
      </c>
      <c r="K8" s="226">
        <f t="shared" ref="K8" si="4">D21+D22+D23</f>
        <v>8736</v>
      </c>
      <c r="L8" s="227">
        <f>F21+F22+F23</f>
        <v>255000</v>
      </c>
    </row>
    <row r="9" spans="1:12" x14ac:dyDescent="0.35">
      <c r="A9" s="28" t="s">
        <v>48</v>
      </c>
      <c r="B9" s="132">
        <f>IF(DigitaNICA!E2&lt;&gt;"",DigitaNICA!E2,"")</f>
        <v>66</v>
      </c>
      <c r="C9" s="29">
        <f>IF(DigitaNICA!E10&lt;&gt;"",DigitaNICA!E10,"")</f>
        <v>64500</v>
      </c>
      <c r="D9" s="42">
        <f>IF(C9="",0,C9*J$15)</f>
        <v>7740</v>
      </c>
      <c r="E9" s="29">
        <f>IF(DigitaNICA!F10&lt;&gt;"",DigitaNICA!F10,"")</f>
        <v>300</v>
      </c>
      <c r="F9" s="42">
        <f>IF(E9="",0,E9*PREMIOS!F9)</f>
        <v>25500</v>
      </c>
      <c r="G9" s="30">
        <f t="shared" si="1"/>
        <v>31260</v>
      </c>
      <c r="I9" s="217" t="s">
        <v>20</v>
      </c>
      <c r="J9" s="223">
        <f>SUM(IF(C24="",0,C24),IF(C25="",0,C25))</f>
        <v>51000</v>
      </c>
      <c r="K9" s="226">
        <f t="shared" ref="K9" si="5">+D24+D25</f>
        <v>6120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19</v>
      </c>
      <c r="C11" s="29">
        <f>IF(DigitaTICA!E10&lt;&gt;"",DigitaTICA!E10,"")</f>
        <v>83900</v>
      </c>
      <c r="D11" s="42">
        <f>IF(C11="",0,C11*J$14)</f>
        <v>10068</v>
      </c>
      <c r="E11" s="29">
        <f>IF(DigitaTICA!F10&lt;&gt;"",DigitaTICA!F10,"")</f>
        <v>450</v>
      </c>
      <c r="F11" s="42">
        <f>IF(E11="",0,E11*PREMIOS!F11)</f>
        <v>38250</v>
      </c>
      <c r="G11" s="30">
        <f t="shared" si="1"/>
        <v>35582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11450</v>
      </c>
      <c r="D12" s="42">
        <f>IF(C12="",0,C12*J$16)</f>
        <v>1145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10305</v>
      </c>
    </row>
    <row r="13" spans="1:12" ht="15" thickBot="1" x14ac:dyDescent="0.4">
      <c r="A13" s="28" t="s">
        <v>50</v>
      </c>
      <c r="B13" s="132">
        <f>IF(DigitaNICA!G2&lt;&gt;"",DigitaNICA!G2,"")</f>
        <v>55</v>
      </c>
      <c r="C13" s="29">
        <f>IF(DigitaNICA!G10&lt;&gt;"",DigitaNICA!G10,"")</f>
        <v>98500</v>
      </c>
      <c r="D13" s="42">
        <f>IF(C13="",0,C13*J$15)</f>
        <v>11820</v>
      </c>
      <c r="E13" s="29">
        <f>IF(DigitaNICA!H10&lt;&gt;"",DigitaNICA!H10,"")</f>
        <v>3400</v>
      </c>
      <c r="F13" s="42">
        <f>IF(E13="",0,E13*PREMIOS!F13)</f>
        <v>289000</v>
      </c>
      <c r="G13" s="30">
        <f>IF(OR(C13="",E13=""),0,C13-D13-F13)</f>
        <v>-202320</v>
      </c>
      <c r="I13" s="280" t="s">
        <v>34</v>
      </c>
      <c r="J13" s="280"/>
      <c r="K13" s="280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53250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IF(DigitaTICA!G10&lt;&gt;"",DigitaTICA!G10,"")</f>
        <v>198000</v>
      </c>
      <c r="D15" s="42">
        <f>IF(C15="",0,C15*J$14)</f>
        <v>23760</v>
      </c>
      <c r="E15" s="29">
        <f>IF(DigitaTICA!H10&lt;&gt;"",DigitaTICA!H10,"")</f>
        <v>1600</v>
      </c>
      <c r="F15" s="42">
        <f>IF(E15="",0,E15*PREMIOS!F15)</f>
        <v>136000</v>
      </c>
      <c r="G15" s="30">
        <f t="shared" si="6"/>
        <v>38240</v>
      </c>
      <c r="I15" s="63" t="s">
        <v>37</v>
      </c>
      <c r="J15" s="64">
        <v>0.12</v>
      </c>
      <c r="K15" s="30">
        <f>MROUND(D5+D9+D13+D17,50)</f>
        <v>37050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16000</v>
      </c>
      <c r="D16" s="42">
        <f>IF(C16="",0,C16*J$16)</f>
        <v>1600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14400</v>
      </c>
      <c r="I16" s="63" t="s">
        <v>38</v>
      </c>
      <c r="J16" s="64">
        <v>0.1</v>
      </c>
      <c r="K16" s="30">
        <f>MROUND(D6+D8+D10+D12+D14+D16+D18,50)</f>
        <v>4800</v>
      </c>
    </row>
    <row r="17" spans="1:11" x14ac:dyDescent="0.35">
      <c r="A17" s="28" t="s">
        <v>52</v>
      </c>
      <c r="B17" s="132">
        <f>IF(DigitaNICA!I2&lt;&gt;"",DigitaNICA!I2,"")</f>
        <v>76</v>
      </c>
      <c r="C17" s="29">
        <f>IF(DigitaNICA!I10&lt;&gt;"",DigitaNICA!I10,"")</f>
        <v>87500</v>
      </c>
      <c r="D17" s="42">
        <f>IF(C17="",0,C17*J$15)</f>
        <v>10500</v>
      </c>
      <c r="E17" s="29">
        <f>IF(DigitaNICA!J10&lt;&gt;"",DigitaNICA!J10,"")</f>
        <v>4700</v>
      </c>
      <c r="F17" s="42">
        <f>IF(E17="",0,E17*PREMIOS!F17)</f>
        <v>399500</v>
      </c>
      <c r="G17" s="30">
        <f t="shared" si="6"/>
        <v>-322500</v>
      </c>
      <c r="I17" s="63" t="s">
        <v>96</v>
      </c>
      <c r="J17" s="64">
        <v>0.12</v>
      </c>
      <c r="K17" s="30">
        <f>MROUND(D19+D20,50)</f>
        <v>3200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8750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>
        <f>IF(DigitaPRIMERA!$C$10&lt;&gt;"",DigitaPRIMERA!$C$10,"")</f>
        <v>24450</v>
      </c>
      <c r="D19" s="42">
        <f>IF(C19="",0,C19*J$17)</f>
        <v>2934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21516</v>
      </c>
      <c r="I19" s="63" t="s">
        <v>20</v>
      </c>
      <c r="J19" s="64">
        <v>0.12</v>
      </c>
      <c r="K19" s="30">
        <f>MROUND(D24+D25,50)</f>
        <v>6100</v>
      </c>
    </row>
    <row r="20" spans="1:11" ht="15" thickBot="1" x14ac:dyDescent="0.4">
      <c r="A20" s="28" t="s">
        <v>98</v>
      </c>
      <c r="B20" s="132">
        <f>IF(DigitaPRIMERA!E2&lt;&gt;"",DigitaPRIMERA!E2,"")</f>
        <v>88</v>
      </c>
      <c r="C20" s="29">
        <f>IF(DigitaPRIMERA!$E$10&lt;&gt;"",DigitaPRIMERA!$E$10,"")</f>
        <v>2100</v>
      </c>
      <c r="D20" s="42">
        <f>IF(C20="",0,C20*J$17)</f>
        <v>252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1848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52</v>
      </c>
      <c r="C21" s="29">
        <f>IF(DigitaHONDURAS!$C$10&lt;&gt;"",DigitaHONDURAS!$C$10,"")</f>
        <v>14600</v>
      </c>
      <c r="D21" s="42">
        <f>IF(C21="",0,C21*J$18)</f>
        <v>1752</v>
      </c>
      <c r="E21" s="29">
        <f>IF(DigitaHONDURAS!$D$10&lt;&gt;"",DigitaHONDURAS!$D$10,"")</f>
        <v>3000</v>
      </c>
      <c r="F21" s="42">
        <f>IF(E21="",0,E21*PREMIOS!F20)</f>
        <v>255000</v>
      </c>
      <c r="G21" s="30">
        <f t="shared" si="7"/>
        <v>-242152</v>
      </c>
    </row>
    <row r="22" spans="1:11" x14ac:dyDescent="0.35">
      <c r="A22" s="28" t="s">
        <v>100</v>
      </c>
      <c r="B22" s="132">
        <f>IF(DigitaHONDURAS!E2&lt;&gt;"",DigitaHONDURAS!E2,"")</f>
        <v>20</v>
      </c>
      <c r="C22" s="29">
        <f>IF(DigitaHONDURAS!$E$10&lt;&gt;"",DigitaHONDURAS!$E$10,"")</f>
        <v>27200</v>
      </c>
      <c r="D22" s="42">
        <f>IF(C22="",0,C22*J$18)</f>
        <v>3264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23936</v>
      </c>
    </row>
    <row r="23" spans="1:11" x14ac:dyDescent="0.35">
      <c r="A23" s="28" t="s">
        <v>101</v>
      </c>
      <c r="B23" s="132">
        <f>IF(DigitaHONDURAS!G2&lt;&gt;"",DigitaHONDURAS!G2,"")</f>
        <v>80</v>
      </c>
      <c r="C23" s="29">
        <f>IF(DigitaHONDURAS!$G$10&lt;&gt;"",DigitaHONDURAS!$G$10,"")</f>
        <v>31000</v>
      </c>
      <c r="D23" s="42">
        <f>IF(C23="",0,C23*J$18)</f>
        <v>3720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27280</v>
      </c>
    </row>
    <row r="24" spans="1:11" x14ac:dyDescent="0.35">
      <c r="A24" s="28" t="s">
        <v>107</v>
      </c>
      <c r="B24" s="132">
        <f>IF(DigitaDOMINICANA!C2&lt;&gt;"",DigitaDOMINICANA!C2,"")</f>
        <v>41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44</v>
      </c>
      <c r="C25" s="29">
        <f>IF(DigitaDOMINICANA!$E$10&lt;&gt;"",DigitaDOMINICANA!$E$10,"")</f>
        <v>51000</v>
      </c>
      <c r="D25" s="42">
        <f>IF(C25="",0,C25*J$19)</f>
        <v>6120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44880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950900</v>
      </c>
      <c r="D27" s="68">
        <f t="shared" ref="D27:F27" si="9">SUM(D5:D26)</f>
        <v>113146</v>
      </c>
      <c r="E27" s="68">
        <f t="shared" si="9"/>
        <v>14700</v>
      </c>
      <c r="F27" s="68">
        <f t="shared" si="9"/>
        <v>1249500</v>
      </c>
      <c r="G27" s="88">
        <f>SUM(G5:G26)</f>
        <v>-411746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18500</v>
      </c>
      <c r="K4" s="231">
        <f t="shared" ref="K4" si="0">D7+D11+D15</f>
        <v>2220</v>
      </c>
      <c r="L4" s="220">
        <f>F7+F11+F15</f>
        <v>76500</v>
      </c>
    </row>
    <row r="5" spans="1:12" x14ac:dyDescent="0.35">
      <c r="A5" s="28" t="s">
        <v>43</v>
      </c>
      <c r="B5" s="132">
        <f>IF(DigitaNICA!C2&lt;&gt;"",DigitaNICA!C2,"")</f>
        <v>49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200</v>
      </c>
      <c r="F7" s="133">
        <f>IF(E7="",0,E7*PREMIOS!F7)</f>
        <v>17000</v>
      </c>
      <c r="G7" s="30">
        <f t="shared" si="1"/>
        <v>-13480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19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2200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IF(DigitaTICA!G11&lt;&gt;"",DigitaTICA!G11,"")</f>
        <v>14500</v>
      </c>
      <c r="D15" s="42">
        <f>IF(C15="",0,C15*J$11)</f>
        <v>1740</v>
      </c>
      <c r="E15" s="29">
        <f>IF(DigitaTICA!H11&lt;&gt;"",DigitaTICA!H11,"")</f>
        <v>700</v>
      </c>
      <c r="F15" s="133">
        <f>IF(E15="",0,E15*PREMIOS!F15)</f>
        <v>59500</v>
      </c>
      <c r="G15" s="30">
        <f t="shared" si="4"/>
        <v>-46740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18500</v>
      </c>
      <c r="D21" s="122">
        <f t="shared" ref="D21:G21" si="5">SUM(D5:D20)</f>
        <v>2220</v>
      </c>
      <c r="E21" s="122">
        <f t="shared" si="5"/>
        <v>900</v>
      </c>
      <c r="F21" s="122">
        <f t="shared" si="5"/>
        <v>76500</v>
      </c>
      <c r="G21" s="123">
        <f t="shared" si="5"/>
        <v>-60220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53750</v>
      </c>
      <c r="K4" s="231">
        <f>D7+D11+D15</f>
        <v>6450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49</v>
      </c>
      <c r="C5" s="29">
        <f>IF(DigitaNICA!C12&lt;&gt;"",DigitaNICA!C12,"")</f>
        <v>5400</v>
      </c>
      <c r="D5" s="42">
        <f>IF(C5="",0,C5*J$12)</f>
        <v>648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4752</v>
      </c>
      <c r="I5" s="217" t="s">
        <v>37</v>
      </c>
      <c r="J5" s="221">
        <f>SUM(IF(C5="",0,C5),IF(C9="",0,C9),IF(C13="",0,C13),IF(C17="",0,C17))</f>
        <v>7400</v>
      </c>
      <c r="K5" s="225">
        <f t="shared" ref="K5" si="1">D5+D9+D13+D17</f>
        <v>888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500</v>
      </c>
      <c r="K6" s="226">
        <f t="shared" ref="K6" si="2">+D8+D12+D16</f>
        <v>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40</v>
      </c>
      <c r="C7" s="29">
        <f>IF(DigitaTICA!C12&lt;&gt;"",DigitaTICA!C12,"")</f>
        <v>25400</v>
      </c>
      <c r="D7" s="42">
        <f>IF(C7="",0,C7*J$11)</f>
        <v>3048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22352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500</v>
      </c>
      <c r="D8" s="42">
        <f>IF(C8="",0,C8*J$13)</f>
        <v>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66</v>
      </c>
      <c r="C9" s="29">
        <f>IF(DigitaNICA!E12&lt;&gt;"",DigitaNICA!E12,"")</f>
        <v>2000</v>
      </c>
      <c r="D9" s="42">
        <f>IF(C9="",0,C9*J$12)</f>
        <v>240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1760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19</v>
      </c>
      <c r="C11" s="29">
        <f>IF(DigitaTICA!E12&lt;&gt;"",DigitaTICA!E12,"")</f>
        <v>6500</v>
      </c>
      <c r="D11" s="42">
        <f>IF(C11="",0,C11*J$11)</f>
        <v>780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5720</v>
      </c>
      <c r="I11" s="60" t="s">
        <v>36</v>
      </c>
      <c r="J11" s="61">
        <v>0.12</v>
      </c>
      <c r="K11" s="62">
        <f>MROUND(D7+D11+D15,50)</f>
        <v>6450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900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70</v>
      </c>
      <c r="C15" s="29">
        <f>IF(DigitaTICA!G12&lt;&gt;"",DigitaTICA!G12,"")</f>
        <v>21850</v>
      </c>
      <c r="D15" s="42">
        <f>IF(C15="",0,C15*J$11)</f>
        <v>2622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19228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IF(DigitaPRIMERA!$C$12&lt;&gt;"",DigitaPRIMERA!$C$12,"")</f>
        <v/>
      </c>
      <c r="D19" s="42">
        <f>IF(C19="",0,C19*J$14)</f>
        <v>0</v>
      </c>
      <c r="E19" s="29" t="str">
        <f>IF(DigitaPRIMERA!$D$12&lt;&gt;"",DigitaPRIMERA!$D$12,"")</f>
        <v/>
      </c>
      <c r="F19" s="42">
        <f>IF(E19="",0,E19*PREMIOS!F19)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61650</v>
      </c>
      <c r="D24" s="68">
        <f t="shared" ref="D24:G24" si="4">SUM(D5:D23)</f>
        <v>7388</v>
      </c>
      <c r="E24" s="68">
        <f t="shared" si="4"/>
        <v>0</v>
      </c>
      <c r="F24" s="68">
        <f t="shared" si="4"/>
        <v>0</v>
      </c>
      <c r="G24" s="88">
        <f t="shared" si="4"/>
        <v>54262</v>
      </c>
    </row>
    <row r="27" spans="1:7" x14ac:dyDescent="0.35">
      <c r="G27" s="21">
        <v>269416</v>
      </c>
    </row>
    <row r="28" spans="1:7" x14ac:dyDescent="0.35">
      <c r="G28" s="258">
        <f>+G24+G27</f>
        <v>323678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115000</v>
      </c>
      <c r="K4" s="231">
        <f t="shared" ref="K4" si="0">D7+D11+D15</f>
        <v>13800</v>
      </c>
      <c r="L4" s="220">
        <f>F7+F11+F15</f>
        <v>106250</v>
      </c>
    </row>
    <row r="5" spans="1:12" ht="15" thickBot="1" x14ac:dyDescent="0.4">
      <c r="A5" s="28" t="s">
        <v>43</v>
      </c>
      <c r="B5" s="132">
        <f>IF(DigitaNICA!C2&lt;&gt;"",DigitaNICA!C2,"")</f>
        <v>49</v>
      </c>
      <c r="C5" s="29">
        <f>IF(DigitaNICA!C13&lt;&gt;"",DigitaNICA!C13,"")</f>
        <v>32350</v>
      </c>
      <c r="D5" s="42">
        <f>IF(C5="",0,C5*J$10)</f>
        <v>3882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28468</v>
      </c>
      <c r="I5" s="218" t="s">
        <v>37</v>
      </c>
      <c r="J5" s="232">
        <f>SUM(IF(C5="",0,C5),IF(C9="",0,C9),IF(C13="",0,C13),IF(C17="",0,C17))</f>
        <v>81750</v>
      </c>
      <c r="K5" s="233">
        <f t="shared" ref="K5" si="2">D5+D9+D13+D17</f>
        <v>9810</v>
      </c>
      <c r="L5" s="234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IF(DigitaTICA!C13&lt;&gt;"",DigitaTICA!C13,"")</f>
        <v>43200</v>
      </c>
      <c r="D7" s="42">
        <f>IF(C7="",0,C7*J$9)</f>
        <v>5184</v>
      </c>
      <c r="E7" s="29">
        <f>IF(DigitaTICA!D13&lt;&gt;"",DigitaTICA!D13,"")</f>
        <v>700</v>
      </c>
      <c r="F7" s="133">
        <f>IF(E7="",0,E7*PREMIOS!F7)</f>
        <v>59500</v>
      </c>
      <c r="G7" s="30">
        <f t="shared" si="1"/>
        <v>-21484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66</v>
      </c>
      <c r="C9" s="29">
        <f>IF(DigitaNICA!E13&lt;&gt;"",DigitaNICA!E13,"")</f>
        <v>44100</v>
      </c>
      <c r="D9" s="42">
        <f>IF(C9="",0,C9*J$10)</f>
        <v>5292</v>
      </c>
      <c r="E9" s="29">
        <f>IF(DigitaNICA!F13&lt;&gt;"",DigitaNICA!F13,"")</f>
        <v>200</v>
      </c>
      <c r="F9" s="133">
        <f>IF(E9="",0,E9*PREMIOS!E9)</f>
        <v>16000</v>
      </c>
      <c r="G9" s="30">
        <f t="shared" si="1"/>
        <v>22808</v>
      </c>
      <c r="I9" s="60" t="s">
        <v>36</v>
      </c>
      <c r="J9" s="61">
        <v>0.12</v>
      </c>
      <c r="K9" s="62">
        <f>MROUND(D7+D11+D15,50)</f>
        <v>13800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9800</v>
      </c>
    </row>
    <row r="11" spans="1:12" ht="15" thickBot="1" x14ac:dyDescent="0.4">
      <c r="A11" s="28" t="s">
        <v>59</v>
      </c>
      <c r="B11" s="132">
        <f>IF(DigitaTICA!E2&lt;&gt;"",DigitaTICA!E2,"")</f>
        <v>19</v>
      </c>
      <c r="C11" s="29">
        <f>IF(DigitaTICA!E13&lt;&gt;"",DigitaTICA!E13,"")</f>
        <v>18750</v>
      </c>
      <c r="D11" s="42">
        <f>IF(C11="",0,C11*J$9)</f>
        <v>2250</v>
      </c>
      <c r="E11" s="29">
        <f>IF(DigitaTICA!F13&lt;&gt;"",DigitaTICA!F13,"")</f>
        <v>300</v>
      </c>
      <c r="F11" s="133">
        <f>IF(E11="",0,E11*PREMIOS!F11)</f>
        <v>25500</v>
      </c>
      <c r="G11" s="30">
        <f t="shared" si="1"/>
        <v>-9000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IF(DigitaTICA!G13&lt;&gt;"",DigitaTICA!G13,"")</f>
        <v>53050</v>
      </c>
      <c r="D15" s="42">
        <f>IF(C15="",0,C15*J$9)</f>
        <v>6366</v>
      </c>
      <c r="E15" s="29">
        <f>IF(DigitaTICA!H13&lt;&gt;"",DigitaTICA!H13,"")</f>
        <v>250</v>
      </c>
      <c r="F15" s="133">
        <f>IF(E15="",0,E15*PREMIOS!F15)</f>
        <v>21250</v>
      </c>
      <c r="G15" s="30">
        <f t="shared" si="3"/>
        <v>25434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>
        <f>IF(DigitaNICA!I13&lt;&gt;"",DigitaNICA!I13,"")</f>
        <v>5300</v>
      </c>
      <c r="D17" s="42">
        <f>IF(C17="",0,C17*J$10)</f>
        <v>636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4664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196750</v>
      </c>
      <c r="D19" s="68">
        <f>MROUND(SUM(D5:D18),50)</f>
        <v>23600</v>
      </c>
      <c r="E19" s="68">
        <f>SUM(E5:E18)</f>
        <v>1450</v>
      </c>
      <c r="F19" s="68">
        <f>SUM(F5:F18)</f>
        <v>122250</v>
      </c>
      <c r="G19" s="88">
        <f>SUM(G5:G18)</f>
        <v>50890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79750</v>
      </c>
      <c r="K4" s="236">
        <f t="shared" ref="K4" si="0">D7+D11+D15</f>
        <v>11962.5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49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IF(DigitaTICA!C14&lt;&gt;"",DigitaTICA!C14,"")</f>
        <v>29000</v>
      </c>
      <c r="D7" s="42">
        <f>IF(C7="",0,C7*J$9)</f>
        <v>4350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24650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66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11950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19</v>
      </c>
      <c r="C11" s="29">
        <f>IF(DigitaTICA!E14&lt;&gt;"",DigitaTICA!E14,"")</f>
        <v>9750</v>
      </c>
      <c r="D11" s="42">
        <f>IF(C11="",0,C11*J$9)</f>
        <v>1462.5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8287.5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IF(DigitaTICA!G14&lt;&gt;"",DigitaTICA!G14,"")</f>
        <v>41000</v>
      </c>
      <c r="D15" s="42">
        <f>IF(C15="",0,C15*J$9)</f>
        <v>6150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-5150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79750</v>
      </c>
      <c r="D19" s="68">
        <f>MROUND(SUM(D5:D18),50)</f>
        <v>11950</v>
      </c>
      <c r="E19" s="68">
        <f>SUM(E5:E18)</f>
        <v>500</v>
      </c>
      <c r="F19" s="68">
        <f>SUM(F5:F18)</f>
        <v>40000</v>
      </c>
      <c r="G19" s="88">
        <f>SUM(G5:G18)</f>
        <v>27787.5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66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116700</v>
      </c>
      <c r="K4" s="231">
        <f>D7+D11+D15</f>
        <v>14004</v>
      </c>
      <c r="L4" s="220">
        <f>F7+F11+F15</f>
        <v>89250</v>
      </c>
    </row>
    <row r="5" spans="1:12" x14ac:dyDescent="0.35">
      <c r="A5" s="28" t="s">
        <v>43</v>
      </c>
      <c r="B5" s="132">
        <f>IF(DigitaNICA!C2&lt;&gt;"",DigitaNICA!C2,"")</f>
        <v>49</v>
      </c>
      <c r="C5" s="29">
        <f>IF(DigitaNICA!C16&lt;&gt;"",DigitaNICA!C16,"")</f>
        <v>5800</v>
      </c>
      <c r="D5" s="42">
        <f>IF(C5="",0,C5*J$12)</f>
        <v>696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-14896</v>
      </c>
      <c r="I5" s="63" t="s">
        <v>37</v>
      </c>
      <c r="J5" s="225">
        <f>SUM(IF(C5="",0,C5),IF(C9="",0,C9),IF(C13="",0,C13),IF(C17="",0,C17))</f>
        <v>56350</v>
      </c>
      <c r="K5" s="225">
        <f t="shared" ref="K5" si="1">D5+D9+D13+D17</f>
        <v>6762</v>
      </c>
      <c r="L5" s="222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6000</v>
      </c>
      <c r="K6" s="226">
        <f t="shared" ref="K6" si="2">+D8+D12+D16</f>
        <v>600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40</v>
      </c>
      <c r="C7" s="29">
        <f>IF(DigitaTICA!C16&lt;&gt;"",DigitaTICA!C16,"")</f>
        <v>39400</v>
      </c>
      <c r="D7" s="42">
        <f>IF(C7="",0,C7*J$11)</f>
        <v>4728</v>
      </c>
      <c r="E7" s="29">
        <f>IF(DigitaTICA!D16&lt;&gt;"",DigitaTICA!D16,"")</f>
        <v>450</v>
      </c>
      <c r="F7" s="133">
        <f>IF(E7="",0,E7*PREMIOS!F7)</f>
        <v>38250</v>
      </c>
      <c r="G7" s="30">
        <f t="shared" si="0"/>
        <v>-3578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66</v>
      </c>
      <c r="C9" s="29">
        <f>IF(DigitaNICA!E16&lt;&gt;"",DigitaNICA!E16,"")</f>
        <v>8950</v>
      </c>
      <c r="D9" s="42">
        <f>IF(C9="",0,C9*J$12)</f>
        <v>1074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7876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19</v>
      </c>
      <c r="C11" s="29">
        <f>IF(DigitaTICA!E16&lt;&gt;"",DigitaTICA!E16,"")</f>
        <v>23400</v>
      </c>
      <c r="D11" s="42">
        <f>IF(C11="",0,C11*J$11)</f>
        <v>2808</v>
      </c>
      <c r="E11" s="29">
        <f>IF(DigitaTICA!F16&lt;&gt;"",DigitaTICA!F16,"")</f>
        <v>300</v>
      </c>
      <c r="F11" s="133">
        <f>IF(E11="",0,E11*PREMIOS!F11)</f>
        <v>25500</v>
      </c>
      <c r="G11" s="30">
        <f t="shared" si="0"/>
        <v>-4908</v>
      </c>
      <c r="I11" s="76" t="s">
        <v>36</v>
      </c>
      <c r="J11" s="77">
        <v>0.12</v>
      </c>
      <c r="K11" s="78">
        <f>MROUND(D7+D11+D15,50)</f>
        <v>14000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6750</v>
      </c>
    </row>
    <row r="13" spans="1:12" x14ac:dyDescent="0.35">
      <c r="A13" s="28" t="s">
        <v>50</v>
      </c>
      <c r="B13" s="132">
        <f>IF(DigitaNICA!G2&lt;&gt;"",DigitaNICA!G2,"")</f>
        <v>55</v>
      </c>
      <c r="C13" s="29">
        <f>IF(DigitaNICA!G16&lt;&gt;"",DigitaNICA!G16,"")</f>
        <v>12900</v>
      </c>
      <c r="D13" s="42">
        <f>IF(C13="",0,C13*J$12)</f>
        <v>1548</v>
      </c>
      <c r="E13" s="29">
        <f>IF(DigitaNICA!H16&lt;&gt;"",DigitaNICA!H16,"")</f>
        <v>250</v>
      </c>
      <c r="F13" s="133">
        <f>IF(E13="",0,E13*PREMIOS!E13)</f>
        <v>20000</v>
      </c>
      <c r="G13" s="30">
        <f>IF(OR(C13="",E13=""),0,C13-D13-F13)</f>
        <v>-8648</v>
      </c>
      <c r="I13" s="63" t="s">
        <v>38</v>
      </c>
      <c r="J13" s="64">
        <v>0.1</v>
      </c>
      <c r="K13" s="30">
        <f>MROUND(D6+D8+D10+D12+D14+D16+D18,50)</f>
        <v>600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70</v>
      </c>
      <c r="C15" s="29">
        <f>IF(DigitaTICA!G16&lt;&gt;"",DigitaTICA!G16,"")</f>
        <v>53900</v>
      </c>
      <c r="D15" s="42">
        <f>IF(C15="",0,C15*J$11)</f>
        <v>6468</v>
      </c>
      <c r="E15" s="29">
        <f>IF(DigitaTICA!H16&lt;&gt;"",DigitaTICA!H16,"")</f>
        <v>300</v>
      </c>
      <c r="F15" s="133">
        <f>IF(E15="",0,E15*PREMIOS!F15)</f>
        <v>25500</v>
      </c>
      <c r="G15" s="30">
        <f t="shared" si="3"/>
        <v>21932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5000</v>
      </c>
      <c r="D16" s="42">
        <f>IF(C16="",0,C16*J$13)</f>
        <v>500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4500</v>
      </c>
    </row>
    <row r="17" spans="1:7" x14ac:dyDescent="0.35">
      <c r="A17" s="28" t="s">
        <v>52</v>
      </c>
      <c r="B17" s="132">
        <f>IF(DigitaNICA!I2&lt;&gt;"",DigitaNICA!I2,"")</f>
        <v>76</v>
      </c>
      <c r="C17" s="29">
        <f>IF(DigitaNICA!I16&lt;&gt;"",DigitaNICA!I16,"")</f>
        <v>28700</v>
      </c>
      <c r="D17" s="42">
        <f>IF(C17="",0,C17*J$12)</f>
        <v>3444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17256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179050</v>
      </c>
      <c r="D24" s="122">
        <f t="shared" ref="D24:G24" si="5">SUM(D5:D23)</f>
        <v>21366</v>
      </c>
      <c r="E24" s="122">
        <f t="shared" si="5"/>
        <v>1650</v>
      </c>
      <c r="F24" s="122">
        <f t="shared" si="5"/>
        <v>137250</v>
      </c>
      <c r="G24" s="123">
        <f t="shared" si="5"/>
        <v>20434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49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40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66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19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55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2">
        <f>IF(DigitaTICA!G2&lt;&gt;"",DigitaTICA!G2,"")</f>
        <v>70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76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88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20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80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49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40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66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19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55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2">
        <f>IF(DigitaTICA!G2&lt;&gt;"",DigitaTICA!G2,"")</f>
        <v>70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76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88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20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80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88</v>
      </c>
      <c r="D2" s="282"/>
      <c r="E2" s="282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2">
        <f>IF(DigitaNICA!E2&lt;&gt;"",DigitaNICA!E2,"")</f>
        <v>66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76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66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2" t="s">
        <v>84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66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83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66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82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66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40</v>
      </c>
      <c r="D2" s="269"/>
      <c r="E2" s="268">
        <f>IF(PREMIOS!$B11="","",PREMIOS!$B11)</f>
        <v>19</v>
      </c>
      <c r="F2" s="269"/>
      <c r="G2" s="268">
        <f>IF(PREMIOS!$B15="","",PREMIOS!$B15)</f>
        <v>70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90300</v>
      </c>
      <c r="D4" s="78">
        <v>500</v>
      </c>
      <c r="E4" s="189">
        <v>41150</v>
      </c>
      <c r="F4" s="78">
        <v>1700</v>
      </c>
      <c r="G4" s="189">
        <v>168200</v>
      </c>
      <c r="H4" s="78">
        <f t="shared" ref="D4:H27" si="0">IF(G4="","",0)</f>
        <v>0</v>
      </c>
      <c r="J4" s="42">
        <f t="shared" ref="J4:J8" si="1">+C4+E4+G4</f>
        <v>299650</v>
      </c>
      <c r="K4" s="42">
        <f>IF(D4="",0,IF(F4="",D4,IF(H4="",D4+F4,D4+F4+H4)))</f>
        <v>2200</v>
      </c>
    </row>
    <row r="5" spans="1:11" x14ac:dyDescent="0.35">
      <c r="A5" s="47">
        <v>2</v>
      </c>
      <c r="B5" s="178" t="str">
        <f>Vendedor2!$B$2</f>
        <v>PUESTO 2</v>
      </c>
      <c r="C5" s="180">
        <v>140200</v>
      </c>
      <c r="D5" s="30">
        <v>3250</v>
      </c>
      <c r="E5" s="180">
        <v>60600</v>
      </c>
      <c r="F5" s="30">
        <v>2250</v>
      </c>
      <c r="G5" s="180">
        <v>130000</v>
      </c>
      <c r="H5" s="30">
        <v>2000</v>
      </c>
      <c r="J5" s="42">
        <f t="shared" si="1"/>
        <v>330800</v>
      </c>
      <c r="K5" s="42">
        <f t="shared" ref="K5:K27" si="2">IF(D5="",0,IF(F5="",D5,IF(H5="",D5+F5,D5+F5+H5)))</f>
        <v>7500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>
        <v>3000</v>
      </c>
      <c r="D7" s="30">
        <f t="shared" si="0"/>
        <v>0</v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3000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37450</v>
      </c>
      <c r="D8" s="30">
        <v>1550</v>
      </c>
      <c r="E8" s="180">
        <v>26400</v>
      </c>
      <c r="F8" s="30">
        <v>900</v>
      </c>
      <c r="G8" s="180">
        <v>50050</v>
      </c>
      <c r="H8" s="30">
        <v>200</v>
      </c>
      <c r="J8" s="42">
        <f t="shared" si="1"/>
        <v>113900</v>
      </c>
      <c r="K8" s="42">
        <f t="shared" si="2"/>
        <v>2650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34400+127500</f>
        <v>161900</v>
      </c>
      <c r="D10" s="30">
        <f>500+150</f>
        <v>650</v>
      </c>
      <c r="E10" s="180">
        <f>18400+65500</f>
        <v>83900</v>
      </c>
      <c r="F10" s="30">
        <v>450</v>
      </c>
      <c r="G10" s="180">
        <f>26600+171400</f>
        <v>198000</v>
      </c>
      <c r="H10" s="30">
        <v>1600</v>
      </c>
      <c r="J10" s="42">
        <f t="shared" si="3"/>
        <v>443800</v>
      </c>
      <c r="K10" s="42">
        <f t="shared" si="2"/>
        <v>2700</v>
      </c>
    </row>
    <row r="11" spans="1:11" x14ac:dyDescent="0.35">
      <c r="A11" s="47">
        <v>8</v>
      </c>
      <c r="B11" s="178" t="str">
        <f>Vendedor8!$B$2</f>
        <v>ISA</v>
      </c>
      <c r="C11" s="180">
        <v>4000</v>
      </c>
      <c r="D11" s="30">
        <v>200</v>
      </c>
      <c r="E11" s="180"/>
      <c r="F11" s="30" t="str">
        <f t="shared" si="0"/>
        <v/>
      </c>
      <c r="G11" s="180">
        <v>14500</v>
      </c>
      <c r="H11" s="30">
        <v>700</v>
      </c>
      <c r="J11" s="42">
        <f t="shared" si="3"/>
        <v>18500</v>
      </c>
      <c r="K11" s="42">
        <f t="shared" si="2"/>
        <v>200</v>
      </c>
    </row>
    <row r="12" spans="1:11" x14ac:dyDescent="0.35">
      <c r="A12" s="47">
        <v>9</v>
      </c>
      <c r="B12" s="178" t="str">
        <f>Vendedor9!$B$2</f>
        <v>JUAN FELIX</v>
      </c>
      <c r="C12" s="180">
        <v>25400</v>
      </c>
      <c r="D12" s="30">
        <f t="shared" si="0"/>
        <v>0</v>
      </c>
      <c r="E12" s="180">
        <v>6500</v>
      </c>
      <c r="F12" s="30">
        <f t="shared" si="0"/>
        <v>0</v>
      </c>
      <c r="G12" s="180">
        <v>21850</v>
      </c>
      <c r="H12" s="30">
        <f t="shared" si="0"/>
        <v>0</v>
      </c>
      <c r="J12" s="42">
        <f t="shared" si="3"/>
        <v>53750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43200</v>
      </c>
      <c r="D13" s="30">
        <v>700</v>
      </c>
      <c r="E13" s="180">
        <v>18750</v>
      </c>
      <c r="F13" s="30">
        <v>300</v>
      </c>
      <c r="G13" s="180">
        <v>53050</v>
      </c>
      <c r="H13" s="30">
        <v>250</v>
      </c>
      <c r="J13" s="42">
        <f t="shared" si="3"/>
        <v>115000</v>
      </c>
      <c r="K13" s="42">
        <f t="shared" si="2"/>
        <v>1250</v>
      </c>
    </row>
    <row r="14" spans="1:11" x14ac:dyDescent="0.35">
      <c r="A14" s="47">
        <v>11</v>
      </c>
      <c r="B14" s="178" t="str">
        <f>Vendedor11!$B$2</f>
        <v>CHARLY</v>
      </c>
      <c r="C14" s="180">
        <v>29000</v>
      </c>
      <c r="D14" s="30">
        <f t="shared" si="0"/>
        <v>0</v>
      </c>
      <c r="E14" s="180">
        <v>9750</v>
      </c>
      <c r="F14" s="30">
        <f t="shared" si="0"/>
        <v>0</v>
      </c>
      <c r="G14" s="180">
        <v>41000</v>
      </c>
      <c r="H14" s="30">
        <v>500</v>
      </c>
      <c r="J14" s="42">
        <f t="shared" si="3"/>
        <v>79750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39400</v>
      </c>
      <c r="D16" s="30">
        <v>450</v>
      </c>
      <c r="E16" s="180">
        <v>23400</v>
      </c>
      <c r="F16" s="30">
        <v>300</v>
      </c>
      <c r="G16" s="180">
        <v>53900</v>
      </c>
      <c r="H16" s="30">
        <v>300</v>
      </c>
      <c r="J16" s="42">
        <f t="shared" si="3"/>
        <v>116700</v>
      </c>
      <c r="K16" s="42">
        <f t="shared" si="2"/>
        <v>1050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573850</v>
      </c>
      <c r="D32" s="44">
        <f t="shared" si="6"/>
        <v>7300</v>
      </c>
      <c r="E32" s="43">
        <f t="shared" si="6"/>
        <v>270450</v>
      </c>
      <c r="F32" s="44">
        <f t="shared" si="6"/>
        <v>5900</v>
      </c>
      <c r="G32" s="43">
        <f t="shared" si="6"/>
        <v>730550</v>
      </c>
      <c r="H32" s="44">
        <f t="shared" si="6"/>
        <v>5550</v>
      </c>
      <c r="J32" s="95">
        <f>SUM(J4:J31)</f>
        <v>1574850</v>
      </c>
      <c r="K32" s="95"/>
    </row>
    <row r="33" spans="2:8" x14ac:dyDescent="0.35">
      <c r="D33" s="99">
        <f>+D32*85</f>
        <v>620500</v>
      </c>
      <c r="F33" s="99">
        <f>+F32*85</f>
        <v>501500</v>
      </c>
      <c r="H33" s="99">
        <f>+H32*85</f>
        <v>471750</v>
      </c>
    </row>
    <row r="34" spans="2:8" x14ac:dyDescent="0.35">
      <c r="B34" s="247" t="s">
        <v>149</v>
      </c>
      <c r="C34" s="43">
        <f t="shared" ref="C34:H34" si="7">+C4+C5+C6+C8+C13</f>
        <v>311150</v>
      </c>
      <c r="D34" s="43" t="e">
        <f t="shared" si="7"/>
        <v>#VALUE!</v>
      </c>
      <c r="E34" s="43">
        <f t="shared" si="7"/>
        <v>146900</v>
      </c>
      <c r="F34" s="43" t="e">
        <f t="shared" si="7"/>
        <v>#VALUE!</v>
      </c>
      <c r="G34" s="43">
        <f t="shared" si="7"/>
        <v>401300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33000</v>
      </c>
      <c r="D35" s="43" t="e">
        <f t="shared" ref="D35:H35" si="8">+D11+D14+D15+D17+D18</f>
        <v>#VALUE!</v>
      </c>
      <c r="E35" s="43">
        <f t="shared" si="8"/>
        <v>9750</v>
      </c>
      <c r="F35" s="43" t="e">
        <f t="shared" si="8"/>
        <v>#VALUE!</v>
      </c>
      <c r="G35" s="43">
        <f t="shared" si="8"/>
        <v>55500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187300</v>
      </c>
      <c r="D36" s="43" t="e">
        <f t="shared" ref="D36:H36" si="9">+D10+D12+D27</f>
        <v>#VALUE!</v>
      </c>
      <c r="E36" s="43">
        <f t="shared" si="9"/>
        <v>90400</v>
      </c>
      <c r="F36" s="43" t="e">
        <f t="shared" si="9"/>
        <v>#VALUE!</v>
      </c>
      <c r="G36" s="43">
        <f t="shared" si="9"/>
        <v>219850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ht="21" customHeight="1" x14ac:dyDescent="0.35">
      <c r="C2" s="268">
        <f>IF(PREMIOS!$B5="","",PREMIOS!$B5)</f>
        <v>49</v>
      </c>
      <c r="D2" s="269"/>
      <c r="E2" s="268">
        <f>IF(PREMIOS!$B9="","",PREMIOS!$B9)</f>
        <v>66</v>
      </c>
      <c r="F2" s="269"/>
      <c r="G2" s="268">
        <f>IF(PREMIOS!$B13="","",PREMIOS!$B13)</f>
        <v>55</v>
      </c>
      <c r="H2" s="269"/>
      <c r="I2" s="268">
        <f>IF(PREMIOS!$B17="","",PREMIOS!$B17)</f>
        <v>76</v>
      </c>
      <c r="J2" s="269"/>
    </row>
    <row r="3" spans="1:13" ht="21" customHeight="1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32000</v>
      </c>
      <c r="D4" s="78">
        <v>500</v>
      </c>
      <c r="E4" s="206">
        <v>18550</v>
      </c>
      <c r="F4" s="78">
        <f t="shared" ref="D4:J27" si="0">IF(E4="","",0)</f>
        <v>0</v>
      </c>
      <c r="G4" s="189">
        <v>4000</v>
      </c>
      <c r="H4" s="78">
        <f t="shared" ref="H4:H27" si="1">IF(G4="","",0)</f>
        <v>0</v>
      </c>
      <c r="I4" s="189">
        <v>15600</v>
      </c>
      <c r="J4" s="78">
        <f t="shared" si="0"/>
        <v>0</v>
      </c>
      <c r="L4" s="42">
        <f t="shared" ref="L4:L8" si="2">+C4+E4+G4+I4</f>
        <v>70150</v>
      </c>
      <c r="M4" s="42">
        <f>IF(D4=0,0,IF(F4="",D4,IF(H4="",D4+F4,IF(J4="",D4+F4+H4,D4+F4+H4+J4))))</f>
        <v>500</v>
      </c>
    </row>
    <row r="5" spans="1:13" x14ac:dyDescent="0.35">
      <c r="A5" s="47">
        <v>2</v>
      </c>
      <c r="B5" s="178" t="str">
        <f>Vendedor2!$B$2</f>
        <v>PUESTO 2</v>
      </c>
      <c r="C5" s="180">
        <v>29150</v>
      </c>
      <c r="D5" s="30">
        <f t="shared" si="0"/>
        <v>0</v>
      </c>
      <c r="E5" s="207">
        <v>15700</v>
      </c>
      <c r="F5" s="30">
        <f t="shared" si="0"/>
        <v>0</v>
      </c>
      <c r="G5" s="180">
        <v>11000</v>
      </c>
      <c r="H5" s="30">
        <v>2000</v>
      </c>
      <c r="I5" s="180">
        <v>1500</v>
      </c>
      <c r="J5" s="30">
        <f t="shared" ref="J5:J27" si="3">IF(I5="","",0)</f>
        <v>0</v>
      </c>
      <c r="L5" s="42">
        <f t="shared" si="2"/>
        <v>57350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39250</v>
      </c>
      <c r="D8" s="30">
        <f t="shared" si="0"/>
        <v>0</v>
      </c>
      <c r="E8" s="207">
        <v>34400</v>
      </c>
      <c r="F8" s="30">
        <f t="shared" si="0"/>
        <v>0</v>
      </c>
      <c r="G8" s="180">
        <v>7700</v>
      </c>
      <c r="H8" s="30">
        <f t="shared" si="1"/>
        <v>0</v>
      </c>
      <c r="I8" s="180">
        <v>7500</v>
      </c>
      <c r="J8" s="30">
        <f t="shared" si="0"/>
        <v>0</v>
      </c>
      <c r="L8" s="42">
        <f t="shared" si="2"/>
        <v>88850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23500+34650</f>
        <v>58150</v>
      </c>
      <c r="D10" s="30">
        <f>600+0</f>
        <v>600</v>
      </c>
      <c r="E10" s="207">
        <f>21200+43300</f>
        <v>64500</v>
      </c>
      <c r="F10" s="30">
        <f>300+0</f>
        <v>300</v>
      </c>
      <c r="G10" s="180">
        <f>12000+86500</f>
        <v>98500</v>
      </c>
      <c r="H10" s="30">
        <v>3400</v>
      </c>
      <c r="I10" s="180">
        <f>35450+52050</f>
        <v>87500</v>
      </c>
      <c r="J10" s="30">
        <v>4700</v>
      </c>
      <c r="L10" s="42">
        <f t="shared" si="5"/>
        <v>308650</v>
      </c>
      <c r="M10" s="42">
        <f t="shared" si="4"/>
        <v>9000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5400</v>
      </c>
      <c r="D12" s="30">
        <f t="shared" si="0"/>
        <v>0</v>
      </c>
      <c r="E12" s="207">
        <v>2000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7400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32350</v>
      </c>
      <c r="D13" s="30">
        <f t="shared" si="0"/>
        <v>0</v>
      </c>
      <c r="E13" s="207">
        <v>44100</v>
      </c>
      <c r="F13" s="30">
        <v>200</v>
      </c>
      <c r="G13" s="180"/>
      <c r="H13" s="30" t="str">
        <f t="shared" si="0"/>
        <v/>
      </c>
      <c r="I13" s="180">
        <v>5300</v>
      </c>
      <c r="J13" s="30">
        <f t="shared" si="0"/>
        <v>0</v>
      </c>
      <c r="L13" s="42">
        <f t="shared" si="5"/>
        <v>81750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5800</v>
      </c>
      <c r="D16" s="30">
        <v>250</v>
      </c>
      <c r="E16" s="207">
        <v>8950</v>
      </c>
      <c r="F16" s="30">
        <f t="shared" si="0"/>
        <v>0</v>
      </c>
      <c r="G16" s="180">
        <v>12900</v>
      </c>
      <c r="H16" s="30">
        <v>250</v>
      </c>
      <c r="I16" s="180">
        <v>28700</v>
      </c>
      <c r="J16" s="30">
        <v>100</v>
      </c>
      <c r="L16" s="42">
        <f t="shared" si="5"/>
        <v>56350</v>
      </c>
      <c r="M16" s="42">
        <f t="shared" si="4"/>
        <v>600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202100</v>
      </c>
      <c r="D32" s="44">
        <f t="shared" si="7"/>
        <v>1350</v>
      </c>
      <c r="E32" s="43">
        <f t="shared" si="7"/>
        <v>188200</v>
      </c>
      <c r="F32" s="44">
        <f t="shared" si="7"/>
        <v>500</v>
      </c>
      <c r="G32" s="43">
        <f t="shared" si="7"/>
        <v>134100</v>
      </c>
      <c r="H32" s="44">
        <f t="shared" si="7"/>
        <v>5650</v>
      </c>
      <c r="I32" s="43">
        <f t="shared" si="7"/>
        <v>146100</v>
      </c>
      <c r="J32" s="44">
        <f t="shared" si="7"/>
        <v>4800</v>
      </c>
      <c r="L32" s="95">
        <f>SUM(L9:L31)</f>
        <v>454150</v>
      </c>
      <c r="M32" s="95">
        <f>SUM(M9:M31)</f>
        <v>9600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IF(C33=0,"",CONCATENATE(PREMIOS!$B7," ",PREMIOS!$B8))</f>
        <v>40 Blanca</v>
      </c>
      <c r="D2" s="269"/>
      <c r="E2" s="268" t="str">
        <f>IF(E33=0,"",CONCATENATE(PREMIOS!$B11," ",PREMIOS!$B12))</f>
        <v>19 Roja</v>
      </c>
      <c r="F2" s="269"/>
      <c r="G2" s="268" t="str">
        <f>IF(G33=0,"",CONCATENATE(PREMIOS!$B15," ",PREMIOS!$B16))</f>
        <v>70 Blanca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4000+16650</f>
        <v>20650</v>
      </c>
      <c r="D10" s="30">
        <f t="shared" si="0"/>
        <v>0</v>
      </c>
      <c r="E10" s="180">
        <f>1800+9650</f>
        <v>11450</v>
      </c>
      <c r="F10" s="30">
        <f t="shared" si="0"/>
        <v>0</v>
      </c>
      <c r="G10" s="180">
        <f>6500+9500</f>
        <v>16000</v>
      </c>
      <c r="H10" s="30">
        <f t="shared" si="0"/>
        <v>0</v>
      </c>
      <c r="J10" s="42">
        <f t="shared" si="3"/>
        <v>48100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>
        <v>5000</v>
      </c>
      <c r="H16" s="195">
        <f t="shared" si="0"/>
        <v>0</v>
      </c>
      <c r="J16" s="42">
        <f t="shared" si="3"/>
        <v>6000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22150</v>
      </c>
      <c r="D33" s="44">
        <f t="shared" si="7"/>
        <v>0</v>
      </c>
      <c r="E33" s="43">
        <f t="shared" si="7"/>
        <v>11450</v>
      </c>
      <c r="F33" s="44">
        <f t="shared" si="7"/>
        <v>0</v>
      </c>
      <c r="G33" s="43">
        <f t="shared" si="7"/>
        <v>21000</v>
      </c>
      <c r="H33" s="44">
        <f t="shared" si="7"/>
        <v>0</v>
      </c>
      <c r="J33" s="45">
        <f>SUM(J4:J32)</f>
        <v>54600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2" t="s">
        <v>97</v>
      </c>
      <c r="D1" s="273"/>
      <c r="E1" s="272" t="s">
        <v>98</v>
      </c>
      <c r="F1" s="273"/>
    </row>
    <row r="2" spans="1:9" ht="21" customHeight="1" x14ac:dyDescent="0.35">
      <c r="C2" s="268">
        <f>IF(PREMIOS!$B19="","",PREMIOS!$B19)</f>
        <v>85</v>
      </c>
      <c r="D2" s="269"/>
      <c r="E2" s="268">
        <f>IF(PREMIOS!$C19="","",PREMIOS!$C19)</f>
        <v>88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7550</v>
      </c>
      <c r="D4" s="78">
        <f t="shared" ref="D4:F27" si="0">IF(C4="","",0)</f>
        <v>0</v>
      </c>
      <c r="E4" s="189">
        <v>500</v>
      </c>
      <c r="F4" s="78">
        <f t="shared" si="0"/>
        <v>0</v>
      </c>
      <c r="H4" s="42">
        <f>+C4+E4</f>
        <v>8050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7600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7600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14850</v>
      </c>
      <c r="D8" s="30">
        <f t="shared" si="0"/>
        <v>0</v>
      </c>
      <c r="E8" s="194">
        <v>24400</v>
      </c>
      <c r="F8" s="195">
        <f t="shared" si="1"/>
        <v>0</v>
      </c>
      <c r="H8" s="42">
        <f t="shared" si="2"/>
        <v>39250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24450</v>
      </c>
      <c r="D10" s="30">
        <f t="shared" si="0"/>
        <v>0</v>
      </c>
      <c r="E10" s="180">
        <v>2100</v>
      </c>
      <c r="F10" s="195">
        <f t="shared" si="1"/>
        <v>0</v>
      </c>
      <c r="H10" s="42">
        <f t="shared" si="2"/>
        <v>26550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/>
      <c r="D12" s="30" t="str">
        <f t="shared" si="0"/>
        <v/>
      </c>
      <c r="E12" s="194"/>
      <c r="F12" s="30" t="str">
        <f t="shared" si="0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54450</v>
      </c>
      <c r="D33" s="44">
        <f>SUM(D4:D32)</f>
        <v>0</v>
      </c>
      <c r="E33" s="43">
        <f>SUM(E4:E32)</f>
        <v>27000</v>
      </c>
      <c r="F33" s="44">
        <f>SUM(F4:F32)</f>
        <v>0</v>
      </c>
      <c r="H33" s="95">
        <f>SUM(H4:H32)</f>
        <v>81450</v>
      </c>
      <c r="I33" s="95">
        <f>SUM(I4:I32)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ht="21" customHeight="1" x14ac:dyDescent="0.35">
      <c r="C2" s="268">
        <f>IF(PREMIOS!$B20="","",PREMIOS!$B20)</f>
        <v>52</v>
      </c>
      <c r="D2" s="269"/>
      <c r="E2" s="268">
        <f>IF(PREMIOS!$C20="","",PREMIOS!$C20)</f>
        <v>20</v>
      </c>
      <c r="F2" s="269"/>
      <c r="G2" s="268">
        <f>IF(PREMIOS!$D20="","",PREMIOS!$D20)</f>
        <v>80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14600</v>
      </c>
      <c r="D10" s="195">
        <v>3000</v>
      </c>
      <c r="E10" s="180">
        <v>27200</v>
      </c>
      <c r="F10" s="30">
        <f t="shared" si="0"/>
        <v>0</v>
      </c>
      <c r="G10" s="180">
        <v>31000</v>
      </c>
      <c r="H10" s="195">
        <f t="shared" si="0"/>
        <v>0</v>
      </c>
      <c r="J10" s="42">
        <f t="shared" si="3"/>
        <v>72800</v>
      </c>
      <c r="K10" s="42">
        <f t="shared" si="4"/>
        <v>3000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14600</v>
      </c>
      <c r="D33" s="44">
        <f t="shared" si="6"/>
        <v>3000</v>
      </c>
      <c r="E33" s="43">
        <f t="shared" si="6"/>
        <v>27200</v>
      </c>
      <c r="F33" s="44">
        <f t="shared" si="6"/>
        <v>0</v>
      </c>
      <c r="G33" s="43">
        <f t="shared" si="6"/>
        <v>31000</v>
      </c>
      <c r="H33" s="44">
        <f t="shared" si="6"/>
        <v>0</v>
      </c>
      <c r="J33" s="45">
        <f>SUM(J4:J32)</f>
        <v>72800</v>
      </c>
      <c r="K33" s="95">
        <f>SUM(K4:K32)</f>
        <v>3000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F10" sqref="F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2" t="s">
        <v>110</v>
      </c>
      <c r="D1" s="273"/>
      <c r="E1" s="272" t="s">
        <v>111</v>
      </c>
      <c r="F1" s="273"/>
    </row>
    <row r="2" spans="1:9" ht="21" customHeight="1" x14ac:dyDescent="0.35">
      <c r="C2" s="268">
        <f>IF(PREMIOS!$B21="","",PREMIOS!$B21)</f>
        <v>41</v>
      </c>
      <c r="D2" s="269"/>
      <c r="E2" s="268">
        <f>IF(PREMIOS!$C21="","",PREMIOS!$C21)</f>
        <v>44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>
        <v>51000</v>
      </c>
      <c r="F10" s="30">
        <f t="shared" si="0"/>
        <v>0</v>
      </c>
      <c r="H10" s="42">
        <f t="shared" si="2"/>
        <v>51000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51000</v>
      </c>
      <c r="F33" s="44">
        <f>SUM(F4:F32)</f>
        <v>0</v>
      </c>
      <c r="H33" s="45">
        <f>SUM(H4:H32)</f>
        <v>51000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2" t="s">
        <v>109</v>
      </c>
      <c r="D1" s="273"/>
    </row>
    <row r="2" spans="1:4" ht="21" customHeight="1" x14ac:dyDescent="0.35">
      <c r="C2" s="268" t="str">
        <f>IF(PREMIOS!$B22="","",PREMIOS!$B22)</f>
        <v/>
      </c>
      <c r="D2" s="269"/>
    </row>
    <row r="3" spans="1:4" ht="21" customHeight="1" thickBot="1" x14ac:dyDescent="0.4">
      <c r="C3" s="268"/>
      <c r="D3" s="269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2026-06-26T16:16:51Z</dcterms:modified>
  <dc:language>es-CR</dc:language>
</cp:coreProperties>
</file>
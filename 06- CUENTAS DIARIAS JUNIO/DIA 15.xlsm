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57" documentId="11_607DB4E0266EF2E44FB99C59D332B2C023EC9CBC" xr6:coauthVersionLast="47" xr6:coauthVersionMax="47" xr10:uidLastSave="{75BDF9FA-C0C0-4311-9E69-FB0260F63FD3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H10" i="60" l="1"/>
  <c r="G35" i="60"/>
  <c r="G10" i="62"/>
  <c r="E10" i="62"/>
  <c r="J10" i="61"/>
  <c r="I10" i="61"/>
  <c r="G10" i="60"/>
  <c r="E10" i="60"/>
  <c r="C10" i="62"/>
  <c r="D10" i="60"/>
  <c r="C10" i="60"/>
  <c r="E10" i="61"/>
  <c r="C10" i="61"/>
  <c r="C10" i="65" l="1"/>
  <c r="D18" i="64" l="1"/>
  <c r="D18" i="65"/>
  <c r="D12" i="65"/>
  <c r="D11" i="65"/>
  <c r="D18" i="61"/>
  <c r="D17" i="61"/>
  <c r="D10" i="61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8" i="15" s="1"/>
  <c r="G23" i="15"/>
  <c r="J8" i="15"/>
  <c r="K15" i="15" l="1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E5" i="16" s="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3" i="60"/>
  <c r="D12" i="60"/>
  <c r="D11" i="60"/>
  <c r="D9" i="60"/>
  <c r="D7" i="60"/>
  <c r="F18" i="23"/>
  <c r="F14" i="23"/>
  <c r="F10" i="23"/>
  <c r="F6" i="23"/>
  <c r="F6" i="14"/>
  <c r="F10" i="14"/>
  <c r="F14" i="14"/>
  <c r="F18" i="14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3" i="60"/>
  <c r="F12" i="60"/>
  <c r="F11" i="60"/>
  <c r="F10" i="60"/>
  <c r="F9" i="60"/>
  <c r="F7" i="60"/>
  <c r="F6" i="60"/>
  <c r="F5" i="60"/>
  <c r="H17" i="60"/>
  <c r="H15" i="60"/>
  <c r="H14" i="60"/>
  <c r="H11" i="60"/>
  <c r="H9" i="60"/>
  <c r="H7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J8" i="14" l="1"/>
  <c r="D21" i="14"/>
  <c r="C12" i="71"/>
  <c r="D22" i="14"/>
  <c r="G12" i="71"/>
  <c r="E19" i="16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1" i="73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H22" i="72"/>
  <c r="F22" i="72"/>
  <c r="E22" i="72"/>
  <c r="D22" i="72"/>
  <c r="J22" i="72" s="1"/>
  <c r="K22" i="72" s="1"/>
  <c r="C22" i="72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I11" i="72"/>
  <c r="N11" i="72" s="1"/>
  <c r="H11" i="72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20" i="70"/>
  <c r="K20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I14" i="66" s="1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D31" i="70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N15" i="72"/>
  <c r="J32" i="64"/>
  <c r="L6" i="6"/>
  <c r="K20" i="19"/>
  <c r="K9" i="19"/>
  <c r="L21" i="71"/>
  <c r="M21" i="71" s="1"/>
  <c r="J22" i="71"/>
  <c r="J31" i="71"/>
  <c r="J26" i="72"/>
  <c r="K26" i="72" s="1"/>
  <c r="D18" i="72"/>
  <c r="J31" i="64"/>
  <c r="L9" i="19"/>
  <c r="L20" i="71"/>
  <c r="M20" i="71" s="1"/>
  <c r="J30" i="71"/>
  <c r="K30" i="71" s="1"/>
  <c r="I15" i="72"/>
  <c r="E27" i="72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F27" i="72"/>
  <c r="J29" i="64"/>
  <c r="H24" i="70"/>
  <c r="J7" i="19"/>
  <c r="F25" i="19"/>
  <c r="F18" i="72"/>
  <c r="J26" i="71"/>
  <c r="L29" i="71"/>
  <c r="M29" i="71" s="1"/>
  <c r="H21" i="72"/>
  <c r="F16" i="71"/>
  <c r="L16" i="71" s="1"/>
  <c r="M16" i="71" s="1"/>
  <c r="F22" i="15"/>
  <c r="L8" i="15" s="1"/>
  <c r="G22" i="15"/>
  <c r="L25" i="71"/>
  <c r="M25" i="71" s="1"/>
  <c r="J23" i="72"/>
  <c r="K23" i="72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L27" i="71" s="1"/>
  <c r="M27" i="71" s="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K23" i="71" s="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P30" i="71" l="1"/>
  <c r="K21" i="19"/>
  <c r="K10" i="19"/>
  <c r="K20" i="21"/>
  <c r="K10" i="21"/>
  <c r="L27" i="70"/>
  <c r="K21" i="8"/>
  <c r="K10" i="8"/>
  <c r="I33" i="66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L6" i="23" l="1"/>
  <c r="J4" i="23"/>
  <c r="J5" i="19"/>
  <c r="M20" i="52"/>
  <c r="L5" i="23"/>
  <c r="C24" i="15"/>
  <c r="F17" i="52"/>
  <c r="F12" i="8"/>
  <c r="M26" i="52"/>
  <c r="J5" i="23"/>
  <c r="M23" i="52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J32" i="61" s="1"/>
  <c r="I28" i="61"/>
  <c r="H28" i="61"/>
  <c r="H32" i="61" s="1"/>
  <c r="G28" i="6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C32" i="61"/>
  <c r="I32" i="61"/>
  <c r="K4" i="23"/>
  <c r="G32" i="60"/>
  <c r="L19" i="59"/>
  <c r="L19" i="71"/>
  <c r="M19" i="71" s="1"/>
  <c r="M32" i="71" s="1"/>
  <c r="F8" i="74" s="1"/>
  <c r="F24" i="15"/>
  <c r="J19" i="70"/>
  <c r="K19" i="70" s="1"/>
  <c r="G32" i="61"/>
  <c r="F32" i="61"/>
  <c r="L6" i="25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M4" i="52" s="1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R29" i="59" l="1"/>
  <c r="M6" i="52"/>
  <c r="M5" i="52"/>
  <c r="K6" i="25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2" i="58"/>
  <c r="P20" i="58"/>
  <c r="P25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23" i="52" l="1"/>
  <c r="C22" i="1" s="1"/>
  <c r="B22" i="1"/>
  <c r="K6" i="52"/>
  <c r="C5" i="1" s="1"/>
  <c r="B5" i="1"/>
  <c r="K4" i="52"/>
  <c r="C3" i="1" s="1"/>
  <c r="B3" i="1"/>
  <c r="K5" i="52"/>
  <c r="C4" i="1" s="1"/>
  <c r="B4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<sst xmlns="http://schemas.openxmlformats.org/spreadsheetml/2006/main" count="1290" uniqueCount="157">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</sst>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210700</v>
      </c>
      <c r="C3" s="9">
        <f>+HojaTICA!K4+HojaNICA!M4+HojaREVENTADO!K4+HojaPrimera!I4+HojaHonduras!K4+HojaDominicana!I4+HojaPANA!G4</f>
        <v>27400</v>
      </c>
      <c r="D3" s="9">
        <f>+HojaTICA!N4+HojaNICA!P4+HojaREVENTADO!O4+HojaPrimera!L4+HojaHonduras!N4+HojaDominicana!L4+HojaPANA!J4</f>
        <v>201250</v>
      </c>
      <c r="F3" s="10">
        <f t="shared" ref="F3:F27" si="0">+B3-C3-D3</f>
        <v>-17950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174100</v>
      </c>
      <c r="C4" s="9">
        <f>+HojaTICA!K5+HojaNICA!M5+HojaREVENTADO!K5+HojaPrimera!I5+HojaHonduras!K5+HojaDominicana!I5+HojaPANA!G5</f>
        <v>22650</v>
      </c>
      <c r="D4" s="9">
        <f>+HojaTICA!N5+HojaNICA!P5+HojaREVENTADO!O5+HojaPrimera!L5+HojaHonduras!N5+HojaDominicana!L5+HojaPANA!J5</f>
        <v>148750</v>
      </c>
      <c r="F4" s="14">
        <f t="shared" si="0"/>
        <v>2700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384800</v>
      </c>
      <c r="C7" s="9">
        <f>+HojaTICA!K8+HojaNICA!M8+HojaREVENTADO!K8+HojaPrimera!I8+HojaHonduras!K8+HojaDominicana!I8+HojaPANA!G8</f>
        <v>46200</v>
      </c>
      <c r="D7" s="9">
        <f>+HojaTICA!N8+HojaNICA!P8+HojaREVENTADO!O8+HojaPrimera!L8+HojaHonduras!N8+HojaDominicana!L8+HojaPANA!J8</f>
        <v>214500</v>
      </c>
      <c r="F7" s="14">
        <f t="shared" si="0"/>
        <v>124100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680400</v>
      </c>
      <c r="C9" s="9">
        <f>+HojaTICA!K10+HojaNICA!M10+HojaREVENTADO!K10+HojaPrimera!I10+HojaHonduras!K10+HojaDominicana!I10+HojaPANA!G10</f>
        <v>80800</v>
      </c>
      <c r="D9" s="9">
        <f>+HojaTICA!N10+HojaNICA!P10+HojaREVENTADO!O10+HojaPrimera!L10+HojaHonduras!N10+HojaDominicana!L10+HojaPANA!J10</f>
        <v>412250</v>
      </c>
      <c r="F9" s="14">
        <f t="shared" si="0"/>
        <v>187350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10900</v>
      </c>
      <c r="C10" s="9">
        <f>+HojaTICA!K11+HojaNICA!M11+HojaREVENTADO!K11+HojaPrimera!I11+HojaHonduras!K11+HojaDominicana!I11+HojaPANA!G11</f>
        <v>1300</v>
      </c>
      <c r="D10" s="9">
        <f>+HojaTICA!N11+HojaNICA!P11+HojaREVENTADO!O11+HojaPrimera!L11+HojaHonduras!N11+HojaDominicana!L11+HojaPANA!J11</f>
        <v>0</v>
      </c>
      <c r="F10" s="14">
        <f t="shared" si="0"/>
        <v>9600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89700</v>
      </c>
      <c r="C11" s="9">
        <f>+HojaTICA!K12+HojaNICA!M12+HojaREVENTADO!K12+HojaPrimera!I12+HojaHonduras!K12+HojaDominicana!I12+HojaPANA!G12</f>
        <v>10625</v>
      </c>
      <c r="D11" s="9">
        <f>+HojaTICA!N12+HojaNICA!P12+HojaREVENTADO!O12+HojaPrimera!L12+HojaHonduras!N12+HojaDominicana!L12+HojaPANA!J12</f>
        <v>63750</v>
      </c>
      <c r="F11" s="14">
        <f t="shared" si="0"/>
        <v>15325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94650</v>
      </c>
      <c r="C12" s="9">
        <f>+HojaTICA!K13+HojaNICA!M13+HojaREVENTADO!K13+HojaPrimera!I13+HojaHonduras!K13+HojaDominicana!I13+HojaPANA!G13</f>
        <v>11350</v>
      </c>
      <c r="D12" s="9">
        <f>+HojaTICA!N13+HojaNICA!P13+HojaREVENTADO!O13+HojaPrimera!L13+HojaHonduras!N13+HojaDominicana!L13+HojaPANA!J13</f>
        <v>25500</v>
      </c>
      <c r="F12" s="14">
        <f t="shared" si="0"/>
        <v>57800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108950</v>
      </c>
      <c r="C13" s="9">
        <f>+HojaTICA!K14+HojaNICA!M14+HojaREVENTADO!K14+HojaPrimera!I14+HojaHonduras!K14+HojaDominicana!I14+HojaPANA!G14</f>
        <v>16350</v>
      </c>
      <c r="D13" s="9">
        <f>+HojaTICA!N14+HojaNICA!P14+HojaREVENTADO!O14+HojaPrimera!L14+HojaHonduras!N14+HojaDominicana!L14+HojaPANA!J14</f>
        <v>72000</v>
      </c>
      <c r="F13" s="14">
        <f t="shared" si="0"/>
        <v>20600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118000</v>
      </c>
      <c r="C15" s="9">
        <f>+HojaTICA!K16+HojaNICA!M16+HojaREVENTADO!K16+HojaPrimera!I16+HojaHonduras!K16+HojaDominicana!I16+HojaPANA!G16</f>
        <v>14150</v>
      </c>
      <c r="D15" s="9">
        <f>+HojaTICA!N16+HojaNICA!P16+HojaREVENTADO!O16+HojaPrimera!L16+HojaHonduras!N16+HojaDominicana!L16+HojaPANA!J16</f>
        <v>62500</v>
      </c>
      <c r="F15" s="14">
        <f t="shared" si="0"/>
        <v>41350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1872200</v>
      </c>
      <c r="C28" s="17">
        <f t="shared" si="1"/>
        <v>230825</v>
      </c>
      <c r="D28" s="18">
        <f t="shared" si="1"/>
        <v>1200500</v>
      </c>
      <c r="F28" s="20">
        <f>SUM(F3:F27)</f>
        <v>440875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154</v>
      </c>
      <c r="B5" s="163">
        <v>65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63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49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65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152</v>
      </c>
      <c r="B15" s="163">
        <v>12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153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36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24</v>
      </c>
      <c r="C19" s="132">
        <v>79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156</v>
      </c>
      <c r="C20" s="163">
        <v>62</v>
      </c>
      <c r="D20" s="166">
        <v>50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44</v>
      </c>
      <c r="C21" s="164">
        <v>28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63</v>
      </c>
      <c r="D2" s="268"/>
      <c r="E2" s="267">
        <f>DigitaTICA!E2</f>
        <v>65</v>
      </c>
      <c r="F2" s="268"/>
      <c r="G2" s="267">
        <f>DigitaTICA!G2</f>
        <v>12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58950</v>
      </c>
      <c r="D4" s="30">
        <f>IF(Vendedor1!$E$7="",0,Vendedor1!$E$7)</f>
        <v>100</v>
      </c>
      <c r="E4" s="180">
        <f>IF(Vendedor1!$C$11="",0,Vendedor1!$C$11)</f>
        <v>37500</v>
      </c>
      <c r="F4" s="30">
        <f>IF(Vendedor1!$E$11="",0,Vendedor1!$E$11)</f>
        <v>200</v>
      </c>
      <c r="G4" s="180">
        <f>IF(Vendedor1!$C$15="",0,Vendedor1!$C$15)</f>
        <v>57200</v>
      </c>
      <c r="H4" s="30">
        <f>IF(Vendedor1!$E$15="",0,Vendedor1!$E$15)</f>
        <v>750</v>
      </c>
      <c r="J4" s="42">
        <f t="shared" ref="J4:J7" si="0">+C4+E4+G4</f>
        <v>153650</v>
      </c>
      <c r="K4" s="41">
        <f>MROUND(J4*Vendedor1!J$9,50)</f>
        <v>19950</v>
      </c>
      <c r="L4" s="42">
        <f t="shared" ref="L4:L7" si="1">+D4+F4+H4</f>
        <v>1050</v>
      </c>
      <c r="M4" s="42">
        <f t="shared" ref="M4:M7" si="2">+L4*85</f>
        <v>89250</v>
      </c>
      <c r="N4" s="42">
        <f>Vendedor1!$F$7+Vendedor1!$F$11+Vendedor1!$F$15</f>
        <v>89250</v>
      </c>
      <c r="P4" s="42">
        <f t="shared" ref="P4:P7" si="3">+J4-K4-N4</f>
        <v>44450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57100</v>
      </c>
      <c r="D5" s="30">
        <f>IF(Vendedor2!$E$7="",0,Vendedor2!$E$7)</f>
        <v>500</v>
      </c>
      <c r="E5" s="180">
        <f>IF(Vendedor2!$C$11="",0,Vendedor2!$C$11)</f>
        <v>28500</v>
      </c>
      <c r="F5" s="30">
        <f>IF(Vendedor2!$E$11="",0,Vendedor2!$E$11)</f>
        <v>0</v>
      </c>
      <c r="G5" s="180">
        <f>IF(Vendedor2!$C$15="",0,Vendedor2!$C$15)</f>
        <v>64750</v>
      </c>
      <c r="H5" s="30">
        <f>IF(Vendedor2!$E$15="",0,Vendedor2!$E$15)</f>
        <v>1250</v>
      </c>
      <c r="J5" s="42">
        <f t="shared" si="0"/>
        <v>150350</v>
      </c>
      <c r="K5" s="41">
        <f>MROUND(J5*Vendedor2!J$9,50)</f>
        <v>19550</v>
      </c>
      <c r="L5" s="42">
        <f t="shared" si="1"/>
        <v>1750</v>
      </c>
      <c r="M5" s="42">
        <f t="shared" si="2"/>
        <v>148750</v>
      </c>
      <c r="N5" s="42">
        <f>Vendedor2!$F$7+Vendedor2!$F$11+Vendedor2!$F$15</f>
        <v>148750</v>
      </c>
      <c r="P5" s="42">
        <f t="shared" si="3"/>
        <v>-17950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62000</v>
      </c>
      <c r="D8" s="30">
        <f>IF(Vendedor5!$E$7="",0,Vendedor5!$E$7)</f>
        <v>400</v>
      </c>
      <c r="E8" s="180">
        <f>IF(Vendedor5!$C$11="",0,Vendedor5!$C$11)</f>
        <v>61500</v>
      </c>
      <c r="F8" s="30">
        <f>IF(Vendedor5!$E$11="",0,Vendedor5!$E$11)</f>
        <v>300</v>
      </c>
      <c r="G8" s="180">
        <f>IF(Vendedor5!$C$15="",0,Vendedor5!$C$15)</f>
        <v>56800</v>
      </c>
      <c r="H8" s="30">
        <f>IF(Vendedor5!$E$15="",0,Vendedor5!$E$15)</f>
        <v>600</v>
      </c>
      <c r="J8" s="42">
        <f t="shared" ref="J8" si="4">+C8+E8+G8</f>
        <v>180300</v>
      </c>
      <c r="K8" s="41">
        <f>MROUND(J8*Vendedor5!J$11,50)</f>
        <v>21650</v>
      </c>
      <c r="L8" s="42">
        <f t="shared" ref="L8" si="5">+D8+F8+H8</f>
        <v>1300</v>
      </c>
      <c r="M8" s="42">
        <f t="shared" ref="M8" si="6">+L8*85</f>
        <v>110500</v>
      </c>
      <c r="N8" s="42">
        <f>Vendedor5!$F$7+Vendedor5!$F$11+Vendedor5!$F$15</f>
        <v>110500</v>
      </c>
      <c r="P8" s="42">
        <f t="shared" ref="P8" si="7">+J8-K8-N8</f>
        <v>48150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88950</v>
      </c>
      <c r="D10" s="30">
        <f>IF(Vendedor7!$E$7="",0,Vendedor7!$E$7)</f>
        <v>100</v>
      </c>
      <c r="E10" s="180">
        <f>IF(Vendedor7!$C$11="",0,Vendedor7!$C$11)</f>
        <v>74950</v>
      </c>
      <c r="F10" s="30">
        <f>IF(Vendedor7!$E$11="",0,Vendedor7!$E$11)</f>
        <v>0</v>
      </c>
      <c r="G10" s="180">
        <f>IF(Vendedor7!$C$15="",0,Vendedor7!$C$15)</f>
        <v>115700</v>
      </c>
      <c r="H10" s="30">
        <f>IF(Vendedor7!$E$15="",0,Vendedor7!$E$15)</f>
        <v>1750</v>
      </c>
      <c r="J10" s="42">
        <f t="shared" si="8"/>
        <v>279600</v>
      </c>
      <c r="K10" s="41">
        <f>MROUND(J10*Vendedor7!J$14,50)</f>
        <v>33550</v>
      </c>
      <c r="L10" s="42">
        <f t="shared" si="9"/>
        <v>1850</v>
      </c>
      <c r="M10" s="42">
        <f t="shared" si="10"/>
        <v>157250</v>
      </c>
      <c r="N10" s="42">
        <f>Vendedor7!$F$7+Vendedor7!$F$11+Vendedor7!$F$15</f>
        <v>157250</v>
      </c>
      <c r="P10" s="42">
        <f t="shared" si="11"/>
        <v>88800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10900</v>
      </c>
      <c r="H11" s="30">
        <f>IF(Vendedor8!$E$15="",0,Vendedor8!$E$15)</f>
        <v>0</v>
      </c>
      <c r="J11" s="42">
        <f t="shared" si="8"/>
        <v>10900</v>
      </c>
      <c r="K11" s="41">
        <f>MROUND(J11*Vendedor8!J$11,50)</f>
        <v>1300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9600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19150</v>
      </c>
      <c r="D12" s="30">
        <f>IF(Vendedor9!$E$7="",0,Vendedor9!$E$7)</f>
        <v>0</v>
      </c>
      <c r="E12" s="180">
        <f>IF(Vendedor9!$C$11="",0,Vendedor9!$C$11)</f>
        <v>4900</v>
      </c>
      <c r="F12" s="30">
        <f>IF(Vendedor9!$E$11="",0,Vendedor9!$E$11)</f>
        <v>0</v>
      </c>
      <c r="G12" s="180">
        <f>IF(Vendedor9!$C$15="",0,Vendedor9!$C$15)</f>
        <v>19150</v>
      </c>
      <c r="H12" s="30">
        <f>IF(Vendedor9!$E$15="",0,Vendedor9!$E$15)</f>
        <v>250</v>
      </c>
      <c r="J12" s="42">
        <f t="shared" si="8"/>
        <v>43200</v>
      </c>
      <c r="K12" s="41">
        <f>MROUND(J12*Vendedor9!J$11,50)</f>
        <v>5200</v>
      </c>
      <c r="L12" s="42">
        <f t="shared" si="9"/>
        <v>250</v>
      </c>
      <c r="M12" s="42">
        <f t="shared" si="10"/>
        <v>21250</v>
      </c>
      <c r="N12" s="42">
        <f>Vendedor9!$F$7+Vendedor9!$F$11+Vendedor9!$F$15</f>
        <v>21250</v>
      </c>
      <c r="P12" s="42">
        <f t="shared" si="11"/>
        <v>16750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27000</v>
      </c>
      <c r="D13" s="30">
        <f>IF(Vendedor10!$E$7="",0,Vendedor10!$E$7)</f>
        <v>0</v>
      </c>
      <c r="E13" s="180">
        <f>IF(Vendedor10!$C$11="",0,Vendedor10!$C$11)</f>
        <v>13650</v>
      </c>
      <c r="F13" s="30">
        <f>IF(Vendedor10!$E$11="",0,Vendedor10!$E$11)</f>
        <v>0</v>
      </c>
      <c r="G13" s="180">
        <f>IF(Vendedor10!$C$15="",0,Vendedor10!$C$15)</f>
        <v>23700</v>
      </c>
      <c r="H13" s="30">
        <f>IF(Vendedor10!$E$15="",0,Vendedor10!$E$15)</f>
        <v>300</v>
      </c>
      <c r="J13" s="42">
        <f t="shared" si="8"/>
        <v>64350</v>
      </c>
      <c r="K13" s="41">
        <f>MROUND(J13*Vendedor10!J$9,50)</f>
        <v>7700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31150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55000</v>
      </c>
      <c r="D14" s="30">
        <f>IF(Vendedor11!$E$7="",0,Vendedor11!$E$7)</f>
        <v>200</v>
      </c>
      <c r="E14" s="180">
        <f>IF(Vendedor11!$C$11="",0,Vendedor11!$C$11)</f>
        <v>23550</v>
      </c>
      <c r="F14" s="30">
        <f>IF(Vendedor11!$E$11="",0,Vendedor11!$E$11)</f>
        <v>700</v>
      </c>
      <c r="G14" s="180">
        <f>IF(Vendedor11!$C$15="",0,Vendedor11!$C$15)</f>
        <v>30400</v>
      </c>
      <c r="H14" s="30">
        <f>IF(Vendedor11!$E$15="",0,Vendedor11!$E$15)</f>
        <v>0</v>
      </c>
      <c r="J14" s="42">
        <f t="shared" si="8"/>
        <v>108950</v>
      </c>
      <c r="K14" s="41">
        <f>MROUND(J14*Vendedor11!J$9,50)</f>
        <v>16350</v>
      </c>
      <c r="L14" s="42">
        <f t="shared" si="9"/>
        <v>900</v>
      </c>
      <c r="M14" s="42">
        <f t="shared" si="10"/>
        <v>76500</v>
      </c>
      <c r="N14" s="42">
        <f>Vendedor11!$F$7+Vendedor11!$F$11+Vendedor11!$F$15</f>
        <v>72000</v>
      </c>
      <c r="P14" s="42">
        <f t="shared" si="11"/>
        <v>20600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37050</v>
      </c>
      <c r="D16" s="30">
        <f>IF(Vendedor13!$E$7="",0,Vendedor13!$E$7)</f>
        <v>0</v>
      </c>
      <c r="E16" s="180">
        <f>IF(Vendedor13!$C$11="",0,Vendedor13!$C$11)</f>
        <v>12100</v>
      </c>
      <c r="F16" s="30">
        <f>IF(Vendedor13!$E$11="",0,Vendedor13!$E$11)</f>
        <v>0</v>
      </c>
      <c r="G16" s="180">
        <f>IF(Vendedor13!$C$15="",0,Vendedor13!$C$15)</f>
        <v>29450</v>
      </c>
      <c r="H16" s="30">
        <f>IF(Vendedor13!$E$15="",0,Vendedor13!$E$15)</f>
        <v>500</v>
      </c>
      <c r="J16" s="42">
        <f t="shared" si="8"/>
        <v>78600</v>
      </c>
      <c r="K16" s="41">
        <f>MROUND(J16*Vendedor13!J$11,50)</f>
        <v>9450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26650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405200</v>
      </c>
      <c r="D32" s="44">
        <f t="shared" si="16"/>
        <v>1300</v>
      </c>
      <c r="E32" s="43">
        <f t="shared" si="16"/>
        <v>256650</v>
      </c>
      <c r="F32" s="44">
        <f t="shared" si="16"/>
        <v>1200</v>
      </c>
      <c r="G32" s="43">
        <f t="shared" si="16"/>
        <v>408050</v>
      </c>
      <c r="H32" s="44">
        <f t="shared" si="16"/>
        <v>5400</v>
      </c>
      <c r="J32" s="95">
        <f>SUM(J4:J31)</f>
        <v>1069900</v>
      </c>
      <c r="K32" s="45">
        <f>SUM(K7:K31)</f>
        <v>95200</v>
      </c>
      <c r="L32" s="95">
        <f>SUM(L4:L31)</f>
        <v>7900</v>
      </c>
      <c r="M32" s="95">
        <f>SUM(M4:M31)</f>
        <v>671500</v>
      </c>
      <c r="N32" s="95">
        <f>SUM(N4:N31)</f>
        <v>667000</v>
      </c>
      <c r="P32" s="79">
        <f>SUM(P4:P31)</f>
        <v>268200</v>
      </c>
    </row>
    <row r="33" spans="3:13" x14ac:dyDescent="0.35">
      <c r="D33" s="99">
        <f>+D32*85</f>
        <v>110500</v>
      </c>
      <c r="F33" s="99">
        <f>+F32*85</f>
        <v>102000</v>
      </c>
      <c r="H33" s="99">
        <f>+H32*85</f>
        <v>459000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1069900</v>
      </c>
      <c r="E36" s="43">
        <f>+D36-J4-J5-J6</f>
        <v>765900</v>
      </c>
      <c r="G36" s="101"/>
    </row>
    <row r="37" spans="3:13" x14ac:dyDescent="0.35">
      <c r="C37" s="47" t="s">
        <v>33</v>
      </c>
      <c r="D37" s="48">
        <f>D36*13%</f>
        <v>139087</v>
      </c>
      <c r="E37">
        <f>+D37-K4-K5-K6</f>
        <v>99587</v>
      </c>
      <c r="G37" s="100"/>
      <c r="H37" s="100"/>
    </row>
    <row r="38" spans="3:13" ht="15" thickBot="1" x14ac:dyDescent="0.4">
      <c r="C38" s="47" t="s">
        <v>30</v>
      </c>
      <c r="D38" s="30">
        <f>M32</f>
        <v>671500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259313</v>
      </c>
      <c r="F39" s="98">
        <f>+P32-D39</f>
        <v>8887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259313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65</v>
      </c>
      <c r="D2" s="268"/>
      <c r="E2" s="267">
        <f>DigitaNICA!E2</f>
        <v>49</v>
      </c>
      <c r="F2" s="268"/>
      <c r="G2" s="267" t="str">
        <f>DigitaNICA!G2</f>
        <v/>
      </c>
      <c r="H2" s="268"/>
      <c r="I2" s="267">
        <f>DigitaNICA!I2</f>
        <v>36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27100</v>
      </c>
      <c r="D4" s="78">
        <f>IF(Vendedor1!$E$5="",0,Vendedor1!$E$5)</f>
        <v>1300</v>
      </c>
      <c r="E4" s="189">
        <f>IF(Vendedor1!$C$9="",0,Vendedor1!$C$9)</f>
        <v>13550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2250</v>
      </c>
      <c r="J4" s="78">
        <f>IF(Vendedor1!$E$17="",0,Vendedor1!$E$17)</f>
        <v>0</v>
      </c>
      <c r="L4" s="42">
        <f t="shared" ref="L4:L7" si="0">C4+E4+G4+I4</f>
        <v>42900</v>
      </c>
      <c r="M4" s="41">
        <f>MROUND(L4*Vendedor1!J$10,50)</f>
        <v>5600</v>
      </c>
      <c r="N4" s="42">
        <f t="shared" ref="N4:N7" si="1">D4+F4+H4+J4</f>
        <v>1300</v>
      </c>
      <c r="O4" s="41">
        <f>IFERROR(N4*85,0)</f>
        <v>110500</v>
      </c>
      <c r="P4" s="42">
        <f>Vendedor1!$F$5+Vendedor1!$F$9+Vendedor1!$F$13+Vendedor1!$F$17</f>
        <v>104000</v>
      </c>
      <c r="R4" s="41">
        <f t="shared" ref="R4:R7" si="2">+L4-M4-O4</f>
        <v>-73200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13850</v>
      </c>
      <c r="D5" s="30">
        <f>IF(Vendedor2!$E$5="",0,Vendedor2!$E$5)</f>
        <v>0</v>
      </c>
      <c r="E5" s="180">
        <f>IF(Vendedor2!$C$9="",0,Vendedor2!$C$9)</f>
        <v>6800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20650</v>
      </c>
      <c r="M5" s="41">
        <f>MROUND(L5*Vendedor2!J$10,50)</f>
        <v>2700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17950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68100</v>
      </c>
      <c r="D8" s="30">
        <f>IF(Vendedor5!$E$5="",0,Vendedor5!$E$5)</f>
        <v>300</v>
      </c>
      <c r="E8" s="180">
        <f>IF(Vendedor5!$C$9="",0,Vendedor5!$C$9)</f>
        <v>41850</v>
      </c>
      <c r="F8" s="30">
        <f>IF(Vendedor5!$E$9="",0,Vendedor5!$E$9)</f>
        <v>500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45300</v>
      </c>
      <c r="J8" s="30">
        <f>IF(Vendedor5!$E$17="",0,Vendedor5!$E$17)</f>
        <v>0</v>
      </c>
      <c r="L8" s="42">
        <f t="shared" ref="L8" si="4">C8+E8+G8+I8</f>
        <v>155250</v>
      </c>
      <c r="M8" s="41">
        <f>MROUND(L8*Vendedor5!J$12,50)</f>
        <v>18650</v>
      </c>
      <c r="N8" s="42">
        <f t="shared" ref="N8" si="5">D8+F8+H8+J8</f>
        <v>800</v>
      </c>
      <c r="O8" s="41">
        <f t="shared" si="3"/>
        <v>68000</v>
      </c>
      <c r="P8" s="42">
        <f>Vendedor5!$F$5+Vendedor5!$F$9+Vendedor5!$F$13+Vendedor5!$F$17</f>
        <v>64000</v>
      </c>
      <c r="Q8">
        <v>17</v>
      </c>
      <c r="R8" s="41">
        <f t="shared" ref="R8" si="6">+L8-M8-O8</f>
        <v>68600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35700</v>
      </c>
      <c r="D10" s="30">
        <f>IF(Vendedor7!$E$5="",0,Vendedor7!$E$5)</f>
        <v>0</v>
      </c>
      <c r="E10" s="180">
        <f>IF(Vendedor7!$C$9="",0,Vendedor7!$C$9)</f>
        <v>41600</v>
      </c>
      <c r="F10" s="30">
        <f>IF(Vendedor7!$E$9="",0,Vendedor7!$E$9)</f>
        <v>1300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91350</v>
      </c>
      <c r="J10" s="30">
        <f>IF(Vendedor7!$E$17="",0,Vendedor7!$E$17)</f>
        <v>600</v>
      </c>
      <c r="L10" s="42">
        <f t="shared" si="7"/>
        <v>168650</v>
      </c>
      <c r="M10" s="41">
        <f>MROUND(L10*Vendedor7!J$15,50)</f>
        <v>20250</v>
      </c>
      <c r="N10" s="42">
        <f t="shared" ref="N10:N27" si="9">D10+F10+H10+J10</f>
        <v>1900</v>
      </c>
      <c r="O10" s="41">
        <f t="shared" si="3"/>
        <v>161500</v>
      </c>
      <c r="P10" s="42">
        <f>Vendedor7!$F$5+Vendedor7!$F$9+Vendedor7!$F$13+Vendedor7!$F$17</f>
        <v>161500</v>
      </c>
      <c r="R10" s="41">
        <f t="shared" si="8"/>
        <v>-13100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20200</v>
      </c>
      <c r="D12" s="30">
        <f>IF(Vendedor9!$E$5="",0,Vendedor9!$E$5)</f>
        <v>500</v>
      </c>
      <c r="E12" s="180">
        <f>IF(Vendedor9!$C$9="",0,Vendedor9!$C$9)</f>
        <v>3600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23800</v>
      </c>
      <c r="M12" s="41">
        <f>MROUND(L12*Vendedor9!J$12,50)</f>
        <v>2850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-21550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19000</v>
      </c>
      <c r="D13" s="30">
        <f>IF(Vendedor10!$E$5="",0,Vendedor10!$E$5)</f>
        <v>0</v>
      </c>
      <c r="E13" s="180">
        <f>IF(Vendedor10!$C$9="",0,Vendedor10!$C$9)</f>
        <v>9300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2000</v>
      </c>
      <c r="J13" s="30">
        <f>IF(Vendedor10!$E$17="",0,Vendedor10!$E$17)</f>
        <v>0</v>
      </c>
      <c r="L13" s="42">
        <f t="shared" si="7"/>
        <v>30300</v>
      </c>
      <c r="M13" s="41">
        <f>MROUND(L13*Vendedor10!J$10,50)</f>
        <v>3650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26650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8500</v>
      </c>
      <c r="D16" s="30">
        <f>IF(Vendedor13!$E$5="",0,Vendedor13!$E$5)</f>
        <v>0</v>
      </c>
      <c r="E16" s="180">
        <f>IF(Vendedor13!$C$9="",0,Vendedor13!$C$9)</f>
        <v>15000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14900</v>
      </c>
      <c r="J16" s="30">
        <f>IF(Vendedor13!$E$17="",0,Vendedor13!$E$17)</f>
        <v>250</v>
      </c>
      <c r="L16" s="42">
        <f t="shared" si="7"/>
        <v>38400</v>
      </c>
      <c r="M16" s="41">
        <f>MROUND(L16*Vendedor13!J$12,50)</f>
        <v>4600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12550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192450</v>
      </c>
      <c r="D32" s="44">
        <f t="shared" si="14"/>
        <v>2100</v>
      </c>
      <c r="E32" s="43">
        <f t="shared" si="14"/>
        <v>131700</v>
      </c>
      <c r="F32" s="44">
        <f t="shared" si="14"/>
        <v>1800</v>
      </c>
      <c r="G32" s="43">
        <f t="shared" si="14"/>
        <v>0</v>
      </c>
      <c r="H32" s="44">
        <f t="shared" si="14"/>
        <v>0</v>
      </c>
      <c r="I32" s="43">
        <f t="shared" si="14"/>
        <v>155800</v>
      </c>
      <c r="J32" s="44">
        <f t="shared" si="14"/>
        <v>850</v>
      </c>
      <c r="L32" s="45">
        <f>SUM(L4:L31)</f>
        <v>479950</v>
      </c>
      <c r="M32" s="45">
        <f>SUM(M7:M31)</f>
        <v>50000</v>
      </c>
      <c r="N32" s="95">
        <f>SUM(N4:N31)</f>
        <v>4750</v>
      </c>
      <c r="O32" s="46">
        <f>SUM(O4:O31)</f>
        <v>403750</v>
      </c>
      <c r="P32" s="140">
        <f>SUM(P4:P31)</f>
        <v>392000</v>
      </c>
      <c r="R32" s="79">
        <f>SUM(R4:R31)</f>
        <v>17900</v>
      </c>
    </row>
    <row r="33" spans="3:15" x14ac:dyDescent="0.35">
      <c r="D33" s="120">
        <f>+D32*85</f>
        <v>178500</v>
      </c>
      <c r="F33" s="120">
        <f>+F32*85</f>
        <v>153000</v>
      </c>
      <c r="H33" s="120">
        <f>+H32*85</f>
        <v>0</v>
      </c>
      <c r="J33" s="120">
        <f>+J32*85</f>
        <v>72250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479950</v>
      </c>
      <c r="E36" s="43">
        <f>+D36-L4-L5-L6</f>
        <v>416400</v>
      </c>
    </row>
    <row r="37" spans="3:15" x14ac:dyDescent="0.35">
      <c r="C37" s="47" t="s">
        <v>33</v>
      </c>
      <c r="D37" s="48">
        <f>D36*13%</f>
        <v>62393.5</v>
      </c>
      <c r="E37">
        <f>+D37-M4-M5-M6</f>
        <v>54093.5</v>
      </c>
    </row>
    <row r="38" spans="3:15" x14ac:dyDescent="0.35">
      <c r="C38" s="47" t="s">
        <v>30</v>
      </c>
      <c r="D38" s="30">
        <f>SUM(O4:O27)</f>
        <v>403750</v>
      </c>
      <c r="G38" s="100"/>
    </row>
    <row r="39" spans="3:15" ht="15" thickBot="1" x14ac:dyDescent="0.4">
      <c r="C39" s="49" t="s">
        <v>4</v>
      </c>
      <c r="D39" s="80">
        <f>+D36-D37-D38</f>
        <v>13806.5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13806.5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63 Blanca</v>
      </c>
      <c r="D2" s="268"/>
      <c r="E2" s="267" t="str">
        <f>IF(E33=0,"",CONCATENATE(PREMIOS!$B11," ",PREMIOS!$B12))</f>
        <v>65 Roja</v>
      </c>
      <c r="F2" s="268"/>
      <c r="G2" s="267" t="str">
        <f>IF(G33=0,"",CONCATENATE(PREMIOS!$B15," ",PREMIOS!$B16))</f>
        <v>12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11950</v>
      </c>
      <c r="D10" s="30">
        <f>IF(Vendedor7!$E$8="",0,Vendedor7!$E$8)</f>
        <v>0</v>
      </c>
      <c r="E10" s="180">
        <f>IF(Vendedor7!$C$12="",0,Vendedor7!$C$12)</f>
        <v>17150</v>
      </c>
      <c r="F10" s="30">
        <f>IF(Vendedor7!$E$12="",0,Vendedor7!$E$12)</f>
        <v>0</v>
      </c>
      <c r="G10" s="180">
        <f>IF(Vendedor7!$C$16="",0,Vendedor7!$C$16)</f>
        <v>13400</v>
      </c>
      <c r="H10" s="30">
        <f>IF(Vendedor7!$E$16="",0,Vendedor7!$E$16)</f>
        <v>0</v>
      </c>
      <c r="J10" s="42">
        <f t="shared" si="1"/>
        <v>42500</v>
      </c>
      <c r="K10" s="41">
        <f>J10*Vendedor7!J$16</f>
        <v>4250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38250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2750</v>
      </c>
      <c r="D12" s="30">
        <f>IF(Vendedor9!$E$8="",0,Vendedor9!$E$8)</f>
        <v>0</v>
      </c>
      <c r="E12" s="180">
        <f>IF(Vendedor9!$C$12="",0,Vendedor9!$C$12)</f>
        <v>1000</v>
      </c>
      <c r="F12" s="30">
        <f>IF(Vendedor9!$E$12="",0,Vendedor9!$E$12)</f>
        <v>0</v>
      </c>
      <c r="G12" s="180">
        <f>IF(Vendedor9!$C$16="",0,Vendedor9!$C$16)</f>
        <v>4000</v>
      </c>
      <c r="H12" s="30">
        <f>IF(Vendedor9!$E$16="",0,Vendedor9!$E$16)</f>
        <v>0</v>
      </c>
      <c r="J12" s="42">
        <f t="shared" si="1"/>
        <v>7750</v>
      </c>
      <c r="K12" s="41">
        <f>J12*Vendedor9!J$13</f>
        <v>775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6975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15700</v>
      </c>
      <c r="D33" s="44">
        <f>IF(PREMIOS!E8&lt;&gt;0,SUM(D4:D32),0)</f>
        <v>0</v>
      </c>
      <c r="E33" s="43">
        <f>SUM(E4:E32)</f>
        <v>18150</v>
      </c>
      <c r="F33" s="44">
        <f>IF(PREMIOS!E12&lt;&gt;0,SUM(F4:F32),0)</f>
        <v>0</v>
      </c>
      <c r="G33" s="43">
        <f>SUM(G4:G32)</f>
        <v>17400</v>
      </c>
      <c r="H33" s="44">
        <f>IF(PREMIOS!E16&lt;&gt;0,SUM(H4:H32),0)</f>
        <v>0</v>
      </c>
      <c r="J33" s="45">
        <f>SUM(J4:J32)</f>
        <v>51250</v>
      </c>
      <c r="K33" s="45">
        <f>SUM(K7:K32)</f>
        <v>5125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46125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51250</v>
      </c>
      <c r="E37" s="43">
        <f>+D37-J4-J5-J6</f>
        <v>51250</v>
      </c>
      <c r="F37" s="275"/>
      <c r="G37" s="275"/>
    </row>
    <row r="38" spans="3:17" ht="15" thickBot="1" x14ac:dyDescent="0.4">
      <c r="C38" s="47" t="s">
        <v>33</v>
      </c>
      <c r="D38" s="30">
        <f>D37*10%</f>
        <v>5125</v>
      </c>
      <c r="E38" s="43">
        <f>+D38-K4-K5-K6</f>
        <v>5125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46125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46125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24</v>
      </c>
      <c r="D2" s="268"/>
      <c r="E2" s="267">
        <f>DigitaPRIMERA!E2</f>
        <v>79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12950</v>
      </c>
      <c r="D4" s="78">
        <f>IF(Vendedor1!$E$19="",0,Vendedor1!$E$19)</f>
        <v>100</v>
      </c>
      <c r="E4" s="189">
        <f>IF(Vendedor1!$C$20="",0,Vendedor1!$C$20)</f>
        <v>1200</v>
      </c>
      <c r="F4" s="78">
        <f>IF(Vendedor1!$E$20="",0,Vendedor1!$E$20)</f>
        <v>0</v>
      </c>
      <c r="H4" s="42">
        <f>+C4+E4</f>
        <v>14150</v>
      </c>
      <c r="I4" s="41">
        <f>MROUND(H4*Vendedor1!J$9,50)</f>
        <v>1850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4300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3100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3100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2700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34250</v>
      </c>
      <c r="D8" s="30">
        <f>IF(Vendedor5!$E$19="",0,Vendedor5!$E$19)</f>
        <v>500</v>
      </c>
      <c r="E8" s="180">
        <f>IF(Vendedor5!$C$20="",0,Vendedor5!$C$20)</f>
        <v>15000</v>
      </c>
      <c r="F8" s="30">
        <f>IF(Vendedor5!$E$20="",0,Vendedor5!$E$20)</f>
        <v>0</v>
      </c>
      <c r="H8" s="133">
        <f t="shared" si="1"/>
        <v>49250</v>
      </c>
      <c r="I8" s="148">
        <f>MROUND(H8*Vendedor5!J$11,50)</f>
        <v>5900</v>
      </c>
      <c r="J8" s="133">
        <f t="shared" si="2"/>
        <v>500</v>
      </c>
      <c r="K8" s="133">
        <f t="shared" si="3"/>
        <v>42500</v>
      </c>
      <c r="L8" s="133">
        <f>Vendedor5!$F$19+Vendedor5!$F$20</f>
        <v>40000</v>
      </c>
      <c r="M8" s="155"/>
      <c r="N8" s="133">
        <f t="shared" si="0"/>
        <v>3350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16450</v>
      </c>
      <c r="D10" s="30">
        <f>IF(Vendedor7!$E$19="",0,Vendedor7!$E$19)</f>
        <v>100</v>
      </c>
      <c r="E10" s="180">
        <f>IF(Vendedor7!$C$20="",0,Vendedor7!$C$20)</f>
        <v>12850</v>
      </c>
      <c r="F10" s="30">
        <f>IF(Vendedor7!$E$20="",0,Vendedor7!$E$20)</f>
        <v>0</v>
      </c>
      <c r="H10" s="42">
        <f t="shared" si="1"/>
        <v>29300</v>
      </c>
      <c r="I10" s="41">
        <f>MROUND(H10*Vendedor7!J$14,50)</f>
        <v>3500</v>
      </c>
      <c r="J10" s="42">
        <f t="shared" si="2"/>
        <v>100</v>
      </c>
      <c r="K10" s="42">
        <f t="shared" si="3"/>
        <v>8500</v>
      </c>
      <c r="L10" s="42">
        <f>Vendedor7!$F$19+Vendedor7!$F$20</f>
        <v>8500</v>
      </c>
      <c r="N10" s="42">
        <f t="shared" si="0"/>
        <v>17300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14950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14950</v>
      </c>
      <c r="I12" s="148">
        <f>MROUND(H12*Vendedor9!J$11,50)</f>
        <v>1800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13150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81700</v>
      </c>
      <c r="D32" s="44">
        <f>SUM(D4:D31)</f>
        <v>700</v>
      </c>
      <c r="E32" s="43">
        <f>SUM(E4:E31)</f>
        <v>29050</v>
      </c>
      <c r="F32" s="44">
        <f>SUM(F4:F31)</f>
        <v>0</v>
      </c>
      <c r="H32" s="95">
        <f>SUM(H4:H31)</f>
        <v>110750</v>
      </c>
      <c r="I32" s="45">
        <f>SUM(I7:I31)</f>
        <v>11200</v>
      </c>
      <c r="J32" s="95"/>
      <c r="K32" s="95">
        <f>SUM(K4:K31)</f>
        <v>59500</v>
      </c>
      <c r="L32" s="95">
        <f>SUM(L4:L31)</f>
        <v>56500</v>
      </c>
      <c r="N32" s="79">
        <f>SUM(N4:N31)</f>
        <v>40800</v>
      </c>
    </row>
    <row r="33" spans="3:6" x14ac:dyDescent="0.35">
      <c r="D33" s="99">
        <f>+D32*85</f>
        <v>59500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110750</v>
      </c>
      <c r="E36" s="43">
        <f>+D36-H4-H5-H6</f>
        <v>93500</v>
      </c>
    </row>
    <row r="37" spans="3:6" x14ac:dyDescent="0.35">
      <c r="C37" s="47" t="s">
        <v>33</v>
      </c>
      <c r="D37" s="48">
        <f>D36*13%</f>
        <v>14397.5</v>
      </c>
      <c r="E37">
        <f>+D37-I4-I5-I6</f>
        <v>12147.5</v>
      </c>
    </row>
    <row r="38" spans="3:6" ht="15" thickBot="1" x14ac:dyDescent="0.4">
      <c r="C38" s="47" t="s">
        <v>30</v>
      </c>
      <c r="D38" s="30">
        <f>SUM(K4:K27)</f>
        <v>59500</v>
      </c>
    </row>
    <row r="39" spans="3:6" ht="15" thickBot="1" x14ac:dyDescent="0.4">
      <c r="C39" s="49" t="s">
        <v>4</v>
      </c>
      <c r="D39" s="80">
        <f>+D36-D37-D38</f>
        <v>36852.5</v>
      </c>
      <c r="F39" s="98">
        <f>+N32-D39</f>
        <v>3947.5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36852.5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02</v>
      </c>
      <c r="D2" s="268"/>
      <c r="E2" s="267">
        <f>DigitaHONDURAS!E2</f>
        <v>62</v>
      </c>
      <c r="F2" s="268"/>
      <c r="G2" s="267">
        <f>DigitaHONDURAS!G2</f>
        <v>50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19600</v>
      </c>
      <c r="D10" s="30">
        <f>IF(Vendedor7!$E$21="",0,Vendedor7!$E$21)</f>
        <v>0</v>
      </c>
      <c r="E10" s="180">
        <f>IF(Vendedor7!$C$22="",0,Vendedor7!$C$22)</f>
        <v>10000</v>
      </c>
      <c r="F10" s="30">
        <f>IF(Vendedor7!$E$22="",0,Vendedor7!$E$22)</f>
        <v>0</v>
      </c>
      <c r="G10" s="180">
        <f>IF(Vendedor7!$C$23="",0,Vendedor7!$C$23)</f>
        <v>20200</v>
      </c>
      <c r="H10" s="30">
        <f>IF(Vendedor7!$E$23="",0,Vendedor7!$E$23)</f>
        <v>0</v>
      </c>
      <c r="J10" s="42">
        <f t="shared" si="0"/>
        <v>49800</v>
      </c>
      <c r="K10" s="41">
        <f>MROUND(J10*Vendedor7!J$14,50)</f>
        <v>6000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43800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19600</v>
      </c>
      <c r="D32" s="44">
        <f t="shared" si="8"/>
        <v>0</v>
      </c>
      <c r="E32" s="43">
        <f t="shared" si="8"/>
        <v>10000</v>
      </c>
      <c r="F32" s="44">
        <f t="shared" si="8"/>
        <v>0</v>
      </c>
      <c r="G32" s="43">
        <f t="shared" si="8"/>
        <v>20200</v>
      </c>
      <c r="H32" s="44">
        <f t="shared" si="8"/>
        <v>0</v>
      </c>
      <c r="J32" s="95">
        <f>SUM(J4:J31)</f>
        <v>49800</v>
      </c>
      <c r="K32" s="45">
        <f>SUM(K7:K31)</f>
        <v>6000</v>
      </c>
      <c r="L32" s="95"/>
      <c r="M32" s="95">
        <f>SUM(M4:M31)</f>
        <v>0</v>
      </c>
      <c r="N32" s="95">
        <f>SUM(N4:N31)</f>
        <v>0</v>
      </c>
      <c r="P32" s="79">
        <f>SUM(P4:P31)</f>
        <v>43800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49800</v>
      </c>
      <c r="E36" s="43">
        <f>+D36-J4-J5-J6</f>
        <v>49800</v>
      </c>
    </row>
    <row r="37" spans="3:8" x14ac:dyDescent="0.35">
      <c r="C37" s="47" t="s">
        <v>33</v>
      </c>
      <c r="D37" s="48">
        <f>D36*13%</f>
        <v>6474</v>
      </c>
      <c r="E37">
        <f>+D37-K4-K5-K6</f>
        <v>6474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43326</v>
      </c>
      <c r="F39" s="98">
        <f>+P32-D39</f>
        <v>474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43326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44</v>
      </c>
      <c r="D2" s="268"/>
      <c r="E2" s="267">
        <f>DigitaDOMINICANA!E2</f>
        <v>28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55550</v>
      </c>
      <c r="D10" s="30">
        <f>IF(Vendedor7!$E$24="",0,Vendedor7!$E$24)</f>
        <v>1000</v>
      </c>
      <c r="E10" s="180">
        <f>IF(Vendedor7!$C$25="",0,Vendedor7!$C$25)</f>
        <v>55000</v>
      </c>
      <c r="F10" s="30">
        <f>IF(Vendedor7!$E$25="",0,Vendedor7!$E$25)</f>
        <v>0</v>
      </c>
      <c r="H10" s="42">
        <f t="shared" si="1"/>
        <v>110550</v>
      </c>
      <c r="I10" s="41">
        <f>MROUND(H10*Vendedor7!J$14,50)</f>
        <v>13250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12300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55550</v>
      </c>
      <c r="D32" s="44">
        <f>SUM(D4:D31)</f>
        <v>1000</v>
      </c>
      <c r="E32" s="43">
        <f>SUM(E4:E31)</f>
        <v>55000</v>
      </c>
      <c r="F32" s="44">
        <f>SUM(F4:F31)</f>
        <v>0</v>
      </c>
      <c r="H32" s="95">
        <f>SUM(H4:H31)</f>
        <v>110550</v>
      </c>
      <c r="I32" s="45">
        <f>SUM(I7:I31)</f>
        <v>13250</v>
      </c>
      <c r="J32" s="95"/>
      <c r="K32" s="95">
        <f>SUM(K4:K31)</f>
        <v>85000</v>
      </c>
      <c r="L32" s="95">
        <f>SUM(L4:L31)</f>
        <v>85000</v>
      </c>
      <c r="N32" s="79">
        <f>SUM(N4:N31)</f>
        <v>12300</v>
      </c>
    </row>
    <row r="33" spans="3:6" x14ac:dyDescent="0.35">
      <c r="D33" s="99">
        <f>+D32*85</f>
        <v>85000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110550</v>
      </c>
      <c r="E36" s="43">
        <f>+D36-H4-H5-H6</f>
        <v>110550</v>
      </c>
    </row>
    <row r="37" spans="3:6" x14ac:dyDescent="0.35">
      <c r="C37" s="47" t="s">
        <v>33</v>
      </c>
      <c r="D37" s="48">
        <f>D36*13%</f>
        <v>14371.5</v>
      </c>
      <c r="E37">
        <f>+D37-I4-I5-I6</f>
        <v>14371.5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11178.5</v>
      </c>
      <c r="F39" s="98">
        <f>+N32-D39</f>
        <v>1121.5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11178.5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19-06-2026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416400</v>
      </c>
      <c r="C4" s="157">
        <f>HojaNICA!M32</f>
        <v>50000</v>
      </c>
      <c r="D4" s="150">
        <f>HojaNICA!E37</f>
        <v>54093.5</v>
      </c>
      <c r="E4" s="150">
        <f>HojaNICA!P32</f>
        <v>392000</v>
      </c>
      <c r="F4" s="150">
        <f>HojaNICA!O32</f>
        <v>403750</v>
      </c>
      <c r="G4" s="151">
        <f t="shared" ref="G4:G10" si="0">+D4-C4+F4-E4</f>
        <v>15843.5</v>
      </c>
      <c r="H4" s="21"/>
      <c r="I4" s="182"/>
    </row>
    <row r="5" spans="1:9" x14ac:dyDescent="0.35">
      <c r="A5" s="28" t="s">
        <v>19</v>
      </c>
      <c r="B5" s="156">
        <f>HojaTICA!$E$36</f>
        <v>765900</v>
      </c>
      <c r="C5" s="157">
        <f>HojaTICA!K32</f>
        <v>95200</v>
      </c>
      <c r="D5" s="150">
        <f>HojaTICA!E37</f>
        <v>99587</v>
      </c>
      <c r="E5" s="150">
        <f>HojaTICA!N32</f>
        <v>667000</v>
      </c>
      <c r="F5" s="150">
        <f>HojaTICA!D38</f>
        <v>671500</v>
      </c>
      <c r="G5" s="151">
        <f t="shared" si="0"/>
        <v>8887</v>
      </c>
      <c r="H5" s="21"/>
      <c r="I5" s="182"/>
    </row>
    <row r="6" spans="1:9" x14ac:dyDescent="0.35">
      <c r="A6" s="28" t="s">
        <v>125</v>
      </c>
      <c r="B6" s="156">
        <f>HojaREVENTADO!$E$37</f>
        <v>51250</v>
      </c>
      <c r="C6" s="157">
        <f>HojaREVENTADO!K33</f>
        <v>5125</v>
      </c>
      <c r="D6" s="150">
        <f>HojaREVENTADO!E38</f>
        <v>5125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93500</v>
      </c>
      <c r="C7" s="157">
        <f>HojaPrimera!I32</f>
        <v>11200</v>
      </c>
      <c r="D7" s="150">
        <f>HojaPrimera!E37</f>
        <v>12147.5</v>
      </c>
      <c r="E7" s="150">
        <f>HojaPrimera!L32</f>
        <v>56500</v>
      </c>
      <c r="F7" s="150">
        <f>HojaPrimera!K32</f>
        <v>59500</v>
      </c>
      <c r="G7" s="151">
        <f t="shared" si="0"/>
        <v>3947.5</v>
      </c>
      <c r="H7" s="21"/>
      <c r="I7" s="21"/>
    </row>
    <row r="8" spans="1:9" x14ac:dyDescent="0.35">
      <c r="A8" s="28" t="s">
        <v>104</v>
      </c>
      <c r="B8" s="156">
        <f>HojaHonduras!$E$36</f>
        <v>49800</v>
      </c>
      <c r="C8" s="157">
        <f>HojaHonduras!K32</f>
        <v>6000</v>
      </c>
      <c r="D8" s="150">
        <f>HojaHonduras!E37</f>
        <v>6474</v>
      </c>
      <c r="E8" s="150">
        <f>HojaHonduras!N32</f>
        <v>0</v>
      </c>
      <c r="F8" s="150">
        <f>HojaHonduras!M32</f>
        <v>0</v>
      </c>
      <c r="G8" s="151">
        <f t="shared" si="0"/>
        <v>474</v>
      </c>
      <c r="H8" s="21"/>
      <c r="I8" s="21"/>
    </row>
    <row r="9" spans="1:9" x14ac:dyDescent="0.35">
      <c r="A9" s="28" t="s">
        <v>20</v>
      </c>
      <c r="B9" s="156">
        <f>HojaDominicana!$E$36</f>
        <v>110550</v>
      </c>
      <c r="C9" s="157">
        <f>HojaDominicana!I32</f>
        <v>13250</v>
      </c>
      <c r="D9" s="150">
        <f>HojaDominicana!E37</f>
        <v>14371.5</v>
      </c>
      <c r="E9" s="150">
        <f>HojaDominicana!L32</f>
        <v>85000</v>
      </c>
      <c r="F9" s="150">
        <f>HojaDominicana!K32</f>
        <v>85000</v>
      </c>
      <c r="G9" s="151">
        <f t="shared" si="0"/>
        <v>1121.5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1487400</v>
      </c>
      <c r="C11" s="175">
        <f>SUM(C4:C10)</f>
        <v>180775</v>
      </c>
      <c r="D11" s="175">
        <f t="shared" ref="D11:F11" si="1">SUM(D4:D10)</f>
        <v>191798.5</v>
      </c>
      <c r="E11" s="175">
        <f t="shared" si="1"/>
        <v>1200500</v>
      </c>
      <c r="F11" s="175">
        <f t="shared" si="1"/>
        <v>1219750</v>
      </c>
      <c r="G11" s="176">
        <f>SUM(G4:G10)</f>
        <v>30273.5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-4726.5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210700</v>
      </c>
      <c r="E16" s="157">
        <f>+Vendedor1!D21</f>
        <v>27391</v>
      </c>
      <c r="F16" s="158">
        <f>IF(D16&lt;&gt;0,15000,0)</f>
        <v>15000</v>
      </c>
      <c r="G16" s="151">
        <f>+E16-F16</f>
        <v>12391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174100</v>
      </c>
      <c r="E17" s="157">
        <f>+Vendedor2!D21</f>
        <v>22633</v>
      </c>
      <c r="F17" s="158">
        <f>IF(D17&lt;&gt;0,15000,0)</f>
        <v>15000</v>
      </c>
      <c r="G17" s="151">
        <f>+E17-F17</f>
        <v>7633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384800</v>
      </c>
      <c r="E19" s="159">
        <f>SUM(E16:E18)</f>
        <v>50024</v>
      </c>
      <c r="F19" s="160">
        <f>SUM(F16:F18)</f>
        <v>30000</v>
      </c>
      <c r="G19" s="161">
        <f>SUM(G16:G18)</f>
        <v>20024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15297.5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19-06-2026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479950</v>
      </c>
      <c r="C5" s="150">
        <f>HojaNICA!D37</f>
        <v>62393.5</v>
      </c>
      <c r="D5" s="150">
        <f>HojaNICA!D38</f>
        <v>403750</v>
      </c>
      <c r="E5" s="150"/>
      <c r="F5" s="151">
        <f>+B5-C5-D5+E5</f>
        <v>13806.5</v>
      </c>
      <c r="H5" s="249" t="s">
        <v>105</v>
      </c>
      <c r="I5" s="243">
        <f ca="1">TODAY()-1</f>
        <v>46192</v>
      </c>
      <c r="O5" s="119"/>
    </row>
    <row r="6" spans="1:15" ht="15" thickBot="1" x14ac:dyDescent="0.4">
      <c r="A6" s="47" t="s">
        <v>36</v>
      </c>
      <c r="B6" s="150">
        <f>HojaTICA!D36</f>
        <v>1069900</v>
      </c>
      <c r="C6" s="150">
        <f>HojaTICA!D37</f>
        <v>139087</v>
      </c>
      <c r="D6" s="150">
        <f>HojaTICA!D38</f>
        <v>671500</v>
      </c>
      <c r="E6" s="150"/>
      <c r="F6" s="151">
        <f t="shared" ref="F6:F11" si="0">+B6-C6-D6+E6</f>
        <v>259313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51250</v>
      </c>
      <c r="C7" s="150">
        <f>HojaREVENTADO!D38</f>
        <v>5125</v>
      </c>
      <c r="D7" s="150">
        <f>HojaREVENTADO!D39</f>
        <v>0</v>
      </c>
      <c r="E7" s="150"/>
      <c r="F7" s="151">
        <f t="shared" si="0"/>
        <v>46125</v>
      </c>
    </row>
    <row r="8" spans="1:15" x14ac:dyDescent="0.35">
      <c r="A8" s="47" t="s">
        <v>96</v>
      </c>
      <c r="B8" s="150">
        <f>HojaPrimera!$D36</f>
        <v>110750</v>
      </c>
      <c r="C8" s="150">
        <f>HojaPrimera!$D37</f>
        <v>14397.5</v>
      </c>
      <c r="D8" s="150">
        <f>HojaPrimera!$D38</f>
        <v>59500</v>
      </c>
      <c r="E8" s="150"/>
      <c r="F8" s="151">
        <f t="shared" si="0"/>
        <v>36852.5</v>
      </c>
      <c r="H8" s="249" t="s">
        <v>150</v>
      </c>
    </row>
    <row r="9" spans="1:15" ht="15" thickBot="1" x14ac:dyDescent="0.4">
      <c r="A9" s="47" t="s">
        <v>104</v>
      </c>
      <c r="B9" s="150">
        <f>HojaHonduras!$D36</f>
        <v>49800</v>
      </c>
      <c r="C9" s="150">
        <f>HojaHonduras!$D37</f>
        <v>6474</v>
      </c>
      <c r="D9" s="150">
        <f>HojaHonduras!$D38</f>
        <v>0</v>
      </c>
      <c r="E9" s="150"/>
      <c r="F9" s="151">
        <f t="shared" si="0"/>
        <v>43326</v>
      </c>
      <c r="H9" s="250">
        <f>+K12-K10-H6</f>
        <v>410601.50000000047</v>
      </c>
    </row>
    <row r="10" spans="1:15" ht="15" thickBot="1" x14ac:dyDescent="0.4">
      <c r="A10" s="47" t="s">
        <v>20</v>
      </c>
      <c r="B10" s="150">
        <f>HojaDominicana!$D36</f>
        <v>110550</v>
      </c>
      <c r="C10" s="150">
        <f>HojaDominicana!$D37</f>
        <v>14371.5</v>
      </c>
      <c r="D10" s="150">
        <f>HojaDominicana!$D38</f>
        <v>85000</v>
      </c>
      <c r="E10" s="150"/>
      <c r="F10" s="151">
        <f t="shared" si="0"/>
        <v>11178.5</v>
      </c>
      <c r="H10" s="154"/>
      <c r="J10" t="s">
        <v>148</v>
      </c>
      <c r="K10" s="252">
        <v>3029575.4899999998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151</v>
      </c>
      <c r="J11" t="s">
        <v>155</v>
      </c>
      <c r="K11" s="253">
        <f>+K10+F12+H6</f>
        <v>3440176.9899999998</v>
      </c>
    </row>
    <row r="12" spans="1:15" ht="16" thickBot="1" x14ac:dyDescent="0.4">
      <c r="A12" s="144" t="s">
        <v>5</v>
      </c>
      <c r="B12" s="152">
        <f>SUM(B5:B11)</f>
        <v>1872200</v>
      </c>
      <c r="C12" s="152">
        <f>SUM(C5:C11)</f>
        <v>241848.5</v>
      </c>
      <c r="D12" s="152">
        <f>SUM(D5:D11)</f>
        <v>1219750</v>
      </c>
      <c r="E12" s="152"/>
      <c r="F12" s="255">
        <f>SUM(F5:F11)</f>
        <v>410601.5</v>
      </c>
      <c r="H12" s="251">
        <f>K12</f>
        <v>3440176.99</v>
      </c>
      <c r="J12" t="s">
        <v>140</v>
      </c>
      <c r="K12" s="254">
        <f>-2057628.33+170261.84+2823234.5+2504308.98</f>
        <v>3440176.99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153650</v>
      </c>
      <c r="K4" s="231">
        <f t="shared" ref="K4" si="0">D7+D11+D15</f>
        <v>19974.5</v>
      </c>
      <c r="L4" s="220">
        <f>F7+F11+F15</f>
        <v>89250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IF(DigitaNICA!C4&lt;&gt;"",DigitaNICA!C4,"")</f>
        <v>27100</v>
      </c>
      <c r="D5" s="42">
        <f>IF(C5="",0,C5*J$10)</f>
        <v>3523</v>
      </c>
      <c r="E5" s="29">
        <f>IF(DigitaNICA!D4&lt;&gt;"",DigitaNICA!D4,"")</f>
        <v>1300</v>
      </c>
      <c r="F5" s="42">
        <f>IF(E5="",0,E5*PREMIOS!E5)</f>
        <v>104000</v>
      </c>
      <c r="G5" s="30">
        <f t="shared" ref="G5:G12" si="1">IF(OR(C5="",E5=""),0,C5-D5-F5)</f>
        <v>-80423</v>
      </c>
      <c r="I5" s="241" t="s">
        <v>37</v>
      </c>
      <c r="J5" s="221">
        <f>SUM(IF(C5="",0,C5),IF(C9="",0,C9),IF(C13="",0,C13),IF(C17="",0,C17))</f>
        <v>42900</v>
      </c>
      <c r="K5" s="225">
        <f t="shared" ref="K5" si="2">D5+D9+D13+D17</f>
        <v>5577</v>
      </c>
      <c r="L5" s="222">
        <f>F5+F9+F13+F17</f>
        <v>104000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14150</v>
      </c>
      <c r="K6" s="228">
        <f>D19+D20</f>
        <v>1839.5</v>
      </c>
      <c r="L6" s="229">
        <f>F19+F20</f>
        <v>8000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>
        <f>IF(DigitaTICA!C4&lt;&gt;"",DigitaTICA!C4,"")</f>
        <v>58950</v>
      </c>
      <c r="D7" s="42">
        <f>IF(C7="",0,C7*J$9)</f>
        <v>7663.5</v>
      </c>
      <c r="E7" s="29">
        <f>IF(DigitaTICA!D4&lt;&gt;"",DigitaTICA!D4,"")</f>
        <v>100</v>
      </c>
      <c r="F7" s="42">
        <f>IF(E7="",0,E7*PREMIOS!F7)</f>
        <v>8500</v>
      </c>
      <c r="G7" s="30">
        <f t="shared" si="1"/>
        <v>42786.5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IF(DigitaNICA!E4&lt;&gt;"",DigitaNICA!E4,"")</f>
        <v>13550</v>
      </c>
      <c r="D9" s="42">
        <f>IF(C9="",0,C9*J$10)</f>
        <v>1761.5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11788.5</v>
      </c>
      <c r="I9" s="76" t="s">
        <v>36</v>
      </c>
      <c r="J9" s="77">
        <v>0.13</v>
      </c>
      <c r="K9" s="78">
        <f>MROUND(D7+D11+D15,50)</f>
        <v>19950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5600</v>
      </c>
    </row>
    <row r="11" spans="1:12" x14ac:dyDescent="0.35">
      <c r="A11" s="28" t="s">
        <v>59</v>
      </c>
      <c r="B11" s="132">
        <f>IF(DigitaTICA!E2&lt;&gt;"",DigitaTICA!E2,"")</f>
        <v>65</v>
      </c>
      <c r="C11" s="29">
        <f>IF(DigitaTICA!E4&lt;&gt;"",DigitaTICA!E4,"")</f>
        <v>37500</v>
      </c>
      <c r="D11" s="42">
        <f>IF(C11="",0,C11*J$9)</f>
        <v>4875</v>
      </c>
      <c r="E11" s="29">
        <f>IF(DigitaTICA!F4&lt;&gt;"",DigitaTICA!F4,"")</f>
        <v>200</v>
      </c>
      <c r="F11" s="42">
        <f>IF(E11="",0,E11*PREMIOS!F11)</f>
        <v>17000</v>
      </c>
      <c r="G11" s="30">
        <f t="shared" si="1"/>
        <v>15625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1850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IF(DigitaTICA!G4&lt;&gt;"",DigitaTICA!G4,"")</f>
        <v>57200</v>
      </c>
      <c r="D15" s="42">
        <f>IF(C15="",0,C15*J$9)</f>
        <v>7436</v>
      </c>
      <c r="E15" s="29">
        <f>IF(DigitaTICA!H4&lt;&gt;"",DigitaTICA!H4,"")</f>
        <v>750</v>
      </c>
      <c r="F15" s="42">
        <f>IF(E15="",0,E15*PREMIOS!F15)</f>
        <v>63750</v>
      </c>
      <c r="G15" s="30">
        <f t="shared" si="3"/>
        <v>-13986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>
        <f>IF(DigitaNICA!I4&lt;&gt;"",DigitaNICA!I4,"")</f>
        <v>2250</v>
      </c>
      <c r="D17" s="42">
        <f>IF(C17="",0,C17*J$10)</f>
        <v>292.5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1957.5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>
        <f>IF(DigitaPRIMERA!C4&lt;&gt;"",DigitaPRIMERA!C4,"")</f>
        <v>12950</v>
      </c>
      <c r="D19" s="42">
        <f>IF(C19="",0,C19*J$12)</f>
        <v>1683.5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3266.5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>
        <f>IF(DigitaPRIMERA!E4&lt;&gt;"",DigitaPRIMERA!E4,"")</f>
        <v>1200</v>
      </c>
      <c r="D20" s="42">
        <f>IF(C20="",0,C20*J$12)</f>
        <v>156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1044</v>
      </c>
    </row>
    <row r="21" spans="1:7" ht="15" thickBot="1" x14ac:dyDescent="0.4">
      <c r="A21" s="121" t="s">
        <v>5</v>
      </c>
      <c r="B21" s="128"/>
      <c r="C21" s="122">
        <f>SUM(C5:C20)</f>
        <v>210700</v>
      </c>
      <c r="D21" s="122">
        <f t="shared" ref="D21:G21" si="6">SUM(D5:D20)</f>
        <v>27391</v>
      </c>
      <c r="E21" s="122">
        <f t="shared" si="6"/>
        <v>2450</v>
      </c>
      <c r="F21" s="122">
        <f t="shared" si="6"/>
        <v>201250</v>
      </c>
      <c r="G21" s="123">
        <f t="shared" si="6"/>
        <v>-17941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150350</v>
      </c>
      <c r="K4" s="231">
        <f t="shared" ref="K4" si="0">D7+D11+D15</f>
        <v>19545.5</v>
      </c>
      <c r="L4" s="220">
        <f>F7+F11+F15</f>
        <v>148750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IF(DigitaNICA!C5&lt;&gt;"",DigitaNICA!C5,"")</f>
        <v>13850</v>
      </c>
      <c r="D5" s="42">
        <f>IF(C5="",0,C5*J$10)</f>
        <v>1800.5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12049.5</v>
      </c>
      <c r="I5" s="241" t="s">
        <v>37</v>
      </c>
      <c r="J5" s="221">
        <f>SUM(IF(C5="",0,C5),IF(C9="",0,C9),IF(C13="",0,C13),IF(C17="",0,C17))</f>
        <v>20650</v>
      </c>
      <c r="K5" s="225">
        <f t="shared" ref="K5" si="2">D5+D9+D13+D17</f>
        <v>2684.5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3100</v>
      </c>
      <c r="K6" s="228">
        <f>D19+D20</f>
        <v>403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>
        <f>IF(DigitaTICA!C5&lt;&gt;"",DigitaTICA!C5,"")</f>
        <v>57100</v>
      </c>
      <c r="D7" s="42">
        <f>IF(C7="",0,C7*J$9)</f>
        <v>7423</v>
      </c>
      <c r="E7" s="29">
        <f>IF(DigitaTICA!D5&lt;&gt;"",DigitaTICA!D5,"")</f>
        <v>500</v>
      </c>
      <c r="F7" s="42">
        <f>IF(E7="",0,E7*PREMIOS!F7)</f>
        <v>42500</v>
      </c>
      <c r="G7" s="30">
        <f t="shared" si="1"/>
        <v>7177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IF(DigitaNICA!E5&lt;&gt;"",DigitaNICA!E5,"")</f>
        <v>6800</v>
      </c>
      <c r="D9" s="42">
        <f>IF(C9="",0,C9*J$10)</f>
        <v>884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5916</v>
      </c>
      <c r="I9" s="60" t="s">
        <v>36</v>
      </c>
      <c r="J9" s="61">
        <v>0.13</v>
      </c>
      <c r="K9" s="62">
        <f>MROUND(D7+D11+D15,50)</f>
        <v>19550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2700</v>
      </c>
    </row>
    <row r="11" spans="1:12" x14ac:dyDescent="0.35">
      <c r="A11" s="28" t="s">
        <v>59</v>
      </c>
      <c r="B11" s="132">
        <f>IF(DigitaTICA!E2&lt;&gt;"",DigitaTICA!E2,"")</f>
        <v>65</v>
      </c>
      <c r="C11" s="29">
        <f>IF(DigitaTICA!E5&lt;&gt;"",DigitaTICA!E5,"")</f>
        <v>28500</v>
      </c>
      <c r="D11" s="42">
        <f>IF(C11="",0,C11*J$9)</f>
        <v>3705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24795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IF(DigitaTICA!G5&lt;&gt;"",DigitaTICA!G5,"")</f>
        <v>64750</v>
      </c>
      <c r="D15" s="42">
        <f>IF(C15="",0,C15*J$9)</f>
        <v>8417.5</v>
      </c>
      <c r="E15" s="29">
        <f>IF(DigitaTICA!H5&lt;&gt;"",DigitaTICA!H5,"")</f>
        <v>1250</v>
      </c>
      <c r="F15" s="42">
        <f>IF(E15="",0,E15*PREMIOS!F15)</f>
        <v>106250</v>
      </c>
      <c r="G15" s="30">
        <f t="shared" si="3"/>
        <v>-49917.5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>
        <f>IF(DigitaPRIMERA!C5&lt;&gt;"",DigitaPRIMERA!C5,"")</f>
        <v>3100</v>
      </c>
      <c r="D19" s="42">
        <f>IF(C19="",0,C19*J$12)</f>
        <v>403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2697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174100</v>
      </c>
      <c r="D21" s="68">
        <f t="shared" ref="D21:G21" si="4">SUM(D5:D20)</f>
        <v>22633</v>
      </c>
      <c r="E21" s="68">
        <f t="shared" si="4"/>
        <v>1750</v>
      </c>
      <c r="F21" s="68">
        <f t="shared" si="4"/>
        <v>148750</v>
      </c>
      <c r="G21" s="88">
        <f t="shared" si="4"/>
        <v>2717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149</v>
      </c>
      <c r="C2" s="280"/>
      <c r="D2" s="281"/>
      <c r="J2" s="21" t="s">
        <v>149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65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65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180300</v>
      </c>
      <c r="K4" s="231">
        <f t="shared" ref="K4" si="0">D7+D11+D15</f>
        <v>21636</v>
      </c>
      <c r="L4" s="220">
        <f>F7+F11+F15</f>
        <v>110500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IF(DigitaNICA!C8&lt;&gt;"",DigitaNICA!C8,"")</f>
        <v>68100</v>
      </c>
      <c r="D5" s="42">
        <f>IF(C5="",0,C5*J$12)</f>
        <v>8172</v>
      </c>
      <c r="E5" s="29">
        <f>IF(DigitaNICA!D8&lt;&gt;"",DigitaNICA!D8,"")</f>
        <v>300</v>
      </c>
      <c r="F5" s="42">
        <f>IF(E5="",0,E5*PREMIOS!E5)</f>
        <v>24000</v>
      </c>
      <c r="G5" s="30">
        <f t="shared" ref="G5:G12" si="1">IF(OR(C5="",E5=""),0,C5-D5-F5)</f>
        <v>35928</v>
      </c>
      <c r="I5" s="241" t="s">
        <v>37</v>
      </c>
      <c r="J5" s="221">
        <f>SUM(IF(C5="",0,C5),IF(C9="",0,C9),IF(C13="",0,C13),IF(C17="",0,C17))</f>
        <v>155250</v>
      </c>
      <c r="K5" s="225">
        <f t="shared" ref="K5" si="2">D5+D9+D13+D17</f>
        <v>18630</v>
      </c>
      <c r="L5" s="222">
        <f>F5+F9+F13+F17</f>
        <v>64000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>
        <f>IF(DigitaTICA!C8&lt;&gt;"",DigitaTICA!C8,"")</f>
        <v>62000</v>
      </c>
      <c r="D7" s="42">
        <f>IF(C7="",0,C7*J$11)</f>
        <v>7440</v>
      </c>
      <c r="E7" s="29">
        <f>IF(DigitaTICA!D8&lt;&gt;"",DigitaTICA!D8,"")</f>
        <v>400</v>
      </c>
      <c r="F7" s="42">
        <f>IF(E7="",0,E7*PREMIOS!F7)</f>
        <v>34000</v>
      </c>
      <c r="G7" s="30">
        <f t="shared" si="1"/>
        <v>20560</v>
      </c>
      <c r="I7" s="242" t="s">
        <v>96</v>
      </c>
      <c r="J7" s="224">
        <f>SUM(IF(C19="",0,C19),IF(C20="",0,C20))</f>
        <v>49250</v>
      </c>
      <c r="K7" s="228">
        <f>+D19+D20</f>
        <v>5910</v>
      </c>
      <c r="L7" s="229">
        <f>+F19+F20</f>
        <v>40000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>
        <f>IF(DigitaNICA!E8&lt;&gt;"",DigitaNICA!E8,"")</f>
        <v>41850</v>
      </c>
      <c r="D9" s="42">
        <f>IF(C9="",0,C9*J$12)</f>
        <v>5022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-3172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65</v>
      </c>
      <c r="C11" s="29">
        <f>IF(DigitaTICA!E8&lt;&gt;"",DigitaTICA!E8,"")</f>
        <v>61500</v>
      </c>
      <c r="D11" s="42">
        <f>IF(C11="",0,C11*J$11)</f>
        <v>7380</v>
      </c>
      <c r="E11" s="29">
        <f>IF(DigitaTICA!F8&lt;&gt;"",DigitaTICA!F8,"")</f>
        <v>300</v>
      </c>
      <c r="F11" s="42">
        <f>IF(E11="",0,E11*PREMIOS!F11)</f>
        <v>25500</v>
      </c>
      <c r="G11" s="30">
        <f t="shared" si="1"/>
        <v>28620</v>
      </c>
      <c r="I11" s="60" t="s">
        <v>36</v>
      </c>
      <c r="J11" s="61">
        <v>0.12</v>
      </c>
      <c r="K11" s="62">
        <f>MROUND(D7+D11+D15,50)</f>
        <v>21650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18650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5900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IF(DigitaTICA!G8&lt;&gt;"",DigitaTICA!G8,"")</f>
        <v>56800</v>
      </c>
      <c r="D15" s="42">
        <f>IF(C15="",0,C15*J$11)</f>
        <v>6816</v>
      </c>
      <c r="E15" s="29">
        <f>IF(DigitaTICA!H8&lt;&gt;"",DigitaTICA!H8,"")</f>
        <v>600</v>
      </c>
      <c r="F15" s="42">
        <f>IF(E15="",0,E15*PREMIOS!F15)</f>
        <v>51000</v>
      </c>
      <c r="G15" s="30">
        <f t="shared" si="4"/>
        <v>-1016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>
        <f>IF(DigitaNICA!I8&lt;&gt;"",DigitaNICA!I8,"")</f>
        <v>45300</v>
      </c>
      <c r="D17" s="42">
        <f>IF(C17="",0,C17*J$12)</f>
        <v>5436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39864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>
        <f>IF(DigitaPRIMERA!C8&lt;&gt;"",DigitaPRIMERA!C8,"")</f>
        <v>34250</v>
      </c>
      <c r="D19" s="42">
        <f>IF(C19="",0,C19*J$14)</f>
        <v>4110</v>
      </c>
      <c r="E19" s="29">
        <f>IF(DigitaPRIMERA!D8&lt;&gt;"",DigitaPRIMERA!D8,"")</f>
        <v>500</v>
      </c>
      <c r="F19" s="42">
        <f>IF(E19="",0,E19*PREMIOS!E19)</f>
        <v>40000</v>
      </c>
      <c r="G19" s="30">
        <f t="shared" si="4"/>
        <v>-9860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>
        <f>IF(DigitaPRIMERA!E8&lt;&gt;"",DigitaPRIMERA!E8,"")</f>
        <v>15000</v>
      </c>
      <c r="D20" s="42">
        <f>IF(C20="",0,C20*J$14)</f>
        <v>1800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13200</v>
      </c>
    </row>
    <row r="21" spans="1:7" ht="15" thickBot="1" x14ac:dyDescent="0.4">
      <c r="A21" s="121" t="s">
        <v>5</v>
      </c>
      <c r="B21" s="128"/>
      <c r="C21" s="122">
        <f>SUM(C5:C20)</f>
        <v>384800</v>
      </c>
      <c r="D21" s="122">
        <f t="shared" ref="D21:G21" si="5">SUM(D5:D20)</f>
        <v>46176</v>
      </c>
      <c r="E21" s="122">
        <f t="shared" si="5"/>
        <v>2600</v>
      </c>
      <c r="F21" s="122">
        <f t="shared" si="5"/>
        <v>214500</v>
      </c>
      <c r="G21" s="123">
        <f t="shared" si="5"/>
        <v>124124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65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279600</v>
      </c>
      <c r="K4" s="231">
        <f t="shared" ref="K4" si="0">D7+D11+D15</f>
        <v>33552</v>
      </c>
      <c r="L4" s="220">
        <f>F7+F11+F15</f>
        <v>157250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IF(DigitaNICA!C10&lt;&gt;"",DigitaNICA!C10,"")</f>
        <v>35700</v>
      </c>
      <c r="D5" s="42">
        <f>IF(C5="",0,C5*J$15)</f>
        <v>4284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31416</v>
      </c>
      <c r="I5" s="217" t="s">
        <v>37</v>
      </c>
      <c r="J5" s="221">
        <f>SUM(IF(C5="",0,C5),IF(C9="",0,C9),IF(C13="",0,C13),IF(C17="",0,C17))</f>
        <v>168650</v>
      </c>
      <c r="K5" s="225">
        <f t="shared" ref="K5" si="2">D5+D9+D13+D17</f>
        <v>20238</v>
      </c>
      <c r="L5" s="222">
        <f>F5+F9+F13+F17</f>
        <v>161500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42500</v>
      </c>
      <c r="K6" s="226">
        <f t="shared" ref="K6" si="3">+D8+D12+D16</f>
        <v>4250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63</v>
      </c>
      <c r="C7" s="29">
        <f>IF(DigitaTICA!C10&lt;&gt;"",DigitaTICA!C10,"")</f>
        <v>88950</v>
      </c>
      <c r="D7" s="42">
        <f>IF(C7="",0,C7*J$14)</f>
        <v>10674</v>
      </c>
      <c r="E7" s="29">
        <f>IF(DigitaTICA!D10&lt;&gt;"",DigitaTICA!D10,"")</f>
        <v>100</v>
      </c>
      <c r="F7" s="42">
        <f>IF(E7="",0,E7*PREMIOS!F7)</f>
        <v>8500</v>
      </c>
      <c r="G7" s="30">
        <f t="shared" si="1"/>
        <v>69776</v>
      </c>
      <c r="I7" s="217" t="s">
        <v>96</v>
      </c>
      <c r="J7" s="223">
        <f>SUM(IF(C19="",0,C19),IF(C20="",0,C20))</f>
        <v>29300</v>
      </c>
      <c r="K7" s="226">
        <f>+D19+D20</f>
        <v>3516</v>
      </c>
      <c r="L7" s="227">
        <f>+F19+F20</f>
        <v>8500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11950</v>
      </c>
      <c r="D8" s="42">
        <f>IF(C8="",0,C8*J$16)</f>
        <v>1195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10755</v>
      </c>
      <c r="I8" s="217" t="s">
        <v>104</v>
      </c>
      <c r="J8" s="223">
        <f>SUM(IF(C21="",0,C21),IF(C22="",0,C22),IF(C23="",0,C23))</f>
        <v>49800</v>
      </c>
      <c r="K8" s="226">
        <f t="shared" ref="K8" si="4">D21+D22+D23</f>
        <v>5976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IF(DigitaNICA!E10&lt;&gt;"",DigitaNICA!E10,"")</f>
        <v>41600</v>
      </c>
      <c r="D9" s="42">
        <f>IF(C9="",0,C9*J$15)</f>
        <v>4992</v>
      </c>
      <c r="E9" s="29">
        <f>IF(DigitaNICA!F10&lt;&gt;"",DigitaNICA!F10,"")</f>
        <v>1300</v>
      </c>
      <c r="F9" s="42">
        <f>IF(E9="",0,E9*PREMIOS!F9)</f>
        <v>110500</v>
      </c>
      <c r="G9" s="30">
        <f t="shared" si="1"/>
        <v>-73892</v>
      </c>
      <c r="I9" s="217" t="s">
        <v>20</v>
      </c>
      <c r="J9" s="223">
        <f>SUM(IF(C24="",0,C24),IF(C25="",0,C25))</f>
        <v>110550</v>
      </c>
      <c r="K9" s="226">
        <f t="shared" ref="K9" si="5">+D24+D25</f>
        <v>13266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65</v>
      </c>
      <c r="C11" s="29">
        <f>IF(DigitaTICA!E10&lt;&gt;"",DigitaTICA!E10,"")</f>
        <v>74950</v>
      </c>
      <c r="D11" s="42">
        <f>IF(C11="",0,C11*J$14)</f>
        <v>8994</v>
      </c>
      <c r="E11" s="29">
        <f>IF(DigitaTICA!F10&lt;&gt;"",DigitaTICA!F10,"")</f>
        <v>0</v>
      </c>
      <c r="F11" s="42">
        <f>IF(E11="",0,E11*PREMIOS!F11)</f>
        <v>0</v>
      </c>
      <c r="G11" s="30">
        <f t="shared" si="1"/>
        <v>65956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17150</v>
      </c>
      <c r="D12" s="42">
        <f>IF(C12="",0,C12*J$16)</f>
        <v>1715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15435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33550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IF(DigitaTICA!G10&lt;&gt;"",DigitaTICA!G10,"")</f>
        <v>115700</v>
      </c>
      <c r="D15" s="42">
        <f>IF(C15="",0,C15*J$14)</f>
        <v>13884</v>
      </c>
      <c r="E15" s="29">
        <f>IF(DigitaTICA!H10&lt;&gt;"",DigitaTICA!H10,"")</f>
        <v>1750</v>
      </c>
      <c r="F15" s="42">
        <f>IF(E15="",0,E15*PREMIOS!F15)</f>
        <v>148750</v>
      </c>
      <c r="G15" s="30">
        <f t="shared" si="6"/>
        <v>-46934</v>
      </c>
      <c r="I15" s="63" t="s">
        <v>37</v>
      </c>
      <c r="J15" s="64">
        <v>0.12</v>
      </c>
      <c r="K15" s="30">
        <f>MROUND(D5+D9+D13+D17,50)</f>
        <v>20250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13400</v>
      </c>
      <c r="D16" s="42">
        <f>IF(C16="",0,C16*J$16)</f>
        <v>1340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12060</v>
      </c>
      <c r="I16" s="63" t="s">
        <v>38</v>
      </c>
      <c r="J16" s="64">
        <v>0.1</v>
      </c>
      <c r="K16" s="30">
        <f>MROUND(D6+D8+D10+D12+D14+D16+D18,50)</f>
        <v>4250</v>
      </c>
    </row>
    <row r="17" spans="1:11" x14ac:dyDescent="0.35">
      <c r="A17" s="28" t="s">
        <v>52</v>
      </c>
      <c r="B17" s="132">
        <f>IF(DigitaNICA!I2&lt;&gt;"",DigitaNICA!I2,"")</f>
        <v>36</v>
      </c>
      <c r="C17" s="29">
        <f>IF(DigitaNICA!I10&lt;&gt;"",DigitaNICA!I10,"")</f>
        <v>91350</v>
      </c>
      <c r="D17" s="42">
        <f>IF(C17="",0,C17*J$15)</f>
        <v>10962</v>
      </c>
      <c r="E17" s="29">
        <f>IF(DigitaNICA!J10&lt;&gt;"",DigitaNICA!J10,"")</f>
        <v>600</v>
      </c>
      <c r="F17" s="42">
        <f>IF(E17="",0,E17*PREMIOS!F17)</f>
        <v>51000</v>
      </c>
      <c r="G17" s="30">
        <f t="shared" si="6"/>
        <v>29388</v>
      </c>
      <c r="I17" s="63" t="s">
        <v>96</v>
      </c>
      <c r="J17" s="64">
        <v>0.12</v>
      </c>
      <c r="K17" s="30">
        <f>MROUND(D19+D20,50)</f>
        <v>3500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6000</v>
      </c>
    </row>
    <row r="19" spans="1:11" x14ac:dyDescent="0.35">
      <c r="A19" s="28" t="s">
        <v>97</v>
      </c>
      <c r="B19" s="132">
        <f>IF(DigitaPRIMERA!C2&lt;&gt;"",DigitaPRIMERA!C2,"")</f>
        <v>24</v>
      </c>
      <c r="C19" s="29">
        <f>IF(DigitaPRIMERA!$C$10&lt;&gt;"",DigitaPRIMERA!$C$10,"")</f>
        <v>16450</v>
      </c>
      <c r="D19" s="42">
        <f>IF(C19="",0,C19*J$17)</f>
        <v>1974</v>
      </c>
      <c r="E19" s="29">
        <f>IF(DigitaPRIMERA!$D$10&lt;&gt;"",DigitaPRIMERA!$D$10,"")</f>
        <v>100</v>
      </c>
      <c r="F19" s="42">
        <f>IF(E19="",0,E19*PREMIOS!F19)</f>
        <v>8500</v>
      </c>
      <c r="G19" s="30">
        <f t="shared" ref="G19:G22" si="7">IF(OR(C19="",E19=""),0,C19-D19-F19)</f>
        <v>5976</v>
      </c>
      <c r="I19" s="63" t="s">
        <v>20</v>
      </c>
      <c r="J19" s="64">
        <v>0.12</v>
      </c>
      <c r="K19" s="30">
        <f>MROUND(D24+D25,50)</f>
        <v>13250</v>
      </c>
    </row>
    <row r="20" spans="1:11" ht="15" thickBot="1" x14ac:dyDescent="0.4">
      <c r="A20" s="28" t="s">
        <v>98</v>
      </c>
      <c r="B20" s="132">
        <f>IF(DigitaPRIMERA!E2&lt;&gt;"",DigitaPRIMERA!E2,"")</f>
        <v>79</v>
      </c>
      <c r="C20" s="29">
        <f>IF(DigitaPRIMERA!$E$10&lt;&gt;"",DigitaPRIMERA!$E$10,"")</f>
        <v>12850</v>
      </c>
      <c r="D20" s="42">
        <f>IF(C20="",0,C20*J$17)</f>
        <v>1542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11308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02</v>
      </c>
      <c r="C21" s="29">
        <f>IF(DigitaHONDURAS!$C$10&lt;&gt;"",DigitaHONDURAS!$C$10,"")</f>
        <v>19600</v>
      </c>
      <c r="D21" s="42">
        <f>IF(C21="",0,C21*J$18)</f>
        <v>2352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17248</v>
      </c>
    </row>
    <row r="22" spans="1:11" x14ac:dyDescent="0.35">
      <c r="A22" s="28" t="s">
        <v>100</v>
      </c>
      <c r="B22" s="132">
        <f>IF(DigitaHONDURAS!E2&lt;&gt;"",DigitaHONDURAS!E2,"")</f>
        <v>62</v>
      </c>
      <c r="C22" s="29">
        <f>IF(DigitaHONDURAS!$E$10&lt;&gt;"",DigitaHONDURAS!$E$10,"")</f>
        <v>10000</v>
      </c>
      <c r="D22" s="42">
        <f>IF(C22="",0,C22*J$18)</f>
        <v>1200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8800</v>
      </c>
    </row>
    <row r="23" spans="1:11" x14ac:dyDescent="0.35">
      <c r="A23" s="28" t="s">
        <v>101</v>
      </c>
      <c r="B23" s="132">
        <f>IF(DigitaHONDURAS!G2&lt;&gt;"",DigitaHONDURAS!G2,"")</f>
        <v>50</v>
      </c>
      <c r="C23" s="29">
        <f>IF(DigitaHONDURAS!$G$10&lt;&gt;"",DigitaHONDURAS!$G$10,"")</f>
        <v>20200</v>
      </c>
      <c r="D23" s="42">
        <f>IF(C23="",0,C23*J$18)</f>
        <v>2424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17776</v>
      </c>
    </row>
    <row r="24" spans="1:11" x14ac:dyDescent="0.35">
      <c r="A24" s="28" t="s">
        <v>107</v>
      </c>
      <c r="B24" s="132">
        <f>IF(DigitaDOMINICANA!C2&lt;&gt;"",DigitaDOMINICANA!C2,"")</f>
        <v>44</v>
      </c>
      <c r="C24" s="29">
        <f>IF(DigitaDOMINICANA!$C$10&lt;&gt;"",DigitaDOMINICANA!$C$10,"")</f>
        <v>55550</v>
      </c>
      <c r="D24" s="42">
        <f>IF(C24="",0,C24*J$19)</f>
        <v>6666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-36116</v>
      </c>
    </row>
    <row r="25" spans="1:11" x14ac:dyDescent="0.35">
      <c r="A25" s="28" t="s">
        <v>108</v>
      </c>
      <c r="B25" s="132">
        <f>IF(DigitaDOMINICANA!E2&lt;&gt;"",DigitaDOMINICANA!E2,"")</f>
        <v>28</v>
      </c>
      <c r="C25" s="29">
        <f>IF(DigitaDOMINICANA!$E$10&lt;&gt;"",DigitaDOMINICANA!$E$10,"")</f>
        <v>55000</v>
      </c>
      <c r="D25" s="42">
        <f>IF(C25="",0,C25*J$19)</f>
        <v>6600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48400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680400</v>
      </c>
      <c r="D27" s="68">
        <f t="shared" ref="D27:F27" si="9">SUM(D5:D26)</f>
        <v>80798</v>
      </c>
      <c r="E27" s="68">
        <f t="shared" si="9"/>
        <v>4850</v>
      </c>
      <c r="F27" s="68">
        <f t="shared" si="9"/>
        <v>412250</v>
      </c>
      <c r="G27" s="88">
        <f>SUM(G5:G26)</f>
        <v>187352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10900</v>
      </c>
      <c r="K4" s="231">
        <f t="shared" ref="K4" si="0">D7+D11+D15</f>
        <v>1308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65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1300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IF(DigitaTICA!G11&lt;&gt;"",DigitaTICA!G11,"")</f>
        <v>10900</v>
      </c>
      <c r="D15" s="42">
        <f>IF(C15="",0,C15*J$11)</f>
        <v>1308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9592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10900</v>
      </c>
      <c r="D21" s="122">
        <f t="shared" ref="D21:G21" si="5">SUM(D5:D20)</f>
        <v>1308</v>
      </c>
      <c r="E21" s="122">
        <f t="shared" si="5"/>
        <v>0</v>
      </c>
      <c r="F21" s="122">
        <f t="shared" si="5"/>
        <v>0</v>
      </c>
      <c r="G21" s="123">
        <f t="shared" si="5"/>
        <v>9592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8" sqref="G2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43200</v>
      </c>
      <c r="K4" s="231">
        <f>D7+D11+D15</f>
        <v>5184</v>
      </c>
      <c r="L4" s="220">
        <f>F7+F11+F15</f>
        <v>21250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IF(DigitaNICA!C12&lt;&gt;"",DigitaNICA!C12,"")</f>
        <v>20200</v>
      </c>
      <c r="D5" s="42">
        <f>IF(C5="",0,C5*J$12)</f>
        <v>2424</v>
      </c>
      <c r="E5" s="29">
        <f>IF(DigitaNICA!D12&lt;&gt;"",DigitaNICA!D12,"")</f>
        <v>500</v>
      </c>
      <c r="F5" s="42">
        <f>IF(E5="",0,E5*PREMIOS!F5)</f>
        <v>42500</v>
      </c>
      <c r="G5" s="30">
        <f t="shared" ref="G5:G12" si="0">IF(OR(C5="",E5=""),0,C5-D5-F5)</f>
        <v>-24724</v>
      </c>
      <c r="I5" s="217" t="s">
        <v>37</v>
      </c>
      <c r="J5" s="221">
        <f>SUM(IF(C5="",0,C5),IF(C9="",0,C9),IF(C13="",0,C13),IF(C17="",0,C17))</f>
        <v>23800</v>
      </c>
      <c r="K5" s="225">
        <f t="shared" ref="K5" si="1">D5+D9+D13+D17</f>
        <v>2856</v>
      </c>
      <c r="L5" s="222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7750</v>
      </c>
      <c r="K6" s="226">
        <f t="shared" ref="K6" si="2">+D8+D12+D16</f>
        <v>775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63</v>
      </c>
      <c r="C7" s="29">
        <f>IF(DigitaTICA!C12&lt;&gt;"",DigitaTICA!C12,"")</f>
        <v>19150</v>
      </c>
      <c r="D7" s="42">
        <f>IF(C7="",0,C7*J$11)</f>
        <v>2298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16852</v>
      </c>
      <c r="I7" s="217" t="s">
        <v>96</v>
      </c>
      <c r="J7" s="223">
        <f>SUM(IF(C19="",0,C19),IF(C20="",0,C20))</f>
        <v>14950</v>
      </c>
      <c r="K7" s="226">
        <f>+D19+D20</f>
        <v>1794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2750</v>
      </c>
      <c r="D8" s="42">
        <f>IF(C8="",0,C8*J$13)</f>
        <v>275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2475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>
        <f>IF(DigitaNICA!E12&lt;&gt;"",DigitaNICA!E12,"")</f>
        <v>3600</v>
      </c>
      <c r="D9" s="42">
        <f>IF(C9="",0,C9*J$12)</f>
        <v>432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3168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65</v>
      </c>
      <c r="C11" s="29">
        <f>IF(DigitaTICA!E12&lt;&gt;"",DigitaTICA!E12,"")</f>
        <v>4900</v>
      </c>
      <c r="D11" s="42">
        <f>IF(C11="",0,C11*J$11)</f>
        <v>588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4312</v>
      </c>
      <c r="I11" s="60" t="s">
        <v>36</v>
      </c>
      <c r="J11" s="61">
        <v>0.12</v>
      </c>
      <c r="K11" s="62">
        <f>MROUND(D7+D11+D15,50)</f>
        <v>5200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1000</v>
      </c>
      <c r="D12" s="42">
        <f>IF(C12="",0,C12*J$13)</f>
        <v>100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2850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800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1800</v>
      </c>
    </row>
    <row r="15" spans="1:12" ht="15" thickBot="1" x14ac:dyDescent="0.4">
      <c r="A15" s="28" t="s">
        <v>61</v>
      </c>
      <c r="B15" s="132">
        <f>IF(DigitaTICA!G2&lt;&gt;"",DigitaTICA!G2,"")</f>
        <v>12</v>
      </c>
      <c r="C15" s="29">
        <f>IF(DigitaTICA!G12&lt;&gt;"",DigitaTICA!G12,"")</f>
        <v>19150</v>
      </c>
      <c r="D15" s="42">
        <f>IF(C15="",0,C15*J$11)</f>
        <v>2298</v>
      </c>
      <c r="E15" s="29">
        <f>IF(DigitaTICA!H12&lt;&gt;"",DigitaTICA!H12,"")</f>
        <v>250</v>
      </c>
      <c r="F15" s="42">
        <f>IF(E15="",0,E15*PREMIOS!F15)</f>
        <v>21250</v>
      </c>
      <c r="G15" s="30">
        <f t="shared" si="3"/>
        <v>-4398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4000</v>
      </c>
      <c r="D16" s="42">
        <f>IF(C16="",0,C16*J$13)</f>
        <v>400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3600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>
        <f>IF(DigitaPRIMERA!$C$12&lt;&gt;"",DigitaPRIMERA!$C$12,"")</f>
        <v>14950</v>
      </c>
      <c r="D19" s="42">
        <f>IF(C19="",0,C19*J$14)</f>
        <v>1794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13156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89700</v>
      </c>
      <c r="D24" s="68">
        <f t="shared" ref="D24:G24" si="4">SUM(D5:D23)</f>
        <v>10609</v>
      </c>
      <c r="E24" s="68">
        <f t="shared" si="4"/>
        <v>750</v>
      </c>
      <c r="F24" s="68">
        <f t="shared" si="4"/>
        <v>63750</v>
      </c>
      <c r="G24" s="88">
        <f t="shared" si="4"/>
        <v>15341</v>
      </c>
    </row>
    <row r="27" spans="1:7" x14ac:dyDescent="0.35">
      <c r="G27" s="21">
        <v>-33830</v>
      </c>
    </row>
    <row r="28" spans="1:7" x14ac:dyDescent="0.35">
      <c r="G28" s="141">
        <f>+G24+G27</f>
        <v>-18489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64350</v>
      </c>
      <c r="K4" s="231">
        <f t="shared" ref="K4" si="0">D7+D11+D15</f>
        <v>7722</v>
      </c>
      <c r="L4" s="220">
        <f>F7+F11+F15</f>
        <v>25500</v>
      </c>
    </row>
    <row r="5" spans="1:12" ht="15" thickBot="1" x14ac:dyDescent="0.4">
      <c r="A5" s="28" t="s">
        <v>43</v>
      </c>
      <c r="B5" s="132">
        <f>IF(DigitaNICA!C2&lt;&gt;"",DigitaNICA!C2,"")</f>
        <v>65</v>
      </c>
      <c r="C5" s="29">
        <f>IF(DigitaNICA!C13&lt;&gt;"",DigitaNICA!C13,"")</f>
        <v>19000</v>
      </c>
      <c r="D5" s="42">
        <f>IF(C5="",0,C5*J$10)</f>
        <v>2280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16720</v>
      </c>
      <c r="I5" s="218" t="s">
        <v>37</v>
      </c>
      <c r="J5" s="232">
        <f>SUM(IF(C5="",0,C5),IF(C9="",0,C9),IF(C13="",0,C13),IF(C17="",0,C17))</f>
        <v>30300</v>
      </c>
      <c r="K5" s="233">
        <f t="shared" ref="K5" si="2">D5+D9+D13+D17</f>
        <v>3636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>
        <f>IF(DigitaTICA!C13&lt;&gt;"",DigitaTICA!C13,"")</f>
        <v>27000</v>
      </c>
      <c r="D7" s="42">
        <f>IF(C7="",0,C7*J$9)</f>
        <v>3240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23760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IF(DigitaNICA!E13&lt;&gt;"",DigitaNICA!E13,"")</f>
        <v>9300</v>
      </c>
      <c r="D9" s="42">
        <f>IF(C9="",0,C9*J$10)</f>
        <v>1116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8184</v>
      </c>
      <c r="I9" s="60" t="s">
        <v>36</v>
      </c>
      <c r="J9" s="61">
        <v>0.12</v>
      </c>
      <c r="K9" s="62">
        <f>MROUND(D7+D11+D15,50)</f>
        <v>7700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3650</v>
      </c>
    </row>
    <row r="11" spans="1:12" ht="15" thickBot="1" x14ac:dyDescent="0.4">
      <c r="A11" s="28" t="s">
        <v>59</v>
      </c>
      <c r="B11" s="132">
        <f>IF(DigitaTICA!E2&lt;&gt;"",DigitaTICA!E2,"")</f>
        <v>65</v>
      </c>
      <c r="C11" s="29">
        <f>IF(DigitaTICA!E13&lt;&gt;"",DigitaTICA!E13,"")</f>
        <v>13650</v>
      </c>
      <c r="D11" s="42">
        <f>IF(C11="",0,C11*J$9)</f>
        <v>1638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12012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IF(DigitaTICA!G13&lt;&gt;"",DigitaTICA!G13,"")</f>
        <v>23700</v>
      </c>
      <c r="D15" s="42">
        <f>IF(C15="",0,C15*J$9)</f>
        <v>2844</v>
      </c>
      <c r="E15" s="29">
        <f>IF(DigitaTICA!H13&lt;&gt;"",DigitaTICA!H13,"")</f>
        <v>300</v>
      </c>
      <c r="F15" s="133">
        <f>IF(E15="",0,E15*PREMIOS!F15)</f>
        <v>25500</v>
      </c>
      <c r="G15" s="30">
        <f t="shared" si="3"/>
        <v>-4644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>
        <f>IF(DigitaNICA!I13&lt;&gt;"",DigitaNICA!I13,"")</f>
        <v>2000</v>
      </c>
      <c r="D17" s="42">
        <f>IF(C17="",0,C17*J$10)</f>
        <v>240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1760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94650</v>
      </c>
      <c r="D19" s="68">
        <f>MROUND(SUM(D5:D18),50)</f>
        <v>11350</v>
      </c>
      <c r="E19" s="68">
        <f>SUM(E5:E18)</f>
        <v>300</v>
      </c>
      <c r="F19" s="68">
        <f>SUM(F5:F18)</f>
        <v>25500</v>
      </c>
      <c r="G19" s="88">
        <f>SUM(G5:G18)</f>
        <v>57792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108950</v>
      </c>
      <c r="K4" s="236">
        <f t="shared" ref="K4" si="0">D7+D11+D15</f>
        <v>16342.5</v>
      </c>
      <c r="L4" s="237">
        <f>F7+F11+F15</f>
        <v>72000</v>
      </c>
    </row>
    <row r="5" spans="1:12" x14ac:dyDescent="0.35">
      <c r="A5" s="28" t="s">
        <v>43</v>
      </c>
      <c r="B5" s="132">
        <f>IF(DigitaNICA!C2&lt;&gt;"",DigitaNICA!C2,"")</f>
        <v>65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>
        <f>IF(DigitaTICA!C14&lt;&gt;"",DigitaTICA!C14,"")</f>
        <v>55000</v>
      </c>
      <c r="D7" s="42">
        <f>IF(C7="",0,C7*J$9)</f>
        <v>8250</v>
      </c>
      <c r="E7" s="29">
        <f>IF(DigitaTICA!D14&lt;&gt;"",DigitaTICA!D14,"")</f>
        <v>200</v>
      </c>
      <c r="F7" s="42">
        <f>IF(E7="",0,E7*PREMIOS!E7)</f>
        <v>16000</v>
      </c>
      <c r="G7" s="30">
        <f t="shared" si="1"/>
        <v>30750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16350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65</v>
      </c>
      <c r="C11" s="29">
        <f>IF(DigitaTICA!E14&lt;&gt;"",DigitaTICA!E14,"")</f>
        <v>23550</v>
      </c>
      <c r="D11" s="42">
        <f>IF(C11="",0,C11*J$9)</f>
        <v>3532.5</v>
      </c>
      <c r="E11" s="29">
        <f>IF(DigitaTICA!F14&lt;&gt;"",DigitaTICA!F14,"")</f>
        <v>700</v>
      </c>
      <c r="F11" s="42">
        <f>IF(E11="",0,E11*PREMIOS!E11)</f>
        <v>56000</v>
      </c>
      <c r="G11" s="30">
        <f t="shared" si="1"/>
        <v>-35982.5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>
        <f>IF(DigitaTICA!G14&lt;&gt;"",DigitaTICA!G14,"")</f>
        <v>30400</v>
      </c>
      <c r="D15" s="42">
        <f>IF(C15="",0,C15*J$9)</f>
        <v>4560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25840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108950</v>
      </c>
      <c r="D19" s="68">
        <f>MROUND(SUM(D5:D18),50)</f>
        <v>16350</v>
      </c>
      <c r="E19" s="68">
        <f>SUM(E5:E18)</f>
        <v>900</v>
      </c>
      <c r="F19" s="68">
        <f>SUM(F5:F18)</f>
        <v>72000</v>
      </c>
      <c r="G19" s="88">
        <f>SUM(G5:G18)</f>
        <v>20607.5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65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65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12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78600</v>
      </c>
      <c r="K4" s="231">
        <f>D7+D11+D15</f>
        <v>9432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65</v>
      </c>
      <c r="C5" s="29">
        <f>IF(DigitaNICA!C16&lt;&gt;"",DigitaNICA!C16,"")</f>
        <v>8500</v>
      </c>
      <c r="D5" s="42">
        <f>IF(C5="",0,C5*J$12)</f>
        <v>1020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7480</v>
      </c>
      <c r="I5" s="63" t="s">
        <v>37</v>
      </c>
      <c r="J5" s="225">
        <f>SUM(IF(C5="",0,C5),IF(C9="",0,C9),IF(C13="",0,C13),IF(C17="",0,C17))</f>
        <v>38400</v>
      </c>
      <c r="K5" s="225">
        <f t="shared" ref="K5" si="1">D5+D9+D13+D17</f>
        <v>4608</v>
      </c>
      <c r="L5" s="222">
        <f>F5+F9+F13+F17</f>
        <v>20000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63</v>
      </c>
      <c r="C7" s="29">
        <f>IF(DigitaTICA!C16&lt;&gt;"",DigitaTICA!C16,"")</f>
        <v>37050</v>
      </c>
      <c r="D7" s="42">
        <f>IF(C7="",0,C7*J$11)</f>
        <v>4446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32604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>
        <f>IF(DigitaNICA!E16&lt;&gt;"",DigitaNICA!E16,"")</f>
        <v>15000</v>
      </c>
      <c r="D9" s="42">
        <f>IF(C9="",0,C9*J$12)</f>
        <v>1800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13200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65</v>
      </c>
      <c r="C11" s="29">
        <f>IF(DigitaTICA!E16&lt;&gt;"",DigitaTICA!E16,"")</f>
        <v>12100</v>
      </c>
      <c r="D11" s="42">
        <f>IF(C11="",0,C11*J$11)</f>
        <v>1452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10648</v>
      </c>
      <c r="I11" s="76" t="s">
        <v>36</v>
      </c>
      <c r="J11" s="77">
        <v>0.12</v>
      </c>
      <c r="K11" s="78">
        <f>MROUND(D7+D11+D15,50)</f>
        <v>9450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4600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12</v>
      </c>
      <c r="C15" s="29">
        <f>IF(DigitaTICA!G16&lt;&gt;"",DigitaTICA!G16,"")</f>
        <v>29450</v>
      </c>
      <c r="D15" s="42">
        <f>IF(C15="",0,C15*J$11)</f>
        <v>3534</v>
      </c>
      <c r="E15" s="29">
        <f>IF(DigitaTICA!H16&lt;&gt;"",DigitaTICA!H16,"")</f>
        <v>500</v>
      </c>
      <c r="F15" s="133">
        <f>IF(E15="",0,E15*PREMIOS!F15)</f>
        <v>42500</v>
      </c>
      <c r="G15" s="30">
        <f t="shared" si="3"/>
        <v>-16584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>
        <f>IF(DigitaNICA!I16&lt;&gt;"",DigitaNICA!I16,"")</f>
        <v>14900</v>
      </c>
      <c r="D17" s="42">
        <f>IF(C17="",0,C17*J$12)</f>
        <v>1788</v>
      </c>
      <c r="E17" s="29">
        <f>IF(DigitaNICA!J16&lt;&gt;"",DigitaNICA!J16,"")</f>
        <v>250</v>
      </c>
      <c r="F17" s="42">
        <f>IF(E17="",0,E17*PREMIOS!E17)</f>
        <v>20000</v>
      </c>
      <c r="G17" s="30">
        <f t="shared" si="3"/>
        <v>-6888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24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79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62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118000</v>
      </c>
      <c r="D24" s="122">
        <f t="shared" ref="D24:G24" si="5">SUM(D5:D23)</f>
        <v>14140</v>
      </c>
      <c r="E24" s="122">
        <f t="shared" si="5"/>
        <v>750</v>
      </c>
      <c r="F24" s="122">
        <f t="shared" si="5"/>
        <v>62500</v>
      </c>
      <c r="G24" s="123">
        <f t="shared" si="5"/>
        <v>41360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65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63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49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65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12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36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24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79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62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50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65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63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49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65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12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36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24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79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62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50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44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65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63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49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65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12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65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65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12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H11" sqref="H11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63</v>
      </c>
      <c r="D2" s="268"/>
      <c r="E2" s="267">
        <f>IF(PREMIOS!$B11="","",PREMIOS!$B11)</f>
        <v>65</v>
      </c>
      <c r="F2" s="268"/>
      <c r="G2" s="267">
        <f>IF(PREMIOS!$B15="","",PREMIOS!$B15)</f>
        <v>12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58950</v>
      </c>
      <c r="D4" s="78">
        <v>100</v>
      </c>
      <c r="E4" s="189">
        <v>37500</v>
      </c>
      <c r="F4" s="78">
        <v>200</v>
      </c>
      <c r="G4" s="189">
        <v>57200</v>
      </c>
      <c r="H4" s="78">
        <v>750</v>
      </c>
      <c r="J4" s="42">
        <f t="shared" ref="J4:J8" si="0">+C4+E4+G4</f>
        <v>153650</v>
      </c>
      <c r="K4" s="42">
        <f>IF(D4="",0,IF(F4="",D4,IF(H4="",D4+F4,D4+F4+H4)))</f>
        <v>1050</v>
      </c>
    </row>
    <row r="5" spans="1:11" x14ac:dyDescent="0.35">
      <c r="A5" s="47">
        <v>2</v>
      </c>
      <c r="B5" s="178" t="str">
        <f>Vendedor2!$B$2</f>
        <v>PUESTO 2</v>
      </c>
      <c r="C5" s="180">
        <v>57100</v>
      </c>
      <c r="D5" s="30">
        <v>500</v>
      </c>
      <c r="E5" s="180">
        <v>28500</v>
      </c>
      <c r="F5" s="30">
        <f t="shared" ref="D5:H27" si="1">IF(E5="","",0)</f>
        <v>0</v>
      </c>
      <c r="G5" s="180">
        <v>64750</v>
      </c>
      <c r="H5" s="30">
        <v>1250</v>
      </c>
      <c r="J5" s="42">
        <f t="shared" si="0"/>
        <v>150350</v>
      </c>
      <c r="K5" s="42">
        <f t="shared" ref="K5:K27" si="2">IF(D5="",0,IF(F5="",D5,IF(H5="",D5+F5,D5+F5+H5)))</f>
        <v>1750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62000</v>
      </c>
      <c r="D8" s="30">
        <v>400</v>
      </c>
      <c r="E8" s="180">
        <v>61500</v>
      </c>
      <c r="F8" s="30">
        <v>300</v>
      </c>
      <c r="G8" s="180">
        <v>56800</v>
      </c>
      <c r="H8" s="30">
        <v>600</v>
      </c>
      <c r="J8" s="42">
        <f t="shared" si="0"/>
        <v>180300</v>
      </c>
      <c r="K8" s="42">
        <f t="shared" si="2"/>
        <v>1300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7400+81550</f>
        <v>88950</v>
      </c>
      <c r="D10" s="30">
        <f>100+0</f>
        <v>100</v>
      </c>
      <c r="E10" s="180">
        <f>24800+50150</f>
        <v>74950</v>
      </c>
      <c r="F10" s="30">
        <f t="shared" si="1"/>
        <v>0</v>
      </c>
      <c r="G10" s="180">
        <f>44350+71350</f>
        <v>115700</v>
      </c>
      <c r="H10" s="30">
        <f>300+1450</f>
        <v>1750</v>
      </c>
      <c r="J10" s="42">
        <f t="shared" si="3"/>
        <v>279600</v>
      </c>
      <c r="K10" s="42">
        <f t="shared" si="2"/>
        <v>1850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1"/>
        <v/>
      </c>
      <c r="E11" s="180"/>
      <c r="F11" s="30" t="str">
        <f t="shared" si="1"/>
        <v/>
      </c>
      <c r="G11" s="180">
        <v>10900</v>
      </c>
      <c r="H11" s="30">
        <f t="shared" si="1"/>
        <v>0</v>
      </c>
      <c r="J11" s="42">
        <f t="shared" si="3"/>
        <v>10900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19150</v>
      </c>
      <c r="D12" s="30">
        <f t="shared" si="1"/>
        <v>0</v>
      </c>
      <c r="E12" s="180">
        <v>4900</v>
      </c>
      <c r="F12" s="30">
        <f t="shared" si="1"/>
        <v>0</v>
      </c>
      <c r="G12" s="180">
        <v>19150</v>
      </c>
      <c r="H12" s="30">
        <v>250</v>
      </c>
      <c r="J12" s="42">
        <f t="shared" si="3"/>
        <v>43200</v>
      </c>
      <c r="K12" s="42">
        <f t="shared" si="2"/>
        <v>250</v>
      </c>
    </row>
    <row r="13" spans="1:11" x14ac:dyDescent="0.35">
      <c r="A13" s="47">
        <v>10</v>
      </c>
      <c r="B13" s="178" t="str">
        <f>Vendedor10!$B$2</f>
        <v>MARIALIZ</v>
      </c>
      <c r="C13" s="180">
        <v>27000</v>
      </c>
      <c r="D13" s="30">
        <f t="shared" si="1"/>
        <v>0</v>
      </c>
      <c r="E13" s="180">
        <v>13650</v>
      </c>
      <c r="F13" s="30">
        <f t="shared" si="1"/>
        <v>0</v>
      </c>
      <c r="G13" s="180">
        <v>23700</v>
      </c>
      <c r="H13" s="30">
        <v>300</v>
      </c>
      <c r="J13" s="42">
        <f t="shared" si="3"/>
        <v>64350</v>
      </c>
      <c r="K13" s="42">
        <f t="shared" si="2"/>
        <v>300</v>
      </c>
    </row>
    <row r="14" spans="1:11" x14ac:dyDescent="0.35">
      <c r="A14" s="47">
        <v>11</v>
      </c>
      <c r="B14" s="178" t="str">
        <f>Vendedor11!$B$2</f>
        <v>CHARLY</v>
      </c>
      <c r="C14" s="180">
        <v>55000</v>
      </c>
      <c r="D14" s="30">
        <v>200</v>
      </c>
      <c r="E14" s="180">
        <v>23550</v>
      </c>
      <c r="F14" s="30">
        <v>700</v>
      </c>
      <c r="G14" s="180">
        <v>30400</v>
      </c>
      <c r="H14" s="30">
        <f t="shared" si="1"/>
        <v>0</v>
      </c>
      <c r="J14" s="42">
        <f t="shared" si="3"/>
        <v>108950</v>
      </c>
      <c r="K14" s="42">
        <f t="shared" si="2"/>
        <v>900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37050</v>
      </c>
      <c r="D16" s="30">
        <f t="shared" si="1"/>
        <v>0</v>
      </c>
      <c r="E16" s="180">
        <v>12100</v>
      </c>
      <c r="F16" s="30">
        <f t="shared" si="1"/>
        <v>0</v>
      </c>
      <c r="G16" s="180">
        <v>29450</v>
      </c>
      <c r="H16" s="30">
        <v>500</v>
      </c>
      <c r="J16" s="42">
        <f t="shared" si="3"/>
        <v>78600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1"/>
        <v/>
      </c>
      <c r="E17" s="180"/>
      <c r="F17" s="30" t="str">
        <f t="shared" si="1"/>
        <v/>
      </c>
      <c r="G17" s="180"/>
      <c r="H17" s="30" t="str">
        <f t="shared" si="1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1"/>
        <v/>
      </c>
      <c r="E18" s="180"/>
      <c r="F18" s="30" t="str">
        <f t="shared" si="1"/>
        <v/>
      </c>
      <c r="G18" s="180"/>
      <c r="H18" s="30" t="str">
        <f t="shared" si="1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405200</v>
      </c>
      <c r="D32" s="44">
        <f t="shared" si="6"/>
        <v>1300</v>
      </c>
      <c r="E32" s="43">
        <f t="shared" si="6"/>
        <v>256650</v>
      </c>
      <c r="F32" s="44">
        <f t="shared" si="6"/>
        <v>1200</v>
      </c>
      <c r="G32" s="43">
        <f t="shared" si="6"/>
        <v>408050</v>
      </c>
      <c r="H32" s="44">
        <f t="shared" si="6"/>
        <v>5400</v>
      </c>
      <c r="J32" s="95">
        <f>SUM(J4:J31)</f>
        <v>1069900</v>
      </c>
      <c r="K32" s="95"/>
    </row>
    <row r="33" spans="2:8" x14ac:dyDescent="0.35">
      <c r="D33" s="99">
        <f>+D32*85</f>
        <v>110500</v>
      </c>
      <c r="F33" s="99">
        <f>+F32*85</f>
        <v>102000</v>
      </c>
      <c r="H33" s="99">
        <f>+H32*85</f>
        <v>459000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>
        <f>+G32*4%</f>
        <v>16322</v>
      </c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65</v>
      </c>
      <c r="D2" s="268"/>
      <c r="E2" s="267">
        <f>IF(PREMIOS!$B9="","",PREMIOS!$B9)</f>
        <v>49</v>
      </c>
      <c r="F2" s="268"/>
      <c r="G2" s="267" t="str">
        <f>IF(PREMIOS!$B13="","",PREMIOS!$B13)</f>
        <v/>
      </c>
      <c r="H2" s="268"/>
      <c r="I2" s="267">
        <f>IF(PREMIOS!$B17="","",PREMIOS!$B17)</f>
        <v>36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27100</v>
      </c>
      <c r="D4" s="78">
        <v>1300</v>
      </c>
      <c r="E4" s="206">
        <v>13550</v>
      </c>
      <c r="F4" s="78">
        <f t="shared" ref="D4:J27" si="0">IF(E4="","",0)</f>
        <v>0</v>
      </c>
      <c r="G4" s="189"/>
      <c r="H4" s="78" t="str">
        <f t="shared" ref="H4:H27" si="1">IF(G4="","",0)</f>
        <v/>
      </c>
      <c r="I4" s="189">
        <v>2250</v>
      </c>
      <c r="J4" s="78">
        <f t="shared" si="0"/>
        <v>0</v>
      </c>
      <c r="L4" s="42">
        <f t="shared" ref="L4:L8" si="2">+C4+E4+G4+I4</f>
        <v>42900</v>
      </c>
      <c r="M4" s="42">
        <f>IF(D4=0,0,IF(F4="",D4,IF(H4="",D4+F4,IF(J4="",D4+F4+H4,D4+F4+H4+J4))))</f>
        <v>1300</v>
      </c>
    </row>
    <row r="5" spans="1:13" x14ac:dyDescent="0.35">
      <c r="A5" s="47">
        <v>2</v>
      </c>
      <c r="B5" s="178" t="str">
        <f>Vendedor2!$B$2</f>
        <v>PUESTO 2</v>
      </c>
      <c r="C5" s="180">
        <v>13850</v>
      </c>
      <c r="D5" s="30">
        <f t="shared" si="0"/>
        <v>0</v>
      </c>
      <c r="E5" s="207">
        <v>6800</v>
      </c>
      <c r="F5" s="30">
        <f t="shared" si="0"/>
        <v>0</v>
      </c>
      <c r="G5" s="180"/>
      <c r="H5" s="30" t="str">
        <f t="shared" si="1"/>
        <v/>
      </c>
      <c r="I5" s="180"/>
      <c r="J5" s="30" t="str">
        <f t="shared" ref="J5:J27" si="3">IF(I5="","",0)</f>
        <v/>
      </c>
      <c r="L5" s="42">
        <f t="shared" si="2"/>
        <v>20650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68100</v>
      </c>
      <c r="D8" s="30">
        <v>300</v>
      </c>
      <c r="E8" s="207">
        <v>41850</v>
      </c>
      <c r="F8" s="30">
        <v>500</v>
      </c>
      <c r="G8" s="180"/>
      <c r="H8" s="30" t="str">
        <f t="shared" si="1"/>
        <v/>
      </c>
      <c r="I8" s="180">
        <v>45300</v>
      </c>
      <c r="J8" s="30">
        <f t="shared" si="0"/>
        <v>0</v>
      </c>
      <c r="L8" s="42">
        <f t="shared" si="2"/>
        <v>155250</v>
      </c>
      <c r="M8" s="42">
        <f t="shared" si="4"/>
        <v>800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10000+25700</f>
        <v>35700</v>
      </c>
      <c r="D10" s="30">
        <f t="shared" si="0"/>
        <v>0</v>
      </c>
      <c r="E10" s="207">
        <f>7000+34600</f>
        <v>41600</v>
      </c>
      <c r="F10" s="30">
        <v>1300</v>
      </c>
      <c r="G10" s="180"/>
      <c r="H10" s="30" t="str">
        <f t="shared" si="0"/>
        <v/>
      </c>
      <c r="I10" s="180">
        <f>31550+59800</f>
        <v>91350</v>
      </c>
      <c r="J10" s="30">
        <f>300+300</f>
        <v>600</v>
      </c>
      <c r="L10" s="42">
        <f t="shared" si="5"/>
        <v>168650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20200</v>
      </c>
      <c r="D12" s="30">
        <v>500</v>
      </c>
      <c r="E12" s="207">
        <v>3600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23800</v>
      </c>
      <c r="M12" s="42">
        <f t="shared" si="4"/>
        <v>500</v>
      </c>
    </row>
    <row r="13" spans="1:13" x14ac:dyDescent="0.35">
      <c r="A13" s="47">
        <v>10</v>
      </c>
      <c r="B13" s="178" t="str">
        <f>Vendedor10!$B$2</f>
        <v>MARIALIZ</v>
      </c>
      <c r="C13" s="180">
        <v>19000</v>
      </c>
      <c r="D13" s="30">
        <f t="shared" si="0"/>
        <v>0</v>
      </c>
      <c r="E13" s="207">
        <v>9300</v>
      </c>
      <c r="F13" s="30">
        <f t="shared" si="0"/>
        <v>0</v>
      </c>
      <c r="G13" s="180"/>
      <c r="H13" s="30" t="str">
        <f t="shared" si="0"/>
        <v/>
      </c>
      <c r="I13" s="180">
        <v>2000</v>
      </c>
      <c r="J13" s="30">
        <f t="shared" si="0"/>
        <v>0</v>
      </c>
      <c r="L13" s="42">
        <f t="shared" si="5"/>
        <v>30300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8500</v>
      </c>
      <c r="D16" s="30">
        <f t="shared" si="0"/>
        <v>0</v>
      </c>
      <c r="E16" s="207">
        <v>15000</v>
      </c>
      <c r="F16" s="30">
        <f t="shared" si="0"/>
        <v>0</v>
      </c>
      <c r="G16" s="180"/>
      <c r="H16" s="30" t="str">
        <f t="shared" si="0"/>
        <v/>
      </c>
      <c r="I16" s="180">
        <v>14900</v>
      </c>
      <c r="J16" s="30">
        <v>250</v>
      </c>
      <c r="L16" s="42">
        <f t="shared" si="5"/>
        <v>38400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192450</v>
      </c>
      <c r="D32" s="44">
        <f t="shared" si="7"/>
        <v>2100</v>
      </c>
      <c r="E32" s="43">
        <f t="shared" si="7"/>
        <v>131700</v>
      </c>
      <c r="F32" s="44">
        <f t="shared" si="7"/>
        <v>1800</v>
      </c>
      <c r="G32" s="43">
        <f t="shared" si="7"/>
        <v>0</v>
      </c>
      <c r="H32" s="44">
        <f t="shared" si="7"/>
        <v>0</v>
      </c>
      <c r="I32" s="43">
        <f t="shared" si="7"/>
        <v>155800</v>
      </c>
      <c r="J32" s="44">
        <f t="shared" si="7"/>
        <v>850</v>
      </c>
      <c r="L32" s="95">
        <f>SUM(L9:L31)</f>
        <v>261150</v>
      </c>
      <c r="M32" s="95">
        <f>SUM(M9:M31)</f>
        <v>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63 Blanca</v>
      </c>
      <c r="D2" s="268"/>
      <c r="E2" s="267" t="str">
        <f>IF(E33=0,"",CONCATENATE(PREMIOS!$B11," ",PREMIOS!$B12))</f>
        <v>65 Roja</v>
      </c>
      <c r="F2" s="268"/>
      <c r="G2" s="267" t="str">
        <f>IF(G33=0,"",CONCATENATE(PREMIOS!$B15," ",PREMIOS!$B16))</f>
        <v>12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1300+10650</f>
        <v>11950</v>
      </c>
      <c r="D10" s="30">
        <f t="shared" si="0"/>
        <v>0</v>
      </c>
      <c r="E10" s="180">
        <f>6900+10250</f>
        <v>17150</v>
      </c>
      <c r="F10" s="30">
        <f t="shared" si="0"/>
        <v>0</v>
      </c>
      <c r="G10" s="180">
        <f>3500+9900</f>
        <v>13400</v>
      </c>
      <c r="H10" s="30">
        <f t="shared" si="0"/>
        <v>0</v>
      </c>
      <c r="J10" s="42">
        <f t="shared" si="3"/>
        <v>42500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2750</v>
      </c>
      <c r="D12" s="30">
        <f t="shared" si="0"/>
        <v>0</v>
      </c>
      <c r="E12" s="180">
        <v>1000</v>
      </c>
      <c r="F12" s="30">
        <f t="shared" si="1"/>
        <v>0</v>
      </c>
      <c r="G12" s="180">
        <v>4000</v>
      </c>
      <c r="H12" s="30">
        <f t="shared" si="0"/>
        <v>0</v>
      </c>
      <c r="J12" s="42">
        <f t="shared" si="3"/>
        <v>7750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15700</v>
      </c>
      <c r="D33" s="44">
        <f t="shared" si="7"/>
        <v>0</v>
      </c>
      <c r="E33" s="43">
        <f t="shared" si="7"/>
        <v>18150</v>
      </c>
      <c r="F33" s="44">
        <f t="shared" si="7"/>
        <v>0</v>
      </c>
      <c r="G33" s="43">
        <f t="shared" si="7"/>
        <v>17400</v>
      </c>
      <c r="H33" s="44">
        <f t="shared" si="7"/>
        <v>0</v>
      </c>
      <c r="J33" s="45">
        <f>SUM(J4:J32)</f>
        <v>51250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24</v>
      </c>
      <c r="D2" s="268"/>
      <c r="E2" s="267">
        <f>IF(PREMIOS!$C19="","",PREMIOS!$C19)</f>
        <v>79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12950</v>
      </c>
      <c r="D4" s="78">
        <v>100</v>
      </c>
      <c r="E4" s="189">
        <v>1200</v>
      </c>
      <c r="F4" s="78">
        <f t="shared" ref="D4:F27" si="0">IF(E4="","",0)</f>
        <v>0</v>
      </c>
      <c r="H4" s="42">
        <f>+C4+E4</f>
        <v>14150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3100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3100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34250</v>
      </c>
      <c r="D8" s="30">
        <v>500</v>
      </c>
      <c r="E8" s="194">
        <v>15000</v>
      </c>
      <c r="F8" s="195">
        <f t="shared" si="1"/>
        <v>0</v>
      </c>
      <c r="H8" s="42">
        <f t="shared" si="2"/>
        <v>49250</v>
      </c>
      <c r="I8" s="42">
        <f t="shared" si="3"/>
        <v>500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5550+10900</f>
        <v>16450</v>
      </c>
      <c r="D10" s="30">
        <v>100</v>
      </c>
      <c r="E10" s="180">
        <v>12850</v>
      </c>
      <c r="F10" s="195">
        <f t="shared" si="1"/>
        <v>0</v>
      </c>
      <c r="H10" s="42">
        <f t="shared" si="2"/>
        <v>29300</v>
      </c>
      <c r="I10" s="42">
        <f t="shared" si="3"/>
        <v>100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14950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14950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81700</v>
      </c>
      <c r="D33" s="44">
        <f>SUM(D4:D32)</f>
        <v>700</v>
      </c>
      <c r="E33" s="43">
        <f>SUM(E4:E32)</f>
        <v>29050</v>
      </c>
      <c r="F33" s="44">
        <f>SUM(F4:F32)</f>
        <v>0</v>
      </c>
      <c r="H33" s="95">
        <f>SUM(H4:H32)</f>
        <v>110750</v>
      </c>
      <c r="I33" s="95">
        <f>SUM(I4:I32)</f>
        <v>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02</v>
      </c>
      <c r="D2" s="268"/>
      <c r="E2" s="267">
        <f>IF(PREMIOS!$C20="","",PREMIOS!$C20)</f>
        <v>62</v>
      </c>
      <c r="F2" s="268"/>
      <c r="G2" s="267">
        <f>IF(PREMIOS!$D20="","",PREMIOS!$D20)</f>
        <v>50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19600</v>
      </c>
      <c r="D10" s="195">
        <f t="shared" si="0"/>
        <v>0</v>
      </c>
      <c r="E10" s="180">
        <v>10000</v>
      </c>
      <c r="F10" s="30">
        <f t="shared" si="0"/>
        <v>0</v>
      </c>
      <c r="G10" s="180">
        <v>20200</v>
      </c>
      <c r="H10" s="195">
        <f t="shared" si="0"/>
        <v>0</v>
      </c>
      <c r="J10" s="42">
        <f t="shared" si="3"/>
        <v>49800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19600</v>
      </c>
      <c r="D33" s="44">
        <f t="shared" si="6"/>
        <v>0</v>
      </c>
      <c r="E33" s="43">
        <f t="shared" si="6"/>
        <v>10000</v>
      </c>
      <c r="F33" s="44">
        <f t="shared" si="6"/>
        <v>0</v>
      </c>
      <c r="G33" s="43">
        <f t="shared" si="6"/>
        <v>20200</v>
      </c>
      <c r="H33" s="44">
        <f t="shared" si="6"/>
        <v>0</v>
      </c>
      <c r="J33" s="45">
        <f>SUM(J4:J32)</f>
        <v>49800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44</v>
      </c>
      <c r="D2" s="268"/>
      <c r="E2" s="267">
        <f>IF(PREMIOS!$C21="","",PREMIOS!$C21)</f>
        <v>28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55550</v>
      </c>
      <c r="D10" s="30">
        <v>1000</v>
      </c>
      <c r="E10" s="180">
        <v>55000</v>
      </c>
      <c r="F10" s="30">
        <f t="shared" si="0"/>
        <v>0</v>
      </c>
      <c r="H10" s="42">
        <f t="shared" si="2"/>
        <v>110550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55550</v>
      </c>
      <c r="D33" s="44">
        <f>SUM(D4:D32)</f>
        <v>1000</v>
      </c>
      <c r="E33" s="43">
        <f>SUM(E4:E32)</f>
        <v>55000</v>
      </c>
      <c r="F33" s="44">
        <f>SUM(F4:F32)</f>
        <v>0</v>
      </c>
      <c r="H33" s="45">
        <f>SUM(H4:H32)</f>
        <v>110550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2026-06-20T22:24:06Z</dcterms:modified>
  <dc:language>es-CR</dc:language>
</cp:coreProperties>
</file>
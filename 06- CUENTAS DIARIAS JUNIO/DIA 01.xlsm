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42" documentId="13_ncr:1_{EDF63247-0D91-4DA7-BBE3-100B9882EAC5}" xr6:coauthVersionLast="47" xr6:coauthVersionMax="47" xr10:uidLastSave="{ADE25BAB-143F-4CC2-A90F-0D2111F209E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I10" i="61"/>
  <c r="G10" i="61"/>
  <c r="G10" i="60"/>
  <c r="E10" i="65"/>
  <c r="E10" i="62"/>
  <c r="D10" i="62"/>
  <c r="C10" i="62"/>
  <c r="E10" i="61"/>
  <c r="E10" i="60"/>
  <c r="D10" i="60"/>
  <c r="C10" i="60"/>
  <c r="C10" i="64"/>
  <c r="C10" i="65"/>
  <c r="C10" i="61"/>
  <c r="D18" i="64" l="1"/>
  <c r="D12" i="65"/>
  <c r="D11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1" i="60"/>
  <c r="E7" i="16" s="1"/>
  <c r="D36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8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35" i="60" s="1"/>
  <c r="F13" i="60"/>
  <c r="F11" i="60"/>
  <c r="F10" i="60"/>
  <c r="F36" i="60" s="1"/>
  <c r="F9" i="60"/>
  <c r="F8" i="60"/>
  <c r="F7" i="60"/>
  <c r="F6" i="60"/>
  <c r="F5" i="60"/>
  <c r="F34" i="60"/>
  <c r="H17" i="60"/>
  <c r="H15" i="60"/>
  <c r="H14" i="60"/>
  <c r="H13" i="60"/>
  <c r="H12" i="60"/>
  <c r="H11" i="60"/>
  <c r="H9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6" i="60" l="1"/>
  <c r="H34" i="60"/>
  <c r="H35" i="60"/>
  <c r="D35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<sst xmlns="http://schemas.openxmlformats.org/spreadsheetml/2006/main" count="1294" uniqueCount="161">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</sst>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277950</v>
      </c>
      <c r="C3" s="9">
        <f>+HojaTICA!K4+HojaNICA!M4+HojaREVENTADO!K4+HojaPrimera!I4+HojaHonduras!K4+HojaDominicana!I4+HojaPANA!G4</f>
        <v>36150</v>
      </c>
      <c r="D3" s="9">
        <f>+HojaTICA!N4+HojaNICA!P4+HojaREVENTADO!O4+HojaPrimera!L4+HojaHonduras!N4+HojaDominicana!L4+HojaPANA!J4</f>
        <v>277500</v>
      </c>
      <c r="F3" s="10">
        <f t="shared" ref="F3:F27" si="0">+B3-C3-D3</f>
        <v>-35700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163900</v>
      </c>
      <c r="C4" s="9">
        <f>+HojaTICA!K5+HojaNICA!M5+HojaREVENTADO!K5+HojaPrimera!I5+HojaHonduras!K5+HojaDominicana!I5+HojaPANA!G5</f>
        <v>21350</v>
      </c>
      <c r="D4" s="9">
        <f>+HojaTICA!N5+HojaNICA!P5+HojaREVENTADO!O5+HojaPrimera!L5+HojaHonduras!N5+HojaDominicana!L5+HojaPANA!J5</f>
        <v>80750</v>
      </c>
      <c r="F4" s="14">
        <f t="shared" si="0"/>
        <v>61800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434350</v>
      </c>
      <c r="C7" s="9">
        <f>+HojaTICA!K8+HojaNICA!M8+HojaREVENTADO!K8+HojaPrimera!I8+HojaHonduras!K8+HojaDominicana!I8+HojaPANA!G8</f>
        <v>52150</v>
      </c>
      <c r="D7" s="9">
        <f>+HojaTICA!N8+HojaNICA!P8+HojaREVENTADO!O8+HojaPrimera!L8+HojaHonduras!N8+HojaDominicana!L8+HojaPANA!J8</f>
        <v>368250</v>
      </c>
      <c r="F7" s="14">
        <f t="shared" si="0"/>
        <v>13950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985150</v>
      </c>
      <c r="C9" s="9">
        <f>+HojaTICA!K10+HojaNICA!M10+HojaREVENTADO!K10+HojaPrimera!I10+HojaHonduras!K10+HojaDominicana!I10+HojaPANA!G10</f>
        <v>116225</v>
      </c>
      <c r="D9" s="9">
        <f>+HojaTICA!N10+HojaNICA!P10+HojaREVENTADO!O10+HojaPrimera!L10+HojaHonduras!N10+HojaDominicana!L10+HojaPANA!J10</f>
        <v>425000</v>
      </c>
      <c r="F9" s="14">
        <f t="shared" si="0"/>
        <v>443925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94250</v>
      </c>
      <c r="C11" s="9">
        <f>+HojaTICA!K12+HojaNICA!M12+HojaREVENTADO!K12+HojaPrimera!I12+HojaHonduras!K12+HojaDominicana!I12+HojaPANA!G12</f>
        <v>11275</v>
      </c>
      <c r="D11" s="9">
        <f>+HojaTICA!N12+HojaNICA!P12+HojaREVENTADO!O12+HojaPrimera!L12+HojaHonduras!N12+HojaDominicana!L12+HojaPANA!J12</f>
        <v>127500</v>
      </c>
      <c r="F11" s="14">
        <f t="shared" si="0"/>
        <v>-44525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137550</v>
      </c>
      <c r="C12" s="9">
        <f>+HojaTICA!K13+HojaNICA!M13+HojaREVENTADO!K13+HojaPrimera!I13+HojaHonduras!K13+HojaDominicana!I13+HojaPANA!G13</f>
        <v>16500</v>
      </c>
      <c r="D12" s="9">
        <f>+HojaTICA!N13+HojaNICA!P13+HojaREVENTADO!O13+HojaPrimera!L13+HojaHonduras!N13+HojaDominicana!L13+HojaPANA!J13</f>
        <v>25500</v>
      </c>
      <c r="F12" s="14">
        <f t="shared" si="0"/>
        <v>95550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126650</v>
      </c>
      <c r="C13" s="9">
        <f>+HojaTICA!K14+HojaNICA!M14+HojaREVENTADO!K14+HojaPrimera!I14+HojaHonduras!K14+HojaDominicana!I14+HojaPANA!G14</f>
        <v>19000</v>
      </c>
      <c r="D13" s="9">
        <f>+HojaTICA!N14+HojaNICA!P14+HojaREVENTADO!O14+HojaPrimera!L14+HojaHonduras!N14+HojaDominicana!L14+HojaPANA!J14</f>
        <v>52000</v>
      </c>
      <c r="F13" s="14">
        <f t="shared" si="0"/>
        <v>55650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161200</v>
      </c>
      <c r="C15" s="9">
        <f>+HojaTICA!K16+HojaNICA!M16+HojaREVENTADO!K16+HojaPrimera!I16+HojaHonduras!K16+HojaDominicana!I16+HojaPANA!G16</f>
        <v>19300</v>
      </c>
      <c r="D15" s="9">
        <f>+HojaTICA!N16+HojaNICA!P16+HojaREVENTADO!O16+HojaPrimera!L16+HojaHonduras!N16+HojaDominicana!L16+HojaPANA!J16</f>
        <v>88000</v>
      </c>
      <c r="F15" s="14">
        <f t="shared" si="0"/>
        <v>53900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187500</v>
      </c>
      <c r="C16" s="9">
        <f>+HojaTICA!K17+HojaNICA!M17+HojaREVENTADO!K17+HojaPrimera!I17+HojaHonduras!K17+HojaDominicana!I17+HojaPANA!G17</f>
        <v>22500</v>
      </c>
      <c r="D16" s="9">
        <f>+HojaTICA!N17+HojaNICA!P17+HojaREVENTADO!O17+HojaPrimera!L17+HojaHonduras!N17+HojaDominicana!L17+HojaPANA!J17</f>
        <v>29750</v>
      </c>
      <c r="F16" s="14">
        <f t="shared" si="0"/>
        <v>135250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116050</v>
      </c>
      <c r="C17" s="9">
        <f>+HojaTICA!K18+HojaNICA!M18+HojaREVENTADO!K18+HojaPrimera!I18+HojaHonduras!K18+HojaDominicana!I18+HojaPANA!G18</f>
        <v>13950</v>
      </c>
      <c r="D17" s="9">
        <f>+HojaTICA!N18+HojaNICA!P18+HojaREVENTADO!O18+HojaPrimera!L18+HojaHonduras!N18+HojaDominicana!L18+HojaPANA!J18</f>
        <v>59500</v>
      </c>
      <c r="F17" s="14">
        <f t="shared" si="0"/>
        <v>42600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2690550</v>
      </c>
      <c r="C28" s="17">
        <f t="shared" si="1"/>
        <v>329100</v>
      </c>
      <c r="D28" s="18">
        <f t="shared" si="1"/>
        <v>1533750</v>
      </c>
      <c r="F28" s="20">
        <f>SUM(F3:F27)</f>
        <v>827700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3" sqref="C13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95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 t="s">
        <v>159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58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78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31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42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93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53</v>
      </c>
      <c r="C19" s="132">
        <v>87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15</v>
      </c>
      <c r="C20" s="162">
        <v>98</v>
      </c>
      <c r="D20" s="165">
        <v>44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160</v>
      </c>
      <c r="C21" s="163">
        <v>16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 t="str">
        <f>DigitaTICA!C2</f>
        <v>07</v>
      </c>
      <c r="D2" s="267"/>
      <c r="E2" s="266">
        <f>DigitaTICA!E2</f>
        <v>78</v>
      </c>
      <c r="F2" s="267"/>
      <c r="G2" s="266">
        <f>DigitaTICA!G2</f>
        <v>42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76000</v>
      </c>
      <c r="D4" s="30">
        <f>IF(Vendedor1!$E$7="",0,Vendedor1!$E$7)</f>
        <v>2500</v>
      </c>
      <c r="E4" s="179">
        <f>IF(Vendedor1!$C$11="",0,Vendedor1!$C$11)</f>
        <v>43500</v>
      </c>
      <c r="F4" s="30">
        <f>IF(Vendedor1!$E$11="",0,Vendedor1!$E$11)</f>
        <v>200</v>
      </c>
      <c r="G4" s="179">
        <f>IF(Vendedor1!$C$15="",0,Vendedor1!$C$15)</f>
        <v>78550</v>
      </c>
      <c r="H4" s="30">
        <f>IF(Vendedor1!$E$15="",0,Vendedor1!$E$15)</f>
        <v>0</v>
      </c>
      <c r="J4" s="42">
        <f t="shared" ref="J4:J7" si="0">+C4+E4+G4</f>
        <v>198050</v>
      </c>
      <c r="K4" s="41">
        <f>MROUND(J4*Vendedor1!J$9,50)</f>
        <v>25750</v>
      </c>
      <c r="L4" s="42">
        <f t="shared" ref="L4:L7" si="1">+D4+F4+H4</f>
        <v>2700</v>
      </c>
      <c r="M4" s="42">
        <f t="shared" ref="M4:M7" si="2">+L4*85</f>
        <v>229500</v>
      </c>
      <c r="N4" s="42">
        <f>Vendedor1!$F$7+Vendedor1!$F$11+Vendedor1!$F$15</f>
        <v>229500</v>
      </c>
      <c r="P4" s="42">
        <f t="shared" ref="P4:P7" si="3">+J4-K4-N4</f>
        <v>-57200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41700</v>
      </c>
      <c r="D5" s="30">
        <f>IF(Vendedor2!$E$7="",0,Vendedor2!$E$7)</f>
        <v>700</v>
      </c>
      <c r="E5" s="179">
        <f>IF(Vendedor2!$C$11="",0,Vendedor2!$C$11)</f>
        <v>33900</v>
      </c>
      <c r="F5" s="30">
        <f>IF(Vendedor2!$E$11="",0,Vendedor2!$E$11)</f>
        <v>0</v>
      </c>
      <c r="G5" s="179">
        <f>IF(Vendedor2!$C$15="",0,Vendedor2!$C$15)</f>
        <v>64300</v>
      </c>
      <c r="H5" s="30">
        <f>IF(Vendedor2!$E$15="",0,Vendedor2!$E$15)</f>
        <v>250</v>
      </c>
      <c r="J5" s="42">
        <f t="shared" si="0"/>
        <v>139900</v>
      </c>
      <c r="K5" s="41">
        <f>MROUND(J5*Vendedor2!J$9,50)</f>
        <v>18200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40950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69050</v>
      </c>
      <c r="D8" s="30">
        <f>IF(Vendedor5!$E$7="",0,Vendedor5!$E$7)</f>
        <v>2950</v>
      </c>
      <c r="E8" s="179">
        <f>IF(Vendedor5!$C$11="",0,Vendedor5!$C$11)</f>
        <v>55100</v>
      </c>
      <c r="F8" s="30">
        <f>IF(Vendedor5!$E$11="",0,Vendedor5!$E$11)</f>
        <v>0</v>
      </c>
      <c r="G8" s="179">
        <f>IF(Vendedor5!$C$15="",0,Vendedor5!$C$15)</f>
        <v>85050</v>
      </c>
      <c r="H8" s="30">
        <f>IF(Vendedor5!$E$15="",0,Vendedor5!$E$15)</f>
        <v>300</v>
      </c>
      <c r="J8" s="42">
        <f t="shared" ref="J8" si="4">+C8+E8+G8</f>
        <v>209200</v>
      </c>
      <c r="K8" s="41">
        <f>MROUND(J8*Vendedor5!J$11,50)</f>
        <v>25100</v>
      </c>
      <c r="L8" s="42">
        <f t="shared" ref="L8" si="5">+D8+F8+H8</f>
        <v>3250</v>
      </c>
      <c r="M8" s="42">
        <f t="shared" ref="M8" si="6">+L8*85</f>
        <v>276250</v>
      </c>
      <c r="N8" s="42">
        <f>Vendedor5!$F$7+Vendedor5!$F$11+Vendedor5!$F$15</f>
        <v>276250</v>
      </c>
      <c r="P8" s="42">
        <f t="shared" ref="P8" si="7">+J8-K8-N8</f>
        <v>-92150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154900</v>
      </c>
      <c r="D10" s="30">
        <f>IF(Vendedor7!$E$7="",0,Vendedor7!$E$7)</f>
        <v>4250</v>
      </c>
      <c r="E10" s="179">
        <f>IF(Vendedor7!$C$11="",0,Vendedor7!$C$11)</f>
        <v>113650</v>
      </c>
      <c r="F10" s="30">
        <f>IF(Vendedor7!$E$11="",0,Vendedor7!$E$11)</f>
        <v>0</v>
      </c>
      <c r="G10" s="179">
        <f>IF(Vendedor7!$C$15="",0,Vendedor7!$C$15)</f>
        <v>165000</v>
      </c>
      <c r="H10" s="30">
        <f>IF(Vendedor7!$E$15="",0,Vendedor7!$E$15)</f>
        <v>200</v>
      </c>
      <c r="J10" s="42">
        <f t="shared" si="8"/>
        <v>433550</v>
      </c>
      <c r="K10" s="41">
        <f>MROUND(J10*Vendedor7!J$14,50)</f>
        <v>52050</v>
      </c>
      <c r="L10" s="42">
        <f t="shared" si="9"/>
        <v>4450</v>
      </c>
      <c r="M10" s="42">
        <f t="shared" si="10"/>
        <v>378250</v>
      </c>
      <c r="N10" s="42">
        <f>Vendedor7!$F$7+Vendedor7!$F$11+Vendedor7!$F$15</f>
        <v>378250</v>
      </c>
      <c r="P10" s="42">
        <f t="shared" si="11"/>
        <v>3250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4000</v>
      </c>
      <c r="H11" s="30">
        <f>IF(Vendedor8!$E$15="",0,Vendedor8!$E$15)</f>
        <v>0</v>
      </c>
      <c r="J11" s="42">
        <f t="shared" si="8"/>
        <v>6000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5300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17350</v>
      </c>
      <c r="D12" s="30">
        <f>IF(Vendedor9!$E$7="",0,Vendedor9!$E$7)</f>
        <v>500</v>
      </c>
      <c r="E12" s="179">
        <f>IF(Vendedor9!$C$11="",0,Vendedor9!$C$11)</f>
        <v>12150</v>
      </c>
      <c r="F12" s="30">
        <f>IF(Vendedor9!$E$11="",0,Vendedor9!$E$11)</f>
        <v>1000</v>
      </c>
      <c r="G12" s="179">
        <f>IF(Vendedor9!$C$15="",0,Vendedor9!$C$15)</f>
        <v>7000</v>
      </c>
      <c r="H12" s="30">
        <f>IF(Vendedor9!$E$15="",0,Vendedor9!$E$15)</f>
        <v>0</v>
      </c>
      <c r="J12" s="42">
        <f t="shared" si="8"/>
        <v>36500</v>
      </c>
      <c r="K12" s="41">
        <f>MROUND(J12*Vendedor9!J$11,50)</f>
        <v>4400</v>
      </c>
      <c r="L12" s="42">
        <f t="shared" si="9"/>
        <v>1500</v>
      </c>
      <c r="M12" s="42">
        <f t="shared" si="10"/>
        <v>127500</v>
      </c>
      <c r="N12" s="42">
        <f>Vendedor9!$F$7+Vendedor9!$F$11+Vendedor9!$F$15</f>
        <v>127500</v>
      </c>
      <c r="P12" s="42">
        <f t="shared" si="11"/>
        <v>-95400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28650</v>
      </c>
      <c r="D13" s="30">
        <f>IF(Vendedor10!$E$7="",0,Vendedor10!$E$7)</f>
        <v>300</v>
      </c>
      <c r="E13" s="179">
        <f>IF(Vendedor10!$C$11="",0,Vendedor10!$C$11)</f>
        <v>13650</v>
      </c>
      <c r="F13" s="30">
        <f>IF(Vendedor10!$E$11="",0,Vendedor10!$E$11)</f>
        <v>0</v>
      </c>
      <c r="G13" s="179">
        <f>IF(Vendedor10!$C$15="",0,Vendedor10!$C$15)</f>
        <v>30500</v>
      </c>
      <c r="H13" s="30">
        <f>IF(Vendedor10!$E$15="",0,Vendedor10!$E$15)</f>
        <v>0</v>
      </c>
      <c r="J13" s="42">
        <f t="shared" si="8"/>
        <v>72800</v>
      </c>
      <c r="K13" s="41">
        <f>MROUND(J13*Vendedor10!J$9,50)</f>
        <v>8750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38550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48650</v>
      </c>
      <c r="D14" s="30">
        <f>IF(Vendedor11!$E$7="",0,Vendedor11!$E$7)</f>
        <v>650</v>
      </c>
      <c r="E14" s="179">
        <f>IF(Vendedor11!$C$11="",0,Vendedor11!$C$11)</f>
        <v>23050</v>
      </c>
      <c r="F14" s="30">
        <f>IF(Vendedor11!$E$11="",0,Vendedor11!$E$11)</f>
        <v>0</v>
      </c>
      <c r="G14" s="179">
        <f>IF(Vendedor11!$C$15="",0,Vendedor11!$C$15)</f>
        <v>54950</v>
      </c>
      <c r="H14" s="30">
        <f>IF(Vendedor11!$E$15="",0,Vendedor11!$E$15)</f>
        <v>0</v>
      </c>
      <c r="J14" s="42">
        <f t="shared" si="8"/>
        <v>126650</v>
      </c>
      <c r="K14" s="41">
        <f>MROUND(J14*Vendedor11!J$9,50)</f>
        <v>19000</v>
      </c>
      <c r="L14" s="42">
        <f t="shared" si="9"/>
        <v>650</v>
      </c>
      <c r="M14" s="42">
        <f t="shared" si="10"/>
        <v>55250</v>
      </c>
      <c r="N14" s="42">
        <f>Vendedor11!$F$7+Vendedor11!$F$11+Vendedor11!$F$15</f>
        <v>52000</v>
      </c>
      <c r="P14" s="42">
        <f t="shared" si="11"/>
        <v>55650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25350</v>
      </c>
      <c r="D16" s="30">
        <f>IF(Vendedor13!$E$7="",0,Vendedor13!$E$7)</f>
        <v>350</v>
      </c>
      <c r="E16" s="179">
        <f>IF(Vendedor13!$C$11="",0,Vendedor13!$C$11)</f>
        <v>24750</v>
      </c>
      <c r="F16" s="30">
        <f>IF(Vendedor13!$E$11="",0,Vendedor13!$E$11)</f>
        <v>0</v>
      </c>
      <c r="G16" s="179">
        <f>IF(Vendedor13!$C$15="",0,Vendedor13!$C$15)</f>
        <v>40250</v>
      </c>
      <c r="H16" s="30">
        <f>IF(Vendedor13!$E$15="",0,Vendedor13!$E$15)</f>
        <v>450</v>
      </c>
      <c r="J16" s="42">
        <f t="shared" si="8"/>
        <v>90350</v>
      </c>
      <c r="K16" s="41">
        <f>MROUND(J16*Vendedor13!J$11,50)</f>
        <v>10850</v>
      </c>
      <c r="L16" s="42">
        <f t="shared" si="9"/>
        <v>800</v>
      </c>
      <c r="M16" s="42">
        <f t="shared" si="10"/>
        <v>68000</v>
      </c>
      <c r="N16" s="42">
        <f>Vendedor13!$F$7+Vendedor13!$F$11+Vendedor13!$F$15</f>
        <v>68000</v>
      </c>
      <c r="P16" s="42">
        <f t="shared" si="11"/>
        <v>11500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463650</v>
      </c>
      <c r="D32" s="44">
        <f t="shared" si="16"/>
        <v>12200</v>
      </c>
      <c r="E32" s="43">
        <f t="shared" si="16"/>
        <v>319750</v>
      </c>
      <c r="F32" s="44">
        <f t="shared" si="16"/>
        <v>1200</v>
      </c>
      <c r="G32" s="43">
        <f t="shared" si="16"/>
        <v>529600</v>
      </c>
      <c r="H32" s="44">
        <f t="shared" si="16"/>
        <v>1200</v>
      </c>
      <c r="J32" s="95">
        <f>SUM(J4:J31)</f>
        <v>1313000</v>
      </c>
      <c r="K32" s="45">
        <f>SUM(K7:K31)</f>
        <v>120850</v>
      </c>
      <c r="L32" s="95">
        <f>SUM(L4:L31)</f>
        <v>14600</v>
      </c>
      <c r="M32" s="95">
        <f>SUM(M4:M31)</f>
        <v>1241000</v>
      </c>
      <c r="N32" s="95">
        <f>SUM(N4:N31)</f>
        <v>1237750</v>
      </c>
      <c r="P32" s="79">
        <f>SUM(P4:P31)</f>
        <v>-89550</v>
      </c>
    </row>
    <row r="33" spans="3:13" x14ac:dyDescent="0.35">
      <c r="D33" s="99">
        <f>+D32*85</f>
        <v>1037000</v>
      </c>
      <c r="F33" s="99">
        <f>+F32*85</f>
        <v>102000</v>
      </c>
      <c r="H33" s="99">
        <f>+H32*85</f>
        <v>102000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1313000</v>
      </c>
      <c r="E36" s="43">
        <f>+D36-J4-J5-J6</f>
        <v>975050</v>
      </c>
      <c r="G36" s="101"/>
    </row>
    <row r="37" spans="3:13" x14ac:dyDescent="0.35">
      <c r="C37" s="47" t="s">
        <v>33</v>
      </c>
      <c r="D37" s="48">
        <f>D36*13%</f>
        <v>170690</v>
      </c>
      <c r="E37">
        <f>+D37-K4-K5-K6</f>
        <v>126740</v>
      </c>
      <c r="G37" s="100"/>
      <c r="H37" s="100"/>
    </row>
    <row r="38" spans="3:13" ht="15" thickBot="1" x14ac:dyDescent="0.4">
      <c r="C38" s="47" t="s">
        <v>30</v>
      </c>
      <c r="D38" s="30">
        <f>M32</f>
        <v>1241000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-98690</v>
      </c>
      <c r="F39" s="98">
        <f>+P32-D39</f>
        <v>9140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-98690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95</v>
      </c>
      <c r="D2" s="267"/>
      <c r="E2" s="266">
        <f>DigitaNICA!E2</f>
        <v>58</v>
      </c>
      <c r="F2" s="267"/>
      <c r="G2" s="266">
        <f>DigitaNICA!G2</f>
        <v>31</v>
      </c>
      <c r="H2" s="267"/>
      <c r="I2" s="266">
        <f>DigitaNICA!I2</f>
        <v>93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53550</v>
      </c>
      <c r="D4" s="78">
        <f>IF(Vendedor1!$E$5="",0,Vendedor1!$E$5)</f>
        <v>200</v>
      </c>
      <c r="E4" s="188">
        <f>IF(Vendedor1!$C$9="",0,Vendedor1!$C$9)</f>
        <v>12400</v>
      </c>
      <c r="F4" s="78">
        <f>IF(Vendedor1!$E$9="",0,Vendedor1!$E$9)</f>
        <v>200</v>
      </c>
      <c r="G4" s="188">
        <f>IF(Vendedor1!$C$13="",0,Vendedor1!$C$13)</f>
        <v>4700</v>
      </c>
      <c r="H4" s="78">
        <f>IF(Vendedor1!$E$13="",0,Vendedor1!$E$13)</f>
        <v>0</v>
      </c>
      <c r="I4" s="188">
        <f>IF(Vendedor1!$C$17="",0,Vendedor1!$C$17)</f>
        <v>2650</v>
      </c>
      <c r="J4" s="78">
        <f>IF(Vendedor1!$E$17="",0,Vendedor1!$E$17)</f>
        <v>0</v>
      </c>
      <c r="L4" s="42">
        <f t="shared" ref="L4:L7" si="0">C4+E4+G4+I4</f>
        <v>73300</v>
      </c>
      <c r="M4" s="41">
        <f>MROUND(L4*Vendedor1!J$10,50)</f>
        <v>9550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29750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9300</v>
      </c>
      <c r="D5" s="30">
        <f>IF(Vendedor2!$E$5="",0,Vendedor2!$E$5)</f>
        <v>0</v>
      </c>
      <c r="E5" s="179">
        <f>IF(Vendedor2!$C$9="",0,Vendedor2!$C$9)</f>
        <v>9000</v>
      </c>
      <c r="F5" s="30">
        <f>IF(Vendedor2!$E$9="",0,Vendedor2!$E$9)</f>
        <v>0</v>
      </c>
      <c r="G5" s="179">
        <f>IF(Vendedor2!$C$13="",0,Vendedor2!$C$13)</f>
        <v>1900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20200</v>
      </c>
      <c r="M5" s="41">
        <f>MROUND(L5*Vendedor2!J$10,50)</f>
        <v>2650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17550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73000</v>
      </c>
      <c r="D8" s="30">
        <f>IF(Vendedor5!$E$5="",0,Vendedor5!$E$5)</f>
        <v>0</v>
      </c>
      <c r="E8" s="179">
        <f>IF(Vendedor5!$C$9="",0,Vendedor5!$C$9)</f>
        <v>51900</v>
      </c>
      <c r="F8" s="30">
        <f>IF(Vendedor5!$E$9="",0,Vendedor5!$E$9)</f>
        <v>450</v>
      </c>
      <c r="G8" s="179">
        <f>IF(Vendedor5!$C$13="",0,Vendedor5!$C$13)</f>
        <v>21150</v>
      </c>
      <c r="H8" s="30">
        <f>IF(Vendedor5!$E$13="",0,Vendedor5!$E$13)</f>
        <v>700</v>
      </c>
      <c r="I8" s="179">
        <f>IF(Vendedor5!$C$17="",0,Vendedor5!$C$17)</f>
        <v>42150</v>
      </c>
      <c r="J8" s="30">
        <f>IF(Vendedor5!$E$17="",0,Vendedor5!$E$17)</f>
        <v>0</v>
      </c>
      <c r="L8" s="42">
        <f t="shared" ref="L8" si="4">C8+E8+G8+I8</f>
        <v>188200</v>
      </c>
      <c r="M8" s="41">
        <f>MROUND(L8*Vendedor5!J$12,50)</f>
        <v>22600</v>
      </c>
      <c r="N8" s="42">
        <f t="shared" ref="N8" si="5">D8+F8+H8+J8</f>
        <v>1150</v>
      </c>
      <c r="O8" s="41">
        <f t="shared" si="3"/>
        <v>97750</v>
      </c>
      <c r="P8" s="42">
        <f>Vendedor5!$F$5+Vendedor5!$F$9+Vendedor5!$F$13+Vendedor5!$F$17</f>
        <v>92000</v>
      </c>
      <c r="Q8">
        <v>17</v>
      </c>
      <c r="R8" s="41">
        <f t="shared" ref="R8" si="6">+L8-M8-O8</f>
        <v>67850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122450</v>
      </c>
      <c r="D10" s="30">
        <f>IF(Vendedor7!$E$5="",0,Vendedor7!$E$5)</f>
        <v>0</v>
      </c>
      <c r="E10" s="179">
        <f>IF(Vendedor7!$C$9="",0,Vendedor7!$C$9)</f>
        <v>75750</v>
      </c>
      <c r="F10" s="30">
        <f>IF(Vendedor7!$E$9="",0,Vendedor7!$E$9)</f>
        <v>50</v>
      </c>
      <c r="G10" s="179">
        <f>IF(Vendedor7!$C$13="",0,Vendedor7!$C$13)</f>
        <v>51000</v>
      </c>
      <c r="H10" s="30">
        <f>IF(Vendedor7!$E$13="",0,Vendedor7!$E$13)</f>
        <v>250</v>
      </c>
      <c r="I10" s="179">
        <f>IF(Vendedor7!$C$17="",0,Vendedor7!$C$17)</f>
        <v>79900</v>
      </c>
      <c r="J10" s="30">
        <f>IF(Vendedor7!$E$17="",0,Vendedor7!$E$17)</f>
        <v>0</v>
      </c>
      <c r="L10" s="42">
        <f t="shared" si="7"/>
        <v>329100</v>
      </c>
      <c r="M10" s="41">
        <f>MROUND(L10*Vendedor7!J$15,50)</f>
        <v>39500</v>
      </c>
      <c r="N10" s="42">
        <f t="shared" ref="N10:N27" si="9">D10+F10+H10+J10</f>
        <v>300</v>
      </c>
      <c r="O10" s="41">
        <f t="shared" si="3"/>
        <v>25500</v>
      </c>
      <c r="P10" s="42">
        <f>Vendedor7!$F$5+Vendedor7!$F$9+Vendedor7!$F$13+Vendedor7!$F$17</f>
        <v>25500</v>
      </c>
      <c r="R10" s="41">
        <f t="shared" si="8"/>
        <v>264100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26000</v>
      </c>
      <c r="D12" s="30">
        <f>IF(Vendedor9!$E$5="",0,Vendedor9!$E$5)</f>
        <v>0</v>
      </c>
      <c r="E12" s="179">
        <f>IF(Vendedor9!$C$9="",0,Vendedor9!$C$9)</f>
        <v>2900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28900</v>
      </c>
      <c r="M12" s="41">
        <f>MROUND(L12*Vendedor9!J$12,50)</f>
        <v>3450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25450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33800</v>
      </c>
      <c r="D13" s="30">
        <f>IF(Vendedor10!$E$5="",0,Vendedor10!$E$5)</f>
        <v>0</v>
      </c>
      <c r="E13" s="179">
        <f>IF(Vendedor10!$C$9="",0,Vendedor10!$C$9)</f>
        <v>20200</v>
      </c>
      <c r="F13" s="30">
        <f>IF(Vendedor10!$E$9="",0,Vendedor10!$E$9)</f>
        <v>0</v>
      </c>
      <c r="G13" s="179">
        <f>IF(Vendedor10!$C$13="",0,Vendedor10!$C$13)</f>
        <v>9450</v>
      </c>
      <c r="H13" s="30">
        <f>IF(Vendedor10!$E$13="",0,Vendedor10!$E$13)</f>
        <v>0</v>
      </c>
      <c r="I13" s="179">
        <f>IF(Vendedor10!$C$17="",0,Vendedor10!$C$17)</f>
        <v>1300</v>
      </c>
      <c r="J13" s="30">
        <f>IF(Vendedor10!$E$17="",0,Vendedor10!$E$17)</f>
        <v>0</v>
      </c>
      <c r="L13" s="42">
        <f t="shared" si="7"/>
        <v>64750</v>
      </c>
      <c r="M13" s="41">
        <f>MROUND(L13*Vendedor10!J$10,50)</f>
        <v>7750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57000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14850</v>
      </c>
      <c r="D16" s="30">
        <f>IF(Vendedor13!$E$5="",0,Vendedor13!$E$5)</f>
        <v>0</v>
      </c>
      <c r="E16" s="179">
        <f>IF(Vendedor13!$C$9="",0,Vendedor13!$C$9)</f>
        <v>9500</v>
      </c>
      <c r="F16" s="30">
        <f>IF(Vendedor13!$E$9="",0,Vendedor13!$E$9)</f>
        <v>150</v>
      </c>
      <c r="G16" s="179">
        <f>IF(Vendedor13!$C$13="",0,Vendedor13!$C$13)</f>
        <v>13150</v>
      </c>
      <c r="H16" s="30">
        <f>IF(Vendedor13!$E$13="",0,Vendedor13!$E$13)</f>
        <v>0</v>
      </c>
      <c r="I16" s="179">
        <f>IF(Vendedor13!$C$17="",0,Vendedor13!$C$17)</f>
        <v>27500</v>
      </c>
      <c r="J16" s="30">
        <f>IF(Vendedor13!$E$17="",0,Vendedor13!$E$17)</f>
        <v>100</v>
      </c>
      <c r="L16" s="42">
        <f t="shared" si="7"/>
        <v>65000</v>
      </c>
      <c r="M16" s="41">
        <f>MROUND(L16*Vendedor13!J$12,50)</f>
        <v>7800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35950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332950</v>
      </c>
      <c r="D32" s="44">
        <f t="shared" si="14"/>
        <v>200</v>
      </c>
      <c r="E32" s="43">
        <f t="shared" si="14"/>
        <v>181650</v>
      </c>
      <c r="F32" s="44">
        <f t="shared" si="14"/>
        <v>850</v>
      </c>
      <c r="G32" s="43">
        <f t="shared" si="14"/>
        <v>101350</v>
      </c>
      <c r="H32" s="44">
        <f t="shared" si="14"/>
        <v>950</v>
      </c>
      <c r="I32" s="43">
        <f t="shared" si="14"/>
        <v>153500</v>
      </c>
      <c r="J32" s="44">
        <f t="shared" si="14"/>
        <v>100</v>
      </c>
      <c r="L32" s="45">
        <f>SUM(L4:L31)</f>
        <v>769450</v>
      </c>
      <c r="M32" s="45">
        <f>SUM(M7:M31)</f>
        <v>81100</v>
      </c>
      <c r="N32" s="95">
        <f>SUM(N4:N31)</f>
        <v>2100</v>
      </c>
      <c r="O32" s="46">
        <f>SUM(O4:O31)</f>
        <v>178500</v>
      </c>
      <c r="P32" s="139">
        <f>SUM(P4:P31)</f>
        <v>169500</v>
      </c>
      <c r="R32" s="79">
        <f>SUM(R4:R31)</f>
        <v>497650</v>
      </c>
    </row>
    <row r="33" spans="3:15" x14ac:dyDescent="0.35">
      <c r="D33" s="120">
        <f>+D32*85</f>
        <v>17000</v>
      </c>
      <c r="F33" s="120">
        <f>+F32*85</f>
        <v>72250</v>
      </c>
      <c r="H33" s="120">
        <f>+H32*85</f>
        <v>80750</v>
      </c>
      <c r="J33" s="120">
        <f>+J32*85</f>
        <v>8500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769450</v>
      </c>
      <c r="E36" s="43">
        <f>+D36-L4-L5-L6</f>
        <v>675950</v>
      </c>
    </row>
    <row r="37" spans="3:15" x14ac:dyDescent="0.35">
      <c r="C37" s="47" t="s">
        <v>33</v>
      </c>
      <c r="D37" s="48">
        <f>D36*13%</f>
        <v>100028.5</v>
      </c>
      <c r="E37">
        <f>+D37-M4-M5-M6</f>
        <v>87828.5</v>
      </c>
    </row>
    <row r="38" spans="3:15" x14ac:dyDescent="0.35">
      <c r="C38" s="47" t="s">
        <v>30</v>
      </c>
      <c r="D38" s="30">
        <f>SUM(O4:O27)</f>
        <v>178500</v>
      </c>
      <c r="G38" s="100"/>
    </row>
    <row r="39" spans="3:15" ht="15" thickBot="1" x14ac:dyDescent="0.4">
      <c r="C39" s="49" t="s">
        <v>4</v>
      </c>
      <c r="D39" s="80">
        <f>+D36-D37-D38</f>
        <v>490921.5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490921.5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07 Blanca</v>
      </c>
      <c r="D2" s="267"/>
      <c r="E2" s="266" t="str">
        <f>IF(E33=0,"",CONCATENATE(PREMIOS!$B11," ",PREMIOS!$B12))</f>
        <v>78 Blanca</v>
      </c>
      <c r="F2" s="267"/>
      <c r="G2" s="266" t="str">
        <f>IF(G33=0,"",CONCATENATE(PREMIOS!$B15," ",PREMIOS!$B16))</f>
        <v>42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40200</v>
      </c>
      <c r="D10" s="30">
        <f>IF(Vendedor7!$E$8="",0,Vendedor7!$E$8)</f>
        <v>1500</v>
      </c>
      <c r="E10" s="179">
        <f>IF(Vendedor7!$C$12="",0,Vendedor7!$C$12)</f>
        <v>24900</v>
      </c>
      <c r="F10" s="30">
        <f>IF(Vendedor7!$E$12="",0,Vendedor7!$E$12)</f>
        <v>0</v>
      </c>
      <c r="G10" s="179">
        <f>IF(Vendedor7!$C$16="",0,Vendedor7!$C$16)</f>
        <v>37150</v>
      </c>
      <c r="H10" s="30">
        <f>IF(Vendedor7!$E$16="",0,Vendedor7!$E$16)</f>
        <v>0</v>
      </c>
      <c r="J10" s="42">
        <f t="shared" si="1"/>
        <v>102250</v>
      </c>
      <c r="K10" s="41">
        <f>J10*Vendedor7!J$16</f>
        <v>10225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92025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1250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1500</v>
      </c>
      <c r="H12" s="30">
        <f>IF(Vendedor9!$E$16="",0,Vendedor9!$E$16)</f>
        <v>0</v>
      </c>
      <c r="J12" s="42">
        <f t="shared" si="1"/>
        <v>2750</v>
      </c>
      <c r="K12" s="41">
        <f>J12*Vendedor9!J$13</f>
        <v>275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2475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500</v>
      </c>
      <c r="D16" s="30">
        <f>IF(Vendedor13!$E$8="",0,Vendedor13!$E$8)</f>
        <v>0</v>
      </c>
      <c r="E16" s="179">
        <f>IF(Vendedor13!$C$12="",0,Vendedor13!$C$12)</f>
        <v>1000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41950</v>
      </c>
      <c r="D33" s="44">
        <f>IF(PREMIOS!E8&lt;&gt;0,SUM(D4:D32),0)</f>
        <v>0</v>
      </c>
      <c r="E33" s="43">
        <f>SUM(E4:E32)</f>
        <v>25900</v>
      </c>
      <c r="F33" s="44">
        <f>IF(PREMIOS!E12&lt;&gt;0,SUM(F4:F32),0)</f>
        <v>0</v>
      </c>
      <c r="G33" s="43">
        <f>SUM(G4:G32)</f>
        <v>38650</v>
      </c>
      <c r="H33" s="44">
        <f>IF(PREMIOS!E16&lt;&gt;0,SUM(H4:H32),0)</f>
        <v>0</v>
      </c>
      <c r="J33" s="45">
        <f>SUM(J4:J32)</f>
        <v>106500</v>
      </c>
      <c r="K33" s="45">
        <f>SUM(K7:K32)</f>
        <v>10650</v>
      </c>
      <c r="L33" s="95">
        <f>SUM(L7:L32)</f>
        <v>0</v>
      </c>
      <c r="M33" s="95">
        <f>SUM(M7:M32)</f>
        <v>1500</v>
      </c>
      <c r="N33" s="95">
        <f>SUM(N4:N27)</f>
        <v>0</v>
      </c>
      <c r="O33" s="95">
        <f>SUM(O4:O27)</f>
        <v>0</v>
      </c>
      <c r="Q33" s="79">
        <f>SUM(Q4:Q32)</f>
        <v>95850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106500</v>
      </c>
      <c r="E37" s="43">
        <f>+D37-J4-J5-J6</f>
        <v>106500</v>
      </c>
      <c r="F37" s="274"/>
      <c r="G37" s="274"/>
    </row>
    <row r="38" spans="3:17" ht="15" thickBot="1" x14ac:dyDescent="0.4">
      <c r="C38" s="47" t="s">
        <v>33</v>
      </c>
      <c r="D38" s="30">
        <f>D37*10%</f>
        <v>10650</v>
      </c>
      <c r="E38" s="43">
        <f>+D38-K4-K5-K6</f>
        <v>10650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95850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95850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53</v>
      </c>
      <c r="D2" s="267"/>
      <c r="E2" s="266">
        <f>DigitaPRIMERA!E2</f>
        <v>87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4900</v>
      </c>
      <c r="D4" s="78">
        <f>IF(Vendedor1!$E$19="",0,Vendedor1!$E$19)</f>
        <v>0</v>
      </c>
      <c r="E4" s="188">
        <f>IF(Vendedor1!$C$20="",0,Vendedor1!$C$20)</f>
        <v>1700</v>
      </c>
      <c r="F4" s="78">
        <f>IF(Vendedor1!$E$20="",0,Vendedor1!$E$20)</f>
        <v>200</v>
      </c>
      <c r="H4" s="42">
        <f>+C4+E4</f>
        <v>6600</v>
      </c>
      <c r="I4" s="41">
        <f>MROUND(H4*Vendedor1!J$9,50)</f>
        <v>850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-10250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1800</v>
      </c>
      <c r="D5" s="30">
        <f>IF(Vendedor2!$E$19="",0,Vendedor2!$E$19)</f>
        <v>0</v>
      </c>
      <c r="E5" s="179">
        <f>IF(Vendedor2!$C$20="",0,Vendedor2!$C$20)</f>
        <v>2000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30600</v>
      </c>
      <c r="D8" s="30">
        <f>IF(Vendedor5!$E$19="",0,Vendedor5!$E$19)</f>
        <v>0</v>
      </c>
      <c r="E8" s="179">
        <f>IF(Vendedor5!$C$20="",0,Vendedor5!$C$20)</f>
        <v>6350</v>
      </c>
      <c r="F8" s="30">
        <f>IF(Vendedor5!$E$20="",0,Vendedor5!$E$20)</f>
        <v>0</v>
      </c>
      <c r="H8" s="133">
        <f t="shared" si="1"/>
        <v>36950</v>
      </c>
      <c r="I8" s="147">
        <f>MROUND(H8*Vendedor5!J$11,50)</f>
        <v>4450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32500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66150</v>
      </c>
      <c r="D10" s="30">
        <f>IF(Vendedor7!$E$19="",0,Vendedor7!$E$19)</f>
        <v>150</v>
      </c>
      <c r="E10" s="179">
        <f>IF(Vendedor7!$C$20="",0,Vendedor7!$C$20)</f>
        <v>26600</v>
      </c>
      <c r="F10" s="30">
        <f>IF(Vendedor7!$E$20="",0,Vendedor7!$E$20)</f>
        <v>100</v>
      </c>
      <c r="H10" s="42">
        <f t="shared" si="1"/>
        <v>92750</v>
      </c>
      <c r="I10" s="41">
        <f>MROUND(H10*Vendedor7!J$14,50)</f>
        <v>11150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60350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26100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26100</v>
      </c>
      <c r="I12" s="147">
        <f>MROUND(H12*Vendedor9!J$11,50)</f>
        <v>3150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22950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4350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4350</v>
      </c>
      <c r="I16" s="147">
        <f>MROUND(H16*Vendedor13!J$11,50)</f>
        <v>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3850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93800</v>
      </c>
      <c r="D17" s="30">
        <f>IF(Vendedor14!$E$19="",0,Vendedor14!$E$19)</f>
        <v>100</v>
      </c>
      <c r="E17" s="179">
        <f>IF(Vendedor14!$C$20="",0,Vendedor14!$C$20)</f>
        <v>15600</v>
      </c>
      <c r="F17" s="30">
        <f>IF(Vendedor14!$E$20="",0,Vendedor14!$E$20)</f>
        <v>200</v>
      </c>
      <c r="H17" s="42">
        <f t="shared" si="1"/>
        <v>109400</v>
      </c>
      <c r="I17" s="41">
        <f>MROUND(H17*Vendedor14!J$15,50)</f>
        <v>13150</v>
      </c>
      <c r="J17" s="42">
        <f t="shared" si="2"/>
        <v>300</v>
      </c>
      <c r="K17" s="42">
        <f t="shared" si="3"/>
        <v>25500</v>
      </c>
      <c r="L17" s="42">
        <f>Vendedor14!$F$19+Vendedor14!$F$20</f>
        <v>25500</v>
      </c>
      <c r="N17" s="42">
        <f t="shared" si="0"/>
        <v>70750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48400</v>
      </c>
      <c r="D18" s="30">
        <f>IF(Vendedor15!$E$19="",0,Vendedor15!$E$19)</f>
        <v>300</v>
      </c>
      <c r="E18" s="179">
        <f>IF(Vendedor15!$C$20="",0,Vendedor15!$C$20)</f>
        <v>45200</v>
      </c>
      <c r="F18" s="30">
        <f>IF(Vendedor15!$E$20="",0,Vendedor15!$E$20)</f>
        <v>400</v>
      </c>
      <c r="H18" s="42">
        <f t="shared" si="1"/>
        <v>93600</v>
      </c>
      <c r="I18" s="41">
        <f>MROUND(H18*Vendedor15!J$15,50)</f>
        <v>11250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22850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276100</v>
      </c>
      <c r="D32" s="44">
        <f>SUM(D4:D31)</f>
        <v>550</v>
      </c>
      <c r="E32" s="43">
        <f>SUM(E4:E31)</f>
        <v>97450</v>
      </c>
      <c r="F32" s="44">
        <f>SUM(F4:F31)</f>
        <v>900</v>
      </c>
      <c r="H32" s="95">
        <f>SUM(H4:H31)</f>
        <v>373550</v>
      </c>
      <c r="I32" s="45">
        <f>SUM(I7:I31)</f>
        <v>43650</v>
      </c>
      <c r="J32" s="95"/>
      <c r="K32" s="95">
        <f>SUM(K4:K31)</f>
        <v>123250</v>
      </c>
      <c r="L32" s="95">
        <f>SUM(L4:L31)</f>
        <v>122250</v>
      </c>
      <c r="N32" s="79">
        <f>SUM(N4:N31)</f>
        <v>206300</v>
      </c>
    </row>
    <row r="33" spans="3:6" x14ac:dyDescent="0.35">
      <c r="D33" s="99">
        <f>+D32*85</f>
        <v>46750</v>
      </c>
      <c r="F33" s="99">
        <f>+F32*85</f>
        <v>76500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373550</v>
      </c>
      <c r="E36" s="43">
        <f>+D36-H4-H5-H6</f>
        <v>363150</v>
      </c>
    </row>
    <row r="37" spans="3:6" x14ac:dyDescent="0.35">
      <c r="C37" s="47" t="s">
        <v>33</v>
      </c>
      <c r="D37" s="48">
        <f>D36*13%</f>
        <v>48561.5</v>
      </c>
      <c r="E37">
        <f>+D37-I4-I5-I6</f>
        <v>47211.5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201738.5</v>
      </c>
      <c r="F39" s="98">
        <f>+N32-D39</f>
        <v>4561.5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201738.5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15</v>
      </c>
      <c r="D2" s="267"/>
      <c r="E2" s="266">
        <f>DigitaHONDURAS!E2</f>
        <v>98</v>
      </c>
      <c r="F2" s="267"/>
      <c r="G2" s="266">
        <f>DigitaHONDURAS!G2</f>
        <v>44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7400</v>
      </c>
      <c r="D10" s="30">
        <f>IF(Vendedor7!$E$21="",0,Vendedor7!$E$21)</f>
        <v>0</v>
      </c>
      <c r="E10" s="179">
        <f>IF(Vendedor7!$C$22="",0,Vendedor7!$C$22)</f>
        <v>4750</v>
      </c>
      <c r="F10" s="30">
        <f>IF(Vendedor7!$E$22="",0,Vendedor7!$E$22)</f>
        <v>0</v>
      </c>
      <c r="G10" s="179">
        <f>IF(Vendedor7!$C$23="",0,Vendedor7!$C$23)</f>
        <v>15350</v>
      </c>
      <c r="H10" s="30">
        <f>IF(Vendedor7!$E$23="",0,Vendedor7!$E$23)</f>
        <v>0</v>
      </c>
      <c r="J10" s="42">
        <f t="shared" si="0"/>
        <v>27500</v>
      </c>
      <c r="K10" s="41">
        <f>MROUND(J10*Vendedor7!J$14,50)</f>
        <v>3300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24200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41350</v>
      </c>
      <c r="D17" s="30">
        <f>IF(Vendedor14!$E$21="",0,Vendedor14!$E$21)</f>
        <v>50</v>
      </c>
      <c r="E17" s="179">
        <f>IF(Vendedor14!$C$22="",0,Vendedor14!$C$22)</f>
        <v>5500</v>
      </c>
      <c r="F17" s="30">
        <f>IF(Vendedor14!$E$22="",0,Vendedor14!$E$22)</f>
        <v>0</v>
      </c>
      <c r="G17" s="179">
        <f>IF(Vendedor14!$C$23="",0,Vendedor14!$C$23)</f>
        <v>31250</v>
      </c>
      <c r="H17" s="30">
        <f>IF(Vendedor14!$E$23="",0,Vendedor14!$E$23)</f>
        <v>0</v>
      </c>
      <c r="J17" s="42">
        <f t="shared" si="0"/>
        <v>78100</v>
      </c>
      <c r="K17" s="41">
        <f>MROUND(J17*Vendedor14!J$15,50)</f>
        <v>9350</v>
      </c>
      <c r="L17" s="42">
        <f t="shared" si="1"/>
        <v>50</v>
      </c>
      <c r="M17" s="42">
        <f t="shared" si="3"/>
        <v>4250</v>
      </c>
      <c r="N17" s="42">
        <f>Vendedor14!$F$21+Vendedor14!$F$22+Vendedor14!$F$23</f>
        <v>4250</v>
      </c>
      <c r="P17" s="42">
        <f t="shared" si="2"/>
        <v>64500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6050</v>
      </c>
      <c r="D18" s="30">
        <f>IF(Vendedor15!$E$21="",0,Vendedor15!$E$21)</f>
        <v>0</v>
      </c>
      <c r="E18" s="179">
        <f>IF(Vendedor15!$C$22="",0,Vendedor15!$C$22)</f>
        <v>16400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22450</v>
      </c>
      <c r="K18" s="41">
        <f>MROUND(J18*Vendedor15!J$15,50)</f>
        <v>2700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19750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54800</v>
      </c>
      <c r="D32" s="44">
        <f t="shared" si="8"/>
        <v>50</v>
      </c>
      <c r="E32" s="43">
        <f t="shared" si="8"/>
        <v>26650</v>
      </c>
      <c r="F32" s="44">
        <f t="shared" si="8"/>
        <v>0</v>
      </c>
      <c r="G32" s="43">
        <f t="shared" si="8"/>
        <v>46600</v>
      </c>
      <c r="H32" s="44">
        <f t="shared" si="8"/>
        <v>0</v>
      </c>
      <c r="J32" s="95">
        <f>SUM(J4:J31)</f>
        <v>128050</v>
      </c>
      <c r="K32" s="45">
        <f>SUM(K7:K31)</f>
        <v>15350</v>
      </c>
      <c r="L32" s="95"/>
      <c r="M32" s="95">
        <f>SUM(M4:M31)</f>
        <v>4250</v>
      </c>
      <c r="N32" s="95">
        <f>SUM(N4:N31)</f>
        <v>4250</v>
      </c>
      <c r="P32" s="79">
        <f>SUM(P4:P31)</f>
        <v>108450</v>
      </c>
    </row>
    <row r="33" spans="3:8" x14ac:dyDescent="0.35">
      <c r="D33" s="99">
        <f>+D32*85</f>
        <v>4250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128050</v>
      </c>
      <c r="E36" s="43">
        <f>+D36-J4-J5-J6</f>
        <v>128050</v>
      </c>
    </row>
    <row r="37" spans="3:8" x14ac:dyDescent="0.35">
      <c r="C37" s="47" t="s">
        <v>33</v>
      </c>
      <c r="D37" s="48">
        <f>D36*13%</f>
        <v>16646.5</v>
      </c>
      <c r="E37">
        <f>+D37-K4-K5-K6</f>
        <v>16646.5</v>
      </c>
    </row>
    <row r="38" spans="3:8" ht="15" thickBot="1" x14ac:dyDescent="0.4">
      <c r="C38" s="47" t="s">
        <v>30</v>
      </c>
      <c r="D38" s="30">
        <f>SUM(M4:M27)</f>
        <v>4250</v>
      </c>
      <c r="G38" s="100"/>
    </row>
    <row r="39" spans="3:8" ht="15" thickBot="1" x14ac:dyDescent="0.4">
      <c r="C39" s="49" t="s">
        <v>4</v>
      </c>
      <c r="D39" s="80">
        <f>+D36-D37-D38</f>
        <v>107153.5</v>
      </c>
      <c r="F39" s="98">
        <f>+P32-D39</f>
        <v>1296.5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107153.5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06</v>
      </c>
      <c r="D2" s="267"/>
      <c r="E2" s="266">
        <f>DigitaDOMINICANA!E2</f>
        <v>16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0</v>
      </c>
      <c r="D10" s="30">
        <f>IF(Vendedor7!$E$24="",0,Vendedor7!$E$24)</f>
        <v>0</v>
      </c>
      <c r="E10" s="179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05-06-2026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675950</v>
      </c>
      <c r="C4" s="156">
        <f>HojaNICA!M32</f>
        <v>81100</v>
      </c>
      <c r="D4" s="149">
        <f>HojaNICA!E37</f>
        <v>87828.5</v>
      </c>
      <c r="E4" s="149">
        <f>HojaNICA!P32</f>
        <v>169500</v>
      </c>
      <c r="F4" s="149">
        <f>HojaNICA!O32</f>
        <v>178500</v>
      </c>
      <c r="G4" s="150">
        <f t="shared" ref="G4:G10" si="0">+D4-C4+F4-E4</f>
        <v>15728.5</v>
      </c>
      <c r="H4" s="21"/>
      <c r="I4" s="181"/>
    </row>
    <row r="5" spans="1:9" x14ac:dyDescent="0.35">
      <c r="A5" s="28" t="s">
        <v>19</v>
      </c>
      <c r="B5" s="155">
        <f>HojaTICA!$E$36</f>
        <v>975050</v>
      </c>
      <c r="C5" s="156">
        <f>HojaTICA!K32</f>
        <v>120850</v>
      </c>
      <c r="D5" s="149">
        <f>HojaTICA!E37</f>
        <v>126740</v>
      </c>
      <c r="E5" s="149">
        <f>HojaTICA!N32</f>
        <v>1237750</v>
      </c>
      <c r="F5" s="149">
        <f>HojaTICA!D38</f>
        <v>1241000</v>
      </c>
      <c r="G5" s="150">
        <f t="shared" si="0"/>
        <v>9140</v>
      </c>
      <c r="H5" s="21"/>
      <c r="I5" s="181"/>
    </row>
    <row r="6" spans="1:9" x14ac:dyDescent="0.35">
      <c r="A6" s="28" t="s">
        <v>125</v>
      </c>
      <c r="B6" s="155">
        <f>HojaREVENTADO!$E$37</f>
        <v>106500</v>
      </c>
      <c r="C6" s="156">
        <f>HojaREVENTADO!K33</f>
        <v>10650</v>
      </c>
      <c r="D6" s="149">
        <f>HojaREVENTADO!E38</f>
        <v>10650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363150</v>
      </c>
      <c r="C7" s="156">
        <f>HojaPrimera!I32</f>
        <v>43650</v>
      </c>
      <c r="D7" s="149">
        <f>HojaPrimera!E37</f>
        <v>47211.5</v>
      </c>
      <c r="E7" s="149">
        <f>HojaPrimera!L32</f>
        <v>122250</v>
      </c>
      <c r="F7" s="149">
        <f>HojaPrimera!K32</f>
        <v>123250</v>
      </c>
      <c r="G7" s="150">
        <f t="shared" si="0"/>
        <v>4561.5</v>
      </c>
      <c r="H7" s="21"/>
      <c r="I7" s="21"/>
    </row>
    <row r="8" spans="1:9" x14ac:dyDescent="0.35">
      <c r="A8" s="28" t="s">
        <v>104</v>
      </c>
      <c r="B8" s="155">
        <f>HojaHonduras!$E$36</f>
        <v>128050</v>
      </c>
      <c r="C8" s="156">
        <f>HojaHonduras!K32</f>
        <v>15350</v>
      </c>
      <c r="D8" s="149">
        <f>HojaHonduras!E37</f>
        <v>16646.5</v>
      </c>
      <c r="E8" s="149">
        <f>HojaHonduras!N32</f>
        <v>4250</v>
      </c>
      <c r="F8" s="149">
        <f>HojaHonduras!M32</f>
        <v>4250</v>
      </c>
      <c r="G8" s="150">
        <f t="shared" si="0"/>
        <v>1296.5</v>
      </c>
      <c r="H8" s="21"/>
      <c r="I8" s="21"/>
    </row>
    <row r="9" spans="1:9" x14ac:dyDescent="0.35">
      <c r="A9" s="28" t="s">
        <v>20</v>
      </c>
      <c r="B9" s="155">
        <f>HojaDominicana!$E$36</f>
        <v>0</v>
      </c>
      <c r="C9" s="156">
        <f>HojaDominicana!I32</f>
        <v>0</v>
      </c>
      <c r="D9" s="149">
        <f>HojaDominicana!E37</f>
        <v>0</v>
      </c>
      <c r="E9" s="149">
        <f>HojaDominicana!L32</f>
        <v>0</v>
      </c>
      <c r="F9" s="149">
        <f>HojaDominicana!K32</f>
        <v>0</v>
      </c>
      <c r="G9" s="150">
        <f t="shared" si="0"/>
        <v>0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2248700</v>
      </c>
      <c r="C11" s="174">
        <f>SUM(C4:C10)</f>
        <v>271600</v>
      </c>
      <c r="D11" s="174">
        <f t="shared" ref="D11:F11" si="1">SUM(D4:D10)</f>
        <v>289076.5</v>
      </c>
      <c r="E11" s="174">
        <f t="shared" si="1"/>
        <v>1533750</v>
      </c>
      <c r="F11" s="174">
        <f t="shared" si="1"/>
        <v>1547000</v>
      </c>
      <c r="G11" s="175">
        <f>SUM(G4:G10)</f>
        <v>30726.5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-4273.5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277950</v>
      </c>
      <c r="E16" s="156">
        <f>+Vendedor1!D21</f>
        <v>36133.5</v>
      </c>
      <c r="F16" s="157">
        <f>IF(D16&lt;&gt;0,15000,0)</f>
        <v>15000</v>
      </c>
      <c r="G16" s="150">
        <f>+E16-F16</f>
        <v>21133.5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163900</v>
      </c>
      <c r="E17" s="156">
        <f>+Vendedor2!D21</f>
        <v>21307</v>
      </c>
      <c r="F17" s="157">
        <f>IF(D17&lt;&gt;0,15000,0)</f>
        <v>15000</v>
      </c>
      <c r="G17" s="150">
        <f>+E17-F17</f>
        <v>6307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441850</v>
      </c>
      <c r="E19" s="158">
        <f>SUM(E16:E18)</f>
        <v>57440.5</v>
      </c>
      <c r="F19" s="159">
        <f>SUM(F16:F18)</f>
        <v>30000</v>
      </c>
      <c r="G19" s="160">
        <f>SUM(G16:G18)</f>
        <v>27440.5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23167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L12" sqref="L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05-06-2026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769450</v>
      </c>
      <c r="C5" s="149">
        <f>HojaNICA!D37</f>
        <v>100028.5</v>
      </c>
      <c r="D5" s="149">
        <f>HojaNICA!D38</f>
        <v>178500</v>
      </c>
      <c r="E5" s="149"/>
      <c r="F5" s="150">
        <f>+B5-C5-D5+E5</f>
        <v>490921.5</v>
      </c>
      <c r="H5" s="248" t="s">
        <v>105</v>
      </c>
      <c r="I5" s="242">
        <f ca="1">TODAY()-1</f>
        <v>46178</v>
      </c>
      <c r="O5" s="119"/>
    </row>
    <row r="6" spans="1:15" ht="15" thickBot="1" x14ac:dyDescent="0.4">
      <c r="A6" s="47" t="s">
        <v>36</v>
      </c>
      <c r="B6" s="149">
        <f>HojaTICA!D36</f>
        <v>1313000</v>
      </c>
      <c r="C6" s="149">
        <f>HojaTICA!D37</f>
        <v>170690</v>
      </c>
      <c r="D6" s="149">
        <f>HojaTICA!D38</f>
        <v>1241000</v>
      </c>
      <c r="E6" s="149"/>
      <c r="F6" s="150">
        <f t="shared" ref="F6:F11" si="0">+B6-C6-D6+E6</f>
        <v>-98690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106500</v>
      </c>
      <c r="C7" s="149">
        <f>HojaREVENTADO!D38</f>
        <v>10650</v>
      </c>
      <c r="D7" s="149">
        <f>HojaREVENTADO!D39</f>
        <v>0</v>
      </c>
      <c r="E7" s="149"/>
      <c r="F7" s="150">
        <f t="shared" si="0"/>
        <v>95850</v>
      </c>
    </row>
    <row r="8" spans="1:15" x14ac:dyDescent="0.35">
      <c r="A8" s="47" t="s">
        <v>96</v>
      </c>
      <c r="B8" s="149">
        <f>HojaPrimera!$D36</f>
        <v>373550</v>
      </c>
      <c r="C8" s="149">
        <f>HojaPrimera!$D37</f>
        <v>48561.5</v>
      </c>
      <c r="D8" s="149">
        <f>HojaPrimera!$D38</f>
        <v>123250</v>
      </c>
      <c r="E8" s="149"/>
      <c r="F8" s="150">
        <f t="shared" si="0"/>
        <v>201738.5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128050</v>
      </c>
      <c r="C9" s="149">
        <f>HojaHonduras!$D37</f>
        <v>16646.5</v>
      </c>
      <c r="D9" s="149">
        <f>HojaHonduras!$D38</f>
        <v>4250</v>
      </c>
      <c r="E9" s="149"/>
      <c r="F9" s="150">
        <f t="shared" si="0"/>
        <v>107153.5</v>
      </c>
      <c r="H9" s="249">
        <f>+K12-K10-H6</f>
        <v>796973.5</v>
      </c>
    </row>
    <row r="10" spans="1:15" ht="15" thickBot="1" x14ac:dyDescent="0.4">
      <c r="A10" s="47" t="s">
        <v>20</v>
      </c>
      <c r="B10" s="149">
        <f>HojaDominicana!$D36</f>
        <v>0</v>
      </c>
      <c r="C10" s="149">
        <f>HojaDominicana!$D37</f>
        <v>0</v>
      </c>
      <c r="D10" s="149">
        <f>HojaDominicana!$D38</f>
        <v>0</v>
      </c>
      <c r="E10" s="149"/>
      <c r="F10" s="150">
        <f t="shared" si="0"/>
        <v>0</v>
      </c>
      <c r="H10" s="153"/>
      <c r="J10" t="s">
        <v>148</v>
      </c>
      <c r="K10" s="251">
        <v>1029787.56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1826761.06</v>
      </c>
    </row>
    <row r="12" spans="1:15" ht="16" thickBot="1" x14ac:dyDescent="0.4">
      <c r="A12" s="143" t="s">
        <v>5</v>
      </c>
      <c r="B12" s="151">
        <f>SUM(B5:B11)</f>
        <v>2690550</v>
      </c>
      <c r="C12" s="151">
        <f>SUM(C5:C11)</f>
        <v>346576.5</v>
      </c>
      <c r="D12" s="151">
        <f>SUM(D5:D11)</f>
        <v>1547000</v>
      </c>
      <c r="E12" s="151"/>
      <c r="F12" s="254">
        <f>SUM(F5:F11)</f>
        <v>796973.5</v>
      </c>
      <c r="H12" s="250">
        <f>K12</f>
        <v>1826761.06</v>
      </c>
      <c r="J12" t="s">
        <v>140</v>
      </c>
      <c r="K12" s="253">
        <f>-4734980.76+1818756.34+2091684.5+2651300.98</f>
        <v>1826761.06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198050</v>
      </c>
      <c r="K4" s="230">
        <f t="shared" ref="K4" si="0">D7+D11+D15</f>
        <v>25746.5</v>
      </c>
      <c r="L4" s="219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IF(DigitaNICA!C4&lt;&gt;"",DigitaNICA!C4,"")</f>
        <v>53550</v>
      </c>
      <c r="D5" s="42">
        <f>IF(C5="",0,C5*J$10)</f>
        <v>6961.5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30588.5</v>
      </c>
      <c r="I5" s="240" t="s">
        <v>37</v>
      </c>
      <c r="J5" s="220">
        <f>SUM(IF(C5="",0,C5),IF(C9="",0,C9),IF(C13="",0,C13),IF(C17="",0,C17))</f>
        <v>73300</v>
      </c>
      <c r="K5" s="224">
        <f t="shared" ref="K5" si="2">D5+D9+D13+D17</f>
        <v>9529</v>
      </c>
      <c r="L5" s="221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6600</v>
      </c>
      <c r="K6" s="227">
        <f>D19+D20</f>
        <v>858</v>
      </c>
      <c r="L6" s="228">
        <f>F19+F20</f>
        <v>16000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IF(DigitaTICA!C4&lt;&gt;"",DigitaTICA!C4,"")</f>
        <v>76000</v>
      </c>
      <c r="D7" s="42">
        <f>IF(C7="",0,C7*J$9)</f>
        <v>9880</v>
      </c>
      <c r="E7" s="29">
        <f>IF(DigitaTICA!D4&lt;&gt;"",DigitaTICA!D4,"")</f>
        <v>2500</v>
      </c>
      <c r="F7" s="42">
        <f>IF(E7="",0,E7*PREMIOS!F7)</f>
        <v>212500</v>
      </c>
      <c r="G7" s="30">
        <f t="shared" si="1"/>
        <v>-146380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58</v>
      </c>
      <c r="C9" s="29">
        <f>IF(DigitaNICA!E4&lt;&gt;"",DigitaNICA!E4,"")</f>
        <v>12400</v>
      </c>
      <c r="D9" s="42">
        <f>IF(C9="",0,C9*J$10)</f>
        <v>1612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-5212</v>
      </c>
      <c r="I9" s="76" t="s">
        <v>36</v>
      </c>
      <c r="J9" s="77">
        <v>0.13</v>
      </c>
      <c r="K9" s="78">
        <f>MROUND(D7+D11+D15,50)</f>
        <v>25750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9550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IF(DigitaTICA!E4&lt;&gt;"",DigitaTICA!E4,"")</f>
        <v>43500</v>
      </c>
      <c r="D11" s="42">
        <f>IF(C11="",0,C11*J$9)</f>
        <v>5655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20845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IF(DigitaNICA!G4&lt;&gt;"",DigitaNICA!G4,"")</f>
        <v>4700</v>
      </c>
      <c r="D13" s="42">
        <f>IF(C13="",0,C13*J$10)</f>
        <v>611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IF(DigitaTICA!G4&lt;&gt;"",DigitaTICA!G4,"")</f>
        <v>78550</v>
      </c>
      <c r="D15" s="42">
        <f>IF(C15="",0,C15*J$9)</f>
        <v>10211.5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68338.5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IF(DigitaNICA!I4&lt;&gt;"",DigitaNICA!I4,"")</f>
        <v>2650</v>
      </c>
      <c r="D17" s="42">
        <f>IF(C17="",0,C17*J$10)</f>
        <v>344.5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2305.5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>
        <f>IF(DigitaPRIMERA!C4&lt;&gt;"",DigitaPRIMERA!C4,"")</f>
        <v>4900</v>
      </c>
      <c r="D19" s="42">
        <f>IF(C19="",0,C19*J$12)</f>
        <v>637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4263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200</v>
      </c>
      <c r="F20" s="42">
        <f>IF(E20="",0,E20*PREMIOS!E19)</f>
        <v>16000</v>
      </c>
      <c r="G20" s="30">
        <f t="shared" ref="G20" si="5">IF(OR(C20="",E20=""),0,C20-D20-F20)</f>
        <v>-14521</v>
      </c>
    </row>
    <row r="21" spans="1:7" ht="15" thickBot="1" x14ac:dyDescent="0.4">
      <c r="A21" s="121" t="s">
        <v>5</v>
      </c>
      <c r="B21" s="128"/>
      <c r="C21" s="122">
        <f>SUM(C5:C20)</f>
        <v>277950</v>
      </c>
      <c r="D21" s="122">
        <f t="shared" ref="D21:G21" si="6">SUM(D5:D20)</f>
        <v>36133.5</v>
      </c>
      <c r="E21" s="122">
        <f t="shared" si="6"/>
        <v>3300</v>
      </c>
      <c r="F21" s="122">
        <f t="shared" si="6"/>
        <v>277500</v>
      </c>
      <c r="G21" s="123">
        <f t="shared" si="6"/>
        <v>-35683.5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139900</v>
      </c>
      <c r="K4" s="230">
        <f t="shared" ref="K4" si="0">D7+D11+D15</f>
        <v>18187</v>
      </c>
      <c r="L4" s="219">
        <f>F7+F11+F15</f>
        <v>80750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IF(DigitaNICA!C5&lt;&gt;"",DigitaNICA!C5,"")</f>
        <v>9300</v>
      </c>
      <c r="D5" s="42">
        <f>IF(C5="",0,C5*J$10)</f>
        <v>1209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8091</v>
      </c>
      <c r="I5" s="240" t="s">
        <v>37</v>
      </c>
      <c r="J5" s="220">
        <f>SUM(IF(C5="",0,C5),IF(C9="",0,C9),IF(C13="",0,C13),IF(C17="",0,C17))</f>
        <v>20200</v>
      </c>
      <c r="K5" s="224">
        <f t="shared" ref="K5" si="2">D5+D9+D13+D17</f>
        <v>2626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3800</v>
      </c>
      <c r="K6" s="227">
        <f>D19+D20</f>
        <v>494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IF(DigitaTICA!C5&lt;&gt;"",DigitaTICA!C5,"")</f>
        <v>41700</v>
      </c>
      <c r="D7" s="42">
        <f>IF(C7="",0,C7*J$9)</f>
        <v>5421</v>
      </c>
      <c r="E7" s="29">
        <f>IF(DigitaTICA!D5&lt;&gt;"",DigitaTICA!D5,"")</f>
        <v>700</v>
      </c>
      <c r="F7" s="42">
        <f>IF(E7="",0,E7*PREMIOS!F7)</f>
        <v>59500</v>
      </c>
      <c r="G7" s="30">
        <f t="shared" si="1"/>
        <v>-23221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58</v>
      </c>
      <c r="C9" s="29">
        <f>IF(DigitaNICA!E5&lt;&gt;"",DigitaNICA!E5,"")</f>
        <v>9000</v>
      </c>
      <c r="D9" s="42">
        <f>IF(C9="",0,C9*J$10)</f>
        <v>1170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7830</v>
      </c>
      <c r="I9" s="60" t="s">
        <v>36</v>
      </c>
      <c r="J9" s="61">
        <v>0.13</v>
      </c>
      <c r="K9" s="62">
        <f>MROUND(D7+D11+D15,50)</f>
        <v>18200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2650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IF(DigitaTICA!E5&lt;&gt;"",DigitaTICA!E5,"")</f>
        <v>33900</v>
      </c>
      <c r="D11" s="42">
        <f>IF(C11="",0,C11*J$9)</f>
        <v>4407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29493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IF(DigitaNICA!G5&lt;&gt;"",DigitaNICA!G5,"")</f>
        <v>1900</v>
      </c>
      <c r="D13" s="42">
        <f>IF(C13="",0,C13*J$10)</f>
        <v>247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IF(DigitaTICA!G5&lt;&gt;"",DigitaTICA!G5,"")</f>
        <v>64300</v>
      </c>
      <c r="D15" s="42">
        <f>IF(C15="",0,C15*J$9)</f>
        <v>8359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34691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>
        <f>IF(DigitaPRIMERA!C5&lt;&gt;"",DigitaPRIMERA!C5,"")</f>
        <v>1800</v>
      </c>
      <c r="D19" s="42">
        <f>IF(C19="",0,C19*J$12)</f>
        <v>234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1566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>
        <f>IF(DigitaPRIMERA!E5&lt;&gt;"",DigitaPRIMERA!E5,"")</f>
        <v>2000</v>
      </c>
      <c r="D20" s="42">
        <f>IF(C20="",0,C20*J$12)</f>
        <v>260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1740</v>
      </c>
    </row>
    <row r="21" spans="1:7" ht="15" thickBot="1" x14ac:dyDescent="0.4">
      <c r="A21" s="67" t="s">
        <v>5</v>
      </c>
      <c r="B21" s="127"/>
      <c r="C21" s="68">
        <f>SUM(C5:C20)</f>
        <v>163900</v>
      </c>
      <c r="D21" s="68">
        <f t="shared" ref="D21:G21" si="4">SUM(D5:D20)</f>
        <v>21307</v>
      </c>
      <c r="E21" s="68">
        <f t="shared" si="4"/>
        <v>950</v>
      </c>
      <c r="F21" s="68">
        <f t="shared" si="4"/>
        <v>80750</v>
      </c>
      <c r="G21" s="88">
        <f t="shared" si="4"/>
        <v>61843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209200</v>
      </c>
      <c r="K4" s="230">
        <f t="shared" ref="K4" si="0">D7+D11+D15</f>
        <v>25104</v>
      </c>
      <c r="L4" s="219">
        <f>F7+F11+F15</f>
        <v>276250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IF(DigitaNICA!C8&lt;&gt;"",DigitaNICA!C8,"")</f>
        <v>73000</v>
      </c>
      <c r="D5" s="42">
        <f>IF(C5="",0,C5*J$12)</f>
        <v>8760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64240</v>
      </c>
      <c r="I5" s="240" t="s">
        <v>37</v>
      </c>
      <c r="J5" s="220">
        <f>SUM(IF(C5="",0,C5),IF(C9="",0,C9),IF(C13="",0,C13),IF(C17="",0,C17))</f>
        <v>188200</v>
      </c>
      <c r="K5" s="224">
        <f t="shared" ref="K5" si="2">D5+D9+D13+D17</f>
        <v>22584</v>
      </c>
      <c r="L5" s="221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IF(DigitaTICA!C8&lt;&gt;"",DigitaTICA!C8,"")</f>
        <v>69050</v>
      </c>
      <c r="D7" s="42">
        <f>IF(C7="",0,C7*J$11)</f>
        <v>8286</v>
      </c>
      <c r="E7" s="29">
        <f>IF(DigitaTICA!D8&lt;&gt;"",DigitaTICA!D8,"")</f>
        <v>2950</v>
      </c>
      <c r="F7" s="42">
        <f>IF(E7="",0,E7*PREMIOS!F7)</f>
        <v>250750</v>
      </c>
      <c r="G7" s="30">
        <f t="shared" si="1"/>
        <v>-189986</v>
      </c>
      <c r="I7" s="241" t="s">
        <v>96</v>
      </c>
      <c r="J7" s="223">
        <f>SUM(IF(C19="",0,C19),IF(C20="",0,C20))</f>
        <v>36950</v>
      </c>
      <c r="K7" s="227">
        <f>+D19+D20</f>
        <v>4434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58</v>
      </c>
      <c r="C9" s="29">
        <f>IF(DigitaNICA!E8&lt;&gt;"",DigitaNICA!E8,"")</f>
        <v>51900</v>
      </c>
      <c r="D9" s="42">
        <f>IF(C9="",0,C9*J$12)</f>
        <v>6228</v>
      </c>
      <c r="E9" s="29">
        <f>IF(DigitaNICA!F8&lt;&gt;"",DigitaNICA!F8,"")</f>
        <v>450</v>
      </c>
      <c r="F9" s="42">
        <f>IF(E9="",0,E9*PREMIOS!E9)</f>
        <v>36000</v>
      </c>
      <c r="G9" s="30">
        <f t="shared" si="1"/>
        <v>9672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IF(DigitaTICA!E8&lt;&gt;"",DigitaTICA!E8,"")</f>
        <v>55100</v>
      </c>
      <c r="D11" s="42">
        <f>IF(C11="",0,C11*J$11)</f>
        <v>6612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48488</v>
      </c>
      <c r="I11" s="60" t="s">
        <v>36</v>
      </c>
      <c r="J11" s="61">
        <v>0.12</v>
      </c>
      <c r="K11" s="62">
        <f>MROUND(D7+D11+D15,50)</f>
        <v>25100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22600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IF(DigitaNICA!G8&lt;&gt;"",DigitaNICA!G8,"")</f>
        <v>21150</v>
      </c>
      <c r="D13" s="42">
        <f>IF(C13="",0,C13*J$12)</f>
        <v>2538</v>
      </c>
      <c r="E13" s="29">
        <f>IF(DigitaNICA!H8&lt;&gt;"",DigitaNICA!H8,"")</f>
        <v>700</v>
      </c>
      <c r="F13" s="42">
        <f>IF(E13="",0,E13*PREMIOS!E13)</f>
        <v>56000</v>
      </c>
      <c r="G13" s="30">
        <f>IF(OR(C13="",E13=""),0,C13-D13-F13)</f>
        <v>-37388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4450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IF(DigitaTICA!G8&lt;&gt;"",DigitaTICA!G8,"")</f>
        <v>85050</v>
      </c>
      <c r="D15" s="42">
        <f>IF(C15="",0,C15*J$11)</f>
        <v>10206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49344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IF(DigitaNICA!I8&lt;&gt;"",DigitaNICA!I8,"")</f>
        <v>42150</v>
      </c>
      <c r="D17" s="42">
        <f>IF(C17="",0,C17*J$12)</f>
        <v>5058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37092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>
        <f>IF(DigitaPRIMERA!C8&lt;&gt;"",DigitaPRIMERA!C8,"")</f>
        <v>30600</v>
      </c>
      <c r="D19" s="42">
        <f>IF(C19="",0,C19*J$14)</f>
        <v>3672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26928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>
        <f>IF(DigitaPRIMERA!E8&lt;&gt;"",DigitaPRIMERA!E8,"")</f>
        <v>6350</v>
      </c>
      <c r="D20" s="42">
        <f>IF(C20="",0,C20*J$14)</f>
        <v>762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5588</v>
      </c>
    </row>
    <row r="21" spans="1:7" ht="15" thickBot="1" x14ac:dyDescent="0.4">
      <c r="A21" s="121" t="s">
        <v>5</v>
      </c>
      <c r="B21" s="128"/>
      <c r="C21" s="122">
        <f>SUM(C5:C20)</f>
        <v>434350</v>
      </c>
      <c r="D21" s="122">
        <f t="shared" ref="D21:G21" si="5">SUM(D5:D20)</f>
        <v>52122</v>
      </c>
      <c r="E21" s="122">
        <f t="shared" si="5"/>
        <v>4400</v>
      </c>
      <c r="F21" s="122">
        <f t="shared" si="5"/>
        <v>368250</v>
      </c>
      <c r="G21" s="123">
        <f t="shared" si="5"/>
        <v>13978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433550</v>
      </c>
      <c r="K4" s="230">
        <f t="shared" ref="K4" si="0">D7+D11+D15</f>
        <v>52026</v>
      </c>
      <c r="L4" s="219">
        <f>F7+F11+F15</f>
        <v>378250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IF(DigitaNICA!C10&lt;&gt;"",DigitaNICA!C10,"")</f>
        <v>122450</v>
      </c>
      <c r="D5" s="42">
        <f>IF(C5="",0,C5*J$15)</f>
        <v>14694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107756</v>
      </c>
      <c r="I5" s="216" t="s">
        <v>37</v>
      </c>
      <c r="J5" s="220">
        <f>SUM(IF(C5="",0,C5),IF(C9="",0,C9),IF(C13="",0,C13),IF(C17="",0,C17))</f>
        <v>329100</v>
      </c>
      <c r="K5" s="224">
        <f t="shared" ref="K5" si="2">D5+D9+D13+D17</f>
        <v>39492</v>
      </c>
      <c r="L5" s="221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102250</v>
      </c>
      <c r="K6" s="225">
        <f t="shared" ref="K6" si="3">+D8+D12+D16</f>
        <v>10225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IF(DigitaTICA!C10&lt;&gt;"",DigitaTICA!C10,"")</f>
        <v>154900</v>
      </c>
      <c r="D7" s="42">
        <f>IF(C7="",0,C7*J$14)</f>
        <v>18588</v>
      </c>
      <c r="E7" s="29">
        <f>IF(DigitaTICA!D10&lt;&gt;"",DigitaTICA!D10,"")</f>
        <v>4250</v>
      </c>
      <c r="F7" s="42">
        <f>IF(E7="",0,E7*PREMIOS!F7)</f>
        <v>361250</v>
      </c>
      <c r="G7" s="30">
        <f t="shared" si="1"/>
        <v>-224938</v>
      </c>
      <c r="I7" s="216" t="s">
        <v>96</v>
      </c>
      <c r="J7" s="222">
        <f>SUM(IF(C19="",0,C19),IF(C20="",0,C20))</f>
        <v>92750</v>
      </c>
      <c r="K7" s="225">
        <f>+D19+D20</f>
        <v>11130</v>
      </c>
      <c r="L7" s="226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40200</v>
      </c>
      <c r="D8" s="42">
        <f>IF(C8="",0,C8*J$16)</f>
        <v>4020</v>
      </c>
      <c r="E8" s="29">
        <f>IF(DigitaREVENTADO!D10&lt;&gt;"",DigitaREVENTADO!D10,"")</f>
        <v>1500</v>
      </c>
      <c r="F8" s="42">
        <f>IF(E8="",0,E8*PREMIOS!F8)</f>
        <v>0</v>
      </c>
      <c r="G8" s="30">
        <f t="shared" si="1"/>
        <v>36180</v>
      </c>
      <c r="I8" s="216" t="s">
        <v>104</v>
      </c>
      <c r="J8" s="222">
        <f>SUM(IF(C21="",0,C21),IF(C22="",0,C22),IF(C23="",0,C23))</f>
        <v>27500</v>
      </c>
      <c r="K8" s="225">
        <f t="shared" ref="K8" si="4">D21+D22+D23</f>
        <v>3300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58</v>
      </c>
      <c r="C9" s="29">
        <f>IF(DigitaNICA!E10&lt;&gt;"",DigitaNICA!E10,"")</f>
        <v>75750</v>
      </c>
      <c r="D9" s="42">
        <f>IF(C9="",0,C9*J$15)</f>
        <v>9090</v>
      </c>
      <c r="E9" s="29">
        <f>IF(DigitaNICA!F10&lt;&gt;"",DigitaNICA!F10,"")</f>
        <v>50</v>
      </c>
      <c r="F9" s="42">
        <f>IF(E9="",0,E9*PREMIOS!F9)</f>
        <v>4250</v>
      </c>
      <c r="G9" s="30">
        <f t="shared" si="1"/>
        <v>62410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IF(DigitaTICA!E10&lt;&gt;"",DigitaTICA!E10,"")</f>
        <v>113650</v>
      </c>
      <c r="D11" s="42">
        <f>IF(C11="",0,C11*J$14)</f>
        <v>13638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100012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24900</v>
      </c>
      <c r="D12" s="42">
        <f>IF(C12="",0,C12*J$16)</f>
        <v>2490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22410</v>
      </c>
    </row>
    <row r="13" spans="1:12" ht="15" thickBot="1" x14ac:dyDescent="0.4">
      <c r="A13" s="28" t="s">
        <v>50</v>
      </c>
      <c r="B13" s="132">
        <f>IF(DigitaNICA!G2&lt;&gt;"",DigitaNICA!G2,"")</f>
        <v>31</v>
      </c>
      <c r="C13" s="29">
        <f>IF(DigitaNICA!G10&lt;&gt;"",DigitaNICA!G10,"")</f>
        <v>51000</v>
      </c>
      <c r="D13" s="42">
        <f>IF(C13="",0,C13*J$15)</f>
        <v>6120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23630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52050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IF(DigitaTICA!G10&lt;&gt;"",DigitaTICA!G10,"")</f>
        <v>165000</v>
      </c>
      <c r="D15" s="42">
        <f>IF(C15="",0,C15*J$14)</f>
        <v>19800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128200</v>
      </c>
      <c r="I15" s="63" t="s">
        <v>37</v>
      </c>
      <c r="J15" s="64">
        <v>0.12</v>
      </c>
      <c r="K15" s="30">
        <f>MROUND(D5+D9+D13+D17,50)</f>
        <v>39500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37150</v>
      </c>
      <c r="D16" s="42">
        <f>IF(C16="",0,C16*J$16)</f>
        <v>3715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33435</v>
      </c>
      <c r="I16" s="63" t="s">
        <v>38</v>
      </c>
      <c r="J16" s="64">
        <v>0.1</v>
      </c>
      <c r="K16" s="30">
        <f>MROUND(D6+D8+D10+D12+D14+D16+D18,50)</f>
        <v>10250</v>
      </c>
    </row>
    <row r="17" spans="1:11" x14ac:dyDescent="0.35">
      <c r="A17" s="28" t="s">
        <v>52</v>
      </c>
      <c r="B17" s="132">
        <f>IF(DigitaNICA!I2&lt;&gt;"",DigitaNICA!I2,"")</f>
        <v>93</v>
      </c>
      <c r="C17" s="29">
        <f>IF(DigitaNICA!I10&lt;&gt;"",DigitaNICA!I10,"")</f>
        <v>79900</v>
      </c>
      <c r="D17" s="42">
        <f>IF(C17="",0,C17*J$15)</f>
        <v>9588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70312</v>
      </c>
      <c r="I17" s="63" t="s">
        <v>96</v>
      </c>
      <c r="J17" s="64">
        <v>0.12</v>
      </c>
      <c r="K17" s="30">
        <f>MROUND(D19+D20,50)</f>
        <v>11150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3300</v>
      </c>
    </row>
    <row r="19" spans="1:11" x14ac:dyDescent="0.35">
      <c r="A19" s="28" t="s">
        <v>97</v>
      </c>
      <c r="B19" s="132">
        <f>IF(DigitaPRIMERA!C2&lt;&gt;"",DigitaPRIMERA!C2,"")</f>
        <v>53</v>
      </c>
      <c r="C19" s="29">
        <f>IF(DigitaPRIMERA!$C$10&lt;&gt;"",DigitaPRIMERA!$C$10,"")</f>
        <v>66150</v>
      </c>
      <c r="D19" s="42">
        <f>IF(C19="",0,C19*J$17)</f>
        <v>7938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45462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87</v>
      </c>
      <c r="C20" s="29">
        <f>IF(DigitaPRIMERA!$E$10&lt;&gt;"",DigitaPRIMERA!$E$10,"")</f>
        <v>26600</v>
      </c>
      <c r="D20" s="42">
        <f>IF(C20="",0,C20*J$17)</f>
        <v>3192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14908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15</v>
      </c>
      <c r="C21" s="29">
        <f>IF(DigitaHONDURAS!$C$10&lt;&gt;"",DigitaHONDURAS!$C$10,"")</f>
        <v>7400</v>
      </c>
      <c r="D21" s="42">
        <f>IF(C21="",0,C21*J$18)</f>
        <v>888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6512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>
        <f>IF(DigitaHONDURAS!$E$10&lt;&gt;"",DigitaHONDURAS!$E$10,"")</f>
        <v>4750</v>
      </c>
      <c r="D22" s="42">
        <f>IF(C22="",0,C22*J$18)</f>
        <v>570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4180</v>
      </c>
    </row>
    <row r="23" spans="1:11" x14ac:dyDescent="0.35">
      <c r="A23" s="28" t="s">
        <v>101</v>
      </c>
      <c r="B23" s="132">
        <f>IF(DigitaHONDURAS!G2&lt;&gt;"",DigitaHONDURAS!G2,"")</f>
        <v>44</v>
      </c>
      <c r="C23" s="29">
        <f>IF(DigitaHONDURAS!$G$10&lt;&gt;"",DigitaHONDURAS!$G$10,"")</f>
        <v>15350</v>
      </c>
      <c r="D23" s="42">
        <f>IF(C23="",0,C23*J$18)</f>
        <v>1842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13508</v>
      </c>
    </row>
    <row r="24" spans="1:11" x14ac:dyDescent="0.35">
      <c r="A24" s="28" t="s">
        <v>107</v>
      </c>
      <c r="B24" s="132" t="str">
        <f>IF(DigitaDOMINICANA!C2&lt;&gt;"",DigitaDOMINICANA!C2,"")</f>
        <v>06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16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985150</v>
      </c>
      <c r="D27" s="68">
        <f t="shared" ref="D27:F27" si="9">SUM(D5:D26)</f>
        <v>116173</v>
      </c>
      <c r="E27" s="68">
        <f t="shared" si="9"/>
        <v>6500</v>
      </c>
      <c r="F27" s="68">
        <f t="shared" si="9"/>
        <v>425000</v>
      </c>
      <c r="G27" s="88">
        <f>SUM(G5:G26)</f>
        <v>443977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6000</v>
      </c>
      <c r="K4" s="230">
        <f t="shared" ref="K4" si="0">D7+D11+D15</f>
        <v>720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6000</v>
      </c>
      <c r="D21" s="122">
        <f t="shared" ref="D21:G21" si="5">SUM(D5:D20)</f>
        <v>720</v>
      </c>
      <c r="E21" s="122">
        <f t="shared" si="5"/>
        <v>0</v>
      </c>
      <c r="F21" s="122">
        <f t="shared" si="5"/>
        <v>0</v>
      </c>
      <c r="G21" s="123">
        <f t="shared" si="5"/>
        <v>5280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36500</v>
      </c>
      <c r="K4" s="230">
        <f>D7+D11+D15</f>
        <v>4380</v>
      </c>
      <c r="L4" s="219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IF(DigitaNICA!C12&lt;&gt;"",DigitaNICA!C12,"")</f>
        <v>26000</v>
      </c>
      <c r="D5" s="42">
        <f>IF(C5="",0,C5*J$12)</f>
        <v>3120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22880</v>
      </c>
      <c r="I5" s="216" t="s">
        <v>37</v>
      </c>
      <c r="J5" s="220">
        <f>SUM(IF(C5="",0,C5),IF(C9="",0,C9),IF(C13="",0,C13),IF(C17="",0,C17))</f>
        <v>28900</v>
      </c>
      <c r="K5" s="224">
        <f t="shared" ref="K5" si="1">D5+D9+D13+D17</f>
        <v>3468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2750</v>
      </c>
      <c r="K6" s="225">
        <f t="shared" ref="K6" si="2">+D8+D12+D16</f>
        <v>275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IF(DigitaTICA!C12&lt;&gt;"",DigitaTICA!C12,"")</f>
        <v>17350</v>
      </c>
      <c r="D7" s="42">
        <f>IF(C7="",0,C7*J$11)</f>
        <v>2082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-27232</v>
      </c>
      <c r="I7" s="216" t="s">
        <v>96</v>
      </c>
      <c r="J7" s="222">
        <f>SUM(IF(C19="",0,C19),IF(C20="",0,C20))</f>
        <v>26100</v>
      </c>
      <c r="K7" s="225">
        <f>+D19+D20</f>
        <v>3132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1250</v>
      </c>
      <c r="D8" s="42">
        <f>IF(C8="",0,C8*J$13)</f>
        <v>125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1125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58</v>
      </c>
      <c r="C9" s="29">
        <f>IF(DigitaNICA!E12&lt;&gt;"",DigitaNICA!E12,"")</f>
        <v>2900</v>
      </c>
      <c r="D9" s="42">
        <f>IF(C9="",0,C9*J$12)</f>
        <v>348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2552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IF(DigitaTICA!E12&lt;&gt;"",DigitaTICA!E12,"")</f>
        <v>12150</v>
      </c>
      <c r="D11" s="42">
        <f>IF(C11="",0,C11*J$11)</f>
        <v>1458</v>
      </c>
      <c r="E11" s="29">
        <f>IF(DigitaTICA!F12&lt;&gt;"",DigitaTICA!F12,"")</f>
        <v>1000</v>
      </c>
      <c r="F11" s="42">
        <f>IF(E11="",0,E11*PREMIOS!F11)</f>
        <v>85000</v>
      </c>
      <c r="G11" s="30">
        <f t="shared" si="0"/>
        <v>-74308</v>
      </c>
      <c r="I11" s="60" t="s">
        <v>36</v>
      </c>
      <c r="J11" s="61">
        <v>0.12</v>
      </c>
      <c r="K11" s="62">
        <f>MROUND(D7+D11+D15,50)</f>
        <v>4400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3450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3150</v>
      </c>
    </row>
    <row r="15" spans="1:12" ht="15" thickBot="1" x14ac:dyDescent="0.4">
      <c r="A15" s="28" t="s">
        <v>61</v>
      </c>
      <c r="B15" s="132">
        <f>IF(DigitaTICA!G2&lt;&gt;"",DigitaTICA!G2,"")</f>
        <v>42</v>
      </c>
      <c r="C15" s="29">
        <f>IF(DigitaTICA!G12&lt;&gt;"",DigitaTICA!G12,"")</f>
        <v>7000</v>
      </c>
      <c r="D15" s="42">
        <f>IF(C15="",0,C15*J$11)</f>
        <v>840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6160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>
        <f>IF(DigitaPRIMERA!$C$12&lt;&gt;"",DigitaPRIMERA!$C$12,"")</f>
        <v>26100</v>
      </c>
      <c r="D19" s="42">
        <f>IF(C19="",0,C19*J$14)</f>
        <v>3132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22968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94250</v>
      </c>
      <c r="D24" s="68">
        <f t="shared" ref="D24:G24" si="4">SUM(D5:D23)</f>
        <v>11255</v>
      </c>
      <c r="E24" s="68">
        <f t="shared" si="4"/>
        <v>1500</v>
      </c>
      <c r="F24" s="68">
        <f t="shared" si="4"/>
        <v>127500</v>
      </c>
      <c r="G24" s="88">
        <f t="shared" si="4"/>
        <v>-44505</v>
      </c>
    </row>
    <row r="27" spans="1:7" x14ac:dyDescent="0.35">
      <c r="G27" s="21">
        <v>108927</v>
      </c>
    </row>
    <row r="28" spans="1:7" x14ac:dyDescent="0.35">
      <c r="G28" s="140">
        <f>+G24+G27</f>
        <v>64422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72800</v>
      </c>
      <c r="K4" s="230">
        <f t="shared" ref="K4" si="0">D7+D11+D15</f>
        <v>8736</v>
      </c>
      <c r="L4" s="219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>
        <f>IF(DigitaNICA!C13&lt;&gt;"",DigitaNICA!C13,"")</f>
        <v>33800</v>
      </c>
      <c r="D5" s="42">
        <f>IF(C5="",0,C5*J$10)</f>
        <v>4056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29744</v>
      </c>
      <c r="I5" s="217" t="s">
        <v>37</v>
      </c>
      <c r="J5" s="231">
        <f>SUM(IF(C5="",0,C5),IF(C9="",0,C9),IF(C13="",0,C13),IF(C17="",0,C17))</f>
        <v>64750</v>
      </c>
      <c r="K5" s="232">
        <f t="shared" ref="K5" si="2">D5+D9+D13+D17</f>
        <v>7770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IF(DigitaTICA!C13&lt;&gt;"",DigitaTICA!C13,"")</f>
        <v>28650</v>
      </c>
      <c r="D7" s="42">
        <f>IF(C7="",0,C7*J$9)</f>
        <v>3438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-288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58</v>
      </c>
      <c r="C9" s="29">
        <f>IF(DigitaNICA!E13&lt;&gt;"",DigitaNICA!E13,"")</f>
        <v>20200</v>
      </c>
      <c r="D9" s="42">
        <f>IF(C9="",0,C9*J$10)</f>
        <v>2424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17776</v>
      </c>
      <c r="I9" s="60" t="s">
        <v>36</v>
      </c>
      <c r="J9" s="61">
        <v>0.12</v>
      </c>
      <c r="K9" s="62">
        <f>MROUND(D7+D11+D15,50)</f>
        <v>8750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7750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IF(DigitaTICA!E13&lt;&gt;"",DigitaTICA!E13,"")</f>
        <v>13650</v>
      </c>
      <c r="D11" s="42">
        <f>IF(C11="",0,C11*J$9)</f>
        <v>1638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12012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IF(DigitaNICA!G13&lt;&gt;"",DigitaNICA!G13,"")</f>
        <v>9450</v>
      </c>
      <c r="D13" s="42">
        <f>IF(C13="",0,C13*J$10)</f>
        <v>1134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8316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IF(DigitaTICA!G13&lt;&gt;"",DigitaTICA!G13,"")</f>
        <v>30500</v>
      </c>
      <c r="D15" s="42">
        <f>IF(C15="",0,C15*J$9)</f>
        <v>3660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26840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IF(DigitaNICA!I13&lt;&gt;"",DigitaNICA!I13,"")</f>
        <v>1300</v>
      </c>
      <c r="D17" s="42">
        <f>IF(C17="",0,C17*J$10)</f>
        <v>156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1144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137550</v>
      </c>
      <c r="D19" s="68">
        <f>MROUND(SUM(D5:D18),50)</f>
        <v>16500</v>
      </c>
      <c r="E19" s="68">
        <f>SUM(E5:E18)</f>
        <v>300</v>
      </c>
      <c r="F19" s="68">
        <f>SUM(F5:F18)</f>
        <v>25500</v>
      </c>
      <c r="G19" s="88">
        <f>SUM(G5:G18)</f>
        <v>95544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126650</v>
      </c>
      <c r="K4" s="235">
        <f t="shared" ref="K4" si="0">D7+D11+D15</f>
        <v>18997.5</v>
      </c>
      <c r="L4" s="236">
        <f>F7+F11+F15</f>
        <v>52000</v>
      </c>
    </row>
    <row r="5" spans="1:12" x14ac:dyDescent="0.35">
      <c r="A5" s="28" t="s">
        <v>43</v>
      </c>
      <c r="B5" s="132">
        <f>IF(DigitaNICA!C2&lt;&gt;"",DigitaNICA!C2,"")</f>
        <v>95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IF(DigitaTICA!C14&lt;&gt;"",DigitaTICA!C14,"")</f>
        <v>48650</v>
      </c>
      <c r="D7" s="42">
        <f>IF(C7="",0,C7*J$9)</f>
        <v>7297.5</v>
      </c>
      <c r="E7" s="29">
        <f>IF(DigitaTICA!D14&lt;&gt;"",DigitaTICA!D14,"")</f>
        <v>650</v>
      </c>
      <c r="F7" s="42">
        <f>IF(E7="",0,E7*PREMIOS!E7)</f>
        <v>52000</v>
      </c>
      <c r="G7" s="30">
        <f t="shared" si="1"/>
        <v>-10647.5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19000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IF(DigitaTICA!E14&lt;&gt;"",DigitaTICA!E14,"")</f>
        <v>23050</v>
      </c>
      <c r="D11" s="42">
        <f>IF(C11="",0,C11*J$9)</f>
        <v>3457.5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19592.5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IF(DigitaTICA!G14&lt;&gt;"",DigitaTICA!G14,"")</f>
        <v>54950</v>
      </c>
      <c r="D15" s="42">
        <f>IF(C15="",0,C15*J$9)</f>
        <v>8242.5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46707.5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126650</v>
      </c>
      <c r="D19" s="68">
        <f>MROUND(SUM(D5:D18),50)</f>
        <v>19000</v>
      </c>
      <c r="E19" s="68">
        <f>SUM(E5:E18)</f>
        <v>650</v>
      </c>
      <c r="F19" s="68">
        <f>SUM(F5:F18)</f>
        <v>52000</v>
      </c>
      <c r="G19" s="88">
        <f>SUM(G5:G18)</f>
        <v>55652.5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90350</v>
      </c>
      <c r="K4" s="230">
        <f>D7+D11+D15</f>
        <v>10842</v>
      </c>
      <c r="L4" s="219">
        <f>F7+F11+F15</f>
        <v>68000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IF(DigitaNICA!C16&lt;&gt;"",DigitaNICA!C16,"")</f>
        <v>14850</v>
      </c>
      <c r="D5" s="42">
        <f>IF(C5="",0,C5*J$12)</f>
        <v>1782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13068</v>
      </c>
      <c r="I5" s="63" t="s">
        <v>37</v>
      </c>
      <c r="J5" s="224">
        <f>SUM(IF(C5="",0,C5),IF(C9="",0,C9),IF(C13="",0,C13),IF(C17="",0,C17))</f>
        <v>65000</v>
      </c>
      <c r="K5" s="224">
        <f t="shared" ref="K5" si="1">D5+D9+D13+D17</f>
        <v>7800</v>
      </c>
      <c r="L5" s="221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1500</v>
      </c>
      <c r="K6" s="225">
        <f t="shared" ref="K6" si="2">+D8+D12+D16</f>
        <v>150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IF(DigitaTICA!C16&lt;&gt;"",DigitaTICA!C16,"")</f>
        <v>25350</v>
      </c>
      <c r="D7" s="42">
        <f>IF(C7="",0,C7*J$11)</f>
        <v>3042</v>
      </c>
      <c r="E7" s="29">
        <f>IF(DigitaTICA!D16&lt;&gt;"",DigitaTICA!D16,"")</f>
        <v>350</v>
      </c>
      <c r="F7" s="133">
        <f>IF(E7="",0,E7*PREMIOS!F7)</f>
        <v>29750</v>
      </c>
      <c r="G7" s="30">
        <f t="shared" si="0"/>
        <v>-7442</v>
      </c>
      <c r="I7" s="63" t="s">
        <v>96</v>
      </c>
      <c r="J7" s="225">
        <f>SUM(IF(C19="",0,C19),IF(C20="",0,C20))</f>
        <v>4350</v>
      </c>
      <c r="K7" s="225">
        <f>+D19+D20</f>
        <v>522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58</v>
      </c>
      <c r="C9" s="29">
        <f>IF(DigitaNICA!E16&lt;&gt;"",DigitaNICA!E16,"")</f>
        <v>9500</v>
      </c>
      <c r="D9" s="42">
        <f>IF(C9="",0,C9*J$12)</f>
        <v>1140</v>
      </c>
      <c r="E9" s="29">
        <f>IF(DigitaNICA!F16&lt;&gt;"",DigitaNICA!F16,"")</f>
        <v>150</v>
      </c>
      <c r="F9" s="133">
        <f>IF(E9="",0,E9*PREMIOS!E9)</f>
        <v>12000</v>
      </c>
      <c r="G9" s="30">
        <f t="shared" si="0"/>
        <v>-3640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IF(DigitaTICA!E16&lt;&gt;"",DigitaTICA!E16,"")</f>
        <v>24750</v>
      </c>
      <c r="D11" s="42">
        <f>IF(C11="",0,C11*J$11)</f>
        <v>2970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21780</v>
      </c>
      <c r="I11" s="76" t="s">
        <v>36</v>
      </c>
      <c r="J11" s="77">
        <v>0.12</v>
      </c>
      <c r="K11" s="78">
        <f>MROUND(D7+D11+D15,50)</f>
        <v>10850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7800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IF(DigitaNICA!G16&lt;&gt;"",DigitaNICA!G16,"")</f>
        <v>13150</v>
      </c>
      <c r="D13" s="42">
        <f>IF(C13="",0,C13*J$12)</f>
        <v>1578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11572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2">
        <f>IF(DigitaTICA!G2&lt;&gt;"",DigitaTICA!G2,"")</f>
        <v>42</v>
      </c>
      <c r="C15" s="29">
        <f>IF(DigitaTICA!G16&lt;&gt;"",DigitaTICA!G16,"")</f>
        <v>40250</v>
      </c>
      <c r="D15" s="42">
        <f>IF(C15="",0,C15*J$11)</f>
        <v>4830</v>
      </c>
      <c r="E15" s="29">
        <f>IF(DigitaTICA!H16&lt;&gt;"",DigitaTICA!H16,"")</f>
        <v>450</v>
      </c>
      <c r="F15" s="133">
        <f>IF(E15="",0,E15*PREMIOS!F15)</f>
        <v>38250</v>
      </c>
      <c r="G15" s="30">
        <f t="shared" si="3"/>
        <v>-2830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IF(DigitaNICA!I16&lt;&gt;"",DigitaNICA!I16,"")</f>
        <v>27500</v>
      </c>
      <c r="D17" s="42">
        <f>IF(C17="",0,C17*J$12)</f>
        <v>3300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16200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53</v>
      </c>
      <c r="C19" s="29">
        <f>IF(DigitaPRIMERA!C16&lt;&gt;"",DigitaPRIMERA!C16,"")</f>
        <v>4350</v>
      </c>
      <c r="D19" s="42">
        <f>IF(C19="",0,C19*J$14)</f>
        <v>522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3828</v>
      </c>
    </row>
    <row r="20" spans="1:7" x14ac:dyDescent="0.35">
      <c r="A20" s="28" t="s">
        <v>98</v>
      </c>
      <c r="B20" s="132">
        <f>IF(DigitaPRIMERA!E2&lt;&gt;"",DigitaPRIMERA!E2,"")</f>
        <v>87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161200</v>
      </c>
      <c r="D24" s="122">
        <f t="shared" ref="D24:G24" si="5">SUM(D5:D23)</f>
        <v>19314</v>
      </c>
      <c r="E24" s="122">
        <f t="shared" si="5"/>
        <v>1050</v>
      </c>
      <c r="F24" s="122">
        <f t="shared" si="5"/>
        <v>88000</v>
      </c>
      <c r="G24" s="123">
        <f t="shared" si="5"/>
        <v>53886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109400</v>
      </c>
      <c r="K7" s="225">
        <f>+D19+D20</f>
        <v>13128</v>
      </c>
      <c r="L7" s="226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78100</v>
      </c>
      <c r="K8" s="225">
        <f t="shared" ref="K8" si="4">D21+D22+D23</f>
        <v>9372</v>
      </c>
      <c r="L8" s="226">
        <f>F21+F22+F23</f>
        <v>4250</v>
      </c>
    </row>
    <row r="9" spans="1:12" x14ac:dyDescent="0.35">
      <c r="A9" s="28" t="s">
        <v>48</v>
      </c>
      <c r="B9" s="132">
        <f>IF(DigitaNICA!E2&lt;&gt;"",DigitaNICA!E2,"")</f>
        <v>58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31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42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13150</v>
      </c>
    </row>
    <row r="19" spans="1:11" x14ac:dyDescent="0.35">
      <c r="A19" s="28" t="s">
        <v>97</v>
      </c>
      <c r="B19" s="132">
        <f>IF(DigitaPRIMERA!C2&lt;&gt;"",DigitaPRIMERA!C2,"")</f>
        <v>53</v>
      </c>
      <c r="C19" s="29">
        <f>IF(DigitaPRIMERA!$C$17&lt;&gt;"",DigitaPRIMERA!$C$17,"")</f>
        <v>93800</v>
      </c>
      <c r="D19" s="42">
        <f>IF(C19="",0,C19*J$18)</f>
        <v>11256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74044</v>
      </c>
      <c r="I19" s="63" t="s">
        <v>104</v>
      </c>
      <c r="J19" s="64">
        <v>0.12</v>
      </c>
      <c r="K19" s="30">
        <f>MROUND(D21+D22+D23,50)</f>
        <v>9350</v>
      </c>
    </row>
    <row r="20" spans="1:11" x14ac:dyDescent="0.35">
      <c r="A20" s="28" t="s">
        <v>98</v>
      </c>
      <c r="B20" s="132">
        <f>IF(DigitaPRIMERA!E2&lt;&gt;"",DigitaPRIMERA!E2,"")</f>
        <v>87</v>
      </c>
      <c r="C20" s="29">
        <f>IF(DigitaPRIMERA!$E$17&lt;&gt;"",DigitaPRIMERA!$E$17,"")</f>
        <v>15600</v>
      </c>
      <c r="D20" s="42">
        <f>IF(C20="",0,C20*J$18)</f>
        <v>1872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-3272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15</v>
      </c>
      <c r="C21" s="29">
        <f>IF(DigitaHONDURAS!$C$17&lt;&gt;"",DigitaHONDURAS!$C$17,"")</f>
        <v>41350</v>
      </c>
      <c r="D21" s="42">
        <f>IF(C21="",0,C21*J$19)</f>
        <v>4962</v>
      </c>
      <c r="E21" s="29">
        <f>IF(DigitaHONDURAS!$D$17&lt;&gt;"",DigitaHONDURAS!$D$17,"")</f>
        <v>50</v>
      </c>
      <c r="F21" s="42">
        <f>IF(E21="",0,E21*PREMIOS!F20)</f>
        <v>4250</v>
      </c>
      <c r="G21" s="30">
        <f t="shared" si="6"/>
        <v>32138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>
        <f>IF(DigitaHONDURAS!$E$17&lt;&gt;"",DigitaHONDURAS!$E$17,"")</f>
        <v>5500</v>
      </c>
      <c r="D22" s="42">
        <f>IF(C22="",0,C22*J$19)</f>
        <v>660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4840</v>
      </c>
    </row>
    <row r="23" spans="1:11" x14ac:dyDescent="0.35">
      <c r="A23" s="28" t="s">
        <v>101</v>
      </c>
      <c r="B23" s="132">
        <f>IF(DigitaHONDURAS!G2&lt;&gt;"",DigitaHONDURAS!G2,"")</f>
        <v>44</v>
      </c>
      <c r="C23" s="29">
        <f>IF(DigitaHONDURAS!$G$17&lt;&gt;"",DigitaHONDURAS!$G$17,"")</f>
        <v>31250</v>
      </c>
      <c r="D23" s="42">
        <f>IF(C23="",0,C23*J$19)</f>
        <v>3750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27500</v>
      </c>
    </row>
    <row r="24" spans="1:11" x14ac:dyDescent="0.35">
      <c r="A24" s="28" t="s">
        <v>102</v>
      </c>
      <c r="B24" s="132" t="str">
        <f>IF(DigitaDOMINICANA!C2&lt;&gt;"",DigitaDOMINICANA!C2,"")</f>
        <v>06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187500</v>
      </c>
      <c r="D27" s="68">
        <f t="shared" ref="D27:G27" si="7">SUM(D5:D26)</f>
        <v>22500</v>
      </c>
      <c r="E27" s="68">
        <f t="shared" si="7"/>
        <v>350</v>
      </c>
      <c r="F27" s="68">
        <f t="shared" si="7"/>
        <v>29750</v>
      </c>
      <c r="G27" s="88">
        <f t="shared" si="7"/>
        <v>135250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95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93600</v>
      </c>
      <c r="K7" s="225">
        <f>+D19+D20</f>
        <v>11232</v>
      </c>
      <c r="L7" s="226">
        <f>+F19+F20</f>
        <v>59500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22450</v>
      </c>
      <c r="K8" s="225">
        <f t="shared" ref="K8" si="4">D21+D22+D23</f>
        <v>2694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31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42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11250</v>
      </c>
    </row>
    <row r="19" spans="1:11" x14ac:dyDescent="0.35">
      <c r="A19" s="28" t="s">
        <v>97</v>
      </c>
      <c r="B19" s="132">
        <f>IF(DigitaPRIMERA!C2&lt;&gt;"",DigitaPRIMERA!C2,"")</f>
        <v>53</v>
      </c>
      <c r="C19" s="29">
        <f>IF(DigitaPRIMERA!$C$18&lt;&gt;"",DigitaPRIMERA!$C$18,"")</f>
        <v>48400</v>
      </c>
      <c r="D19" s="42">
        <f>IF(C19="",0,C19*J$18)</f>
        <v>5808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17092</v>
      </c>
      <c r="I19" s="63" t="s">
        <v>104</v>
      </c>
      <c r="J19" s="64">
        <v>0.12</v>
      </c>
      <c r="K19" s="30">
        <f>MROUND(D21+D22+D23,50)</f>
        <v>2700</v>
      </c>
    </row>
    <row r="20" spans="1:11" x14ac:dyDescent="0.35">
      <c r="A20" s="28" t="s">
        <v>98</v>
      </c>
      <c r="B20" s="132">
        <f>IF(DigitaPRIMERA!E2&lt;&gt;"",DigitaPRIMERA!E2,"")</f>
        <v>87</v>
      </c>
      <c r="C20" s="29">
        <f>IF(DigitaPRIMERA!$E$18&lt;&gt;"",DigitaPRIMERA!$E$18,"")</f>
        <v>45200</v>
      </c>
      <c r="D20" s="42">
        <f>IF(C20="",0,C20*J$18)</f>
        <v>5424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5776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15</v>
      </c>
      <c r="C21" s="29">
        <f>IF(DigitaHONDURAS!$C$18&lt;&gt;"",DigitaHONDURAS!$C$18,"")</f>
        <v>6050</v>
      </c>
      <c r="D21" s="42">
        <f>IF(C21="",0,C21*J$19)</f>
        <v>726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5324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>
        <f>IF(DigitaHONDURAS!$E$18&lt;&gt;"",DigitaHONDURAS!$E$18,"")</f>
        <v>16400</v>
      </c>
      <c r="D22" s="42">
        <f>IF(C22="",0,C22*J$19)</f>
        <v>1968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14432</v>
      </c>
    </row>
    <row r="23" spans="1:11" x14ac:dyDescent="0.35">
      <c r="A23" s="28" t="s">
        <v>101</v>
      </c>
      <c r="B23" s="132">
        <f>IF(DigitaHONDURAS!G2&lt;&gt;"",DigitaHONDURAS!G2,"")</f>
        <v>44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116050</v>
      </c>
      <c r="D27" s="68">
        <f t="shared" ref="D27:G27" si="7">SUM(D5:D26)</f>
        <v>13926</v>
      </c>
      <c r="E27" s="68">
        <f t="shared" si="7"/>
        <v>700</v>
      </c>
      <c r="F27" s="68">
        <f t="shared" si="7"/>
        <v>59500</v>
      </c>
      <c r="G27" s="88">
        <f t="shared" si="7"/>
        <v>42624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58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G17" sqref="G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IF(PREMIOS!$B7="","",PREMIOS!$B7)</f>
        <v>07</v>
      </c>
      <c r="D2" s="267"/>
      <c r="E2" s="266">
        <f>IF(PREMIOS!$B11="","",PREMIOS!$B11)</f>
        <v>78</v>
      </c>
      <c r="F2" s="267"/>
      <c r="G2" s="266">
        <f>IF(PREMIOS!$B15="","",PREMIOS!$B15)</f>
        <v>42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76000</v>
      </c>
      <c r="D4" s="78">
        <v>2500</v>
      </c>
      <c r="E4" s="188">
        <v>43500</v>
      </c>
      <c r="F4" s="78">
        <v>200</v>
      </c>
      <c r="G4" s="188">
        <v>78550</v>
      </c>
      <c r="H4" s="78">
        <f t="shared" ref="D4:H27" si="0">IF(G4="","",0)</f>
        <v>0</v>
      </c>
      <c r="J4" s="42">
        <f t="shared" ref="J4:J8" si="1">+C4+E4+G4</f>
        <v>198050</v>
      </c>
      <c r="K4" s="42">
        <f>IF(D4="",0,IF(F4="",D4,IF(H4="",D4+F4,D4+F4+H4)))</f>
        <v>2700</v>
      </c>
    </row>
    <row r="5" spans="1:11" x14ac:dyDescent="0.35">
      <c r="A5" s="47">
        <v>2</v>
      </c>
      <c r="B5" s="177" t="str">
        <f>Vendedor2!$B$2</f>
        <v>PUESTO 2</v>
      </c>
      <c r="C5" s="179">
        <v>41700</v>
      </c>
      <c r="D5" s="30">
        <v>700</v>
      </c>
      <c r="E5" s="179">
        <v>33900</v>
      </c>
      <c r="F5" s="30">
        <f t="shared" si="0"/>
        <v>0</v>
      </c>
      <c r="G5" s="179">
        <v>64300</v>
      </c>
      <c r="H5" s="30">
        <v>250</v>
      </c>
      <c r="J5" s="42">
        <f t="shared" si="1"/>
        <v>139900</v>
      </c>
      <c r="K5" s="42">
        <f t="shared" ref="K5:K27" si="2">IF(D5="",0,IF(F5="",D5,IF(H5="",D5+F5,D5+F5+H5)))</f>
        <v>950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69050</v>
      </c>
      <c r="D8" s="30">
        <v>2950</v>
      </c>
      <c r="E8" s="179">
        <v>55100</v>
      </c>
      <c r="F8" s="30">
        <f t="shared" si="0"/>
        <v>0</v>
      </c>
      <c r="G8" s="179">
        <v>85050</v>
      </c>
      <c r="H8" s="30">
        <v>300</v>
      </c>
      <c r="J8" s="42">
        <f t="shared" si="1"/>
        <v>209200</v>
      </c>
      <c r="K8" s="42">
        <f t="shared" si="2"/>
        <v>3250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69650+85250</f>
        <v>154900</v>
      </c>
      <c r="D10" s="30">
        <f>1900+2350</f>
        <v>4250</v>
      </c>
      <c r="E10" s="179">
        <f>38000+75650</f>
        <v>113650</v>
      </c>
      <c r="F10" s="30">
        <f t="shared" si="0"/>
        <v>0</v>
      </c>
      <c r="G10" s="179">
        <f>66550+98450</f>
        <v>165000</v>
      </c>
      <c r="H10" s="30">
        <v>200</v>
      </c>
      <c r="J10" s="42">
        <f t="shared" si="3"/>
        <v>433550</v>
      </c>
      <c r="K10" s="42">
        <f t="shared" si="2"/>
        <v>4450</v>
      </c>
    </row>
    <row r="11" spans="1:11" x14ac:dyDescent="0.35">
      <c r="A11" s="47">
        <v>8</v>
      </c>
      <c r="B11" s="177" t="str">
        <f>Vendedor8!$B$2</f>
        <v>ISA</v>
      </c>
      <c r="C11" s="179">
        <v>2000</v>
      </c>
      <c r="D11" s="30">
        <f t="shared" si="0"/>
        <v>0</v>
      </c>
      <c r="E11" s="179"/>
      <c r="F11" s="30" t="str">
        <f t="shared" si="0"/>
        <v/>
      </c>
      <c r="G11" s="179">
        <v>4000</v>
      </c>
      <c r="H11" s="30">
        <f t="shared" si="0"/>
        <v>0</v>
      </c>
      <c r="J11" s="42">
        <f t="shared" si="3"/>
        <v>6000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17350</v>
      </c>
      <c r="D12" s="30">
        <v>500</v>
      </c>
      <c r="E12" s="179">
        <v>12150</v>
      </c>
      <c r="F12" s="30">
        <v>1000</v>
      </c>
      <c r="G12" s="179">
        <v>7000</v>
      </c>
      <c r="H12" s="30">
        <f t="shared" si="0"/>
        <v>0</v>
      </c>
      <c r="J12" s="42">
        <f t="shared" si="3"/>
        <v>36500</v>
      </c>
      <c r="K12" s="42">
        <f t="shared" si="2"/>
        <v>1500</v>
      </c>
    </row>
    <row r="13" spans="1:11" x14ac:dyDescent="0.35">
      <c r="A13" s="47">
        <v>10</v>
      </c>
      <c r="B13" s="177" t="str">
        <f>Vendedor10!$B$2</f>
        <v>MARIALIZ</v>
      </c>
      <c r="C13" s="179">
        <v>28650</v>
      </c>
      <c r="D13" s="30">
        <v>300</v>
      </c>
      <c r="E13" s="179">
        <v>13650</v>
      </c>
      <c r="F13" s="30">
        <f t="shared" si="0"/>
        <v>0</v>
      </c>
      <c r="G13" s="179">
        <v>30500</v>
      </c>
      <c r="H13" s="30">
        <f t="shared" si="0"/>
        <v>0</v>
      </c>
      <c r="J13" s="42">
        <f t="shared" si="3"/>
        <v>72800</v>
      </c>
      <c r="K13" s="42">
        <f t="shared" si="2"/>
        <v>300</v>
      </c>
    </row>
    <row r="14" spans="1:11" x14ac:dyDescent="0.35">
      <c r="A14" s="47">
        <v>11</v>
      </c>
      <c r="B14" s="177" t="str">
        <f>Vendedor11!$B$2</f>
        <v>CHARLY</v>
      </c>
      <c r="C14" s="179">
        <v>48650</v>
      </c>
      <c r="D14" s="30">
        <v>650</v>
      </c>
      <c r="E14" s="179">
        <v>23050</v>
      </c>
      <c r="F14" s="30">
        <f t="shared" si="0"/>
        <v>0</v>
      </c>
      <c r="G14" s="179">
        <v>54950</v>
      </c>
      <c r="H14" s="30">
        <f t="shared" si="0"/>
        <v>0</v>
      </c>
      <c r="J14" s="42">
        <f t="shared" si="3"/>
        <v>126650</v>
      </c>
      <c r="K14" s="42">
        <f t="shared" si="2"/>
        <v>650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25350</v>
      </c>
      <c r="D16" s="30">
        <v>350</v>
      </c>
      <c r="E16" s="179">
        <v>24750</v>
      </c>
      <c r="F16" s="30">
        <f t="shared" si="0"/>
        <v>0</v>
      </c>
      <c r="G16" s="179">
        <v>40250</v>
      </c>
      <c r="H16" s="30">
        <v>450</v>
      </c>
      <c r="J16" s="42">
        <f t="shared" si="3"/>
        <v>90350</v>
      </c>
      <c r="K16" s="42">
        <f t="shared" si="2"/>
        <v>800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463650</v>
      </c>
      <c r="D32" s="44">
        <f t="shared" si="6"/>
        <v>12200</v>
      </c>
      <c r="E32" s="43">
        <f t="shared" si="6"/>
        <v>319750</v>
      </c>
      <c r="F32" s="44">
        <f t="shared" si="6"/>
        <v>1200</v>
      </c>
      <c r="G32" s="43">
        <f t="shared" si="6"/>
        <v>529600</v>
      </c>
      <c r="H32" s="44">
        <f t="shared" si="6"/>
        <v>1200</v>
      </c>
      <c r="J32" s="95">
        <f>SUM(J4:J31)</f>
        <v>1313000</v>
      </c>
      <c r="K32" s="95"/>
    </row>
    <row r="33" spans="2:8" x14ac:dyDescent="0.35">
      <c r="D33" s="99">
        <f>+D32*85</f>
        <v>1037000</v>
      </c>
      <c r="F33" s="99">
        <f>+F32*85</f>
        <v>102000</v>
      </c>
      <c r="H33" s="99">
        <f>+H32*85</f>
        <v>102000</v>
      </c>
    </row>
    <row r="34" spans="2:8" x14ac:dyDescent="0.35">
      <c r="B34" s="246" t="s">
        <v>149</v>
      </c>
      <c r="C34" s="43">
        <f t="shared" ref="C34:H34" si="7">+C4+C5+C6+C8+C13</f>
        <v>215400</v>
      </c>
      <c r="D34" s="43" t="e">
        <f t="shared" si="7"/>
        <v>#VALUE!</v>
      </c>
      <c r="E34" s="43">
        <f t="shared" si="7"/>
        <v>146150</v>
      </c>
      <c r="F34" s="43" t="e">
        <f t="shared" si="7"/>
        <v>#VALUE!</v>
      </c>
      <c r="G34" s="43">
        <f t="shared" si="7"/>
        <v>258400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50650</v>
      </c>
      <c r="D35" s="43" t="e">
        <f t="shared" ref="D35:H35" si="8">+D11+D14+D15+D17+D18</f>
        <v>#VALUE!</v>
      </c>
      <c r="E35" s="43">
        <f t="shared" si="8"/>
        <v>23050</v>
      </c>
      <c r="F35" s="43" t="e">
        <f t="shared" si="8"/>
        <v>#VALUE!</v>
      </c>
      <c r="G35" s="43">
        <f t="shared" si="8"/>
        <v>58950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172250</v>
      </c>
      <c r="D36" s="43" t="e">
        <f t="shared" ref="D36:H36" si="9">+D10+D12+D27</f>
        <v>#VALUE!</v>
      </c>
      <c r="E36" s="43">
        <f t="shared" si="9"/>
        <v>125800</v>
      </c>
      <c r="F36" s="43" t="e">
        <f t="shared" si="9"/>
        <v>#VALUE!</v>
      </c>
      <c r="G36" s="43">
        <f t="shared" si="9"/>
        <v>172000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95</v>
      </c>
      <c r="D2" s="267"/>
      <c r="E2" s="266">
        <f>IF(PREMIOS!$B9="","",PREMIOS!$B9)</f>
        <v>58</v>
      </c>
      <c r="F2" s="267"/>
      <c r="G2" s="266">
        <f>IF(PREMIOS!$B13="","",PREMIOS!$B13)</f>
        <v>31</v>
      </c>
      <c r="H2" s="267"/>
      <c r="I2" s="266">
        <f>IF(PREMIOS!$B17="","",PREMIOS!$B17)</f>
        <v>93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53550</v>
      </c>
      <c r="D4" s="78">
        <v>200</v>
      </c>
      <c r="E4" s="205">
        <v>12400</v>
      </c>
      <c r="F4" s="78">
        <v>200</v>
      </c>
      <c r="G4" s="188">
        <v>4700</v>
      </c>
      <c r="H4" s="78">
        <f t="shared" ref="H4:H27" si="0">IF(G4="","",0)</f>
        <v>0</v>
      </c>
      <c r="I4" s="188">
        <v>2650</v>
      </c>
      <c r="J4" s="78">
        <f t="shared" ref="D4:J27" si="1">IF(I4="","",0)</f>
        <v>0</v>
      </c>
      <c r="L4" s="42">
        <f t="shared" ref="L4:L8" si="2">+C4+E4+G4+I4</f>
        <v>73300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7" t="str">
        <f>Vendedor2!$B$2</f>
        <v>PUESTO 2</v>
      </c>
      <c r="C5" s="179">
        <v>9300</v>
      </c>
      <c r="D5" s="30">
        <f t="shared" si="1"/>
        <v>0</v>
      </c>
      <c r="E5" s="206">
        <v>9000</v>
      </c>
      <c r="F5" s="30">
        <f t="shared" si="1"/>
        <v>0</v>
      </c>
      <c r="G5" s="179">
        <v>1900</v>
      </c>
      <c r="H5" s="30">
        <f t="shared" si="0"/>
        <v>0</v>
      </c>
      <c r="I5" s="179"/>
      <c r="J5" s="30" t="str">
        <f t="shared" ref="J5:J27" si="3">IF(I5="","",0)</f>
        <v/>
      </c>
      <c r="L5" s="42">
        <f t="shared" si="2"/>
        <v>20200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206"/>
      <c r="F6" s="30" t="str">
        <f t="shared" si="1"/>
        <v/>
      </c>
      <c r="G6" s="179"/>
      <c r="H6" s="30" t="str">
        <f t="shared" si="0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206"/>
      <c r="F7" s="30" t="str">
        <f t="shared" si="1"/>
        <v/>
      </c>
      <c r="G7" s="179"/>
      <c r="H7" s="30" t="str">
        <f t="shared" si="0"/>
        <v/>
      </c>
      <c r="I7" s="179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73000</v>
      </c>
      <c r="D8" s="30">
        <f t="shared" si="1"/>
        <v>0</v>
      </c>
      <c r="E8" s="206">
        <v>51900</v>
      </c>
      <c r="F8" s="30">
        <v>450</v>
      </c>
      <c r="G8" s="179">
        <v>21150</v>
      </c>
      <c r="H8" s="30">
        <v>700</v>
      </c>
      <c r="I8" s="179">
        <v>42150</v>
      </c>
      <c r="J8" s="30">
        <f t="shared" si="1"/>
        <v>0</v>
      </c>
      <c r="L8" s="42">
        <f t="shared" si="2"/>
        <v>188200</v>
      </c>
      <c r="M8" s="42">
        <f t="shared" si="4"/>
        <v>0</v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1"/>
        <v/>
      </c>
      <c r="E9" s="206"/>
      <c r="F9" s="30" t="str">
        <f t="shared" si="1"/>
        <v/>
      </c>
      <c r="G9" s="179"/>
      <c r="H9" s="30" t="str">
        <f t="shared" si="0"/>
        <v/>
      </c>
      <c r="I9" s="179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48050+74400</f>
        <v>122450</v>
      </c>
      <c r="D10" s="30">
        <f t="shared" si="1"/>
        <v>0</v>
      </c>
      <c r="E10" s="206">
        <f>37550+38200</f>
        <v>75750</v>
      </c>
      <c r="F10" s="30">
        <v>50</v>
      </c>
      <c r="G10" s="179">
        <f>26950+24050</f>
        <v>51000</v>
      </c>
      <c r="H10" s="30">
        <v>250</v>
      </c>
      <c r="I10" s="179">
        <f>48450+31450</f>
        <v>79900</v>
      </c>
      <c r="J10" s="30">
        <f t="shared" si="1"/>
        <v>0</v>
      </c>
      <c r="L10" s="42">
        <f t="shared" si="5"/>
        <v>329100</v>
      </c>
      <c r="M10" s="42">
        <f t="shared" si="4"/>
        <v>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1"/>
        <v/>
      </c>
      <c r="E11" s="206"/>
      <c r="F11" s="30" t="str">
        <f t="shared" si="1"/>
        <v/>
      </c>
      <c r="G11" s="179"/>
      <c r="H11" s="30" t="str">
        <f t="shared" si="1"/>
        <v/>
      </c>
      <c r="I11" s="179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26000</v>
      </c>
      <c r="D12" s="30">
        <f t="shared" si="1"/>
        <v>0</v>
      </c>
      <c r="E12" s="206">
        <v>2900</v>
      </c>
      <c r="F12" s="30">
        <f t="shared" si="1"/>
        <v>0</v>
      </c>
      <c r="G12" s="179"/>
      <c r="H12" s="30" t="str">
        <f t="shared" si="1"/>
        <v/>
      </c>
      <c r="I12" s="179"/>
      <c r="J12" s="30" t="str">
        <f t="shared" si="1"/>
        <v/>
      </c>
      <c r="L12" s="42">
        <f t="shared" si="5"/>
        <v>28900</v>
      </c>
      <c r="M12" s="42">
        <f t="shared" si="4"/>
        <v>0</v>
      </c>
    </row>
    <row r="13" spans="1:13" x14ac:dyDescent="0.35">
      <c r="A13" s="47">
        <v>10</v>
      </c>
      <c r="B13" s="177" t="str">
        <f>Vendedor10!$B$2</f>
        <v>MARIALIZ</v>
      </c>
      <c r="C13" s="179">
        <v>33800</v>
      </c>
      <c r="D13" s="30">
        <f t="shared" si="1"/>
        <v>0</v>
      </c>
      <c r="E13" s="206">
        <v>20200</v>
      </c>
      <c r="F13" s="30">
        <f t="shared" si="1"/>
        <v>0</v>
      </c>
      <c r="G13" s="179">
        <v>9450</v>
      </c>
      <c r="H13" s="30">
        <f t="shared" si="1"/>
        <v>0</v>
      </c>
      <c r="I13" s="179">
        <v>1300</v>
      </c>
      <c r="J13" s="30">
        <f t="shared" si="1"/>
        <v>0</v>
      </c>
      <c r="L13" s="42">
        <f t="shared" si="5"/>
        <v>64750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1"/>
        <v/>
      </c>
      <c r="E14" s="207"/>
      <c r="F14" s="184" t="str">
        <f t="shared" si="1"/>
        <v/>
      </c>
      <c r="G14" s="183"/>
      <c r="H14" s="184" t="str">
        <f t="shared" si="1"/>
        <v/>
      </c>
      <c r="I14" s="183"/>
      <c r="J14" s="184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206"/>
      <c r="F15" s="30" t="str">
        <f t="shared" si="1"/>
        <v/>
      </c>
      <c r="G15" s="179"/>
      <c r="H15" s="30" t="str">
        <f t="shared" si="1"/>
        <v/>
      </c>
      <c r="I15" s="179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14850</v>
      </c>
      <c r="D16" s="30">
        <f t="shared" si="1"/>
        <v>0</v>
      </c>
      <c r="E16" s="206">
        <v>9500</v>
      </c>
      <c r="F16" s="30">
        <v>150</v>
      </c>
      <c r="G16" s="179">
        <v>13150</v>
      </c>
      <c r="H16" s="30">
        <f t="shared" si="1"/>
        <v>0</v>
      </c>
      <c r="I16" s="179">
        <v>27500</v>
      </c>
      <c r="J16" s="30">
        <v>100</v>
      </c>
      <c r="L16" s="42">
        <f t="shared" si="5"/>
        <v>65000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206"/>
      <c r="F17" s="30" t="str">
        <f t="shared" si="1"/>
        <v/>
      </c>
      <c r="G17" s="179"/>
      <c r="H17" s="30" t="str">
        <f t="shared" si="1"/>
        <v/>
      </c>
      <c r="I17" s="179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206"/>
      <c r="F18" s="30" t="str">
        <f t="shared" si="1"/>
        <v/>
      </c>
      <c r="G18" s="179"/>
      <c r="H18" s="30" t="str">
        <f t="shared" si="1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206"/>
      <c r="F19" s="30" t="str">
        <f t="shared" si="1"/>
        <v/>
      </c>
      <c r="G19" s="179"/>
      <c r="H19" s="30" t="str">
        <f t="shared" si="0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206"/>
      <c r="F20" s="30" t="str">
        <f t="shared" si="1"/>
        <v/>
      </c>
      <c r="G20" s="179"/>
      <c r="H20" s="30" t="str">
        <f t="shared" si="0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206"/>
      <c r="F21" s="30" t="str">
        <f t="shared" si="1"/>
        <v/>
      </c>
      <c r="G21" s="179"/>
      <c r="H21" s="30" t="str">
        <f t="shared" si="0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206"/>
      <c r="F22" s="30" t="str">
        <f t="shared" si="1"/>
        <v/>
      </c>
      <c r="G22" s="179"/>
      <c r="H22" s="30" t="str">
        <f t="shared" si="0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206"/>
      <c r="F23" s="30" t="str">
        <f t="shared" si="1"/>
        <v/>
      </c>
      <c r="G23" s="179"/>
      <c r="H23" s="30" t="str">
        <f t="shared" si="0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206"/>
      <c r="F24" s="30" t="str">
        <f t="shared" si="1"/>
        <v/>
      </c>
      <c r="G24" s="179"/>
      <c r="H24" s="30" t="str">
        <f t="shared" si="0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206"/>
      <c r="F25" s="30" t="str">
        <f t="shared" si="1"/>
        <v/>
      </c>
      <c r="G25" s="179"/>
      <c r="H25" s="30" t="str">
        <f t="shared" si="0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206"/>
      <c r="F26" s="30" t="str">
        <f t="shared" si="1"/>
        <v/>
      </c>
      <c r="G26" s="179"/>
      <c r="H26" s="30" t="str">
        <f t="shared" si="0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208"/>
      <c r="F27" s="50"/>
      <c r="G27" s="180"/>
      <c r="H27" s="50" t="str">
        <f t="shared" si="0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332950</v>
      </c>
      <c r="D32" s="44">
        <f t="shared" si="7"/>
        <v>200</v>
      </c>
      <c r="E32" s="43">
        <f t="shared" si="7"/>
        <v>181650</v>
      </c>
      <c r="F32" s="44">
        <f t="shared" si="7"/>
        <v>850</v>
      </c>
      <c r="G32" s="43">
        <f t="shared" si="7"/>
        <v>101350</v>
      </c>
      <c r="H32" s="44">
        <f t="shared" si="7"/>
        <v>950</v>
      </c>
      <c r="I32" s="43">
        <f t="shared" si="7"/>
        <v>153500</v>
      </c>
      <c r="J32" s="44">
        <f t="shared" si="7"/>
        <v>100</v>
      </c>
      <c r="L32" s="95">
        <f>SUM(L9:L31)</f>
        <v>487750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07 Blanca</v>
      </c>
      <c r="D2" s="267"/>
      <c r="E2" s="266" t="str">
        <f>IF(E33=0,"",CONCATENATE(PREMIOS!$B11," ",PREMIOS!$B12))</f>
        <v>78 Blanca</v>
      </c>
      <c r="F2" s="267"/>
      <c r="G2" s="266" t="str">
        <f>IF(G33=0,"",CONCATENATE(PREMIOS!$B15," ",PREMIOS!$B16))</f>
        <v>42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31950+8250</f>
        <v>40200</v>
      </c>
      <c r="D10" s="30">
        <f>1500+0</f>
        <v>1500</v>
      </c>
      <c r="E10" s="179">
        <f>17600+7300</f>
        <v>24900</v>
      </c>
      <c r="F10" s="30">
        <f t="shared" si="0"/>
        <v>0</v>
      </c>
      <c r="G10" s="179">
        <f>26300+10850</f>
        <v>37150</v>
      </c>
      <c r="H10" s="30">
        <f t="shared" si="0"/>
        <v>0</v>
      </c>
      <c r="J10" s="42">
        <f t="shared" si="3"/>
        <v>102250</v>
      </c>
      <c r="K10" s="42">
        <f t="shared" si="4"/>
        <v>1500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1250</v>
      </c>
      <c r="D12" s="30">
        <f t="shared" si="0"/>
        <v>0</v>
      </c>
      <c r="E12" s="179"/>
      <c r="F12" s="30" t="str">
        <f t="shared" si="1"/>
        <v/>
      </c>
      <c r="G12" s="179">
        <v>1500</v>
      </c>
      <c r="H12" s="30">
        <f t="shared" si="0"/>
        <v>0</v>
      </c>
      <c r="J12" s="42">
        <f t="shared" si="3"/>
        <v>2750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500</v>
      </c>
      <c r="D16" s="194">
        <f t="shared" si="0"/>
        <v>0</v>
      </c>
      <c r="E16" s="193">
        <v>1000</v>
      </c>
      <c r="F16" s="194">
        <f t="shared" si="1"/>
        <v>0</v>
      </c>
      <c r="G16" s="193"/>
      <c r="H16" s="194" t="str">
        <f t="shared" si="0"/>
        <v/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41950</v>
      </c>
      <c r="D33" s="44">
        <f t="shared" si="7"/>
        <v>1500</v>
      </c>
      <c r="E33" s="43">
        <f t="shared" si="7"/>
        <v>25900</v>
      </c>
      <c r="F33" s="44">
        <f t="shared" si="7"/>
        <v>0</v>
      </c>
      <c r="G33" s="43">
        <f t="shared" si="7"/>
        <v>38650</v>
      </c>
      <c r="H33" s="44">
        <f t="shared" si="7"/>
        <v>0</v>
      </c>
      <c r="J33" s="45">
        <f>SUM(J4:J32)</f>
        <v>106500</v>
      </c>
      <c r="K33" s="95">
        <f>SUM(K4:K32)</f>
        <v>1500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7" sqref="E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53</v>
      </c>
      <c r="D2" s="267"/>
      <c r="E2" s="266">
        <f>IF(PREMIOS!$C19="","",PREMIOS!$C19)</f>
        <v>87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4900</v>
      </c>
      <c r="D4" s="78">
        <f t="shared" ref="D4:F27" si="0">IF(C4="","",0)</f>
        <v>0</v>
      </c>
      <c r="E4" s="188">
        <v>1700</v>
      </c>
      <c r="F4" s="78">
        <v>200</v>
      </c>
      <c r="H4" s="42">
        <f>+C4+E4</f>
        <v>6600</v>
      </c>
      <c r="I4" s="42">
        <f>IF(D4="",0,IF(F4="",D4,D4+F4))</f>
        <v>200</v>
      </c>
    </row>
    <row r="5" spans="1:9" x14ac:dyDescent="0.35">
      <c r="A5" s="47">
        <v>2</v>
      </c>
      <c r="B5" s="177" t="str">
        <f>Vendedor2!$B$2</f>
        <v>PUESTO 2</v>
      </c>
      <c r="C5" s="179">
        <v>1800</v>
      </c>
      <c r="D5" s="30">
        <f t="shared" si="0"/>
        <v>0</v>
      </c>
      <c r="E5" s="179">
        <v>2000</v>
      </c>
      <c r="F5" s="30">
        <f t="shared" ref="F5:F27" si="1">IF(E5="","",0)</f>
        <v>0</v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30600</v>
      </c>
      <c r="D8" s="30">
        <f t="shared" si="0"/>
        <v>0</v>
      </c>
      <c r="E8" s="193">
        <v>6350</v>
      </c>
      <c r="F8" s="194">
        <f t="shared" si="1"/>
        <v>0</v>
      </c>
      <c r="H8" s="42">
        <f t="shared" si="2"/>
        <v>36950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17000+49150</f>
        <v>66150</v>
      </c>
      <c r="D10" s="30">
        <v>150</v>
      </c>
      <c r="E10" s="179">
        <f>18000+8600</f>
        <v>26600</v>
      </c>
      <c r="F10" s="194">
        <v>100</v>
      </c>
      <c r="H10" s="42">
        <f t="shared" si="2"/>
        <v>92750</v>
      </c>
      <c r="I10" s="42">
        <f t="shared" si="3"/>
        <v>250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26100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26100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4350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4350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93800</v>
      </c>
      <c r="D17" s="194">
        <v>100</v>
      </c>
      <c r="E17" s="179">
        <v>15600</v>
      </c>
      <c r="F17" s="30">
        <v>200</v>
      </c>
      <c r="H17" s="42">
        <f t="shared" si="2"/>
        <v>109400</v>
      </c>
      <c r="I17" s="42">
        <f t="shared" si="3"/>
        <v>300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48400</v>
      </c>
      <c r="D18" s="194">
        <v>300</v>
      </c>
      <c r="E18" s="179">
        <v>45200</v>
      </c>
      <c r="F18" s="30">
        <v>400</v>
      </c>
      <c r="H18" s="42">
        <f t="shared" si="2"/>
        <v>93600</v>
      </c>
      <c r="I18" s="42">
        <f t="shared" si="3"/>
        <v>700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276100</v>
      </c>
      <c r="D33" s="44">
        <f>SUM(D4:D32)</f>
        <v>550</v>
      </c>
      <c r="E33" s="43">
        <f>SUM(E4:E32)</f>
        <v>97450</v>
      </c>
      <c r="F33" s="44">
        <f>SUM(F4:F32)</f>
        <v>900</v>
      </c>
      <c r="H33" s="95">
        <f>SUM(H4:H32)</f>
        <v>373550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15</v>
      </c>
      <c r="D2" s="267"/>
      <c r="E2" s="266">
        <f>IF(PREMIOS!$C20="","",PREMIOS!$C20)</f>
        <v>98</v>
      </c>
      <c r="F2" s="267"/>
      <c r="G2" s="266">
        <f>IF(PREMIOS!$D20="","",PREMIOS!$D20)</f>
        <v>44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1500+5900</f>
        <v>7400</v>
      </c>
      <c r="D10" s="194">
        <f t="shared" si="0"/>
        <v>0</v>
      </c>
      <c r="E10" s="179">
        <v>4750</v>
      </c>
      <c r="F10" s="30">
        <f t="shared" si="0"/>
        <v>0</v>
      </c>
      <c r="G10" s="179">
        <f>3250+12100</f>
        <v>15350</v>
      </c>
      <c r="H10" s="194">
        <f t="shared" si="0"/>
        <v>0</v>
      </c>
      <c r="J10" s="42">
        <f t="shared" si="3"/>
        <v>27500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41350</v>
      </c>
      <c r="D17" s="194">
        <v>50</v>
      </c>
      <c r="E17" s="193">
        <v>5500</v>
      </c>
      <c r="F17" s="194">
        <f t="shared" si="0"/>
        <v>0</v>
      </c>
      <c r="G17" s="193">
        <v>31250</v>
      </c>
      <c r="H17" s="194">
        <f t="shared" si="2"/>
        <v>0</v>
      </c>
      <c r="J17" s="42">
        <f t="shared" si="3"/>
        <v>78100</v>
      </c>
      <c r="K17" s="42">
        <f t="shared" si="4"/>
        <v>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6050</v>
      </c>
      <c r="D18" s="194">
        <f t="shared" si="0"/>
        <v>0</v>
      </c>
      <c r="E18" s="179">
        <v>16400</v>
      </c>
      <c r="F18" s="30">
        <f t="shared" si="1"/>
        <v>0</v>
      </c>
      <c r="G18" s="179"/>
      <c r="H18" s="30" t="str">
        <f t="shared" si="2"/>
        <v/>
      </c>
      <c r="J18" s="42">
        <f t="shared" si="3"/>
        <v>22450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54800</v>
      </c>
      <c r="D33" s="44">
        <f t="shared" si="6"/>
        <v>50</v>
      </c>
      <c r="E33" s="43">
        <f t="shared" si="6"/>
        <v>26650</v>
      </c>
      <c r="F33" s="44">
        <f t="shared" si="6"/>
        <v>0</v>
      </c>
      <c r="G33" s="43">
        <f t="shared" si="6"/>
        <v>46600</v>
      </c>
      <c r="H33" s="44">
        <f t="shared" si="6"/>
        <v>0</v>
      </c>
      <c r="J33" s="45">
        <f>SUM(J4:J32)</f>
        <v>128050</v>
      </c>
      <c r="K33" s="95">
        <f>SUM(K4:K32)</f>
        <v>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06</v>
      </c>
      <c r="D2" s="267"/>
      <c r="E2" s="266">
        <f>IF(PREMIOS!$C21="","",PREMIOS!$C21)</f>
        <v>16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  <c r="E10" s="179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2026-06-06T23:05:25Z</dcterms:modified>
  <dc:language>es-CR</dc:language>
</cp:coreProperties>
</file>
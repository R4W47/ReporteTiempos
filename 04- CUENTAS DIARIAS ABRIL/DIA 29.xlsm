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58" documentId="11_935345E7B4BBFA08BB3D23354633F59E1CC47613" xr6:coauthVersionLast="47" xr6:coauthVersionMax="47" xr10:uidLastSave="{E1B70D5B-7FD0-4728-9636-A36BE2724E9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B2" i="7" l="1"/>
  <c r="B2" i="6"/>
  <c r="B2" i="15"/>
  <c r="B2" i="14"/>
  <c r="B2" i="16"/>
  <c r="B2" i="21"/>
  <c r="K12" i="69" l="1"/>
  <c r="K7" i="69"/>
  <c r="H10" i="62"/>
  <c r="G10" i="62"/>
  <c r="I10" i="61"/>
  <c r="G10" i="61"/>
  <c r="H17" i="60"/>
  <c r="G17" i="60"/>
  <c r="H10" i="60"/>
  <c r="G10" i="60"/>
  <c r="H18" i="60"/>
  <c r="G18" i="60"/>
  <c r="E10" i="62"/>
  <c r="D10" i="62"/>
  <c r="C10" i="62"/>
  <c r="E10" i="61"/>
  <c r="C10" i="61"/>
  <c r="F10" i="60"/>
  <c r="E10" i="60"/>
  <c r="D10" i="60"/>
  <c r="C10" i="60"/>
  <c r="F17" i="60"/>
  <c r="E17" i="60"/>
  <c r="E18" i="60"/>
  <c r="D17" i="60"/>
  <c r="C17" i="60"/>
  <c r="C18" i="60"/>
  <c r="C10" i="64" l="1"/>
  <c r="C10" i="65"/>
  <c r="D18" i="65" l="1"/>
  <c r="D11" i="65"/>
  <c r="D10" i="65"/>
  <c r="D10" i="61"/>
  <c r="D9" i="61"/>
  <c r="D8" i="61"/>
  <c r="C23" i="15"/>
  <c r="D23" i="15" s="1"/>
  <c r="C22" i="15"/>
  <c r="E16" i="71" s="1"/>
  <c r="C21" i="15"/>
  <c r="C16" i="71" s="1"/>
  <c r="H16" i="64"/>
  <c r="E23" i="15" s="1"/>
  <c r="D16" i="64"/>
  <c r="E21" i="15" s="1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13" i="60"/>
  <c r="D11" i="60"/>
  <c r="D36" i="60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6" i="61"/>
  <c r="D6" i="60"/>
  <c r="F18" i="60"/>
  <c r="F16" i="60"/>
  <c r="F15" i="60"/>
  <c r="F13" i="60"/>
  <c r="F11" i="60"/>
  <c r="F35" i="60" s="1"/>
  <c r="F9" i="60"/>
  <c r="F8" i="60"/>
  <c r="F7" i="60"/>
  <c r="F6" i="60"/>
  <c r="H15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D35" i="60"/>
  <c r="E7" i="16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J24" i="72" s="1"/>
  <c r="K24" i="72" s="1"/>
  <c r="E24" i="72"/>
  <c r="D24" i="72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M5" i="6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1" i="64"/>
  <c r="E33" i="66"/>
  <c r="L20" i="71"/>
  <c r="M20" i="71" s="1"/>
  <c r="J30" i="71"/>
  <c r="K30" i="71" s="1"/>
  <c r="I15" i="72"/>
  <c r="N15" i="72" s="1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K20" i="19"/>
  <c r="K9" i="19"/>
  <c r="J29" i="64"/>
  <c r="H24" i="70"/>
  <c r="J7" i="19"/>
  <c r="F25" i="19"/>
  <c r="L9" i="19" s="1"/>
  <c r="F18" i="72"/>
  <c r="J26" i="71"/>
  <c r="L29" i="71"/>
  <c r="M29" i="71" s="1"/>
  <c r="H20" i="72"/>
  <c r="H21" i="72"/>
  <c r="L28" i="71"/>
  <c r="M28" i="71" s="1"/>
  <c r="J21" i="70"/>
  <c r="K21" i="70" s="1"/>
  <c r="F16" i="71"/>
  <c r="L16" i="71" s="1"/>
  <c r="M16" i="71" s="1"/>
  <c r="F22" i="15"/>
  <c r="L8" i="15" s="1"/>
  <c r="G22" i="15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K20" i="21"/>
  <c r="K10" i="21"/>
  <c r="L27" i="70"/>
  <c r="K21" i="19"/>
  <c r="K10" i="19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L5" i="23"/>
  <c r="C24" i="15"/>
  <c r="M24" i="52"/>
  <c r="L4" i="23"/>
  <c r="M26" i="52"/>
  <c r="J5" i="23"/>
  <c r="M23" i="52"/>
  <c r="F17" i="52"/>
  <c r="J5" i="19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E32" i="61" s="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0" l="1"/>
  <c r="L19" i="59"/>
  <c r="H32" i="60"/>
  <c r="H33" i="60" s="1"/>
  <c r="K5" i="23"/>
  <c r="H19" i="70"/>
  <c r="K6" i="23"/>
  <c r="J32" i="61"/>
  <c r="C32" i="61"/>
  <c r="I32" i="61"/>
  <c r="L6" i="22"/>
  <c r="M19" i="52"/>
  <c r="K5" i="8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5"/>
  <c r="M7" i="52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3" i="58"/>
  <c r="P24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4" i="52"/>
  <c r="C3" i="1" s="1"/>
  <c r="B3" i="1"/>
  <c r="K23" i="52"/>
  <c r="C22" i="1" s="1"/>
  <c r="B22" i="1"/>
  <c r="F12" i="14"/>
  <c r="F12" i="15"/>
  <c r="F12" i="8"/>
  <c r="F12" i="19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<sst xmlns="http://schemas.openxmlformats.org/spreadsheetml/2006/main" count="1294" uniqueCount="161">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</sst>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228000</v>
      </c>
      <c r="C3" s="9">
        <f>+HojaTICA!K4+HojaNICA!M4+HojaREVENTADO!K4+HojaPrimera!I4+HojaHonduras!K4+HojaDominicana!I4+HojaPANA!G4</f>
        <v>29650</v>
      </c>
      <c r="D3" s="9">
        <f>+HojaTICA!N4+HojaNICA!P4+HojaREVENTADO!O4+HojaPrimera!L4+HojaHonduras!N4+HojaDominicana!L4+HojaPANA!J4</f>
        <v>187000</v>
      </c>
      <c r="F3" s="10">
        <f t="shared" ref="F3:F27" si="0">+B3-C3-D3</f>
        <v>11350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207250</v>
      </c>
      <c r="C4" s="9">
        <f>+HojaTICA!K5+HojaNICA!M5+HojaREVENTADO!K5+HojaPrimera!I5+HojaHonduras!K5+HojaDominicana!I5+HojaPANA!G5</f>
        <v>26950</v>
      </c>
      <c r="D4" s="9">
        <f>+HojaTICA!N5+HojaNICA!P5+HojaREVENTADO!O5+HojaPrimera!L5+HojaHonduras!N5+HojaDominicana!L5+HojaPANA!J5</f>
        <v>120750</v>
      </c>
      <c r="F4" s="14">
        <f t="shared" si="0"/>
        <v>59550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893200</v>
      </c>
      <c r="C9" s="9">
        <f>+HojaTICA!K10+HojaNICA!M10+HojaREVENTADO!K10+HojaPrimera!I10+HojaHonduras!K10+HojaDominicana!I10+HojaPANA!G10</f>
        <v>105500</v>
      </c>
      <c r="D9" s="9">
        <f>+HojaTICA!N10+HojaNICA!P10+HojaREVENTADO!O10+HojaPrimera!L10+HojaHonduras!N10+HojaDominicana!L10+HojaPANA!J10</f>
        <v>692250</v>
      </c>
      <c r="F9" s="14">
        <f t="shared" si="0"/>
        <v>95450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18500</v>
      </c>
      <c r="C10" s="9">
        <f>+HojaTICA!K11+HojaNICA!M11+HojaREVENTADO!K11+HojaPrimera!I11+HojaHonduras!K11+HojaDominicana!I11+HojaPANA!G11</f>
        <v>2200</v>
      </c>
      <c r="D10" s="9">
        <f>+HojaTICA!N11+HojaNICA!P11+HojaREVENTADO!O11+HojaPrimera!L11+HojaHonduras!N11+HojaDominicana!L11+HojaPANA!J11</f>
        <v>42500</v>
      </c>
      <c r="F10" s="14">
        <f t="shared" si="0"/>
        <v>-26200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193250</v>
      </c>
      <c r="C11" s="9">
        <f>+HojaTICA!K12+HojaNICA!M12+HojaREVENTADO!K12+HojaPrimera!I12+HojaHonduras!K12+HojaDominicana!I12+HojaPANA!G12</f>
        <v>23090</v>
      </c>
      <c r="D11" s="9">
        <f>+HojaTICA!N12+HojaNICA!P12+HojaREVENTADO!O12+HojaPrimera!L12+HojaHonduras!N12+HojaDominicana!L12+HojaPANA!J12</f>
        <v>199750</v>
      </c>
      <c r="F11" s="14">
        <f t="shared" si="0"/>
        <v>-29590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165850</v>
      </c>
      <c r="C12" s="9">
        <f>+HojaTICA!K13+HojaNICA!M13+HojaREVENTADO!K13+HojaPrimera!I13+HojaHonduras!K13+HojaDominicana!I13+HojaPANA!G13</f>
        <v>19900</v>
      </c>
      <c r="D12" s="9">
        <f>+HojaTICA!N13+HojaNICA!P13+HojaREVENTADO!O13+HojaPrimera!L13+HojaHonduras!N13+HojaDominicana!L13+HojaPANA!J13</f>
        <v>133000</v>
      </c>
      <c r="F12" s="14">
        <f t="shared" si="0"/>
        <v>12950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81600</v>
      </c>
      <c r="C13" s="9">
        <f>+HojaTICA!K14+HojaNICA!M14+HojaREVENTADO!K14+HojaPrimera!I14+HojaHonduras!K14+HojaDominicana!I14+HojaPANA!G14</f>
        <v>12250</v>
      </c>
      <c r="D13" s="9">
        <f>+HojaTICA!N14+HojaNICA!P14+HojaREVENTADO!O14+HojaPrimera!L14+HojaHonduras!N14+HojaDominicana!L14+HojaPANA!J14</f>
        <v>48000</v>
      </c>
      <c r="F13" s="14">
        <f t="shared" si="0"/>
        <v>21350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137050</v>
      </c>
      <c r="C15" s="9">
        <f>+HojaTICA!K16+HojaNICA!M16+HojaREVENTADO!K16+HojaPrimera!I16+HojaHonduras!K16+HojaDominicana!I16+HojaPANA!G16</f>
        <v>16400</v>
      </c>
      <c r="D15" s="9">
        <f>+HojaTICA!N16+HojaNICA!P16+HojaREVENTADO!O16+HojaPrimera!L16+HojaHonduras!N16+HojaDominicana!L16+HojaPANA!J16</f>
        <v>204000</v>
      </c>
      <c r="F15" s="14">
        <f t="shared" si="0"/>
        <v>-83350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1003200</v>
      </c>
      <c r="C16" s="9">
        <f>+HojaTICA!K17+HojaNICA!M17+HojaREVENTADO!K17+HojaPrimera!I17+HojaHonduras!K17+HojaDominicana!I17+HojaPANA!G17</f>
        <v>118930</v>
      </c>
      <c r="D16" s="9">
        <f>+HojaTICA!N17+HojaNICA!P17+HojaREVENTADO!O17+HojaPrimera!L17+HojaHonduras!N17+HojaDominicana!L17+HojaPANA!J17</f>
        <v>1252000</v>
      </c>
      <c r="F16" s="14">
        <f t="shared" si="0"/>
        <v>-367730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437800</v>
      </c>
      <c r="C17" s="9">
        <f>+HojaTICA!K18+HojaNICA!M18+HojaREVENTADO!K18+HojaPrimera!I18+HojaHonduras!K18+HojaDominicana!I18+HojaPANA!G18</f>
        <v>51795</v>
      </c>
      <c r="D17" s="9">
        <f>+HojaTICA!N18+HojaNICA!P18+HojaREVENTADO!O18+HojaPrimera!L18+HojaHonduras!N18+HojaDominicana!L18+HojaPANA!J18</f>
        <v>643000</v>
      </c>
      <c r="F17" s="14">
        <f t="shared" si="0"/>
        <v>-256995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3365700</v>
      </c>
      <c r="C28" s="17">
        <f t="shared" si="1"/>
        <v>406665</v>
      </c>
      <c r="D28" s="18">
        <f t="shared" si="1"/>
        <v>3522250</v>
      </c>
      <c r="F28" s="20">
        <f>SUM(F3:F27)</f>
        <v>-563215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49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73</v>
      </c>
      <c r="C19" s="132">
        <v>68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64</v>
      </c>
      <c r="C20" s="163">
        <v>78</v>
      </c>
      <c r="D20" s="166">
        <v>65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48</v>
      </c>
      <c r="C21" s="164" t="s">
        <v>160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41</v>
      </c>
      <c r="D2" s="268"/>
      <c r="E2" s="267">
        <f>DigitaTICA!E2</f>
        <v>17</v>
      </c>
      <c r="F2" s="268"/>
      <c r="G2" s="267">
        <f>DigitaTICA!G2</f>
        <v>12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44300</v>
      </c>
      <c r="D4" s="30">
        <f>IF(Vendedor1!$E$7="",0,Vendedor1!$E$7)</f>
        <v>700</v>
      </c>
      <c r="E4" s="180">
        <f>IF(Vendedor1!$C$11="",0,Vendedor1!$C$11)</f>
        <v>40100</v>
      </c>
      <c r="F4" s="30">
        <f>IF(Vendedor1!$E$11="",0,Vendedor1!$E$11)</f>
        <v>500</v>
      </c>
      <c r="G4" s="180">
        <f>IF(Vendedor1!$C$15="",0,Vendedor1!$C$15)</f>
        <v>76100</v>
      </c>
      <c r="H4" s="30">
        <f>IF(Vendedor1!$E$15="",0,Vendedor1!$E$15)</f>
        <v>1000</v>
      </c>
      <c r="J4" s="42">
        <f t="shared" ref="J4:J7" si="0">+C4+E4+G4</f>
        <v>160500</v>
      </c>
      <c r="K4" s="41">
        <f>MROUND(J4*Vendedor1!J$9,50)</f>
        <v>20850</v>
      </c>
      <c r="L4" s="42">
        <f t="shared" ref="L4:L7" si="1">+D4+F4+H4</f>
        <v>2200</v>
      </c>
      <c r="M4" s="42">
        <f t="shared" ref="M4:M7" si="2">+L4*85</f>
        <v>187000</v>
      </c>
      <c r="N4" s="42">
        <f>Vendedor1!$F$7+Vendedor1!$F$11+Vendedor1!$F$15</f>
        <v>187000</v>
      </c>
      <c r="P4" s="42">
        <f t="shared" ref="P4:P7" si="3">+J4-K4-N4</f>
        <v>-47350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47200</v>
      </c>
      <c r="D5" s="30">
        <f>IF(Vendedor2!$E$7="",0,Vendedor2!$E$7)</f>
        <v>250</v>
      </c>
      <c r="E5" s="180">
        <f>IF(Vendedor2!$C$11="",0,Vendedor2!$C$11)</f>
        <v>27900</v>
      </c>
      <c r="F5" s="30">
        <f>IF(Vendedor2!$E$11="",0,Vendedor2!$E$11)</f>
        <v>450</v>
      </c>
      <c r="G5" s="180">
        <f>IF(Vendedor2!$C$15="",0,Vendedor2!$C$15)</f>
        <v>75450</v>
      </c>
      <c r="H5" s="30">
        <f>IF(Vendedor2!$E$15="",0,Vendedor2!$E$15)</f>
        <v>250</v>
      </c>
      <c r="J5" s="42">
        <f t="shared" si="0"/>
        <v>150550</v>
      </c>
      <c r="K5" s="41">
        <f>MROUND(J5*Vendedor2!J$9,50)</f>
        <v>19550</v>
      </c>
      <c r="L5" s="42">
        <f t="shared" si="1"/>
        <v>950</v>
      </c>
      <c r="M5" s="42">
        <f t="shared" si="2"/>
        <v>80750</v>
      </c>
      <c r="N5" s="42">
        <f>Vendedor2!$F$7+Vendedor2!$F$11+Vendedor2!$F$15</f>
        <v>80750</v>
      </c>
      <c r="P5" s="42">
        <f t="shared" si="3"/>
        <v>50250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156250</v>
      </c>
      <c r="D10" s="30">
        <f>IF(Vendedor7!$E$7="",0,Vendedor7!$E$7)</f>
        <v>2600</v>
      </c>
      <c r="E10" s="180">
        <f>IF(Vendedor7!$C$11="",0,Vendedor7!$C$11)</f>
        <v>130500</v>
      </c>
      <c r="F10" s="30">
        <f>IF(Vendedor7!$E$11="",0,Vendedor7!$E$11)</f>
        <v>250</v>
      </c>
      <c r="G10" s="180">
        <f>IF(Vendedor7!$C$15="",0,Vendedor7!$C$15)</f>
        <v>158900</v>
      </c>
      <c r="H10" s="30">
        <f>IF(Vendedor7!$E$15="",0,Vendedor7!$E$15)</f>
        <v>3850</v>
      </c>
      <c r="J10" s="42">
        <f t="shared" si="8"/>
        <v>445650</v>
      </c>
      <c r="K10" s="41">
        <f>MROUND(J10*Vendedor7!J$14,50)</f>
        <v>53500</v>
      </c>
      <c r="L10" s="42">
        <f t="shared" si="9"/>
        <v>6700</v>
      </c>
      <c r="M10" s="42">
        <f t="shared" si="10"/>
        <v>569500</v>
      </c>
      <c r="N10" s="42">
        <f>Vendedor7!$F$7+Vendedor7!$F$11+Vendedor7!$F$15</f>
        <v>569500</v>
      </c>
      <c r="P10" s="42">
        <f t="shared" si="11"/>
        <v>-177350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8500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10000</v>
      </c>
      <c r="H11" s="30">
        <f>IF(Vendedor8!$E$15="",0,Vendedor8!$E$15)</f>
        <v>500</v>
      </c>
      <c r="J11" s="42">
        <f t="shared" si="8"/>
        <v>18500</v>
      </c>
      <c r="K11" s="41">
        <f>MROUND(J11*Vendedor8!J$11,50)</f>
        <v>2200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-26200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33100</v>
      </c>
      <c r="D12" s="30">
        <f>IF(Vendedor9!$E$7="",0,Vendedor9!$E$7)</f>
        <v>250</v>
      </c>
      <c r="E12" s="180">
        <f>IF(Vendedor9!$C$11="",0,Vendedor9!$C$11)</f>
        <v>40500</v>
      </c>
      <c r="F12" s="30">
        <f>IF(Vendedor9!$E$11="",0,Vendedor9!$E$11)</f>
        <v>650</v>
      </c>
      <c r="G12" s="180">
        <f>IF(Vendedor9!$C$15="",0,Vendedor9!$C$15)</f>
        <v>20600</v>
      </c>
      <c r="H12" s="30">
        <f>IF(Vendedor9!$E$15="",0,Vendedor9!$E$15)</f>
        <v>650</v>
      </c>
      <c r="J12" s="42">
        <f t="shared" si="8"/>
        <v>94200</v>
      </c>
      <c r="K12" s="41">
        <f>MROUND(J12*Vendedor9!J$11,50)</f>
        <v>11300</v>
      </c>
      <c r="L12" s="42">
        <f t="shared" si="9"/>
        <v>1550</v>
      </c>
      <c r="M12" s="42">
        <f t="shared" si="10"/>
        <v>131750</v>
      </c>
      <c r="N12" s="42">
        <f>Vendedor9!$F$7+Vendedor9!$F$11+Vendedor9!$F$15</f>
        <v>131750</v>
      </c>
      <c r="P12" s="42">
        <f t="shared" si="11"/>
        <v>-48850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45250</v>
      </c>
      <c r="D13" s="30">
        <f>IF(Vendedor10!$E$7="",0,Vendedor10!$E$7)</f>
        <v>0</v>
      </c>
      <c r="E13" s="180">
        <f>IF(Vendedor10!$C$11="",0,Vendedor10!$C$11)</f>
        <v>28300</v>
      </c>
      <c r="F13" s="30">
        <f>IF(Vendedor10!$E$11="",0,Vendedor10!$E$11)</f>
        <v>0</v>
      </c>
      <c r="G13" s="180">
        <f>IF(Vendedor10!$C$15="",0,Vendedor10!$C$15)</f>
        <v>33000</v>
      </c>
      <c r="H13" s="30">
        <f>IF(Vendedor10!$E$15="",0,Vendedor10!$E$15)</f>
        <v>1000</v>
      </c>
      <c r="J13" s="42">
        <f t="shared" si="8"/>
        <v>106550</v>
      </c>
      <c r="K13" s="41">
        <f>MROUND(J13*Vendedor10!J$9,50)</f>
        <v>12800</v>
      </c>
      <c r="L13" s="42">
        <f t="shared" si="9"/>
        <v>1000</v>
      </c>
      <c r="M13" s="42">
        <f t="shared" si="10"/>
        <v>85000</v>
      </c>
      <c r="N13" s="42">
        <f>Vendedor10!$F$7+Vendedor10!$F$11+Vendedor10!$F$15</f>
        <v>85000</v>
      </c>
      <c r="P13" s="42">
        <f t="shared" si="11"/>
        <v>8750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39500</v>
      </c>
      <c r="D14" s="30">
        <f>IF(Vendedor11!$E$7="",0,Vendedor11!$E$7)</f>
        <v>0</v>
      </c>
      <c r="E14" s="180">
        <f>IF(Vendedor11!$C$11="",0,Vendedor11!$C$11)</f>
        <v>16150</v>
      </c>
      <c r="F14" s="30">
        <f>IF(Vendedor11!$E$11="",0,Vendedor11!$E$11)</f>
        <v>300</v>
      </c>
      <c r="G14" s="180">
        <f>IF(Vendedor11!$C$15="",0,Vendedor11!$C$15)</f>
        <v>25950</v>
      </c>
      <c r="H14" s="30">
        <f>IF(Vendedor11!$E$15="",0,Vendedor11!$E$15)</f>
        <v>300</v>
      </c>
      <c r="J14" s="42">
        <f t="shared" si="8"/>
        <v>81600</v>
      </c>
      <c r="K14" s="41">
        <f>MROUND(J14*Vendedor11!J$9,50)</f>
        <v>12250</v>
      </c>
      <c r="L14" s="42">
        <f t="shared" si="9"/>
        <v>600</v>
      </c>
      <c r="M14" s="42">
        <f t="shared" si="10"/>
        <v>51000</v>
      </c>
      <c r="N14" s="42">
        <f>Vendedor11!$F$7+Vendedor11!$F$11+Vendedor11!$F$15</f>
        <v>48000</v>
      </c>
      <c r="P14" s="42">
        <f t="shared" si="11"/>
        <v>21350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23850</v>
      </c>
      <c r="D16" s="30">
        <f>IF(Vendedor13!$E$7="",0,Vendedor13!$E$7)</f>
        <v>250</v>
      </c>
      <c r="E16" s="180">
        <f>IF(Vendedor13!$C$11="",0,Vendedor13!$C$11)</f>
        <v>26500</v>
      </c>
      <c r="F16" s="30">
        <f>IF(Vendedor13!$E$11="",0,Vendedor13!$E$11)</f>
        <v>0</v>
      </c>
      <c r="G16" s="180">
        <f>IF(Vendedor13!$C$15="",0,Vendedor13!$C$15)</f>
        <v>41600</v>
      </c>
      <c r="H16" s="30">
        <f>IF(Vendedor13!$E$15="",0,Vendedor13!$E$15)</f>
        <v>2150</v>
      </c>
      <c r="J16" s="42">
        <f t="shared" si="8"/>
        <v>91950</v>
      </c>
      <c r="K16" s="41">
        <f>MROUND(J16*Vendedor13!J$11,50)</f>
        <v>11050</v>
      </c>
      <c r="L16" s="42">
        <f t="shared" si="9"/>
        <v>2400</v>
      </c>
      <c r="M16" s="42">
        <f t="shared" si="10"/>
        <v>204000</v>
      </c>
      <c r="N16" s="42">
        <f>Vendedor13!$F$7+Vendedor13!$F$11+Vendedor13!$F$15</f>
        <v>204000</v>
      </c>
      <c r="P16" s="42">
        <f t="shared" si="11"/>
        <v>-123100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109300</v>
      </c>
      <c r="D17" s="30">
        <f>IF(Vendedor14!$E$7="",0,Vendedor14!$E$7)</f>
        <v>1050</v>
      </c>
      <c r="E17" s="180">
        <f>IF(Vendedor14!$C$11="",0,Vendedor14!$C$11)</f>
        <v>86650</v>
      </c>
      <c r="F17" s="30">
        <f>IF(Vendedor14!$E$11="",0,Vendedor14!$E$11)</f>
        <v>1300</v>
      </c>
      <c r="G17" s="180">
        <f>IF(Vendedor14!$C$15="",0,Vendedor14!$C$15)</f>
        <v>203750</v>
      </c>
      <c r="H17" s="30">
        <f>IF(Vendedor14!$E$15="",0,Vendedor14!$E$15)</f>
        <v>7850</v>
      </c>
      <c r="J17" s="42">
        <f t="shared" si="8"/>
        <v>399700</v>
      </c>
      <c r="K17" s="41">
        <f>MROUND(J17*Vendedor14!J$15,50)</f>
        <v>47950</v>
      </c>
      <c r="L17" s="42">
        <f t="shared" si="9"/>
        <v>10200</v>
      </c>
      <c r="M17" s="42">
        <f t="shared" si="10"/>
        <v>867000</v>
      </c>
      <c r="N17" s="42">
        <f>Vendedor14!$F$7+Vendedor14!$F$11+Vendedor14!$F$15</f>
        <v>867000</v>
      </c>
      <c r="P17" s="42">
        <f t="shared" si="11"/>
        <v>-515250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55900</v>
      </c>
      <c r="D18" s="30">
        <f>IF(Vendedor15!$E$7="",0,Vendedor15!$E$7)</f>
        <v>100</v>
      </c>
      <c r="E18" s="180">
        <f>IF(Vendedor15!$C$11="",0,Vendedor15!$C$11)</f>
        <v>23300</v>
      </c>
      <c r="F18" s="30">
        <f>IF(Vendedor15!$E$11="",0,Vendedor15!$E$11)</f>
        <v>0</v>
      </c>
      <c r="G18" s="180">
        <f>IF(Vendedor15!$C$15="",0,Vendedor15!$C$15)</f>
        <v>65400</v>
      </c>
      <c r="H18" s="30">
        <f>IF(Vendedor15!$E$15="",0,Vendedor15!$E$15)</f>
        <v>1700</v>
      </c>
      <c r="J18" s="42">
        <f t="shared" ref="J18" si="12">+C18+E18+G18</f>
        <v>144600</v>
      </c>
      <c r="K18" s="41">
        <f>MROUND(J18*Vendedor15!J$15,50)</f>
        <v>17350</v>
      </c>
      <c r="L18" s="42">
        <f t="shared" ref="L18" si="13">+D18+F18+H18</f>
        <v>1800</v>
      </c>
      <c r="M18" s="42">
        <f t="shared" ref="M18" si="14">+L18*85</f>
        <v>153000</v>
      </c>
      <c r="N18" s="42">
        <f>Vendedor15!$F$7+Vendedor15!$F$11+Vendedor15!$F$15</f>
        <v>153000</v>
      </c>
      <c r="P18" s="42">
        <f t="shared" ref="P18" si="15">+J18-K18-N18</f>
        <v>-25750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563150</v>
      </c>
      <c r="D32" s="44">
        <f t="shared" si="16"/>
        <v>5200</v>
      </c>
      <c r="E32" s="43">
        <f t="shared" si="16"/>
        <v>419900</v>
      </c>
      <c r="F32" s="44">
        <f t="shared" si="16"/>
        <v>3450</v>
      </c>
      <c r="G32" s="43">
        <f t="shared" si="16"/>
        <v>710750</v>
      </c>
      <c r="H32" s="44">
        <f t="shared" si="16"/>
        <v>19250</v>
      </c>
      <c r="J32" s="95">
        <f>SUM(J4:J31)</f>
        <v>1693800</v>
      </c>
      <c r="K32" s="45">
        <f>SUM(K7:K31)</f>
        <v>168400</v>
      </c>
      <c r="L32" s="95">
        <f>SUM(L4:L31)</f>
        <v>27900</v>
      </c>
      <c r="M32" s="95">
        <f>SUM(M4:M31)</f>
        <v>2371500</v>
      </c>
      <c r="N32" s="95">
        <f>SUM(N4:N31)</f>
        <v>2368500</v>
      </c>
      <c r="P32" s="79">
        <f>SUM(P4:P31)</f>
        <v>-883500</v>
      </c>
    </row>
    <row r="33" spans="3:13" x14ac:dyDescent="0.35">
      <c r="D33" s="99">
        <f>+D32*85</f>
        <v>442000</v>
      </c>
      <c r="F33" s="99">
        <f>+F32*85</f>
        <v>293250</v>
      </c>
      <c r="H33" s="99">
        <f>+H32*85</f>
        <v>1636250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1693800</v>
      </c>
      <c r="E36" s="43">
        <f>+D36-J4-J5-J6</f>
        <v>1382750</v>
      </c>
      <c r="G36" s="101"/>
    </row>
    <row r="37" spans="3:13" x14ac:dyDescent="0.35">
      <c r="C37" s="47" t="s">
        <v>33</v>
      </c>
      <c r="D37" s="48">
        <f>D36*13%</f>
        <v>220194</v>
      </c>
      <c r="E37">
        <f>+D37-K4-K5-K6</f>
        <v>179794</v>
      </c>
      <c r="G37" s="100"/>
      <c r="H37" s="100"/>
    </row>
    <row r="38" spans="3:13" ht="15" thickBot="1" x14ac:dyDescent="0.4">
      <c r="C38" s="47" t="s">
        <v>30</v>
      </c>
      <c r="D38" s="30">
        <f>M32</f>
        <v>2371500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-897894</v>
      </c>
      <c r="F39" s="98">
        <f>+P32-D39</f>
        <v>14394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-897894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81</v>
      </c>
      <c r="D2" s="268"/>
      <c r="E2" s="267">
        <f>DigitaNICA!E2</f>
        <v>57</v>
      </c>
      <c r="F2" s="268"/>
      <c r="G2" s="267">
        <f>DigitaNICA!G2</f>
        <v>65</v>
      </c>
      <c r="H2" s="268"/>
      <c r="I2" s="267">
        <f>DigitaNICA!I2</f>
        <v>49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14000</v>
      </c>
      <c r="D4" s="78">
        <f>IF(Vendedor1!$E$5="",0,Vendedor1!$E$5)</f>
        <v>0</v>
      </c>
      <c r="E4" s="189">
        <f>IF(Vendedor1!$C$9="",0,Vendedor1!$C$9)</f>
        <v>24300</v>
      </c>
      <c r="F4" s="78">
        <f>IF(Vendedor1!$E$9="",0,Vendedor1!$E$9)</f>
        <v>0</v>
      </c>
      <c r="G4" s="189">
        <f>IF(Vendedor1!$C$13="",0,Vendedor1!$C$13)</f>
        <v>7000</v>
      </c>
      <c r="H4" s="78">
        <f>IF(Vendedor1!$E$13="",0,Vendedor1!$E$13)</f>
        <v>0</v>
      </c>
      <c r="I4" s="189">
        <f>IF(Vendedor1!$C$17="",0,Vendedor1!$C$17)</f>
        <v>5000</v>
      </c>
      <c r="J4" s="78">
        <f>IF(Vendedor1!$E$17="",0,Vendedor1!$E$17)</f>
        <v>0</v>
      </c>
      <c r="L4" s="42">
        <f t="shared" ref="L4:L7" si="0">C4+E4+G4+I4</f>
        <v>50300</v>
      </c>
      <c r="M4" s="41">
        <f>MROUND(L4*Vendedor1!J$10,50)</f>
        <v>6550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43750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21900</v>
      </c>
      <c r="D5" s="30">
        <f>IF(Vendedor2!$E$5="",0,Vendedor2!$E$5)</f>
        <v>0</v>
      </c>
      <c r="E5" s="180">
        <f>IF(Vendedor2!$C$9="",0,Vendedor2!$C$9)</f>
        <v>4950</v>
      </c>
      <c r="F5" s="30">
        <f>IF(Vendedor2!$E$9="",0,Vendedor2!$E$9)</f>
        <v>0</v>
      </c>
      <c r="G5" s="180">
        <f>IF(Vendedor2!$C$13="",0,Vendedor2!$C$13)</f>
        <v>10550</v>
      </c>
      <c r="H5" s="30">
        <f>IF(Vendedor2!$E$13="",0,Vendedor2!$E$13)</f>
        <v>500</v>
      </c>
      <c r="I5" s="180">
        <f>IF(Vendedor2!$C$17="",0,Vendedor2!$C$17)</f>
        <v>10150</v>
      </c>
      <c r="J5" s="30">
        <f>IF(Vendedor2!$E$17="",0,Vendedor2!$E$17)</f>
        <v>0</v>
      </c>
      <c r="L5" s="42">
        <f t="shared" si="0"/>
        <v>47550</v>
      </c>
      <c r="M5" s="41">
        <f>MROUND(L5*Vendedor2!J$10,50)</f>
        <v>6200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-1150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65050</v>
      </c>
      <c r="D10" s="30">
        <f>IF(Vendedor7!$E$5="",0,Vendedor7!$E$5)</f>
        <v>0</v>
      </c>
      <c r="E10" s="180">
        <f>IF(Vendedor7!$C$9="",0,Vendedor7!$C$9)</f>
        <v>92750</v>
      </c>
      <c r="F10" s="30">
        <f>IF(Vendedor7!$E$9="",0,Vendedor7!$E$9)</f>
        <v>0</v>
      </c>
      <c r="G10" s="180">
        <f>IF(Vendedor7!$C$13="",0,Vendedor7!$C$13)</f>
        <v>49800</v>
      </c>
      <c r="H10" s="30">
        <f>IF(Vendedor7!$E$13="",0,Vendedor7!$E$13)</f>
        <v>150</v>
      </c>
      <c r="I10" s="180">
        <f>IF(Vendedor7!$C$17="",0,Vendedor7!$C$17)</f>
        <v>98250</v>
      </c>
      <c r="J10" s="30">
        <f>IF(Vendedor7!$E$17="",0,Vendedor7!$E$17)</f>
        <v>0</v>
      </c>
      <c r="L10" s="42">
        <f t="shared" si="7"/>
        <v>305850</v>
      </c>
      <c r="M10" s="41">
        <f>MROUND(L10*Vendedor7!J$15,50)</f>
        <v>36700</v>
      </c>
      <c r="N10" s="42">
        <f t="shared" ref="N10:N27" si="9">D10+F10+H10+J10</f>
        <v>150</v>
      </c>
      <c r="O10" s="41">
        <f t="shared" si="3"/>
        <v>12750</v>
      </c>
      <c r="P10" s="42">
        <f>Vendedor7!$F$5+Vendedor7!$F$9+Vendedor7!$F$13+Vendedor7!$F$17</f>
        <v>12750</v>
      </c>
      <c r="R10" s="41">
        <f t="shared" si="8"/>
        <v>256400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27800</v>
      </c>
      <c r="D12" s="30">
        <f>IF(Vendedor9!$E$5="",0,Vendedor9!$E$5)</f>
        <v>250</v>
      </c>
      <c r="E12" s="180">
        <f>IF(Vendedor9!$C$9="",0,Vendedor9!$C$9)</f>
        <v>21400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49200</v>
      </c>
      <c r="M12" s="41">
        <f>MROUND(L12*Vendedor9!J$12,50)</f>
        <v>5900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20250</v>
      </c>
      <c r="D13" s="30">
        <f>IF(Vendedor10!$E$5="",0,Vendedor10!$E$5)</f>
        <v>100</v>
      </c>
      <c r="E13" s="180">
        <f>IF(Vendedor10!$C$9="",0,Vendedor10!$C$9)</f>
        <v>21950</v>
      </c>
      <c r="F13" s="30">
        <f>IF(Vendedor10!$E$9="",0,Vendedor10!$E$9)</f>
        <v>500</v>
      </c>
      <c r="G13" s="180">
        <f>IF(Vendedor10!$C$13="",0,Vendedor10!$C$13)</f>
        <v>13000</v>
      </c>
      <c r="H13" s="30">
        <f>IF(Vendedor10!$E$13="",0,Vendedor10!$E$13)</f>
        <v>0</v>
      </c>
      <c r="I13" s="180">
        <f>IF(Vendedor10!$C$17="",0,Vendedor10!$C$17)</f>
        <v>4100</v>
      </c>
      <c r="J13" s="30">
        <f>IF(Vendedor10!$E$17="",0,Vendedor10!$E$17)</f>
        <v>0</v>
      </c>
      <c r="L13" s="42">
        <f t="shared" si="7"/>
        <v>59300</v>
      </c>
      <c r="M13" s="41">
        <f>MROUND(L13*Vendedor10!J$10,50)</f>
        <v>7100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1200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14050</v>
      </c>
      <c r="D16" s="30">
        <f>IF(Vendedor13!$E$5="",0,Vendedor13!$E$5)</f>
        <v>0</v>
      </c>
      <c r="E16" s="180">
        <f>IF(Vendedor13!$C$9="",0,Vendedor13!$C$9)</f>
        <v>3750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23300</v>
      </c>
      <c r="J16" s="30">
        <f>IF(Vendedor13!$E$17="",0,Vendedor13!$E$17)</f>
        <v>0</v>
      </c>
      <c r="L16" s="42">
        <f t="shared" si="7"/>
        <v>41100</v>
      </c>
      <c r="M16" s="41">
        <f>MROUND(L16*Vendedor13!J$12,50)</f>
        <v>4950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36150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65700</v>
      </c>
      <c r="D17" s="30">
        <f>IF(Vendedor14!$E$5="",0,Vendedor14!$E$5)</f>
        <v>750</v>
      </c>
      <c r="E17" s="180">
        <f>IF(Vendedor14!$C$9="",0,Vendedor14!$C$9)</f>
        <v>76100</v>
      </c>
      <c r="F17" s="30">
        <f>IF(Vendedor14!$E$9="",0,Vendedor14!$E$9)</f>
        <v>100</v>
      </c>
      <c r="G17" s="180">
        <f>IF(Vendedor14!$C$13="",0,Vendedor14!$C$13)</f>
        <v>48450</v>
      </c>
      <c r="H17" s="30">
        <f>IF(Vendedor14!$E$13="",0,Vendedor14!$E$13)</f>
        <v>400</v>
      </c>
      <c r="I17" s="180">
        <f>IF(Vendedor14!$C$17="",0,Vendedor14!$C$17)</f>
        <v>189950</v>
      </c>
      <c r="J17" s="30">
        <f>IF(Vendedor14!$E$17="",0,Vendedor14!$E$17)</f>
        <v>1150</v>
      </c>
      <c r="L17" s="42">
        <f>C17+E17+G17+I17</f>
        <v>380200</v>
      </c>
      <c r="M17" s="41">
        <f>MROUND(L17*Vendedor14!J$16,50)</f>
        <v>45600</v>
      </c>
      <c r="N17" s="42">
        <f t="shared" si="9"/>
        <v>2400</v>
      </c>
      <c r="O17" s="41">
        <f t="shared" si="3"/>
        <v>204000</v>
      </c>
      <c r="P17" s="42">
        <f>Vendedor14!$F$5+Vendedor14!$F$9+Vendedor14!$F$13+Vendedor14!$F$17</f>
        <v>204000</v>
      </c>
      <c r="R17" s="41">
        <f t="shared" si="8"/>
        <v>130600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52300</v>
      </c>
      <c r="D18" s="30">
        <f>IF(Vendedor15!$E$5="",0,Vendedor15!$E$5)</f>
        <v>200</v>
      </c>
      <c r="E18" s="180">
        <f>IF(Vendedor15!$C$9="",0,Vendedor15!$C$9)</f>
        <v>30350</v>
      </c>
      <c r="F18" s="30">
        <f>IF(Vendedor15!$E$9="",0,Vendedor15!$E$9)</f>
        <v>1000</v>
      </c>
      <c r="G18" s="180">
        <f>IF(Vendedor15!$C$13="",0,Vendedor15!$C$13)</f>
        <v>37500</v>
      </c>
      <c r="H18" s="30">
        <f>IF(Vendedor15!$E$13="",0,Vendedor15!$E$13)</f>
        <v>0</v>
      </c>
      <c r="I18" s="180">
        <f>IF(Vendedor15!$C$17="",0,Vendedor15!$C$17)</f>
        <v>26700</v>
      </c>
      <c r="J18" s="30">
        <f>IF(Vendedor15!$E$17="",0,Vendedor15!$E$17)</f>
        <v>300</v>
      </c>
      <c r="L18" s="42">
        <f t="shared" ref="L18:L27" si="10">C18+E18+G18+I18</f>
        <v>146850</v>
      </c>
      <c r="M18" s="41">
        <f>MROUND(L18*Vendedor15!J$16,50)</f>
        <v>17600</v>
      </c>
      <c r="N18" s="42">
        <f t="shared" si="9"/>
        <v>1500</v>
      </c>
      <c r="O18" s="41">
        <f t="shared" si="3"/>
        <v>127500</v>
      </c>
      <c r="P18" s="42">
        <f>Vendedor15!$F$5+Vendedor15!$F$9+Vendedor15!$F$13+Vendedor15!$F$17</f>
        <v>127500</v>
      </c>
      <c r="R18" s="41">
        <f t="shared" si="8"/>
        <v>1750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281050</v>
      </c>
      <c r="D32" s="44">
        <f t="shared" si="14"/>
        <v>1300</v>
      </c>
      <c r="E32" s="43">
        <f t="shared" si="14"/>
        <v>275550</v>
      </c>
      <c r="F32" s="44">
        <f t="shared" si="14"/>
        <v>1850</v>
      </c>
      <c r="G32" s="43">
        <f t="shared" si="14"/>
        <v>166300</v>
      </c>
      <c r="H32" s="44">
        <f t="shared" si="14"/>
        <v>1050</v>
      </c>
      <c r="I32" s="43">
        <f t="shared" si="14"/>
        <v>357450</v>
      </c>
      <c r="J32" s="44">
        <f t="shared" si="14"/>
        <v>1450</v>
      </c>
      <c r="L32" s="45">
        <f>SUM(L4:L31)</f>
        <v>1080350</v>
      </c>
      <c r="M32" s="45">
        <f>SUM(M7:M31)</f>
        <v>117850</v>
      </c>
      <c r="N32" s="95">
        <f>SUM(N4:N31)</f>
        <v>5650</v>
      </c>
      <c r="O32" s="46">
        <f>SUM(O4:O31)</f>
        <v>480250</v>
      </c>
      <c r="P32" s="140">
        <f>SUM(P4:P31)</f>
        <v>474750</v>
      </c>
      <c r="R32" s="79">
        <f>SUM(R4:R31)</f>
        <v>469500</v>
      </c>
    </row>
    <row r="33" spans="3:15" x14ac:dyDescent="0.35">
      <c r="D33" s="120">
        <f>+D32*85</f>
        <v>110500</v>
      </c>
      <c r="F33" s="120">
        <f>+F32*85</f>
        <v>157250</v>
      </c>
      <c r="H33" s="120">
        <f>+H32*85</f>
        <v>89250</v>
      </c>
      <c r="J33" s="120">
        <f>+J32*85</f>
        <v>123250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1080350</v>
      </c>
      <c r="E36" s="43">
        <f>+D36-L4-L5-L6</f>
        <v>982500</v>
      </c>
    </row>
    <row r="37" spans="3:15" x14ac:dyDescent="0.35">
      <c r="C37" s="47" t="s">
        <v>33</v>
      </c>
      <c r="D37" s="48">
        <f>D36*13%</f>
        <v>140445.5</v>
      </c>
      <c r="E37">
        <f>+D37-M4-M5-M6</f>
        <v>127695.5</v>
      </c>
    </row>
    <row r="38" spans="3:15" x14ac:dyDescent="0.35">
      <c r="C38" s="47" t="s">
        <v>30</v>
      </c>
      <c r="D38" s="30">
        <f>SUM(O4:O27)</f>
        <v>480250</v>
      </c>
      <c r="G38" s="100"/>
    </row>
    <row r="39" spans="3:15" ht="15" thickBot="1" x14ac:dyDescent="0.4">
      <c r="C39" s="49" t="s">
        <v>4</v>
      </c>
      <c r="D39" s="80">
        <f>+D36-D37-D38</f>
        <v>459654.5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459654.5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41 Roja</v>
      </c>
      <c r="D2" s="268"/>
      <c r="E2" s="267" t="str">
        <f>IF(E33=0,"",CONCATENATE(PREMIOS!$B11," ",PREMIOS!$B12))</f>
        <v>17 Blanca</v>
      </c>
      <c r="F2" s="268"/>
      <c r="G2" s="267" t="str">
        <f>IF(G33=0,"",CONCATENATE(PREMIOS!$B15," ",PREMIOS!$B16))</f>
        <v>12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32050</v>
      </c>
      <c r="D10" s="30">
        <f>IF(Vendedor7!$E$8="",0,Vendedor7!$E$8)</f>
        <v>250</v>
      </c>
      <c r="E10" s="180">
        <f>IF(Vendedor7!$C$12="",0,Vendedor7!$C$12)</f>
        <v>17550</v>
      </c>
      <c r="F10" s="30">
        <f>IF(Vendedor7!$E$12="",0,Vendedor7!$E$12)</f>
        <v>0</v>
      </c>
      <c r="G10" s="180">
        <f>IF(Vendedor7!$C$16="",0,Vendedor7!$C$16)</f>
        <v>33400</v>
      </c>
      <c r="H10" s="30">
        <f>IF(Vendedor7!$E$16="",0,Vendedor7!$E$16)</f>
        <v>300</v>
      </c>
      <c r="J10" s="42">
        <f t="shared" si="1"/>
        <v>83000</v>
      </c>
      <c r="K10" s="41">
        <f>J10*Vendedor7!J$16</f>
        <v>8300</v>
      </c>
      <c r="L10" s="42">
        <f t="shared" si="2"/>
        <v>550</v>
      </c>
      <c r="M10" s="42">
        <f t="shared" si="3"/>
        <v>550</v>
      </c>
      <c r="N10" s="42">
        <f t="shared" si="0"/>
        <v>121000</v>
      </c>
      <c r="O10" s="42">
        <f>Vendedor7!$F$8+Vendedor7!$F$12+Vendedor7!$F$16</f>
        <v>110000</v>
      </c>
      <c r="Q10" s="42">
        <f t="shared" si="4"/>
        <v>-35300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3400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3900</v>
      </c>
      <c r="K12" s="41">
        <f>J12*Vendedor9!J$13</f>
        <v>390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3510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1500</v>
      </c>
      <c r="H16" s="30">
        <f>IF(Vendedor13!$E$16="",0,Vendedor13!$E$16)</f>
        <v>0</v>
      </c>
      <c r="J16" s="42">
        <f t="shared" si="1"/>
        <v>3000</v>
      </c>
      <c r="K16" s="41">
        <f>J16*Vendedor13!J$13</f>
        <v>300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28700</v>
      </c>
      <c r="D17" s="30">
        <f>IF(Vendedor14!$E$8="",0,Vendedor14!$E$8)</f>
        <v>0</v>
      </c>
      <c r="E17" s="180">
        <f>IF(Vendedor14!$C$12="",0,Vendedor14!$C$12)</f>
        <v>9800</v>
      </c>
      <c r="F17" s="30">
        <f>IF(Vendedor14!$E$12="",0,Vendedor14!$E$12)</f>
        <v>0</v>
      </c>
      <c r="G17" s="180">
        <f>IF(Vendedor14!$C$16="",0,Vendedor14!$C$16)</f>
        <v>32300</v>
      </c>
      <c r="H17" s="30">
        <f>IF(Vendedor14!$E$16="",0,Vendedor14!$E$16)</f>
        <v>650</v>
      </c>
      <c r="J17" s="42">
        <f t="shared" si="1"/>
        <v>70800</v>
      </c>
      <c r="K17" s="41">
        <f>J17*Vendedor14!J$17</f>
        <v>7080</v>
      </c>
      <c r="L17" s="42">
        <f t="shared" si="2"/>
        <v>650</v>
      </c>
      <c r="M17" s="42">
        <f t="shared" si="3"/>
        <v>650</v>
      </c>
      <c r="N17" s="42">
        <f t="shared" si="0"/>
        <v>143000</v>
      </c>
      <c r="O17" s="42">
        <f>Vendedor14!$F$8+Vendedor14!$F$12+Vendedor14!$F$16</f>
        <v>130000</v>
      </c>
      <c r="Q17" s="42">
        <f t="shared" si="4"/>
        <v>-66280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11200</v>
      </c>
      <c r="D18" s="30">
        <f>IF(Vendedor15!$E$8="",0,Vendedor15!$E$8)</f>
        <v>100</v>
      </c>
      <c r="E18" s="180">
        <f>IF(Vendedor15!$C$12="",0,Vendedor15!$C$12)</f>
        <v>8500</v>
      </c>
      <c r="F18" s="30">
        <f>IF(Vendedor15!$E$12="",0,Vendedor15!$E$12)</f>
        <v>0</v>
      </c>
      <c r="G18" s="180">
        <f>IF(Vendedor15!$C$16="",0,Vendedor15!$C$16)</f>
        <v>15750</v>
      </c>
      <c r="H18" s="30">
        <f>IF(Vendedor15!$E$16="",0,Vendedor15!$E$16)</f>
        <v>1500</v>
      </c>
      <c r="J18" s="42">
        <f t="shared" ref="J18" si="5">+C18+E18+G18</f>
        <v>35450</v>
      </c>
      <c r="K18" s="41">
        <f>J18*Vendedor15!J$17</f>
        <v>3545</v>
      </c>
      <c r="L18" s="42">
        <f t="shared" si="2"/>
        <v>1600</v>
      </c>
      <c r="M18" s="42">
        <f t="shared" si="3"/>
        <v>1600</v>
      </c>
      <c r="N18" s="42">
        <f t="shared" si="0"/>
        <v>352000</v>
      </c>
      <c r="O18" s="42">
        <f>Vendedor15!$F$8+Vendedor15!$F$12+Vendedor15!$F$16</f>
        <v>320000</v>
      </c>
      <c r="Q18" s="42">
        <f t="shared" si="4"/>
        <v>-288095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76850</v>
      </c>
      <c r="D33" s="44">
        <f>IF(PREMIOS!E8&lt;&gt;0,SUM(D4:D32),0)</f>
        <v>350</v>
      </c>
      <c r="E33" s="43">
        <f>SUM(E4:E32)</f>
        <v>36350</v>
      </c>
      <c r="F33" s="44">
        <f>IF(PREMIOS!E12&lt;&gt;0,SUM(F4:F32),0)</f>
        <v>0</v>
      </c>
      <c r="G33" s="43">
        <f>SUM(G4:G32)</f>
        <v>82950</v>
      </c>
      <c r="H33" s="44">
        <f>IF(PREMIOS!E16&lt;&gt;0,SUM(H4:H32),0)</f>
        <v>2450</v>
      </c>
      <c r="J33" s="45">
        <f>SUM(J4:J32)</f>
        <v>196150</v>
      </c>
      <c r="K33" s="45">
        <f>SUM(K7:K32)</f>
        <v>19615</v>
      </c>
      <c r="L33" s="95">
        <f>SUM(L7:L32)</f>
        <v>2800</v>
      </c>
      <c r="M33" s="95">
        <f>SUM(M7:M32)</f>
        <v>2800</v>
      </c>
      <c r="N33" s="95">
        <f>SUM(N4:N27)</f>
        <v>616000</v>
      </c>
      <c r="O33" s="95">
        <f>SUM(O4:O27)</f>
        <v>560000</v>
      </c>
      <c r="Q33" s="79">
        <f>SUM(Q4:Q32)</f>
        <v>-383465</v>
      </c>
    </row>
    <row r="34" spans="3:17" x14ac:dyDescent="0.35">
      <c r="D34" s="118">
        <f>IF(PREMIOS!$D8=PREMIOS!$J$10,D33*$G$38,IF(PREMIOS!$D8=PREMIOS!$J$11,D33*$F$38,IF(PREMIOS!$D8=PREMIOS!$J$12,0,"")))</f>
        <v>77000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539000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196150</v>
      </c>
      <c r="E37" s="43">
        <f>+D37-J4-J5-J6</f>
        <v>196150</v>
      </c>
      <c r="F37" s="275"/>
      <c r="G37" s="275"/>
    </row>
    <row r="38" spans="3:17" ht="15" thickBot="1" x14ac:dyDescent="0.4">
      <c r="C38" s="47" t="s">
        <v>33</v>
      </c>
      <c r="D38" s="30">
        <f>D37*10%</f>
        <v>19615</v>
      </c>
      <c r="E38" s="43">
        <f>+D38-K4-K5-K6</f>
        <v>19615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616000</v>
      </c>
    </row>
    <row r="40" spans="3:17" ht="15" thickBot="1" x14ac:dyDescent="0.4">
      <c r="C40" s="49" t="s">
        <v>4</v>
      </c>
      <c r="D40" s="80">
        <f>+D37-D38-D39</f>
        <v>-439465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-439465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73</v>
      </c>
      <c r="D2" s="268"/>
      <c r="E2" s="267">
        <f>DigitaPRIMERA!E2</f>
        <v>68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14300</v>
      </c>
      <c r="D4" s="78">
        <f>IF(Vendedor1!$E$19="",0,Vendedor1!$E$19)</f>
        <v>0</v>
      </c>
      <c r="E4" s="189">
        <f>IF(Vendedor1!$C$20="",0,Vendedor1!$C$20)</f>
        <v>2900</v>
      </c>
      <c r="F4" s="78">
        <f>IF(Vendedor1!$E$20="",0,Vendedor1!$E$20)</f>
        <v>0</v>
      </c>
      <c r="H4" s="42">
        <f>+C4+E4</f>
        <v>17200</v>
      </c>
      <c r="I4" s="41">
        <f>MROUND(H4*Vendedor1!J$9,50)</f>
        <v>2250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14950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6600</v>
      </c>
      <c r="D5" s="30">
        <f>IF(Vendedor2!$E$19="",0,Vendedor2!$E$19)</f>
        <v>0</v>
      </c>
      <c r="E5" s="180">
        <f>IF(Vendedor2!$C$20="",0,Vendedor2!$C$20)</f>
        <v>2550</v>
      </c>
      <c r="F5" s="30">
        <f>IF(Vendedor2!$E$20="",0,Vendedor2!$E$20)</f>
        <v>0</v>
      </c>
      <c r="H5" s="42">
        <f t="shared" ref="H5:H31" si="1">+C5+E5</f>
        <v>9150</v>
      </c>
      <c r="I5" s="41">
        <f>MROUND(H5*Vendedor2!J$9,50)</f>
        <v>1200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7950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16400</v>
      </c>
      <c r="D10" s="30">
        <f>IF(Vendedor7!$E$19="",0,Vendedor7!$E$19)</f>
        <v>0</v>
      </c>
      <c r="E10" s="180">
        <f>IF(Vendedor7!$C$20="",0,Vendedor7!$C$20)</f>
        <v>8800</v>
      </c>
      <c r="F10" s="30">
        <f>IF(Vendedor7!$E$20="",0,Vendedor7!$E$20)</f>
        <v>0</v>
      </c>
      <c r="H10" s="42">
        <f t="shared" si="1"/>
        <v>25200</v>
      </c>
      <c r="I10" s="41">
        <f>MROUND(H10*Vendedor7!J$14,50)</f>
        <v>3000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22200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41450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41450</v>
      </c>
      <c r="I12" s="148">
        <f>MROUND(H12*Vendedor9!J$11,50)</f>
        <v>4950</v>
      </c>
      <c r="J12" s="133">
        <f t="shared" si="2"/>
        <v>300</v>
      </c>
      <c r="K12" s="133">
        <f t="shared" si="3"/>
        <v>25500</v>
      </c>
      <c r="L12" s="133">
        <f>Vendedor9!$F$19+Vendedor9!$F$20</f>
        <v>25500</v>
      </c>
      <c r="M12" s="155"/>
      <c r="N12" s="133">
        <f t="shared" si="0"/>
        <v>11000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1000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1000</v>
      </c>
      <c r="I16" s="148">
        <f>MROUND(H16*Vendedor13!J$11,50)</f>
        <v>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900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50900</v>
      </c>
      <c r="D17" s="30">
        <f>IF(Vendedor14!$E$19="",0,Vendedor14!$E$19)</f>
        <v>200</v>
      </c>
      <c r="E17" s="180">
        <f>IF(Vendedor14!$C$20="",0,Vendedor14!$C$20)</f>
        <v>45900</v>
      </c>
      <c r="F17" s="30">
        <f>IF(Vendedor14!$E$20="",0,Vendedor14!$E$20)</f>
        <v>0</v>
      </c>
      <c r="H17" s="42">
        <f t="shared" si="1"/>
        <v>96800</v>
      </c>
      <c r="I17" s="41">
        <f>MROUND(H17*Vendedor14!J$15,50)</f>
        <v>11600</v>
      </c>
      <c r="J17" s="42">
        <f t="shared" si="2"/>
        <v>200</v>
      </c>
      <c r="K17" s="42">
        <f t="shared" si="3"/>
        <v>17000</v>
      </c>
      <c r="L17" s="42">
        <f>Vendedor14!$F$19+Vendedor14!$F$20</f>
        <v>17000</v>
      </c>
      <c r="N17" s="42">
        <f t="shared" si="0"/>
        <v>68200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44500</v>
      </c>
      <c r="D18" s="30">
        <f>IF(Vendedor15!$E$19="",0,Vendedor15!$E$19)</f>
        <v>0</v>
      </c>
      <c r="E18" s="180">
        <f>IF(Vendedor15!$C$20="",0,Vendedor15!$C$20)</f>
        <v>33300</v>
      </c>
      <c r="F18" s="30">
        <f>IF(Vendedor15!$E$20="",0,Vendedor15!$E$20)</f>
        <v>300</v>
      </c>
      <c r="H18" s="42">
        <f t="shared" si="1"/>
        <v>77800</v>
      </c>
      <c r="I18" s="41">
        <f>MROUND(H18*Vendedor15!J$15,50)</f>
        <v>9350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42950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175150</v>
      </c>
      <c r="D32" s="44">
        <f>SUM(D4:D31)</f>
        <v>500</v>
      </c>
      <c r="E32" s="43">
        <f>SUM(E4:E31)</f>
        <v>93450</v>
      </c>
      <c r="F32" s="44">
        <f>SUM(F4:F31)</f>
        <v>300</v>
      </c>
      <c r="H32" s="95">
        <f>SUM(H4:H31)</f>
        <v>268600</v>
      </c>
      <c r="I32" s="45">
        <f>SUM(I7:I31)</f>
        <v>29000</v>
      </c>
      <c r="J32" s="95"/>
      <c r="K32" s="95">
        <f>SUM(K4:K31)</f>
        <v>68000</v>
      </c>
      <c r="L32" s="95">
        <f>SUM(L4:L31)</f>
        <v>68000</v>
      </c>
      <c r="N32" s="79">
        <f>SUM(N4:N31)</f>
        <v>168150</v>
      </c>
    </row>
    <row r="33" spans="3:6" x14ac:dyDescent="0.35">
      <c r="D33" s="99">
        <f>+D32*85</f>
        <v>42500</v>
      </c>
      <c r="F33" s="99">
        <f>+F32*85</f>
        <v>25500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268600</v>
      </c>
      <c r="E36" s="43">
        <f>+D36-H4-H5-H6</f>
        <v>242250</v>
      </c>
    </row>
    <row r="37" spans="3:6" x14ac:dyDescent="0.35">
      <c r="C37" s="47" t="s">
        <v>33</v>
      </c>
      <c r="D37" s="48">
        <f>D36*13%</f>
        <v>34918</v>
      </c>
      <c r="E37">
        <f>+D37-I4-I5-I6</f>
        <v>31468</v>
      </c>
    </row>
    <row r="38" spans="3:6" ht="15" thickBot="1" x14ac:dyDescent="0.4">
      <c r="C38" s="47" t="s">
        <v>30</v>
      </c>
      <c r="D38" s="30">
        <f>SUM(K4:K27)</f>
        <v>68000</v>
      </c>
    </row>
    <row r="39" spans="3:6" ht="15" thickBot="1" x14ac:dyDescent="0.4">
      <c r="C39" s="49" t="s">
        <v>4</v>
      </c>
      <c r="D39" s="80">
        <f>+D36-D37-D38</f>
        <v>165682</v>
      </c>
      <c r="F39" s="98">
        <f>+N32-D39</f>
        <v>2468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165682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64</v>
      </c>
      <c r="D2" s="268"/>
      <c r="E2" s="267">
        <f>DigitaHONDURAS!E2</f>
        <v>78</v>
      </c>
      <c r="F2" s="268"/>
      <c r="G2" s="267">
        <f>DigitaHONDURAS!G2</f>
        <v>65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20750</v>
      </c>
      <c r="D10" s="30">
        <f>IF(Vendedor7!$E$21="",0,Vendedor7!$E$21)</f>
        <v>0</v>
      </c>
      <c r="E10" s="180">
        <f>IF(Vendedor7!$C$22="",0,Vendedor7!$C$22)</f>
        <v>11500</v>
      </c>
      <c r="F10" s="30">
        <f>IF(Vendedor7!$E$22="",0,Vendedor7!$E$22)</f>
        <v>0</v>
      </c>
      <c r="G10" s="180">
        <f>IF(Vendedor7!$C$23="",0,Vendedor7!$C$23)</f>
        <v>1250</v>
      </c>
      <c r="H10" s="30">
        <f>IF(Vendedor7!$E$23="",0,Vendedor7!$E$23)</f>
        <v>0</v>
      </c>
      <c r="J10" s="42">
        <f t="shared" si="0"/>
        <v>33500</v>
      </c>
      <c r="K10" s="41">
        <f>MROUND(J10*Vendedor7!J$14,50)</f>
        <v>4000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29500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4500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4500</v>
      </c>
      <c r="K12" s="41">
        <f>MROUND(J12*Vendedor9!J$14,50)</f>
        <v>550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3950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25750</v>
      </c>
      <c r="D17" s="30">
        <f>IF(Vendedor14!$E$21="",0,Vendedor14!$E$21)</f>
        <v>400</v>
      </c>
      <c r="E17" s="180">
        <f>IF(Vendedor14!$C$22="",0,Vendedor14!$C$22)</f>
        <v>3300</v>
      </c>
      <c r="F17" s="30">
        <f>IF(Vendedor14!$E$22="",0,Vendedor14!$E$22)</f>
        <v>0</v>
      </c>
      <c r="G17" s="180">
        <f>IF(Vendedor14!$C$23="",0,Vendedor14!$C$23)</f>
        <v>26650</v>
      </c>
      <c r="H17" s="30">
        <f>IF(Vendedor14!$E$23="",0,Vendedor14!$E$23)</f>
        <v>0</v>
      </c>
      <c r="J17" s="42">
        <f t="shared" si="0"/>
        <v>55700</v>
      </c>
      <c r="K17" s="41">
        <f>MROUND(J17*Vendedor14!J$15,50)</f>
        <v>6700</v>
      </c>
      <c r="L17" s="42">
        <f t="shared" si="1"/>
        <v>400</v>
      </c>
      <c r="M17" s="42">
        <f t="shared" si="3"/>
        <v>34000</v>
      </c>
      <c r="N17" s="42">
        <f>Vendedor14!$F$21+Vendedor14!$F$22+Vendedor14!$F$23</f>
        <v>34000</v>
      </c>
      <c r="P17" s="42">
        <f t="shared" si="2"/>
        <v>15000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23100</v>
      </c>
      <c r="D18" s="30">
        <f>IF(Vendedor15!$E$21="",0,Vendedor15!$E$21)</f>
        <v>200</v>
      </c>
      <c r="E18" s="180">
        <f>IF(Vendedor15!$C$22="",0,Vendedor15!$C$22)</f>
        <v>5000</v>
      </c>
      <c r="F18" s="30">
        <f>IF(Vendedor15!$E$22="",0,Vendedor15!$E$22)</f>
        <v>0</v>
      </c>
      <c r="G18" s="180">
        <f>IF(Vendedor15!$C$23="",0,Vendedor15!$C$23)</f>
        <v>5000</v>
      </c>
      <c r="H18" s="30">
        <f>IF(Vendedor15!$E$23="",0,Vendedor15!$E$23)</f>
        <v>0</v>
      </c>
      <c r="J18" s="42">
        <f t="shared" si="0"/>
        <v>33100</v>
      </c>
      <c r="K18" s="41">
        <f>MROUND(J18*Vendedor15!J$15,50)</f>
        <v>3950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12150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74100</v>
      </c>
      <c r="D32" s="44">
        <f t="shared" si="8"/>
        <v>600</v>
      </c>
      <c r="E32" s="43">
        <f t="shared" si="8"/>
        <v>19800</v>
      </c>
      <c r="F32" s="44">
        <f t="shared" si="8"/>
        <v>0</v>
      </c>
      <c r="G32" s="43">
        <f t="shared" si="8"/>
        <v>32900</v>
      </c>
      <c r="H32" s="44">
        <f t="shared" si="8"/>
        <v>0</v>
      </c>
      <c r="J32" s="95">
        <f>SUM(J4:J31)</f>
        <v>126800</v>
      </c>
      <c r="K32" s="45">
        <f>SUM(K7:K31)</f>
        <v>15200</v>
      </c>
      <c r="L32" s="95"/>
      <c r="M32" s="95">
        <f>SUM(M4:M31)</f>
        <v>51000</v>
      </c>
      <c r="N32" s="95">
        <f>SUM(N4:N31)</f>
        <v>51000</v>
      </c>
      <c r="P32" s="79">
        <f>SUM(P4:P31)</f>
        <v>60600</v>
      </c>
    </row>
    <row r="33" spans="3:8" x14ac:dyDescent="0.35">
      <c r="D33" s="99">
        <f>+D32*85</f>
        <v>51000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126800</v>
      </c>
      <c r="E36" s="43">
        <f>+D36-J4-J5-J6</f>
        <v>126800</v>
      </c>
    </row>
    <row r="37" spans="3:8" x14ac:dyDescent="0.35">
      <c r="C37" s="47" t="s">
        <v>33</v>
      </c>
      <c r="D37" s="48">
        <f>D36*13%</f>
        <v>16484</v>
      </c>
      <c r="E37">
        <f>+D37-K4-K5-K6</f>
        <v>16484</v>
      </c>
    </row>
    <row r="38" spans="3:8" ht="15" thickBot="1" x14ac:dyDescent="0.4">
      <c r="C38" s="47" t="s">
        <v>30</v>
      </c>
      <c r="D38" s="30">
        <f>SUM(M4:M27)</f>
        <v>51000</v>
      </c>
      <c r="G38" s="100"/>
    </row>
    <row r="39" spans="3:8" ht="15" thickBot="1" x14ac:dyDescent="0.4">
      <c r="C39" s="49" t="s">
        <v>4</v>
      </c>
      <c r="D39" s="80">
        <f>+D36-D37-D38</f>
        <v>59316</v>
      </c>
      <c r="F39" s="98">
        <f>+P32-D39</f>
        <v>1284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59316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48</v>
      </c>
      <c r="D2" s="268"/>
      <c r="E2" s="267" t="str">
        <f>DigitaDOMINICANA!E2</f>
        <v>09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982500</v>
      </c>
      <c r="C4" s="157">
        <f>HojaNICA!M32</f>
        <v>117850</v>
      </c>
      <c r="D4" s="150">
        <f>HojaNICA!E37</f>
        <v>127695.5</v>
      </c>
      <c r="E4" s="150">
        <f>HojaNICA!P32</f>
        <v>474750</v>
      </c>
      <c r="F4" s="150">
        <f>HojaNICA!O32</f>
        <v>480250</v>
      </c>
      <c r="G4" s="151">
        <f t="shared" ref="G4:G10" si="0">+D4-C4+F4-E4</f>
        <v>15345.5</v>
      </c>
      <c r="H4" s="21"/>
      <c r="I4" s="182"/>
    </row>
    <row r="5" spans="1:9" x14ac:dyDescent="0.35">
      <c r="A5" s="28" t="s">
        <v>19</v>
      </c>
      <c r="B5" s="156">
        <f>HojaTICA!$E$36</f>
        <v>1382750</v>
      </c>
      <c r="C5" s="157">
        <f>HojaTICA!K32</f>
        <v>168400</v>
      </c>
      <c r="D5" s="150">
        <f>HojaTICA!E37</f>
        <v>179794</v>
      </c>
      <c r="E5" s="150">
        <f>HojaTICA!N32</f>
        <v>2368500</v>
      </c>
      <c r="F5" s="150">
        <f>HojaTICA!D38</f>
        <v>2371500</v>
      </c>
      <c r="G5" s="151">
        <f t="shared" si="0"/>
        <v>14394</v>
      </c>
      <c r="H5" s="21"/>
      <c r="I5" s="182"/>
    </row>
    <row r="6" spans="1:9" x14ac:dyDescent="0.35">
      <c r="A6" s="28" t="s">
        <v>125</v>
      </c>
      <c r="B6" s="156">
        <f>HojaREVENTADO!$E$37</f>
        <v>196150</v>
      </c>
      <c r="C6" s="157">
        <f>HojaREVENTADO!K33</f>
        <v>19615</v>
      </c>
      <c r="D6" s="150">
        <f>HojaREVENTADO!E38</f>
        <v>19615</v>
      </c>
      <c r="E6" s="150">
        <f>HojaREVENTADO!O33</f>
        <v>560000</v>
      </c>
      <c r="F6" s="150">
        <f>HojaREVENTADO!N33</f>
        <v>616000</v>
      </c>
      <c r="G6" s="151">
        <f t="shared" si="0"/>
        <v>56000</v>
      </c>
      <c r="H6" s="21"/>
      <c r="I6" s="182"/>
    </row>
    <row r="7" spans="1:9" x14ac:dyDescent="0.35">
      <c r="A7" s="28" t="s">
        <v>96</v>
      </c>
      <c r="B7" s="156">
        <f>HojaPrimera!$E$36</f>
        <v>242250</v>
      </c>
      <c r="C7" s="157">
        <f>HojaPrimera!I32</f>
        <v>29000</v>
      </c>
      <c r="D7" s="150">
        <f>HojaPrimera!E37</f>
        <v>31468</v>
      </c>
      <c r="E7" s="150">
        <f>HojaPrimera!L32</f>
        <v>68000</v>
      </c>
      <c r="F7" s="150">
        <f>HojaPrimera!K32</f>
        <v>68000</v>
      </c>
      <c r="G7" s="151">
        <f t="shared" si="0"/>
        <v>2468</v>
      </c>
      <c r="H7" s="21"/>
      <c r="I7" s="21"/>
    </row>
    <row r="8" spans="1:9" x14ac:dyDescent="0.35">
      <c r="A8" s="28" t="s">
        <v>104</v>
      </c>
      <c r="B8" s="156">
        <f>HojaHonduras!$E$36</f>
        <v>126800</v>
      </c>
      <c r="C8" s="157">
        <f>HojaHonduras!K32</f>
        <v>15200</v>
      </c>
      <c r="D8" s="150">
        <f>HojaHonduras!E37</f>
        <v>16484</v>
      </c>
      <c r="E8" s="150">
        <f>HojaHonduras!N32</f>
        <v>51000</v>
      </c>
      <c r="F8" s="150">
        <f>HojaHonduras!M32</f>
        <v>51000</v>
      </c>
      <c r="G8" s="151">
        <f t="shared" si="0"/>
        <v>1284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2930450</v>
      </c>
      <c r="C11" s="175">
        <f>SUM(C4:C10)</f>
        <v>350065</v>
      </c>
      <c r="D11" s="175">
        <f t="shared" ref="D11:F11" si="1">SUM(D4:D10)</f>
        <v>375056.5</v>
      </c>
      <c r="E11" s="175">
        <f t="shared" si="1"/>
        <v>3522250</v>
      </c>
      <c r="F11" s="175">
        <f t="shared" si="1"/>
        <v>3586750</v>
      </c>
      <c r="G11" s="176">
        <f>SUM(G4:G10)</f>
        <v>89491.5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54491.5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228000</v>
      </c>
      <c r="E16" s="157">
        <f>+Vendedor1!D21</f>
        <v>29640</v>
      </c>
      <c r="F16" s="158">
        <f>IF(D16&lt;&gt;0,15000,0)</f>
        <v>15000</v>
      </c>
      <c r="G16" s="151">
        <f>+E16-F16</f>
        <v>14640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207250</v>
      </c>
      <c r="E17" s="157">
        <f>+Vendedor2!D21</f>
        <v>26942.5</v>
      </c>
      <c r="F17" s="158">
        <f>IF(D17&lt;&gt;0,15000,0)</f>
        <v>15000</v>
      </c>
      <c r="G17" s="151">
        <f>+E17-F17</f>
        <v>11942.5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435250</v>
      </c>
      <c r="E19" s="159">
        <f>SUM(E16:E18)</f>
        <v>56582.5</v>
      </c>
      <c r="F19" s="160">
        <f>SUM(F16:F18)</f>
        <v>30000</v>
      </c>
      <c r="G19" s="161">
        <f>SUM(G16:G18)</f>
        <v>26582.5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81074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1080350</v>
      </c>
      <c r="C5" s="150">
        <f>HojaNICA!D37</f>
        <v>140445.5</v>
      </c>
      <c r="D5" s="150">
        <f>HojaNICA!D38</f>
        <v>480250</v>
      </c>
      <c r="E5" s="150"/>
      <c r="F5" s="151">
        <f>+B5-C5-D5+E5</f>
        <v>459654.5</v>
      </c>
      <c r="H5" s="249" t="s">
        <v>105</v>
      </c>
      <c r="I5" s="243">
        <f ca="1">TODAY()-2</f>
        <v>46146</v>
      </c>
      <c r="O5" s="119"/>
    </row>
    <row r="6" spans="1:15" ht="15" thickBot="1" x14ac:dyDescent="0.4">
      <c r="A6" s="47" t="s">
        <v>36</v>
      </c>
      <c r="B6" s="150">
        <f>HojaTICA!D36</f>
        <v>1693800</v>
      </c>
      <c r="C6" s="150">
        <f>HojaTICA!D37</f>
        <v>220194</v>
      </c>
      <c r="D6" s="150">
        <f>HojaTICA!D38</f>
        <v>2371500</v>
      </c>
      <c r="E6" s="150"/>
      <c r="F6" s="151">
        <f t="shared" ref="F6:F11" si="0">+B6-C6-D6+E6</f>
        <v>-897894</v>
      </c>
      <c r="H6" s="256">
        <v>-2000000</v>
      </c>
      <c r="K6">
        <v>9699964.9500000011</v>
      </c>
    </row>
    <row r="7" spans="1:15" ht="15" thickBot="1" x14ac:dyDescent="0.4">
      <c r="A7" s="47" t="s">
        <v>38</v>
      </c>
      <c r="B7" s="150">
        <f>HojaREVENTADO!D37</f>
        <v>196150</v>
      </c>
      <c r="C7" s="150">
        <f>HojaREVENTADO!D38</f>
        <v>19615</v>
      </c>
      <c r="D7" s="150">
        <f>HojaREVENTADO!D39</f>
        <v>616000</v>
      </c>
      <c r="E7" s="150"/>
      <c r="F7" s="151">
        <f t="shared" si="0"/>
        <v>-439465</v>
      </c>
      <c r="K7">
        <f>1929209.13+4310283.24+1305698.6+1197773.98</f>
        <v>8742964.9500000011</v>
      </c>
    </row>
    <row r="8" spans="1:15" x14ac:dyDescent="0.35">
      <c r="A8" s="47" t="s">
        <v>96</v>
      </c>
      <c r="B8" s="150">
        <f>HojaPrimera!$D36</f>
        <v>268600</v>
      </c>
      <c r="C8" s="150">
        <f>HojaPrimera!$D37</f>
        <v>34918</v>
      </c>
      <c r="D8" s="150">
        <f>HojaPrimera!$D38</f>
        <v>68000</v>
      </c>
      <c r="E8" s="150"/>
      <c r="F8" s="151">
        <f t="shared" si="0"/>
        <v>165682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126800</v>
      </c>
      <c r="C9" s="150">
        <f>HojaHonduras!$D37</f>
        <v>16484</v>
      </c>
      <c r="D9" s="150">
        <f>HojaHonduras!$D38</f>
        <v>51000</v>
      </c>
      <c r="E9" s="150"/>
      <c r="F9" s="151">
        <f t="shared" si="0"/>
        <v>59316</v>
      </c>
      <c r="H9" s="250">
        <f>+K12-K10-H6</f>
        <v>-652706.50000000186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8742964.9500000011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6090258.4500000011</v>
      </c>
    </row>
    <row r="12" spans="1:15" ht="16" thickBot="1" x14ac:dyDescent="0.4">
      <c r="A12" s="144" t="s">
        <v>5</v>
      </c>
      <c r="B12" s="152">
        <f>SUM(B5:B11)</f>
        <v>3365700</v>
      </c>
      <c r="C12" s="152">
        <f>SUM(C5:C11)</f>
        <v>431656.5</v>
      </c>
      <c r="D12" s="152">
        <f>SUM(D5:D11)</f>
        <v>3586750</v>
      </c>
      <c r="E12" s="152"/>
      <c r="F12" s="255">
        <f>SUM(F5:F11)</f>
        <v>-652706.5</v>
      </c>
      <c r="H12" s="251">
        <f>K12</f>
        <v>6090258.4499999993</v>
      </c>
      <c r="J12" t="s">
        <v>140</v>
      </c>
      <c r="K12" s="254">
        <f>-968684.87+4769937.74+866233.6+1422771.98</f>
        <v>6090258.4499999993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160500</v>
      </c>
      <c r="K4" s="231">
        <f t="shared" ref="K4" si="0">D7+D11+D15</f>
        <v>20865</v>
      </c>
      <c r="L4" s="220">
        <f>F7+F11+F15</f>
        <v>187000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IF(DigitaNICA!C4&lt;&gt;"",DigitaNICA!C4,"")</f>
        <v>14000</v>
      </c>
      <c r="D5" s="42">
        <f>IF(C5="",0,C5*J$10)</f>
        <v>1820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12180</v>
      </c>
      <c r="I5" s="241" t="s">
        <v>37</v>
      </c>
      <c r="J5" s="221">
        <f>SUM(IF(C5="",0,C5),IF(C9="",0,C9),IF(C13="",0,C13),IF(C17="",0,C17))</f>
        <v>50300</v>
      </c>
      <c r="K5" s="225">
        <f t="shared" ref="K5" si="2">D5+D9+D13+D17</f>
        <v>6539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17200</v>
      </c>
      <c r="K6" s="228">
        <f>D19+D20</f>
        <v>2236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>
        <f>IF(DigitaTICA!C4&lt;&gt;"",DigitaTICA!C4,"")</f>
        <v>44300</v>
      </c>
      <c r="D7" s="42">
        <f>IF(C7="",0,C7*J$9)</f>
        <v>5759</v>
      </c>
      <c r="E7" s="29">
        <f>IF(DigitaTICA!D4&lt;&gt;"",DigitaTICA!D4,"")</f>
        <v>700</v>
      </c>
      <c r="F7" s="42">
        <f>IF(E7="",0,E7*PREMIOS!F7)</f>
        <v>59500</v>
      </c>
      <c r="G7" s="30">
        <f t="shared" si="1"/>
        <v>-20959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IF(DigitaNICA!E4&lt;&gt;"",DigitaNICA!E4,"")</f>
        <v>24300</v>
      </c>
      <c r="D9" s="42">
        <f>IF(C9="",0,C9*J$10)</f>
        <v>3159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21141</v>
      </c>
      <c r="I9" s="76" t="s">
        <v>36</v>
      </c>
      <c r="J9" s="77">
        <v>0.13</v>
      </c>
      <c r="K9" s="78">
        <f>MROUND(D7+D11+D15,50)</f>
        <v>20850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6550</v>
      </c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IF(DigitaTICA!E4&lt;&gt;"",DigitaTICA!E4,"")</f>
        <v>40100</v>
      </c>
      <c r="D11" s="42">
        <f>IF(C11="",0,C11*J$9)</f>
        <v>5213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-7613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2250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IF(DigitaNICA!G4&lt;&gt;"",DigitaNICA!G4,"")</f>
        <v>7000</v>
      </c>
      <c r="D13" s="42">
        <f>IF(C13="",0,C13*J$10)</f>
        <v>910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6090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IF(DigitaTICA!G4&lt;&gt;"",DigitaTICA!G4,"")</f>
        <v>76100</v>
      </c>
      <c r="D15" s="42">
        <f>IF(C15="",0,C15*J$9)</f>
        <v>9893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-18793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>
        <f>IF(DigitaNICA!I4&lt;&gt;"",DigitaNICA!I4,"")</f>
        <v>5000</v>
      </c>
      <c r="D17" s="42">
        <f>IF(C17="",0,C17*J$10)</f>
        <v>650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73</v>
      </c>
      <c r="C19" s="29">
        <f>IF(DigitaPRIMERA!C4&lt;&gt;"",DigitaPRIMERA!C4,"")</f>
        <v>14300</v>
      </c>
      <c r="D19" s="42">
        <f>IF(C19="",0,C19*J$12)</f>
        <v>1859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12441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>
        <f>IF(DigitaPRIMERA!E4&lt;&gt;"",DigitaPRIMERA!E4,"")</f>
        <v>2900</v>
      </c>
      <c r="D20" s="42">
        <f>IF(C20="",0,C20*J$12)</f>
        <v>377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2523</v>
      </c>
    </row>
    <row r="21" spans="1:7" ht="15" thickBot="1" x14ac:dyDescent="0.4">
      <c r="A21" s="121" t="s">
        <v>5</v>
      </c>
      <c r="B21" s="128"/>
      <c r="C21" s="122">
        <f>SUM(C5:C20)</f>
        <v>228000</v>
      </c>
      <c r="D21" s="122">
        <f t="shared" ref="D21:G21" si="6">SUM(D5:D20)</f>
        <v>29640</v>
      </c>
      <c r="E21" s="122">
        <f t="shared" si="6"/>
        <v>2200</v>
      </c>
      <c r="F21" s="122">
        <f t="shared" si="6"/>
        <v>187000</v>
      </c>
      <c r="G21" s="123">
        <f t="shared" si="6"/>
        <v>11360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150550</v>
      </c>
      <c r="K4" s="231">
        <f t="shared" ref="K4" si="0">D7+D11+D15</f>
        <v>19571.5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IF(DigitaNICA!C5&lt;&gt;"",DigitaNICA!C5,"")</f>
        <v>21900</v>
      </c>
      <c r="D5" s="42">
        <f>IF(C5="",0,C5*J$10)</f>
        <v>2847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19053</v>
      </c>
      <c r="I5" s="241" t="s">
        <v>37</v>
      </c>
      <c r="J5" s="221">
        <f>SUM(IF(C5="",0,C5),IF(C9="",0,C9),IF(C13="",0,C13),IF(C17="",0,C17))</f>
        <v>47550</v>
      </c>
      <c r="K5" s="225">
        <f t="shared" ref="K5" si="2">D5+D9+D13+D17</f>
        <v>6181.5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9150</v>
      </c>
      <c r="K6" s="228">
        <f>D19+D20</f>
        <v>1189.5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>
        <f>IF(DigitaTICA!C5&lt;&gt;"",DigitaTICA!C5,"")</f>
        <v>47200</v>
      </c>
      <c r="D7" s="42">
        <f>IF(C7="",0,C7*J$9)</f>
        <v>6136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19814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IF(DigitaNICA!E5&lt;&gt;"",DigitaNICA!E5,"")</f>
        <v>4950</v>
      </c>
      <c r="D9" s="42">
        <f>IF(C9="",0,C9*J$10)</f>
        <v>643.5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4306.5</v>
      </c>
      <c r="I9" s="60" t="s">
        <v>36</v>
      </c>
      <c r="J9" s="61">
        <v>0.13</v>
      </c>
      <c r="K9" s="62">
        <f>MROUND(D7+D11+D15,50)</f>
        <v>19550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6200</v>
      </c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IF(DigitaTICA!E5&lt;&gt;"",DigitaTICA!E5,"")</f>
        <v>27900</v>
      </c>
      <c r="D11" s="42">
        <f>IF(C11="",0,C11*J$9)</f>
        <v>3627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-13977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IF(DigitaNICA!G5&lt;&gt;"",DigitaNICA!G5,"")</f>
        <v>10550</v>
      </c>
      <c r="D13" s="42">
        <f>IF(C13="",0,C13*J$10)</f>
        <v>1371.5</v>
      </c>
      <c r="E13" s="29">
        <f>IF(DigitaNICA!H5&lt;&gt;"",DigitaNICA!H5,"")</f>
        <v>500</v>
      </c>
      <c r="F13" s="42">
        <f>IF(E13="",0,E13*PREMIOS!E13)</f>
        <v>40000</v>
      </c>
      <c r="G13" s="30">
        <f>IF(OR(C13="",E13=""),0,C13-D13-F13)</f>
        <v>-30821.5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IF(DigitaTICA!G5&lt;&gt;"",DigitaTICA!G5,"")</f>
        <v>75450</v>
      </c>
      <c r="D15" s="42">
        <f>IF(C15="",0,C15*J$9)</f>
        <v>9808.5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44391.5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>
        <f>IF(DigitaNICA!I5&lt;&gt;"",DigitaNICA!I5,"")</f>
        <v>10150</v>
      </c>
      <c r="D17" s="42">
        <f>IF(C17="",0,C17*J$10)</f>
        <v>1319.5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8830.5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73</v>
      </c>
      <c r="C19" s="29">
        <f>IF(DigitaPRIMERA!C5&lt;&gt;"",DigitaPRIMERA!C5,"")</f>
        <v>6600</v>
      </c>
      <c r="D19" s="42">
        <f>IF(C19="",0,C19*J$12)</f>
        <v>858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5742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>
        <f>IF(DigitaPRIMERA!E5&lt;&gt;"",DigitaPRIMERA!E5,"")</f>
        <v>2550</v>
      </c>
      <c r="D20" s="42">
        <f>IF(C20="",0,C20*J$12)</f>
        <v>331.5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2218.5</v>
      </c>
    </row>
    <row r="21" spans="1:7" ht="15" thickBot="1" x14ac:dyDescent="0.4">
      <c r="A21" s="67" t="s">
        <v>5</v>
      </c>
      <c r="B21" s="127"/>
      <c r="C21" s="68">
        <f>SUM(C5:C20)</f>
        <v>207250</v>
      </c>
      <c r="D21" s="68">
        <f t="shared" ref="D21:G21" si="4">SUM(D5:D20)</f>
        <v>26942.5</v>
      </c>
      <c r="E21" s="68">
        <f t="shared" si="4"/>
        <v>1450</v>
      </c>
      <c r="F21" s="68">
        <f t="shared" si="4"/>
        <v>120750</v>
      </c>
      <c r="G21" s="88">
        <f t="shared" si="4"/>
        <v>59557.5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17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73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445650</v>
      </c>
      <c r="K4" s="231">
        <f t="shared" ref="K4" si="0">D7+D11+D15</f>
        <v>53478</v>
      </c>
      <c r="L4" s="220">
        <f>F7+F11+F15</f>
        <v>569500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IF(DigitaNICA!C10&lt;&gt;"",DigitaNICA!C10,"")</f>
        <v>65050</v>
      </c>
      <c r="D5" s="42">
        <f>IF(C5="",0,C5*J$15)</f>
        <v>7806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57244</v>
      </c>
      <c r="I5" s="217" t="s">
        <v>37</v>
      </c>
      <c r="J5" s="221">
        <f>SUM(IF(C5="",0,C5),IF(C9="",0,C9),IF(C13="",0,C13),IF(C17="",0,C17))</f>
        <v>305850</v>
      </c>
      <c r="K5" s="225">
        <f t="shared" ref="K5" si="2">D5+D9+D13+D17</f>
        <v>36702</v>
      </c>
      <c r="L5" s="222">
        <f>F5+F9+F13+F17</f>
        <v>12750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83000</v>
      </c>
      <c r="K6" s="226">
        <f t="shared" ref="K6" si="3">+D8+D12+D16</f>
        <v>8300</v>
      </c>
      <c r="L6" s="227">
        <f>F8+F12+F16</f>
        <v>110000</v>
      </c>
    </row>
    <row r="7" spans="1:12" x14ac:dyDescent="0.35">
      <c r="A7" s="28" t="s">
        <v>46</v>
      </c>
      <c r="B7" s="132">
        <f>IF(DigitaTICA!C2&lt;&gt;"",DigitaTICA!C2,"")</f>
        <v>41</v>
      </c>
      <c r="C7" s="29">
        <f>IF(DigitaTICA!C10&lt;&gt;"",DigitaTICA!C10,"")</f>
        <v>156250</v>
      </c>
      <c r="D7" s="42">
        <f>IF(C7="",0,C7*J$14)</f>
        <v>18750</v>
      </c>
      <c r="E7" s="29">
        <f>IF(DigitaTICA!D10&lt;&gt;"",DigitaTICA!D10,"")</f>
        <v>2600</v>
      </c>
      <c r="F7" s="42">
        <f>IF(E7="",0,E7*PREMIOS!F7)</f>
        <v>221000</v>
      </c>
      <c r="G7" s="30">
        <f t="shared" si="1"/>
        <v>-83500</v>
      </c>
      <c r="I7" s="217" t="s">
        <v>96</v>
      </c>
      <c r="J7" s="223">
        <f>SUM(IF(C19="",0,C19),IF(C20="",0,C20))</f>
        <v>25200</v>
      </c>
      <c r="K7" s="226">
        <f>+D19+D20</f>
        <v>3024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32050</v>
      </c>
      <c r="D8" s="42">
        <f>IF(C8="",0,C8*J$16)</f>
        <v>3205</v>
      </c>
      <c r="E8" s="29">
        <f>IF(DigitaREVENTADO!D10&lt;&gt;"",DigitaREVENTADO!D10,"")</f>
        <v>250</v>
      </c>
      <c r="F8" s="42">
        <f>IF(E8="",0,E8*PREMIOS!F8)</f>
        <v>50000</v>
      </c>
      <c r="G8" s="30">
        <f t="shared" si="1"/>
        <v>-21155</v>
      </c>
      <c r="I8" s="217" t="s">
        <v>104</v>
      </c>
      <c r="J8" s="223">
        <f>SUM(IF(C21="",0,C21),IF(C22="",0,C22),IF(C23="",0,C23))</f>
        <v>33500</v>
      </c>
      <c r="K8" s="226">
        <f t="shared" ref="K8" si="4">D21+D22+D23</f>
        <v>4020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IF(DigitaNICA!E10&lt;&gt;"",DigitaNICA!E10,"")</f>
        <v>92750</v>
      </c>
      <c r="D9" s="42">
        <f>IF(C9="",0,C9*J$15)</f>
        <v>11130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81620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IF(DigitaTICA!E10&lt;&gt;"",DigitaTICA!E10,"")</f>
        <v>130500</v>
      </c>
      <c r="D11" s="42">
        <f>IF(C11="",0,C11*J$14)</f>
        <v>15660</v>
      </c>
      <c r="E11" s="29">
        <f>IF(DigitaTICA!F10&lt;&gt;"",DigitaTICA!F10,"")</f>
        <v>250</v>
      </c>
      <c r="F11" s="42">
        <f>IF(E11="",0,E11*PREMIOS!F11)</f>
        <v>21250</v>
      </c>
      <c r="G11" s="30">
        <f t="shared" si="1"/>
        <v>93590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17550</v>
      </c>
      <c r="D12" s="42">
        <f>IF(C12="",0,C12*J$16)</f>
        <v>1755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15795</v>
      </c>
    </row>
    <row r="13" spans="1:12" ht="15" thickBot="1" x14ac:dyDescent="0.4">
      <c r="A13" s="28" t="s">
        <v>50</v>
      </c>
      <c r="B13" s="132">
        <f>IF(DigitaNICA!G2&lt;&gt;"",DigitaNICA!G2,"")</f>
        <v>65</v>
      </c>
      <c r="C13" s="29">
        <f>IF(DigitaNICA!G10&lt;&gt;"",DigitaNICA!G10,"")</f>
        <v>49800</v>
      </c>
      <c r="D13" s="42">
        <f>IF(C13="",0,C13*J$15)</f>
        <v>5976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31074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53500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IF(DigitaTICA!G10&lt;&gt;"",DigitaTICA!G10,"")</f>
        <v>158900</v>
      </c>
      <c r="D15" s="42">
        <f>IF(C15="",0,C15*J$14)</f>
        <v>19068</v>
      </c>
      <c r="E15" s="29">
        <f>IF(DigitaTICA!H10&lt;&gt;"",DigitaTICA!H10,"")</f>
        <v>3850</v>
      </c>
      <c r="F15" s="42">
        <f>IF(E15="",0,E15*PREMIOS!F15)</f>
        <v>327250</v>
      </c>
      <c r="G15" s="30">
        <f t="shared" si="6"/>
        <v>-187418</v>
      </c>
      <c r="I15" s="63" t="s">
        <v>37</v>
      </c>
      <c r="J15" s="64">
        <v>0.12</v>
      </c>
      <c r="K15" s="30">
        <f>MROUND(D5+D9+D13+D17,50)</f>
        <v>36700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33400</v>
      </c>
      <c r="D16" s="42">
        <f>IF(C16="",0,C16*J$16)</f>
        <v>3340</v>
      </c>
      <c r="E16" s="29">
        <f>IF(DigitaREVENTADO!H10&lt;&gt;"",DigitaREVENTADO!H10,"")</f>
        <v>300</v>
      </c>
      <c r="F16" s="42">
        <f>IF(E16="",0,E16*PREMIOS!F16)</f>
        <v>60000</v>
      </c>
      <c r="G16" s="30">
        <f t="shared" si="6"/>
        <v>-29940</v>
      </c>
      <c r="I16" s="63" t="s">
        <v>38</v>
      </c>
      <c r="J16" s="64">
        <v>0.1</v>
      </c>
      <c r="K16" s="30">
        <f>MROUND(D6+D8+D10+D12+D14+D16+D18,50)</f>
        <v>8300</v>
      </c>
    </row>
    <row r="17" spans="1:11" x14ac:dyDescent="0.35">
      <c r="A17" s="28" t="s">
        <v>52</v>
      </c>
      <c r="B17" s="132">
        <f>IF(DigitaNICA!I2&lt;&gt;"",DigitaNICA!I2,"")</f>
        <v>49</v>
      </c>
      <c r="C17" s="29">
        <f>IF(DigitaNICA!I10&lt;&gt;"",DigitaNICA!I10,"")</f>
        <v>98250</v>
      </c>
      <c r="D17" s="42">
        <f>IF(C17="",0,C17*J$15)</f>
        <v>11790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86460</v>
      </c>
      <c r="I17" s="63" t="s">
        <v>96</v>
      </c>
      <c r="J17" s="64">
        <v>0.12</v>
      </c>
      <c r="K17" s="30">
        <f>MROUND(D19+D20,50)</f>
        <v>3000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4000</v>
      </c>
    </row>
    <row r="19" spans="1:11" x14ac:dyDescent="0.35">
      <c r="A19" s="28" t="s">
        <v>97</v>
      </c>
      <c r="B19" s="132">
        <f>IF(DigitaPRIMERA!C2&lt;&gt;"",DigitaPRIMERA!C2,"")</f>
        <v>73</v>
      </c>
      <c r="C19" s="29">
        <f>IF(DigitaPRIMERA!$C$10&lt;&gt;"",DigitaPRIMERA!$C$10,"")</f>
        <v>16400</v>
      </c>
      <c r="D19" s="42">
        <f>IF(C19="",0,C19*J$17)</f>
        <v>1968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14432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68</v>
      </c>
      <c r="C20" s="29">
        <f>IF(DigitaPRIMERA!$E$10&lt;&gt;"",DigitaPRIMERA!$E$10,"")</f>
        <v>8800</v>
      </c>
      <c r="D20" s="42">
        <f>IF(C20="",0,C20*J$17)</f>
        <v>1056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7744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64</v>
      </c>
      <c r="C21" s="29">
        <f>IF(DigitaHONDURAS!$C$10&lt;&gt;"",DigitaHONDURAS!$C$10,"")</f>
        <v>20750</v>
      </c>
      <c r="D21" s="42">
        <f>IF(C21="",0,C21*J$18)</f>
        <v>2490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18260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>
        <f>IF(DigitaHONDURAS!$E$10&lt;&gt;"",DigitaHONDURAS!$E$10,"")</f>
        <v>11500</v>
      </c>
      <c r="D22" s="42">
        <f>IF(C22="",0,C22*J$18)</f>
        <v>1380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10120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IF(DigitaHONDURAS!$G$10&lt;&gt;"",DigitaHONDURAS!$G$10,"")</f>
        <v>1250</v>
      </c>
      <c r="D23" s="42">
        <f>IF(C23="",0,C23*J$18)</f>
        <v>150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1100</v>
      </c>
    </row>
    <row r="24" spans="1:11" x14ac:dyDescent="0.35">
      <c r="A24" s="28" t="s">
        <v>107</v>
      </c>
      <c r="B24" s="132">
        <f>IF(DigitaDOMINICANA!C2&lt;&gt;"",DigitaDOMINICANA!C2,"")</f>
        <v>48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>09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893200</v>
      </c>
      <c r="D27" s="68">
        <f t="shared" ref="D27:F27" si="9">SUM(D5:D26)</f>
        <v>105524</v>
      </c>
      <c r="E27" s="68">
        <f t="shared" si="9"/>
        <v>7400</v>
      </c>
      <c r="F27" s="68">
        <f t="shared" si="9"/>
        <v>692250</v>
      </c>
      <c r="G27" s="88">
        <f>SUM(G5:G26)</f>
        <v>95426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18500</v>
      </c>
      <c r="K4" s="231">
        <f t="shared" ref="K4" si="0">D7+D11+D15</f>
        <v>2220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>
        <f>IF(DigitaTICA!C11&lt;&gt;"",DigitaTICA!C11,"")</f>
        <v>8500</v>
      </c>
      <c r="D7" s="42">
        <f>IF(C7="",0,C7*J$11)</f>
        <v>1020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7480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2200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IF(DigitaTICA!G11&lt;&gt;"",DigitaTICA!G11,"")</f>
        <v>10000</v>
      </c>
      <c r="D15" s="42">
        <f>IF(C15="",0,C15*J$11)</f>
        <v>1200</v>
      </c>
      <c r="E15" s="29">
        <f>IF(DigitaTICA!H11&lt;&gt;"",DigitaTICA!H11,"")</f>
        <v>500</v>
      </c>
      <c r="F15" s="133">
        <f>IF(E15="",0,E15*PREMIOS!F15)</f>
        <v>42500</v>
      </c>
      <c r="G15" s="30">
        <f t="shared" si="4"/>
        <v>-33700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18500</v>
      </c>
      <c r="D21" s="122">
        <f t="shared" ref="D21:G21" si="5">SUM(D5:D20)</f>
        <v>2220</v>
      </c>
      <c r="E21" s="122">
        <f t="shared" si="5"/>
        <v>500</v>
      </c>
      <c r="F21" s="122">
        <f t="shared" si="5"/>
        <v>42500</v>
      </c>
      <c r="G21" s="123">
        <f t="shared" si="5"/>
        <v>-26220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94200</v>
      </c>
      <c r="K4" s="231">
        <f>D7+D11+D15</f>
        <v>11304</v>
      </c>
      <c r="L4" s="220">
        <f>F7+F11+F15</f>
        <v>131750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IF(DigitaNICA!C12&lt;&gt;"",DigitaNICA!C12,"")</f>
        <v>27800</v>
      </c>
      <c r="D5" s="42">
        <f>IF(C5="",0,C5*J$12)</f>
        <v>3336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3214</v>
      </c>
      <c r="I5" s="217" t="s">
        <v>37</v>
      </c>
      <c r="J5" s="221">
        <f>SUM(IF(C5="",0,C5),IF(C9="",0,C9),IF(C13="",0,C13),IF(C17="",0,C17))</f>
        <v>49200</v>
      </c>
      <c r="K5" s="225">
        <f t="shared" ref="K5" si="1">D5+D9+D13+D17</f>
        <v>5904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3900</v>
      </c>
      <c r="K6" s="226">
        <f t="shared" ref="K6" si="2">+D8+D12+D16</f>
        <v>390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41</v>
      </c>
      <c r="C7" s="29">
        <f>IF(DigitaTICA!C12&lt;&gt;"",DigitaTICA!C12,"")</f>
        <v>33100</v>
      </c>
      <c r="D7" s="42">
        <f>IF(C7="",0,C7*J$11)</f>
        <v>3972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7878</v>
      </c>
      <c r="I7" s="217" t="s">
        <v>96</v>
      </c>
      <c r="J7" s="223">
        <f>SUM(IF(C19="",0,C19),IF(C20="",0,C20))</f>
        <v>41450</v>
      </c>
      <c r="K7" s="226">
        <f>+D19+D20</f>
        <v>4974</v>
      </c>
      <c r="L7" s="227">
        <f>+F19+F20</f>
        <v>25500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3400</v>
      </c>
      <c r="D8" s="42">
        <f>IF(C8="",0,C8*J$13)</f>
        <v>340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3060</v>
      </c>
      <c r="I8" s="218" t="s">
        <v>104</v>
      </c>
      <c r="J8" s="224">
        <f>SUM(IF(C21="",0,C21),IF(C22="",0,C22),IF(C23="",0,C23))</f>
        <v>4500</v>
      </c>
      <c r="K8" s="228">
        <f>+D21+D22+D23</f>
        <v>540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IF(DigitaNICA!E12&lt;&gt;"",DigitaNICA!E12,"")</f>
        <v>21400</v>
      </c>
      <c r="D9" s="42">
        <f>IF(C9="",0,C9*J$12)</f>
        <v>2568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-2418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IF(DigitaTICA!E12&lt;&gt;"",DigitaTICA!E12,"")</f>
        <v>40500</v>
      </c>
      <c r="D11" s="42">
        <f>IF(C11="",0,C11*J$11)</f>
        <v>4860</v>
      </c>
      <c r="E11" s="29">
        <f>IF(DigitaTICA!F12&lt;&gt;"",DigitaTICA!F12,"")</f>
        <v>650</v>
      </c>
      <c r="F11" s="42">
        <f>IF(E11="",0,E11*PREMIOS!F11)</f>
        <v>55250</v>
      </c>
      <c r="G11" s="30">
        <f t="shared" si="0"/>
        <v>-19610</v>
      </c>
      <c r="I11" s="60" t="s">
        <v>36</v>
      </c>
      <c r="J11" s="61">
        <v>0.12</v>
      </c>
      <c r="K11" s="62">
        <f>MROUND(D7+D11+D15,50)</f>
        <v>11300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5900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4950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IF(DigitaTICA!G12&lt;&gt;"",DigitaTICA!G12,"")</f>
        <v>20600</v>
      </c>
      <c r="D15" s="42">
        <f>IF(C15="",0,C15*J$11)</f>
        <v>2472</v>
      </c>
      <c r="E15" s="29">
        <f>IF(DigitaTICA!H12&lt;&gt;"",DigitaTICA!H12,"")</f>
        <v>650</v>
      </c>
      <c r="F15" s="42">
        <f>IF(E15="",0,E15*PREMIOS!F15)</f>
        <v>55250</v>
      </c>
      <c r="G15" s="30">
        <f t="shared" si="3"/>
        <v>-37122</v>
      </c>
      <c r="I15" s="65" t="s">
        <v>104</v>
      </c>
      <c r="J15" s="66">
        <v>0.12</v>
      </c>
      <c r="K15" s="50">
        <f>MROUND(D21+D22+D23,50)</f>
        <v>550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73</v>
      </c>
      <c r="C19" s="29">
        <f>IF(DigitaPRIMERA!$C$12&lt;&gt;"",DigitaPRIMERA!$C$12,"")</f>
        <v>41450</v>
      </c>
      <c r="D19" s="42">
        <f>IF(C19="",0,C19*J$14)</f>
        <v>4974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10976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64</v>
      </c>
      <c r="C21" s="29">
        <f>IF(DigitaHONDURAS!$C$12&lt;&gt;"",DigitaHONDURAS!$C$12,"")</f>
        <v>4500</v>
      </c>
      <c r="D21" s="42">
        <f>IF(C21="",0,C21*J$15)</f>
        <v>540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3960</v>
      </c>
    </row>
    <row r="22" spans="1:7" x14ac:dyDescent="0.35">
      <c r="A22" s="28" t="s">
        <v>100</v>
      </c>
      <c r="B22" s="132">
        <f>IF(DigitaHONDURAS!E2&lt;&gt;"",DigitaHONDURAS!E2,"")</f>
        <v>78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193250</v>
      </c>
      <c r="D24" s="68">
        <f t="shared" ref="D24:G24" si="4">SUM(D5:D23)</f>
        <v>23112</v>
      </c>
      <c r="E24" s="68">
        <f t="shared" si="4"/>
        <v>2350</v>
      </c>
      <c r="F24" s="68">
        <f t="shared" si="4"/>
        <v>199750</v>
      </c>
      <c r="G24" s="88">
        <f t="shared" si="4"/>
        <v>-29612</v>
      </c>
    </row>
    <row r="27" spans="1:7" x14ac:dyDescent="0.35">
      <c r="G27" s="21">
        <v>363784</v>
      </c>
    </row>
    <row r="28" spans="1:7" x14ac:dyDescent="0.35">
      <c r="G28" s="141">
        <f>+G24+G27</f>
        <v>334172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106550</v>
      </c>
      <c r="K4" s="231">
        <f t="shared" ref="K4" si="0">D7+D11+D15</f>
        <v>12786</v>
      </c>
      <c r="L4" s="220">
        <f>F7+F11+F15</f>
        <v>85000</v>
      </c>
    </row>
    <row r="5" spans="1:12" ht="15" thickBot="1" x14ac:dyDescent="0.4">
      <c r="A5" s="28" t="s">
        <v>43</v>
      </c>
      <c r="B5" s="132">
        <f>IF(DigitaNICA!C2&lt;&gt;"",DigitaNICA!C2,"")</f>
        <v>81</v>
      </c>
      <c r="C5" s="29">
        <f>IF(DigitaNICA!C13&lt;&gt;"",DigitaNICA!C13,"")</f>
        <v>20250</v>
      </c>
      <c r="D5" s="42">
        <f>IF(C5="",0,C5*J$10)</f>
        <v>2430</v>
      </c>
      <c r="E5" s="29">
        <f>IF(DigitaNICA!D13&lt;&gt;"",DigitaNICA!D13,"")</f>
        <v>100</v>
      </c>
      <c r="F5" s="42">
        <f>IF(E5="",0,E5*PREMIOS!E5)</f>
        <v>8000</v>
      </c>
      <c r="G5" s="30">
        <f t="shared" ref="G5:G12" si="1">IF(OR(C5="",E5=""),0,C5-D5-F5)</f>
        <v>9820</v>
      </c>
      <c r="I5" s="218" t="s">
        <v>37</v>
      </c>
      <c r="J5" s="232">
        <f>SUM(IF(C5="",0,C5),IF(C9="",0,C9),IF(C13="",0,C13),IF(C17="",0,C17))</f>
        <v>59300</v>
      </c>
      <c r="K5" s="233">
        <f t="shared" ref="K5" si="2">D5+D9+D13+D17</f>
        <v>7116</v>
      </c>
      <c r="L5" s="234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>
        <f>IF(DigitaTICA!C13&lt;&gt;"",DigitaTICA!C13,"")</f>
        <v>45250</v>
      </c>
      <c r="D7" s="42">
        <f>IF(C7="",0,C7*J$9)</f>
        <v>5430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39820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IF(DigitaNICA!E13&lt;&gt;"",DigitaNICA!E13,"")</f>
        <v>21950</v>
      </c>
      <c r="D9" s="42">
        <f>IF(C9="",0,C9*J$10)</f>
        <v>2634</v>
      </c>
      <c r="E9" s="29">
        <f>IF(DigitaNICA!F13&lt;&gt;"",DigitaNICA!F13,"")</f>
        <v>500</v>
      </c>
      <c r="F9" s="133">
        <f>IF(E9="",0,E9*PREMIOS!E9)</f>
        <v>40000</v>
      </c>
      <c r="G9" s="30">
        <f t="shared" si="1"/>
        <v>-20684</v>
      </c>
      <c r="I9" s="60" t="s">
        <v>36</v>
      </c>
      <c r="J9" s="61">
        <v>0.12</v>
      </c>
      <c r="K9" s="62">
        <f>MROUND(D7+D11+D15,50)</f>
        <v>12800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7100</v>
      </c>
    </row>
    <row r="11" spans="1:12" ht="15" thickBot="1" x14ac:dyDescent="0.4">
      <c r="A11" s="28" t="s">
        <v>59</v>
      </c>
      <c r="B11" s="132">
        <f>IF(DigitaTICA!E2&lt;&gt;"",DigitaTICA!E2,"")</f>
        <v>17</v>
      </c>
      <c r="C11" s="29">
        <f>IF(DigitaTICA!E13&lt;&gt;"",DigitaTICA!E13,"")</f>
        <v>28300</v>
      </c>
      <c r="D11" s="42">
        <f>IF(C11="",0,C11*J$9)</f>
        <v>3396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24904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IF(DigitaNICA!G13&lt;&gt;"",DigitaNICA!G13,"")</f>
        <v>13000</v>
      </c>
      <c r="D13" s="42">
        <f>IF(C13="",0,C13*J$10)</f>
        <v>1560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11440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IF(DigitaTICA!G13&lt;&gt;"",DigitaTICA!G13,"")</f>
        <v>33000</v>
      </c>
      <c r="D15" s="42">
        <f>IF(C15="",0,C15*J$9)</f>
        <v>3960</v>
      </c>
      <c r="E15" s="29">
        <f>IF(DigitaTICA!H13&lt;&gt;"",DigitaTICA!H13,"")</f>
        <v>1000</v>
      </c>
      <c r="F15" s="133">
        <f>IF(E15="",0,E15*PREMIOS!F15)</f>
        <v>85000</v>
      </c>
      <c r="G15" s="30">
        <f t="shared" si="3"/>
        <v>-55960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>
        <f>IF(DigitaNICA!I13&lt;&gt;"",DigitaNICA!I13,"")</f>
        <v>4100</v>
      </c>
      <c r="D17" s="42">
        <f>IF(C17="",0,C17*J$10)</f>
        <v>492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3608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165850</v>
      </c>
      <c r="D19" s="68">
        <f>MROUND(SUM(D5:D18),50)</f>
        <v>19900</v>
      </c>
      <c r="E19" s="68">
        <f>SUM(E5:E18)</f>
        <v>1600</v>
      </c>
      <c r="F19" s="68">
        <f>SUM(F5:F18)</f>
        <v>133000</v>
      </c>
      <c r="G19" s="88">
        <f>SUM(G5:G18)</f>
        <v>12948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81600</v>
      </c>
      <c r="K4" s="236">
        <f t="shared" ref="K4" si="0">D7+D11+D15</f>
        <v>12240</v>
      </c>
      <c r="L4" s="237">
        <f>F7+F11+F15</f>
        <v>48000</v>
      </c>
    </row>
    <row r="5" spans="1:12" x14ac:dyDescent="0.35">
      <c r="A5" s="28" t="s">
        <v>43</v>
      </c>
      <c r="B5" s="132">
        <f>IF(DigitaNICA!C2&lt;&gt;"",DigitaNICA!C2,"")</f>
        <v>81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>
        <f>IF(DigitaTICA!C14&lt;&gt;"",DigitaTICA!C14,"")</f>
        <v>39500</v>
      </c>
      <c r="D7" s="42">
        <f>IF(C7="",0,C7*J$9)</f>
        <v>5925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33575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17</v>
      </c>
      <c r="C11" s="29">
        <f>IF(DigitaTICA!E14&lt;&gt;"",DigitaTICA!E14,"")</f>
        <v>16150</v>
      </c>
      <c r="D11" s="42">
        <f>IF(C11="",0,C11*J$9)</f>
        <v>2422.5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-10272.5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IF(DigitaTICA!G14&lt;&gt;"",DigitaTICA!G14,"")</f>
        <v>25950</v>
      </c>
      <c r="D15" s="42">
        <f>IF(C15="",0,C15*J$9)</f>
        <v>3892.5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-1942.5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81600</v>
      </c>
      <c r="D19" s="68">
        <f>MROUND(SUM(D5:D18),50)</f>
        <v>12250</v>
      </c>
      <c r="E19" s="68">
        <f>SUM(E5:E18)</f>
        <v>600</v>
      </c>
      <c r="F19" s="68">
        <f>SUM(F5:F18)</f>
        <v>48000</v>
      </c>
      <c r="G19" s="88">
        <f>SUM(G5:G18)</f>
        <v>21360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91950</v>
      </c>
      <c r="K4" s="231">
        <f>D7+D11+D15</f>
        <v>11034</v>
      </c>
      <c r="L4" s="220">
        <f>F7+F11+F15</f>
        <v>204000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IF(DigitaNICA!C16&lt;&gt;"",DigitaNICA!C16,"")</f>
        <v>14050</v>
      </c>
      <c r="D5" s="42">
        <f>IF(C5="",0,C5*J$12)</f>
        <v>1686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12364</v>
      </c>
      <c r="I5" s="63" t="s">
        <v>37</v>
      </c>
      <c r="J5" s="225">
        <f>SUM(IF(C5="",0,C5),IF(C9="",0,C9),IF(C13="",0,C13),IF(C17="",0,C17))</f>
        <v>41100</v>
      </c>
      <c r="K5" s="225">
        <f t="shared" ref="K5" si="1">D5+D9+D13+D17</f>
        <v>4932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3000</v>
      </c>
      <c r="K6" s="226">
        <f t="shared" ref="K6" si="2">+D8+D12+D16</f>
        <v>300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41</v>
      </c>
      <c r="C7" s="29">
        <f>IF(DigitaTICA!C16&lt;&gt;"",DigitaTICA!C16,"")</f>
        <v>23850</v>
      </c>
      <c r="D7" s="42">
        <f>IF(C7="",0,C7*J$11)</f>
        <v>2862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-262</v>
      </c>
      <c r="I7" s="63" t="s">
        <v>96</v>
      </c>
      <c r="J7" s="226">
        <f>SUM(IF(C19="",0,C19),IF(C20="",0,C20))</f>
        <v>1000</v>
      </c>
      <c r="K7" s="226">
        <f>+D19+D20</f>
        <v>120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1350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IF(DigitaNICA!E16&lt;&gt;"",DigitaNICA!E16,"")</f>
        <v>3750</v>
      </c>
      <c r="D9" s="42">
        <f>IF(C9="",0,C9*J$12)</f>
        <v>450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3300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IF(DigitaTICA!E16&lt;&gt;"",DigitaTICA!E16,"")</f>
        <v>26500</v>
      </c>
      <c r="D11" s="42">
        <f>IF(C11="",0,C11*J$11)</f>
        <v>3180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23320</v>
      </c>
      <c r="I11" s="76" t="s">
        <v>36</v>
      </c>
      <c r="J11" s="77">
        <v>0.12</v>
      </c>
      <c r="K11" s="78">
        <f>MROUND(D7+D11+D15,50)</f>
        <v>11050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4950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IF(DigitaTICA!G16&lt;&gt;"",DigitaTICA!G16,"")</f>
        <v>41600</v>
      </c>
      <c r="D15" s="42">
        <f>IF(C15="",0,C15*J$11)</f>
        <v>4992</v>
      </c>
      <c r="E15" s="29">
        <f>IF(DigitaTICA!H16&lt;&gt;"",DigitaTICA!H16,"")</f>
        <v>2150</v>
      </c>
      <c r="F15" s="133">
        <f>IF(E15="",0,E15*PREMIOS!F15)</f>
        <v>182750</v>
      </c>
      <c r="G15" s="30">
        <f t="shared" si="3"/>
        <v>-146142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49</v>
      </c>
      <c r="C17" s="29">
        <f>IF(DigitaNICA!I16&lt;&gt;"",DigitaNICA!I16,"")</f>
        <v>23300</v>
      </c>
      <c r="D17" s="42">
        <f>IF(C17="",0,C17*J$12)</f>
        <v>2796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20504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73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137050</v>
      </c>
      <c r="D24" s="122">
        <f t="shared" ref="D24:G24" si="5">SUM(D5:D23)</f>
        <v>16386</v>
      </c>
      <c r="E24" s="122">
        <f t="shared" si="5"/>
        <v>2400</v>
      </c>
      <c r="F24" s="122">
        <f t="shared" si="5"/>
        <v>204000</v>
      </c>
      <c r="G24" s="123">
        <f t="shared" si="5"/>
        <v>-83336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399700</v>
      </c>
      <c r="K4" s="231">
        <f t="shared" ref="K4" si="0">D7+D11+D15</f>
        <v>47964</v>
      </c>
      <c r="L4" s="220">
        <f>F7+F11+F15</f>
        <v>867000</v>
      </c>
    </row>
    <row r="5" spans="1:12" x14ac:dyDescent="0.35">
      <c r="A5" s="28" t="s">
        <v>43</v>
      </c>
      <c r="B5" s="132">
        <f>IF(DigitaNICA!C2&lt;&gt;"",DigitaNICA!C2,"")</f>
        <v>81</v>
      </c>
      <c r="C5" s="89">
        <f>IF(DigitaNICA!C17&lt;&gt;"",DigitaNICA!C17,"")</f>
        <v>65700</v>
      </c>
      <c r="D5" s="42">
        <f>IF(C5="",0,C5*J$16)</f>
        <v>7884</v>
      </c>
      <c r="E5" s="89">
        <f>IF(DigitaNICA!D17&lt;&gt;"",DigitaNICA!D17,"")</f>
        <v>750</v>
      </c>
      <c r="F5" s="42">
        <f>IF(E5="",0,E5*PREMIOS!F5)</f>
        <v>63750</v>
      </c>
      <c r="G5" s="90">
        <f t="shared" ref="G5:G12" si="1">IF(OR(C5="",E5=""),0,C5-D5-F5)</f>
        <v>-5934</v>
      </c>
      <c r="I5" s="217" t="s">
        <v>37</v>
      </c>
      <c r="J5" s="221">
        <f>SUM(IF(C5="",0,C5),IF(C9="",0,C9),IF(C13="",0,C13),IF(C17="",0,C17))</f>
        <v>380200</v>
      </c>
      <c r="K5" s="225">
        <f t="shared" ref="K5" si="2">D5+D9+D13+D17</f>
        <v>45624</v>
      </c>
      <c r="L5" s="222">
        <f>F5+F9+F13+F17</f>
        <v>204000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70800</v>
      </c>
      <c r="K6" s="226">
        <f t="shared" ref="K6" si="3">+D8+D12+D16</f>
        <v>7080</v>
      </c>
      <c r="L6" s="227">
        <f>+F8+F12+F16</f>
        <v>130000</v>
      </c>
    </row>
    <row r="7" spans="1:12" x14ac:dyDescent="0.35">
      <c r="A7" s="28" t="s">
        <v>46</v>
      </c>
      <c r="B7" s="132">
        <f>IF(DigitaTICA!C2&lt;&gt;"",DigitaTICA!C2,"")</f>
        <v>41</v>
      </c>
      <c r="C7" s="89">
        <f>IF(DigitaTICA!C17&lt;&gt;"",DigitaTICA!C17,"")</f>
        <v>109300</v>
      </c>
      <c r="D7" s="42">
        <f>IF(C7="",0,C7*J$15)</f>
        <v>13116</v>
      </c>
      <c r="E7" s="89">
        <f>IF(DigitaTICA!D17&lt;&gt;"",DigitaTICA!D17,"")</f>
        <v>1050</v>
      </c>
      <c r="F7" s="42">
        <f>IF(E7="",0,E7*PREMIOS!F7)</f>
        <v>89250</v>
      </c>
      <c r="G7" s="90">
        <f t="shared" si="1"/>
        <v>6934</v>
      </c>
      <c r="I7" s="217" t="s">
        <v>96</v>
      </c>
      <c r="J7" s="223">
        <f>SUM(IF(C19="",0,C19),IF(C20="",0,C20))</f>
        <v>96800</v>
      </c>
      <c r="K7" s="226">
        <f>+D19+D20</f>
        <v>11616</v>
      </c>
      <c r="L7" s="227">
        <f>+F19+F20</f>
        <v>17000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28700</v>
      </c>
      <c r="D8" s="42">
        <f>IF(C8="",0,C8*J$17)</f>
        <v>2870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25830</v>
      </c>
      <c r="I8" s="217" t="s">
        <v>104</v>
      </c>
      <c r="J8" s="223">
        <f>SUM(IF(C21="",0,C21),IF(C22="",0,C22),IF(C23="",0,C23))</f>
        <v>55700</v>
      </c>
      <c r="K8" s="226">
        <f t="shared" ref="K8" si="4">D21+D22+D23</f>
        <v>6684</v>
      </c>
      <c r="L8" s="227">
        <f>F21+F22+F23</f>
        <v>34000</v>
      </c>
    </row>
    <row r="9" spans="1:12" x14ac:dyDescent="0.35">
      <c r="A9" s="28" t="s">
        <v>48</v>
      </c>
      <c r="B9" s="132">
        <f>IF(DigitaNICA!E2&lt;&gt;"",DigitaNICA!E2,"")</f>
        <v>57</v>
      </c>
      <c r="C9" s="89">
        <f>IF(DigitaNICA!E17&lt;&gt;"",DigitaNICA!E17,"")</f>
        <v>76100</v>
      </c>
      <c r="D9" s="42">
        <f>IF(C9="",0,C9*J$16)</f>
        <v>9132</v>
      </c>
      <c r="E9" s="89">
        <f>IF(DigitaNICA!F17&lt;&gt;"",DigitaNICA!F17,"")</f>
        <v>100</v>
      </c>
      <c r="F9" s="42">
        <f>IF(E9="",0,E9*PREMIOS!F9)</f>
        <v>8500</v>
      </c>
      <c r="G9" s="90">
        <f t="shared" si="1"/>
        <v>58468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17</v>
      </c>
      <c r="C11" s="89">
        <f>IF(DigitaTICA!E17&lt;&gt;"",DigitaTICA!E17,"")</f>
        <v>86650</v>
      </c>
      <c r="D11" s="42">
        <f>IF(C11="",0,C11*J$15)</f>
        <v>10398</v>
      </c>
      <c r="E11" s="89">
        <f>IF(DigitaTICA!F17&lt;&gt;"",DigitaTICA!F17,"")</f>
        <v>1300</v>
      </c>
      <c r="F11" s="42">
        <f>IF(E11="",0,E11*PREMIOS!F11)</f>
        <v>110500</v>
      </c>
      <c r="G11" s="90">
        <f t="shared" si="1"/>
        <v>-34248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9800</v>
      </c>
      <c r="D12" s="42">
        <f>IF(C12="",0,C12*J$17)</f>
        <v>980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8820</v>
      </c>
    </row>
    <row r="13" spans="1:12" ht="15" thickBot="1" x14ac:dyDescent="0.4">
      <c r="A13" s="28" t="s">
        <v>50</v>
      </c>
      <c r="B13" s="132">
        <f>IF(DigitaNICA!G2&lt;&gt;"",DigitaNICA!G2,"")</f>
        <v>65</v>
      </c>
      <c r="C13" s="89">
        <f>IF(DigitaNICA!G17&lt;&gt;"",DigitaNICA!G17,"")</f>
        <v>48450</v>
      </c>
      <c r="D13" s="42">
        <f>IF(C13="",0,C13*J$16)</f>
        <v>5814</v>
      </c>
      <c r="E13" s="89">
        <f>IF(DigitaNICA!H17&lt;&gt;"",DigitaNICA!H17,"")</f>
        <v>400</v>
      </c>
      <c r="F13" s="42">
        <f>IF(E13="",0,E13*PREMIOS!F13)</f>
        <v>34000</v>
      </c>
      <c r="G13" s="90">
        <f>IF(OR(C13="",E13=""),0,C13-D13-F13)</f>
        <v>8636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12</v>
      </c>
      <c r="C15" s="89">
        <f>IF(DigitaTICA!G17&lt;&gt;"",DigitaTICA!G17,"")</f>
        <v>203750</v>
      </c>
      <c r="D15" s="42">
        <f>IF(C15="",0,C15*J$15)</f>
        <v>24450</v>
      </c>
      <c r="E15" s="89">
        <f>IF(DigitaTICA!H17&lt;&gt;"",DigitaTICA!H17,"")</f>
        <v>7850</v>
      </c>
      <c r="F15" s="42">
        <f>IF(E15="",0,E15*PREMIOS!F15)</f>
        <v>667250</v>
      </c>
      <c r="G15" s="90">
        <f t="shared" si="6"/>
        <v>-487950</v>
      </c>
      <c r="I15" s="76" t="s">
        <v>36</v>
      </c>
      <c r="J15" s="77">
        <v>0.12</v>
      </c>
      <c r="K15" s="78">
        <f>MROUND(D7+D11+D15,50)</f>
        <v>47950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32300</v>
      </c>
      <c r="D16" s="42">
        <f>IF(C16="",0,C16*J$17)</f>
        <v>3230</v>
      </c>
      <c r="E16" s="89">
        <f>IF(DigitaREVENTADO!H17&lt;&gt;"",DigitaREVENTADO!H17,"")</f>
        <v>650</v>
      </c>
      <c r="F16" s="42">
        <f>IF(E16="",0,E16*PREMIOS!F16)</f>
        <v>130000</v>
      </c>
      <c r="G16" s="90">
        <f t="shared" si="6"/>
        <v>-100930</v>
      </c>
      <c r="I16" s="63" t="s">
        <v>37</v>
      </c>
      <c r="J16" s="64">
        <v>0.12</v>
      </c>
      <c r="K16" s="30">
        <f>MROUND(D5+D9+D13+D17,50)</f>
        <v>45600</v>
      </c>
    </row>
    <row r="17" spans="1:11" x14ac:dyDescent="0.35">
      <c r="A17" s="28" t="s">
        <v>52</v>
      </c>
      <c r="B17" s="132">
        <f>IF(DigitaNICA!I2&lt;&gt;"",DigitaNICA!I2,"")</f>
        <v>49</v>
      </c>
      <c r="C17" s="89">
        <f>IF(DigitaNICA!I17&lt;&gt;"",DigitaNICA!I17,"")</f>
        <v>189950</v>
      </c>
      <c r="D17" s="42">
        <f>IF(C17="",0,C17*J$16)</f>
        <v>22794</v>
      </c>
      <c r="E17" s="89">
        <f>IF(DigitaNICA!J17&lt;&gt;"",DigitaNICA!J17,"")</f>
        <v>1150</v>
      </c>
      <c r="F17" s="42">
        <f>IF(E17="",0,E17*PREMIOS!F17)</f>
        <v>97750</v>
      </c>
      <c r="G17" s="90">
        <f t="shared" si="6"/>
        <v>69406</v>
      </c>
      <c r="I17" s="63" t="s">
        <v>38</v>
      </c>
      <c r="J17" s="64">
        <v>0.1</v>
      </c>
      <c r="K17" s="30">
        <f>MROUND(D6+D8+D10+D12+D14+D16+D18,50)</f>
        <v>7100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11600</v>
      </c>
    </row>
    <row r="19" spans="1:11" x14ac:dyDescent="0.35">
      <c r="A19" s="28" t="s">
        <v>97</v>
      </c>
      <c r="B19" s="132">
        <f>IF(DigitaPRIMERA!C2&lt;&gt;"",DigitaPRIMERA!C2,"")</f>
        <v>73</v>
      </c>
      <c r="C19" s="29">
        <f>IF(DigitaPRIMERA!$C$17&lt;&gt;"",DigitaPRIMERA!$C$17,"")</f>
        <v>50900</v>
      </c>
      <c r="D19" s="42">
        <f>IF(C19="",0,C19*J$18)</f>
        <v>6108</v>
      </c>
      <c r="E19" s="29">
        <f>IF(DigitaPRIMERA!$D$17&lt;&gt;"",DigitaPRIMERA!$D$17,"")</f>
        <v>200</v>
      </c>
      <c r="F19" s="42">
        <f>IF(E19="",0,E19*PREMIOS!F19)</f>
        <v>17000</v>
      </c>
      <c r="G19" s="30">
        <f t="shared" si="6"/>
        <v>27792</v>
      </c>
      <c r="I19" s="63" t="s">
        <v>104</v>
      </c>
      <c r="J19" s="64">
        <v>0.12</v>
      </c>
      <c r="K19" s="30">
        <f>MROUND(D21+D22+D23,50)</f>
        <v>6700</v>
      </c>
    </row>
    <row r="20" spans="1:11" x14ac:dyDescent="0.35">
      <c r="A20" s="28" t="s">
        <v>98</v>
      </c>
      <c r="B20" s="132">
        <f>IF(DigitaPRIMERA!E2&lt;&gt;"",DigitaPRIMERA!E2,"")</f>
        <v>68</v>
      </c>
      <c r="C20" s="29">
        <f>IF(DigitaPRIMERA!$E$17&lt;&gt;"",DigitaPRIMERA!$E$17,"")</f>
        <v>45900</v>
      </c>
      <c r="D20" s="42">
        <f>IF(C20="",0,C20*J$18)</f>
        <v>5508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40392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64</v>
      </c>
      <c r="C21" s="29">
        <f>IF(DigitaHONDURAS!$C$17&lt;&gt;"",DigitaHONDURAS!$C$17,"")</f>
        <v>25750</v>
      </c>
      <c r="D21" s="42">
        <f>IF(C21="",0,C21*J$19)</f>
        <v>3090</v>
      </c>
      <c r="E21" s="29">
        <f>IF(DigitaHONDURAS!$D$17&lt;&gt;"",DigitaHONDURAS!$D$17,"")</f>
        <v>400</v>
      </c>
      <c r="F21" s="42">
        <f>IF(E21="",0,E21*PREMIOS!F20)</f>
        <v>34000</v>
      </c>
      <c r="G21" s="30">
        <f t="shared" si="6"/>
        <v>-11340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>
        <f>IF(DigitaHONDURAS!$E$17&lt;&gt;"",DigitaHONDURAS!$E$17,"")</f>
        <v>3300</v>
      </c>
      <c r="D22" s="42">
        <f>IF(C22="",0,C22*J$19)</f>
        <v>396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2904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IF(DigitaHONDURAS!$G$17&lt;&gt;"",DigitaHONDURAS!$G$17,"")</f>
        <v>26650</v>
      </c>
      <c r="D23" s="42">
        <f>IF(C23="",0,C23*J$19)</f>
        <v>3198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23452</v>
      </c>
    </row>
    <row r="24" spans="1:11" x14ac:dyDescent="0.35">
      <c r="A24" s="28" t="s">
        <v>102</v>
      </c>
      <c r="B24" s="132">
        <f>IF(DigitaDOMINICANA!C2&lt;&gt;"",DigitaDOMINICANA!C2,"")</f>
        <v>48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1003200</v>
      </c>
      <c r="D27" s="68">
        <f t="shared" ref="D27:G27" si="7">SUM(D5:D26)</f>
        <v>118968</v>
      </c>
      <c r="E27" s="68">
        <f t="shared" si="7"/>
        <v>13850</v>
      </c>
      <c r="F27" s="68">
        <f t="shared" si="7"/>
        <v>1252000</v>
      </c>
      <c r="G27" s="88">
        <f t="shared" si="7"/>
        <v>-367768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144600</v>
      </c>
      <c r="K4" s="231">
        <f t="shared" ref="K4" si="0">D7+D11+D15</f>
        <v>17352</v>
      </c>
      <c r="L4" s="220">
        <f>F7+F11+F15</f>
        <v>153000</v>
      </c>
    </row>
    <row r="5" spans="1:12" x14ac:dyDescent="0.35">
      <c r="A5" s="28" t="str">
        <f>+Vendedor1!A5</f>
        <v>Nica 11am</v>
      </c>
      <c r="B5" s="132">
        <f>IF(DigitaNICA!C2&lt;&gt;"",DigitaNICA!C2,"")</f>
        <v>81</v>
      </c>
      <c r="C5" s="29">
        <f>IF(DigitaNICA!C18&lt;&gt;"",DigitaNICA!C18,"")</f>
        <v>52300</v>
      </c>
      <c r="D5" s="42">
        <f>IF(C5="",0,C5*J$16)</f>
        <v>6276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29024</v>
      </c>
      <c r="I5" s="217" t="s">
        <v>37</v>
      </c>
      <c r="J5" s="221">
        <f>SUM(IF(C5="",0,C5),IF(C9="",0,C9),IF(C13="",0,C13),IF(C17="",0,C17))</f>
        <v>146850</v>
      </c>
      <c r="K5" s="225">
        <f t="shared" ref="K5" si="2">D5+D9+D13+D17</f>
        <v>17622</v>
      </c>
      <c r="L5" s="222">
        <f>F5+F9+F13+F17</f>
        <v>127500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35450</v>
      </c>
      <c r="K6" s="226">
        <f t="shared" ref="K6" si="3">+D8+D12+D16</f>
        <v>3545</v>
      </c>
      <c r="L6" s="227">
        <f>+F8+F12+F16</f>
        <v>320000</v>
      </c>
    </row>
    <row r="7" spans="1:12" x14ac:dyDescent="0.35">
      <c r="A7" s="28" t="str">
        <f>+Vendedor1!A7</f>
        <v>Tica 1pm</v>
      </c>
      <c r="B7" s="132">
        <f>IF(DigitaTICA!C2&lt;&gt;"",DigitaTICA!C2,"")</f>
        <v>41</v>
      </c>
      <c r="C7" s="29">
        <f>IF(DigitaTICA!C18&lt;&gt;"",DigitaTICA!C18,"")</f>
        <v>55900</v>
      </c>
      <c r="D7" s="42">
        <f>IF(C7="",0,C7*J$15)</f>
        <v>6708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40692</v>
      </c>
      <c r="I7" s="217" t="s">
        <v>96</v>
      </c>
      <c r="J7" s="223">
        <f>SUM(IF(C19="",0,C19),IF(C20="",0,C20))</f>
        <v>77800</v>
      </c>
      <c r="K7" s="226">
        <f>+D19+D20</f>
        <v>9336</v>
      </c>
      <c r="L7" s="227">
        <f>+F19+F20</f>
        <v>25500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11200</v>
      </c>
      <c r="D8" s="42">
        <f>IF(C8="",0,C8*J$17)</f>
        <v>1120</v>
      </c>
      <c r="E8" s="29">
        <f>IF(DigitaREVENTADO!D18&lt;&gt;"",DigitaREVENTADO!D18,"")</f>
        <v>100</v>
      </c>
      <c r="F8" s="42">
        <f>IF(E8="",0,E8*PREMIOS!F8)</f>
        <v>20000</v>
      </c>
      <c r="G8" s="30">
        <f t="shared" si="1"/>
        <v>-9920</v>
      </c>
      <c r="I8" s="217" t="s">
        <v>104</v>
      </c>
      <c r="J8" s="223">
        <f>SUM(IF(C21="",0,C21),IF(C22="",0,C22),IF(C23="",0,C23))</f>
        <v>33100</v>
      </c>
      <c r="K8" s="226">
        <f t="shared" ref="K8" si="4">D21+D22+D23</f>
        <v>3972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57</v>
      </c>
      <c r="C9" s="29">
        <f>IF(DigitaNICA!E18&lt;&gt;"",DigitaNICA!E18,"")</f>
        <v>30350</v>
      </c>
      <c r="D9" s="42">
        <f>IF(C9="",0,C9*J$16)</f>
        <v>3642</v>
      </c>
      <c r="E9" s="29">
        <f>IF(DigitaNICA!F18&lt;&gt;"",DigitaNICA!F18,"")</f>
        <v>1000</v>
      </c>
      <c r="F9" s="42">
        <f>IF(E9="",0,E9*PREMIOS!F9)</f>
        <v>85000</v>
      </c>
      <c r="G9" s="30">
        <f t="shared" si="1"/>
        <v>-58292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17</v>
      </c>
      <c r="C11" s="29">
        <f>IF(DigitaTICA!E18&lt;&gt;"",DigitaTICA!E18,"")</f>
        <v>23300</v>
      </c>
      <c r="D11" s="42">
        <f>IF(C11="",0,C11*J$15)</f>
        <v>2796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20504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8500</v>
      </c>
      <c r="D12" s="42">
        <f>IF(C12="",0,C12*J$17)</f>
        <v>850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7650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65</v>
      </c>
      <c r="C13" s="29">
        <f>IF(DigitaNICA!G18&lt;&gt;"",DigitaNICA!G18,"")</f>
        <v>37500</v>
      </c>
      <c r="D13" s="42">
        <f>IF(C13="",0,C13*J$16)</f>
        <v>4500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33000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12</v>
      </c>
      <c r="C15" s="29">
        <f>IF(DigitaTICA!G18&lt;&gt;"",DigitaTICA!G18,"")</f>
        <v>65400</v>
      </c>
      <c r="D15" s="42">
        <f>IF(C15="",0,C15*J$15)</f>
        <v>7848</v>
      </c>
      <c r="E15" s="29">
        <f>IF(DigitaTICA!H18&lt;&gt;"",DigitaTICA!H18,"")</f>
        <v>1700</v>
      </c>
      <c r="F15" s="42">
        <f>IF(E15="",0,E15*PREMIOS!F15)</f>
        <v>144500</v>
      </c>
      <c r="G15" s="30">
        <f t="shared" si="6"/>
        <v>-86948</v>
      </c>
      <c r="I15" s="76" t="s">
        <v>36</v>
      </c>
      <c r="J15" s="77">
        <v>0.12</v>
      </c>
      <c r="K15" s="78">
        <f>MROUND(D7+D11+D15,50)</f>
        <v>17350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15750</v>
      </c>
      <c r="D16" s="42">
        <f>IF(C16="",0,C16*J$17)</f>
        <v>1575</v>
      </c>
      <c r="E16" s="29">
        <f>IF(DigitaREVENTADO!H18&lt;&gt;"",DigitaREVENTADO!H18,"")</f>
        <v>1500</v>
      </c>
      <c r="F16" s="42">
        <f>IF(E16="",0,E16*PREMIOS!F16)</f>
        <v>300000</v>
      </c>
      <c r="G16" s="30">
        <f t="shared" si="6"/>
        <v>-285825</v>
      </c>
      <c r="I16" s="63" t="s">
        <v>37</v>
      </c>
      <c r="J16" s="64">
        <v>0.12</v>
      </c>
      <c r="K16" s="30">
        <f>MROUND(D5+D9+D13+D17,50)</f>
        <v>17600</v>
      </c>
    </row>
    <row r="17" spans="1:11" x14ac:dyDescent="0.35">
      <c r="A17" s="28" t="str">
        <f>+Vendedor1!A17</f>
        <v>Nica 9pm</v>
      </c>
      <c r="B17" s="132">
        <f>IF(DigitaNICA!I2&lt;&gt;"",DigitaNICA!I2,"")</f>
        <v>49</v>
      </c>
      <c r="C17" s="29">
        <f>IF(DigitaNICA!I18&lt;&gt;"",DigitaNICA!I18,"")</f>
        <v>26700</v>
      </c>
      <c r="D17" s="42">
        <f>IF(C17="",0,C17*J$16)</f>
        <v>3204</v>
      </c>
      <c r="E17" s="29">
        <f>IF(DigitaNICA!J18&lt;&gt;"",DigitaNICA!J18,"")</f>
        <v>300</v>
      </c>
      <c r="F17" s="42">
        <f>IF(E17="",0,E17*PREMIOS!F17)</f>
        <v>25500</v>
      </c>
      <c r="G17" s="30">
        <f t="shared" si="6"/>
        <v>-2004</v>
      </c>
      <c r="I17" s="63" t="s">
        <v>38</v>
      </c>
      <c r="J17" s="64">
        <v>0.1</v>
      </c>
      <c r="K17" s="30">
        <f>MROUND(D6+D8+D10+D12+D14+D16+D18,50)</f>
        <v>3550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9350</v>
      </c>
    </row>
    <row r="19" spans="1:11" x14ac:dyDescent="0.35">
      <c r="A19" s="28" t="s">
        <v>97</v>
      </c>
      <c r="B19" s="132">
        <f>IF(DigitaPRIMERA!C2&lt;&gt;"",DigitaPRIMERA!C2,"")</f>
        <v>73</v>
      </c>
      <c r="C19" s="29">
        <f>IF(DigitaPRIMERA!$C$18&lt;&gt;"",DigitaPRIMERA!$C$18,"")</f>
        <v>44500</v>
      </c>
      <c r="D19" s="42">
        <f>IF(C19="",0,C19*J$18)</f>
        <v>5340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39160</v>
      </c>
      <c r="I19" s="63" t="s">
        <v>104</v>
      </c>
      <c r="J19" s="64">
        <v>0.12</v>
      </c>
      <c r="K19" s="30">
        <f>MROUND(D21+D22+D23,50)</f>
        <v>3950</v>
      </c>
    </row>
    <row r="20" spans="1:11" x14ac:dyDescent="0.35">
      <c r="A20" s="28" t="s">
        <v>98</v>
      </c>
      <c r="B20" s="132">
        <f>IF(DigitaPRIMERA!E2&lt;&gt;"",DigitaPRIMERA!E2,"")</f>
        <v>68</v>
      </c>
      <c r="C20" s="29">
        <f>IF(DigitaPRIMERA!$E$18&lt;&gt;"",DigitaPRIMERA!$E$18,"")</f>
        <v>33300</v>
      </c>
      <c r="D20" s="42">
        <f>IF(C20="",0,C20*J$18)</f>
        <v>3996</v>
      </c>
      <c r="E20" s="29">
        <f>IF(DigitaPRIMERA!$F$18&lt;&gt;"",DigitaPRIMERA!$F$18,"")</f>
        <v>300</v>
      </c>
      <c r="F20" s="42">
        <f>IF(E20="",0,E20*PREMIOS!F19)</f>
        <v>25500</v>
      </c>
      <c r="G20" s="30">
        <f t="shared" si="6"/>
        <v>3804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64</v>
      </c>
      <c r="C21" s="29">
        <f>IF(DigitaHONDURAS!$C$18&lt;&gt;"",DigitaHONDURAS!$C$18,"")</f>
        <v>23100</v>
      </c>
      <c r="D21" s="42">
        <f>IF(C21="",0,C21*J$19)</f>
        <v>2772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3328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>
        <f>IF(DigitaHONDURAS!$E$18&lt;&gt;"",DigitaHONDURAS!$E$18,"")</f>
        <v>5000</v>
      </c>
      <c r="D22" s="42">
        <f>IF(C22="",0,C22*J$19)</f>
        <v>600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4400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IF(DigitaHONDURAS!$G$18&lt;&gt;"",DigitaHONDURAS!$G$18,"")</f>
        <v>5000</v>
      </c>
      <c r="D23" s="42">
        <f>IF(C23="",0,C23*J$19)</f>
        <v>600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4400</v>
      </c>
    </row>
    <row r="24" spans="1:11" x14ac:dyDescent="0.35">
      <c r="A24" s="28" t="s">
        <v>102</v>
      </c>
      <c r="B24" s="132">
        <f>IF(DigitaDOMINICANA!C2&lt;&gt;"",DigitaDOMINICANA!C2,"")</f>
        <v>48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437800</v>
      </c>
      <c r="D27" s="68">
        <f t="shared" ref="D27:G27" si="7">SUM(D5:D26)</f>
        <v>51827</v>
      </c>
      <c r="E27" s="68">
        <f t="shared" si="7"/>
        <v>5400</v>
      </c>
      <c r="F27" s="68">
        <f t="shared" si="7"/>
        <v>643000</v>
      </c>
      <c r="G27" s="88">
        <f t="shared" si="7"/>
        <v>-257027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41</v>
      </c>
      <c r="D2" s="268"/>
      <c r="E2" s="267">
        <f>IF(PREMIOS!$B11="","",PREMIOS!$B11)</f>
        <v>17</v>
      </c>
      <c r="F2" s="268"/>
      <c r="G2" s="267">
        <f>IF(PREMIOS!$B15="","",PREMIOS!$B15)</f>
        <v>12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44300</v>
      </c>
      <c r="D4" s="78">
        <v>700</v>
      </c>
      <c r="E4" s="189">
        <v>40100</v>
      </c>
      <c r="F4" s="78">
        <v>500</v>
      </c>
      <c r="G4" s="189">
        <v>76100</v>
      </c>
      <c r="H4" s="78">
        <v>1000</v>
      </c>
      <c r="J4" s="42">
        <f t="shared" ref="J4:J8" si="0">+C4+E4+G4</f>
        <v>160500</v>
      </c>
      <c r="K4" s="42">
        <f>IF(D4="",0,IF(F4="",D4,IF(H4="",D4+F4,D4+F4+H4)))</f>
        <v>2200</v>
      </c>
    </row>
    <row r="5" spans="1:11" x14ac:dyDescent="0.35">
      <c r="A5" s="47">
        <v>2</v>
      </c>
      <c r="B5" s="178" t="str">
        <f>Vendedor2!$B$2</f>
        <v>PUESTO 2</v>
      </c>
      <c r="C5" s="180">
        <v>47200</v>
      </c>
      <c r="D5" s="30">
        <v>250</v>
      </c>
      <c r="E5" s="180">
        <v>27900</v>
      </c>
      <c r="F5" s="30">
        <v>450</v>
      </c>
      <c r="G5" s="180">
        <v>75450</v>
      </c>
      <c r="H5" s="30">
        <v>250</v>
      </c>
      <c r="J5" s="42">
        <f t="shared" si="0"/>
        <v>150550</v>
      </c>
      <c r="K5" s="42">
        <f t="shared" ref="K5:K27" si="1">IF(D5="",0,IF(F5="",D5,IF(H5="",D5+F5,D5+F5+H5)))</f>
        <v>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2"/>
        <v/>
      </c>
      <c r="E8" s="180"/>
      <c r="F8" s="30" t="str">
        <f t="shared" si="2"/>
        <v/>
      </c>
      <c r="G8" s="180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61050+95200</f>
        <v>156250</v>
      </c>
      <c r="D10" s="30">
        <f>600+2000</f>
        <v>2600</v>
      </c>
      <c r="E10" s="180">
        <f>30050+100450</f>
        <v>130500</v>
      </c>
      <c r="F10" s="30">
        <f>250+0</f>
        <v>250</v>
      </c>
      <c r="G10" s="180">
        <f>65750+93150</f>
        <v>158900</v>
      </c>
      <c r="H10" s="30">
        <f>900+2950</f>
        <v>3850</v>
      </c>
      <c r="J10" s="42">
        <f t="shared" si="3"/>
        <v>445650</v>
      </c>
      <c r="K10" s="42">
        <f t="shared" si="1"/>
        <v>6700</v>
      </c>
    </row>
    <row r="11" spans="1:11" x14ac:dyDescent="0.35">
      <c r="A11" s="47">
        <v>8</v>
      </c>
      <c r="B11" s="178" t="str">
        <f>Vendedor8!$B$2</f>
        <v>ISA</v>
      </c>
      <c r="C11" s="180">
        <v>8500</v>
      </c>
      <c r="D11" s="30">
        <f t="shared" si="2"/>
        <v>0</v>
      </c>
      <c r="E11" s="180"/>
      <c r="F11" s="30" t="str">
        <f t="shared" si="2"/>
        <v/>
      </c>
      <c r="G11" s="180">
        <v>10000</v>
      </c>
      <c r="H11" s="30">
        <v>500</v>
      </c>
      <c r="J11" s="42">
        <f t="shared" si="3"/>
        <v>18500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33100</v>
      </c>
      <c r="D12" s="30">
        <v>250</v>
      </c>
      <c r="E12" s="180">
        <v>40500</v>
      </c>
      <c r="F12" s="30">
        <v>650</v>
      </c>
      <c r="G12" s="180">
        <v>20600</v>
      </c>
      <c r="H12" s="30">
        <v>650</v>
      </c>
      <c r="J12" s="42">
        <f t="shared" si="3"/>
        <v>94200</v>
      </c>
      <c r="K12" s="42">
        <f t="shared" si="1"/>
        <v>1550</v>
      </c>
    </row>
    <row r="13" spans="1:11" x14ac:dyDescent="0.35">
      <c r="A13" s="47">
        <v>10</v>
      </c>
      <c r="B13" s="178" t="str">
        <f>Vendedor10!$B$2</f>
        <v>MARIALIZ</v>
      </c>
      <c r="C13" s="180">
        <v>45250</v>
      </c>
      <c r="D13" s="30">
        <f t="shared" si="2"/>
        <v>0</v>
      </c>
      <c r="E13" s="180">
        <v>28300</v>
      </c>
      <c r="F13" s="30">
        <f t="shared" si="2"/>
        <v>0</v>
      </c>
      <c r="G13" s="180">
        <v>33000</v>
      </c>
      <c r="H13" s="30">
        <v>1000</v>
      </c>
      <c r="J13" s="42">
        <f t="shared" si="3"/>
        <v>106550</v>
      </c>
      <c r="K13" s="42">
        <f t="shared" si="1"/>
        <v>1000</v>
      </c>
    </row>
    <row r="14" spans="1:11" x14ac:dyDescent="0.35">
      <c r="A14" s="47">
        <v>11</v>
      </c>
      <c r="B14" s="178" t="str">
        <f>Vendedor11!$B$2</f>
        <v>CHARLY</v>
      </c>
      <c r="C14" s="180">
        <v>39500</v>
      </c>
      <c r="D14" s="30">
        <f t="shared" si="2"/>
        <v>0</v>
      </c>
      <c r="E14" s="180">
        <v>16150</v>
      </c>
      <c r="F14" s="30">
        <v>300</v>
      </c>
      <c r="G14" s="180">
        <v>25950</v>
      </c>
      <c r="H14" s="30">
        <v>300</v>
      </c>
      <c r="J14" s="42">
        <f t="shared" si="3"/>
        <v>81600</v>
      </c>
      <c r="K14" s="42">
        <f t="shared" si="1"/>
        <v>600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23850</v>
      </c>
      <c r="D16" s="30">
        <v>250</v>
      </c>
      <c r="E16" s="180">
        <v>26500</v>
      </c>
      <c r="F16" s="30">
        <f t="shared" si="2"/>
        <v>0</v>
      </c>
      <c r="G16" s="180">
        <v>41600</v>
      </c>
      <c r="H16" s="30">
        <v>2150</v>
      </c>
      <c r="J16" s="42">
        <f t="shared" si="3"/>
        <v>91950</v>
      </c>
      <c r="K16" s="42">
        <f t="shared" si="1"/>
        <v>2400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77900+31400</f>
        <v>109300</v>
      </c>
      <c r="D17" s="30">
        <f>1050+0</f>
        <v>1050</v>
      </c>
      <c r="E17" s="180">
        <f>76200+10450</f>
        <v>86650</v>
      </c>
      <c r="F17" s="30">
        <f>1300+0</f>
        <v>1300</v>
      </c>
      <c r="G17" s="180">
        <f>158250+45500</f>
        <v>203750</v>
      </c>
      <c r="H17" s="30">
        <f>6500+1350</f>
        <v>7850</v>
      </c>
      <c r="J17" s="42">
        <f t="shared" si="3"/>
        <v>399700</v>
      </c>
      <c r="K17" s="42">
        <f t="shared" si="1"/>
        <v>10200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43350+12550</f>
        <v>55900</v>
      </c>
      <c r="D18" s="30">
        <v>100</v>
      </c>
      <c r="E18" s="180">
        <f>8500+14800</f>
        <v>23300</v>
      </c>
      <c r="F18" s="30">
        <f t="shared" si="2"/>
        <v>0</v>
      </c>
      <c r="G18" s="180">
        <f>45350+20050</f>
        <v>65400</v>
      </c>
      <c r="H18" s="30">
        <f>200+1500</f>
        <v>1700</v>
      </c>
      <c r="J18" s="42">
        <f t="shared" si="3"/>
        <v>144600</v>
      </c>
      <c r="K18" s="42">
        <f t="shared" si="1"/>
        <v>1800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563150</v>
      </c>
      <c r="D32" s="44">
        <f t="shared" si="6"/>
        <v>5200</v>
      </c>
      <c r="E32" s="43">
        <f t="shared" si="6"/>
        <v>419900</v>
      </c>
      <c r="F32" s="44">
        <f t="shared" si="6"/>
        <v>3450</v>
      </c>
      <c r="G32" s="43">
        <f t="shared" si="6"/>
        <v>710750</v>
      </c>
      <c r="H32" s="44">
        <f t="shared" si="6"/>
        <v>19250</v>
      </c>
      <c r="J32" s="95">
        <f>SUM(J4:J31)</f>
        <v>1693800</v>
      </c>
      <c r="K32" s="95"/>
    </row>
    <row r="33" spans="2:8" x14ac:dyDescent="0.35">
      <c r="D33" s="99">
        <f>+D32*85</f>
        <v>442000</v>
      </c>
      <c r="F33" s="99">
        <f>+F32*85</f>
        <v>293250</v>
      </c>
      <c r="H33" s="99">
        <f>+H32*85</f>
        <v>1636250</v>
      </c>
    </row>
    <row r="34" spans="2:8" x14ac:dyDescent="0.35">
      <c r="B34" s="247" t="s">
        <v>149</v>
      </c>
      <c r="C34" s="43">
        <f t="shared" ref="C34:H34" si="7">+C4+C5+C6+C8+C13</f>
        <v>136750</v>
      </c>
      <c r="D34" s="43" t="e">
        <f t="shared" si="7"/>
        <v>#VALUE!</v>
      </c>
      <c r="E34" s="43">
        <f t="shared" si="7"/>
        <v>96300</v>
      </c>
      <c r="F34" s="43" t="e">
        <f t="shared" si="7"/>
        <v>#VALUE!</v>
      </c>
      <c r="G34" s="43">
        <f t="shared" si="7"/>
        <v>184550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213200</v>
      </c>
      <c r="D35" s="43" t="e">
        <f t="shared" ref="D35:H35" si="8">+D11+D14+D15+D17+D18</f>
        <v>#VALUE!</v>
      </c>
      <c r="E35" s="43">
        <f t="shared" si="8"/>
        <v>126100</v>
      </c>
      <c r="F35" s="43" t="e">
        <f t="shared" si="8"/>
        <v>#VALUE!</v>
      </c>
      <c r="G35" s="43">
        <f t="shared" si="8"/>
        <v>305100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189350</v>
      </c>
      <c r="D36" s="43" t="e">
        <f t="shared" ref="D36:H36" si="9">+D10+D12+D27</f>
        <v>#VALUE!</v>
      </c>
      <c r="E36" s="43">
        <f t="shared" si="9"/>
        <v>171000</v>
      </c>
      <c r="F36" s="43" t="e">
        <f t="shared" si="9"/>
        <v>#VALUE!</v>
      </c>
      <c r="G36" s="43">
        <f t="shared" si="9"/>
        <v>179500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81</v>
      </c>
      <c r="D2" s="268"/>
      <c r="E2" s="267">
        <f>IF(PREMIOS!$B9="","",PREMIOS!$B9)</f>
        <v>57</v>
      </c>
      <c r="F2" s="268"/>
      <c r="G2" s="267">
        <f>IF(PREMIOS!$B13="","",PREMIOS!$B13)</f>
        <v>65</v>
      </c>
      <c r="H2" s="268"/>
      <c r="I2" s="267">
        <f>IF(PREMIOS!$B17="","",PREMIOS!$B17)</f>
        <v>49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14000</v>
      </c>
      <c r="D4" s="78">
        <f t="shared" ref="D4:J27" si="0">IF(C4="","",0)</f>
        <v>0</v>
      </c>
      <c r="E4" s="206">
        <v>24300</v>
      </c>
      <c r="F4" s="78">
        <f t="shared" si="0"/>
        <v>0</v>
      </c>
      <c r="G4" s="189">
        <v>7000</v>
      </c>
      <c r="H4" s="78">
        <f t="shared" ref="H4:H27" si="1">IF(G4="","",0)</f>
        <v>0</v>
      </c>
      <c r="I4" s="189">
        <v>5000</v>
      </c>
      <c r="J4" s="78">
        <f t="shared" si="0"/>
        <v>0</v>
      </c>
      <c r="L4" s="42">
        <f t="shared" ref="L4:L8" si="2">+C4+E4+G4+I4</f>
        <v>50300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21900</v>
      </c>
      <c r="D5" s="30">
        <f t="shared" si="0"/>
        <v>0</v>
      </c>
      <c r="E5" s="207">
        <v>4950</v>
      </c>
      <c r="F5" s="30">
        <f t="shared" si="0"/>
        <v>0</v>
      </c>
      <c r="G5" s="180">
        <v>10550</v>
      </c>
      <c r="H5" s="30">
        <v>500</v>
      </c>
      <c r="I5" s="180">
        <v>10150</v>
      </c>
      <c r="J5" s="30">
        <f t="shared" ref="J5:J27" si="3">IF(I5="","",0)</f>
        <v>0</v>
      </c>
      <c r="L5" s="42">
        <f t="shared" si="2"/>
        <v>47550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36200+28850</f>
        <v>65050</v>
      </c>
      <c r="D10" s="30">
        <f t="shared" si="0"/>
        <v>0</v>
      </c>
      <c r="E10" s="207">
        <f>43750+49000</f>
        <v>92750</v>
      </c>
      <c r="F10" s="30">
        <f t="shared" si="0"/>
        <v>0</v>
      </c>
      <c r="G10" s="180">
        <f>14300+35500</f>
        <v>49800</v>
      </c>
      <c r="H10" s="30">
        <v>150</v>
      </c>
      <c r="I10" s="180">
        <f>45750+52500</f>
        <v>98250</v>
      </c>
      <c r="J10" s="30">
        <f t="shared" si="0"/>
        <v>0</v>
      </c>
      <c r="L10" s="42">
        <f t="shared" si="5"/>
        <v>305850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27800</v>
      </c>
      <c r="D12" s="30">
        <v>250</v>
      </c>
      <c r="E12" s="207">
        <v>21400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49200</v>
      </c>
      <c r="M12" s="42">
        <f t="shared" si="4"/>
        <v>500</v>
      </c>
    </row>
    <row r="13" spans="1:13" x14ac:dyDescent="0.35">
      <c r="A13" s="47">
        <v>10</v>
      </c>
      <c r="B13" s="178" t="str">
        <f>Vendedor10!$B$2</f>
        <v>MARIALIZ</v>
      </c>
      <c r="C13" s="180">
        <v>20250</v>
      </c>
      <c r="D13" s="30">
        <v>100</v>
      </c>
      <c r="E13" s="207">
        <v>21950</v>
      </c>
      <c r="F13" s="30">
        <v>500</v>
      </c>
      <c r="G13" s="180">
        <v>13000</v>
      </c>
      <c r="H13" s="30">
        <f t="shared" si="0"/>
        <v>0</v>
      </c>
      <c r="I13" s="180">
        <v>4100</v>
      </c>
      <c r="J13" s="30">
        <f t="shared" si="0"/>
        <v>0</v>
      </c>
      <c r="L13" s="42">
        <f t="shared" si="5"/>
        <v>59300</v>
      </c>
      <c r="M13" s="42">
        <f t="shared" si="4"/>
        <v>600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14050</v>
      </c>
      <c r="D16" s="30">
        <f t="shared" si="0"/>
        <v>0</v>
      </c>
      <c r="E16" s="207">
        <v>3750</v>
      </c>
      <c r="F16" s="30">
        <f t="shared" si="0"/>
        <v>0</v>
      </c>
      <c r="G16" s="180"/>
      <c r="H16" s="30" t="str">
        <f t="shared" si="0"/>
        <v/>
      </c>
      <c r="I16" s="180">
        <v>23300</v>
      </c>
      <c r="J16" s="30">
        <f t="shared" si="0"/>
        <v>0</v>
      </c>
      <c r="L16" s="42">
        <f t="shared" si="5"/>
        <v>41100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65700</v>
      </c>
      <c r="D17" s="30">
        <v>750</v>
      </c>
      <c r="E17" s="207">
        <v>76100</v>
      </c>
      <c r="F17" s="30">
        <v>100</v>
      </c>
      <c r="G17" s="180">
        <v>48450</v>
      </c>
      <c r="H17" s="30">
        <v>400</v>
      </c>
      <c r="I17" s="180">
        <v>189950</v>
      </c>
      <c r="J17" s="30">
        <v>1150</v>
      </c>
      <c r="L17" s="42">
        <f t="shared" si="5"/>
        <v>380200</v>
      </c>
      <c r="M17" s="42">
        <f t="shared" si="4"/>
        <v>2400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52300</v>
      </c>
      <c r="D18" s="30">
        <v>200</v>
      </c>
      <c r="E18" s="207">
        <v>30350</v>
      </c>
      <c r="F18" s="30">
        <v>1000</v>
      </c>
      <c r="G18" s="180">
        <v>37500</v>
      </c>
      <c r="H18" s="30">
        <f t="shared" si="0"/>
        <v>0</v>
      </c>
      <c r="I18" s="180">
        <v>26700</v>
      </c>
      <c r="J18" s="30">
        <v>300</v>
      </c>
      <c r="L18" s="42">
        <f t="shared" si="5"/>
        <v>146850</v>
      </c>
      <c r="M18" s="42">
        <f t="shared" si="4"/>
        <v>1500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281050</v>
      </c>
      <c r="D32" s="44">
        <f t="shared" si="7"/>
        <v>1300</v>
      </c>
      <c r="E32" s="43">
        <f t="shared" si="7"/>
        <v>275550</v>
      </c>
      <c r="F32" s="44">
        <f t="shared" si="7"/>
        <v>1850</v>
      </c>
      <c r="G32" s="43">
        <f t="shared" si="7"/>
        <v>166300</v>
      </c>
      <c r="H32" s="44">
        <f t="shared" si="7"/>
        <v>1050</v>
      </c>
      <c r="I32" s="43">
        <f t="shared" si="7"/>
        <v>357450</v>
      </c>
      <c r="J32" s="44">
        <f t="shared" si="7"/>
        <v>1450</v>
      </c>
      <c r="L32" s="95">
        <f>SUM(L9:L31)</f>
        <v>982500</v>
      </c>
      <c r="M32" s="95">
        <f>SUM(M9:M31)</f>
        <v>5000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41 Roja</v>
      </c>
      <c r="D2" s="268"/>
      <c r="E2" s="267" t="str">
        <f>IF(E33=0,"",CONCATENATE(PREMIOS!$B11," ",PREMIOS!$B12))</f>
        <v>17 Blanca</v>
      </c>
      <c r="F2" s="268"/>
      <c r="G2" s="267" t="str">
        <f>IF(G33=0,"",CONCATENATE(PREMIOS!$B15," ",PREMIOS!$B16))</f>
        <v>12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26750+5300</f>
        <v>32050</v>
      </c>
      <c r="D10" s="30">
        <f>250+0</f>
        <v>250</v>
      </c>
      <c r="E10" s="180">
        <f>11050+6500</f>
        <v>17550</v>
      </c>
      <c r="F10" s="30">
        <f t="shared" si="0"/>
        <v>0</v>
      </c>
      <c r="G10" s="180">
        <f>30500+2900</f>
        <v>33400</v>
      </c>
      <c r="H10" s="30">
        <f>300+0</f>
        <v>300</v>
      </c>
      <c r="J10" s="42">
        <f t="shared" si="3"/>
        <v>83000</v>
      </c>
      <c r="K10" s="42">
        <f t="shared" si="4"/>
        <v>550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3400</v>
      </c>
      <c r="D12" s="30">
        <f t="shared" si="0"/>
        <v>0</v>
      </c>
      <c r="E12" s="180">
        <v>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3900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1500</v>
      </c>
      <c r="H16" s="195">
        <f t="shared" si="0"/>
        <v>0</v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28700</v>
      </c>
      <c r="D17" s="30">
        <f t="shared" si="0"/>
        <v>0</v>
      </c>
      <c r="E17" s="180">
        <v>9800</v>
      </c>
      <c r="F17" s="30">
        <f t="shared" si="0"/>
        <v>0</v>
      </c>
      <c r="G17" s="180">
        <v>32300</v>
      </c>
      <c r="H17" s="30">
        <v>650</v>
      </c>
      <c r="J17" s="42">
        <f t="shared" si="3"/>
        <v>70800</v>
      </c>
      <c r="K17" s="42">
        <f t="shared" si="4"/>
        <v>650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11200</v>
      </c>
      <c r="D18" s="30">
        <v>100</v>
      </c>
      <c r="E18" s="180">
        <v>8500</v>
      </c>
      <c r="F18" s="30">
        <f t="shared" si="0"/>
        <v>0</v>
      </c>
      <c r="G18" s="180">
        <v>15750</v>
      </c>
      <c r="H18" s="30">
        <v>1500</v>
      </c>
      <c r="J18" s="42">
        <f t="shared" si="3"/>
        <v>35450</v>
      </c>
      <c r="K18" s="42">
        <f t="shared" si="4"/>
        <v>1600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76850</v>
      </c>
      <c r="D33" s="44">
        <f t="shared" si="7"/>
        <v>350</v>
      </c>
      <c r="E33" s="43">
        <f t="shared" si="7"/>
        <v>36350</v>
      </c>
      <c r="F33" s="44">
        <f t="shared" si="7"/>
        <v>0</v>
      </c>
      <c r="G33" s="43">
        <f t="shared" si="7"/>
        <v>82950</v>
      </c>
      <c r="H33" s="44">
        <f t="shared" si="7"/>
        <v>2450</v>
      </c>
      <c r="J33" s="45">
        <f>SUM(J4:J32)</f>
        <v>196150</v>
      </c>
      <c r="K33" s="95">
        <f>SUM(K4:K32)</f>
        <v>2800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73</v>
      </c>
      <c r="D2" s="268"/>
      <c r="E2" s="267">
        <f>IF(PREMIOS!$C19="","",PREMIOS!$C19)</f>
        <v>68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14300</v>
      </c>
      <c r="D4" s="78">
        <f t="shared" ref="D4:F27" si="0">IF(C4="","",0)</f>
        <v>0</v>
      </c>
      <c r="E4" s="189">
        <v>2900</v>
      </c>
      <c r="F4" s="78">
        <f t="shared" si="0"/>
        <v>0</v>
      </c>
      <c r="H4" s="42">
        <f>+C4+E4</f>
        <v>17200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6600</v>
      </c>
      <c r="D5" s="30">
        <f t="shared" si="0"/>
        <v>0</v>
      </c>
      <c r="E5" s="180">
        <v>2550</v>
      </c>
      <c r="F5" s="30">
        <f t="shared" ref="F5:F27" si="1">IF(E5="","",0)</f>
        <v>0</v>
      </c>
      <c r="H5" s="42">
        <f t="shared" ref="H5:H32" si="2">+C5+E5</f>
        <v>9150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8000+8400</f>
        <v>16400</v>
      </c>
      <c r="D10" s="30">
        <f t="shared" si="0"/>
        <v>0</v>
      </c>
      <c r="E10" s="180">
        <v>8800</v>
      </c>
      <c r="F10" s="195">
        <f t="shared" si="1"/>
        <v>0</v>
      </c>
      <c r="H10" s="42">
        <f t="shared" si="2"/>
        <v>25200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41450</v>
      </c>
      <c r="D12" s="30">
        <v>300</v>
      </c>
      <c r="E12" s="194"/>
      <c r="F12" s="30" t="str">
        <f t="shared" si="0"/>
        <v/>
      </c>
      <c r="H12" s="42">
        <f t="shared" si="2"/>
        <v>41450</v>
      </c>
      <c r="I12" s="42">
        <f t="shared" si="3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1000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50900</v>
      </c>
      <c r="D17" s="195">
        <v>200</v>
      </c>
      <c r="E17" s="180">
        <v>45900</v>
      </c>
      <c r="F17" s="30">
        <f t="shared" si="0"/>
        <v>0</v>
      </c>
      <c r="H17" s="42">
        <f t="shared" si="2"/>
        <v>96800</v>
      </c>
      <c r="I17" s="42">
        <f t="shared" si="3"/>
        <v>200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44500</v>
      </c>
      <c r="D18" s="195">
        <f t="shared" si="0"/>
        <v>0</v>
      </c>
      <c r="E18" s="180">
        <v>33300</v>
      </c>
      <c r="F18" s="30">
        <v>300</v>
      </c>
      <c r="H18" s="42">
        <f t="shared" si="2"/>
        <v>77800</v>
      </c>
      <c r="I18" s="42">
        <f t="shared" si="3"/>
        <v>300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175150</v>
      </c>
      <c r="D33" s="44">
        <f>SUM(D4:D32)</f>
        <v>500</v>
      </c>
      <c r="E33" s="43">
        <f>SUM(E4:E32)</f>
        <v>93450</v>
      </c>
      <c r="F33" s="44">
        <f>SUM(F4:F32)</f>
        <v>300</v>
      </c>
      <c r="H33" s="95">
        <f>SUM(H4:H32)</f>
        <v>268600</v>
      </c>
      <c r="I33" s="95">
        <f>SUM(I4:I32)</f>
        <v>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64</v>
      </c>
      <c r="D2" s="268"/>
      <c r="E2" s="267">
        <f>IF(PREMIOS!$C20="","",PREMIOS!$C20)</f>
        <v>78</v>
      </c>
      <c r="F2" s="268"/>
      <c r="G2" s="267">
        <f>IF(PREMIOS!$D20="","",PREMIOS!$D20)</f>
        <v>65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2000+18750</f>
        <v>20750</v>
      </c>
      <c r="D10" s="195">
        <f t="shared" si="0"/>
        <v>0</v>
      </c>
      <c r="E10" s="180">
        <v>11500</v>
      </c>
      <c r="F10" s="30">
        <f t="shared" si="0"/>
        <v>0</v>
      </c>
      <c r="G10" s="180">
        <v>1250</v>
      </c>
      <c r="H10" s="195">
        <f t="shared" si="0"/>
        <v>0</v>
      </c>
      <c r="J10" s="42">
        <f t="shared" si="3"/>
        <v>33500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4500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4500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25750</v>
      </c>
      <c r="D17" s="195">
        <v>400</v>
      </c>
      <c r="E17" s="194">
        <v>3300</v>
      </c>
      <c r="F17" s="195">
        <f t="shared" si="0"/>
        <v>0</v>
      </c>
      <c r="G17" s="194">
        <v>26650</v>
      </c>
      <c r="H17" s="195">
        <f t="shared" si="2"/>
        <v>0</v>
      </c>
      <c r="J17" s="42">
        <f t="shared" si="3"/>
        <v>55700</v>
      </c>
      <c r="K17" s="42">
        <f t="shared" si="4"/>
        <v>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23100</v>
      </c>
      <c r="D18" s="195">
        <v>200</v>
      </c>
      <c r="E18" s="180">
        <v>5000</v>
      </c>
      <c r="F18" s="30">
        <f t="shared" si="1"/>
        <v>0</v>
      </c>
      <c r="G18" s="180">
        <v>5000</v>
      </c>
      <c r="H18" s="30">
        <f t="shared" si="2"/>
        <v>0</v>
      </c>
      <c r="J18" s="42">
        <f t="shared" si="3"/>
        <v>33100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74100</v>
      </c>
      <c r="D33" s="44">
        <f t="shared" si="6"/>
        <v>600</v>
      </c>
      <c r="E33" s="43">
        <f t="shared" si="6"/>
        <v>19800</v>
      </c>
      <c r="F33" s="44">
        <f t="shared" si="6"/>
        <v>0</v>
      </c>
      <c r="G33" s="43">
        <f t="shared" si="6"/>
        <v>32900</v>
      </c>
      <c r="H33" s="44">
        <f t="shared" si="6"/>
        <v>0</v>
      </c>
      <c r="J33" s="45">
        <f>SUM(J4:J32)</f>
        <v>126800</v>
      </c>
      <c r="K33" s="95">
        <f>SUM(K4:K32)</f>
        <v>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F38" sqref="F3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48</v>
      </c>
      <c r="D2" s="268"/>
      <c r="E2" s="267" t="str">
        <f>IF(PREMIOS!$C21="","",PREMIOS!$C21)</f>
        <v>09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2026-05-06T17:01:08Z</dcterms:modified>
  <dc:language>es-CR</dc:language>
</cp:coreProperties>
</file>
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" documentId="11_C42B019AD8D9828B9787B72E3B4FBD999E0DF521" xr6:coauthVersionLast="47" xr6:coauthVersionMax="47" xr10:uidLastSave="{47E81E74-1054-4DF4-AC0C-C22FDDBC377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G10" i="64"/>
  <c r="H10" i="62"/>
  <c r="G10" i="62"/>
  <c r="I10" i="61"/>
  <c r="H10" i="61"/>
  <c r="G10" i="61"/>
  <c r="H17" i="60"/>
  <c r="G17" i="60"/>
  <c r="H10" i="60"/>
  <c r="G10" i="60"/>
  <c r="H18" i="60"/>
  <c r="G18" i="60"/>
  <c r="E10" i="62"/>
  <c r="E10" i="60"/>
  <c r="F17" i="60"/>
  <c r="E17" i="60"/>
  <c r="F18" i="60"/>
  <c r="E18" i="60"/>
  <c r="E10" i="61"/>
  <c r="C10" i="61"/>
  <c r="C10" i="62"/>
  <c r="E10" i="64"/>
  <c r="C10" i="65"/>
  <c r="D17" i="60"/>
  <c r="C17" i="60"/>
  <c r="D18" i="60"/>
  <c r="C18" i="60"/>
  <c r="D10" i="60"/>
  <c r="C10" i="60"/>
  <c r="D18" i="64" l="1"/>
  <c r="D11" i="65"/>
  <c r="D9" i="61"/>
  <c r="D8" i="61"/>
  <c r="C23" i="15"/>
  <c r="D23" i="15" s="1"/>
  <c r="C22" i="15"/>
  <c r="E16" i="71" s="1"/>
  <c r="C21" i="15"/>
  <c r="C16" i="71" s="1"/>
  <c r="H16" i="64"/>
  <c r="E23" i="15" s="1"/>
  <c r="D16" i="64"/>
  <c r="E21" i="15" s="1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5" i="60"/>
  <c r="D11" i="60"/>
  <c r="D35" i="60" s="1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0" i="62"/>
  <c r="F18" i="61"/>
  <c r="F16" i="61"/>
  <c r="D6" i="60"/>
  <c r="F15" i="60"/>
  <c r="F14" i="60"/>
  <c r="F11" i="60"/>
  <c r="F9" i="60"/>
  <c r="F8" i="60"/>
  <c r="F7" i="60"/>
  <c r="F6" i="60"/>
  <c r="F5" i="60"/>
  <c r="F4" i="60"/>
  <c r="H16" i="60"/>
  <c r="H15" i="60"/>
  <c r="H14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F35" i="60" l="1"/>
  <c r="H34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4" i="73"/>
  <c r="I24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C22" i="72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29" i="66"/>
  <c r="H33" i="66" s="1"/>
  <c r="J23" i="70"/>
  <c r="K23" i="70" s="1"/>
  <c r="L22" i="71"/>
  <c r="M22" i="71" s="1"/>
  <c r="J22" i="72"/>
  <c r="K22" i="72" s="1"/>
  <c r="J32" i="64"/>
  <c r="K20" i="19"/>
  <c r="K9" i="19"/>
  <c r="L21" i="71"/>
  <c r="M21" i="71" s="1"/>
  <c r="J31" i="71"/>
  <c r="K31" i="71" s="1"/>
  <c r="D18" i="72"/>
  <c r="J22" i="70"/>
  <c r="K22" i="70" s="1"/>
  <c r="C17" i="73"/>
  <c r="F17" i="73" s="1"/>
  <c r="J10" i="8"/>
  <c r="D26" i="19"/>
  <c r="J10" i="19"/>
  <c r="J29" i="71"/>
  <c r="J21" i="72"/>
  <c r="K21" i="72" s="1"/>
  <c r="J31" i="72"/>
  <c r="K31" i="72" s="1"/>
  <c r="I18" i="66"/>
  <c r="F25" i="19"/>
  <c r="F18" i="72"/>
  <c r="J26" i="71"/>
  <c r="L29" i="71"/>
  <c r="M29" i="71" s="1"/>
  <c r="H21" i="72"/>
  <c r="I21" i="72" s="1"/>
  <c r="N21" i="72" s="1"/>
  <c r="L9" i="19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J7" i="19"/>
  <c r="L6" i="6"/>
  <c r="D26" i="21"/>
  <c r="J10" i="2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N27" i="71"/>
  <c r="K21" i="19"/>
  <c r="K10" i="19"/>
  <c r="N27" i="72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L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4" i="52" l="1"/>
  <c r="L4" i="23"/>
  <c r="M26" i="52"/>
  <c r="J5" i="23"/>
  <c r="M23" i="52"/>
  <c r="F17" i="52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F32" i="60"/>
  <c r="D32" i="61"/>
  <c r="L19" i="59"/>
  <c r="H32" i="60"/>
  <c r="K5" i="23"/>
  <c r="G32" i="61"/>
  <c r="F32" i="61"/>
  <c r="H32" i="61"/>
  <c r="K5" i="19"/>
  <c r="L6" i="22"/>
  <c r="K6" i="23"/>
  <c r="E32" i="60"/>
  <c r="J32" i="61"/>
  <c r="M19" i="52"/>
  <c r="K5" i="8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5" i="52"/>
  <c r="M4" i="52"/>
  <c r="K6" i="25"/>
  <c r="M6" i="52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4" i="58"/>
  <c r="P22" i="58"/>
  <c r="P20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F12" i="14"/>
  <c r="F12" i="15"/>
  <c r="F12" i="19"/>
  <c r="F12" i="8"/>
  <c r="K4" i="52"/>
  <c r="C3" i="1" s="1"/>
  <c r="B3" i="1"/>
  <c r="K23" i="52"/>
  <c r="C22" i="1" s="1"/>
  <c r="B22" i="1"/>
  <c r="F16" i="19"/>
  <c r="F16" i="8"/>
  <c r="F16" i="15"/>
  <c r="G16" i="15" s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<sst xmlns="http://schemas.openxmlformats.org/spreadsheetml/2006/main" count="1295" uniqueCount="162">
  <si>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</si>
  <si>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</si>
  <si>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</si>
  <si>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</si>
  <si>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</si>
  <si>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</si>
  <si>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</si>
  <si>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</si>
  <si>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</si>
  <si>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</si>
  <si>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</si>
  <si>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</si>
  <si>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</si>
  <si>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</si>
  <si>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</si>
  <si>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</si>
  <si>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</si>
  <si>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</si>
  <si>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</si>
  <si>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</si>
  <si>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</si>
  <si>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</si>
  <si>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</si>
  <si>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</si>
  <si>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</si>
  <si>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</si>
  <si>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</si>
  <si>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</si>
  <si>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</si>
  <si>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</si>
  <si>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</si>
  <si>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</si>
  <si>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</si>
  <si>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</si>
  <si>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</si>
  <si>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</si>
  <si>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</si>
  <si>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</si>
  <si>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</si>
  <si>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</si>
  <si>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</si>
  <si>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</si>
  <si>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</si>
  <si>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</si>
  <si>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</si>
  <si>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</si>
  <si>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</si>
  <si>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</si>
  <si>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</si>
  <si>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</si>
  <si>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</si>
  <si>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</si>
  <si>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</si>
  <si>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</si>
  <si>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</si>
  <si>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</si>
  <si>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</si>
  <si>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</si>
  <si>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</si>
  <si>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</si>
  <si>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</si>
  <si>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</si>
  <si>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</si>
  <si>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</si>
  <si>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</si>
  <si>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</si>
  <si>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</si>
  <si>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</si>
  <si>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</si>
  <si>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</si>
  <si>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</si>
  <si>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</si>
  <si>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</si>
  <si>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</si>
  <si>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</si>
  <si>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</si>
  <si>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</si>
  <si>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</si>
  <si>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</si>
  <si>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</si>
  <si>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</si>
  <si>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</si>
  <si>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</si>
  <si>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</si>
  <si>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</si>
  <si>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</si>
  <si>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</si>
  <si>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</si>
  <si>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</si>
  <si>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</si>
  <si>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</si>
  <si>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</si>
  <si>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</si>
  <si>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</si>
  <si>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</si>
  <si>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</si>
  <si>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</si>
  <si>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</si>
  <si>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</si>
  <si>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</si>
  <si>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</si>
  <si>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</si>
  <si>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</si>
  <si>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</si>
  <si>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</si>
  <si>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</si>
  <si>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</si>
  <si>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</si>
  <si>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</si>
  <si>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</si>
  <si>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</si>
  <si>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</si>
  <si>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</si>
  <si>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</si>
  <si>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</si>
  <si>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</si>
  <si>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</si>
  <si>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</si>
  <si>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</si>
  <si>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</si>
  <si>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</si>
  <si>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</si>
  <si>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</si>
  <si>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</si>
  <si>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</si>
  <si>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</si>
  <si>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</si>
  <si>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</si>
  <si>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</si>
  <si>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</si>
  <si>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</si>
  <si>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</si>
  <si>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</si>
  <si>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</si>
  <si>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</si>
  <si>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</si>
  <si>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</si>
  <si>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</si>
  <si>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</si>
  <si>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</si>
  <si>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</si>
  <si>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</si>
  <si>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</si>
  <si>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</si>
  <si>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</si>
  <si>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</si>
  <si>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</si>
  <si>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</si>
  <si>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</si>
  <si>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</si>
  <si>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</si>
  <si>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</si>
  <si>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</si>
  <si>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</si>
  <si>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</si>
  <si>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</si>
  <si>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</si>
  <si>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</si>
  <si>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</si>
  <si>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</si>
  <si>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02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</si>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</sst>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191700</v>
      </c>
      <c r="C3" s="9">
        <f>+HojaTICA!K4+HojaNICA!M4+HojaREVENTADO!K4+HojaPrimera!I4+HojaHonduras!K4+HojaDominicana!I4+HojaPANA!G4</f>
        <v>24900</v>
      </c>
      <c r="D3" s="9">
        <f>+HojaTICA!N4+HojaNICA!P4+HojaREVENTADO!O4+HojaPrimera!L4+HojaHonduras!N4+HojaDominicana!L4+HojaPANA!J4</f>
        <v>110500</v>
      </c>
      <c r="F3" s="10">
        <f t="shared" ref="F3:F27" si="0">+B3-C3-D3</f>
        <v>56300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199150</v>
      </c>
      <c r="C4" s="9">
        <f>+HojaTICA!K5+HojaNICA!M5+HojaREVENTADO!K5+HojaPrimera!I5+HojaHonduras!K5+HojaDominicana!I5+HojaPANA!G5</f>
        <v>25900</v>
      </c>
      <c r="D4" s="9">
        <f>+HojaTICA!N5+HojaNICA!P5+HojaREVENTADO!O5+HojaPrimera!L5+HojaHonduras!N5+HojaDominicana!L5+HojaPANA!J5</f>
        <v>290000</v>
      </c>
      <c r="F4" s="14">
        <f t="shared" si="0"/>
        <v>-116750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1360100</v>
      </c>
      <c r="C9" s="9">
        <f>+HojaTICA!K10+HojaNICA!M10+HojaREVENTADO!K10+HojaPrimera!I10+HojaHonduras!K10+HojaDominicana!I10+HojaPANA!G10</f>
        <v>161165</v>
      </c>
      <c r="D9" s="9">
        <f>+HojaTICA!N10+HojaNICA!P10+HojaREVENTADO!O10+HojaPrimera!L10+HojaHonduras!N10+HojaDominicana!L10+HojaPANA!J10</f>
        <v>1691750</v>
      </c>
      <c r="F9" s="14">
        <f t="shared" si="0"/>
        <v>-492815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55700</v>
      </c>
      <c r="C10" s="9">
        <f>+HojaTICA!K11+HojaNICA!M11+HojaREVENTADO!K11+HojaPrimera!I11+HojaHonduras!K11+HojaDominicana!I11+HojaPANA!G11</f>
        <v>6700</v>
      </c>
      <c r="D10" s="9">
        <f>+HojaTICA!N11+HojaNICA!P11+HojaREVENTADO!O11+HojaPrimera!L11+HojaHonduras!N11+HojaDominicana!L11+HojaPANA!J11</f>
        <v>0</v>
      </c>
      <c r="F10" s="14">
        <f t="shared" si="0"/>
        <v>49000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138650</v>
      </c>
      <c r="C11" s="9">
        <f>+HojaTICA!K12+HojaNICA!M12+HojaREVENTADO!K12+HojaPrimera!I12+HojaHonduras!K12+HojaDominicana!I12+HojaPANA!G12</f>
        <v>16560</v>
      </c>
      <c r="D11" s="9">
        <f>+HojaTICA!N12+HojaNICA!P12+HojaREVENTADO!O12+HojaPrimera!L12+HojaHonduras!N12+HojaDominicana!L12+HojaPANA!J12</f>
        <v>229500</v>
      </c>
      <c r="F11" s="14">
        <f t="shared" si="0"/>
        <v>-107410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240050</v>
      </c>
      <c r="C12" s="9">
        <f>+HojaTICA!K13+HojaNICA!M13+HojaREVENTADO!K13+HojaPrimera!I13+HojaHonduras!K13+HojaDominicana!I13+HojaPANA!G13</f>
        <v>28800</v>
      </c>
      <c r="D12" s="9">
        <f>+HojaTICA!N13+HojaNICA!P13+HojaREVENTADO!O13+HojaPrimera!L13+HojaHonduras!N13+HojaDominicana!L13+HojaPANA!J13</f>
        <v>212500</v>
      </c>
      <c r="F12" s="14">
        <f t="shared" si="0"/>
        <v>-1250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78500</v>
      </c>
      <c r="C13" s="9">
        <f>+HojaTICA!K14+HojaNICA!M14+HojaREVENTADO!K14+HojaPrimera!I14+HojaHonduras!K14+HojaDominicana!I14+HojaPANA!G14</f>
        <v>11800</v>
      </c>
      <c r="D13" s="9">
        <f>+HojaTICA!N14+HojaNICA!P14+HojaREVENTADO!O14+HojaPrimera!L14+HojaHonduras!N14+HojaDominicana!L14+HojaPANA!J14</f>
        <v>400000</v>
      </c>
      <c r="F13" s="14">
        <f t="shared" si="0"/>
        <v>-333300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55900</v>
      </c>
      <c r="C15" s="9">
        <f>+HojaTICA!K16+HojaNICA!M16+HojaREVENTADO!K16+HojaPrimera!I16+HojaHonduras!K16+HojaDominicana!I16+HojaPANA!G16</f>
        <v>6700</v>
      </c>
      <c r="D15" s="9">
        <f>+HojaTICA!N16+HojaNICA!P16+HojaREVENTADO!O16+HojaPrimera!L16+HojaHonduras!N16+HojaDominicana!L16+HojaPANA!J16</f>
        <v>42500</v>
      </c>
      <c r="F15" s="14">
        <f t="shared" si="0"/>
        <v>6700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1043250</v>
      </c>
      <c r="C16" s="9">
        <f>+HojaTICA!K17+HojaNICA!M17+HojaREVENTADO!K17+HojaPrimera!I17+HojaHonduras!K17+HojaDominicana!I17+HojaPANA!G17</f>
        <v>123880</v>
      </c>
      <c r="D16" s="9">
        <f>+HojaTICA!N17+HojaNICA!P17+HojaREVENTADO!O17+HojaPrimera!L17+HojaHonduras!N17+HojaDominicana!L17+HojaPANA!J17</f>
        <v>1419750</v>
      </c>
      <c r="F16" s="14">
        <f t="shared" si="0"/>
        <v>-500380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522800</v>
      </c>
      <c r="C17" s="9">
        <f>+HojaTICA!K18+HojaNICA!M18+HojaREVENTADO!K18+HojaPrimera!I18+HojaHonduras!K18+HojaDominicana!I18+HojaPANA!G18</f>
        <v>61680</v>
      </c>
      <c r="D17" s="9">
        <f>+HojaTICA!N18+HojaNICA!P18+HojaREVENTADO!O18+HojaPrimera!L18+HojaHonduras!N18+HojaDominicana!L18+HojaPANA!J18</f>
        <v>420000</v>
      </c>
      <c r="F17" s="14">
        <f t="shared" si="0"/>
        <v>41120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3885800</v>
      </c>
      <c r="C28" s="17">
        <f t="shared" si="1"/>
        <v>468085</v>
      </c>
      <c r="D28" s="18">
        <f t="shared" si="1"/>
        <v>4816500</v>
      </c>
      <c r="F28" s="20">
        <f>SUM(F3:F27)</f>
        <v>-1398785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17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161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45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55</v>
      </c>
      <c r="C19" s="132">
        <v>73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17</v>
      </c>
      <c r="C20" s="163">
        <v>13</v>
      </c>
      <c r="D20" s="166">
        <v>85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51</v>
      </c>
      <c r="C21" s="164">
        <v>27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28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50</v>
      </c>
      <c r="D2" s="268"/>
      <c r="E2" s="267" t="str">
        <f>DigitaTICA!E2</f>
        <v>02</v>
      </c>
      <c r="F2" s="268"/>
      <c r="G2" s="267">
        <f>DigitaTICA!G2</f>
        <v>12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52000</v>
      </c>
      <c r="D4" s="30">
        <f>IF(Vendedor1!$E$7="",0,Vendedor1!$E$7)</f>
        <v>700</v>
      </c>
      <c r="E4" s="180">
        <f>IF(Vendedor1!$C$11="",0,Vendedor1!$C$11)</f>
        <v>24150</v>
      </c>
      <c r="F4" s="30">
        <f>IF(Vendedor1!$E$11="",0,Vendedor1!$E$11)</f>
        <v>0</v>
      </c>
      <c r="G4" s="180">
        <f>IF(Vendedor1!$C$15="",0,Vendedor1!$C$15)</f>
        <v>75850</v>
      </c>
      <c r="H4" s="30">
        <f>IF(Vendedor1!$E$15="",0,Vendedor1!$E$15)</f>
        <v>600</v>
      </c>
      <c r="J4" s="42">
        <f t="shared" ref="J4:J7" si="0">+C4+E4+G4</f>
        <v>152000</v>
      </c>
      <c r="K4" s="41">
        <f>MROUND(J4*Vendedor1!J$9,50)</f>
        <v>19750</v>
      </c>
      <c r="L4" s="42">
        <f t="shared" ref="L4:L7" si="1">+D4+F4+H4</f>
        <v>1300</v>
      </c>
      <c r="M4" s="42">
        <f t="shared" ref="M4:M7" si="2">+L4*85</f>
        <v>110500</v>
      </c>
      <c r="N4" s="42">
        <f>Vendedor1!$F$7+Vendedor1!$F$11+Vendedor1!$F$15</f>
        <v>110500</v>
      </c>
      <c r="P4" s="42">
        <f t="shared" ref="P4:P7" si="3">+J4-K4-N4</f>
        <v>21750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42400</v>
      </c>
      <c r="D5" s="30">
        <f>IF(Vendedor2!$E$7="",0,Vendedor2!$E$7)</f>
        <v>250</v>
      </c>
      <c r="E5" s="180">
        <f>IF(Vendedor2!$C$11="",0,Vendedor2!$C$11)</f>
        <v>38500</v>
      </c>
      <c r="F5" s="30">
        <f>IF(Vendedor2!$E$11="",0,Vendedor2!$E$11)</f>
        <v>0</v>
      </c>
      <c r="G5" s="180">
        <f>IF(Vendedor2!$C$15="",0,Vendedor2!$C$15)</f>
        <v>78650</v>
      </c>
      <c r="H5" s="30">
        <f>IF(Vendedor2!$E$15="",0,Vendedor2!$E$15)</f>
        <v>1750</v>
      </c>
      <c r="J5" s="42">
        <f t="shared" si="0"/>
        <v>159550</v>
      </c>
      <c r="K5" s="41">
        <f>MROUND(J5*Vendedor2!J$9,50)</f>
        <v>20750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-31200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238000</v>
      </c>
      <c r="D10" s="30">
        <f>IF(Vendedor7!$E$7="",0,Vendedor7!$E$7)</f>
        <v>4300</v>
      </c>
      <c r="E10" s="180">
        <f>IF(Vendedor7!$C$11="",0,Vendedor7!$C$11)</f>
        <v>132600</v>
      </c>
      <c r="F10" s="30">
        <f>IF(Vendedor7!$E$11="",0,Vendedor7!$E$11)</f>
        <v>4000</v>
      </c>
      <c r="G10" s="180">
        <f>IF(Vendedor7!$C$15="",0,Vendedor7!$C$15)</f>
        <v>213550</v>
      </c>
      <c r="H10" s="30">
        <f>IF(Vendedor7!$E$15="",0,Vendedor7!$E$15)</f>
        <v>3350</v>
      </c>
      <c r="J10" s="42">
        <f t="shared" si="8"/>
        <v>584150</v>
      </c>
      <c r="K10" s="41">
        <f>MROUND(J10*Vendedor7!J$14,50)</f>
        <v>70100</v>
      </c>
      <c r="L10" s="42">
        <f t="shared" si="9"/>
        <v>11650</v>
      </c>
      <c r="M10" s="42">
        <f t="shared" si="10"/>
        <v>990250</v>
      </c>
      <c r="N10" s="42">
        <f>Vendedor7!$F$7+Vendedor7!$F$11+Vendedor7!$F$15</f>
        <v>990250</v>
      </c>
      <c r="P10" s="42">
        <f t="shared" si="11"/>
        <v>-476200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32700</v>
      </c>
      <c r="H11" s="30">
        <f>IF(Vendedor8!$E$15="",0,Vendedor8!$E$15)</f>
        <v>0</v>
      </c>
      <c r="J11" s="42">
        <f t="shared" si="8"/>
        <v>55700</v>
      </c>
      <c r="K11" s="41">
        <f>MROUND(J11*Vendedor8!J$11,50)</f>
        <v>6700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49000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36000</v>
      </c>
      <c r="D12" s="30">
        <f>IF(Vendedor9!$E$7="",0,Vendedor9!$E$7)</f>
        <v>1750</v>
      </c>
      <c r="E12" s="180">
        <f>IF(Vendedor9!$C$11="",0,Vendedor9!$C$11)</f>
        <v>16350</v>
      </c>
      <c r="F12" s="30">
        <f>IF(Vendedor9!$E$11="",0,Vendedor9!$E$11)</f>
        <v>150</v>
      </c>
      <c r="G12" s="180">
        <f>IF(Vendedor9!$C$15="",0,Vendedor9!$C$15)</f>
        <v>9450</v>
      </c>
      <c r="H12" s="30">
        <f>IF(Vendedor9!$E$15="",0,Vendedor9!$E$15)</f>
        <v>650</v>
      </c>
      <c r="J12" s="42">
        <f t="shared" si="8"/>
        <v>61800</v>
      </c>
      <c r="K12" s="41">
        <f>MROUND(J12*Vendedor9!J$11,50)</f>
        <v>7400</v>
      </c>
      <c r="L12" s="42">
        <f t="shared" si="9"/>
        <v>2550</v>
      </c>
      <c r="M12" s="42">
        <f t="shared" si="10"/>
        <v>216750</v>
      </c>
      <c r="N12" s="42">
        <f>Vendedor9!$F$7+Vendedor9!$F$11+Vendedor9!$F$15</f>
        <v>216750</v>
      </c>
      <c r="P12" s="42">
        <f t="shared" si="11"/>
        <v>-162350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53450</v>
      </c>
      <c r="D13" s="30">
        <f>IF(Vendedor10!$E$7="",0,Vendedor10!$E$7)</f>
        <v>1050</v>
      </c>
      <c r="E13" s="180">
        <f>IF(Vendedor10!$C$11="",0,Vendedor10!$C$11)</f>
        <v>25300</v>
      </c>
      <c r="F13" s="30">
        <f>IF(Vendedor10!$E$11="",0,Vendedor10!$E$11)</f>
        <v>350</v>
      </c>
      <c r="G13" s="180">
        <f>IF(Vendedor10!$C$15="",0,Vendedor10!$C$15)</f>
        <v>67950</v>
      </c>
      <c r="H13" s="30">
        <f>IF(Vendedor10!$E$15="",0,Vendedor10!$E$15)</f>
        <v>1100</v>
      </c>
      <c r="J13" s="42">
        <f t="shared" si="8"/>
        <v>146700</v>
      </c>
      <c r="K13" s="41">
        <f>MROUND(J13*Vendedor10!J$9,50)</f>
        <v>17600</v>
      </c>
      <c r="L13" s="42">
        <f t="shared" si="9"/>
        <v>2500</v>
      </c>
      <c r="M13" s="42">
        <f t="shared" si="10"/>
        <v>212500</v>
      </c>
      <c r="N13" s="42">
        <f>Vendedor10!$F$7+Vendedor10!$F$11+Vendedor10!$F$15</f>
        <v>212500</v>
      </c>
      <c r="P13" s="42">
        <f t="shared" si="11"/>
        <v>-83400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27700</v>
      </c>
      <c r="D14" s="30">
        <f>IF(Vendedor11!$E$7="",0,Vendedor11!$E$7)</f>
        <v>5000</v>
      </c>
      <c r="E14" s="180">
        <f>IF(Vendedor11!$C$11="",0,Vendedor11!$C$11)</f>
        <v>25400</v>
      </c>
      <c r="F14" s="30">
        <f>IF(Vendedor11!$E$11="",0,Vendedor11!$E$11)</f>
        <v>0</v>
      </c>
      <c r="G14" s="180">
        <f>IF(Vendedor11!$C$15="",0,Vendedor11!$C$15)</f>
        <v>25400</v>
      </c>
      <c r="H14" s="30">
        <f>IF(Vendedor11!$E$15="",0,Vendedor11!$E$15)</f>
        <v>0</v>
      </c>
      <c r="J14" s="42">
        <f t="shared" si="8"/>
        <v>78500</v>
      </c>
      <c r="K14" s="41">
        <f>MROUND(J14*Vendedor11!J$9,50)</f>
        <v>11800</v>
      </c>
      <c r="L14" s="42">
        <f t="shared" si="9"/>
        <v>5000</v>
      </c>
      <c r="M14" s="42">
        <f t="shared" si="10"/>
        <v>425000</v>
      </c>
      <c r="N14" s="42">
        <f>Vendedor11!$F$7+Vendedor11!$F$11+Vendedor11!$F$15</f>
        <v>400000</v>
      </c>
      <c r="P14" s="42">
        <f t="shared" si="11"/>
        <v>-333300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10900</v>
      </c>
      <c r="D16" s="30">
        <f>IF(Vendedor13!$E$7="",0,Vendedor13!$E$7)</f>
        <v>250</v>
      </c>
      <c r="E16" s="180">
        <f>IF(Vendedor13!$C$11="",0,Vendedor13!$C$11)</f>
        <v>8850</v>
      </c>
      <c r="F16" s="30">
        <f>IF(Vendedor13!$E$11="",0,Vendedor13!$E$11)</f>
        <v>250</v>
      </c>
      <c r="G16" s="180">
        <f>IF(Vendedor13!$C$15="",0,Vendedor13!$C$15)</f>
        <v>21300</v>
      </c>
      <c r="H16" s="30">
        <f>IF(Vendedor13!$E$15="",0,Vendedor13!$E$15)</f>
        <v>0</v>
      </c>
      <c r="J16" s="42">
        <f t="shared" si="8"/>
        <v>41050</v>
      </c>
      <c r="K16" s="41">
        <f>MROUND(J16*Vendedor13!J$11,50)</f>
        <v>4950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-6400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134300</v>
      </c>
      <c r="D17" s="30">
        <f>IF(Vendedor14!$E$7="",0,Vendedor14!$E$7)</f>
        <v>5200</v>
      </c>
      <c r="E17" s="180">
        <f>IF(Vendedor14!$C$11="",0,Vendedor14!$C$11)</f>
        <v>61750</v>
      </c>
      <c r="F17" s="30">
        <f>IF(Vendedor14!$E$11="",0,Vendedor14!$E$11)</f>
        <v>450</v>
      </c>
      <c r="G17" s="180">
        <f>IF(Vendedor14!$C$15="",0,Vendedor14!$C$15)</f>
        <v>199200</v>
      </c>
      <c r="H17" s="30">
        <f>IF(Vendedor14!$E$15="",0,Vendedor14!$E$15)</f>
        <v>7750</v>
      </c>
      <c r="J17" s="42">
        <f t="shared" si="8"/>
        <v>395250</v>
      </c>
      <c r="K17" s="41">
        <f>MROUND(J17*Vendedor14!J$15,50)</f>
        <v>47450</v>
      </c>
      <c r="L17" s="42">
        <f t="shared" si="9"/>
        <v>13400</v>
      </c>
      <c r="M17" s="42">
        <f t="shared" si="10"/>
        <v>1139000</v>
      </c>
      <c r="N17" s="42">
        <f>Vendedor14!$F$7+Vendedor14!$F$11+Vendedor14!$F$15</f>
        <v>1139000</v>
      </c>
      <c r="P17" s="42">
        <f t="shared" si="11"/>
        <v>-791200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61650</v>
      </c>
      <c r="D18" s="30">
        <f>IF(Vendedor15!$E$7="",0,Vendedor15!$E$7)</f>
        <v>550</v>
      </c>
      <c r="E18" s="180">
        <f>IF(Vendedor15!$C$11="",0,Vendedor15!$C$11)</f>
        <v>38250</v>
      </c>
      <c r="F18" s="30">
        <f>IF(Vendedor15!$E$11="",0,Vendedor15!$E$11)</f>
        <v>500</v>
      </c>
      <c r="G18" s="180">
        <f>IF(Vendedor15!$C$15="",0,Vendedor15!$C$15)</f>
        <v>55400</v>
      </c>
      <c r="H18" s="30">
        <f>IF(Vendedor15!$E$15="",0,Vendedor15!$E$15)</f>
        <v>600</v>
      </c>
      <c r="J18" s="42">
        <f t="shared" ref="J18" si="12">+C18+E18+G18</f>
        <v>155300</v>
      </c>
      <c r="K18" s="41">
        <f>MROUND(J18*Vendedor15!J$15,50)</f>
        <v>18650</v>
      </c>
      <c r="L18" s="42">
        <f t="shared" ref="L18" si="13">+D18+F18+H18</f>
        <v>1650</v>
      </c>
      <c r="M18" s="42">
        <f t="shared" ref="M18" si="14">+L18*85</f>
        <v>140250</v>
      </c>
      <c r="N18" s="42">
        <f>Vendedor15!$F$7+Vendedor15!$F$11+Vendedor15!$F$15</f>
        <v>140250</v>
      </c>
      <c r="P18" s="42">
        <f t="shared" ref="P18" si="15">+J18-K18-N18</f>
        <v>-3600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679400</v>
      </c>
      <c r="D32" s="44">
        <f t="shared" si="16"/>
        <v>19050</v>
      </c>
      <c r="E32" s="43">
        <f t="shared" si="16"/>
        <v>371150</v>
      </c>
      <c r="F32" s="44">
        <f t="shared" si="16"/>
        <v>5700</v>
      </c>
      <c r="G32" s="43">
        <f t="shared" si="16"/>
        <v>779450</v>
      </c>
      <c r="H32" s="44">
        <f t="shared" si="16"/>
        <v>15800</v>
      </c>
      <c r="J32" s="95">
        <f>SUM(J4:J31)</f>
        <v>1830000</v>
      </c>
      <c r="K32" s="45">
        <f>SUM(K7:K31)</f>
        <v>184650</v>
      </c>
      <c r="L32" s="95">
        <f>SUM(L4:L31)</f>
        <v>40550</v>
      </c>
      <c r="M32" s="95">
        <f>SUM(M4:M31)</f>
        <v>3446750</v>
      </c>
      <c r="N32" s="95">
        <f>SUM(N4:N31)</f>
        <v>3421750</v>
      </c>
      <c r="P32" s="79">
        <f>SUM(P4:P31)</f>
        <v>-1816900</v>
      </c>
    </row>
    <row r="33" spans="3:13" x14ac:dyDescent="0.35">
      <c r="D33" s="99">
        <f>+D32*85</f>
        <v>1619250</v>
      </c>
      <c r="F33" s="99">
        <f>+F32*85</f>
        <v>484500</v>
      </c>
      <c r="H33" s="99">
        <f>+H32*85</f>
        <v>1343000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1830000</v>
      </c>
      <c r="E36" s="43">
        <f>+D36-J4-J5-J6</f>
        <v>1518450</v>
      </c>
      <c r="G36" s="101"/>
    </row>
    <row r="37" spans="3:13" x14ac:dyDescent="0.35">
      <c r="C37" s="47" t="s">
        <v>33</v>
      </c>
      <c r="D37" s="48">
        <f>D36*13%</f>
        <v>237900</v>
      </c>
      <c r="E37">
        <f>+D37-K4-K5-K6</f>
        <v>197400</v>
      </c>
      <c r="G37" s="100"/>
      <c r="H37" s="100"/>
    </row>
    <row r="38" spans="3:13" ht="15" thickBot="1" x14ac:dyDescent="0.4">
      <c r="C38" s="47" t="s">
        <v>30</v>
      </c>
      <c r="D38" s="30">
        <f>M32</f>
        <v>3446750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-1854650</v>
      </c>
      <c r="F39" s="98">
        <f>+P32-D39</f>
        <v>37750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-1854650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17</v>
      </c>
      <c r="D2" s="268"/>
      <c r="E2" s="267">
        <f>DigitaNICA!E2</f>
        <v>96</v>
      </c>
      <c r="F2" s="268"/>
      <c r="G2" s="267" t="str">
        <f>DigitaNICA!G2</f>
        <v>04</v>
      </c>
      <c r="H2" s="268"/>
      <c r="I2" s="267">
        <f>DigitaNICA!I2</f>
        <v>45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17400</v>
      </c>
      <c r="D4" s="78">
        <f>IF(Vendedor1!$E$5="",0,Vendedor1!$E$5)</f>
        <v>0</v>
      </c>
      <c r="E4" s="189">
        <f>IF(Vendedor1!$C$9="",0,Vendedor1!$C$9)</f>
        <v>10700</v>
      </c>
      <c r="F4" s="78">
        <f>IF(Vendedor1!$E$9="",0,Vendedor1!$E$9)</f>
        <v>0</v>
      </c>
      <c r="G4" s="189">
        <f>IF(Vendedor1!$C$13="",0,Vendedor1!$C$13)</f>
        <v>900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29000</v>
      </c>
      <c r="M4" s="41">
        <f>MROUND(L4*Vendedor1!J$10,50)</f>
        <v>3750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25250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21650</v>
      </c>
      <c r="D5" s="30">
        <f>IF(Vendedor2!$E$5="",0,Vendedor2!$E$5)</f>
        <v>1500</v>
      </c>
      <c r="E5" s="180">
        <f>IF(Vendedor2!$C$9="",0,Vendedor2!$C$9)</f>
        <v>7800</v>
      </c>
      <c r="F5" s="30">
        <f>IF(Vendedor2!$E$9="",0,Vendedor2!$E$9)</f>
        <v>0</v>
      </c>
      <c r="G5" s="180">
        <f>IF(Vendedor2!$C$13="",0,Vendedor2!$C$13)</f>
        <v>2650</v>
      </c>
      <c r="H5" s="30">
        <f>IF(Vendedor2!$E$13="",0,Vendedor2!$E$13)</f>
        <v>0</v>
      </c>
      <c r="I5" s="180">
        <f>IF(Vendedor2!$C$17="",0,Vendedor2!$C$17)</f>
        <v>4200</v>
      </c>
      <c r="J5" s="30">
        <f>IF(Vendedor2!$E$17="",0,Vendedor2!$E$17)</f>
        <v>0</v>
      </c>
      <c r="L5" s="42">
        <f t="shared" si="0"/>
        <v>36300</v>
      </c>
      <c r="M5" s="41">
        <f>MROUND(L5*Vendedor2!J$10,50)</f>
        <v>4700</v>
      </c>
      <c r="N5" s="42">
        <f t="shared" si="1"/>
        <v>1500</v>
      </c>
      <c r="O5" s="41">
        <f t="shared" ref="O5:O27" si="3">IFERROR(N5*85,0)</f>
        <v>127500</v>
      </c>
      <c r="P5" s="42">
        <f>Vendedor2!$F$5+Vendedor2!$F$9+Vendedor2!$F$13+Vendedor2!$F$17</f>
        <v>120000</v>
      </c>
      <c r="Q5">
        <v>5</v>
      </c>
      <c r="R5" s="41">
        <f t="shared" si="2"/>
        <v>-95900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123800</v>
      </c>
      <c r="D10" s="30">
        <f>IF(Vendedor7!$E$5="",0,Vendedor7!$E$5)</f>
        <v>1050</v>
      </c>
      <c r="E10" s="180">
        <f>IF(Vendedor7!$C$9="",0,Vendedor7!$C$9)</f>
        <v>93500</v>
      </c>
      <c r="F10" s="30">
        <f>IF(Vendedor7!$E$9="",0,Vendedor7!$E$9)</f>
        <v>100</v>
      </c>
      <c r="G10" s="180">
        <f>IF(Vendedor7!$C$13="",0,Vendedor7!$C$13)</f>
        <v>53100</v>
      </c>
      <c r="H10" s="30">
        <f>IF(Vendedor7!$E$13="",0,Vendedor7!$E$13)</f>
        <v>3900</v>
      </c>
      <c r="I10" s="180">
        <f>IF(Vendedor7!$C$17="",0,Vendedor7!$C$17)</f>
        <v>162300</v>
      </c>
      <c r="J10" s="30">
        <f>IF(Vendedor7!$E$17="",0,Vendedor7!$E$17)</f>
        <v>50</v>
      </c>
      <c r="L10" s="42">
        <f t="shared" si="7"/>
        <v>432700</v>
      </c>
      <c r="M10" s="41">
        <f>MROUND(L10*Vendedor7!J$15,50)</f>
        <v>51900</v>
      </c>
      <c r="N10" s="42">
        <f t="shared" ref="N10:N27" si="9">D10+F10+H10+J10</f>
        <v>5100</v>
      </c>
      <c r="O10" s="41">
        <f t="shared" si="3"/>
        <v>433500</v>
      </c>
      <c r="P10" s="42">
        <f>Vendedor7!$F$5+Vendedor7!$F$9+Vendedor7!$F$13+Vendedor7!$F$17</f>
        <v>433500</v>
      </c>
      <c r="R10" s="41">
        <f t="shared" si="8"/>
        <v>-52700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28550</v>
      </c>
      <c r="D12" s="30">
        <f>IF(Vendedor9!$E$5="",0,Vendedor9!$E$5)</f>
        <v>0</v>
      </c>
      <c r="E12" s="180">
        <f>IF(Vendedor9!$C$9="",0,Vendedor9!$C$9)</f>
        <v>10100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38650</v>
      </c>
      <c r="M12" s="41">
        <f>MROUND(L12*Vendedor9!J$12,50)</f>
        <v>4650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34000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34650</v>
      </c>
      <c r="D13" s="30">
        <f>IF(Vendedor10!$E$5="",0,Vendedor10!$E$5)</f>
        <v>0</v>
      </c>
      <c r="E13" s="180">
        <f>IF(Vendedor10!$C$9="",0,Vendedor10!$C$9)</f>
        <v>26550</v>
      </c>
      <c r="F13" s="30">
        <f>IF(Vendedor10!$E$9="",0,Vendedor10!$E$9)</f>
        <v>0</v>
      </c>
      <c r="G13" s="180">
        <f>IF(Vendedor10!$C$13="",0,Vendedor10!$C$13)</f>
        <v>30650</v>
      </c>
      <c r="H13" s="30">
        <f>IF(Vendedor10!$E$13="",0,Vendedor10!$E$13)</f>
        <v>0</v>
      </c>
      <c r="I13" s="180">
        <f>IF(Vendedor10!$C$17="",0,Vendedor10!$C$17)</f>
        <v>1500</v>
      </c>
      <c r="J13" s="30">
        <f>IF(Vendedor10!$E$17="",0,Vendedor10!$E$17)</f>
        <v>0</v>
      </c>
      <c r="L13" s="42">
        <f t="shared" si="7"/>
        <v>93350</v>
      </c>
      <c r="M13" s="41">
        <f>MROUND(L13*Vendedor10!J$10,50)</f>
        <v>11200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82150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3600</v>
      </c>
      <c r="D16" s="30">
        <f>IF(Vendedor13!$E$5="",0,Vendedor13!$E$5)</f>
        <v>0</v>
      </c>
      <c r="E16" s="180">
        <f>IF(Vendedor13!$C$9="",0,Vendedor13!$C$9)</f>
        <v>5000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5250</v>
      </c>
      <c r="J16" s="30">
        <f>IF(Vendedor13!$E$17="",0,Vendedor13!$E$17)</f>
        <v>0</v>
      </c>
      <c r="L16" s="42">
        <f t="shared" si="7"/>
        <v>13850</v>
      </c>
      <c r="M16" s="41">
        <f>MROUND(L16*Vendedor13!J$12,50)</f>
        <v>1650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12200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86700</v>
      </c>
      <c r="D17" s="30">
        <f>IF(Vendedor14!$E$5="",0,Vendedor14!$E$5)</f>
        <v>650</v>
      </c>
      <c r="E17" s="180">
        <f>IF(Vendedor14!$C$9="",0,Vendedor14!$C$9)</f>
        <v>110250</v>
      </c>
      <c r="F17" s="30">
        <f>IF(Vendedor14!$E$9="",0,Vendedor14!$E$9)</f>
        <v>100</v>
      </c>
      <c r="G17" s="180">
        <f>IF(Vendedor14!$C$13="",0,Vendedor14!$C$13)</f>
        <v>63000</v>
      </c>
      <c r="H17" s="30">
        <f>IF(Vendedor14!$E$13="",0,Vendedor14!$E$13)</f>
        <v>500</v>
      </c>
      <c r="I17" s="180">
        <f>IF(Vendedor14!$C$17="",0,Vendedor14!$C$17)</f>
        <v>171750</v>
      </c>
      <c r="J17" s="30">
        <f>IF(Vendedor14!$E$17="",0,Vendedor14!$E$17)</f>
        <v>750</v>
      </c>
      <c r="L17" s="42">
        <f>C17+E17+G17+I17</f>
        <v>431700</v>
      </c>
      <c r="M17" s="41">
        <f>MROUND(L17*Vendedor14!J$16,50)</f>
        <v>51800</v>
      </c>
      <c r="N17" s="42">
        <f t="shared" si="9"/>
        <v>2000</v>
      </c>
      <c r="O17" s="41">
        <f t="shared" si="3"/>
        <v>170000</v>
      </c>
      <c r="P17" s="42">
        <f>Vendedor14!$F$5+Vendedor14!$F$9+Vendedor14!$F$13+Vendedor14!$F$17</f>
        <v>170000</v>
      </c>
      <c r="R17" s="41">
        <f t="shared" si="8"/>
        <v>209900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52800</v>
      </c>
      <c r="D18" s="30">
        <f>IF(Vendedor15!$E$5="",0,Vendedor15!$E$5)</f>
        <v>400</v>
      </c>
      <c r="E18" s="180">
        <f>IF(Vendedor15!$C$9="",0,Vendedor15!$C$9)</f>
        <v>49550</v>
      </c>
      <c r="F18" s="30">
        <f>IF(Vendedor15!$E$9="",0,Vendedor15!$E$9)</f>
        <v>0</v>
      </c>
      <c r="G18" s="180">
        <f>IF(Vendedor15!$C$13="",0,Vendedor15!$C$13)</f>
        <v>41700</v>
      </c>
      <c r="H18" s="30">
        <f>IF(Vendedor15!$E$13="",0,Vendedor15!$E$13)</f>
        <v>800</v>
      </c>
      <c r="I18" s="180">
        <f>IF(Vendedor15!$C$17="",0,Vendedor15!$C$17)</f>
        <v>34550</v>
      </c>
      <c r="J18" s="30">
        <f>IF(Vendedor15!$E$17="",0,Vendedor15!$E$17)</f>
        <v>150</v>
      </c>
      <c r="L18" s="42">
        <f t="shared" ref="L18:L27" si="10">C18+E18+G18+I18</f>
        <v>178600</v>
      </c>
      <c r="M18" s="41">
        <f>MROUND(L18*Vendedor15!J$16,50)</f>
        <v>21450</v>
      </c>
      <c r="N18" s="42">
        <f t="shared" si="9"/>
        <v>1350</v>
      </c>
      <c r="O18" s="41">
        <f t="shared" si="3"/>
        <v>114750</v>
      </c>
      <c r="P18" s="42">
        <f>Vendedor15!$F$5+Vendedor15!$F$9+Vendedor15!$F$13+Vendedor15!$F$17</f>
        <v>114750</v>
      </c>
      <c r="R18" s="41">
        <f t="shared" si="8"/>
        <v>42400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369150</v>
      </c>
      <c r="D32" s="44">
        <f t="shared" si="14"/>
        <v>3600</v>
      </c>
      <c r="E32" s="43">
        <f t="shared" si="14"/>
        <v>313450</v>
      </c>
      <c r="F32" s="44">
        <f t="shared" si="14"/>
        <v>200</v>
      </c>
      <c r="G32" s="43">
        <f t="shared" si="14"/>
        <v>192000</v>
      </c>
      <c r="H32" s="44">
        <f t="shared" si="14"/>
        <v>5200</v>
      </c>
      <c r="I32" s="43">
        <f t="shared" si="14"/>
        <v>379550</v>
      </c>
      <c r="J32" s="44">
        <f t="shared" si="14"/>
        <v>950</v>
      </c>
      <c r="L32" s="45">
        <f>SUM(L4:L31)</f>
        <v>1254150</v>
      </c>
      <c r="M32" s="45">
        <f>SUM(M7:M31)</f>
        <v>142650</v>
      </c>
      <c r="N32" s="95">
        <f>SUM(N4:N31)</f>
        <v>9950</v>
      </c>
      <c r="O32" s="46">
        <f>SUM(O4:O31)</f>
        <v>845750</v>
      </c>
      <c r="P32" s="140">
        <f>SUM(P4:P31)</f>
        <v>838250</v>
      </c>
      <c r="R32" s="79">
        <f>SUM(R4:R31)</f>
        <v>257300</v>
      </c>
    </row>
    <row r="33" spans="3:15" x14ac:dyDescent="0.35">
      <c r="D33" s="120">
        <f>+D32*85</f>
        <v>306000</v>
      </c>
      <c r="F33" s="120">
        <f>+F32*85</f>
        <v>17000</v>
      </c>
      <c r="H33" s="120">
        <f>+H32*85</f>
        <v>442000</v>
      </c>
      <c r="J33" s="120">
        <f>+J32*85</f>
        <v>80750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1254150</v>
      </c>
      <c r="E36" s="43">
        <f>+D36-L4-L5-L6</f>
        <v>1188850</v>
      </c>
    </row>
    <row r="37" spans="3:15" x14ac:dyDescent="0.35">
      <c r="C37" s="47" t="s">
        <v>33</v>
      </c>
      <c r="D37" s="48">
        <f>D36*13%</f>
        <v>163039.5</v>
      </c>
      <c r="E37">
        <f>+D37-M4-M5-M6</f>
        <v>154589.5</v>
      </c>
    </row>
    <row r="38" spans="3:15" x14ac:dyDescent="0.35">
      <c r="C38" s="47" t="s">
        <v>30</v>
      </c>
      <c r="D38" s="30">
        <f>SUM(O4:O27)</f>
        <v>845750</v>
      </c>
      <c r="G38" s="100"/>
    </row>
    <row r="39" spans="3:15" ht="15" thickBot="1" x14ac:dyDescent="0.4">
      <c r="C39" s="49" t="s">
        <v>4</v>
      </c>
      <c r="D39" s="80">
        <f>+D36-D37-D38</f>
        <v>245360.5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245360.5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50 Blanca</v>
      </c>
      <c r="D2" s="268"/>
      <c r="E2" s="267" t="str">
        <f>IF(E33=0,"",CONCATENATE(PREMIOS!$B11," ",PREMIOS!$B12))</f>
        <v>02 Blanca</v>
      </c>
      <c r="F2" s="268"/>
      <c r="G2" s="267" t="str">
        <f>IF(G33=0,"",CONCATENATE(PREMIOS!$B15," ",PREMIOS!$B16))</f>
        <v>12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29750</v>
      </c>
      <c r="D10" s="30">
        <f>IF(Vendedor7!$E$8="",0,Vendedor7!$E$8)</f>
        <v>300</v>
      </c>
      <c r="E10" s="180">
        <f>IF(Vendedor7!$C$12="",0,Vendedor7!$C$12)</f>
        <v>27500</v>
      </c>
      <c r="F10" s="30">
        <f>IF(Vendedor7!$E$12="",0,Vendedor7!$E$12)</f>
        <v>0</v>
      </c>
      <c r="G10" s="180">
        <f>IF(Vendedor7!$C$16="",0,Vendedor7!$C$16)</f>
        <v>45400</v>
      </c>
      <c r="H10" s="30">
        <f>IF(Vendedor7!$E$16="",0,Vendedor7!$E$16)</f>
        <v>1000</v>
      </c>
      <c r="J10" s="42">
        <f t="shared" si="1"/>
        <v>102650</v>
      </c>
      <c r="K10" s="41">
        <f>J10*Vendedor7!J$16</f>
        <v>10265</v>
      </c>
      <c r="L10" s="42">
        <f t="shared" si="2"/>
        <v>1000</v>
      </c>
      <c r="M10" s="42">
        <f t="shared" si="3"/>
        <v>1300</v>
      </c>
      <c r="N10" s="42">
        <f t="shared" si="0"/>
        <v>220000</v>
      </c>
      <c r="O10" s="42">
        <f>Vendedor7!$F$8+Vendedor7!$F$12+Vendedor7!$F$16</f>
        <v>200000</v>
      </c>
      <c r="Q10" s="42">
        <f t="shared" si="4"/>
        <v>-107615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2100</v>
      </c>
      <c r="D12" s="30">
        <f>IF(Vendedor9!$E$8="",0,Vendedor9!$E$8)</f>
        <v>200</v>
      </c>
      <c r="E12" s="180">
        <f>IF(Vendedor9!$C$12="",0,Vendedor9!$C$12)</f>
        <v>900</v>
      </c>
      <c r="F12" s="30">
        <f>IF(Vendedor9!$E$12="",0,Vendedor9!$E$12)</f>
        <v>0</v>
      </c>
      <c r="G12" s="180">
        <f>IF(Vendedor9!$C$16="",0,Vendedor9!$C$16)</f>
        <v>1600</v>
      </c>
      <c r="H12" s="30">
        <f>IF(Vendedor9!$E$16="",0,Vendedor9!$E$16)</f>
        <v>0</v>
      </c>
      <c r="J12" s="42">
        <f t="shared" si="1"/>
        <v>4600</v>
      </c>
      <c r="K12" s="41">
        <f>J12*Vendedor9!J$13</f>
        <v>460</v>
      </c>
      <c r="L12" s="42">
        <f t="shared" si="2"/>
        <v>0</v>
      </c>
      <c r="M12" s="42">
        <f t="shared" si="3"/>
        <v>200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23850</v>
      </c>
      <c r="D17" s="30">
        <f>IF(Vendedor14!$E$8="",0,Vendedor14!$E$8)</f>
        <v>1150</v>
      </c>
      <c r="E17" s="180">
        <f>IF(Vendedor14!$C$12="",0,Vendedor14!$C$12)</f>
        <v>7300</v>
      </c>
      <c r="F17" s="30">
        <f>IF(Vendedor14!$E$12="",0,Vendedor14!$E$12)</f>
        <v>0</v>
      </c>
      <c r="G17" s="180">
        <f>IF(Vendedor14!$C$16="",0,Vendedor14!$C$16)</f>
        <v>37150</v>
      </c>
      <c r="H17" s="30">
        <f>IF(Vendedor14!$E$16="",0,Vendedor14!$E$16)</f>
        <v>150</v>
      </c>
      <c r="J17" s="42">
        <f t="shared" si="1"/>
        <v>68300</v>
      </c>
      <c r="K17" s="41">
        <f>J17*Vendedor14!J$17</f>
        <v>6830</v>
      </c>
      <c r="L17" s="42">
        <f t="shared" si="2"/>
        <v>150</v>
      </c>
      <c r="M17" s="42">
        <f t="shared" si="3"/>
        <v>1300</v>
      </c>
      <c r="N17" s="42">
        <f t="shared" si="0"/>
        <v>33000</v>
      </c>
      <c r="O17" s="42">
        <f>Vendedor14!$F$8+Vendedor14!$F$12+Vendedor14!$F$16</f>
        <v>30000</v>
      </c>
      <c r="Q17" s="42">
        <f t="shared" si="4"/>
        <v>31470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18850</v>
      </c>
      <c r="D18" s="30">
        <f>IF(Vendedor15!$E$8="",0,Vendedor15!$E$8)</f>
        <v>250</v>
      </c>
      <c r="E18" s="180">
        <f>IF(Vendedor15!$C$12="",0,Vendedor15!$C$12)</f>
        <v>13850</v>
      </c>
      <c r="F18" s="30">
        <f>IF(Vendedor15!$E$12="",0,Vendedor15!$E$12)</f>
        <v>300</v>
      </c>
      <c r="G18" s="180">
        <f>IF(Vendedor15!$C$16="",0,Vendedor15!$C$16)</f>
        <v>22600</v>
      </c>
      <c r="H18" s="30">
        <f>IF(Vendedor15!$E$16="",0,Vendedor15!$E$16)</f>
        <v>400</v>
      </c>
      <c r="J18" s="42">
        <f t="shared" ref="J18" si="5">+C18+E18+G18</f>
        <v>55300</v>
      </c>
      <c r="K18" s="41">
        <f>J18*Vendedor15!J$17</f>
        <v>5530</v>
      </c>
      <c r="L18" s="42">
        <f t="shared" si="2"/>
        <v>400</v>
      </c>
      <c r="M18" s="42">
        <f t="shared" si="3"/>
        <v>950</v>
      </c>
      <c r="N18" s="42">
        <f t="shared" si="0"/>
        <v>88000</v>
      </c>
      <c r="O18" s="42">
        <f>Vendedor15!$F$8+Vendedor15!$F$12+Vendedor15!$F$16</f>
        <v>80000</v>
      </c>
      <c r="Q18" s="42">
        <f t="shared" si="4"/>
        <v>-30230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74550</v>
      </c>
      <c r="D33" s="44">
        <f>IF(PREMIOS!E8&lt;&gt;0,SUM(D4:D32),0)</f>
        <v>0</v>
      </c>
      <c r="E33" s="43">
        <f>SUM(E4:E32)</f>
        <v>49550</v>
      </c>
      <c r="F33" s="44">
        <f>IF(PREMIOS!E12&lt;&gt;0,SUM(F4:F32),0)</f>
        <v>0</v>
      </c>
      <c r="G33" s="43">
        <f>SUM(G4:G32)</f>
        <v>107750</v>
      </c>
      <c r="H33" s="44">
        <f>IF(PREMIOS!E16&lt;&gt;0,SUM(H4:H32),0)</f>
        <v>1550</v>
      </c>
      <c r="J33" s="45">
        <f>SUM(J4:J32)</f>
        <v>231850</v>
      </c>
      <c r="K33" s="45">
        <f>SUM(K7:K32)</f>
        <v>23185</v>
      </c>
      <c r="L33" s="95">
        <f>SUM(L7:L32)</f>
        <v>1550</v>
      </c>
      <c r="M33" s="95">
        <f>SUM(M7:M32)</f>
        <v>3750</v>
      </c>
      <c r="N33" s="95">
        <f>SUM(N4:N27)</f>
        <v>341000</v>
      </c>
      <c r="O33" s="95">
        <f>SUM(O4:O27)</f>
        <v>310000</v>
      </c>
      <c r="Q33" s="79">
        <f>SUM(Q4:Q32)</f>
        <v>-101335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341000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231850</v>
      </c>
      <c r="E37" s="43">
        <f>+D37-J4-J5-J6</f>
        <v>231850</v>
      </c>
      <c r="F37" s="275"/>
      <c r="G37" s="275"/>
    </row>
    <row r="38" spans="3:17" ht="15" thickBot="1" x14ac:dyDescent="0.4">
      <c r="C38" s="47" t="s">
        <v>33</v>
      </c>
      <c r="D38" s="30">
        <f>D37*10%</f>
        <v>23185</v>
      </c>
      <c r="E38" s="43">
        <f>+D38-K4-K5-K6</f>
        <v>23185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341000</v>
      </c>
    </row>
    <row r="40" spans="3:17" ht="15" thickBot="1" x14ac:dyDescent="0.4">
      <c r="C40" s="49" t="s">
        <v>4</v>
      </c>
      <c r="D40" s="80">
        <f>+D37-D38-D39</f>
        <v>-132335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-132335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55</v>
      </c>
      <c r="D2" s="268"/>
      <c r="E2" s="267">
        <f>DigitaPRIMERA!E2</f>
        <v>73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8200</v>
      </c>
      <c r="D4" s="78">
        <f>IF(Vendedor1!$E$19="",0,Vendedor1!$E$19)</f>
        <v>0</v>
      </c>
      <c r="E4" s="189">
        <f>IF(Vendedor1!$C$20="",0,Vendedor1!$C$20)</f>
        <v>2500</v>
      </c>
      <c r="F4" s="78">
        <f>IF(Vendedor1!$E$20="",0,Vendedor1!$E$20)</f>
        <v>0</v>
      </c>
      <c r="H4" s="42">
        <f>+C4+E4</f>
        <v>10700</v>
      </c>
      <c r="I4" s="41">
        <f>MROUND(H4*Vendedor1!J$9,50)</f>
        <v>1400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1900</v>
      </c>
      <c r="D5" s="30">
        <f>IF(Vendedor2!$E$19="",0,Vendedor2!$E$19)</f>
        <v>0</v>
      </c>
      <c r="E5" s="180">
        <f>IF(Vendedor2!$C$20="",0,Vendedor2!$C$20)</f>
        <v>1400</v>
      </c>
      <c r="F5" s="30">
        <f>IF(Vendedor2!$E$20="",0,Vendedor2!$E$20)</f>
        <v>0</v>
      </c>
      <c r="H5" s="42">
        <f t="shared" ref="H5:H31" si="1">+C5+E5</f>
        <v>3300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50600</v>
      </c>
      <c r="D10" s="30">
        <f>IF(Vendedor7!$E$19="",0,Vendedor7!$E$19)</f>
        <v>800</v>
      </c>
      <c r="E10" s="180">
        <f>IF(Vendedor7!$C$20="",0,Vendedor7!$C$20)</f>
        <v>28000</v>
      </c>
      <c r="F10" s="30">
        <f>IF(Vendedor7!$E$20="",0,Vendedor7!$E$20)</f>
        <v>0</v>
      </c>
      <c r="H10" s="42">
        <f t="shared" si="1"/>
        <v>78600</v>
      </c>
      <c r="I10" s="41">
        <f>MROUND(H10*Vendedor7!J$14,50)</f>
        <v>9450</v>
      </c>
      <c r="J10" s="42">
        <f t="shared" si="2"/>
        <v>800</v>
      </c>
      <c r="K10" s="42">
        <f t="shared" si="3"/>
        <v>68000</v>
      </c>
      <c r="L10" s="42">
        <f>Vendedor7!$F$19+Vendedor7!$F$20</f>
        <v>68000</v>
      </c>
      <c r="N10" s="42">
        <f t="shared" si="0"/>
        <v>1150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33600</v>
      </c>
      <c r="D12" s="30">
        <f>IF(Vendedor9!$E$19="",0,Vendedor9!$E$19)</f>
        <v>150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33600</v>
      </c>
      <c r="I12" s="148">
        <f>MROUND(H12*Vendedor9!J$11,50)</f>
        <v>4050</v>
      </c>
      <c r="J12" s="133">
        <f t="shared" si="2"/>
        <v>150</v>
      </c>
      <c r="K12" s="133">
        <f t="shared" si="3"/>
        <v>12750</v>
      </c>
      <c r="L12" s="133">
        <f>Vendedor9!$F$19+Vendedor9!$F$20</f>
        <v>12750</v>
      </c>
      <c r="M12" s="155"/>
      <c r="N12" s="133">
        <f t="shared" si="0"/>
        <v>16800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60500</v>
      </c>
      <c r="D17" s="30">
        <f>IF(Vendedor14!$E$19="",0,Vendedor14!$E$19)</f>
        <v>700</v>
      </c>
      <c r="E17" s="180">
        <f>IF(Vendedor14!$C$20="",0,Vendedor14!$C$20)</f>
        <v>29350</v>
      </c>
      <c r="F17" s="30">
        <f>IF(Vendedor14!$E$20="",0,Vendedor14!$E$20)</f>
        <v>0</v>
      </c>
      <c r="H17" s="42">
        <f t="shared" si="1"/>
        <v>89850</v>
      </c>
      <c r="I17" s="41">
        <f>MROUND(H17*Vendedor14!J$15,50)</f>
        <v>10800</v>
      </c>
      <c r="J17" s="42">
        <f t="shared" si="2"/>
        <v>700</v>
      </c>
      <c r="K17" s="42">
        <f t="shared" si="3"/>
        <v>59500</v>
      </c>
      <c r="L17" s="42">
        <f>Vendedor14!$F$19+Vendedor14!$F$20</f>
        <v>59500</v>
      </c>
      <c r="N17" s="42">
        <f t="shared" si="0"/>
        <v>19550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60650</v>
      </c>
      <c r="D18" s="30">
        <f>IF(Vendedor15!$E$19="",0,Vendedor15!$E$19)</f>
        <v>700</v>
      </c>
      <c r="E18" s="180">
        <f>IF(Vendedor15!$C$20="",0,Vendedor15!$C$20)</f>
        <v>43850</v>
      </c>
      <c r="F18" s="30">
        <f>IF(Vendedor15!$E$20="",0,Vendedor15!$E$20)</f>
        <v>150</v>
      </c>
      <c r="H18" s="42">
        <f t="shared" si="1"/>
        <v>104500</v>
      </c>
      <c r="I18" s="41">
        <f>MROUND(H18*Vendedor15!J$15,50)</f>
        <v>12550</v>
      </c>
      <c r="J18" s="42">
        <f t="shared" si="2"/>
        <v>850</v>
      </c>
      <c r="K18" s="42">
        <f t="shared" si="3"/>
        <v>72250</v>
      </c>
      <c r="L18" s="42">
        <f>Vendedor15!$F$19+Vendedor15!$F$20</f>
        <v>72250</v>
      </c>
      <c r="N18" s="42">
        <f t="shared" si="0"/>
        <v>19700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215450</v>
      </c>
      <c r="D32" s="44">
        <f>SUM(D4:D31)</f>
        <v>2350</v>
      </c>
      <c r="E32" s="43">
        <f>SUM(E4:E31)</f>
        <v>105100</v>
      </c>
      <c r="F32" s="44">
        <f>SUM(F4:F31)</f>
        <v>150</v>
      </c>
      <c r="H32" s="95">
        <f>SUM(H4:H31)</f>
        <v>320550</v>
      </c>
      <c r="I32" s="45">
        <f>SUM(I7:I31)</f>
        <v>36850</v>
      </c>
      <c r="J32" s="95"/>
      <c r="K32" s="95">
        <f>SUM(K4:K31)</f>
        <v>212500</v>
      </c>
      <c r="L32" s="95">
        <f>SUM(L4:L31)</f>
        <v>212500</v>
      </c>
      <c r="N32" s="79">
        <f>SUM(N4:N31)</f>
        <v>69350</v>
      </c>
    </row>
    <row r="33" spans="3:6" x14ac:dyDescent="0.35">
      <c r="D33" s="99">
        <f>+D32*85</f>
        <v>199750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320550</v>
      </c>
      <c r="E36" s="43">
        <f>+D36-H4-H5-H6</f>
        <v>306550</v>
      </c>
    </row>
    <row r="37" spans="3:6" x14ac:dyDescent="0.35">
      <c r="C37" s="47" t="s">
        <v>33</v>
      </c>
      <c r="D37" s="48">
        <f>D36*13%</f>
        <v>41671.5</v>
      </c>
      <c r="E37">
        <f>+D37-I4-I5-I6</f>
        <v>39821.5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0">
        <f>+D36-D37-D38</f>
        <v>66378.5</v>
      </c>
      <c r="F39" s="98">
        <f>+N32-D39</f>
        <v>2971.5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66378.5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17</v>
      </c>
      <c r="D2" s="268"/>
      <c r="E2" s="267">
        <f>DigitaHONDURAS!E2</f>
        <v>13</v>
      </c>
      <c r="F2" s="268"/>
      <c r="G2" s="267">
        <f>DigitaHONDURAS!G2</f>
        <v>85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42800</v>
      </c>
      <c r="D10" s="30">
        <f>IF(Vendedor7!$E$21="",0,Vendedor7!$E$21)</f>
        <v>0</v>
      </c>
      <c r="E10" s="180">
        <f>IF(Vendedor7!$C$22="",0,Vendedor7!$C$22)</f>
        <v>33100</v>
      </c>
      <c r="F10" s="30">
        <f>IF(Vendedor7!$E$22="",0,Vendedor7!$E$22)</f>
        <v>0</v>
      </c>
      <c r="G10" s="180">
        <f>IF(Vendedor7!$C$23="",0,Vendedor7!$C$23)</f>
        <v>18800</v>
      </c>
      <c r="H10" s="30">
        <f>IF(Vendedor7!$E$23="",0,Vendedor7!$E$23)</f>
        <v>0</v>
      </c>
      <c r="J10" s="42">
        <f t="shared" si="0"/>
        <v>94700</v>
      </c>
      <c r="K10" s="41">
        <f>MROUND(J10*Vendedor7!J$14,50)</f>
        <v>11350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83350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35300</v>
      </c>
      <c r="D17" s="30">
        <f>IF(Vendedor14!$E$21="",0,Vendedor14!$E$21)</f>
        <v>250</v>
      </c>
      <c r="E17" s="180">
        <f>IF(Vendedor14!$C$22="",0,Vendedor14!$C$22)</f>
        <v>9150</v>
      </c>
      <c r="F17" s="30">
        <f>IF(Vendedor14!$E$22="",0,Vendedor14!$E$22)</f>
        <v>0</v>
      </c>
      <c r="G17" s="180">
        <f>IF(Vendedor14!$C$23="",0,Vendedor14!$C$23)</f>
        <v>13700</v>
      </c>
      <c r="H17" s="30">
        <f>IF(Vendedor14!$E$23="",0,Vendedor14!$E$23)</f>
        <v>0</v>
      </c>
      <c r="J17" s="42">
        <f t="shared" si="0"/>
        <v>58150</v>
      </c>
      <c r="K17" s="41">
        <f>MROUND(J17*Vendedor14!J$15,50)</f>
        <v>7000</v>
      </c>
      <c r="L17" s="42">
        <f t="shared" si="1"/>
        <v>250</v>
      </c>
      <c r="M17" s="42">
        <f t="shared" si="3"/>
        <v>21250</v>
      </c>
      <c r="N17" s="42">
        <f>Vendedor14!$F$21+Vendedor14!$F$22+Vendedor14!$F$23</f>
        <v>21250</v>
      </c>
      <c r="P17" s="42">
        <f t="shared" si="2"/>
        <v>29900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19650</v>
      </c>
      <c r="D18" s="30">
        <f>IF(Vendedor15!$E$21="",0,Vendedor15!$E$21)</f>
        <v>0</v>
      </c>
      <c r="E18" s="180">
        <f>IF(Vendedor15!$C$22="",0,Vendedor15!$C$22)</f>
        <v>1000</v>
      </c>
      <c r="F18" s="30">
        <f>IF(Vendedor15!$E$22="",0,Vendedor15!$E$22)</f>
        <v>0</v>
      </c>
      <c r="G18" s="180">
        <f>IF(Vendedor15!$C$23="",0,Vendedor15!$C$23)</f>
        <v>8450</v>
      </c>
      <c r="H18" s="30">
        <f>IF(Vendedor15!$E$23="",0,Vendedor15!$E$23)</f>
        <v>150</v>
      </c>
      <c r="J18" s="42">
        <f t="shared" si="0"/>
        <v>29100</v>
      </c>
      <c r="K18" s="41">
        <f>MROUND(J18*Vendedor15!J$15,50)</f>
        <v>3500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12850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97750</v>
      </c>
      <c r="D32" s="44">
        <f t="shared" si="8"/>
        <v>250</v>
      </c>
      <c r="E32" s="43">
        <f t="shared" si="8"/>
        <v>43250</v>
      </c>
      <c r="F32" s="44">
        <f t="shared" si="8"/>
        <v>0</v>
      </c>
      <c r="G32" s="43">
        <f t="shared" si="8"/>
        <v>40950</v>
      </c>
      <c r="H32" s="44">
        <f t="shared" si="8"/>
        <v>150</v>
      </c>
      <c r="J32" s="95">
        <f>SUM(J4:J31)</f>
        <v>181950</v>
      </c>
      <c r="K32" s="45">
        <f>SUM(K7:K31)</f>
        <v>21850</v>
      </c>
      <c r="L32" s="95"/>
      <c r="M32" s="95">
        <f>SUM(M4:M31)</f>
        <v>34000</v>
      </c>
      <c r="N32" s="95">
        <f>SUM(N4:N31)</f>
        <v>34000</v>
      </c>
      <c r="P32" s="79">
        <f>SUM(P4:P31)</f>
        <v>126100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12750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181950</v>
      </c>
      <c r="E36" s="43">
        <f>+D36-J4-J5-J6</f>
        <v>181950</v>
      </c>
    </row>
    <row r="37" spans="3:8" x14ac:dyDescent="0.35">
      <c r="C37" s="47" t="s">
        <v>33</v>
      </c>
      <c r="D37" s="48">
        <f>D36*13%</f>
        <v>23653.5</v>
      </c>
      <c r="E37">
        <f>+D37-K4-K5-K6</f>
        <v>23653.5</v>
      </c>
    </row>
    <row r="38" spans="3:8" ht="15" thickBot="1" x14ac:dyDescent="0.4">
      <c r="C38" s="47" t="s">
        <v>30</v>
      </c>
      <c r="D38" s="30">
        <f>SUM(M4:M27)</f>
        <v>34000</v>
      </c>
      <c r="G38" s="100"/>
    </row>
    <row r="39" spans="3:8" ht="15" thickBot="1" x14ac:dyDescent="0.4">
      <c r="C39" s="49" t="s">
        <v>4</v>
      </c>
      <c r="D39" s="80">
        <f>+D36-D37-D38</f>
        <v>124296.5</v>
      </c>
      <c r="F39" s="98">
        <f>+P32-D39</f>
        <v>1803.5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124296.5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51</v>
      </c>
      <c r="D2" s="268"/>
      <c r="E2" s="267">
        <f>DigitaDOMINICANA!E2</f>
        <v>27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29000</v>
      </c>
      <c r="D10" s="30">
        <f>IF(Vendedor7!$E$24="",0,Vendedor7!$E$24)</f>
        <v>0</v>
      </c>
      <c r="E10" s="180">
        <f>IF(Vendedor7!$C$25="",0,Vendedor7!$C$25)</f>
        <v>38000</v>
      </c>
      <c r="F10" s="30">
        <f>IF(Vendedor7!$E$25="",0,Vendedor7!$E$25)</f>
        <v>0</v>
      </c>
      <c r="H10" s="42">
        <f t="shared" si="1"/>
        <v>67000</v>
      </c>
      <c r="I10" s="41">
        <f>MROUND(H10*Vendedor7!J$14,50)</f>
        <v>8050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58950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29000</v>
      </c>
      <c r="D32" s="44">
        <f>SUM(D4:D31)</f>
        <v>0</v>
      </c>
      <c r="E32" s="43">
        <f>SUM(E4:E31)</f>
        <v>38000</v>
      </c>
      <c r="F32" s="44">
        <f>SUM(F4:F31)</f>
        <v>0</v>
      </c>
      <c r="H32" s="95">
        <f>SUM(H4:H31)</f>
        <v>67000</v>
      </c>
      <c r="I32" s="45">
        <f>SUM(I7:I31)</f>
        <v>8050</v>
      </c>
      <c r="J32" s="95"/>
      <c r="K32" s="95">
        <f>SUM(K4:K31)</f>
        <v>0</v>
      </c>
      <c r="L32" s="95">
        <f>SUM(L4:L31)</f>
        <v>0</v>
      </c>
      <c r="N32" s="79">
        <f>SUM(N4:N31)</f>
        <v>58950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67000</v>
      </c>
      <c r="E36" s="43">
        <f>+D36-H4-H5-H6</f>
        <v>67000</v>
      </c>
    </row>
    <row r="37" spans="3:6" x14ac:dyDescent="0.35">
      <c r="C37" s="47" t="s">
        <v>33</v>
      </c>
      <c r="D37" s="48">
        <f>D36*13%</f>
        <v>8710</v>
      </c>
      <c r="E37">
        <f>+D37-I4-I5-I6</f>
        <v>8710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58290</v>
      </c>
      <c r="F39" s="98">
        <f>+N32-D39</f>
        <v>660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58290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28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300</v>
      </c>
      <c r="D10" s="30">
        <f>IF(Vendedor7!$E$26="",0,Vendedor7!$E$26)</f>
        <v>0</v>
      </c>
      <c r="F10" s="42">
        <f t="shared" si="1"/>
        <v>300</v>
      </c>
      <c r="G10" s="41">
        <f>MROUND(F10*Vendedor7!J$14,50)</f>
        <v>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250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300</v>
      </c>
      <c r="D32" s="44">
        <f>SUM(D4:D31)</f>
        <v>0</v>
      </c>
      <c r="F32" s="95">
        <f>SUM(F4:F31)</f>
        <v>300</v>
      </c>
      <c r="G32" s="95">
        <f>SUM(G7:G31)</f>
        <v>50</v>
      </c>
      <c r="H32" s="95"/>
      <c r="I32" s="95">
        <f>SUM(I4:I31)</f>
        <v>0</v>
      </c>
      <c r="J32" s="95">
        <f>SUM(J4:J31)</f>
        <v>0</v>
      </c>
      <c r="L32" s="91">
        <f>SUM(L4:L31)</f>
        <v>250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300</v>
      </c>
      <c r="F36" s="43">
        <f>+D36-F4-F5-F6</f>
        <v>300</v>
      </c>
    </row>
    <row r="37" spans="3:6" x14ac:dyDescent="0.35">
      <c r="C37" s="47" t="s">
        <v>33</v>
      </c>
      <c r="D37" s="30">
        <f>D36*14%</f>
        <v>42.000000000000007</v>
      </c>
      <c r="E37" s="43"/>
      <c r="F37" s="43">
        <f>+D37-G4-G5-G6</f>
        <v>42.000000000000007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258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258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1188850</v>
      </c>
      <c r="C4" s="157">
        <f>HojaNICA!M32</f>
        <v>142650</v>
      </c>
      <c r="D4" s="150">
        <f>HojaNICA!E37</f>
        <v>154589.5</v>
      </c>
      <c r="E4" s="150">
        <f>HojaNICA!P32</f>
        <v>838250</v>
      </c>
      <c r="F4" s="150">
        <f>HojaNICA!O32</f>
        <v>845750</v>
      </c>
      <c r="G4" s="151">
        <f t="shared" ref="G4:G10" si="0">+D4-C4+F4-E4</f>
        <v>19439.5</v>
      </c>
      <c r="H4" s="21"/>
      <c r="I4" s="182"/>
    </row>
    <row r="5" spans="1:9" x14ac:dyDescent="0.35">
      <c r="A5" s="28" t="s">
        <v>19</v>
      </c>
      <c r="B5" s="156">
        <f>HojaTICA!$E$36</f>
        <v>1518450</v>
      </c>
      <c r="C5" s="157">
        <f>HojaTICA!K32</f>
        <v>184650</v>
      </c>
      <c r="D5" s="150">
        <f>HojaTICA!E37</f>
        <v>197400</v>
      </c>
      <c r="E5" s="150">
        <f>HojaTICA!N32</f>
        <v>3421750</v>
      </c>
      <c r="F5" s="150">
        <f>HojaTICA!D38</f>
        <v>3446750</v>
      </c>
      <c r="G5" s="151">
        <f t="shared" si="0"/>
        <v>37750</v>
      </c>
      <c r="H5" s="21"/>
      <c r="I5" s="182"/>
    </row>
    <row r="6" spans="1:9" x14ac:dyDescent="0.35">
      <c r="A6" s="28" t="s">
        <v>125</v>
      </c>
      <c r="B6" s="156">
        <f>HojaREVENTADO!$E$37</f>
        <v>231850</v>
      </c>
      <c r="C6" s="157">
        <f>HojaREVENTADO!K33</f>
        <v>23185</v>
      </c>
      <c r="D6" s="150">
        <f>HojaREVENTADO!E38</f>
        <v>23185</v>
      </c>
      <c r="E6" s="150">
        <f>HojaREVENTADO!O33</f>
        <v>310000</v>
      </c>
      <c r="F6" s="150">
        <f>HojaREVENTADO!N33</f>
        <v>341000</v>
      </c>
      <c r="G6" s="151">
        <f t="shared" si="0"/>
        <v>31000</v>
      </c>
      <c r="H6" s="21"/>
      <c r="I6" s="182"/>
    </row>
    <row r="7" spans="1:9" x14ac:dyDescent="0.35">
      <c r="A7" s="28" t="s">
        <v>96</v>
      </c>
      <c r="B7" s="156">
        <f>HojaPrimera!$E$36</f>
        <v>306550</v>
      </c>
      <c r="C7" s="157">
        <f>HojaPrimera!I32</f>
        <v>36850</v>
      </c>
      <c r="D7" s="150">
        <f>HojaPrimera!E37</f>
        <v>39821.5</v>
      </c>
      <c r="E7" s="150">
        <f>HojaPrimera!L32</f>
        <v>212500</v>
      </c>
      <c r="F7" s="150">
        <f>HojaPrimera!K32</f>
        <v>212500</v>
      </c>
      <c r="G7" s="151">
        <f t="shared" si="0"/>
        <v>2971.5</v>
      </c>
      <c r="H7" s="21"/>
      <c r="I7" s="21"/>
    </row>
    <row r="8" spans="1:9" x14ac:dyDescent="0.35">
      <c r="A8" s="28" t="s">
        <v>104</v>
      </c>
      <c r="B8" s="156">
        <f>HojaHonduras!$E$36</f>
        <v>181950</v>
      </c>
      <c r="C8" s="157">
        <f>HojaHonduras!K32</f>
        <v>21850</v>
      </c>
      <c r="D8" s="150">
        <f>HojaHonduras!E37</f>
        <v>23653.5</v>
      </c>
      <c r="E8" s="150">
        <f>HojaHonduras!N32</f>
        <v>34000</v>
      </c>
      <c r="F8" s="150">
        <f>HojaHonduras!M32</f>
        <v>34000</v>
      </c>
      <c r="G8" s="151">
        <f t="shared" si="0"/>
        <v>1803.5</v>
      </c>
      <c r="H8" s="21"/>
      <c r="I8" s="21"/>
    </row>
    <row r="9" spans="1:9" x14ac:dyDescent="0.35">
      <c r="A9" s="28" t="s">
        <v>20</v>
      </c>
      <c r="B9" s="156">
        <f>HojaDominicana!$E$36</f>
        <v>67000</v>
      </c>
      <c r="C9" s="157">
        <f>HojaDominicana!I32</f>
        <v>8050</v>
      </c>
      <c r="D9" s="150">
        <f>HojaDominicana!E37</f>
        <v>8710</v>
      </c>
      <c r="E9" s="150">
        <f>HojaDominicana!L32</f>
        <v>0</v>
      </c>
      <c r="F9" s="150">
        <f>HojaDominicana!K32</f>
        <v>0</v>
      </c>
      <c r="G9" s="151">
        <f t="shared" si="0"/>
        <v>660</v>
      </c>
      <c r="H9" s="21"/>
      <c r="I9" s="21"/>
    </row>
    <row r="10" spans="1:9" ht="15" thickBot="1" x14ac:dyDescent="0.4">
      <c r="A10" s="167" t="s">
        <v>21</v>
      </c>
      <c r="B10" s="168">
        <f>HojaPANA!F36</f>
        <v>300</v>
      </c>
      <c r="C10" s="169">
        <f>HojaPANA!G32</f>
        <v>50</v>
      </c>
      <c r="D10" s="170">
        <f>HojaPANA!F37</f>
        <v>42.000000000000007</v>
      </c>
      <c r="E10" s="170">
        <f>HojaPANA!J32</f>
        <v>0</v>
      </c>
      <c r="F10" s="170">
        <f>HojaPANA!I32</f>
        <v>0</v>
      </c>
      <c r="G10" s="171">
        <f t="shared" si="0"/>
        <v>-7.9999999999999929</v>
      </c>
      <c r="H10" s="21"/>
      <c r="I10" s="21"/>
    </row>
    <row r="11" spans="1:9" ht="19" thickBot="1" x14ac:dyDescent="0.5">
      <c r="A11" s="174" t="s">
        <v>32</v>
      </c>
      <c r="B11" s="175">
        <f>SUM(B4:B10)</f>
        <v>3494950</v>
      </c>
      <c r="C11" s="175">
        <f>SUM(C4:C10)</f>
        <v>417285</v>
      </c>
      <c r="D11" s="175">
        <f t="shared" ref="D11:F11" si="1">SUM(D4:D10)</f>
        <v>447401.5</v>
      </c>
      <c r="E11" s="175">
        <f t="shared" si="1"/>
        <v>4816500</v>
      </c>
      <c r="F11" s="175">
        <f t="shared" si="1"/>
        <v>4880000</v>
      </c>
      <c r="G11" s="176">
        <f>SUM(G4:G10)</f>
        <v>93616.5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58616.5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191700</v>
      </c>
      <c r="E16" s="157">
        <f>+Vendedor1!D21</f>
        <v>24921</v>
      </c>
      <c r="F16" s="158">
        <f>IF(D16&lt;&gt;0,15000,0)</f>
        <v>15000</v>
      </c>
      <c r="G16" s="151">
        <f>+E16-F16</f>
        <v>9921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199150</v>
      </c>
      <c r="E17" s="157">
        <f>+Vendedor2!D21</f>
        <v>25889.5</v>
      </c>
      <c r="F17" s="158">
        <f>IF(D17&lt;&gt;0,15000,0)</f>
        <v>15000</v>
      </c>
      <c r="G17" s="151">
        <f>+E17-F17</f>
        <v>10889.5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390850</v>
      </c>
      <c r="E19" s="159">
        <f>SUM(E16:E18)</f>
        <v>50810.5</v>
      </c>
      <c r="F19" s="160">
        <f>SUM(F16:F18)</f>
        <v>30000</v>
      </c>
      <c r="G19" s="161">
        <f>SUM(G16:G18)</f>
        <v>20810.5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79427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.54296875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1254150</v>
      </c>
      <c r="C5" s="150">
        <f>HojaNICA!D37</f>
        <v>163039.5</v>
      </c>
      <c r="D5" s="150">
        <f>HojaNICA!D38</f>
        <v>845750</v>
      </c>
      <c r="E5" s="150"/>
      <c r="F5" s="151">
        <f>+B5-C5-D5+E5</f>
        <v>245360.5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1830000</v>
      </c>
      <c r="C6" s="150">
        <f>HojaTICA!D37</f>
        <v>237900</v>
      </c>
      <c r="D6" s="150">
        <f>HojaTICA!D38</f>
        <v>3446750</v>
      </c>
      <c r="E6" s="150"/>
      <c r="F6" s="151">
        <f t="shared" ref="F6:F11" si="0">+B6-C6-D6+E6</f>
        <v>-1854650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231850</v>
      </c>
      <c r="C7" s="150">
        <f>HojaREVENTADO!D38</f>
        <v>23185</v>
      </c>
      <c r="D7" s="150">
        <f>HojaREVENTADO!D39</f>
        <v>341000</v>
      </c>
      <c r="E7" s="150"/>
      <c r="F7" s="151">
        <f t="shared" si="0"/>
        <v>-132335</v>
      </c>
    </row>
    <row r="8" spans="1:15" x14ac:dyDescent="0.35">
      <c r="A8" s="47" t="s">
        <v>96</v>
      </c>
      <c r="B8" s="150">
        <f>HojaPrimera!$D36</f>
        <v>320550</v>
      </c>
      <c r="C8" s="150">
        <f>HojaPrimera!$D37</f>
        <v>41671.5</v>
      </c>
      <c r="D8" s="150">
        <f>HojaPrimera!$D38</f>
        <v>212500</v>
      </c>
      <c r="E8" s="150"/>
      <c r="F8" s="151">
        <f t="shared" si="0"/>
        <v>66378.5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181950</v>
      </c>
      <c r="C9" s="150">
        <f>HojaHonduras!$D37</f>
        <v>23653.5</v>
      </c>
      <c r="D9" s="150">
        <f>HojaHonduras!$D38</f>
        <v>34000</v>
      </c>
      <c r="E9" s="150"/>
      <c r="F9" s="151">
        <f t="shared" si="0"/>
        <v>124296.5</v>
      </c>
      <c r="H9" s="250">
        <f>+K12-K10-H6</f>
        <v>-1492401.5</v>
      </c>
    </row>
    <row r="10" spans="1:15" ht="15" thickBot="1" x14ac:dyDescent="0.4">
      <c r="A10" s="47" t="s">
        <v>20</v>
      </c>
      <c r="B10" s="150">
        <f>HojaDominicana!$D36</f>
        <v>67000</v>
      </c>
      <c r="C10" s="150">
        <f>HojaDominicana!$D37</f>
        <v>8710</v>
      </c>
      <c r="D10" s="150">
        <f>HojaDominicana!$D38</f>
        <v>0</v>
      </c>
      <c r="E10" s="150"/>
      <c r="F10" s="151">
        <f t="shared" si="0"/>
        <v>58290</v>
      </c>
      <c r="H10" s="154"/>
      <c r="J10" t="s">
        <v>148</v>
      </c>
      <c r="K10" s="252">
        <v>5938541.4100000001</v>
      </c>
    </row>
    <row r="11" spans="1:15" ht="15" thickBot="1" x14ac:dyDescent="0.4">
      <c r="A11" s="47" t="s">
        <v>21</v>
      </c>
      <c r="B11" s="150">
        <f>HojaPANA!$D36</f>
        <v>300</v>
      </c>
      <c r="C11" s="150">
        <f>HojaPANA!$D37</f>
        <v>42.000000000000007</v>
      </c>
      <c r="D11" s="165">
        <f>HojaPANA!$D38</f>
        <v>0</v>
      </c>
      <c r="E11" s="150"/>
      <c r="F11" s="151">
        <f t="shared" si="0"/>
        <v>258</v>
      </c>
      <c r="H11" s="214" t="s">
        <v>154</v>
      </c>
      <c r="J11" t="s">
        <v>158</v>
      </c>
      <c r="K11" s="253">
        <f>+K10+F12+H6</f>
        <v>4446139.91</v>
      </c>
    </row>
    <row r="12" spans="1:15" ht="16" thickBot="1" x14ac:dyDescent="0.4">
      <c r="A12" s="144" t="s">
        <v>5</v>
      </c>
      <c r="B12" s="152">
        <f>SUM(B5:B11)</f>
        <v>3885800</v>
      </c>
      <c r="C12" s="152">
        <f>SUM(C5:C11)</f>
        <v>498201.5</v>
      </c>
      <c r="D12" s="152">
        <f>SUM(D5:D11)</f>
        <v>4880000</v>
      </c>
      <c r="E12" s="152"/>
      <c r="F12" s="255">
        <f>SUM(F5:F11)</f>
        <v>-1492401.5</v>
      </c>
      <c r="H12" s="251">
        <f>K12</f>
        <v>4446139.91</v>
      </c>
      <c r="J12" t="s">
        <v>140</v>
      </c>
      <c r="K12" s="254">
        <f>-737059.61+3973334.24+352239.8+857625.48</f>
        <v>4446139.91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152000</v>
      </c>
      <c r="K4" s="231">
        <f t="shared" ref="K4" si="0">D7+D11+D15</f>
        <v>19760</v>
      </c>
      <c r="L4" s="220">
        <f>F7+F11+F15</f>
        <v>110500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IF(DigitaNICA!C4&lt;&gt;"",DigitaNICA!C4,"")</f>
        <v>17400</v>
      </c>
      <c r="D5" s="42">
        <f>IF(C5="",0,C5*J$10)</f>
        <v>2262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15138</v>
      </c>
      <c r="I5" s="241" t="s">
        <v>37</v>
      </c>
      <c r="J5" s="221">
        <f>SUM(IF(C5="",0,C5),IF(C9="",0,C9),IF(C13="",0,C13),IF(C17="",0,C17))</f>
        <v>29000</v>
      </c>
      <c r="K5" s="225">
        <f t="shared" ref="K5" si="2">D5+D9+D13+D17</f>
        <v>3770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10700</v>
      </c>
      <c r="K6" s="228">
        <f>D19+D20</f>
        <v>1391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IF(DigitaTICA!C4&lt;&gt;"",DigitaTICA!C4,"")</f>
        <v>52000</v>
      </c>
      <c r="D7" s="42">
        <f>IF(C7="",0,C7*J$9)</f>
        <v>6760</v>
      </c>
      <c r="E7" s="29">
        <f>IF(DigitaTICA!D4&lt;&gt;"",DigitaTICA!D4,"")</f>
        <v>700</v>
      </c>
      <c r="F7" s="42">
        <f>IF(E7="",0,E7*PREMIOS!F7)</f>
        <v>59500</v>
      </c>
      <c r="G7" s="30">
        <f t="shared" si="1"/>
        <v>-14260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IF(DigitaNICA!E4&lt;&gt;"",DigitaNICA!E4,"")</f>
        <v>10700</v>
      </c>
      <c r="D9" s="42">
        <f>IF(C9="",0,C9*J$10)</f>
        <v>1391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9309</v>
      </c>
      <c r="I9" s="76" t="s">
        <v>36</v>
      </c>
      <c r="J9" s="77">
        <v>0.13</v>
      </c>
      <c r="K9" s="78">
        <f>MROUND(D7+D11+D15,50)</f>
        <v>19750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3750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IF(DigitaTICA!E4&lt;&gt;"",DigitaTICA!E4,"")</f>
        <v>24150</v>
      </c>
      <c r="D11" s="42">
        <f>IF(C11="",0,C11*J$9)</f>
        <v>3139.5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21010.5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IF(DigitaNICA!G4&lt;&gt;"",DigitaNICA!G4,"")</f>
        <v>900</v>
      </c>
      <c r="D13" s="42">
        <f>IF(C13="",0,C13*J$10)</f>
        <v>117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783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IF(DigitaTICA!G4&lt;&gt;"",DigitaTICA!G4,"")</f>
        <v>75850</v>
      </c>
      <c r="D15" s="42">
        <f>IF(C15="",0,C15*J$9)</f>
        <v>9860.5</v>
      </c>
      <c r="E15" s="29">
        <f>IF(DigitaTICA!H4&lt;&gt;"",DigitaTICA!H4,"")</f>
        <v>600</v>
      </c>
      <c r="F15" s="42">
        <f>IF(E15="",0,E15*PREMIOS!F15)</f>
        <v>51000</v>
      </c>
      <c r="G15" s="30">
        <f t="shared" si="3"/>
        <v>14989.5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IF(DigitaPRIMERA!C4&lt;&gt;"",DigitaPRIMERA!C4,"")</f>
        <v>8200</v>
      </c>
      <c r="D19" s="42">
        <f>IF(C19="",0,C19*J$12)</f>
        <v>1066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7134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>
        <f>IF(DigitaPRIMERA!E4&lt;&gt;"",DigitaPRIMERA!E4,"")</f>
        <v>2500</v>
      </c>
      <c r="D20" s="42">
        <f>IF(C20="",0,C20*J$12)</f>
        <v>325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2175</v>
      </c>
    </row>
    <row r="21" spans="1:7" ht="15" thickBot="1" x14ac:dyDescent="0.4">
      <c r="A21" s="121" t="s">
        <v>5</v>
      </c>
      <c r="B21" s="128"/>
      <c r="C21" s="122">
        <f>SUM(C5:C20)</f>
        <v>191700</v>
      </c>
      <c r="D21" s="122">
        <f t="shared" ref="D21:G21" si="6">SUM(D5:D20)</f>
        <v>24921</v>
      </c>
      <c r="E21" s="122">
        <f t="shared" si="6"/>
        <v>1300</v>
      </c>
      <c r="F21" s="122">
        <f t="shared" si="6"/>
        <v>110500</v>
      </c>
      <c r="G21" s="123">
        <f t="shared" si="6"/>
        <v>56279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159550</v>
      </c>
      <c r="K4" s="231">
        <f t="shared" ref="K4" si="0">D7+D11+D15</f>
        <v>20741.5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IF(DigitaNICA!C5&lt;&gt;"",DigitaNICA!C5,"")</f>
        <v>21650</v>
      </c>
      <c r="D5" s="42">
        <f>IF(C5="",0,C5*J$10)</f>
        <v>2814.5</v>
      </c>
      <c r="E5" s="29">
        <f>IF(DigitaNICA!D5&lt;&gt;"",DigitaNICA!D5,"")</f>
        <v>1500</v>
      </c>
      <c r="F5" s="42">
        <f>IF(E5="",0,E5*PREMIOS!E5)</f>
        <v>120000</v>
      </c>
      <c r="G5" s="30">
        <f t="shared" ref="G5:G12" si="1">IF(OR(C5="",E5=""),0,C5-D5-F5)</f>
        <v>-101164.5</v>
      </c>
      <c r="I5" s="241" t="s">
        <v>37</v>
      </c>
      <c r="J5" s="221">
        <f>SUM(IF(C5="",0,C5),IF(C9="",0,C9),IF(C13="",0,C13),IF(C17="",0,C17))</f>
        <v>36300</v>
      </c>
      <c r="K5" s="225">
        <f t="shared" ref="K5" si="2">D5+D9+D13+D17</f>
        <v>4719</v>
      </c>
      <c r="L5" s="222">
        <f>F5+F9+F13+F17</f>
        <v>120000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3300</v>
      </c>
      <c r="K6" s="228">
        <f>D19+D20</f>
        <v>429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IF(DigitaTICA!C5&lt;&gt;"",DigitaTICA!C5,"")</f>
        <v>42400</v>
      </c>
      <c r="D7" s="42">
        <f>IF(C7="",0,C7*J$9)</f>
        <v>5512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15638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IF(DigitaNICA!E5&lt;&gt;"",DigitaNICA!E5,"")</f>
        <v>7800</v>
      </c>
      <c r="D9" s="42">
        <f>IF(C9="",0,C9*J$10)</f>
        <v>1014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6786</v>
      </c>
      <c r="I9" s="60" t="s">
        <v>36</v>
      </c>
      <c r="J9" s="61">
        <v>0.13</v>
      </c>
      <c r="K9" s="62">
        <f>MROUND(D7+D11+D15,50)</f>
        <v>20750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4700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IF(DigitaTICA!E5&lt;&gt;"",DigitaTICA!E5,"")</f>
        <v>38500</v>
      </c>
      <c r="D11" s="42">
        <f>IF(C11="",0,C11*J$9)</f>
        <v>5005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33495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IF(DigitaNICA!G5&lt;&gt;"",DigitaNICA!G5,"")</f>
        <v>2650</v>
      </c>
      <c r="D13" s="42">
        <f>IF(C13="",0,C13*J$10)</f>
        <v>344.5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2305.5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IF(DigitaTICA!G5&lt;&gt;"",DigitaTICA!G5,"")</f>
        <v>78650</v>
      </c>
      <c r="D15" s="42">
        <f>IF(C15="",0,C15*J$9)</f>
        <v>10224.5</v>
      </c>
      <c r="E15" s="29">
        <f>IF(DigitaTICA!H5&lt;&gt;"",DigitaTICA!H5,"")</f>
        <v>1750</v>
      </c>
      <c r="F15" s="42">
        <f>IF(E15="",0,E15*PREMIOS!F15)</f>
        <v>148750</v>
      </c>
      <c r="G15" s="30">
        <f t="shared" si="3"/>
        <v>-80324.5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IF(DigitaNICA!I5&lt;&gt;"",DigitaNICA!I5,"")</f>
        <v>4200</v>
      </c>
      <c r="D17" s="42">
        <f>IF(C17="",0,C17*J$10)</f>
        <v>546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3654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IF(DigitaPRIMERA!C5&lt;&gt;"",DigitaPRIMERA!C5,"")</f>
        <v>1900</v>
      </c>
      <c r="D19" s="42">
        <f>IF(C19="",0,C19*J$12)</f>
        <v>247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1653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>
        <f>IF(DigitaPRIMERA!E5&lt;&gt;"",DigitaPRIMERA!E5,"")</f>
        <v>1400</v>
      </c>
      <c r="D20" s="42">
        <f>IF(C20="",0,C20*J$12)</f>
        <v>182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1218</v>
      </c>
    </row>
    <row r="21" spans="1:7" ht="15" thickBot="1" x14ac:dyDescent="0.4">
      <c r="A21" s="67" t="s">
        <v>5</v>
      </c>
      <c r="B21" s="127"/>
      <c r="C21" s="68">
        <f>SUM(C5:C20)</f>
        <v>199150</v>
      </c>
      <c r="D21" s="68">
        <f t="shared" ref="D21:G21" si="4">SUM(D5:D20)</f>
        <v>25889.5</v>
      </c>
      <c r="E21" s="68">
        <f t="shared" si="4"/>
        <v>3500</v>
      </c>
      <c r="F21" s="68">
        <f t="shared" si="4"/>
        <v>290000</v>
      </c>
      <c r="G21" s="88">
        <f t="shared" si="4"/>
        <v>-116739.5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584150</v>
      </c>
      <c r="K4" s="231">
        <f t="shared" ref="K4" si="0">D7+D11+D15</f>
        <v>70098</v>
      </c>
      <c r="L4" s="220">
        <f>F7+F11+F15</f>
        <v>990250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IF(DigitaNICA!C10&lt;&gt;"",DigitaNICA!C10,"")</f>
        <v>123800</v>
      </c>
      <c r="D5" s="42">
        <f>IF(C5="",0,C5*J$15)</f>
        <v>14856</v>
      </c>
      <c r="E5" s="29">
        <f>IF(DigitaNICA!D10&lt;&gt;"",DigitaNICA!D10,"")</f>
        <v>1050</v>
      </c>
      <c r="F5" s="42">
        <f>IF(E5="",0,E5*PREMIOS!F5)</f>
        <v>89250</v>
      </c>
      <c r="G5" s="30">
        <f t="shared" ref="G5:G12" si="1">IF(OR(C5="",E5=""),0,C5-D5-F5)</f>
        <v>19694</v>
      </c>
      <c r="I5" s="217" t="s">
        <v>37</v>
      </c>
      <c r="J5" s="221">
        <f>SUM(IF(C5="",0,C5),IF(C9="",0,C9),IF(C13="",0,C13),IF(C17="",0,C17))</f>
        <v>432700</v>
      </c>
      <c r="K5" s="225">
        <f t="shared" ref="K5" si="2">D5+D9+D13+D17</f>
        <v>51924</v>
      </c>
      <c r="L5" s="222">
        <f>F5+F9+F13+F17</f>
        <v>433500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102650</v>
      </c>
      <c r="K6" s="226">
        <f t="shared" ref="K6" si="3">+D8+D12+D16</f>
        <v>10265</v>
      </c>
      <c r="L6" s="227">
        <f>F8+F12+F16</f>
        <v>200000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IF(DigitaTICA!C10&lt;&gt;"",DigitaTICA!C10,"")</f>
        <v>238000</v>
      </c>
      <c r="D7" s="42">
        <f>IF(C7="",0,C7*J$14)</f>
        <v>28560</v>
      </c>
      <c r="E7" s="29">
        <f>IF(DigitaTICA!D10&lt;&gt;"",DigitaTICA!D10,"")</f>
        <v>4300</v>
      </c>
      <c r="F7" s="42">
        <f>IF(E7="",0,E7*PREMIOS!F7)</f>
        <v>365500</v>
      </c>
      <c r="G7" s="30">
        <f t="shared" si="1"/>
        <v>-156060</v>
      </c>
      <c r="I7" s="217" t="s">
        <v>96</v>
      </c>
      <c r="J7" s="223">
        <f>SUM(IF(C19="",0,C19),IF(C20="",0,C20))</f>
        <v>78600</v>
      </c>
      <c r="K7" s="226">
        <f>+D19+D20</f>
        <v>9432</v>
      </c>
      <c r="L7" s="227">
        <f>+F19+F20</f>
        <v>68000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29750</v>
      </c>
      <c r="D8" s="42">
        <f>IF(C8="",0,C8*J$16)</f>
        <v>2975</v>
      </c>
      <c r="E8" s="29">
        <f>IF(DigitaREVENTADO!D10&lt;&gt;"",DigitaREVENTADO!D10,"")</f>
        <v>300</v>
      </c>
      <c r="F8" s="42">
        <f>IF(E8="",0,E8*PREMIOS!F8)</f>
        <v>0</v>
      </c>
      <c r="G8" s="30">
        <f t="shared" si="1"/>
        <v>26775</v>
      </c>
      <c r="I8" s="217" t="s">
        <v>104</v>
      </c>
      <c r="J8" s="223">
        <f>SUM(IF(C21="",0,C21),IF(C22="",0,C22),IF(C23="",0,C23))</f>
        <v>94700</v>
      </c>
      <c r="K8" s="226">
        <f t="shared" ref="K8" si="4">D21+D22+D23</f>
        <v>11364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IF(DigitaNICA!E10&lt;&gt;"",DigitaNICA!E10,"")</f>
        <v>93500</v>
      </c>
      <c r="D9" s="42">
        <f>IF(C9="",0,C9*J$15)</f>
        <v>11220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73780</v>
      </c>
      <c r="I9" s="217" t="s">
        <v>20</v>
      </c>
      <c r="J9" s="223">
        <f>SUM(IF(C24="",0,C24),IF(C25="",0,C25))</f>
        <v>67000</v>
      </c>
      <c r="K9" s="226">
        <f t="shared" ref="K9" si="5">+D24+D25</f>
        <v>8040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300</v>
      </c>
      <c r="K10" s="228">
        <f>+D26</f>
        <v>36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IF(DigitaTICA!E10&lt;&gt;"",DigitaTICA!E10,"")</f>
        <v>132600</v>
      </c>
      <c r="D11" s="42">
        <f>IF(C11="",0,C11*J$14)</f>
        <v>15912</v>
      </c>
      <c r="E11" s="29">
        <f>IF(DigitaTICA!F10&lt;&gt;"",DigitaTICA!F10,"")</f>
        <v>4000</v>
      </c>
      <c r="F11" s="42">
        <f>IF(E11="",0,E11*PREMIOS!F11)</f>
        <v>340000</v>
      </c>
      <c r="G11" s="30">
        <f t="shared" si="1"/>
        <v>-223312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27500</v>
      </c>
      <c r="D12" s="42">
        <f>IF(C12="",0,C12*J$16)</f>
        <v>2750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24750</v>
      </c>
    </row>
    <row r="13" spans="1:12" ht="15" thickBot="1" x14ac:dyDescent="0.4">
      <c r="A13" s="28" t="s">
        <v>50</v>
      </c>
      <c r="B13" s="132" t="str">
        <f>IF(DigitaNICA!G2&lt;&gt;"",DigitaNICA!G2,"")</f>
        <v>04</v>
      </c>
      <c r="C13" s="29">
        <f>IF(DigitaNICA!G10&lt;&gt;"",DigitaNICA!G10,"")</f>
        <v>53100</v>
      </c>
      <c r="D13" s="42">
        <f>IF(C13="",0,C13*J$15)</f>
        <v>6372</v>
      </c>
      <c r="E13" s="29">
        <f>IF(DigitaNICA!H10&lt;&gt;"",DigitaNICA!H10,"")</f>
        <v>3900</v>
      </c>
      <c r="F13" s="42">
        <f>IF(E13="",0,E13*PREMIOS!F13)</f>
        <v>331500</v>
      </c>
      <c r="G13" s="30">
        <f>IF(OR(C13="",E13=""),0,C13-D13-F13)</f>
        <v>-284772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70100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IF(DigitaTICA!G10&lt;&gt;"",DigitaTICA!G10,"")</f>
        <v>213550</v>
      </c>
      <c r="D15" s="42">
        <f>IF(C15="",0,C15*J$14)</f>
        <v>25626</v>
      </c>
      <c r="E15" s="29">
        <f>IF(DigitaTICA!H10&lt;&gt;"",DigitaTICA!H10,"")</f>
        <v>3350</v>
      </c>
      <c r="F15" s="42">
        <f>IF(E15="",0,E15*PREMIOS!F15)</f>
        <v>284750</v>
      </c>
      <c r="G15" s="30">
        <f t="shared" si="6"/>
        <v>-96826</v>
      </c>
      <c r="I15" s="63" t="s">
        <v>37</v>
      </c>
      <c r="J15" s="64">
        <v>0.12</v>
      </c>
      <c r="K15" s="30">
        <f>MROUND(D5+D9+D13+D17,50)</f>
        <v>51900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45400</v>
      </c>
      <c r="D16" s="42">
        <f>IF(C16="",0,C16*J$16)</f>
        <v>4540</v>
      </c>
      <c r="E16" s="29">
        <f>IF(DigitaREVENTADO!H10&lt;&gt;"",DigitaREVENTADO!H10,"")</f>
        <v>1000</v>
      </c>
      <c r="F16" s="42">
        <f>IF(E16="",0,E16*PREMIOS!F16)</f>
        <v>200000</v>
      </c>
      <c r="G16" s="30">
        <f t="shared" si="6"/>
        <v>-159140</v>
      </c>
      <c r="I16" s="63" t="s">
        <v>38</v>
      </c>
      <c r="J16" s="64">
        <v>0.1</v>
      </c>
      <c r="K16" s="30">
        <f>MROUND(D6+D8+D10+D12+D14+D16+D18,50)</f>
        <v>10250</v>
      </c>
    </row>
    <row r="17" spans="1:11" x14ac:dyDescent="0.35">
      <c r="A17" s="28" t="s">
        <v>52</v>
      </c>
      <c r="B17" s="132">
        <f>IF(DigitaNICA!I2&lt;&gt;"",DigitaNICA!I2,"")</f>
        <v>45</v>
      </c>
      <c r="C17" s="29">
        <f>IF(DigitaNICA!I10&lt;&gt;"",DigitaNICA!I10,"")</f>
        <v>162300</v>
      </c>
      <c r="D17" s="42">
        <f>IF(C17="",0,C17*J$15)</f>
        <v>19476</v>
      </c>
      <c r="E17" s="29">
        <f>IF(DigitaNICA!J10&lt;&gt;"",DigitaNICA!J10,"")</f>
        <v>50</v>
      </c>
      <c r="F17" s="42">
        <f>IF(E17="",0,E17*PREMIOS!F17)</f>
        <v>4250</v>
      </c>
      <c r="G17" s="30">
        <f t="shared" si="6"/>
        <v>138574</v>
      </c>
      <c r="I17" s="63" t="s">
        <v>96</v>
      </c>
      <c r="J17" s="64">
        <v>0.12</v>
      </c>
      <c r="K17" s="30">
        <f>MROUND(D19+D20,50)</f>
        <v>9450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11350</v>
      </c>
    </row>
    <row r="19" spans="1:11" x14ac:dyDescent="0.35">
      <c r="A19" s="28" t="s">
        <v>97</v>
      </c>
      <c r="B19" s="132">
        <f>IF(DigitaPRIMERA!C2&lt;&gt;"",DigitaPRIMERA!C2,"")</f>
        <v>55</v>
      </c>
      <c r="C19" s="29">
        <f>IF(DigitaPRIMERA!$C$10&lt;&gt;"",DigitaPRIMERA!$C$10,"")</f>
        <v>50600</v>
      </c>
      <c r="D19" s="42">
        <f>IF(C19="",0,C19*J$17)</f>
        <v>6072</v>
      </c>
      <c r="E19" s="29">
        <f>IF(DigitaPRIMERA!$D$10&lt;&gt;"",DigitaPRIMERA!$D$10,"")</f>
        <v>800</v>
      </c>
      <c r="F19" s="42">
        <f>IF(E19="",0,E19*PREMIOS!F19)</f>
        <v>68000</v>
      </c>
      <c r="G19" s="30">
        <f t="shared" ref="G19:G22" si="7">IF(OR(C19="",E19=""),0,C19-D19-F19)</f>
        <v>-23472</v>
      </c>
      <c r="I19" s="63" t="s">
        <v>20</v>
      </c>
      <c r="J19" s="64">
        <v>0.12</v>
      </c>
      <c r="K19" s="30">
        <f>MROUND(D24+D25,50)</f>
        <v>8050</v>
      </c>
    </row>
    <row r="20" spans="1:11" ht="15" thickBot="1" x14ac:dyDescent="0.4">
      <c r="A20" s="28" t="s">
        <v>98</v>
      </c>
      <c r="B20" s="132">
        <f>IF(DigitaPRIMERA!E2&lt;&gt;"",DigitaPRIMERA!E2,"")</f>
        <v>73</v>
      </c>
      <c r="C20" s="29">
        <f>IF(DigitaPRIMERA!$E$10&lt;&gt;"",DigitaPRIMERA!$E$10,"")</f>
        <v>28000</v>
      </c>
      <c r="D20" s="42">
        <f>IF(C20="",0,C20*J$17)</f>
        <v>3360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24640</v>
      </c>
      <c r="I20" s="65" t="s">
        <v>21</v>
      </c>
      <c r="J20" s="66">
        <v>0.12</v>
      </c>
      <c r="K20" s="50">
        <f>MROUND(D26,50)</f>
        <v>50</v>
      </c>
    </row>
    <row r="21" spans="1:11" x14ac:dyDescent="0.35">
      <c r="A21" s="28" t="s">
        <v>99</v>
      </c>
      <c r="B21" s="132">
        <f>IF(DigitaHONDURAS!C2&lt;&gt;"",DigitaHONDURAS!C2,"")</f>
        <v>17</v>
      </c>
      <c r="C21" s="29">
        <f>IF(DigitaHONDURAS!$C$10&lt;&gt;"",DigitaHONDURAS!$C$10,"")</f>
        <v>42800</v>
      </c>
      <c r="D21" s="42">
        <f>IF(C21="",0,C21*J$18)</f>
        <v>5136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37664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IF(DigitaHONDURAS!$E$10&lt;&gt;"",DigitaHONDURAS!$E$10,"")</f>
        <v>33100</v>
      </c>
      <c r="D22" s="42">
        <f>IF(C22="",0,C22*J$18)</f>
        <v>3972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29128</v>
      </c>
    </row>
    <row r="23" spans="1:11" x14ac:dyDescent="0.35">
      <c r="A23" s="28" t="s">
        <v>101</v>
      </c>
      <c r="B23" s="132">
        <f>IF(DigitaHONDURAS!G2&lt;&gt;"",DigitaHONDURAS!G2,"")</f>
        <v>85</v>
      </c>
      <c r="C23" s="29">
        <f>IF(DigitaHONDURAS!$G$10&lt;&gt;"",DigitaHONDURAS!$G$10,"")</f>
        <v>18800</v>
      </c>
      <c r="D23" s="42">
        <f>IF(C23="",0,C23*J$18)</f>
        <v>2256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16544</v>
      </c>
    </row>
    <row r="24" spans="1:11" x14ac:dyDescent="0.35">
      <c r="A24" s="28" t="s">
        <v>107</v>
      </c>
      <c r="B24" s="132">
        <f>IF(DigitaDOMINICANA!C2&lt;&gt;"",DigitaDOMINICANA!C2,"")</f>
        <v>51</v>
      </c>
      <c r="C24" s="29">
        <f>IF(DigitaDOMINICANA!$C$10&lt;&gt;"",DigitaDOMINICANA!$C$10,"")</f>
        <v>29000</v>
      </c>
      <c r="D24" s="42">
        <f>IF(C24="",0,C24*J$19)</f>
        <v>3480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25520</v>
      </c>
    </row>
    <row r="25" spans="1:11" x14ac:dyDescent="0.35">
      <c r="A25" s="28" t="s">
        <v>108</v>
      </c>
      <c r="B25" s="132">
        <f>IF(DigitaDOMINICANA!E2&lt;&gt;"",DigitaDOMINICANA!E2,"")</f>
        <v>27</v>
      </c>
      <c r="C25" s="29">
        <f>IF(DigitaDOMINICANA!$E$10&lt;&gt;"",DigitaDOMINICANA!$E$10,"")</f>
        <v>38000</v>
      </c>
      <c r="D25" s="42">
        <f>IF(C25="",0,C25*J$19)</f>
        <v>4560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33440</v>
      </c>
    </row>
    <row r="26" spans="1:11" x14ac:dyDescent="0.35">
      <c r="A26" s="28" t="s">
        <v>21</v>
      </c>
      <c r="B26" s="132">
        <f>IF(DigitaPANAMENA!C2&lt;&gt;"",DigitaPANAMENA!C2,"")</f>
        <v>28</v>
      </c>
      <c r="C26" s="29">
        <f>IF(DigitaPANAMENA!$C$10&lt;&gt;"",DigitaPANAMENA!$C$10,"")</f>
        <v>300</v>
      </c>
      <c r="D26" s="42">
        <f>IF(C26="",0,C26*J$20)</f>
        <v>36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264</v>
      </c>
    </row>
    <row r="27" spans="1:11" ht="15" thickBot="1" x14ac:dyDescent="0.4">
      <c r="A27" s="67" t="s">
        <v>5</v>
      </c>
      <c r="B27" s="127"/>
      <c r="C27" s="68">
        <f>SUM(C5:C26)</f>
        <v>1360100</v>
      </c>
      <c r="D27" s="68">
        <f t="shared" ref="D27:F27" si="9">SUM(D5:D26)</f>
        <v>161159</v>
      </c>
      <c r="E27" s="68">
        <f t="shared" si="9"/>
        <v>18850</v>
      </c>
      <c r="F27" s="68">
        <f t="shared" si="9"/>
        <v>1691750</v>
      </c>
      <c r="G27" s="88">
        <f>SUM(G5:G26)</f>
        <v>-492809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55700</v>
      </c>
      <c r="K4" s="231">
        <f t="shared" ref="K4" si="0">D7+D11+D15</f>
        <v>6684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IF(DigitaTICA!C11&lt;&gt;"",DigitaTICA!C11,"")</f>
        <v>23000</v>
      </c>
      <c r="D7" s="42">
        <f>IF(C7="",0,C7*J$11)</f>
        <v>2760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20240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6700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IF(DigitaTICA!G11&lt;&gt;"",DigitaTICA!G11,"")</f>
        <v>32700</v>
      </c>
      <c r="D15" s="42">
        <f>IF(C15="",0,C15*J$11)</f>
        <v>3924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28776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55700</v>
      </c>
      <c r="D21" s="122">
        <f t="shared" ref="D21:G21" si="5">SUM(D5:D20)</f>
        <v>6684</v>
      </c>
      <c r="E21" s="122">
        <f t="shared" si="5"/>
        <v>0</v>
      </c>
      <c r="F21" s="122">
        <f t="shared" si="5"/>
        <v>0</v>
      </c>
      <c r="G21" s="123">
        <f t="shared" si="5"/>
        <v>49016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61800</v>
      </c>
      <c r="K4" s="231">
        <f>D7+D11+D15</f>
        <v>7416</v>
      </c>
      <c r="L4" s="220">
        <f>F7+F11+F15</f>
        <v>216750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IF(DigitaNICA!C12&lt;&gt;"",DigitaNICA!C12,"")</f>
        <v>28550</v>
      </c>
      <c r="D5" s="42">
        <f>IF(C5="",0,C5*J$12)</f>
        <v>3426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25124</v>
      </c>
      <c r="I5" s="217" t="s">
        <v>37</v>
      </c>
      <c r="J5" s="221">
        <f>SUM(IF(C5="",0,C5),IF(C9="",0,C9),IF(C13="",0,C13),IF(C17="",0,C17))</f>
        <v>38650</v>
      </c>
      <c r="K5" s="225">
        <f t="shared" ref="K5" si="1">D5+D9+D13+D17</f>
        <v>4638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4600</v>
      </c>
      <c r="K6" s="226">
        <f t="shared" ref="K6" si="2">+D8+D12+D16</f>
        <v>460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IF(DigitaTICA!C12&lt;&gt;"",DigitaTICA!C12,"")</f>
        <v>36000</v>
      </c>
      <c r="D7" s="42">
        <f>IF(C7="",0,C7*J$11)</f>
        <v>4320</v>
      </c>
      <c r="E7" s="29">
        <f>IF(DigitaTICA!D12&lt;&gt;"",DigitaTICA!D12,"")</f>
        <v>1750</v>
      </c>
      <c r="F7" s="42">
        <f>IF(E7="",0,E7*PREMIOS!F7)</f>
        <v>148750</v>
      </c>
      <c r="G7" s="30">
        <f t="shared" si="0"/>
        <v>-117070</v>
      </c>
      <c r="I7" s="217" t="s">
        <v>96</v>
      </c>
      <c r="J7" s="223">
        <f>SUM(IF(C19="",0,C19),IF(C20="",0,C20))</f>
        <v>33600</v>
      </c>
      <c r="K7" s="226">
        <f>+D19+D20</f>
        <v>4032</v>
      </c>
      <c r="L7" s="227">
        <f>+F19+F20</f>
        <v>12750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2100</v>
      </c>
      <c r="D8" s="42">
        <f>IF(C8="",0,C8*J$13)</f>
        <v>210</v>
      </c>
      <c r="E8" s="29">
        <f>IF(DigitaREVENTADO!D12&lt;&gt;"",DigitaREVENTADO!D12,"")</f>
        <v>200</v>
      </c>
      <c r="F8" s="42">
        <f>IF(E8="",0,E8*PREMIOS!F8)</f>
        <v>0</v>
      </c>
      <c r="G8" s="30">
        <f t="shared" si="0"/>
        <v>1890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IF(DigitaNICA!E12&lt;&gt;"",DigitaNICA!E12,"")</f>
        <v>10100</v>
      </c>
      <c r="D9" s="42">
        <f>IF(C9="",0,C9*J$12)</f>
        <v>1212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8888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IF(DigitaTICA!E12&lt;&gt;"",DigitaTICA!E12,"")</f>
        <v>16350</v>
      </c>
      <c r="D11" s="42">
        <f>IF(C11="",0,C11*J$11)</f>
        <v>1962</v>
      </c>
      <c r="E11" s="29">
        <f>IF(DigitaTICA!F12&lt;&gt;"",DigitaTICA!F12,"")</f>
        <v>150</v>
      </c>
      <c r="F11" s="42">
        <f>IF(E11="",0,E11*PREMIOS!F11)</f>
        <v>12750</v>
      </c>
      <c r="G11" s="30">
        <f t="shared" si="0"/>
        <v>1638</v>
      </c>
      <c r="I11" s="60" t="s">
        <v>36</v>
      </c>
      <c r="J11" s="61">
        <v>0.12</v>
      </c>
      <c r="K11" s="62">
        <f>MROUND(D7+D11+D15,50)</f>
        <v>7400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900</v>
      </c>
      <c r="D12" s="42">
        <f>IF(C12="",0,C12*J$13)</f>
        <v>90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810</v>
      </c>
      <c r="I12" s="63" t="s">
        <v>37</v>
      </c>
      <c r="J12" s="64">
        <v>0.12</v>
      </c>
      <c r="K12" s="30">
        <f>MROUND(D5+D9+D13+D17,50)</f>
        <v>4650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4050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IF(DigitaTICA!G12&lt;&gt;"",DigitaTICA!G12,"")</f>
        <v>9450</v>
      </c>
      <c r="D15" s="42">
        <f>IF(C15="",0,C15*J$11)</f>
        <v>1134</v>
      </c>
      <c r="E15" s="29">
        <f>IF(DigitaTICA!H12&lt;&gt;"",DigitaTICA!H12,"")</f>
        <v>650</v>
      </c>
      <c r="F15" s="42">
        <f>IF(E15="",0,E15*PREMIOS!F15)</f>
        <v>55250</v>
      </c>
      <c r="G15" s="30">
        <f t="shared" si="3"/>
        <v>-46934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1600</v>
      </c>
      <c r="D16" s="42">
        <f>IF(C16="",0,C16*J$13)</f>
        <v>160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1440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IF(DigitaPRIMERA!$C$12&lt;&gt;"",DigitaPRIMERA!$C$12,"")</f>
        <v>33600</v>
      </c>
      <c r="D19" s="42">
        <f>IF(C19="",0,C19*J$14)</f>
        <v>4032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16818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138650</v>
      </c>
      <c r="D24" s="68">
        <f t="shared" ref="D24:G24" si="4">SUM(D5:D23)</f>
        <v>16546</v>
      </c>
      <c r="E24" s="68">
        <f t="shared" si="4"/>
        <v>2900</v>
      </c>
      <c r="F24" s="68">
        <f t="shared" si="4"/>
        <v>229500</v>
      </c>
      <c r="G24" s="88">
        <f t="shared" si="4"/>
        <v>-107396</v>
      </c>
    </row>
    <row r="27" spans="1:7" x14ac:dyDescent="0.35">
      <c r="G27" s="21">
        <v>114730</v>
      </c>
    </row>
    <row r="28" spans="1:7" x14ac:dyDescent="0.35">
      <c r="G28" s="141">
        <f>+G24+G27</f>
        <v>7334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146700</v>
      </c>
      <c r="K4" s="231">
        <f t="shared" ref="K4" si="0">D7+D11+D15</f>
        <v>17604</v>
      </c>
      <c r="L4" s="220">
        <f>F7+F11+F15</f>
        <v>212500</v>
      </c>
    </row>
    <row r="5" spans="1:12" ht="15" thickBot="1" x14ac:dyDescent="0.4">
      <c r="A5" s="28" t="s">
        <v>43</v>
      </c>
      <c r="B5" s="132">
        <f>IF(DigitaNICA!C2&lt;&gt;"",DigitaNICA!C2,"")</f>
        <v>17</v>
      </c>
      <c r="C5" s="29">
        <f>IF(DigitaNICA!C13&lt;&gt;"",DigitaNICA!C13,"")</f>
        <v>34650</v>
      </c>
      <c r="D5" s="42">
        <f>IF(C5="",0,C5*J$10)</f>
        <v>4158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30492</v>
      </c>
      <c r="I5" s="218" t="s">
        <v>37</v>
      </c>
      <c r="J5" s="232">
        <f>SUM(IF(C5="",0,C5),IF(C9="",0,C9),IF(C13="",0,C13),IF(C17="",0,C17))</f>
        <v>93350</v>
      </c>
      <c r="K5" s="233">
        <f t="shared" ref="K5" si="2">D5+D9+D13+D17</f>
        <v>11202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IF(DigitaTICA!C13&lt;&gt;"",DigitaTICA!C13,"")</f>
        <v>53450</v>
      </c>
      <c r="D7" s="42">
        <f>IF(C7="",0,C7*J$9)</f>
        <v>6414</v>
      </c>
      <c r="E7" s="29">
        <f>IF(DigitaTICA!D13&lt;&gt;"",DigitaTICA!D13,"")</f>
        <v>1050</v>
      </c>
      <c r="F7" s="133">
        <f>IF(E7="",0,E7*PREMIOS!F7)</f>
        <v>89250</v>
      </c>
      <c r="G7" s="30">
        <f t="shared" si="1"/>
        <v>-42214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IF(DigitaNICA!E13&lt;&gt;"",DigitaNICA!E13,"")</f>
        <v>26550</v>
      </c>
      <c r="D9" s="42">
        <f>IF(C9="",0,C9*J$10)</f>
        <v>3186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23364</v>
      </c>
      <c r="I9" s="60" t="s">
        <v>36</v>
      </c>
      <c r="J9" s="61">
        <v>0.12</v>
      </c>
      <c r="K9" s="62">
        <f>MROUND(D7+D11+D15,50)</f>
        <v>17600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11200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IF(DigitaTICA!E13&lt;&gt;"",DigitaTICA!E13,"")</f>
        <v>25300</v>
      </c>
      <c r="D11" s="42">
        <f>IF(C11="",0,C11*J$9)</f>
        <v>3036</v>
      </c>
      <c r="E11" s="29">
        <f>IF(DigitaTICA!F13&lt;&gt;"",DigitaTICA!F13,"")</f>
        <v>350</v>
      </c>
      <c r="F11" s="133">
        <f>IF(E11="",0,E11*PREMIOS!F11)</f>
        <v>29750</v>
      </c>
      <c r="G11" s="30">
        <f t="shared" si="1"/>
        <v>-7486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IF(DigitaNICA!G13&lt;&gt;"",DigitaNICA!G13,"")</f>
        <v>30650</v>
      </c>
      <c r="D13" s="42">
        <f>IF(C13="",0,C13*J$10)</f>
        <v>3678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26972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IF(DigitaTICA!G13&lt;&gt;"",DigitaTICA!G13,"")</f>
        <v>67950</v>
      </c>
      <c r="D15" s="42">
        <f>IF(C15="",0,C15*J$9)</f>
        <v>8154</v>
      </c>
      <c r="E15" s="29">
        <f>IF(DigitaTICA!H13&lt;&gt;"",DigitaTICA!H13,"")</f>
        <v>1100</v>
      </c>
      <c r="F15" s="133">
        <f>IF(E15="",0,E15*PREMIOS!F15)</f>
        <v>93500</v>
      </c>
      <c r="G15" s="30">
        <f t="shared" si="3"/>
        <v>-33704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IF(DigitaNICA!I13&lt;&gt;"",DigitaNICA!I13,"")</f>
        <v>1500</v>
      </c>
      <c r="D17" s="42">
        <f>IF(C17="",0,C17*J$10)</f>
        <v>180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1320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240050</v>
      </c>
      <c r="D19" s="68">
        <f>MROUND(SUM(D5:D18),50)</f>
        <v>28800</v>
      </c>
      <c r="E19" s="68">
        <f>SUM(E5:E18)</f>
        <v>2500</v>
      </c>
      <c r="F19" s="68">
        <f>SUM(F5:F18)</f>
        <v>212500</v>
      </c>
      <c r="G19" s="88">
        <f>SUM(G5:G18)</f>
        <v>-1256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78500</v>
      </c>
      <c r="K4" s="236">
        <f t="shared" ref="K4" si="0">D7+D11+D15</f>
        <v>11775</v>
      </c>
      <c r="L4" s="237">
        <f>F7+F11+F15</f>
        <v>400000</v>
      </c>
    </row>
    <row r="5" spans="1:12" x14ac:dyDescent="0.35">
      <c r="A5" s="28" t="s">
        <v>43</v>
      </c>
      <c r="B5" s="132">
        <f>IF(DigitaNICA!C2&lt;&gt;"",DigitaNICA!C2,"")</f>
        <v>17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IF(DigitaTICA!C14&lt;&gt;"",DigitaTICA!C14,"")</f>
        <v>27700</v>
      </c>
      <c r="D7" s="42">
        <f>IF(C7="",0,C7*J$9)</f>
        <v>4155</v>
      </c>
      <c r="E7" s="29">
        <f>IF(DigitaTICA!D14&lt;&gt;"",DigitaTICA!D14,"")</f>
        <v>5000</v>
      </c>
      <c r="F7" s="42">
        <f>IF(E7="",0,E7*PREMIOS!E7)</f>
        <v>400000</v>
      </c>
      <c r="G7" s="30">
        <f t="shared" si="1"/>
        <v>-376455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11800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IF(DigitaTICA!E14&lt;&gt;"",DigitaTICA!E14,"")</f>
        <v>25400</v>
      </c>
      <c r="D11" s="42">
        <f>IF(C11="",0,C11*J$9)</f>
        <v>3810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21590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IF(DigitaTICA!G14&lt;&gt;"",DigitaTICA!G14,"")</f>
        <v>25400</v>
      </c>
      <c r="D15" s="42">
        <f>IF(C15="",0,C15*J$9)</f>
        <v>3810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21590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78500</v>
      </c>
      <c r="D19" s="68">
        <f>MROUND(SUM(D5:D18),50)</f>
        <v>11800</v>
      </c>
      <c r="E19" s="68">
        <f>SUM(E5:E18)</f>
        <v>5000</v>
      </c>
      <c r="F19" s="68">
        <f>SUM(F5:F18)</f>
        <v>400000</v>
      </c>
      <c r="G19" s="88">
        <f>SUM(G5:G18)</f>
        <v>-333275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41050</v>
      </c>
      <c r="K4" s="231">
        <f>D7+D11+D15</f>
        <v>4926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IF(DigitaNICA!C16&lt;&gt;"",DigitaNICA!C16,"")</f>
        <v>3600</v>
      </c>
      <c r="D5" s="42">
        <f>IF(C5="",0,C5*J$12)</f>
        <v>432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3168</v>
      </c>
      <c r="I5" s="63" t="s">
        <v>37</v>
      </c>
      <c r="J5" s="225">
        <f>SUM(IF(C5="",0,C5),IF(C9="",0,C9),IF(C13="",0,C13),IF(C17="",0,C17))</f>
        <v>13850</v>
      </c>
      <c r="K5" s="225">
        <f t="shared" ref="K5" si="1">D5+D9+D13+D17</f>
        <v>1662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IF(DigitaTICA!C16&lt;&gt;"",DigitaTICA!C16,"")</f>
        <v>10900</v>
      </c>
      <c r="D7" s="42">
        <f>IF(C7="",0,C7*J$11)</f>
        <v>1308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-11658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IF(DigitaTICA!E16&lt;&gt;"",DigitaTICA!E16,"")</f>
        <v>8850</v>
      </c>
      <c r="D11" s="42">
        <f>IF(C11="",0,C11*J$11)</f>
        <v>1062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-13462</v>
      </c>
      <c r="I11" s="76" t="s">
        <v>36</v>
      </c>
      <c r="J11" s="77">
        <v>0.12</v>
      </c>
      <c r="K11" s="78">
        <f>MROUND(D7+D11+D15,50)</f>
        <v>4950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1650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IF(DigitaTICA!G16&lt;&gt;"",DigitaTICA!G16,"")</f>
        <v>21300</v>
      </c>
      <c r="D15" s="42">
        <f>IF(C15="",0,C15*J$11)</f>
        <v>2556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18744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IF(DigitaNICA!I16&lt;&gt;"",DigitaNICA!I16,"")</f>
        <v>5250</v>
      </c>
      <c r="D17" s="42">
        <f>IF(C17="",0,C17*J$12)</f>
        <v>630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4620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55900</v>
      </c>
      <c r="D24" s="122">
        <f t="shared" ref="D24:G24" si="5">SUM(D5:D23)</f>
        <v>6688</v>
      </c>
      <c r="E24" s="122">
        <f t="shared" si="5"/>
        <v>500</v>
      </c>
      <c r="F24" s="122">
        <f t="shared" si="5"/>
        <v>42500</v>
      </c>
      <c r="G24" s="123">
        <f t="shared" si="5"/>
        <v>6712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395250</v>
      </c>
      <c r="K4" s="231">
        <f t="shared" ref="K4" si="0">D7+D11+D15</f>
        <v>47430</v>
      </c>
      <c r="L4" s="220">
        <f>F7+F11+F15</f>
        <v>1139000</v>
      </c>
    </row>
    <row r="5" spans="1:12" x14ac:dyDescent="0.35">
      <c r="A5" s="28" t="s">
        <v>43</v>
      </c>
      <c r="B5" s="132">
        <f>IF(DigitaNICA!C2&lt;&gt;"",DigitaNICA!C2,"")</f>
        <v>17</v>
      </c>
      <c r="C5" s="89">
        <f>IF(DigitaNICA!C17&lt;&gt;"",DigitaNICA!C17,"")</f>
        <v>86700</v>
      </c>
      <c r="D5" s="42">
        <f>IF(C5="",0,C5*J$16)</f>
        <v>10404</v>
      </c>
      <c r="E5" s="89">
        <f>IF(DigitaNICA!D17&lt;&gt;"",DigitaNICA!D17,"")</f>
        <v>650</v>
      </c>
      <c r="F5" s="42">
        <f>IF(E5="",0,E5*PREMIOS!F5)</f>
        <v>55250</v>
      </c>
      <c r="G5" s="90">
        <f t="shared" ref="G5:G12" si="1">IF(OR(C5="",E5=""),0,C5-D5-F5)</f>
        <v>21046</v>
      </c>
      <c r="I5" s="217" t="s">
        <v>37</v>
      </c>
      <c r="J5" s="221">
        <f>SUM(IF(C5="",0,C5),IF(C9="",0,C9),IF(C13="",0,C13),IF(C17="",0,C17))</f>
        <v>431700</v>
      </c>
      <c r="K5" s="225">
        <f t="shared" ref="K5" si="2">D5+D9+D13+D17</f>
        <v>51804</v>
      </c>
      <c r="L5" s="222">
        <f>F5+F9+F13+F17</f>
        <v>170000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68300</v>
      </c>
      <c r="K6" s="226">
        <f t="shared" ref="K6" si="3">+D8+D12+D16</f>
        <v>6830</v>
      </c>
      <c r="L6" s="227">
        <f>+F8+F12+F16</f>
        <v>30000</v>
      </c>
    </row>
    <row r="7" spans="1:12" x14ac:dyDescent="0.35">
      <c r="A7" s="28" t="s">
        <v>46</v>
      </c>
      <c r="B7" s="132">
        <f>IF(DigitaTICA!C2&lt;&gt;"",DigitaTICA!C2,"")</f>
        <v>50</v>
      </c>
      <c r="C7" s="89">
        <f>IF(DigitaTICA!C17&lt;&gt;"",DigitaTICA!C17,"")</f>
        <v>134300</v>
      </c>
      <c r="D7" s="42">
        <f>IF(C7="",0,C7*J$15)</f>
        <v>16116</v>
      </c>
      <c r="E7" s="89">
        <f>IF(DigitaTICA!D17&lt;&gt;"",DigitaTICA!D17,"")</f>
        <v>5200</v>
      </c>
      <c r="F7" s="42">
        <f>IF(E7="",0,E7*PREMIOS!F7)</f>
        <v>442000</v>
      </c>
      <c r="G7" s="90">
        <f t="shared" si="1"/>
        <v>-323816</v>
      </c>
      <c r="I7" s="217" t="s">
        <v>96</v>
      </c>
      <c r="J7" s="223">
        <f>SUM(IF(C19="",0,C19),IF(C20="",0,C20))</f>
        <v>89850</v>
      </c>
      <c r="K7" s="226">
        <f>+D19+D20</f>
        <v>10782</v>
      </c>
      <c r="L7" s="227">
        <f>+F19+F20</f>
        <v>59500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23850</v>
      </c>
      <c r="D8" s="42">
        <f>IF(C8="",0,C8*J$17)</f>
        <v>2385</v>
      </c>
      <c r="E8" s="89">
        <f>IF(DigitaREVENTADO!D17&lt;&gt;"",DigitaREVENTADO!D17,"")</f>
        <v>1150</v>
      </c>
      <c r="F8" s="42">
        <f>IF(E8="",0,E8*PREMIOS!F8)</f>
        <v>0</v>
      </c>
      <c r="G8" s="90">
        <f t="shared" si="1"/>
        <v>21465</v>
      </c>
      <c r="I8" s="217" t="s">
        <v>104</v>
      </c>
      <c r="J8" s="223">
        <f>SUM(IF(C21="",0,C21),IF(C22="",0,C22),IF(C23="",0,C23))</f>
        <v>58150</v>
      </c>
      <c r="K8" s="226">
        <f t="shared" ref="K8" si="4">D21+D22+D23</f>
        <v>6978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96</v>
      </c>
      <c r="C9" s="89">
        <f>IF(DigitaNICA!E17&lt;&gt;"",DigitaNICA!E17,"")</f>
        <v>110250</v>
      </c>
      <c r="D9" s="42">
        <f>IF(C9="",0,C9*J$16)</f>
        <v>13230</v>
      </c>
      <c r="E9" s="89">
        <f>IF(DigitaNICA!F17&lt;&gt;"",DigitaNICA!F17,"")</f>
        <v>100</v>
      </c>
      <c r="F9" s="42">
        <f>IF(E9="",0,E9*PREMIOS!F9)</f>
        <v>8500</v>
      </c>
      <c r="G9" s="90">
        <f t="shared" si="1"/>
        <v>88520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89">
        <f>IF(DigitaTICA!E17&lt;&gt;"",DigitaTICA!E17,"")</f>
        <v>61750</v>
      </c>
      <c r="D11" s="42">
        <f>IF(C11="",0,C11*J$15)</f>
        <v>7410</v>
      </c>
      <c r="E11" s="89">
        <f>IF(DigitaTICA!F17&lt;&gt;"",DigitaTICA!F17,"")</f>
        <v>450</v>
      </c>
      <c r="F11" s="42">
        <f>IF(E11="",0,E11*PREMIOS!F11)</f>
        <v>38250</v>
      </c>
      <c r="G11" s="90">
        <f t="shared" si="1"/>
        <v>16090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7300</v>
      </c>
      <c r="D12" s="42">
        <f>IF(C12="",0,C12*J$17)</f>
        <v>730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6570</v>
      </c>
    </row>
    <row r="13" spans="1:12" ht="15" thickBot="1" x14ac:dyDescent="0.4">
      <c r="A13" s="28" t="s">
        <v>50</v>
      </c>
      <c r="B13" s="132" t="str">
        <f>IF(DigitaNICA!G2&lt;&gt;"",DigitaNICA!G2,"")</f>
        <v>04</v>
      </c>
      <c r="C13" s="89">
        <f>IF(DigitaNICA!G17&lt;&gt;"",DigitaNICA!G17,"")</f>
        <v>63000</v>
      </c>
      <c r="D13" s="42">
        <f>IF(C13="",0,C13*J$16)</f>
        <v>7560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12940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12</v>
      </c>
      <c r="C15" s="89">
        <f>IF(DigitaTICA!G17&lt;&gt;"",DigitaTICA!G17,"")</f>
        <v>199200</v>
      </c>
      <c r="D15" s="42">
        <f>IF(C15="",0,C15*J$15)</f>
        <v>23904</v>
      </c>
      <c r="E15" s="89">
        <f>IF(DigitaTICA!H17&lt;&gt;"",DigitaTICA!H17,"")</f>
        <v>7750</v>
      </c>
      <c r="F15" s="42">
        <f>IF(E15="",0,E15*PREMIOS!F15)</f>
        <v>658750</v>
      </c>
      <c r="G15" s="90">
        <f t="shared" si="6"/>
        <v>-483454</v>
      </c>
      <c r="I15" s="76" t="s">
        <v>36</v>
      </c>
      <c r="J15" s="77">
        <v>0.12</v>
      </c>
      <c r="K15" s="78">
        <f>MROUND(D7+D11+D15,50)</f>
        <v>47450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37150</v>
      </c>
      <c r="D16" s="42">
        <f>IF(C16="",0,C16*J$17)</f>
        <v>3715</v>
      </c>
      <c r="E16" s="89">
        <f>IF(DigitaREVENTADO!H17&lt;&gt;"",DigitaREVENTADO!H17,"")</f>
        <v>150</v>
      </c>
      <c r="F16" s="42">
        <f>IF(E16="",0,E16*PREMIOS!F16)</f>
        <v>30000</v>
      </c>
      <c r="G16" s="90">
        <f t="shared" si="6"/>
        <v>3435</v>
      </c>
      <c r="I16" s="63" t="s">
        <v>37</v>
      </c>
      <c r="J16" s="64">
        <v>0.12</v>
      </c>
      <c r="K16" s="30">
        <f>MROUND(D5+D9+D13+D17,50)</f>
        <v>51800</v>
      </c>
    </row>
    <row r="17" spans="1:11" x14ac:dyDescent="0.35">
      <c r="A17" s="28" t="s">
        <v>52</v>
      </c>
      <c r="B17" s="132">
        <f>IF(DigitaNICA!I2&lt;&gt;"",DigitaNICA!I2,"")</f>
        <v>45</v>
      </c>
      <c r="C17" s="89">
        <f>IF(DigitaNICA!I17&lt;&gt;"",DigitaNICA!I17,"")</f>
        <v>171750</v>
      </c>
      <c r="D17" s="42">
        <f>IF(C17="",0,C17*J$16)</f>
        <v>20610</v>
      </c>
      <c r="E17" s="89">
        <f>IF(DigitaNICA!J17&lt;&gt;"",DigitaNICA!J17,"")</f>
        <v>750</v>
      </c>
      <c r="F17" s="42">
        <f>IF(E17="",0,E17*PREMIOS!F17)</f>
        <v>63750</v>
      </c>
      <c r="G17" s="90">
        <f t="shared" si="6"/>
        <v>87390</v>
      </c>
      <c r="I17" s="63" t="s">
        <v>38</v>
      </c>
      <c r="J17" s="64">
        <v>0.1</v>
      </c>
      <c r="K17" s="30">
        <f>MROUND(D6+D8+D10+D12+D14+D16+D18,50)</f>
        <v>6850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10800</v>
      </c>
    </row>
    <row r="19" spans="1:11" x14ac:dyDescent="0.35">
      <c r="A19" s="28" t="s">
        <v>97</v>
      </c>
      <c r="B19" s="132">
        <f>IF(DigitaPRIMERA!C2&lt;&gt;"",DigitaPRIMERA!C2,"")</f>
        <v>55</v>
      </c>
      <c r="C19" s="29">
        <f>IF(DigitaPRIMERA!$C$17&lt;&gt;"",DigitaPRIMERA!$C$17,"")</f>
        <v>60500</v>
      </c>
      <c r="D19" s="42">
        <f>IF(C19="",0,C19*J$18)</f>
        <v>7260</v>
      </c>
      <c r="E19" s="29">
        <f>IF(DigitaPRIMERA!$D$17&lt;&gt;"",DigitaPRIMERA!$D$17,"")</f>
        <v>700</v>
      </c>
      <c r="F19" s="42">
        <f>IF(E19="",0,E19*PREMIOS!F19)</f>
        <v>59500</v>
      </c>
      <c r="G19" s="30">
        <f t="shared" si="6"/>
        <v>-6260</v>
      </c>
      <c r="I19" s="63" t="s">
        <v>104</v>
      </c>
      <c r="J19" s="64">
        <v>0.12</v>
      </c>
      <c r="K19" s="30">
        <f>MROUND(D21+D22+D23,50)</f>
        <v>7000</v>
      </c>
    </row>
    <row r="20" spans="1:11" x14ac:dyDescent="0.35">
      <c r="A20" s="28" t="s">
        <v>98</v>
      </c>
      <c r="B20" s="132">
        <f>IF(DigitaPRIMERA!E2&lt;&gt;"",DigitaPRIMERA!E2,"")</f>
        <v>73</v>
      </c>
      <c r="C20" s="29">
        <f>IF(DigitaPRIMERA!$E$17&lt;&gt;"",DigitaPRIMERA!$E$17,"")</f>
        <v>29350</v>
      </c>
      <c r="D20" s="42">
        <f>IF(C20="",0,C20*J$18)</f>
        <v>3522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25828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17</v>
      </c>
      <c r="C21" s="29">
        <f>IF(DigitaHONDURAS!$C$17&lt;&gt;"",DigitaHONDURAS!$C$17,"")</f>
        <v>35300</v>
      </c>
      <c r="D21" s="42">
        <f>IF(C21="",0,C21*J$19)</f>
        <v>4236</v>
      </c>
      <c r="E21" s="29">
        <f>IF(DigitaHONDURAS!$D$17&lt;&gt;"",DigitaHONDURAS!$D$17,"")</f>
        <v>250</v>
      </c>
      <c r="F21" s="42">
        <f>IF(E21="",0,E21*PREMIOS!F20)</f>
        <v>21250</v>
      </c>
      <c r="G21" s="30">
        <f t="shared" si="6"/>
        <v>9814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IF(DigitaHONDURAS!$E$17&lt;&gt;"",DigitaHONDURAS!$E$17,"")</f>
        <v>9150</v>
      </c>
      <c r="D22" s="42">
        <f>IF(C22="",0,C22*J$19)</f>
        <v>1098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8052</v>
      </c>
    </row>
    <row r="23" spans="1:11" x14ac:dyDescent="0.35">
      <c r="A23" s="28" t="s">
        <v>101</v>
      </c>
      <c r="B23" s="132">
        <f>IF(DigitaHONDURAS!G2&lt;&gt;"",DigitaHONDURAS!G2,"")</f>
        <v>85</v>
      </c>
      <c r="C23" s="29">
        <f>IF(DigitaHONDURAS!$G$17&lt;&gt;"",DigitaHONDURAS!$G$17,"")</f>
        <v>13700</v>
      </c>
      <c r="D23" s="42">
        <f>IF(C23="",0,C23*J$19)</f>
        <v>1644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12056</v>
      </c>
    </row>
    <row r="24" spans="1:11" x14ac:dyDescent="0.35">
      <c r="A24" s="28" t="s">
        <v>102</v>
      </c>
      <c r="B24" s="132">
        <f>IF(DigitaDOMINICANA!C2&lt;&gt;"",DigitaDOMINICANA!C2,"")</f>
        <v>51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28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1043250</v>
      </c>
      <c r="D27" s="68">
        <f t="shared" ref="D27:G27" si="7">SUM(D5:D26)</f>
        <v>123824</v>
      </c>
      <c r="E27" s="68">
        <f t="shared" si="7"/>
        <v>17650</v>
      </c>
      <c r="F27" s="68">
        <f t="shared" si="7"/>
        <v>1419750</v>
      </c>
      <c r="G27" s="88">
        <f t="shared" si="7"/>
        <v>-500324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155300</v>
      </c>
      <c r="K4" s="231">
        <f t="shared" ref="K4" si="0">D7+D11+D15</f>
        <v>18636</v>
      </c>
      <c r="L4" s="220">
        <f>F7+F11+F15</f>
        <v>140250</v>
      </c>
    </row>
    <row r="5" spans="1:12" x14ac:dyDescent="0.35">
      <c r="A5" s="28" t="str">
        <f>+Vendedor1!A5</f>
        <v>Nica 11am</v>
      </c>
      <c r="B5" s="132">
        <f>IF(DigitaNICA!C2&lt;&gt;"",DigitaNICA!C2,"")</f>
        <v>17</v>
      </c>
      <c r="C5" s="29">
        <f>IF(DigitaNICA!C18&lt;&gt;"",DigitaNICA!C18,"")</f>
        <v>52800</v>
      </c>
      <c r="D5" s="42">
        <f>IF(C5="",0,C5*J$16)</f>
        <v>6336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12464</v>
      </c>
      <c r="I5" s="217" t="s">
        <v>37</v>
      </c>
      <c r="J5" s="221">
        <f>SUM(IF(C5="",0,C5),IF(C9="",0,C9),IF(C13="",0,C13),IF(C17="",0,C17))</f>
        <v>178600</v>
      </c>
      <c r="K5" s="225">
        <f t="shared" ref="K5" si="2">D5+D9+D13+D17</f>
        <v>21432</v>
      </c>
      <c r="L5" s="222">
        <f>F5+F9+F13+F17</f>
        <v>114750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55300</v>
      </c>
      <c r="K6" s="226">
        <f t="shared" ref="K6" si="3">+D8+D12+D16</f>
        <v>5530</v>
      </c>
      <c r="L6" s="227">
        <f>+F8+F12+F16</f>
        <v>80000</v>
      </c>
    </row>
    <row r="7" spans="1:12" x14ac:dyDescent="0.35">
      <c r="A7" s="28" t="str">
        <f>+Vendedor1!A7</f>
        <v>Tica 1pm</v>
      </c>
      <c r="B7" s="132">
        <f>IF(DigitaTICA!C2&lt;&gt;"",DigitaTICA!C2,"")</f>
        <v>50</v>
      </c>
      <c r="C7" s="29">
        <f>IF(DigitaTICA!C18&lt;&gt;"",DigitaTICA!C18,"")</f>
        <v>61650</v>
      </c>
      <c r="D7" s="42">
        <f>IF(C7="",0,C7*J$15)</f>
        <v>7398</v>
      </c>
      <c r="E7" s="29">
        <f>IF(DigitaTICA!D18&lt;&gt;"",DigitaTICA!D18,"")</f>
        <v>550</v>
      </c>
      <c r="F7" s="42">
        <f>IF(E7="",0,E7*PREMIOS!F7)</f>
        <v>46750</v>
      </c>
      <c r="G7" s="30">
        <f t="shared" si="1"/>
        <v>7502</v>
      </c>
      <c r="I7" s="217" t="s">
        <v>96</v>
      </c>
      <c r="J7" s="223">
        <f>SUM(IF(C19="",0,C19),IF(C20="",0,C20))</f>
        <v>104500</v>
      </c>
      <c r="K7" s="226">
        <f>+D19+D20</f>
        <v>12540</v>
      </c>
      <c r="L7" s="227">
        <f>+F19+F20</f>
        <v>72250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18850</v>
      </c>
      <c r="D8" s="42">
        <f>IF(C8="",0,C8*J$17)</f>
        <v>1885</v>
      </c>
      <c r="E8" s="29">
        <f>IF(DigitaREVENTADO!D18&lt;&gt;"",DigitaREVENTADO!D18,"")</f>
        <v>250</v>
      </c>
      <c r="F8" s="42">
        <f>IF(E8="",0,E8*PREMIOS!F8)</f>
        <v>0</v>
      </c>
      <c r="G8" s="30">
        <f t="shared" si="1"/>
        <v>16965</v>
      </c>
      <c r="I8" s="217" t="s">
        <v>104</v>
      </c>
      <c r="J8" s="223">
        <f>SUM(IF(C21="",0,C21),IF(C22="",0,C22),IF(C23="",0,C23))</f>
        <v>29100</v>
      </c>
      <c r="K8" s="226">
        <f t="shared" ref="K8" si="4">D21+D22+D23</f>
        <v>3492</v>
      </c>
      <c r="L8" s="227">
        <f>F21+F22+F23</f>
        <v>12750</v>
      </c>
    </row>
    <row r="9" spans="1:12" x14ac:dyDescent="0.35">
      <c r="A9" s="28" t="str">
        <f>+Vendedor1!A9</f>
        <v>Nica 3pm</v>
      </c>
      <c r="B9" s="132">
        <f>IF(DigitaNICA!E2&lt;&gt;"",DigitaNICA!E2,"")</f>
        <v>96</v>
      </c>
      <c r="C9" s="29">
        <f>IF(DigitaNICA!E18&lt;&gt;"",DigitaNICA!E18,"")</f>
        <v>49550</v>
      </c>
      <c r="D9" s="42">
        <f>IF(C9="",0,C9*J$16)</f>
        <v>5946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43604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IF(DigitaTICA!E18&lt;&gt;"",DigitaTICA!E18,"")</f>
        <v>38250</v>
      </c>
      <c r="D11" s="42">
        <f>IF(C11="",0,C11*J$15)</f>
        <v>4590</v>
      </c>
      <c r="E11" s="29">
        <f>IF(DigitaTICA!F18&lt;&gt;"",DigitaTICA!F18,"")</f>
        <v>500</v>
      </c>
      <c r="F11" s="42">
        <f>IF(E11="",0,E11*PREMIOS!F11)</f>
        <v>42500</v>
      </c>
      <c r="G11" s="30">
        <f t="shared" si="1"/>
        <v>-8840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13850</v>
      </c>
      <c r="D12" s="42">
        <f>IF(C12="",0,C12*J$17)</f>
        <v>1385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12465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04</v>
      </c>
      <c r="C13" s="29">
        <f>IF(DigitaNICA!G18&lt;&gt;"",DigitaNICA!G18,"")</f>
        <v>41700</v>
      </c>
      <c r="D13" s="42">
        <f>IF(C13="",0,C13*J$16)</f>
        <v>5004</v>
      </c>
      <c r="E13" s="29">
        <f>IF(DigitaNICA!H18&lt;&gt;"",DigitaNICA!H18,"")</f>
        <v>800</v>
      </c>
      <c r="F13" s="42">
        <f>IF(E13="",0,E13*PREMIOS!F13)</f>
        <v>68000</v>
      </c>
      <c r="G13" s="30">
        <f>IF(OR(C13="",E13=""),0,C13-D13-F13)</f>
        <v>-31304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12</v>
      </c>
      <c r="C15" s="29">
        <f>IF(DigitaTICA!G18&lt;&gt;"",DigitaTICA!G18,"")</f>
        <v>55400</v>
      </c>
      <c r="D15" s="42">
        <f>IF(C15="",0,C15*J$15)</f>
        <v>6648</v>
      </c>
      <c r="E15" s="29">
        <f>IF(DigitaTICA!H18&lt;&gt;"",DigitaTICA!H18,"")</f>
        <v>600</v>
      </c>
      <c r="F15" s="42">
        <f>IF(E15="",0,E15*PREMIOS!F15)</f>
        <v>51000</v>
      </c>
      <c r="G15" s="30">
        <f t="shared" si="6"/>
        <v>-2248</v>
      </c>
      <c r="I15" s="76" t="s">
        <v>36</v>
      </c>
      <c r="J15" s="77">
        <v>0.12</v>
      </c>
      <c r="K15" s="78">
        <f>MROUND(D7+D11+D15,50)</f>
        <v>18650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22600</v>
      </c>
      <c r="D16" s="42">
        <f>IF(C16="",0,C16*J$17)</f>
        <v>2260</v>
      </c>
      <c r="E16" s="29">
        <f>IF(DigitaREVENTADO!H18&lt;&gt;"",DigitaREVENTADO!H18,"")</f>
        <v>400</v>
      </c>
      <c r="F16" s="42">
        <f>IF(E16="",0,E16*PREMIOS!F16)</f>
        <v>80000</v>
      </c>
      <c r="G16" s="30">
        <f t="shared" si="6"/>
        <v>-59660</v>
      </c>
      <c r="I16" s="63" t="s">
        <v>37</v>
      </c>
      <c r="J16" s="64">
        <v>0.12</v>
      </c>
      <c r="K16" s="30">
        <f>MROUND(D5+D9+D13+D17,50)</f>
        <v>21450</v>
      </c>
    </row>
    <row r="17" spans="1:11" x14ac:dyDescent="0.35">
      <c r="A17" s="28" t="str">
        <f>+Vendedor1!A17</f>
        <v>Nica 9pm</v>
      </c>
      <c r="B17" s="132">
        <f>IF(DigitaNICA!I2&lt;&gt;"",DigitaNICA!I2,"")</f>
        <v>45</v>
      </c>
      <c r="C17" s="29">
        <f>IF(DigitaNICA!I18&lt;&gt;"",DigitaNICA!I18,"")</f>
        <v>34550</v>
      </c>
      <c r="D17" s="42">
        <f>IF(C17="",0,C17*J$16)</f>
        <v>4146</v>
      </c>
      <c r="E17" s="29">
        <f>IF(DigitaNICA!J18&lt;&gt;"",DigitaNICA!J18,"")</f>
        <v>150</v>
      </c>
      <c r="F17" s="42">
        <f>IF(E17="",0,E17*PREMIOS!F17)</f>
        <v>12750</v>
      </c>
      <c r="G17" s="30">
        <f t="shared" si="6"/>
        <v>17654</v>
      </c>
      <c r="I17" s="63" t="s">
        <v>38</v>
      </c>
      <c r="J17" s="64">
        <v>0.1</v>
      </c>
      <c r="K17" s="30">
        <f>MROUND(D6+D8+D10+D12+D14+D16+D18,50)</f>
        <v>5550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12550</v>
      </c>
    </row>
    <row r="19" spans="1:11" x14ac:dyDescent="0.35">
      <c r="A19" s="28" t="s">
        <v>97</v>
      </c>
      <c r="B19" s="132">
        <f>IF(DigitaPRIMERA!C2&lt;&gt;"",DigitaPRIMERA!C2,"")</f>
        <v>55</v>
      </c>
      <c r="C19" s="29">
        <f>IF(DigitaPRIMERA!$C$18&lt;&gt;"",DigitaPRIMERA!$C$18,"")</f>
        <v>60650</v>
      </c>
      <c r="D19" s="42">
        <f>IF(C19="",0,C19*J$18)</f>
        <v>7278</v>
      </c>
      <c r="E19" s="29">
        <f>IF(DigitaPRIMERA!$D$18&lt;&gt;"",DigitaPRIMERA!$D$18,"")</f>
        <v>700</v>
      </c>
      <c r="F19" s="42">
        <f>IF(E19="",0,E19*PREMIOS!F19)</f>
        <v>59500</v>
      </c>
      <c r="G19" s="30">
        <f t="shared" si="6"/>
        <v>-6128</v>
      </c>
      <c r="I19" s="63" t="s">
        <v>104</v>
      </c>
      <c r="J19" s="64">
        <v>0.12</v>
      </c>
      <c r="K19" s="30">
        <f>MROUND(D21+D22+D23,50)</f>
        <v>3500</v>
      </c>
    </row>
    <row r="20" spans="1:11" x14ac:dyDescent="0.35">
      <c r="A20" s="28" t="s">
        <v>98</v>
      </c>
      <c r="B20" s="132">
        <f>IF(DigitaPRIMERA!E2&lt;&gt;"",DigitaPRIMERA!E2,"")</f>
        <v>73</v>
      </c>
      <c r="C20" s="29">
        <f>IF(DigitaPRIMERA!$E$18&lt;&gt;"",DigitaPRIMERA!$E$18,"")</f>
        <v>43850</v>
      </c>
      <c r="D20" s="42">
        <f>IF(C20="",0,C20*J$18)</f>
        <v>5262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25838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17</v>
      </c>
      <c r="C21" s="29">
        <f>IF(DigitaHONDURAS!$C$18&lt;&gt;"",DigitaHONDURAS!$C$18,"")</f>
        <v>19650</v>
      </c>
      <c r="D21" s="42">
        <f>IF(C21="",0,C21*J$19)</f>
        <v>2358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17292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IF(DigitaHONDURAS!$E$18&lt;&gt;"",DigitaHONDURAS!$E$18,"")</f>
        <v>1000</v>
      </c>
      <c r="D22" s="42">
        <f>IF(C22="",0,C22*J$19)</f>
        <v>120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880</v>
      </c>
    </row>
    <row r="23" spans="1:11" x14ac:dyDescent="0.35">
      <c r="A23" s="28" t="s">
        <v>101</v>
      </c>
      <c r="B23" s="132">
        <f>IF(DigitaHONDURAS!G2&lt;&gt;"",DigitaHONDURAS!G2,"")</f>
        <v>85</v>
      </c>
      <c r="C23" s="29">
        <f>IF(DigitaHONDURAS!$G$18&lt;&gt;"",DigitaHONDURAS!$G$18,"")</f>
        <v>8450</v>
      </c>
      <c r="D23" s="42">
        <f>IF(C23="",0,C23*J$19)</f>
        <v>1014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-5314</v>
      </c>
    </row>
    <row r="24" spans="1:11" x14ac:dyDescent="0.35">
      <c r="A24" s="28" t="s">
        <v>102</v>
      </c>
      <c r="B24" s="132">
        <f>IF(DigitaDOMINICANA!C2&lt;&gt;"",DigitaDOMINICANA!C2,"")</f>
        <v>51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28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522800</v>
      </c>
      <c r="D27" s="68">
        <f t="shared" ref="D27:G27" si="7">SUM(D5:D26)</f>
        <v>61630</v>
      </c>
      <c r="E27" s="68">
        <f t="shared" si="7"/>
        <v>4950</v>
      </c>
      <c r="F27" s="68">
        <f t="shared" si="7"/>
        <v>420000</v>
      </c>
      <c r="G27" s="88">
        <f t="shared" si="7"/>
        <v>41170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50</v>
      </c>
      <c r="D2" s="268"/>
      <c r="E2" s="267" t="str">
        <f>IF(PREMIOS!$B11="","",PREMIOS!$B11)</f>
        <v>02</v>
      </c>
      <c r="F2" s="268"/>
      <c r="G2" s="267">
        <f>IF(PREMIOS!$B15="","",PREMIOS!$B15)</f>
        <v>12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52000</v>
      </c>
      <c r="D4" s="78">
        <v>700</v>
      </c>
      <c r="E4" s="189">
        <v>24150</v>
      </c>
      <c r="F4" s="78">
        <f t="shared" ref="D4:H27" si="0">IF(E4="","",0)</f>
        <v>0</v>
      </c>
      <c r="G4" s="189">
        <v>75850</v>
      </c>
      <c r="H4" s="78">
        <v>600</v>
      </c>
      <c r="J4" s="42">
        <f t="shared" ref="J4:J8" si="1">+C4+E4+G4</f>
        <v>152000</v>
      </c>
      <c r="K4" s="42">
        <f>IF(D4="",0,IF(F4="",D4,IF(H4="",D4+F4,D4+F4+H4)))</f>
        <v>1300</v>
      </c>
    </row>
    <row r="5" spans="1:11" x14ac:dyDescent="0.35">
      <c r="A5" s="47">
        <v>2</v>
      </c>
      <c r="B5" s="178" t="str">
        <f>Vendedor2!$B$2</f>
        <v>PUESTO 2</v>
      </c>
      <c r="C5" s="180">
        <v>42400</v>
      </c>
      <c r="D5" s="30">
        <v>250</v>
      </c>
      <c r="E5" s="180">
        <v>38500</v>
      </c>
      <c r="F5" s="30">
        <f t="shared" si="0"/>
        <v>0</v>
      </c>
      <c r="G5" s="180">
        <v>78650</v>
      </c>
      <c r="H5" s="30">
        <v>1750</v>
      </c>
      <c r="J5" s="42">
        <f t="shared" si="1"/>
        <v>159550</v>
      </c>
      <c r="K5" s="42">
        <f t="shared" ref="K5:K27" si="2">IF(D5="",0,IF(F5="",D5,IF(H5="",D5+F5,D5+F5+H5)))</f>
        <v>2000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45700+192300</f>
        <v>238000</v>
      </c>
      <c r="D10" s="30">
        <f>250+4050</f>
        <v>4300</v>
      </c>
      <c r="E10" s="180">
        <f>33300+99300</f>
        <v>132600</v>
      </c>
      <c r="F10" s="30">
        <v>4000</v>
      </c>
      <c r="G10" s="180">
        <f>76500+137050</f>
        <v>213550</v>
      </c>
      <c r="H10" s="30">
        <f>2000+1350</f>
        <v>3350</v>
      </c>
      <c r="J10" s="42">
        <f t="shared" si="3"/>
        <v>584150</v>
      </c>
      <c r="K10" s="42">
        <f t="shared" si="2"/>
        <v>11650</v>
      </c>
    </row>
    <row r="11" spans="1:11" x14ac:dyDescent="0.35">
      <c r="A11" s="47">
        <v>8</v>
      </c>
      <c r="B11" s="178" t="str">
        <f>Vendedor8!$B$2</f>
        <v>ISA</v>
      </c>
      <c r="C11" s="180">
        <v>23000</v>
      </c>
      <c r="D11" s="30">
        <f t="shared" si="0"/>
        <v>0</v>
      </c>
      <c r="E11" s="180"/>
      <c r="F11" s="30" t="str">
        <f t="shared" si="0"/>
        <v/>
      </c>
      <c r="G11" s="180">
        <v>32700</v>
      </c>
      <c r="H11" s="30">
        <f t="shared" si="0"/>
        <v>0</v>
      </c>
      <c r="J11" s="42">
        <f t="shared" si="3"/>
        <v>55700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36000</v>
      </c>
      <c r="D12" s="30">
        <v>1750</v>
      </c>
      <c r="E12" s="180">
        <v>16350</v>
      </c>
      <c r="F12" s="30">
        <v>150</v>
      </c>
      <c r="G12" s="180">
        <v>9450</v>
      </c>
      <c r="H12" s="30">
        <v>650</v>
      </c>
      <c r="J12" s="42">
        <f t="shared" si="3"/>
        <v>61800</v>
      </c>
      <c r="K12" s="42">
        <f t="shared" si="2"/>
        <v>2550</v>
      </c>
    </row>
    <row r="13" spans="1:11" x14ac:dyDescent="0.35">
      <c r="A13" s="47">
        <v>10</v>
      </c>
      <c r="B13" s="178" t="str">
        <f>Vendedor10!$B$2</f>
        <v>MARIALIZ</v>
      </c>
      <c r="C13" s="180">
        <v>53450</v>
      </c>
      <c r="D13" s="30">
        <v>1050</v>
      </c>
      <c r="E13" s="180">
        <v>25300</v>
      </c>
      <c r="F13" s="30">
        <v>350</v>
      </c>
      <c r="G13" s="180">
        <v>67950</v>
      </c>
      <c r="H13" s="30">
        <v>1100</v>
      </c>
      <c r="J13" s="42">
        <f t="shared" si="3"/>
        <v>146700</v>
      </c>
      <c r="K13" s="42">
        <f t="shared" si="2"/>
        <v>2500</v>
      </c>
    </row>
    <row r="14" spans="1:11" x14ac:dyDescent="0.35">
      <c r="A14" s="47">
        <v>11</v>
      </c>
      <c r="B14" s="178" t="str">
        <f>Vendedor11!$B$2</f>
        <v>CHARLY</v>
      </c>
      <c r="C14" s="180">
        <v>27700</v>
      </c>
      <c r="D14" s="30">
        <v>5000</v>
      </c>
      <c r="E14" s="180">
        <v>25400</v>
      </c>
      <c r="F14" s="30">
        <f t="shared" si="0"/>
        <v>0</v>
      </c>
      <c r="G14" s="180">
        <v>25400</v>
      </c>
      <c r="H14" s="30">
        <f t="shared" si="0"/>
        <v>0</v>
      </c>
      <c r="J14" s="42">
        <f t="shared" si="3"/>
        <v>78500</v>
      </c>
      <c r="K14" s="42">
        <f t="shared" si="2"/>
        <v>5000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10900</v>
      </c>
      <c r="D16" s="30">
        <v>250</v>
      </c>
      <c r="E16" s="180">
        <v>8850</v>
      </c>
      <c r="F16" s="30">
        <v>250</v>
      </c>
      <c r="G16" s="180">
        <v>21300</v>
      </c>
      <c r="H16" s="30">
        <f t="shared" si="0"/>
        <v>0</v>
      </c>
      <c r="J16" s="42">
        <f t="shared" si="3"/>
        <v>41050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103850+30450</f>
        <v>134300</v>
      </c>
      <c r="D17" s="30">
        <f>4050+1150</f>
        <v>5200</v>
      </c>
      <c r="E17" s="180">
        <f>53950+7800</f>
        <v>61750</v>
      </c>
      <c r="F17" s="30">
        <f>450+0</f>
        <v>450</v>
      </c>
      <c r="G17" s="180">
        <f>160700+38500</f>
        <v>199200</v>
      </c>
      <c r="H17" s="30">
        <f>7600+150</f>
        <v>7750</v>
      </c>
      <c r="J17" s="42">
        <f t="shared" si="3"/>
        <v>395250</v>
      </c>
      <c r="K17" s="42">
        <f t="shared" si="2"/>
        <v>13400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40900+20750</f>
        <v>61650</v>
      </c>
      <c r="D18" s="30">
        <f>300+250</f>
        <v>550</v>
      </c>
      <c r="E18" s="180">
        <f>21100+17150</f>
        <v>38250</v>
      </c>
      <c r="F18" s="30">
        <f>200+300</f>
        <v>500</v>
      </c>
      <c r="G18" s="180">
        <f>31300+24100</f>
        <v>55400</v>
      </c>
      <c r="H18" s="30">
        <f>200+400</f>
        <v>600</v>
      </c>
      <c r="J18" s="42">
        <f t="shared" si="3"/>
        <v>155300</v>
      </c>
      <c r="K18" s="42">
        <f t="shared" si="2"/>
        <v>1650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679400</v>
      </c>
      <c r="D32" s="44">
        <f t="shared" si="6"/>
        <v>19050</v>
      </c>
      <c r="E32" s="43">
        <f t="shared" si="6"/>
        <v>371150</v>
      </c>
      <c r="F32" s="44">
        <f t="shared" si="6"/>
        <v>5700</v>
      </c>
      <c r="G32" s="43">
        <f t="shared" si="6"/>
        <v>779450</v>
      </c>
      <c r="H32" s="44">
        <f t="shared" si="6"/>
        <v>15800</v>
      </c>
      <c r="J32" s="95">
        <f>SUM(J4:J31)</f>
        <v>1830000</v>
      </c>
      <c r="K32" s="95"/>
    </row>
    <row r="33" spans="2:8" x14ac:dyDescent="0.35">
      <c r="D33" s="99">
        <f>+D32*85</f>
        <v>1619250</v>
      </c>
      <c r="F33" s="99">
        <f>+F32*85</f>
        <v>484500</v>
      </c>
      <c r="H33" s="99">
        <f>+H32*85</f>
        <v>1343000</v>
      </c>
    </row>
    <row r="34" spans="2:8" x14ac:dyDescent="0.35">
      <c r="B34" s="247" t="s">
        <v>149</v>
      </c>
      <c r="C34" s="43">
        <f t="shared" ref="C34:H34" si="7">+C4+C5+C6+C8+C13</f>
        <v>147850</v>
      </c>
      <c r="D34" s="43" t="e">
        <f t="shared" si="7"/>
        <v>#VALUE!</v>
      </c>
      <c r="E34" s="43">
        <f t="shared" si="7"/>
        <v>87950</v>
      </c>
      <c r="F34" s="43" t="e">
        <f t="shared" si="7"/>
        <v>#VALUE!</v>
      </c>
      <c r="G34" s="43">
        <f t="shared" si="7"/>
        <v>222450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246650</v>
      </c>
      <c r="D35" s="43" t="e">
        <f t="shared" ref="D35:H35" si="8">+D11+D14+D15+D17+D18</f>
        <v>#VALUE!</v>
      </c>
      <c r="E35" s="43">
        <f t="shared" si="8"/>
        <v>125400</v>
      </c>
      <c r="F35" s="43" t="e">
        <f t="shared" si="8"/>
        <v>#VALUE!</v>
      </c>
      <c r="G35" s="43">
        <f t="shared" si="8"/>
        <v>312700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274000</v>
      </c>
      <c r="D36" s="43" t="e">
        <f t="shared" ref="D36:H36" si="9">+D10+D12+D27</f>
        <v>#VALUE!</v>
      </c>
      <c r="E36" s="43">
        <f t="shared" si="9"/>
        <v>148950</v>
      </c>
      <c r="F36" s="43" t="e">
        <f t="shared" si="9"/>
        <v>#VALUE!</v>
      </c>
      <c r="G36" s="43">
        <f t="shared" si="9"/>
        <v>223000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17</v>
      </c>
      <c r="D2" s="268"/>
      <c r="E2" s="267">
        <f>IF(PREMIOS!$B9="","",PREMIOS!$B9)</f>
        <v>96</v>
      </c>
      <c r="F2" s="268"/>
      <c r="G2" s="267" t="str">
        <f>IF(PREMIOS!$B13="","",PREMIOS!$B13)</f>
        <v>04</v>
      </c>
      <c r="H2" s="268"/>
      <c r="I2" s="267">
        <f>IF(PREMIOS!$B17="","",PREMIOS!$B17)</f>
        <v>45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17400</v>
      </c>
      <c r="D4" s="78">
        <f t="shared" ref="D4:J27" si="0">IF(C4="","",0)</f>
        <v>0</v>
      </c>
      <c r="E4" s="206">
        <v>10700</v>
      </c>
      <c r="F4" s="78">
        <f t="shared" si="0"/>
        <v>0</v>
      </c>
      <c r="G4" s="189">
        <v>900</v>
      </c>
      <c r="H4" s="78">
        <f t="shared" ref="H4:H27" si="1">IF(G4="","",0)</f>
        <v>0</v>
      </c>
      <c r="I4" s="189"/>
      <c r="J4" s="78" t="str">
        <f t="shared" si="0"/>
        <v/>
      </c>
      <c r="L4" s="42">
        <f t="shared" ref="L4:L8" si="2">+C4+E4+G4+I4</f>
        <v>29000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21650</v>
      </c>
      <c r="D5" s="30">
        <v>1500</v>
      </c>
      <c r="E5" s="207">
        <v>7800</v>
      </c>
      <c r="F5" s="30">
        <f t="shared" si="0"/>
        <v>0</v>
      </c>
      <c r="G5" s="180">
        <v>2650</v>
      </c>
      <c r="H5" s="30">
        <f t="shared" si="1"/>
        <v>0</v>
      </c>
      <c r="I5" s="180">
        <v>4200</v>
      </c>
      <c r="J5" s="30">
        <f t="shared" ref="J5:J27" si="3">IF(I5="","",0)</f>
        <v>0</v>
      </c>
      <c r="L5" s="42">
        <f t="shared" si="2"/>
        <v>36300</v>
      </c>
      <c r="M5" s="42">
        <f t="shared" ref="M5:M27" si="4">IF(D5=0,0,IF(F5="",D5,IF(H5="",D5+F5,IF(J5="",D5+F5+H5,D5+F5+H5+J5))))</f>
        <v>1500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37050+86750</f>
        <v>123800</v>
      </c>
      <c r="D10" s="30">
        <v>1050</v>
      </c>
      <c r="E10" s="207">
        <f>33300+60200</f>
        <v>93500</v>
      </c>
      <c r="F10" s="30">
        <v>100</v>
      </c>
      <c r="G10" s="180">
        <f>21900+31200</f>
        <v>53100</v>
      </c>
      <c r="H10" s="30">
        <f>3500+400</f>
        <v>3900</v>
      </c>
      <c r="I10" s="180">
        <f>64400+97900</f>
        <v>162300</v>
      </c>
      <c r="J10" s="30">
        <v>50</v>
      </c>
      <c r="L10" s="42">
        <f t="shared" si="5"/>
        <v>432700</v>
      </c>
      <c r="M10" s="42">
        <f t="shared" si="4"/>
        <v>5100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28550</v>
      </c>
      <c r="D12" s="30">
        <f t="shared" si="0"/>
        <v>0</v>
      </c>
      <c r="E12" s="207">
        <v>10100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38650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34650</v>
      </c>
      <c r="D13" s="30">
        <f t="shared" si="0"/>
        <v>0</v>
      </c>
      <c r="E13" s="207">
        <v>26550</v>
      </c>
      <c r="F13" s="30">
        <f t="shared" si="0"/>
        <v>0</v>
      </c>
      <c r="G13" s="180">
        <v>30650</v>
      </c>
      <c r="H13" s="30">
        <f t="shared" si="0"/>
        <v>0</v>
      </c>
      <c r="I13" s="180">
        <v>1500</v>
      </c>
      <c r="J13" s="30">
        <f t="shared" si="0"/>
        <v>0</v>
      </c>
      <c r="L13" s="42">
        <f t="shared" si="5"/>
        <v>93350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3600</v>
      </c>
      <c r="D16" s="30">
        <f t="shared" si="0"/>
        <v>0</v>
      </c>
      <c r="E16" s="207">
        <v>5000</v>
      </c>
      <c r="F16" s="30">
        <f t="shared" si="0"/>
        <v>0</v>
      </c>
      <c r="G16" s="180"/>
      <c r="H16" s="30" t="str">
        <f t="shared" si="0"/>
        <v/>
      </c>
      <c r="I16" s="180">
        <v>5250</v>
      </c>
      <c r="J16" s="30">
        <f t="shared" si="0"/>
        <v>0</v>
      </c>
      <c r="L16" s="42">
        <f t="shared" si="5"/>
        <v>13850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86700</v>
      </c>
      <c r="D17" s="30">
        <v>650</v>
      </c>
      <c r="E17" s="207">
        <v>110250</v>
      </c>
      <c r="F17" s="30">
        <v>100</v>
      </c>
      <c r="G17" s="180">
        <v>63000</v>
      </c>
      <c r="H17" s="30">
        <v>500</v>
      </c>
      <c r="I17" s="180">
        <v>171750</v>
      </c>
      <c r="J17" s="30">
        <v>750</v>
      </c>
      <c r="L17" s="42">
        <f t="shared" si="5"/>
        <v>431700</v>
      </c>
      <c r="M17" s="42">
        <f t="shared" si="4"/>
        <v>2000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52800</v>
      </c>
      <c r="D18" s="30">
        <v>400</v>
      </c>
      <c r="E18" s="207">
        <v>49550</v>
      </c>
      <c r="F18" s="30">
        <f t="shared" si="0"/>
        <v>0</v>
      </c>
      <c r="G18" s="180">
        <v>41700</v>
      </c>
      <c r="H18" s="30">
        <v>800</v>
      </c>
      <c r="I18" s="180">
        <v>34550</v>
      </c>
      <c r="J18" s="30">
        <v>150</v>
      </c>
      <c r="L18" s="42">
        <f t="shared" si="5"/>
        <v>178600</v>
      </c>
      <c r="M18" s="42">
        <f t="shared" si="4"/>
        <v>1350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369150</v>
      </c>
      <c r="D32" s="44">
        <f t="shared" si="7"/>
        <v>3600</v>
      </c>
      <c r="E32" s="43">
        <f t="shared" si="7"/>
        <v>313450</v>
      </c>
      <c r="F32" s="44">
        <f t="shared" si="7"/>
        <v>200</v>
      </c>
      <c r="G32" s="43">
        <f t="shared" si="7"/>
        <v>192000</v>
      </c>
      <c r="H32" s="44">
        <f t="shared" si="7"/>
        <v>5200</v>
      </c>
      <c r="I32" s="43">
        <f t="shared" si="7"/>
        <v>379550</v>
      </c>
      <c r="J32" s="44">
        <f t="shared" si="7"/>
        <v>950</v>
      </c>
      <c r="L32" s="95">
        <f>SUM(L9:L31)</f>
        <v>1188850</v>
      </c>
      <c r="M32" s="95">
        <f>SUM(M9:M31)</f>
        <v>8450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50 Blanca</v>
      </c>
      <c r="D2" s="268"/>
      <c r="E2" s="267" t="str">
        <f>IF(E33=0,"",CONCATENATE(PREMIOS!$B11," ",PREMIOS!$B12))</f>
        <v>02 Blanca</v>
      </c>
      <c r="F2" s="268"/>
      <c r="G2" s="267" t="str">
        <f>IF(G33=0,"",CONCATENATE(PREMIOS!$B15," ",PREMIOS!$B16))</f>
        <v>12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18200+11550</f>
        <v>29750</v>
      </c>
      <c r="D10" s="30">
        <v>300</v>
      </c>
      <c r="E10" s="180">
        <f>17700+9800</f>
        <v>27500</v>
      </c>
      <c r="F10" s="30">
        <f t="shared" si="0"/>
        <v>0</v>
      </c>
      <c r="G10" s="180">
        <f>33000+12400</f>
        <v>45400</v>
      </c>
      <c r="H10" s="30">
        <f>1000+0</f>
        <v>1000</v>
      </c>
      <c r="J10" s="42">
        <f t="shared" si="3"/>
        <v>102650</v>
      </c>
      <c r="K10" s="42">
        <f t="shared" si="4"/>
        <v>1300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2100</v>
      </c>
      <c r="D12" s="30">
        <v>200</v>
      </c>
      <c r="E12" s="180">
        <v>900</v>
      </c>
      <c r="F12" s="30">
        <f t="shared" si="1"/>
        <v>0</v>
      </c>
      <c r="G12" s="180">
        <v>1600</v>
      </c>
      <c r="H12" s="30">
        <f t="shared" si="0"/>
        <v>0</v>
      </c>
      <c r="J12" s="42">
        <f t="shared" si="3"/>
        <v>4600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23850</v>
      </c>
      <c r="D17" s="30">
        <v>1150</v>
      </c>
      <c r="E17" s="180">
        <v>7300</v>
      </c>
      <c r="F17" s="30">
        <f t="shared" si="0"/>
        <v>0</v>
      </c>
      <c r="G17" s="180">
        <v>37150</v>
      </c>
      <c r="H17" s="30">
        <v>150</v>
      </c>
      <c r="J17" s="42">
        <f t="shared" si="3"/>
        <v>68300</v>
      </c>
      <c r="K17" s="42">
        <f t="shared" si="4"/>
        <v>1300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18850</v>
      </c>
      <c r="D18" s="30">
        <v>250</v>
      </c>
      <c r="E18" s="180">
        <v>13850</v>
      </c>
      <c r="F18" s="30">
        <v>300</v>
      </c>
      <c r="G18" s="180">
        <v>22600</v>
      </c>
      <c r="H18" s="30">
        <v>400</v>
      </c>
      <c r="J18" s="42">
        <f t="shared" si="3"/>
        <v>55300</v>
      </c>
      <c r="K18" s="42">
        <f t="shared" si="4"/>
        <v>950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74550</v>
      </c>
      <c r="D33" s="44">
        <f t="shared" si="7"/>
        <v>1900</v>
      </c>
      <c r="E33" s="43">
        <f t="shared" si="7"/>
        <v>49550</v>
      </c>
      <c r="F33" s="44">
        <f t="shared" si="7"/>
        <v>300</v>
      </c>
      <c r="G33" s="43">
        <f t="shared" si="7"/>
        <v>107750</v>
      </c>
      <c r="H33" s="44">
        <f t="shared" si="7"/>
        <v>1550</v>
      </c>
      <c r="J33" s="45">
        <f>SUM(J4:J32)</f>
        <v>231850</v>
      </c>
      <c r="K33" s="95">
        <f>SUM(K4:K32)</f>
        <v>3750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55</v>
      </c>
      <c r="D2" s="268"/>
      <c r="E2" s="267">
        <f>IF(PREMIOS!$C19="","",PREMIOS!$C19)</f>
        <v>73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8200</v>
      </c>
      <c r="D4" s="78">
        <f t="shared" ref="D4:F27" si="0">IF(C4="","",0)</f>
        <v>0</v>
      </c>
      <c r="E4" s="189">
        <v>2500</v>
      </c>
      <c r="F4" s="78">
        <f t="shared" si="0"/>
        <v>0</v>
      </c>
      <c r="H4" s="42">
        <f>+C4+E4</f>
        <v>10700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1900</v>
      </c>
      <c r="D5" s="30">
        <f t="shared" si="0"/>
        <v>0</v>
      </c>
      <c r="E5" s="180">
        <v>1400</v>
      </c>
      <c r="F5" s="30">
        <f t="shared" ref="F5:F27" si="1">IF(E5="","",0)</f>
        <v>0</v>
      </c>
      <c r="H5" s="42">
        <f t="shared" ref="H5:H32" si="2">+C5+E5</f>
        <v>3300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1000+49600</f>
        <v>50600</v>
      </c>
      <c r="D10" s="30">
        <v>800</v>
      </c>
      <c r="E10" s="180">
        <v>28000</v>
      </c>
      <c r="F10" s="195">
        <f t="shared" si="1"/>
        <v>0</v>
      </c>
      <c r="H10" s="42">
        <f t="shared" si="2"/>
        <v>78600</v>
      </c>
      <c r="I10" s="42">
        <f t="shared" si="3"/>
        <v>800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33600</v>
      </c>
      <c r="D12" s="30">
        <v>150</v>
      </c>
      <c r="E12" s="194"/>
      <c r="F12" s="30" t="str">
        <f t="shared" si="0"/>
        <v/>
      </c>
      <c r="H12" s="42">
        <f t="shared" si="2"/>
        <v>33600</v>
      </c>
      <c r="I12" s="42">
        <f t="shared" si="3"/>
        <v>150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60500</v>
      </c>
      <c r="D17" s="195">
        <v>700</v>
      </c>
      <c r="E17" s="180">
        <v>29350</v>
      </c>
      <c r="F17" s="30">
        <f t="shared" si="0"/>
        <v>0</v>
      </c>
      <c r="H17" s="42">
        <f t="shared" si="2"/>
        <v>89850</v>
      </c>
      <c r="I17" s="42">
        <f t="shared" si="3"/>
        <v>700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60650</v>
      </c>
      <c r="D18" s="195">
        <v>700</v>
      </c>
      <c r="E18" s="180">
        <v>43850</v>
      </c>
      <c r="F18" s="30">
        <v>150</v>
      </c>
      <c r="H18" s="42">
        <f t="shared" si="2"/>
        <v>104500</v>
      </c>
      <c r="I18" s="42">
        <f t="shared" si="3"/>
        <v>850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215450</v>
      </c>
      <c r="D33" s="44">
        <f>SUM(D4:D32)</f>
        <v>2350</v>
      </c>
      <c r="E33" s="43">
        <f>SUM(E4:E32)</f>
        <v>105100</v>
      </c>
      <c r="F33" s="44">
        <f>SUM(F4:F32)</f>
        <v>150</v>
      </c>
      <c r="H33" s="95">
        <f>SUM(H4:H32)</f>
        <v>320550</v>
      </c>
      <c r="I33" s="95">
        <f>SUM(I4:I32)</f>
        <v>2500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17</v>
      </c>
      <c r="D2" s="268"/>
      <c r="E2" s="267">
        <f>IF(PREMIOS!$C20="","",PREMIOS!$C20)</f>
        <v>13</v>
      </c>
      <c r="F2" s="268"/>
      <c r="G2" s="267">
        <f>IF(PREMIOS!$D20="","",PREMIOS!$D20)</f>
        <v>85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42800</v>
      </c>
      <c r="D10" s="195">
        <f t="shared" si="0"/>
        <v>0</v>
      </c>
      <c r="E10" s="180">
        <f>2000+31100</f>
        <v>33100</v>
      </c>
      <c r="F10" s="30">
        <f t="shared" si="0"/>
        <v>0</v>
      </c>
      <c r="G10" s="180">
        <f>3000+15800</f>
        <v>18800</v>
      </c>
      <c r="H10" s="195">
        <f t="shared" si="0"/>
        <v>0</v>
      </c>
      <c r="J10" s="42">
        <f t="shared" si="3"/>
        <v>94700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35300</v>
      </c>
      <c r="D17" s="195">
        <v>250</v>
      </c>
      <c r="E17" s="194">
        <v>9150</v>
      </c>
      <c r="F17" s="195">
        <f t="shared" si="0"/>
        <v>0</v>
      </c>
      <c r="G17" s="194">
        <v>13700</v>
      </c>
      <c r="H17" s="195">
        <f t="shared" si="2"/>
        <v>0</v>
      </c>
      <c r="J17" s="42">
        <f t="shared" si="3"/>
        <v>58150</v>
      </c>
      <c r="K17" s="42">
        <f t="shared" si="4"/>
        <v>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19650</v>
      </c>
      <c r="D18" s="195">
        <f t="shared" si="0"/>
        <v>0</v>
      </c>
      <c r="E18" s="180">
        <v>1000</v>
      </c>
      <c r="F18" s="30">
        <f t="shared" si="1"/>
        <v>0</v>
      </c>
      <c r="G18" s="180">
        <v>8450</v>
      </c>
      <c r="H18" s="30">
        <v>150</v>
      </c>
      <c r="J18" s="42">
        <f t="shared" si="3"/>
        <v>29100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97750</v>
      </c>
      <c r="D33" s="44">
        <f t="shared" si="6"/>
        <v>250</v>
      </c>
      <c r="E33" s="43">
        <f t="shared" si="6"/>
        <v>43250</v>
      </c>
      <c r="F33" s="44">
        <f t="shared" si="6"/>
        <v>0</v>
      </c>
      <c r="G33" s="43">
        <f t="shared" si="6"/>
        <v>40950</v>
      </c>
      <c r="H33" s="44">
        <f t="shared" si="6"/>
        <v>150</v>
      </c>
      <c r="J33" s="45">
        <f>SUM(J4:J32)</f>
        <v>181950</v>
      </c>
      <c r="K33" s="95">
        <f>SUM(K4:K32)</f>
        <v>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51</v>
      </c>
      <c r="D2" s="268"/>
      <c r="E2" s="267">
        <f>IF(PREMIOS!$C21="","",PREMIOS!$C21)</f>
        <v>27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29000</v>
      </c>
      <c r="D10" s="30">
        <f t="shared" si="0"/>
        <v>0</v>
      </c>
      <c r="E10" s="180">
        <v>38000</v>
      </c>
      <c r="F10" s="30">
        <f t="shared" si="0"/>
        <v>0</v>
      </c>
      <c r="H10" s="42">
        <f t="shared" si="2"/>
        <v>67000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29000</v>
      </c>
      <c r="D33" s="44">
        <f>SUM(D4:D32)</f>
        <v>0</v>
      </c>
      <c r="E33" s="43">
        <f>SUM(E4:E32)</f>
        <v>38000</v>
      </c>
      <c r="F33" s="44">
        <f>SUM(F4:F32)</f>
        <v>0</v>
      </c>
      <c r="H33" s="45">
        <f>SUM(H4:H32)</f>
        <v>67000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D10" sqref="D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28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300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300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2026-04-17T16:36:45Z</dcterms:modified>
  <dc:language>es-CR</dc:language>
</cp:coreProperties>
</file>
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85" documentId="11_82B06797DA2FF74252225B8FDA0BE65E9FB74B7E" xr6:coauthVersionLast="47" xr6:coauthVersionMax="47" xr10:uidLastSave="{1C0964F6-4F28-459E-B3AF-2EB131855C6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G10" i="62"/>
  <c r="E10" i="62"/>
  <c r="J10" i="61"/>
  <c r="I10" i="61"/>
  <c r="H10" i="61"/>
  <c r="G10" i="61"/>
  <c r="G10" i="60"/>
  <c r="E10" i="60"/>
  <c r="H17" i="60"/>
  <c r="G17" i="60"/>
  <c r="G18" i="60"/>
  <c r="F17" i="60"/>
  <c r="E17" i="60"/>
  <c r="F18" i="60"/>
  <c r="E18" i="60"/>
  <c r="C10" i="62"/>
  <c r="E10" i="61"/>
  <c r="D10" i="60"/>
  <c r="C10" i="60"/>
  <c r="D17" i="60"/>
  <c r="C17" i="60"/>
  <c r="D18" i="60"/>
  <c r="C18" i="60"/>
  <c r="D10" i="61" l="1"/>
  <c r="C10" i="61"/>
  <c r="C10" i="64"/>
  <c r="C10" i="65"/>
  <c r="D18" i="64" l="1"/>
  <c r="D18" i="65"/>
  <c r="D11" i="65"/>
  <c r="D18" i="61"/>
  <c r="D9" i="61"/>
  <c r="D22" i="15"/>
  <c r="C23" i="15"/>
  <c r="G16" i="71" s="1"/>
  <c r="C22" i="15"/>
  <c r="E16" i="71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3" i="15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6" i="60"/>
  <c r="D11" i="60"/>
  <c r="E7" i="16" s="1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8" i="65"/>
  <c r="F10" i="62"/>
  <c r="D5" i="61"/>
  <c r="F16" i="61"/>
  <c r="J17" i="61"/>
  <c r="D6" i="60"/>
  <c r="F16" i="60"/>
  <c r="F15" i="60"/>
  <c r="F14" i="60"/>
  <c r="F13" i="60"/>
  <c r="F12" i="60"/>
  <c r="F11" i="60"/>
  <c r="F9" i="60"/>
  <c r="F7" i="60"/>
  <c r="F6" i="60"/>
  <c r="F5" i="60"/>
  <c r="H16" i="60"/>
  <c r="H15" i="60"/>
  <c r="H14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5" i="60" l="1"/>
  <c r="H34" i="60"/>
  <c r="F34" i="60"/>
  <c r="D35" i="60"/>
  <c r="D34" i="60"/>
  <c r="J8" i="14"/>
  <c r="D21" i="14"/>
  <c r="C12" i="71"/>
  <c r="D22" i="14"/>
  <c r="G12" i="71"/>
  <c r="E19" i="16"/>
  <c r="D4" i="65"/>
  <c r="D20" i="16"/>
  <c r="F18" i="64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I12" i="66" s="1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1" i="66"/>
  <c r="I9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M5" i="6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31" i="71"/>
  <c r="D18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K20" i="21"/>
  <c r="K10" i="21"/>
  <c r="N27" i="72"/>
  <c r="K21" i="19"/>
  <c r="K10" i="19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5" i="23" l="1"/>
  <c r="F17" i="52"/>
  <c r="F12" i="8"/>
  <c r="M24" i="52"/>
  <c r="M26" i="52"/>
  <c r="L4" i="23"/>
  <c r="J5" i="23"/>
  <c r="M23" i="52"/>
  <c r="C24" i="15"/>
  <c r="J5" i="19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K6" i="23"/>
  <c r="E32" i="60"/>
  <c r="J32" i="61"/>
  <c r="D32" i="61"/>
  <c r="K4" i="23"/>
  <c r="F24" i="15"/>
  <c r="G32" i="60"/>
  <c r="L19" i="71"/>
  <c r="M19" i="71" s="1"/>
  <c r="H32" i="60"/>
  <c r="K5" i="23"/>
  <c r="J19" i="70"/>
  <c r="K19" i="70" s="1"/>
  <c r="K5" i="19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6" i="52"/>
  <c r="K6" i="25"/>
  <c r="M7" i="52"/>
  <c r="K6" i="22"/>
  <c r="M4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3" i="58"/>
  <c r="P25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3" i="52"/>
  <c r="C22" i="1" s="1"/>
  <c r="B22" i="1"/>
  <c r="K4" i="52"/>
  <c r="C3" i="1" s="1"/>
  <c r="B3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<sst xmlns="http://schemas.openxmlformats.org/spreadsheetml/2006/main" count="1294" uniqueCount="161">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</sst>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233850</v>
      </c>
      <c r="C3" s="9">
        <f>+HojaTICA!K4+HojaNICA!M4+HojaREVENTADO!K4+HojaPrimera!I4+HojaHonduras!K4+HojaDominicana!I4+HojaPANA!G4</f>
        <v>30400</v>
      </c>
      <c r="D3" s="9">
        <f>+HojaTICA!N4+HojaNICA!P4+HojaREVENTADO!O4+HojaPrimera!L4+HojaHonduras!N4+HojaDominicana!L4+HojaPANA!J4</f>
        <v>101000</v>
      </c>
      <c r="F3" s="10">
        <f t="shared" ref="F3:F27" si="0">+B3-C3-D3</f>
        <v>102450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202950</v>
      </c>
      <c r="C4" s="9">
        <f>+HojaTICA!K5+HojaNICA!M5+HojaREVENTADO!K5+HojaPrimera!I5+HojaHonduras!K5+HojaDominicana!I5+HojaPANA!G5</f>
        <v>26400</v>
      </c>
      <c r="D4" s="9">
        <f>+HojaTICA!N5+HojaNICA!P5+HojaREVENTADO!O5+HojaPrimera!L5+HojaHonduras!N5+HojaDominicana!L5+HojaPANA!J5</f>
        <v>62500</v>
      </c>
      <c r="F4" s="14">
        <f t="shared" si="0"/>
        <v>114050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261800</v>
      </c>
      <c r="C7" s="9">
        <f>+HojaTICA!K8+HojaNICA!M8+HojaREVENTADO!K8+HojaPrimera!I8+HojaHonduras!K8+HojaDominicana!I8+HojaPANA!G8</f>
        <v>31450</v>
      </c>
      <c r="D7" s="9">
        <f>+HojaTICA!N8+HojaNICA!P8+HojaREVENTADO!O8+HojaPrimera!L8+HojaHonduras!N8+HojaDominicana!L8+HojaPANA!J8</f>
        <v>238000</v>
      </c>
      <c r="F7" s="14">
        <f t="shared" si="0"/>
        <v>-7650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1328050</v>
      </c>
      <c r="C9" s="9">
        <f>+HojaTICA!K10+HojaNICA!M10+HojaREVENTADO!K10+HojaPrimera!I10+HojaHonduras!K10+HojaDominicana!I10+HojaPANA!G10</f>
        <v>157595</v>
      </c>
      <c r="D9" s="9">
        <f>+HojaTICA!N10+HojaNICA!P10+HojaREVENTADO!O10+HojaPrimera!L10+HojaHonduras!N10+HojaDominicana!L10+HojaPANA!J10</f>
        <v>718250</v>
      </c>
      <c r="F9" s="14">
        <f t="shared" si="0"/>
        <v>452205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42900</v>
      </c>
      <c r="C10" s="9">
        <f>+HojaTICA!K11+HojaNICA!M11+HojaREVENTADO!K11+HojaPrimera!I11+HojaHonduras!K11+HojaDominicana!I11+HojaPANA!G11</f>
        <v>5150</v>
      </c>
      <c r="D10" s="9">
        <f>+HojaTICA!N11+HojaNICA!P11+HojaREVENTADO!O11+HojaPrimera!L11+HojaHonduras!N11+HojaDominicana!L11+HojaPANA!J11</f>
        <v>42500</v>
      </c>
      <c r="F10" s="14">
        <f t="shared" si="0"/>
        <v>-4750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190950</v>
      </c>
      <c r="C11" s="9">
        <f>+HojaTICA!K12+HojaNICA!M12+HojaREVENTADO!K12+HojaPrimera!I12+HojaHonduras!K12+HojaDominicana!I12+HojaPANA!G12</f>
        <v>22865</v>
      </c>
      <c r="D11" s="9">
        <f>+HojaTICA!N12+HojaNICA!P12+HojaREVENTADO!O12+HojaPrimera!L12+HojaHonduras!N12+HojaDominicana!L12+HojaPANA!J12</f>
        <v>297500</v>
      </c>
      <c r="F11" s="14">
        <f t="shared" si="0"/>
        <v>-129415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133500</v>
      </c>
      <c r="C12" s="9">
        <f>+HojaTICA!K13+HojaNICA!M13+HojaREVENTADO!K13+HojaPrimera!I13+HojaHonduras!K13+HojaDominicana!I13+HojaPANA!G13</f>
        <v>16050</v>
      </c>
      <c r="D12" s="9">
        <f>+HojaTICA!N13+HojaNICA!P13+HojaREVENTADO!O13+HojaPrimera!L13+HojaHonduras!N13+HojaDominicana!L13+HojaPANA!J13</f>
        <v>51000</v>
      </c>
      <c r="F12" s="14">
        <f t="shared" si="0"/>
        <v>66450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109100</v>
      </c>
      <c r="C13" s="9">
        <f>+HojaTICA!K14+HojaNICA!M14+HojaREVENTADO!K14+HojaPrimera!I14+HojaHonduras!K14+HojaDominicana!I14+HojaPANA!G14</f>
        <v>16350</v>
      </c>
      <c r="D13" s="9">
        <f>+HojaTICA!N14+HojaNICA!P14+HojaREVENTADO!O14+HojaPrimera!L14+HojaHonduras!N14+HojaDominicana!L14+HojaPANA!J14</f>
        <v>0</v>
      </c>
      <c r="F13" s="14">
        <f t="shared" si="0"/>
        <v>92750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68450</v>
      </c>
      <c r="C15" s="9">
        <f>+HojaTICA!K16+HojaNICA!M16+HojaREVENTADO!K16+HojaPrimera!I16+HojaHonduras!K16+HojaDominicana!I16+HojaPANA!G16</f>
        <v>8200</v>
      </c>
      <c r="D15" s="9">
        <f>+HojaTICA!N16+HojaNICA!P16+HojaREVENTADO!O16+HojaPrimera!L16+HojaHonduras!N16+HojaDominicana!L16+HojaPANA!J16</f>
        <v>0</v>
      </c>
      <c r="F15" s="14">
        <f t="shared" si="0"/>
        <v>60250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938250</v>
      </c>
      <c r="C16" s="9">
        <f>+HojaTICA!K17+HojaNICA!M17+HojaREVENTADO!K17+HojaPrimera!I17+HojaHonduras!K17+HojaDominicana!I17+HojaPANA!G17</f>
        <v>111470</v>
      </c>
      <c r="D16" s="9">
        <f>+HojaTICA!N17+HojaNICA!P17+HojaREVENTADO!O17+HojaPrimera!L17+HojaHonduras!N17+HojaDominicana!L17+HojaPANA!J17</f>
        <v>509250</v>
      </c>
      <c r="F16" s="14">
        <f t="shared" si="0"/>
        <v>317530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435100</v>
      </c>
      <c r="C17" s="9">
        <f>+HojaTICA!K18+HojaNICA!M18+HojaREVENTADO!K18+HojaPrimera!I18+HojaHonduras!K18+HojaDominicana!I18+HojaPANA!G18</f>
        <v>51420</v>
      </c>
      <c r="D17" s="9">
        <f>+HojaTICA!N18+HojaNICA!P18+HojaREVENTADO!O18+HojaPrimera!L18+HojaHonduras!N18+HojaDominicana!L18+HojaPANA!J18</f>
        <v>620500</v>
      </c>
      <c r="F17" s="14">
        <f t="shared" si="0"/>
        <v>-236820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3944900</v>
      </c>
      <c r="C28" s="17">
        <f t="shared" si="1"/>
        <v>477350</v>
      </c>
      <c r="D28" s="18">
        <f t="shared" si="1"/>
        <v>2640500</v>
      </c>
      <c r="F28" s="20">
        <f>SUM(F3:F27)</f>
        <v>827050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41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39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39</v>
      </c>
      <c r="C20" s="163">
        <v>26</v>
      </c>
      <c r="D20" s="166">
        <v>91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61</v>
      </c>
      <c r="C21" s="164">
        <v>37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26</v>
      </c>
      <c r="D2" s="268"/>
      <c r="E2" s="267">
        <f>DigitaTICA!E2</f>
        <v>68</v>
      </c>
      <c r="F2" s="268"/>
      <c r="G2" s="267">
        <f>DigitaTICA!G2</f>
        <v>62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43950</v>
      </c>
      <c r="D4" s="30">
        <f>IF(Vendedor1!$E$7="",0,Vendedor1!$E$7)</f>
        <v>0</v>
      </c>
      <c r="E4" s="180">
        <f>IF(Vendedor1!$C$11="",0,Vendedor1!$C$11)</f>
        <v>33200</v>
      </c>
      <c r="F4" s="30">
        <f>IF(Vendedor1!$E$11="",0,Vendedor1!$E$11)</f>
        <v>500</v>
      </c>
      <c r="G4" s="180">
        <f>IF(Vendedor1!$C$15="",0,Vendedor1!$C$15)</f>
        <v>117300</v>
      </c>
      <c r="H4" s="30">
        <f>IF(Vendedor1!$E$15="",0,Vendedor1!$E$15)</f>
        <v>500</v>
      </c>
      <c r="J4" s="42">
        <f t="shared" ref="J4:J7" si="0">+C4+E4+G4</f>
        <v>194450</v>
      </c>
      <c r="K4" s="41">
        <f>MROUND(J4*Vendedor1!J$9,50)</f>
        <v>25300</v>
      </c>
      <c r="L4" s="42">
        <f t="shared" ref="L4:L7" si="1">+D4+F4+H4</f>
        <v>1000</v>
      </c>
      <c r="M4" s="42">
        <f t="shared" ref="M4:M7" si="2">+L4*85</f>
        <v>85000</v>
      </c>
      <c r="N4" s="42">
        <f>Vendedor1!$F$7+Vendedor1!$F$11+Vendedor1!$F$15</f>
        <v>85000</v>
      </c>
      <c r="P4" s="42">
        <f t="shared" ref="P4:P7" si="3">+J4-K4-N4</f>
        <v>84150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59000</v>
      </c>
      <c r="D5" s="30">
        <f>IF(Vendedor2!$E$7="",0,Vendedor2!$E$7)</f>
        <v>0</v>
      </c>
      <c r="E5" s="180">
        <f>IF(Vendedor2!$C$11="",0,Vendedor2!$C$11)</f>
        <v>39100</v>
      </c>
      <c r="F5" s="30">
        <f>IF(Vendedor2!$E$11="",0,Vendedor2!$E$11)</f>
        <v>0</v>
      </c>
      <c r="G5" s="180">
        <f>IF(Vendedor2!$C$15="",0,Vendedor2!$C$15)</f>
        <v>69100</v>
      </c>
      <c r="H5" s="30">
        <f>IF(Vendedor2!$E$15="",0,Vendedor2!$E$15)</f>
        <v>500</v>
      </c>
      <c r="J5" s="42">
        <f t="shared" si="0"/>
        <v>167200</v>
      </c>
      <c r="K5" s="41">
        <f>MROUND(J5*Vendedor2!J$9,50)</f>
        <v>21750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102950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52350</v>
      </c>
      <c r="D8" s="30">
        <f>IF(Vendedor5!$E$7="",0,Vendedor5!$E$7)</f>
        <v>0</v>
      </c>
      <c r="E8" s="180">
        <f>IF(Vendedor5!$C$11="",0,Vendedor5!$C$11)</f>
        <v>60750</v>
      </c>
      <c r="F8" s="30">
        <f>IF(Vendedor5!$E$11="",0,Vendedor5!$E$11)</f>
        <v>250</v>
      </c>
      <c r="G8" s="180">
        <f>IF(Vendedor5!$C$15="",0,Vendedor5!$C$15)</f>
        <v>45100</v>
      </c>
      <c r="H8" s="30">
        <f>IF(Vendedor5!$E$15="",0,Vendedor5!$E$15)</f>
        <v>1750</v>
      </c>
      <c r="J8" s="42">
        <f t="shared" ref="J8" si="4">+C8+E8+G8</f>
        <v>158200</v>
      </c>
      <c r="K8" s="41">
        <f>MROUND(J8*Vendedor5!J$11,50)</f>
        <v>19000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-30800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209750</v>
      </c>
      <c r="D10" s="30">
        <f>IF(Vendedor7!$E$7="",0,Vendedor7!$E$7)</f>
        <v>250</v>
      </c>
      <c r="E10" s="180">
        <f>IF(Vendedor7!$C$11="",0,Vendedor7!$C$11)</f>
        <v>120250</v>
      </c>
      <c r="F10" s="30">
        <f>IF(Vendedor7!$E$11="",0,Vendedor7!$E$11)</f>
        <v>1400</v>
      </c>
      <c r="G10" s="180">
        <f>IF(Vendedor7!$C$15="",0,Vendedor7!$C$15)</f>
        <v>161550</v>
      </c>
      <c r="H10" s="30">
        <f>IF(Vendedor7!$E$15="",0,Vendedor7!$E$15)</f>
        <v>400</v>
      </c>
      <c r="J10" s="42">
        <f t="shared" si="8"/>
        <v>491550</v>
      </c>
      <c r="K10" s="41">
        <f>MROUND(J10*Vendedor7!J$14,50)</f>
        <v>59000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258300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7600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35300</v>
      </c>
      <c r="H11" s="30">
        <f>IF(Vendedor8!$E$15="",0,Vendedor8!$E$15)</f>
        <v>500</v>
      </c>
      <c r="J11" s="42">
        <f t="shared" si="8"/>
        <v>42900</v>
      </c>
      <c r="K11" s="41">
        <f>MROUND(J11*Vendedor8!J$11,50)</f>
        <v>5150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-4750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36500</v>
      </c>
      <c r="D12" s="30">
        <f>IF(Vendedor9!$E$7="",0,Vendedor9!$E$7)</f>
        <v>1000</v>
      </c>
      <c r="E12" s="180">
        <f>IF(Vendedor9!$C$11="",0,Vendedor9!$C$11)</f>
        <v>11000</v>
      </c>
      <c r="F12" s="30">
        <f>IF(Vendedor9!$E$11="",0,Vendedor9!$E$11)</f>
        <v>0</v>
      </c>
      <c r="G12" s="180">
        <f>IF(Vendedor9!$C$15="",0,Vendedor9!$C$15)</f>
        <v>31750</v>
      </c>
      <c r="H12" s="30">
        <f>IF(Vendedor9!$E$15="",0,Vendedor9!$E$15)</f>
        <v>1250</v>
      </c>
      <c r="J12" s="42">
        <f t="shared" si="8"/>
        <v>79250</v>
      </c>
      <c r="K12" s="41">
        <f>MROUND(J12*Vendedor9!J$11,50)</f>
        <v>9500</v>
      </c>
      <c r="L12" s="42">
        <f t="shared" si="9"/>
        <v>2250</v>
      </c>
      <c r="M12" s="42">
        <f t="shared" si="10"/>
        <v>191250</v>
      </c>
      <c r="N12" s="42">
        <f>Vendedor9!$F$7+Vendedor9!$F$11+Vendedor9!$F$15</f>
        <v>191250</v>
      </c>
      <c r="P12" s="42">
        <f t="shared" si="11"/>
        <v>-121500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18200</v>
      </c>
      <c r="D13" s="30">
        <f>IF(Vendedor10!$E$7="",0,Vendedor10!$E$7)</f>
        <v>300</v>
      </c>
      <c r="E13" s="180">
        <f>IF(Vendedor10!$C$11="",0,Vendedor10!$C$11)</f>
        <v>11350</v>
      </c>
      <c r="F13" s="30">
        <f>IF(Vendedor10!$E$11="",0,Vendedor10!$E$11)</f>
        <v>0</v>
      </c>
      <c r="G13" s="180">
        <f>IF(Vendedor10!$C$15="",0,Vendedor10!$C$15)</f>
        <v>51950</v>
      </c>
      <c r="H13" s="30">
        <f>IF(Vendedor10!$E$15="",0,Vendedor10!$E$15)</f>
        <v>300</v>
      </c>
      <c r="J13" s="42">
        <f t="shared" si="8"/>
        <v>81500</v>
      </c>
      <c r="K13" s="41">
        <f>MROUND(J13*Vendedor10!J$9,50)</f>
        <v>9800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20700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48300</v>
      </c>
      <c r="D14" s="30">
        <f>IF(Vendedor11!$E$7="",0,Vendedor11!$E$7)</f>
        <v>0</v>
      </c>
      <c r="E14" s="180">
        <f>IF(Vendedor11!$C$11="",0,Vendedor11!$C$11)</f>
        <v>24950</v>
      </c>
      <c r="F14" s="30">
        <f>IF(Vendedor11!$E$11="",0,Vendedor11!$E$11)</f>
        <v>0</v>
      </c>
      <c r="G14" s="180">
        <f>IF(Vendedor11!$C$15="",0,Vendedor11!$C$15)</f>
        <v>35850</v>
      </c>
      <c r="H14" s="30">
        <f>IF(Vendedor11!$E$15="",0,Vendedor11!$E$15)</f>
        <v>0</v>
      </c>
      <c r="J14" s="42">
        <f t="shared" si="8"/>
        <v>109100</v>
      </c>
      <c r="K14" s="41">
        <f>MROUND(J14*Vendedor11!J$9,50)</f>
        <v>16350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92750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15100</v>
      </c>
      <c r="D16" s="30">
        <f>IF(Vendedor13!$E$7="",0,Vendedor13!$E$7)</f>
        <v>0</v>
      </c>
      <c r="E16" s="180">
        <f>IF(Vendedor13!$C$11="",0,Vendedor13!$C$11)</f>
        <v>12500</v>
      </c>
      <c r="F16" s="30">
        <f>IF(Vendedor13!$E$11="",0,Vendedor13!$E$11)</f>
        <v>0</v>
      </c>
      <c r="G16" s="180">
        <f>IF(Vendedor13!$C$15="",0,Vendedor13!$C$15)</f>
        <v>17400</v>
      </c>
      <c r="H16" s="30">
        <f>IF(Vendedor13!$E$15="",0,Vendedor13!$E$15)</f>
        <v>0</v>
      </c>
      <c r="J16" s="42">
        <f t="shared" si="8"/>
        <v>45000</v>
      </c>
      <c r="K16" s="41">
        <f>MROUND(J16*Vendedor13!J$11,50)</f>
        <v>5400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126900</v>
      </c>
      <c r="D17" s="30">
        <f>IF(Vendedor14!$E$7="",0,Vendedor14!$E$7)</f>
        <v>100</v>
      </c>
      <c r="E17" s="180">
        <f>IF(Vendedor14!$C$11="",0,Vendedor14!$C$11)</f>
        <v>72950</v>
      </c>
      <c r="F17" s="30">
        <f>IF(Vendedor14!$E$11="",0,Vendedor14!$E$11)</f>
        <v>500</v>
      </c>
      <c r="G17" s="180">
        <f>IF(Vendedor14!$C$15="",0,Vendedor14!$C$15)</f>
        <v>210150</v>
      </c>
      <c r="H17" s="30">
        <f>IF(Vendedor14!$E$15="",0,Vendedor14!$E$15)</f>
        <v>550</v>
      </c>
      <c r="J17" s="42">
        <f t="shared" si="8"/>
        <v>410000</v>
      </c>
      <c r="K17" s="41">
        <f>MROUND(J17*Vendedor14!J$15,50)</f>
        <v>49200</v>
      </c>
      <c r="L17" s="42">
        <f t="shared" si="9"/>
        <v>1150</v>
      </c>
      <c r="M17" s="42">
        <f t="shared" si="10"/>
        <v>97750</v>
      </c>
      <c r="N17" s="42">
        <f>Vendedor14!$F$7+Vendedor14!$F$11+Vendedor14!$F$15</f>
        <v>97750</v>
      </c>
      <c r="P17" s="42">
        <f t="shared" si="11"/>
        <v>263050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52350</v>
      </c>
      <c r="D18" s="30">
        <f>IF(Vendedor15!$E$7="",0,Vendedor15!$E$7)</f>
        <v>500</v>
      </c>
      <c r="E18" s="180">
        <f>IF(Vendedor15!$C$11="",0,Vendedor15!$C$11)</f>
        <v>22700</v>
      </c>
      <c r="F18" s="30">
        <f>IF(Vendedor15!$E$11="",0,Vendedor15!$E$11)</f>
        <v>200</v>
      </c>
      <c r="G18" s="180">
        <f>IF(Vendedor15!$C$15="",0,Vendedor15!$C$15)</f>
        <v>62700</v>
      </c>
      <c r="H18" s="30">
        <f>IF(Vendedor15!$E$15="",0,Vendedor15!$E$15)</f>
        <v>500</v>
      </c>
      <c r="J18" s="42">
        <f t="shared" ref="J18" si="12">+C18+E18+G18</f>
        <v>137750</v>
      </c>
      <c r="K18" s="41">
        <f>MROUND(J18*Vendedor15!J$15,50)</f>
        <v>16550</v>
      </c>
      <c r="L18" s="42">
        <f t="shared" ref="L18" si="13">+D18+F18+H18</f>
        <v>1200</v>
      </c>
      <c r="M18" s="42">
        <f t="shared" ref="M18" si="14">+L18*85</f>
        <v>102000</v>
      </c>
      <c r="N18" s="42">
        <f>Vendedor15!$F$7+Vendedor15!$F$11+Vendedor15!$F$15</f>
        <v>102000</v>
      </c>
      <c r="P18" s="42">
        <f t="shared" ref="P18" si="15">+J18-K18-N18</f>
        <v>19200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670000</v>
      </c>
      <c r="D32" s="44">
        <f t="shared" si="16"/>
        <v>2150</v>
      </c>
      <c r="E32" s="43">
        <f t="shared" si="16"/>
        <v>408750</v>
      </c>
      <c r="F32" s="44">
        <f t="shared" si="16"/>
        <v>2850</v>
      </c>
      <c r="G32" s="43">
        <f t="shared" si="16"/>
        <v>838150</v>
      </c>
      <c r="H32" s="44">
        <f t="shared" si="16"/>
        <v>6250</v>
      </c>
      <c r="J32" s="95">
        <f>SUM(J4:J31)</f>
        <v>1916900</v>
      </c>
      <c r="K32" s="45">
        <f>SUM(K7:K31)</f>
        <v>189950</v>
      </c>
      <c r="L32" s="95">
        <f>SUM(L4:L31)</f>
        <v>11250</v>
      </c>
      <c r="M32" s="95">
        <f>SUM(M4:M31)</f>
        <v>956250</v>
      </c>
      <c r="N32" s="95">
        <f>SUM(N4:N31)</f>
        <v>956250</v>
      </c>
      <c r="P32" s="79">
        <f>SUM(P4:P31)</f>
        <v>723650</v>
      </c>
    </row>
    <row r="33" spans="3:13" x14ac:dyDescent="0.35">
      <c r="D33" s="99">
        <f>+D32*85</f>
        <v>182750</v>
      </c>
      <c r="F33" s="99">
        <f>+F32*85</f>
        <v>242250</v>
      </c>
      <c r="H33" s="99">
        <f>+H32*85</f>
        <v>531250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1916900</v>
      </c>
      <c r="E36" s="43">
        <f>+D36-J4-J5-J6</f>
        <v>1555250</v>
      </c>
      <c r="G36" s="101"/>
    </row>
    <row r="37" spans="3:13" x14ac:dyDescent="0.35">
      <c r="C37" s="47" t="s">
        <v>33</v>
      </c>
      <c r="D37" s="48">
        <f>D36*13%</f>
        <v>249197</v>
      </c>
      <c r="E37">
        <f>+D37-K4-K5-K6</f>
        <v>202147</v>
      </c>
      <c r="G37" s="100"/>
      <c r="H37" s="100"/>
    </row>
    <row r="38" spans="3:13" ht="15" thickBot="1" x14ac:dyDescent="0.4">
      <c r="C38" s="47" t="s">
        <v>30</v>
      </c>
      <c r="D38" s="30">
        <f>M32</f>
        <v>956250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711453</v>
      </c>
      <c r="F39" s="98">
        <f>+P32-D39</f>
        <v>12197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711453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38</v>
      </c>
      <c r="D2" s="268"/>
      <c r="E2" s="267">
        <f>DigitaNICA!E2</f>
        <v>67</v>
      </c>
      <c r="F2" s="268"/>
      <c r="G2" s="267">
        <f>DigitaNICA!G2</f>
        <v>41</v>
      </c>
      <c r="H2" s="268"/>
      <c r="I2" s="267">
        <f>DigitaNICA!I2</f>
        <v>59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21100</v>
      </c>
      <c r="D4" s="78">
        <f>IF(Vendedor1!$E$5="",0,Vendedor1!$E$5)</f>
        <v>0</v>
      </c>
      <c r="E4" s="189">
        <f>IF(Vendedor1!$C$9="",0,Vendedor1!$C$9)</f>
        <v>10000</v>
      </c>
      <c r="F4" s="78">
        <f>IF(Vendedor1!$E$9="",0,Vendedor1!$E$9)</f>
        <v>0</v>
      </c>
      <c r="G4" s="189">
        <f>IF(Vendedor1!$C$13="",0,Vendedor1!$C$13)</f>
        <v>1200</v>
      </c>
      <c r="H4" s="78">
        <f>IF(Vendedor1!$E$13="",0,Vendedor1!$E$13)</f>
        <v>0</v>
      </c>
      <c r="I4" s="189">
        <f>IF(Vendedor1!$C$17="",0,Vendedor1!$C$17)</f>
        <v>3200</v>
      </c>
      <c r="J4" s="78">
        <f>IF(Vendedor1!$E$17="",0,Vendedor1!$E$17)</f>
        <v>200</v>
      </c>
      <c r="L4" s="42">
        <f t="shared" ref="L4:L7" si="0">C4+E4+G4+I4</f>
        <v>35500</v>
      </c>
      <c r="M4" s="41">
        <f>MROUND(L4*Vendedor1!J$10,50)</f>
        <v>4600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13900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13500</v>
      </c>
      <c r="D5" s="30">
        <f>IF(Vendedor2!$E$5="",0,Vendedor2!$E$5)</f>
        <v>0</v>
      </c>
      <c r="E5" s="180">
        <f>IF(Vendedor2!$C$9="",0,Vendedor2!$C$9)</f>
        <v>14200</v>
      </c>
      <c r="F5" s="30">
        <f>IF(Vendedor2!$E$9="",0,Vendedor2!$E$9)</f>
        <v>0</v>
      </c>
      <c r="G5" s="180">
        <f>IF(Vendedor2!$C$13="",0,Vendedor2!$C$13)</f>
        <v>2050</v>
      </c>
      <c r="H5" s="30">
        <f>IF(Vendedor2!$E$13="",0,Vendedor2!$E$13)</f>
        <v>250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29750</v>
      </c>
      <c r="M5" s="41">
        <f>MROUND(L5*Vendedor2!J$10,50)</f>
        <v>3850</v>
      </c>
      <c r="N5" s="42">
        <f t="shared" si="1"/>
        <v>250</v>
      </c>
      <c r="O5" s="41">
        <f t="shared" ref="O5:O27" si="3">IFERROR(N5*85,0)</f>
        <v>21250</v>
      </c>
      <c r="P5" s="42">
        <f>Vendedor2!$F$5+Vendedor2!$F$9+Vendedor2!$F$13+Vendedor2!$F$17</f>
        <v>20000</v>
      </c>
      <c r="Q5">
        <v>5</v>
      </c>
      <c r="R5" s="41">
        <f t="shared" si="2"/>
        <v>4650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41900</v>
      </c>
      <c r="D8" s="30">
        <f>IF(Vendedor5!$E$5="",0,Vendedor5!$E$5)</f>
        <v>350</v>
      </c>
      <c r="E8" s="180">
        <f>IF(Vendedor5!$C$9="",0,Vendedor5!$C$9)</f>
        <v>23750</v>
      </c>
      <c r="F8" s="30">
        <f>IF(Vendedor5!$E$9="",0,Vendedor5!$E$9)</f>
        <v>350</v>
      </c>
      <c r="G8" s="180">
        <f>IF(Vendedor5!$C$13="",0,Vendedor5!$C$13)</f>
        <v>7200</v>
      </c>
      <c r="H8" s="30">
        <f>IF(Vendedor5!$E$13="",0,Vendedor5!$E$13)</f>
        <v>0</v>
      </c>
      <c r="I8" s="180">
        <f>IF(Vendedor5!$C$17="",0,Vendedor5!$C$17)</f>
        <v>10900</v>
      </c>
      <c r="J8" s="30">
        <f>IF(Vendedor5!$E$17="",0,Vendedor5!$E$17)</f>
        <v>0</v>
      </c>
      <c r="L8" s="42">
        <f t="shared" ref="L8" si="4">C8+E8+G8+I8</f>
        <v>83750</v>
      </c>
      <c r="M8" s="41">
        <f>MROUND(L8*Vendedor5!J$12,50)</f>
        <v>10050</v>
      </c>
      <c r="N8" s="42">
        <f t="shared" ref="N8" si="5">D8+F8+H8+J8</f>
        <v>700</v>
      </c>
      <c r="O8" s="41">
        <f t="shared" si="3"/>
        <v>59500</v>
      </c>
      <c r="P8" s="42">
        <f>Vendedor5!$F$5+Vendedor5!$F$9+Vendedor5!$F$13+Vendedor5!$F$17</f>
        <v>56000</v>
      </c>
      <c r="Q8">
        <v>17</v>
      </c>
      <c r="R8" s="41">
        <f t="shared" ref="R8" si="6">+L8-M8-O8</f>
        <v>14200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176400</v>
      </c>
      <c r="D10" s="30">
        <f>IF(Vendedor7!$E$5="",0,Vendedor7!$E$5)</f>
        <v>1250</v>
      </c>
      <c r="E10" s="180">
        <f>IF(Vendedor7!$C$9="",0,Vendedor7!$C$9)</f>
        <v>111350</v>
      </c>
      <c r="F10" s="30">
        <f>IF(Vendedor7!$E$9="",0,Vendedor7!$E$9)</f>
        <v>0</v>
      </c>
      <c r="G10" s="180">
        <f>IF(Vendedor7!$C$13="",0,Vendedor7!$C$13)</f>
        <v>85300</v>
      </c>
      <c r="H10" s="30">
        <f>IF(Vendedor7!$E$13="",0,Vendedor7!$E$13)</f>
        <v>1500</v>
      </c>
      <c r="I10" s="180">
        <f>IF(Vendedor7!$C$17="",0,Vendedor7!$C$17)</f>
        <v>124600</v>
      </c>
      <c r="J10" s="30">
        <f>IF(Vendedor7!$E$17="",0,Vendedor7!$E$17)</f>
        <v>1650</v>
      </c>
      <c r="L10" s="42">
        <f t="shared" si="7"/>
        <v>497650</v>
      </c>
      <c r="M10" s="41">
        <f>MROUND(L10*Vendedor7!J$15,50)</f>
        <v>59700</v>
      </c>
      <c r="N10" s="42">
        <f t="shared" ref="N10:N27" si="9">D10+F10+H10+J10</f>
        <v>4400</v>
      </c>
      <c r="O10" s="41">
        <f t="shared" si="3"/>
        <v>374000</v>
      </c>
      <c r="P10" s="42">
        <f>Vendedor7!$F$5+Vendedor7!$F$9+Vendedor7!$F$13+Vendedor7!$F$17</f>
        <v>374000</v>
      </c>
      <c r="R10" s="41">
        <f t="shared" si="8"/>
        <v>63950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37950</v>
      </c>
      <c r="D12" s="30">
        <f>IF(Vendedor9!$E$5="",0,Vendedor9!$E$5)</f>
        <v>700</v>
      </c>
      <c r="E12" s="180">
        <f>IF(Vendedor9!$C$9="",0,Vendedor9!$C$9)</f>
        <v>12700</v>
      </c>
      <c r="F12" s="30">
        <f>IF(Vendedor9!$E$9="",0,Vendedor9!$E$9)</f>
        <v>0</v>
      </c>
      <c r="G12" s="180">
        <f>IF(Vendedor9!$C$13="",0,Vendedor9!$C$13)</f>
        <v>3000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53650</v>
      </c>
      <c r="M12" s="41">
        <f>MROUND(L12*Vendedor9!J$12,50)</f>
        <v>6450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-12300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23800</v>
      </c>
      <c r="D13" s="30">
        <f>IF(Vendedor10!$E$5="",0,Vendedor10!$E$5)</f>
        <v>0</v>
      </c>
      <c r="E13" s="180">
        <f>IF(Vendedor10!$C$9="",0,Vendedor10!$C$9)</f>
        <v>22950</v>
      </c>
      <c r="F13" s="30">
        <f>IF(Vendedor10!$E$9="",0,Vendedor10!$E$9)</f>
        <v>0</v>
      </c>
      <c r="G13" s="180">
        <f>IF(Vendedor10!$C$13="",0,Vendedor10!$C$13)</f>
        <v>2400</v>
      </c>
      <c r="H13" s="30">
        <f>IF(Vendedor10!$E$13="",0,Vendedor10!$E$13)</f>
        <v>0</v>
      </c>
      <c r="I13" s="180">
        <f>IF(Vendedor10!$C$17="",0,Vendedor10!$C$17)</f>
        <v>2850</v>
      </c>
      <c r="J13" s="30">
        <f>IF(Vendedor10!$E$17="",0,Vendedor10!$E$17)</f>
        <v>0</v>
      </c>
      <c r="L13" s="42">
        <f t="shared" si="7"/>
        <v>52000</v>
      </c>
      <c r="M13" s="41">
        <f>MROUND(L13*Vendedor10!J$10,50)</f>
        <v>6250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45750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5900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1000</v>
      </c>
      <c r="H16" s="30">
        <f>IF(Vendedor13!$E$13="",0,Vendedor13!$E$13)</f>
        <v>0</v>
      </c>
      <c r="I16" s="180">
        <f>IF(Vendedor13!$C$17="",0,Vendedor13!$C$17)</f>
        <v>16050</v>
      </c>
      <c r="J16" s="30">
        <f>IF(Vendedor13!$E$17="",0,Vendedor13!$E$17)</f>
        <v>0</v>
      </c>
      <c r="L16" s="42">
        <f t="shared" si="7"/>
        <v>22950</v>
      </c>
      <c r="M16" s="41">
        <f>MROUND(L16*Vendedor13!J$12,50)</f>
        <v>2750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74000</v>
      </c>
      <c r="D17" s="30">
        <f>IF(Vendedor14!$E$5="",0,Vendedor14!$E$5)</f>
        <v>400</v>
      </c>
      <c r="E17" s="180">
        <f>IF(Vendedor14!$C$9="",0,Vendedor14!$C$9)</f>
        <v>68350</v>
      </c>
      <c r="F17" s="30">
        <f>IF(Vendedor14!$E$9="",0,Vendedor14!$E$9)</f>
        <v>600</v>
      </c>
      <c r="G17" s="180">
        <f>IF(Vendedor14!$C$13="",0,Vendedor14!$C$13)</f>
        <v>55700</v>
      </c>
      <c r="H17" s="30">
        <f>IF(Vendedor14!$E$13="",0,Vendedor14!$E$13)</f>
        <v>1150</v>
      </c>
      <c r="I17" s="180">
        <f>IF(Vendedor14!$C$17="",0,Vendedor14!$C$17)</f>
        <v>133850</v>
      </c>
      <c r="J17" s="30">
        <f>IF(Vendedor14!$E$17="",0,Vendedor14!$E$17)</f>
        <v>0</v>
      </c>
      <c r="L17" s="42">
        <f>C17+E17+G17+I17</f>
        <v>331900</v>
      </c>
      <c r="M17" s="41">
        <f>MROUND(L17*Vendedor14!J$16,50)</f>
        <v>39850</v>
      </c>
      <c r="N17" s="42">
        <f t="shared" si="9"/>
        <v>2150</v>
      </c>
      <c r="O17" s="41">
        <f t="shared" si="3"/>
        <v>182750</v>
      </c>
      <c r="P17" s="42">
        <f>Vendedor14!$F$5+Vendedor14!$F$9+Vendedor14!$F$13+Vendedor14!$F$17</f>
        <v>182750</v>
      </c>
      <c r="R17" s="41">
        <f t="shared" si="8"/>
        <v>109300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43800</v>
      </c>
      <c r="D18" s="30">
        <f>IF(Vendedor15!$E$5="",0,Vendedor15!$E$5)</f>
        <v>0</v>
      </c>
      <c r="E18" s="180">
        <f>IF(Vendedor15!$C$9="",0,Vendedor15!$C$9)</f>
        <v>44850</v>
      </c>
      <c r="F18" s="30">
        <f>IF(Vendedor15!$E$9="",0,Vendedor15!$E$9)</f>
        <v>300</v>
      </c>
      <c r="G18" s="180">
        <f>IF(Vendedor15!$C$13="",0,Vendedor15!$C$13)</f>
        <v>31600</v>
      </c>
      <c r="H18" s="30">
        <f>IF(Vendedor15!$E$13="",0,Vendedor15!$E$13)</f>
        <v>500</v>
      </c>
      <c r="I18" s="180">
        <f>IF(Vendedor15!$C$17="",0,Vendedor15!$C$17)</f>
        <v>5450</v>
      </c>
      <c r="J18" s="30">
        <f>IF(Vendedor15!$E$17="",0,Vendedor15!$E$17)</f>
        <v>0</v>
      </c>
      <c r="L18" s="42">
        <f t="shared" ref="L18:L27" si="10">C18+E18+G18+I18</f>
        <v>125700</v>
      </c>
      <c r="M18" s="41">
        <f>MROUND(L18*Vendedor15!J$16,50)</f>
        <v>15100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42600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438350</v>
      </c>
      <c r="D32" s="44">
        <f t="shared" si="14"/>
        <v>2700</v>
      </c>
      <c r="E32" s="43">
        <f t="shared" si="14"/>
        <v>308150</v>
      </c>
      <c r="F32" s="44">
        <f t="shared" si="14"/>
        <v>1250</v>
      </c>
      <c r="G32" s="43">
        <f t="shared" si="14"/>
        <v>189450</v>
      </c>
      <c r="H32" s="44">
        <f t="shared" si="14"/>
        <v>3400</v>
      </c>
      <c r="I32" s="43">
        <f t="shared" si="14"/>
        <v>296900</v>
      </c>
      <c r="J32" s="44">
        <f t="shared" si="14"/>
        <v>1850</v>
      </c>
      <c r="L32" s="45">
        <f>SUM(L4:L31)</f>
        <v>1232850</v>
      </c>
      <c r="M32" s="45">
        <f>SUM(M7:M31)</f>
        <v>140150</v>
      </c>
      <c r="N32" s="95">
        <f>SUM(N4:N31)</f>
        <v>9200</v>
      </c>
      <c r="O32" s="46">
        <f>SUM(O4:O31)</f>
        <v>782000</v>
      </c>
      <c r="P32" s="140">
        <f>SUM(P4:P31)</f>
        <v>776250</v>
      </c>
      <c r="R32" s="79">
        <f>SUM(R4:R31)</f>
        <v>302250</v>
      </c>
    </row>
    <row r="33" spans="3:15" x14ac:dyDescent="0.35">
      <c r="D33" s="120">
        <f>+D32*85</f>
        <v>229500</v>
      </c>
      <c r="F33" s="120">
        <f>+F32*85</f>
        <v>106250</v>
      </c>
      <c r="H33" s="120">
        <f>+H32*85</f>
        <v>289000</v>
      </c>
      <c r="J33" s="120">
        <f>+J32*85</f>
        <v>157250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1232850</v>
      </c>
      <c r="E36" s="43">
        <f>+D36-L4-L5-L6</f>
        <v>1167600</v>
      </c>
    </row>
    <row r="37" spans="3:15" x14ac:dyDescent="0.35">
      <c r="C37" s="47" t="s">
        <v>33</v>
      </c>
      <c r="D37" s="48">
        <f>D36*13%</f>
        <v>160270.5</v>
      </c>
      <c r="E37">
        <f>+D37-M4-M5-M6</f>
        <v>151820.5</v>
      </c>
    </row>
    <row r="38" spans="3:15" x14ac:dyDescent="0.35">
      <c r="C38" s="47" t="s">
        <v>30</v>
      </c>
      <c r="D38" s="30">
        <f>SUM(O4:O27)</f>
        <v>782000</v>
      </c>
      <c r="G38" s="100"/>
    </row>
    <row r="39" spans="3:15" ht="15" thickBot="1" x14ac:dyDescent="0.4">
      <c r="C39" s="49" t="s">
        <v>4</v>
      </c>
      <c r="D39" s="80">
        <f>+D36-D37-D38</f>
        <v>290579.5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290579.5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26 Blanca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62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35800</v>
      </c>
      <c r="D10" s="30">
        <f>IF(Vendedor7!$E$8="",0,Vendedor7!$E$8)</f>
        <v>0</v>
      </c>
      <c r="E10" s="180">
        <f>IF(Vendedor7!$C$12="",0,Vendedor7!$C$12)</f>
        <v>20450</v>
      </c>
      <c r="F10" s="30">
        <f>IF(Vendedor7!$E$12="",0,Vendedor7!$E$12)</f>
        <v>0</v>
      </c>
      <c r="G10" s="180">
        <f>IF(Vendedor7!$C$16="",0,Vendedor7!$C$16)</f>
        <v>34200</v>
      </c>
      <c r="H10" s="30">
        <f>IF(Vendedor7!$E$16="",0,Vendedor7!$E$16)</f>
        <v>0</v>
      </c>
      <c r="J10" s="42">
        <f t="shared" si="1"/>
        <v>90450</v>
      </c>
      <c r="K10" s="41">
        <f>J10*Vendedor7!J$16</f>
        <v>9045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81405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3650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3650</v>
      </c>
      <c r="K12" s="41">
        <f>J12*Vendedor9!J$13</f>
        <v>365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3285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9600</v>
      </c>
      <c r="D17" s="30">
        <f>IF(Vendedor14!$E$8="",0,Vendedor14!$E$8)</f>
        <v>0</v>
      </c>
      <c r="E17" s="180">
        <f>IF(Vendedor14!$C$12="",0,Vendedor14!$C$12)</f>
        <v>11500</v>
      </c>
      <c r="F17" s="30">
        <f>IF(Vendedor14!$E$12="",0,Vendedor14!$E$12)</f>
        <v>200</v>
      </c>
      <c r="G17" s="180">
        <f>IF(Vendedor14!$C$16="",0,Vendedor14!$C$16)</f>
        <v>36600</v>
      </c>
      <c r="H17" s="30">
        <f>IF(Vendedor14!$E$16="",0,Vendedor14!$E$16)</f>
        <v>400</v>
      </c>
      <c r="J17" s="42">
        <f t="shared" si="1"/>
        <v>57700</v>
      </c>
      <c r="K17" s="41">
        <f>J17*Vendedor14!J$17</f>
        <v>5770</v>
      </c>
      <c r="L17" s="42">
        <f t="shared" si="2"/>
        <v>400</v>
      </c>
      <c r="M17" s="42">
        <f t="shared" si="3"/>
        <v>600</v>
      </c>
      <c r="N17" s="42">
        <f t="shared" si="0"/>
        <v>88000</v>
      </c>
      <c r="O17" s="42">
        <f>Vendedor14!$F$8+Vendedor14!$F$12+Vendedor14!$F$16</f>
        <v>80000</v>
      </c>
      <c r="Q17" s="42">
        <f t="shared" si="4"/>
        <v>-28070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17200</v>
      </c>
      <c r="D18" s="30">
        <f>IF(Vendedor15!$E$8="",0,Vendedor15!$E$8)</f>
        <v>0</v>
      </c>
      <c r="E18" s="180">
        <f>IF(Vendedor15!$C$12="",0,Vendedor15!$C$12)</f>
        <v>9900</v>
      </c>
      <c r="F18" s="30">
        <f>IF(Vendedor15!$E$12="",0,Vendedor15!$E$12)</f>
        <v>200</v>
      </c>
      <c r="G18" s="180">
        <f>IF(Vendedor15!$C$16="",0,Vendedor15!$C$16)</f>
        <v>14600</v>
      </c>
      <c r="H18" s="30">
        <f>IF(Vendedor15!$E$16="",0,Vendedor15!$E$16)</f>
        <v>0</v>
      </c>
      <c r="J18" s="42">
        <f t="shared" ref="J18" si="5">+C18+E18+G18</f>
        <v>41700</v>
      </c>
      <c r="K18" s="41">
        <f>J18*Vendedor15!J$17</f>
        <v>4170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37530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66750</v>
      </c>
      <c r="D33" s="44">
        <f>IF(PREMIOS!E8&lt;&gt;0,SUM(D4:D32),0)</f>
        <v>0</v>
      </c>
      <c r="E33" s="43">
        <f>SUM(E4:E32)</f>
        <v>41850</v>
      </c>
      <c r="F33" s="44">
        <f>IF(PREMIOS!E12&lt;&gt;0,SUM(F4:F32),0)</f>
        <v>0</v>
      </c>
      <c r="G33" s="43">
        <f>SUM(G4:G32)</f>
        <v>85400</v>
      </c>
      <c r="H33" s="44">
        <f>IF(PREMIOS!E16&lt;&gt;0,SUM(H4:H32),0)</f>
        <v>400</v>
      </c>
      <c r="J33" s="45">
        <f>SUM(J4:J32)</f>
        <v>194000</v>
      </c>
      <c r="K33" s="45">
        <f>SUM(K7:K32)</f>
        <v>19400</v>
      </c>
      <c r="L33" s="95">
        <f>SUM(L7:L32)</f>
        <v>400</v>
      </c>
      <c r="M33" s="95">
        <f>SUM(M7:M32)</f>
        <v>800</v>
      </c>
      <c r="N33" s="95">
        <f>SUM(N4:N27)</f>
        <v>88000</v>
      </c>
      <c r="O33" s="95">
        <f>SUM(O4:O27)</f>
        <v>80000</v>
      </c>
      <c r="Q33" s="79">
        <f>SUM(Q4:Q32)</f>
        <v>94600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88000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194000</v>
      </c>
      <c r="E37" s="43">
        <f>+D37-J4-J5-J6</f>
        <v>194000</v>
      </c>
      <c r="F37" s="275"/>
      <c r="G37" s="275"/>
    </row>
    <row r="38" spans="3:17" ht="15" thickBot="1" x14ac:dyDescent="0.4">
      <c r="C38" s="47" t="s">
        <v>33</v>
      </c>
      <c r="D38" s="30">
        <f>D37*10%</f>
        <v>19400</v>
      </c>
      <c r="E38" s="43">
        <f>+D38-K4-K5-K6</f>
        <v>19400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88000</v>
      </c>
    </row>
    <row r="40" spans="3:17" ht="15" thickBot="1" x14ac:dyDescent="0.4">
      <c r="C40" s="49" t="s">
        <v>4</v>
      </c>
      <c r="D40" s="80">
        <f>+D37-D38-D39</f>
        <v>86600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86600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39</v>
      </c>
      <c r="D2" s="268"/>
      <c r="E2" s="267" t="str">
        <f>DigitaPRIMERA!E2</f>
        <v>07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3900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3900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3400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6000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14900</v>
      </c>
      <c r="D8" s="30">
        <f>IF(Vendedor5!$E$19="",0,Vendedor5!$E$19)</f>
        <v>150</v>
      </c>
      <c r="E8" s="180">
        <f>IF(Vendedor5!$C$20="",0,Vendedor5!$C$20)</f>
        <v>4950</v>
      </c>
      <c r="F8" s="30">
        <f>IF(Vendedor5!$E$20="",0,Vendedor5!$E$20)</f>
        <v>0</v>
      </c>
      <c r="H8" s="133">
        <f t="shared" si="1"/>
        <v>19850</v>
      </c>
      <c r="I8" s="148">
        <f>MROUND(H8*Vendedor5!J$11,50)</f>
        <v>2400</v>
      </c>
      <c r="J8" s="133">
        <f t="shared" si="2"/>
        <v>150</v>
      </c>
      <c r="K8" s="133">
        <f t="shared" si="3"/>
        <v>12750</v>
      </c>
      <c r="L8" s="133">
        <f>Vendedor5!$F$19+Vendedor5!$F$20</f>
        <v>12000</v>
      </c>
      <c r="M8" s="155"/>
      <c r="N8" s="133">
        <f t="shared" si="0"/>
        <v>5450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59850</v>
      </c>
      <c r="D10" s="30">
        <f>IF(Vendedor7!$E$19="",0,Vendedor7!$E$19)</f>
        <v>1000</v>
      </c>
      <c r="E10" s="180">
        <f>IF(Vendedor7!$C$20="",0,Vendedor7!$C$20)</f>
        <v>16250</v>
      </c>
      <c r="F10" s="30">
        <f>IF(Vendedor7!$E$20="",0,Vendedor7!$E$20)</f>
        <v>0</v>
      </c>
      <c r="H10" s="42">
        <f t="shared" si="1"/>
        <v>76100</v>
      </c>
      <c r="I10" s="41">
        <f>MROUND(H10*Vendedor7!J$14,50)</f>
        <v>9150</v>
      </c>
      <c r="J10" s="42">
        <f t="shared" si="2"/>
        <v>1000</v>
      </c>
      <c r="K10" s="42">
        <f t="shared" si="3"/>
        <v>85000</v>
      </c>
      <c r="L10" s="42">
        <f>Vendedor7!$F$19+Vendedor7!$F$20</f>
        <v>85000</v>
      </c>
      <c r="N10" s="42">
        <f t="shared" si="0"/>
        <v>-18050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44850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44850</v>
      </c>
      <c r="I12" s="148">
        <f>MROUND(H12*Vendedor9!J$11,50)</f>
        <v>5400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-7300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58700</v>
      </c>
      <c r="D17" s="30">
        <f>IF(Vendedor14!$E$19="",0,Vendedor14!$E$19)</f>
        <v>0</v>
      </c>
      <c r="E17" s="180">
        <f>IF(Vendedor14!$C$20="",0,Vendedor14!$C$20)</f>
        <v>27350</v>
      </c>
      <c r="F17" s="30">
        <f>IF(Vendedor14!$E$20="",0,Vendedor14!$E$20)</f>
        <v>1200</v>
      </c>
      <c r="H17" s="42">
        <f t="shared" si="1"/>
        <v>86050</v>
      </c>
      <c r="I17" s="41">
        <f>MROUND(H17*Vendedor14!J$15,50)</f>
        <v>10350</v>
      </c>
      <c r="J17" s="42">
        <f t="shared" si="2"/>
        <v>1200</v>
      </c>
      <c r="K17" s="42">
        <f t="shared" si="3"/>
        <v>102000</v>
      </c>
      <c r="L17" s="42">
        <f>Vendedor14!$F$19+Vendedor14!$F$20</f>
        <v>102000</v>
      </c>
      <c r="N17" s="42">
        <f t="shared" si="0"/>
        <v>-26300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63250</v>
      </c>
      <c r="D18" s="30">
        <f>IF(Vendedor15!$E$19="",0,Vendedor15!$E$19)</f>
        <v>0</v>
      </c>
      <c r="E18" s="180">
        <f>IF(Vendedor15!$C$20="",0,Vendedor15!$C$20)</f>
        <v>44300</v>
      </c>
      <c r="F18" s="30">
        <f>IF(Vendedor15!$E$20="",0,Vendedor15!$E$20)</f>
        <v>5300</v>
      </c>
      <c r="H18" s="42">
        <f t="shared" si="1"/>
        <v>107550</v>
      </c>
      <c r="I18" s="41">
        <f>MROUND(H18*Vendedor15!J$15,50)</f>
        <v>12900</v>
      </c>
      <c r="J18" s="42">
        <f t="shared" si="2"/>
        <v>5300</v>
      </c>
      <c r="K18" s="42">
        <f t="shared" si="3"/>
        <v>450500</v>
      </c>
      <c r="L18" s="42">
        <f>Vendedor15!$F$19+Vendedor15!$F$20</f>
        <v>450500</v>
      </c>
      <c r="N18" s="42">
        <f t="shared" si="0"/>
        <v>-355850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245450</v>
      </c>
      <c r="D32" s="44">
        <f>SUM(D4:D31)</f>
        <v>1700</v>
      </c>
      <c r="E32" s="43">
        <f>SUM(E4:E31)</f>
        <v>98850</v>
      </c>
      <c r="F32" s="44">
        <f>SUM(F4:F31)</f>
        <v>6500</v>
      </c>
      <c r="H32" s="95">
        <f>SUM(H4:H31)</f>
        <v>344300</v>
      </c>
      <c r="I32" s="45">
        <f>SUM(I7:I31)</f>
        <v>40200</v>
      </c>
      <c r="J32" s="95"/>
      <c r="K32" s="95">
        <f>SUM(K4:K31)</f>
        <v>697000</v>
      </c>
      <c r="L32" s="95">
        <f>SUM(L4:L31)</f>
        <v>696250</v>
      </c>
      <c r="N32" s="79">
        <f>SUM(N4:N31)</f>
        <v>-393450</v>
      </c>
    </row>
    <row r="33" spans="3:6" x14ac:dyDescent="0.35">
      <c r="D33" s="99">
        <f>+D32*85</f>
        <v>144500</v>
      </c>
      <c r="F33" s="99">
        <f>+F32*85</f>
        <v>552500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344300</v>
      </c>
      <c r="E36" s="43">
        <f>+D36-H4-H5-H6</f>
        <v>334400</v>
      </c>
    </row>
    <row r="37" spans="3:6" x14ac:dyDescent="0.35">
      <c r="C37" s="47" t="s">
        <v>33</v>
      </c>
      <c r="D37" s="48">
        <f>D36*13%</f>
        <v>44759</v>
      </c>
      <c r="E37">
        <f>+D37-I4-I5-I6</f>
        <v>43459</v>
      </c>
    </row>
    <row r="38" spans="3:6" ht="15" thickBot="1" x14ac:dyDescent="0.4">
      <c r="C38" s="47" t="s">
        <v>30</v>
      </c>
      <c r="D38" s="30">
        <f>SUM(K4:K27)</f>
        <v>697000</v>
      </c>
    </row>
    <row r="39" spans="3:6" ht="15" thickBot="1" x14ac:dyDescent="0.4">
      <c r="C39" s="49" t="s">
        <v>4</v>
      </c>
      <c r="D39" s="80">
        <f>+D36-D37-D38</f>
        <v>-397459</v>
      </c>
      <c r="F39" s="98">
        <f>+N32-D39</f>
        <v>4009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-397459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39</v>
      </c>
      <c r="D2" s="268"/>
      <c r="E2" s="267">
        <f>DigitaHONDURAS!E2</f>
        <v>26</v>
      </c>
      <c r="F2" s="268"/>
      <c r="G2" s="267">
        <f>DigitaHONDURAS!G2</f>
        <v>91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54900</v>
      </c>
      <c r="D10" s="30">
        <f>IF(Vendedor7!$E$21="",0,Vendedor7!$E$21)</f>
        <v>1000</v>
      </c>
      <c r="E10" s="180">
        <f>IF(Vendedor7!$C$22="",0,Vendedor7!$C$22)</f>
        <v>23600</v>
      </c>
      <c r="F10" s="30">
        <f>IF(Vendedor7!$E$22="",0,Vendedor7!$E$22)</f>
        <v>0</v>
      </c>
      <c r="G10" s="180">
        <f>IF(Vendedor7!$C$23="",0,Vendedor7!$C$23)</f>
        <v>27550</v>
      </c>
      <c r="H10" s="30">
        <f>IF(Vendedor7!$E$23="",0,Vendedor7!$E$23)</f>
        <v>0</v>
      </c>
      <c r="J10" s="42">
        <f t="shared" si="0"/>
        <v>106050</v>
      </c>
      <c r="K10" s="41">
        <f>MROUND(J10*Vendedor7!J$14,50)</f>
        <v>12750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8300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9550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9550</v>
      </c>
      <c r="K12" s="41">
        <f>MROUND(J12*Vendedor9!J$14,50)</f>
        <v>1150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8400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32500</v>
      </c>
      <c r="D17" s="30">
        <f>IF(Vendedor14!$E$21="",0,Vendedor14!$E$21)</f>
        <v>550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20100</v>
      </c>
      <c r="H17" s="30">
        <f>IF(Vendedor14!$E$23="",0,Vendedor14!$E$23)</f>
        <v>0</v>
      </c>
      <c r="J17" s="42">
        <f t="shared" si="0"/>
        <v>52600</v>
      </c>
      <c r="K17" s="41">
        <f>MROUND(J17*Vendedor14!J$15,50)</f>
        <v>6300</v>
      </c>
      <c r="L17" s="42">
        <f t="shared" si="1"/>
        <v>550</v>
      </c>
      <c r="M17" s="42">
        <f t="shared" si="3"/>
        <v>46750</v>
      </c>
      <c r="N17" s="42">
        <f>Vendedor14!$F$21+Vendedor14!$F$22+Vendedor14!$F$23</f>
        <v>46750</v>
      </c>
      <c r="P17" s="42">
        <f t="shared" si="2"/>
        <v>-450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17700</v>
      </c>
      <c r="D18" s="30">
        <f>IF(Vendedor15!$E$21="",0,Vendedor15!$E$21)</f>
        <v>0</v>
      </c>
      <c r="E18" s="180">
        <f>IF(Vendedor15!$C$22="",0,Vendedor15!$C$22)</f>
        <v>4700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22400</v>
      </c>
      <c r="K18" s="41">
        <f>MROUND(J18*Vendedor15!J$15,50)</f>
        <v>2700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114650</v>
      </c>
      <c r="D32" s="44">
        <f t="shared" si="8"/>
        <v>1550</v>
      </c>
      <c r="E32" s="43">
        <f t="shared" si="8"/>
        <v>28300</v>
      </c>
      <c r="F32" s="44">
        <f t="shared" si="8"/>
        <v>0</v>
      </c>
      <c r="G32" s="43">
        <f t="shared" si="8"/>
        <v>47650</v>
      </c>
      <c r="H32" s="44">
        <f t="shared" si="8"/>
        <v>0</v>
      </c>
      <c r="J32" s="95">
        <f>SUM(J4:J31)</f>
        <v>190600</v>
      </c>
      <c r="K32" s="45">
        <f>SUM(K7:K31)</f>
        <v>22900</v>
      </c>
      <c r="L32" s="95"/>
      <c r="M32" s="95">
        <f>SUM(M4:M31)</f>
        <v>131750</v>
      </c>
      <c r="N32" s="95">
        <f>SUM(N4:N31)</f>
        <v>131750</v>
      </c>
      <c r="P32" s="79">
        <f>SUM(P4:P31)</f>
        <v>35950</v>
      </c>
    </row>
    <row r="33" spans="3:8" x14ac:dyDescent="0.35">
      <c r="D33" s="99">
        <f>+D32*85</f>
        <v>131750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190600</v>
      </c>
      <c r="E36" s="43">
        <f>+D36-J4-J5-J6</f>
        <v>190600</v>
      </c>
    </row>
    <row r="37" spans="3:8" x14ac:dyDescent="0.35">
      <c r="C37" s="47" t="s">
        <v>33</v>
      </c>
      <c r="D37" s="48">
        <f>D36*13%</f>
        <v>24778</v>
      </c>
      <c r="E37">
        <f>+D37-K4-K5-K6</f>
        <v>24778</v>
      </c>
    </row>
    <row r="38" spans="3:8" ht="15" thickBot="1" x14ac:dyDescent="0.4">
      <c r="C38" s="47" t="s">
        <v>30</v>
      </c>
      <c r="D38" s="30">
        <f>SUM(M4:M27)</f>
        <v>131750</v>
      </c>
      <c r="G38" s="100"/>
    </row>
    <row r="39" spans="3:8" ht="15" thickBot="1" x14ac:dyDescent="0.4">
      <c r="C39" s="49" t="s">
        <v>4</v>
      </c>
      <c r="D39" s="80">
        <f>+D36-D37-D38</f>
        <v>34072</v>
      </c>
      <c r="F39" s="98">
        <f>+P32-D39</f>
        <v>1878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34072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61</v>
      </c>
      <c r="D2" s="268"/>
      <c r="E2" s="267">
        <f>DigitaDOMINICANA!E2</f>
        <v>37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31500</v>
      </c>
      <c r="D10" s="30">
        <f>IF(Vendedor7!$E$24="",0,Vendedor7!$E$24)</f>
        <v>0</v>
      </c>
      <c r="E10" s="180">
        <f>IF(Vendedor7!$C$25="",0,Vendedor7!$C$25)</f>
        <v>34750</v>
      </c>
      <c r="F10" s="30">
        <f>IF(Vendedor7!$E$25="",0,Vendedor7!$E$25)</f>
        <v>0</v>
      </c>
      <c r="H10" s="42">
        <f t="shared" si="1"/>
        <v>66250</v>
      </c>
      <c r="I10" s="41">
        <f>MROUND(H10*Vendedor7!J$14,50)</f>
        <v>7950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58300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31500</v>
      </c>
      <c r="D32" s="44">
        <f>SUM(D4:D31)</f>
        <v>0</v>
      </c>
      <c r="E32" s="43">
        <f>SUM(E4:E31)</f>
        <v>34750</v>
      </c>
      <c r="F32" s="44">
        <f>SUM(F4:F31)</f>
        <v>0</v>
      </c>
      <c r="H32" s="95">
        <f>SUM(H4:H31)</f>
        <v>66250</v>
      </c>
      <c r="I32" s="45">
        <f>SUM(I7:I31)</f>
        <v>7950</v>
      </c>
      <c r="J32" s="95"/>
      <c r="K32" s="95">
        <f>SUM(K4:K31)</f>
        <v>0</v>
      </c>
      <c r="L32" s="95">
        <f>SUM(L4:L31)</f>
        <v>0</v>
      </c>
      <c r="N32" s="79">
        <f>SUM(N4:N31)</f>
        <v>58300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66250</v>
      </c>
      <c r="E36" s="43">
        <f>+D36-H4-H5-H6</f>
        <v>66250</v>
      </c>
    </row>
    <row r="37" spans="3:6" x14ac:dyDescent="0.35">
      <c r="C37" s="47" t="s">
        <v>33</v>
      </c>
      <c r="D37" s="48">
        <f>D36*13%</f>
        <v>8612.5</v>
      </c>
      <c r="E37">
        <f>+D37-I4-I5-I6</f>
        <v>8612.5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57637.5</v>
      </c>
      <c r="F39" s="98">
        <f>+N32-D39</f>
        <v>662.5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57637.5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activeCell="G13" sqref="G13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1167600</v>
      </c>
      <c r="C4" s="157">
        <f>HojaNICA!M32</f>
        <v>140150</v>
      </c>
      <c r="D4" s="150">
        <f>HojaNICA!E37</f>
        <v>151820.5</v>
      </c>
      <c r="E4" s="150">
        <f>HojaNICA!P32</f>
        <v>776250</v>
      </c>
      <c r="F4" s="150">
        <f>HojaNICA!O32</f>
        <v>782000</v>
      </c>
      <c r="G4" s="151">
        <f t="shared" ref="G4:G10" si="0">+D4-C4+F4-E4</f>
        <v>17420.5</v>
      </c>
      <c r="H4" s="21"/>
      <c r="I4" s="182"/>
    </row>
    <row r="5" spans="1:9" x14ac:dyDescent="0.35">
      <c r="A5" s="28" t="s">
        <v>19</v>
      </c>
      <c r="B5" s="156">
        <f>HojaTICA!$E$36</f>
        <v>1555250</v>
      </c>
      <c r="C5" s="157">
        <f>HojaTICA!K32</f>
        <v>189950</v>
      </c>
      <c r="D5" s="150">
        <f>HojaTICA!E37</f>
        <v>202147</v>
      </c>
      <c r="E5" s="150">
        <f>HojaTICA!N32</f>
        <v>956250</v>
      </c>
      <c r="F5" s="150">
        <f>HojaTICA!D38</f>
        <v>956250</v>
      </c>
      <c r="G5" s="151">
        <f t="shared" si="0"/>
        <v>12197</v>
      </c>
      <c r="H5" s="21"/>
      <c r="I5" s="182"/>
    </row>
    <row r="6" spans="1:9" x14ac:dyDescent="0.35">
      <c r="A6" s="28" t="s">
        <v>125</v>
      </c>
      <c r="B6" s="156">
        <f>HojaREVENTADO!$E$37</f>
        <v>194000</v>
      </c>
      <c r="C6" s="157">
        <f>HojaREVENTADO!K33</f>
        <v>19400</v>
      </c>
      <c r="D6" s="150">
        <f>HojaREVENTADO!E38</f>
        <v>19400</v>
      </c>
      <c r="E6" s="150">
        <f>HojaREVENTADO!O33</f>
        <v>80000</v>
      </c>
      <c r="F6" s="150">
        <f>HojaREVENTADO!N33</f>
        <v>88000</v>
      </c>
      <c r="G6" s="151">
        <f t="shared" si="0"/>
        <v>8000</v>
      </c>
      <c r="H6" s="21"/>
      <c r="I6" s="182"/>
    </row>
    <row r="7" spans="1:9" x14ac:dyDescent="0.35">
      <c r="A7" s="28" t="s">
        <v>96</v>
      </c>
      <c r="B7" s="156">
        <f>HojaPrimera!$E$36</f>
        <v>334400</v>
      </c>
      <c r="C7" s="157">
        <f>HojaPrimera!I32</f>
        <v>40200</v>
      </c>
      <c r="D7" s="150">
        <f>HojaPrimera!E37</f>
        <v>43459</v>
      </c>
      <c r="E7" s="150">
        <f>HojaPrimera!L32</f>
        <v>696250</v>
      </c>
      <c r="F7" s="150">
        <f>HojaPrimera!K32</f>
        <v>697000</v>
      </c>
      <c r="G7" s="151">
        <f t="shared" si="0"/>
        <v>4009</v>
      </c>
      <c r="H7" s="21"/>
      <c r="I7" s="21"/>
    </row>
    <row r="8" spans="1:9" x14ac:dyDescent="0.35">
      <c r="A8" s="28" t="s">
        <v>104</v>
      </c>
      <c r="B8" s="156">
        <f>HojaHonduras!$E$36</f>
        <v>190600</v>
      </c>
      <c r="C8" s="157">
        <f>HojaHonduras!K32</f>
        <v>22900</v>
      </c>
      <c r="D8" s="150">
        <f>HojaHonduras!E37</f>
        <v>24778</v>
      </c>
      <c r="E8" s="150">
        <f>HojaHonduras!N32</f>
        <v>131750</v>
      </c>
      <c r="F8" s="150">
        <f>HojaHonduras!M32</f>
        <v>131750</v>
      </c>
      <c r="G8" s="151">
        <f t="shared" si="0"/>
        <v>1878</v>
      </c>
      <c r="H8" s="21"/>
      <c r="I8" s="21"/>
    </row>
    <row r="9" spans="1:9" x14ac:dyDescent="0.35">
      <c r="A9" s="28" t="s">
        <v>20</v>
      </c>
      <c r="B9" s="156">
        <f>HojaDominicana!$E$36</f>
        <v>66250</v>
      </c>
      <c r="C9" s="157">
        <f>HojaDominicana!I32</f>
        <v>7950</v>
      </c>
      <c r="D9" s="150">
        <f>HojaDominicana!E37</f>
        <v>8612.5</v>
      </c>
      <c r="E9" s="150">
        <f>HojaDominicana!L32</f>
        <v>0</v>
      </c>
      <c r="F9" s="150">
        <f>HojaDominicana!K32</f>
        <v>0</v>
      </c>
      <c r="G9" s="151">
        <f t="shared" si="0"/>
        <v>662.5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3508100</v>
      </c>
      <c r="C11" s="175">
        <f>SUM(C4:C10)</f>
        <v>420550</v>
      </c>
      <c r="D11" s="175">
        <f t="shared" ref="D11:F11" si="1">SUM(D4:D10)</f>
        <v>450217</v>
      </c>
      <c r="E11" s="175">
        <f t="shared" si="1"/>
        <v>2640500</v>
      </c>
      <c r="F11" s="175">
        <f t="shared" si="1"/>
        <v>2655000</v>
      </c>
      <c r="G11" s="176">
        <f>SUM(G4:G10)</f>
        <v>44167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9167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233850</v>
      </c>
      <c r="E16" s="157">
        <f>+Vendedor1!D21</f>
        <v>30400.5</v>
      </c>
      <c r="F16" s="158">
        <f>IF(D16&lt;&gt;0,15000,0)</f>
        <v>15000</v>
      </c>
      <c r="G16" s="151">
        <f>+E16-F16</f>
        <v>15400.5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202950</v>
      </c>
      <c r="E17" s="157">
        <f>+Vendedor2!D21</f>
        <v>26383.5</v>
      </c>
      <c r="F17" s="158">
        <f>IF(D17&lt;&gt;0,15000,0)</f>
        <v>15000</v>
      </c>
      <c r="G17" s="151">
        <f>+E17-F17</f>
        <v>11383.5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436800</v>
      </c>
      <c r="E19" s="159">
        <f>SUM(E16:E18)</f>
        <v>56784</v>
      </c>
      <c r="F19" s="160">
        <f>SUM(F16:F18)</f>
        <v>30000</v>
      </c>
      <c r="G19" s="161">
        <f>SUM(G16:G18)</f>
        <v>26784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35951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1232850</v>
      </c>
      <c r="C5" s="150">
        <f>HojaNICA!D37</f>
        <v>160270.5</v>
      </c>
      <c r="D5" s="150">
        <f>HojaNICA!D38</f>
        <v>782000</v>
      </c>
      <c r="E5" s="150"/>
      <c r="F5" s="151">
        <f>+B5-C5-D5+E5</f>
        <v>290579.5</v>
      </c>
      <c r="H5" s="249" t="s">
        <v>105</v>
      </c>
      <c r="I5" s="243">
        <f ca="1">TODAY()-1</f>
        <v>46128</v>
      </c>
      <c r="O5" s="119"/>
    </row>
    <row r="6" spans="1:15" ht="15" thickBot="1" x14ac:dyDescent="0.4">
      <c r="A6" s="47" t="s">
        <v>36</v>
      </c>
      <c r="B6" s="150">
        <f>HojaTICA!D36</f>
        <v>1916900</v>
      </c>
      <c r="C6" s="150">
        <f>HojaTICA!D37</f>
        <v>249197</v>
      </c>
      <c r="D6" s="150">
        <f>HojaTICA!D38</f>
        <v>956250</v>
      </c>
      <c r="E6" s="150"/>
      <c r="F6" s="151">
        <f t="shared" ref="F6:F11" si="0">+B6-C6-D6+E6</f>
        <v>711453</v>
      </c>
      <c r="H6" s="256">
        <v>-1200000</v>
      </c>
    </row>
    <row r="7" spans="1:15" ht="15" thickBot="1" x14ac:dyDescent="0.4">
      <c r="A7" s="47" t="s">
        <v>38</v>
      </c>
      <c r="B7" s="150">
        <f>HojaREVENTADO!D37</f>
        <v>194000</v>
      </c>
      <c r="C7" s="150">
        <f>HojaREVENTADO!D38</f>
        <v>19400</v>
      </c>
      <c r="D7" s="150">
        <f>HojaREVENTADO!D39</f>
        <v>88000</v>
      </c>
      <c r="E7" s="150"/>
      <c r="F7" s="151">
        <f t="shared" si="0"/>
        <v>86600</v>
      </c>
    </row>
    <row r="8" spans="1:15" x14ac:dyDescent="0.35">
      <c r="A8" s="47" t="s">
        <v>96</v>
      </c>
      <c r="B8" s="150">
        <f>HojaPrimera!$D36</f>
        <v>344300</v>
      </c>
      <c r="C8" s="150">
        <f>HojaPrimera!$D37</f>
        <v>44759</v>
      </c>
      <c r="D8" s="150">
        <f>HojaPrimera!$D38</f>
        <v>697000</v>
      </c>
      <c r="E8" s="150"/>
      <c r="F8" s="151">
        <f t="shared" si="0"/>
        <v>-397459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190600</v>
      </c>
      <c r="C9" s="150">
        <f>HojaHonduras!$D37</f>
        <v>24778</v>
      </c>
      <c r="D9" s="150">
        <f>HojaHonduras!$D38</f>
        <v>131750</v>
      </c>
      <c r="E9" s="150"/>
      <c r="F9" s="151">
        <f t="shared" si="0"/>
        <v>34072</v>
      </c>
      <c r="H9" s="250">
        <f>+K12-K10-H6</f>
        <v>782883</v>
      </c>
    </row>
    <row r="10" spans="1:15" ht="15" thickBot="1" x14ac:dyDescent="0.4">
      <c r="A10" s="47" t="s">
        <v>20</v>
      </c>
      <c r="B10" s="150">
        <f>HojaDominicana!$D36</f>
        <v>66250</v>
      </c>
      <c r="C10" s="150">
        <f>HojaDominicana!$D37</f>
        <v>8612.5</v>
      </c>
      <c r="D10" s="150">
        <f>HojaDominicana!$D38</f>
        <v>0</v>
      </c>
      <c r="E10" s="150"/>
      <c r="F10" s="151">
        <f t="shared" si="0"/>
        <v>57637.5</v>
      </c>
      <c r="H10" s="154"/>
      <c r="J10" t="s">
        <v>148</v>
      </c>
      <c r="K10" s="252">
        <v>6355658.4100000001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5938541.4100000001</v>
      </c>
    </row>
    <row r="12" spans="1:15" ht="16" thickBot="1" x14ac:dyDescent="0.4">
      <c r="A12" s="144" t="s">
        <v>5</v>
      </c>
      <c r="B12" s="152">
        <f>SUM(B5:B11)</f>
        <v>3944900</v>
      </c>
      <c r="C12" s="152">
        <f>SUM(C5:C11)</f>
        <v>507017</v>
      </c>
      <c r="D12" s="152">
        <f>SUM(D5:D11)</f>
        <v>2655000</v>
      </c>
      <c r="E12" s="152"/>
      <c r="F12" s="255">
        <f>SUM(F5:F11)</f>
        <v>782883</v>
      </c>
      <c r="H12" s="251">
        <f>K12</f>
        <v>5938541.4100000001</v>
      </c>
      <c r="J12" t="s">
        <v>140</v>
      </c>
      <c r="K12" s="254">
        <f>1117590.39+3727973.74+484574.8+608402.48</f>
        <v>5938541.4100000001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194450</v>
      </c>
      <c r="K4" s="231">
        <f t="shared" ref="K4" si="0">D7+D11+D15</f>
        <v>25278.5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IF(DigitaNICA!C4&lt;&gt;"",DigitaNICA!C4,"")</f>
        <v>21100</v>
      </c>
      <c r="D5" s="42">
        <f>IF(C5="",0,C5*J$10)</f>
        <v>2743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18357</v>
      </c>
      <c r="I5" s="241" t="s">
        <v>37</v>
      </c>
      <c r="J5" s="221">
        <f>SUM(IF(C5="",0,C5),IF(C9="",0,C9),IF(C13="",0,C13),IF(C17="",0,C17))</f>
        <v>35500</v>
      </c>
      <c r="K5" s="225">
        <f t="shared" ref="K5" si="2">D5+D9+D13+D17</f>
        <v>4615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3900</v>
      </c>
      <c r="K6" s="228">
        <f>D19+D20</f>
        <v>507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IF(DigitaTICA!C4&lt;&gt;"",DigitaTICA!C4,"")</f>
        <v>43950</v>
      </c>
      <c r="D7" s="42">
        <f>IF(C7="",0,C7*J$9)</f>
        <v>5713.5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38236.5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10000</v>
      </c>
      <c r="D9" s="42">
        <f>IF(C9="",0,C9*J$10)</f>
        <v>1300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8700</v>
      </c>
      <c r="I9" s="76" t="s">
        <v>36</v>
      </c>
      <c r="J9" s="77">
        <v>0.13</v>
      </c>
      <c r="K9" s="78">
        <f>MROUND(D7+D11+D15,50)</f>
        <v>25300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IF(DigitaTICA!E4&lt;&gt;"",DigitaTICA!E4,"")</f>
        <v>33200</v>
      </c>
      <c r="D11" s="42">
        <f>IF(C11="",0,C11*J$9)</f>
        <v>4316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-13616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IF(DigitaNICA!G4&lt;&gt;"",DigitaNICA!G4,"")</f>
        <v>1200</v>
      </c>
      <c r="D13" s="42">
        <f>IF(C13="",0,C13*J$10)</f>
        <v>156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1044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IF(DigitaTICA!G4&lt;&gt;"",DigitaTICA!G4,"")</f>
        <v>117300</v>
      </c>
      <c r="D15" s="42">
        <f>IF(C15="",0,C15*J$9)</f>
        <v>15249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59551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IF(DigitaNICA!I4&lt;&gt;"",DigitaNICA!I4,"")</f>
        <v>3200</v>
      </c>
      <c r="D17" s="42">
        <f>IF(C17="",0,C17*J$10)</f>
        <v>416</v>
      </c>
      <c r="E17" s="29">
        <f>IF(DigitaNICA!J4&lt;&gt;"",DigitaNICA!J4,"")</f>
        <v>200</v>
      </c>
      <c r="F17" s="42">
        <f>IF(E17="",0,E17*PREMIOS!E17)</f>
        <v>16000</v>
      </c>
      <c r="G17" s="30">
        <f t="shared" si="3"/>
        <v>-13216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IF(DigitaPRIMERA!C4&lt;&gt;"",DigitaPRIMERA!C4,"")</f>
        <v>3900</v>
      </c>
      <c r="D19" s="42">
        <f>IF(C19="",0,C19*J$12)</f>
        <v>507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3393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233850</v>
      </c>
      <c r="D21" s="122">
        <f t="shared" ref="D21:G21" si="6">SUM(D5:D20)</f>
        <v>30400.5</v>
      </c>
      <c r="E21" s="122">
        <f t="shared" si="6"/>
        <v>1200</v>
      </c>
      <c r="F21" s="122">
        <f t="shared" si="6"/>
        <v>101000</v>
      </c>
      <c r="G21" s="123">
        <f t="shared" si="6"/>
        <v>102449.5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167200</v>
      </c>
      <c r="K4" s="231">
        <f t="shared" ref="K4" si="0">D7+D11+D15</f>
        <v>21736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IF(DigitaNICA!C5&lt;&gt;"",DigitaNICA!C5,"")</f>
        <v>13500</v>
      </c>
      <c r="D5" s="42">
        <f>IF(C5="",0,C5*J$10)</f>
        <v>1755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11745</v>
      </c>
      <c r="I5" s="241" t="s">
        <v>37</v>
      </c>
      <c r="J5" s="221">
        <f>SUM(IF(C5="",0,C5),IF(C9="",0,C9),IF(C13="",0,C13),IF(C17="",0,C17))</f>
        <v>29750</v>
      </c>
      <c r="K5" s="225">
        <f t="shared" ref="K5" si="2">D5+D9+D13+D17</f>
        <v>3867.5</v>
      </c>
      <c r="L5" s="222">
        <f>F5+F9+F13+F17</f>
        <v>20000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6000</v>
      </c>
      <c r="K6" s="228">
        <f>D19+D20</f>
        <v>780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IF(DigitaTICA!C5&lt;&gt;"",DigitaTICA!C5,"")</f>
        <v>59000</v>
      </c>
      <c r="D7" s="42">
        <f>IF(C7="",0,C7*J$9)</f>
        <v>7670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51330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14200</v>
      </c>
      <c r="D9" s="42">
        <f>IF(C9="",0,C9*J$10)</f>
        <v>1846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12354</v>
      </c>
      <c r="I9" s="60" t="s">
        <v>36</v>
      </c>
      <c r="J9" s="61">
        <v>0.13</v>
      </c>
      <c r="K9" s="62">
        <f>MROUND(D7+D11+D15,50)</f>
        <v>21750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3850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IF(DigitaTICA!E5&lt;&gt;"",DigitaTICA!E5,"")</f>
        <v>39100</v>
      </c>
      <c r="D11" s="42">
        <f>IF(C11="",0,C11*J$9)</f>
        <v>5083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34017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IF(DigitaNICA!G5&lt;&gt;"",DigitaNICA!G5,"")</f>
        <v>2050</v>
      </c>
      <c r="D13" s="42">
        <f>IF(C13="",0,C13*J$10)</f>
        <v>266.5</v>
      </c>
      <c r="E13" s="29">
        <f>IF(DigitaNICA!H5&lt;&gt;"",DigitaNICA!H5,"")</f>
        <v>250</v>
      </c>
      <c r="F13" s="42">
        <f>IF(E13="",0,E13*PREMIOS!E13)</f>
        <v>20000</v>
      </c>
      <c r="G13" s="30">
        <f>IF(OR(C13="",E13=""),0,C13-D13-F13)</f>
        <v>-18216.5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IF(DigitaTICA!G5&lt;&gt;"",DigitaTICA!G5,"")</f>
        <v>69100</v>
      </c>
      <c r="D15" s="42">
        <f>IF(C15="",0,C15*J$9)</f>
        <v>8983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17617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IF(DigitaPRIMERA!E5&lt;&gt;"",DigitaPRIMERA!E5,"")</f>
        <v>6000</v>
      </c>
      <c r="D20" s="42">
        <f>IF(C20="",0,C20*J$12)</f>
        <v>780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5220</v>
      </c>
    </row>
    <row r="21" spans="1:7" ht="15" thickBot="1" x14ac:dyDescent="0.4">
      <c r="A21" s="67" t="s">
        <v>5</v>
      </c>
      <c r="B21" s="127"/>
      <c r="C21" s="68">
        <f>SUM(C5:C20)</f>
        <v>202950</v>
      </c>
      <c r="D21" s="68">
        <f t="shared" ref="D21:G21" si="4">SUM(D5:D20)</f>
        <v>26383.5</v>
      </c>
      <c r="E21" s="68">
        <f t="shared" si="4"/>
        <v>750</v>
      </c>
      <c r="F21" s="68">
        <f t="shared" si="4"/>
        <v>62500</v>
      </c>
      <c r="G21" s="88">
        <f t="shared" si="4"/>
        <v>114066.5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158200</v>
      </c>
      <c r="K4" s="231">
        <f t="shared" ref="K4" si="0">D7+D11+D15</f>
        <v>18984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IF(DigitaNICA!C8&lt;&gt;"",DigitaNICA!C8,"")</f>
        <v>41900</v>
      </c>
      <c r="D5" s="42">
        <f>IF(C5="",0,C5*J$12)</f>
        <v>5028</v>
      </c>
      <c r="E5" s="29">
        <f>IF(DigitaNICA!D8&lt;&gt;"",DigitaNICA!D8,"")</f>
        <v>350</v>
      </c>
      <c r="F5" s="42">
        <f>IF(E5="",0,E5*PREMIOS!E5)</f>
        <v>28000</v>
      </c>
      <c r="G5" s="30">
        <f t="shared" ref="G5:G12" si="1">IF(OR(C5="",E5=""),0,C5-D5-F5)</f>
        <v>8872</v>
      </c>
      <c r="I5" s="241" t="s">
        <v>37</v>
      </c>
      <c r="J5" s="221">
        <f>SUM(IF(C5="",0,C5),IF(C9="",0,C9),IF(C13="",0,C13),IF(C17="",0,C17))</f>
        <v>83750</v>
      </c>
      <c r="K5" s="225">
        <f t="shared" ref="K5" si="2">D5+D9+D13+D17</f>
        <v>10050</v>
      </c>
      <c r="L5" s="222">
        <f>F5+F9+F13+F17</f>
        <v>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IF(DigitaTICA!C8&lt;&gt;"",DigitaTICA!C8,"")</f>
        <v>52350</v>
      </c>
      <c r="D7" s="42">
        <f>IF(C7="",0,C7*J$11)</f>
        <v>6282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46068</v>
      </c>
      <c r="I7" s="242" t="s">
        <v>96</v>
      </c>
      <c r="J7" s="224">
        <f>SUM(IF(C19="",0,C19),IF(C20="",0,C20))</f>
        <v>19850</v>
      </c>
      <c r="K7" s="228">
        <f>+D19+D20</f>
        <v>2382</v>
      </c>
      <c r="L7" s="229">
        <f>+F19+F20</f>
        <v>12000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IF(DigitaNICA!E8&lt;&gt;"",DigitaNICA!E8,"")</f>
        <v>23750</v>
      </c>
      <c r="D9" s="42">
        <f>IF(C9="",0,C9*J$12)</f>
        <v>2850</v>
      </c>
      <c r="E9" s="29">
        <f>IF(DigitaNICA!F8&lt;&gt;"",DigitaNICA!F8,"")</f>
        <v>350</v>
      </c>
      <c r="F9" s="42">
        <f>IF(E9="",0,E9*PREMIOS!E9)</f>
        <v>28000</v>
      </c>
      <c r="G9" s="30">
        <f t="shared" si="1"/>
        <v>-7100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IF(DigitaTICA!E8&lt;&gt;"",DigitaTICA!E8,"")</f>
        <v>60750</v>
      </c>
      <c r="D11" s="42">
        <f>IF(C11="",0,C11*J$11)</f>
        <v>7290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32210</v>
      </c>
      <c r="I11" s="60" t="s">
        <v>36</v>
      </c>
      <c r="J11" s="61">
        <v>0.12</v>
      </c>
      <c r="K11" s="62">
        <f>MROUND(D7+D11+D15,50)</f>
        <v>19000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10050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IF(DigitaNICA!G8&lt;&gt;"",DigitaNICA!G8,"")</f>
        <v>7200</v>
      </c>
      <c r="D13" s="42">
        <f>IF(C13="",0,C13*J$12)</f>
        <v>864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6336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2400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IF(DigitaTICA!G8&lt;&gt;"",DigitaTICA!G8,"")</f>
        <v>45100</v>
      </c>
      <c r="D15" s="42">
        <f>IF(C15="",0,C15*J$11)</f>
        <v>5412</v>
      </c>
      <c r="E15" s="29">
        <f>IF(DigitaTICA!H8&lt;&gt;"",DigitaTICA!H8,"")</f>
        <v>1750</v>
      </c>
      <c r="F15" s="42">
        <f>IF(E15="",0,E15*PREMIOS!F15)</f>
        <v>148750</v>
      </c>
      <c r="G15" s="30">
        <f t="shared" si="4"/>
        <v>-109062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IF(DigitaNICA!I8&lt;&gt;"",DigitaNICA!I8,"")</f>
        <v>10900</v>
      </c>
      <c r="D17" s="42">
        <f>IF(C17="",0,C17*J$12)</f>
        <v>1308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9592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IF(DigitaPRIMERA!C8&lt;&gt;"",DigitaPRIMERA!C8,"")</f>
        <v>14900</v>
      </c>
      <c r="D19" s="42">
        <f>IF(C19="",0,C19*J$14)</f>
        <v>1788</v>
      </c>
      <c r="E19" s="29">
        <f>IF(DigitaPRIMERA!D8&lt;&gt;"",DigitaPRIMERA!D8,"")</f>
        <v>150</v>
      </c>
      <c r="F19" s="42">
        <f>IF(E19="",0,E19*PREMIOS!E19)</f>
        <v>12000</v>
      </c>
      <c r="G19" s="30">
        <f t="shared" si="4"/>
        <v>1112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IF(DigitaPRIMERA!E8&lt;&gt;"",DigitaPRIMERA!E8,"")</f>
        <v>4950</v>
      </c>
      <c r="D20" s="42">
        <f>IF(C20="",0,C20*J$14)</f>
        <v>594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4356</v>
      </c>
    </row>
    <row r="21" spans="1:7" ht="15" thickBot="1" x14ac:dyDescent="0.4">
      <c r="A21" s="121" t="s">
        <v>5</v>
      </c>
      <c r="B21" s="128"/>
      <c r="C21" s="122">
        <f>SUM(C5:C20)</f>
        <v>261800</v>
      </c>
      <c r="D21" s="122">
        <f t="shared" ref="D21:G21" si="5">SUM(D5:D20)</f>
        <v>31416</v>
      </c>
      <c r="E21" s="122">
        <f t="shared" si="5"/>
        <v>2850</v>
      </c>
      <c r="F21" s="122">
        <f t="shared" si="5"/>
        <v>238000</v>
      </c>
      <c r="G21" s="123">
        <f t="shared" si="5"/>
        <v>-7616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491550</v>
      </c>
      <c r="K4" s="231">
        <f t="shared" ref="K4" si="0">D7+D11+D15</f>
        <v>58986</v>
      </c>
      <c r="L4" s="220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IF(DigitaNICA!C10&lt;&gt;"",DigitaNICA!C10,"")</f>
        <v>176400</v>
      </c>
      <c r="D5" s="42">
        <f>IF(C5="",0,C5*J$15)</f>
        <v>21168</v>
      </c>
      <c r="E5" s="29">
        <f>IF(DigitaNICA!D10&lt;&gt;"",DigitaNICA!D10,"")</f>
        <v>1250</v>
      </c>
      <c r="F5" s="42">
        <f>IF(E5="",0,E5*PREMIOS!F5)</f>
        <v>106250</v>
      </c>
      <c r="G5" s="30">
        <f t="shared" ref="G5:G12" si="1">IF(OR(C5="",E5=""),0,C5-D5-F5)</f>
        <v>48982</v>
      </c>
      <c r="I5" s="217" t="s">
        <v>37</v>
      </c>
      <c r="J5" s="221">
        <f>SUM(IF(C5="",0,C5),IF(C9="",0,C9),IF(C13="",0,C13),IF(C17="",0,C17))</f>
        <v>497650</v>
      </c>
      <c r="K5" s="225">
        <f t="shared" ref="K5" si="2">D5+D9+D13+D17</f>
        <v>59718</v>
      </c>
      <c r="L5" s="222">
        <f>F5+F9+F13+F17</f>
        <v>374000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90450</v>
      </c>
      <c r="K6" s="226">
        <f t="shared" ref="K6" si="3">+D8+D12+D16</f>
        <v>9045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26</v>
      </c>
      <c r="C7" s="29">
        <f>IF(DigitaTICA!C10&lt;&gt;"",DigitaTICA!C10,"")</f>
        <v>209750</v>
      </c>
      <c r="D7" s="42">
        <f>IF(C7="",0,C7*J$14)</f>
        <v>25170</v>
      </c>
      <c r="E7" s="29">
        <f>IF(DigitaTICA!D10&lt;&gt;"",DigitaTICA!D10,"")</f>
        <v>250</v>
      </c>
      <c r="F7" s="42">
        <f>IF(E7="",0,E7*PREMIOS!F7)</f>
        <v>21250</v>
      </c>
      <c r="G7" s="30">
        <f t="shared" si="1"/>
        <v>163330</v>
      </c>
      <c r="I7" s="217" t="s">
        <v>96</v>
      </c>
      <c r="J7" s="223">
        <f>SUM(IF(C19="",0,C19),IF(C20="",0,C20))</f>
        <v>76100</v>
      </c>
      <c r="K7" s="226">
        <f>+D19+D20</f>
        <v>9132</v>
      </c>
      <c r="L7" s="227">
        <f>+F19+F20</f>
        <v>85000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35800</v>
      </c>
      <c r="D8" s="42">
        <f>IF(C8="",0,C8*J$16)</f>
        <v>3580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32220</v>
      </c>
      <c r="I8" s="217" t="s">
        <v>104</v>
      </c>
      <c r="J8" s="223">
        <f>SUM(IF(C21="",0,C21),IF(C22="",0,C22),IF(C23="",0,C23))</f>
        <v>106050</v>
      </c>
      <c r="K8" s="226">
        <f t="shared" ref="K8" si="4">D21+D22+D23</f>
        <v>12726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111350</v>
      </c>
      <c r="D9" s="42">
        <f>IF(C9="",0,C9*J$15)</f>
        <v>13362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97988</v>
      </c>
      <c r="I9" s="217" t="s">
        <v>20</v>
      </c>
      <c r="J9" s="223">
        <f>SUM(IF(C24="",0,C24),IF(C25="",0,C25))</f>
        <v>66250</v>
      </c>
      <c r="K9" s="226">
        <f t="shared" ref="K9" si="5">+D24+D25</f>
        <v>7950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IF(DigitaTICA!E10&lt;&gt;"",DigitaTICA!E10,"")</f>
        <v>120250</v>
      </c>
      <c r="D11" s="42">
        <f>IF(C11="",0,C11*J$14)</f>
        <v>14430</v>
      </c>
      <c r="E11" s="29">
        <f>IF(DigitaTICA!F10&lt;&gt;"",DigitaTICA!F10,"")</f>
        <v>1400</v>
      </c>
      <c r="F11" s="42">
        <f>IF(E11="",0,E11*PREMIOS!F11)</f>
        <v>119000</v>
      </c>
      <c r="G11" s="30">
        <f t="shared" si="1"/>
        <v>-13180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20450</v>
      </c>
      <c r="D12" s="42">
        <f>IF(C12="",0,C12*J$16)</f>
        <v>2045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18405</v>
      </c>
    </row>
    <row r="13" spans="1:12" ht="15" thickBot="1" x14ac:dyDescent="0.4">
      <c r="A13" s="28" t="s">
        <v>50</v>
      </c>
      <c r="B13" s="132">
        <f>IF(DigitaNICA!G2&lt;&gt;"",DigitaNICA!G2,"")</f>
        <v>41</v>
      </c>
      <c r="C13" s="29">
        <f>IF(DigitaNICA!G10&lt;&gt;"",DigitaNICA!G10,"")</f>
        <v>85300</v>
      </c>
      <c r="D13" s="42">
        <f>IF(C13="",0,C13*J$15)</f>
        <v>10236</v>
      </c>
      <c r="E13" s="29">
        <f>IF(DigitaNICA!H10&lt;&gt;"",DigitaNICA!H10,"")</f>
        <v>1500</v>
      </c>
      <c r="F13" s="42">
        <f>IF(E13="",0,E13*PREMIOS!F13)</f>
        <v>127500</v>
      </c>
      <c r="G13" s="30">
        <f>IF(OR(C13="",E13=""),0,C13-D13-F13)</f>
        <v>-52436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59000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IF(DigitaTICA!G10&lt;&gt;"",DigitaTICA!G10,"")</f>
        <v>161550</v>
      </c>
      <c r="D15" s="42">
        <f>IF(C15="",0,C15*J$14)</f>
        <v>19386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108164</v>
      </c>
      <c r="I15" s="63" t="s">
        <v>37</v>
      </c>
      <c r="J15" s="64">
        <v>0.12</v>
      </c>
      <c r="K15" s="30">
        <f>MROUND(D5+D9+D13+D17,50)</f>
        <v>59700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34200</v>
      </c>
      <c r="D16" s="42">
        <f>IF(C16="",0,C16*J$16)</f>
        <v>3420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30780</v>
      </c>
      <c r="I16" s="63" t="s">
        <v>38</v>
      </c>
      <c r="J16" s="64">
        <v>0.1</v>
      </c>
      <c r="K16" s="30">
        <f>MROUND(D6+D8+D10+D12+D14+D16+D18,50)</f>
        <v>9050</v>
      </c>
    </row>
    <row r="17" spans="1:11" x14ac:dyDescent="0.35">
      <c r="A17" s="28" t="s">
        <v>52</v>
      </c>
      <c r="B17" s="132">
        <f>IF(DigitaNICA!I2&lt;&gt;"",DigitaNICA!I2,"")</f>
        <v>59</v>
      </c>
      <c r="C17" s="29">
        <f>IF(DigitaNICA!I10&lt;&gt;"",DigitaNICA!I10,"")</f>
        <v>124600</v>
      </c>
      <c r="D17" s="42">
        <f>IF(C17="",0,C17*J$15)</f>
        <v>14952</v>
      </c>
      <c r="E17" s="29">
        <f>IF(DigitaNICA!J10&lt;&gt;"",DigitaNICA!J10,"")</f>
        <v>1650</v>
      </c>
      <c r="F17" s="42">
        <f>IF(E17="",0,E17*PREMIOS!F17)</f>
        <v>140250</v>
      </c>
      <c r="G17" s="30">
        <f t="shared" si="6"/>
        <v>-30602</v>
      </c>
      <c r="I17" s="63" t="s">
        <v>96</v>
      </c>
      <c r="J17" s="64">
        <v>0.12</v>
      </c>
      <c r="K17" s="30">
        <f>MROUND(D19+D20,50)</f>
        <v>9150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12750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IF(DigitaPRIMERA!$C$10&lt;&gt;"",DigitaPRIMERA!$C$10,"")</f>
        <v>59850</v>
      </c>
      <c r="D19" s="42">
        <f>IF(C19="",0,C19*J$17)</f>
        <v>7182</v>
      </c>
      <c r="E19" s="29">
        <f>IF(DigitaPRIMERA!$D$10&lt;&gt;"",DigitaPRIMERA!$D$10,"")</f>
        <v>1000</v>
      </c>
      <c r="F19" s="42">
        <f>IF(E19="",0,E19*PREMIOS!F19)</f>
        <v>85000</v>
      </c>
      <c r="G19" s="30">
        <f t="shared" ref="G19:G22" si="7">IF(OR(C19="",E19=""),0,C19-D19-F19)</f>
        <v>-32332</v>
      </c>
      <c r="I19" s="63" t="s">
        <v>20</v>
      </c>
      <c r="J19" s="64">
        <v>0.12</v>
      </c>
      <c r="K19" s="30">
        <f>MROUND(D24+D25,50)</f>
        <v>7950</v>
      </c>
    </row>
    <row r="20" spans="1:11" ht="15" thickBot="1" x14ac:dyDescent="0.4">
      <c r="A20" s="28" t="s">
        <v>98</v>
      </c>
      <c r="B20" s="132" t="str">
        <f>IF(DigitaPRIMERA!E2&lt;&gt;"",DigitaPRIMERA!E2,"")</f>
        <v>07</v>
      </c>
      <c r="C20" s="29">
        <f>IF(DigitaPRIMERA!$E$10&lt;&gt;"",DigitaPRIMERA!$E$10,"")</f>
        <v>16250</v>
      </c>
      <c r="D20" s="42">
        <f>IF(C20="",0,C20*J$17)</f>
        <v>1950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14300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39</v>
      </c>
      <c r="C21" s="29">
        <f>IF(DigitaHONDURAS!$C$10&lt;&gt;"",DigitaHONDURAS!$C$10,"")</f>
        <v>54900</v>
      </c>
      <c r="D21" s="42">
        <f>IF(C21="",0,C21*J$18)</f>
        <v>6588</v>
      </c>
      <c r="E21" s="29">
        <f>IF(DigitaHONDURAS!$D$10&lt;&gt;"",DigitaHONDURAS!$D$10,"")</f>
        <v>1000</v>
      </c>
      <c r="F21" s="42">
        <f>IF(E21="",0,E21*PREMIOS!F20)</f>
        <v>85000</v>
      </c>
      <c r="G21" s="30">
        <f t="shared" si="7"/>
        <v>-36688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>
        <f>IF(DigitaHONDURAS!$E$10&lt;&gt;"",DigitaHONDURAS!$E$10,"")</f>
        <v>23600</v>
      </c>
      <c r="D22" s="42">
        <f>IF(C22="",0,C22*J$18)</f>
        <v>2832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20768</v>
      </c>
    </row>
    <row r="23" spans="1:11" x14ac:dyDescent="0.35">
      <c r="A23" s="28" t="s">
        <v>101</v>
      </c>
      <c r="B23" s="132">
        <f>IF(DigitaHONDURAS!G2&lt;&gt;"",DigitaHONDURAS!G2,"")</f>
        <v>91</v>
      </c>
      <c r="C23" s="29">
        <f>IF(DigitaHONDURAS!$G$10&lt;&gt;"",DigitaHONDURAS!$G$10,"")</f>
        <v>27550</v>
      </c>
      <c r="D23" s="42">
        <f>IF(C23="",0,C23*J$18)</f>
        <v>3306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24244</v>
      </c>
    </row>
    <row r="24" spans="1:11" x14ac:dyDescent="0.35">
      <c r="A24" s="28" t="s">
        <v>107</v>
      </c>
      <c r="B24" s="132">
        <f>IF(DigitaDOMINICANA!C2&lt;&gt;"",DigitaDOMINICANA!C2,"")</f>
        <v>61</v>
      </c>
      <c r="C24" s="29">
        <f>IF(DigitaDOMINICANA!$C$10&lt;&gt;"",DigitaDOMINICANA!$C$10,"")</f>
        <v>31500</v>
      </c>
      <c r="D24" s="42">
        <f>IF(C24="",0,C24*J$19)</f>
        <v>3780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27720</v>
      </c>
    </row>
    <row r="25" spans="1:11" x14ac:dyDescent="0.35">
      <c r="A25" s="28" t="s">
        <v>108</v>
      </c>
      <c r="B25" s="132">
        <f>IF(DigitaDOMINICANA!E2&lt;&gt;"",DigitaDOMINICANA!E2,"")</f>
        <v>37</v>
      </c>
      <c r="C25" s="29">
        <f>IF(DigitaDOMINICANA!$E$10&lt;&gt;"",DigitaDOMINICANA!$E$10,"")</f>
        <v>34750</v>
      </c>
      <c r="D25" s="42">
        <f>IF(C25="",0,C25*J$19)</f>
        <v>4170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30580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1328050</v>
      </c>
      <c r="D27" s="68">
        <f t="shared" ref="D27:F27" si="9">SUM(D5:D26)</f>
        <v>157557</v>
      </c>
      <c r="E27" s="68">
        <f t="shared" si="9"/>
        <v>8450</v>
      </c>
      <c r="F27" s="68">
        <f t="shared" si="9"/>
        <v>718250</v>
      </c>
      <c r="G27" s="88">
        <f>SUM(G5:G26)</f>
        <v>452243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42900</v>
      </c>
      <c r="K4" s="231">
        <f t="shared" ref="K4" si="0">D7+D11+D15</f>
        <v>5148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38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IF(DigitaTICA!C11&lt;&gt;"",DigitaTICA!C11,"")</f>
        <v>7600</v>
      </c>
      <c r="D7" s="42">
        <f>IF(C7="",0,C7*J$11)</f>
        <v>912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6688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5150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IF(DigitaTICA!G11&lt;&gt;"",DigitaTICA!G11,"")</f>
        <v>35300</v>
      </c>
      <c r="D15" s="42">
        <f>IF(C15="",0,C15*J$11)</f>
        <v>4236</v>
      </c>
      <c r="E15" s="29">
        <f>IF(DigitaTICA!H11&lt;&gt;"",DigitaTICA!H11,"")</f>
        <v>500</v>
      </c>
      <c r="F15" s="133">
        <f>IF(E15="",0,E15*PREMIOS!F15)</f>
        <v>42500</v>
      </c>
      <c r="G15" s="30">
        <f t="shared" si="4"/>
        <v>-11436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42900</v>
      </c>
      <c r="D21" s="122">
        <f t="shared" ref="D21:G21" si="5">SUM(D5:D20)</f>
        <v>5148</v>
      </c>
      <c r="E21" s="122">
        <f t="shared" si="5"/>
        <v>500</v>
      </c>
      <c r="F21" s="122">
        <f t="shared" si="5"/>
        <v>42500</v>
      </c>
      <c r="G21" s="123">
        <f t="shared" si="5"/>
        <v>-4748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79250</v>
      </c>
      <c r="K4" s="231">
        <f>D7+D11+D15</f>
        <v>9510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IF(DigitaNICA!C12&lt;&gt;"",DigitaNICA!C12,"")</f>
        <v>37950</v>
      </c>
      <c r="D5" s="42">
        <f>IF(C5="",0,C5*J$12)</f>
        <v>4554</v>
      </c>
      <c r="E5" s="29">
        <f>IF(DigitaNICA!D12&lt;&gt;"",DigitaNICA!D12,"")</f>
        <v>700</v>
      </c>
      <c r="F5" s="42">
        <f>IF(E5="",0,E5*PREMIOS!F5)</f>
        <v>59500</v>
      </c>
      <c r="G5" s="30">
        <f t="shared" ref="G5:G12" si="0">IF(OR(C5="",E5=""),0,C5-D5-F5)</f>
        <v>-26104</v>
      </c>
      <c r="I5" s="217" t="s">
        <v>37</v>
      </c>
      <c r="J5" s="221">
        <f>SUM(IF(C5="",0,C5),IF(C9="",0,C9),IF(C13="",0,C13),IF(C17="",0,C17))</f>
        <v>53650</v>
      </c>
      <c r="K5" s="225">
        <f t="shared" ref="K5" si="1">D5+D9+D13+D17</f>
        <v>6438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3650</v>
      </c>
      <c r="K6" s="226">
        <f t="shared" ref="K6" si="2">+D8+D12+D16</f>
        <v>365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26</v>
      </c>
      <c r="C7" s="29">
        <f>IF(DigitaTICA!C12&lt;&gt;"",DigitaTICA!C12,"")</f>
        <v>36500</v>
      </c>
      <c r="D7" s="42">
        <f>IF(C7="",0,C7*J$11)</f>
        <v>4380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-52880</v>
      </c>
      <c r="I7" s="217" t="s">
        <v>96</v>
      </c>
      <c r="J7" s="223">
        <f>SUM(IF(C19="",0,C19),IF(C20="",0,C20))</f>
        <v>44850</v>
      </c>
      <c r="K7" s="226">
        <f>+D19+D20</f>
        <v>5382</v>
      </c>
      <c r="L7" s="227">
        <f>+F19+F20</f>
        <v>46750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3650</v>
      </c>
      <c r="D8" s="42">
        <f>IF(C8="",0,C8*J$13)</f>
        <v>365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3285</v>
      </c>
      <c r="I8" s="218" t="s">
        <v>104</v>
      </c>
      <c r="J8" s="224">
        <f>SUM(IF(C21="",0,C21),IF(C22="",0,C22),IF(C23="",0,C23))</f>
        <v>9550</v>
      </c>
      <c r="K8" s="228">
        <f>+D21+D22+D23</f>
        <v>1146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12700</v>
      </c>
      <c r="D9" s="42">
        <f>IF(C9="",0,C9*J$12)</f>
        <v>1524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11176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IF(DigitaTICA!E12&lt;&gt;"",DigitaTICA!E12,"")</f>
        <v>11000</v>
      </c>
      <c r="D11" s="42">
        <f>IF(C11="",0,C11*J$11)</f>
        <v>1320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9680</v>
      </c>
      <c r="I11" s="60" t="s">
        <v>36</v>
      </c>
      <c r="J11" s="61">
        <v>0.12</v>
      </c>
      <c r="K11" s="62">
        <f>MROUND(D7+D11+D15,50)</f>
        <v>9500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6450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IF(DigitaNICA!G12&lt;&gt;"",DigitaNICA!G12,"")</f>
        <v>3000</v>
      </c>
      <c r="D13" s="42">
        <f>IF(C13="",0,C13*J$12)</f>
        <v>360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5400</v>
      </c>
    </row>
    <row r="15" spans="1:12" ht="15" thickBot="1" x14ac:dyDescent="0.4">
      <c r="A15" s="28" t="s">
        <v>61</v>
      </c>
      <c r="B15" s="132">
        <f>IF(DigitaTICA!G2&lt;&gt;"",DigitaTICA!G2,"")</f>
        <v>62</v>
      </c>
      <c r="C15" s="29">
        <f>IF(DigitaTICA!G12&lt;&gt;"",DigitaTICA!G12,"")</f>
        <v>31750</v>
      </c>
      <c r="D15" s="42">
        <f>IF(C15="",0,C15*J$11)</f>
        <v>3810</v>
      </c>
      <c r="E15" s="29">
        <f>IF(DigitaTICA!H12&lt;&gt;"",DigitaTICA!H12,"")</f>
        <v>1250</v>
      </c>
      <c r="F15" s="42">
        <f>IF(E15="",0,E15*PREMIOS!F15)</f>
        <v>106250</v>
      </c>
      <c r="G15" s="30">
        <f t="shared" si="3"/>
        <v>-78310</v>
      </c>
      <c r="I15" s="65" t="s">
        <v>104</v>
      </c>
      <c r="J15" s="66">
        <v>0.12</v>
      </c>
      <c r="K15" s="50">
        <f>MROUND(D21+D22+D23,50)</f>
        <v>1150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>
        <f>IF(DigitaPRIMERA!$C$12&lt;&gt;"",DigitaPRIMERA!$C$12,"")</f>
        <v>44850</v>
      </c>
      <c r="D19" s="42">
        <f>IF(C19="",0,C19*J$14)</f>
        <v>5382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-7282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39</v>
      </c>
      <c r="C21" s="29">
        <f>IF(DigitaHONDURAS!$C$12&lt;&gt;"",DigitaHONDURAS!$C$12,"")</f>
        <v>9550</v>
      </c>
      <c r="D21" s="42">
        <f>IF(C21="",0,C21*J$15)</f>
        <v>1146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8404</v>
      </c>
    </row>
    <row r="22" spans="1:7" x14ac:dyDescent="0.35">
      <c r="A22" s="28" t="s">
        <v>100</v>
      </c>
      <c r="B22" s="132">
        <f>IF(DigitaHONDURAS!E2&lt;&gt;"",DigitaHONDURAS!E2,"")</f>
        <v>26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190950</v>
      </c>
      <c r="D24" s="68">
        <f t="shared" ref="D24:G24" si="4">SUM(D5:D23)</f>
        <v>22841</v>
      </c>
      <c r="E24" s="68">
        <f t="shared" si="4"/>
        <v>3500</v>
      </c>
      <c r="F24" s="68">
        <f t="shared" si="4"/>
        <v>297500</v>
      </c>
      <c r="G24" s="88">
        <f t="shared" si="4"/>
        <v>-129391</v>
      </c>
    </row>
    <row r="27" spans="1:7" x14ac:dyDescent="0.35">
      <c r="G27" s="21">
        <v>244121</v>
      </c>
    </row>
    <row r="28" spans="1:7" x14ac:dyDescent="0.35">
      <c r="G28" s="141">
        <f>+G24+G27</f>
        <v>114730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81500</v>
      </c>
      <c r="K4" s="231">
        <f t="shared" ref="K4" si="0">D7+D11+D15</f>
        <v>9780</v>
      </c>
      <c r="L4" s="220">
        <f>F7+F11+F15</f>
        <v>51000</v>
      </c>
    </row>
    <row r="5" spans="1:12" ht="15" thickBot="1" x14ac:dyDescent="0.4">
      <c r="A5" s="28" t="s">
        <v>43</v>
      </c>
      <c r="B5" s="132">
        <f>IF(DigitaNICA!C2&lt;&gt;"",DigitaNICA!C2,"")</f>
        <v>38</v>
      </c>
      <c r="C5" s="29">
        <f>IF(DigitaNICA!C13&lt;&gt;"",DigitaNICA!C13,"")</f>
        <v>23800</v>
      </c>
      <c r="D5" s="42">
        <f>IF(C5="",0,C5*J$10)</f>
        <v>2856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20944</v>
      </c>
      <c r="I5" s="218" t="s">
        <v>37</v>
      </c>
      <c r="J5" s="232">
        <f>SUM(IF(C5="",0,C5),IF(C9="",0,C9),IF(C13="",0,C13),IF(C17="",0,C17))</f>
        <v>52000</v>
      </c>
      <c r="K5" s="233">
        <f t="shared" ref="K5" si="2">D5+D9+D13+D17</f>
        <v>6240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IF(DigitaTICA!C13&lt;&gt;"",DigitaTICA!C13,"")</f>
        <v>18200</v>
      </c>
      <c r="D7" s="42">
        <f>IF(C7="",0,C7*J$9)</f>
        <v>2184</v>
      </c>
      <c r="E7" s="29">
        <f>IF(DigitaTICA!D13&lt;&gt;"",DigitaTICA!D13,"")</f>
        <v>300</v>
      </c>
      <c r="F7" s="133">
        <f>IF(E7="",0,E7*PREMIOS!F7)</f>
        <v>25500</v>
      </c>
      <c r="G7" s="30">
        <f t="shared" si="1"/>
        <v>-9484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22950</v>
      </c>
      <c r="D9" s="42">
        <f>IF(C9="",0,C9*J$10)</f>
        <v>2754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20196</v>
      </c>
      <c r="I9" s="60" t="s">
        <v>36</v>
      </c>
      <c r="J9" s="61">
        <v>0.12</v>
      </c>
      <c r="K9" s="62">
        <f>MROUND(D7+D11+D15,50)</f>
        <v>9800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6250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IF(DigitaTICA!E13&lt;&gt;"",DigitaTICA!E13,"")</f>
        <v>11350</v>
      </c>
      <c r="D11" s="42">
        <f>IF(C11="",0,C11*J$9)</f>
        <v>1362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9988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IF(DigitaNICA!G13&lt;&gt;"",DigitaNICA!G13,"")</f>
        <v>2400</v>
      </c>
      <c r="D13" s="42">
        <f>IF(C13="",0,C13*J$10)</f>
        <v>288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2112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IF(DigitaTICA!G13&lt;&gt;"",DigitaTICA!G13,"")</f>
        <v>51950</v>
      </c>
      <c r="D15" s="42">
        <f>IF(C15="",0,C15*J$9)</f>
        <v>6234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20216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IF(DigitaNICA!I13&lt;&gt;"",DigitaNICA!I13,"")</f>
        <v>2850</v>
      </c>
      <c r="D17" s="42">
        <f>IF(C17="",0,C17*J$10)</f>
        <v>342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2508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133500</v>
      </c>
      <c r="D19" s="68">
        <f>MROUND(SUM(D5:D18),50)</f>
        <v>16000</v>
      </c>
      <c r="E19" s="68">
        <f>SUM(E5:E18)</f>
        <v>600</v>
      </c>
      <c r="F19" s="68">
        <f>SUM(F5:F18)</f>
        <v>51000</v>
      </c>
      <c r="G19" s="88">
        <f>SUM(G5:G18)</f>
        <v>66480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109100</v>
      </c>
      <c r="K4" s="236">
        <f t="shared" ref="K4" si="0">D7+D11+D15</f>
        <v>16365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>
        <f>IF(DigitaTICA!C14&lt;&gt;"",DigitaTICA!C14,"")</f>
        <v>48300</v>
      </c>
      <c r="D7" s="42">
        <f>IF(C7="",0,C7*J$9)</f>
        <v>7245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41055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IF(DigitaTICA!E14&lt;&gt;"",DigitaTICA!E14,"")</f>
        <v>24950</v>
      </c>
      <c r="D11" s="42">
        <f>IF(C11="",0,C11*J$9)</f>
        <v>3742.5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21207.5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>
        <f>IF(DigitaTICA!G14&lt;&gt;"",DigitaTICA!G14,"")</f>
        <v>35850</v>
      </c>
      <c r="D15" s="42">
        <f>IF(C15="",0,C15*J$9)</f>
        <v>5377.5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30472.5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109100</v>
      </c>
      <c r="D19" s="68">
        <f>MROUND(SUM(D5:D18),50)</f>
        <v>16350</v>
      </c>
      <c r="E19" s="68">
        <f>SUM(E5:E18)</f>
        <v>0</v>
      </c>
      <c r="F19" s="68">
        <f>SUM(F5:F18)</f>
        <v>0</v>
      </c>
      <c r="G19" s="88">
        <f>SUM(G5:G18)</f>
        <v>92735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41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45000</v>
      </c>
      <c r="K4" s="231">
        <f>D7+D11+D15</f>
        <v>5400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38</v>
      </c>
      <c r="C5" s="29">
        <f>IF(DigitaNICA!C16&lt;&gt;"",DigitaNICA!C16,"")</f>
        <v>5900</v>
      </c>
      <c r="D5" s="42">
        <f>IF(C5="",0,C5*J$12)</f>
        <v>708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5192</v>
      </c>
      <c r="I5" s="63" t="s">
        <v>37</v>
      </c>
      <c r="J5" s="225">
        <f>SUM(IF(C5="",0,C5),IF(C9="",0,C9),IF(C13="",0,C13),IF(C17="",0,C17))</f>
        <v>22950</v>
      </c>
      <c r="K5" s="225">
        <f t="shared" ref="K5" si="1">D5+D9+D13+D17</f>
        <v>2754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</v>
      </c>
      <c r="K6" s="226">
        <f t="shared" ref="K6" si="2">+D8+D12+D16</f>
        <v>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26</v>
      </c>
      <c r="C7" s="29">
        <f>IF(DigitaTICA!C16&lt;&gt;"",DigitaTICA!C16,"")</f>
        <v>15100</v>
      </c>
      <c r="D7" s="42">
        <f>IF(C7="",0,C7*J$11)</f>
        <v>1812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13288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IF(DigitaTICA!E16&lt;&gt;"",DigitaTICA!E16,"")</f>
        <v>12500</v>
      </c>
      <c r="D11" s="42">
        <f>IF(C11="",0,C11*J$11)</f>
        <v>1500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11000</v>
      </c>
      <c r="I11" s="76" t="s">
        <v>36</v>
      </c>
      <c r="J11" s="77">
        <v>0.12</v>
      </c>
      <c r="K11" s="78">
        <f>MROUND(D7+D11+D15,50)</f>
        <v>5400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2750</v>
      </c>
    </row>
    <row r="13" spans="1:12" x14ac:dyDescent="0.35">
      <c r="A13" s="28" t="s">
        <v>50</v>
      </c>
      <c r="B13" s="132">
        <f>IF(DigitaNICA!G2&lt;&gt;"",DigitaNICA!G2,"")</f>
        <v>41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62</v>
      </c>
      <c r="C15" s="29">
        <f>IF(DigitaTICA!G16&lt;&gt;"",DigitaTICA!G16,"")</f>
        <v>17400</v>
      </c>
      <c r="D15" s="42">
        <f>IF(C15="",0,C15*J$11)</f>
        <v>2088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15312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IF(DigitaNICA!I16&lt;&gt;"",DigitaNICA!I16,"")</f>
        <v>16050</v>
      </c>
      <c r="D17" s="42">
        <f>IF(C17="",0,C17*J$12)</f>
        <v>1926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14124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68450</v>
      </c>
      <c r="D24" s="122">
        <f t="shared" ref="D24:G24" si="5">SUM(D5:D23)</f>
        <v>8204</v>
      </c>
      <c r="E24" s="122">
        <f t="shared" si="5"/>
        <v>0</v>
      </c>
      <c r="F24" s="122">
        <f t="shared" si="5"/>
        <v>0</v>
      </c>
      <c r="G24" s="123">
        <f t="shared" si="5"/>
        <v>60246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410000</v>
      </c>
      <c r="K4" s="231">
        <f t="shared" ref="K4" si="0">D7+D11+D15</f>
        <v>49200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38</v>
      </c>
      <c r="C5" s="89">
        <f>IF(DigitaNICA!C17&lt;&gt;"",DigitaNICA!C17,"")</f>
        <v>74000</v>
      </c>
      <c r="D5" s="42">
        <f>IF(C5="",0,C5*J$16)</f>
        <v>8880</v>
      </c>
      <c r="E5" s="89">
        <f>IF(DigitaNICA!D17&lt;&gt;"",DigitaNICA!D17,"")</f>
        <v>400</v>
      </c>
      <c r="F5" s="42">
        <f>IF(E5="",0,E5*PREMIOS!F5)</f>
        <v>34000</v>
      </c>
      <c r="G5" s="90">
        <f t="shared" ref="G5:G12" si="1">IF(OR(C5="",E5=""),0,C5-D5-F5)</f>
        <v>31120</v>
      </c>
      <c r="I5" s="217" t="s">
        <v>37</v>
      </c>
      <c r="J5" s="221">
        <f>SUM(IF(C5="",0,C5),IF(C9="",0,C9),IF(C13="",0,C13),IF(C17="",0,C17))</f>
        <v>331900</v>
      </c>
      <c r="K5" s="225">
        <f t="shared" ref="K5" si="2">D5+D9+D13+D17</f>
        <v>39828</v>
      </c>
      <c r="L5" s="222">
        <f>F5+F9+F13+F17</f>
        <v>182750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57700</v>
      </c>
      <c r="K6" s="226">
        <f t="shared" ref="K6" si="3">+D8+D12+D16</f>
        <v>5770</v>
      </c>
      <c r="L6" s="227">
        <f>+F8+F12+F16</f>
        <v>80000</v>
      </c>
    </row>
    <row r="7" spans="1:12" x14ac:dyDescent="0.35">
      <c r="A7" s="28" t="s">
        <v>46</v>
      </c>
      <c r="B7" s="132">
        <f>IF(DigitaTICA!C2&lt;&gt;"",DigitaTICA!C2,"")</f>
        <v>26</v>
      </c>
      <c r="C7" s="89">
        <f>IF(DigitaTICA!C17&lt;&gt;"",DigitaTICA!C17,"")</f>
        <v>126900</v>
      </c>
      <c r="D7" s="42">
        <f>IF(C7="",0,C7*J$15)</f>
        <v>15228</v>
      </c>
      <c r="E7" s="89">
        <f>IF(DigitaTICA!D17&lt;&gt;"",DigitaTICA!D17,"")</f>
        <v>100</v>
      </c>
      <c r="F7" s="42">
        <f>IF(E7="",0,E7*PREMIOS!F7)</f>
        <v>8500</v>
      </c>
      <c r="G7" s="90">
        <f t="shared" si="1"/>
        <v>103172</v>
      </c>
      <c r="I7" s="217" t="s">
        <v>96</v>
      </c>
      <c r="J7" s="223">
        <f>SUM(IF(C19="",0,C19),IF(C20="",0,C20))</f>
        <v>86050</v>
      </c>
      <c r="K7" s="226">
        <f>+D19+D20</f>
        <v>10326</v>
      </c>
      <c r="L7" s="227">
        <f>+F19+F20</f>
        <v>102000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9600</v>
      </c>
      <c r="D8" s="42">
        <f>IF(C8="",0,C8*J$17)</f>
        <v>960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8640</v>
      </c>
      <c r="I8" s="217" t="s">
        <v>104</v>
      </c>
      <c r="J8" s="223">
        <f>SUM(IF(C21="",0,C21),IF(C22="",0,C22),IF(C23="",0,C23))</f>
        <v>52600</v>
      </c>
      <c r="K8" s="226">
        <f t="shared" ref="K8" si="4">D21+D22+D23</f>
        <v>6312</v>
      </c>
      <c r="L8" s="227">
        <f>F21+F22+F23</f>
        <v>46750</v>
      </c>
    </row>
    <row r="9" spans="1:12" x14ac:dyDescent="0.35">
      <c r="A9" s="28" t="s">
        <v>48</v>
      </c>
      <c r="B9" s="132">
        <f>IF(DigitaNICA!E2&lt;&gt;"",DigitaNICA!E2,"")</f>
        <v>67</v>
      </c>
      <c r="C9" s="89">
        <f>IF(DigitaNICA!E17&lt;&gt;"",DigitaNICA!E17,"")</f>
        <v>68350</v>
      </c>
      <c r="D9" s="42">
        <f>IF(C9="",0,C9*J$16)</f>
        <v>8202</v>
      </c>
      <c r="E9" s="89">
        <f>IF(DigitaNICA!F17&lt;&gt;"",DigitaNICA!F17,"")</f>
        <v>600</v>
      </c>
      <c r="F9" s="42">
        <f>IF(E9="",0,E9*PREMIOS!F9)</f>
        <v>51000</v>
      </c>
      <c r="G9" s="90">
        <f t="shared" si="1"/>
        <v>9148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89">
        <f>IF(DigitaTICA!E17&lt;&gt;"",DigitaTICA!E17,"")</f>
        <v>72950</v>
      </c>
      <c r="D11" s="42">
        <f>IF(C11="",0,C11*J$15)</f>
        <v>8754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21696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11500</v>
      </c>
      <c r="D12" s="42">
        <f>IF(C12="",0,C12*J$17)</f>
        <v>1150</v>
      </c>
      <c r="E12" s="89">
        <f>IF(DigitaREVENTADO!F17&lt;&gt;"",DigitaREVENTADO!F17,"")</f>
        <v>200</v>
      </c>
      <c r="F12" s="42">
        <f>IF(E12="",0,E12*PREMIOS!F12)</f>
        <v>0</v>
      </c>
      <c r="G12" s="90">
        <f t="shared" si="1"/>
        <v>10350</v>
      </c>
    </row>
    <row r="13" spans="1:12" ht="15" thickBot="1" x14ac:dyDescent="0.4">
      <c r="A13" s="28" t="s">
        <v>50</v>
      </c>
      <c r="B13" s="132">
        <f>IF(DigitaNICA!G2&lt;&gt;"",DigitaNICA!G2,"")</f>
        <v>41</v>
      </c>
      <c r="C13" s="89">
        <f>IF(DigitaNICA!G17&lt;&gt;"",DigitaNICA!G17,"")</f>
        <v>55700</v>
      </c>
      <c r="D13" s="42">
        <f>IF(C13="",0,C13*J$16)</f>
        <v>6684</v>
      </c>
      <c r="E13" s="89">
        <f>IF(DigitaNICA!H17&lt;&gt;"",DigitaNICA!H17,"")</f>
        <v>1150</v>
      </c>
      <c r="F13" s="42">
        <f>IF(E13="",0,E13*PREMIOS!F13)</f>
        <v>97750</v>
      </c>
      <c r="G13" s="90">
        <f>IF(OR(C13="",E13=""),0,C13-D13-F13)</f>
        <v>-48734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62</v>
      </c>
      <c r="C15" s="89">
        <f>IF(DigitaTICA!G17&lt;&gt;"",DigitaTICA!G17,"")</f>
        <v>210150</v>
      </c>
      <c r="D15" s="42">
        <f>IF(C15="",0,C15*J$15)</f>
        <v>25218</v>
      </c>
      <c r="E15" s="89">
        <f>IF(DigitaTICA!H17&lt;&gt;"",DigitaTICA!H17,"")</f>
        <v>550</v>
      </c>
      <c r="F15" s="42">
        <f>IF(E15="",0,E15*PREMIOS!F15)</f>
        <v>46750</v>
      </c>
      <c r="G15" s="90">
        <f t="shared" si="6"/>
        <v>138182</v>
      </c>
      <c r="I15" s="76" t="s">
        <v>36</v>
      </c>
      <c r="J15" s="77">
        <v>0.12</v>
      </c>
      <c r="K15" s="78">
        <f>MROUND(D7+D11+D15,50)</f>
        <v>49200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36600</v>
      </c>
      <c r="D16" s="42">
        <f>IF(C16="",0,C16*J$17)</f>
        <v>3660</v>
      </c>
      <c r="E16" s="89">
        <f>IF(DigitaREVENTADO!H17&lt;&gt;"",DigitaREVENTADO!H17,"")</f>
        <v>400</v>
      </c>
      <c r="F16" s="42">
        <f>IF(E16="",0,E16*PREMIOS!F16)</f>
        <v>80000</v>
      </c>
      <c r="G16" s="90">
        <f t="shared" si="6"/>
        <v>-47060</v>
      </c>
      <c r="I16" s="63" t="s">
        <v>37</v>
      </c>
      <c r="J16" s="64">
        <v>0.12</v>
      </c>
      <c r="K16" s="30">
        <f>MROUND(D5+D9+D13+D17,50)</f>
        <v>39850</v>
      </c>
    </row>
    <row r="17" spans="1:11" x14ac:dyDescent="0.35">
      <c r="A17" s="28" t="s">
        <v>52</v>
      </c>
      <c r="B17" s="132">
        <f>IF(DigitaNICA!I2&lt;&gt;"",DigitaNICA!I2,"")</f>
        <v>59</v>
      </c>
      <c r="C17" s="89">
        <f>IF(DigitaNICA!I17&lt;&gt;"",DigitaNICA!I17,"")</f>
        <v>133850</v>
      </c>
      <c r="D17" s="42">
        <f>IF(C17="",0,C17*J$16)</f>
        <v>16062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117788</v>
      </c>
      <c r="I17" s="63" t="s">
        <v>38</v>
      </c>
      <c r="J17" s="64">
        <v>0.1</v>
      </c>
      <c r="K17" s="30">
        <f>MROUND(D6+D8+D10+D12+D14+D16+D18,50)</f>
        <v>5750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10350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IF(DigitaPRIMERA!$C$17&lt;&gt;"",DigitaPRIMERA!$C$17,"")</f>
        <v>58700</v>
      </c>
      <c r="D19" s="42">
        <f>IF(C19="",0,C19*J$18)</f>
        <v>7044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51656</v>
      </c>
      <c r="I19" s="63" t="s">
        <v>104</v>
      </c>
      <c r="J19" s="64">
        <v>0.12</v>
      </c>
      <c r="K19" s="30">
        <f>MROUND(D21+D22+D23,50)</f>
        <v>6300</v>
      </c>
    </row>
    <row r="20" spans="1:11" x14ac:dyDescent="0.35">
      <c r="A20" s="28" t="s">
        <v>98</v>
      </c>
      <c r="B20" s="132" t="str">
        <f>IF(DigitaPRIMERA!E2&lt;&gt;"",DigitaPRIMERA!E2,"")</f>
        <v>07</v>
      </c>
      <c r="C20" s="29">
        <f>IF(DigitaPRIMERA!$E$17&lt;&gt;"",DigitaPRIMERA!$E$17,"")</f>
        <v>27350</v>
      </c>
      <c r="D20" s="42">
        <f>IF(C20="",0,C20*J$18)</f>
        <v>3282</v>
      </c>
      <c r="E20" s="29">
        <f>IF(DigitaPRIMERA!$F$17&lt;&gt;"",DigitaPRIMERA!$F$17,"")</f>
        <v>1200</v>
      </c>
      <c r="F20" s="42">
        <f>IF(E20="",0,E20*PREMIOS!F19)</f>
        <v>102000</v>
      </c>
      <c r="G20" s="30">
        <f t="shared" si="6"/>
        <v>-77932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39</v>
      </c>
      <c r="C21" s="29">
        <f>IF(DigitaHONDURAS!$C$17&lt;&gt;"",DigitaHONDURAS!$C$17,"")</f>
        <v>32500</v>
      </c>
      <c r="D21" s="42">
        <f>IF(C21="",0,C21*J$19)</f>
        <v>3900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-18150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91</v>
      </c>
      <c r="C23" s="29">
        <f>IF(DigitaHONDURAS!$G$17&lt;&gt;"",DigitaHONDURAS!$G$17,"")</f>
        <v>20100</v>
      </c>
      <c r="D23" s="42">
        <f>IF(C23="",0,C23*J$19)</f>
        <v>2412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17688</v>
      </c>
    </row>
    <row r="24" spans="1:11" x14ac:dyDescent="0.35">
      <c r="A24" s="28" t="s">
        <v>102</v>
      </c>
      <c r="B24" s="132">
        <f>IF(DigitaDOMINICANA!C2&lt;&gt;"",DigitaDOMINICANA!C2,"")</f>
        <v>61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938250</v>
      </c>
      <c r="D27" s="68">
        <f t="shared" ref="D27:G27" si="7">SUM(D5:D26)</f>
        <v>111436</v>
      </c>
      <c r="E27" s="68">
        <f t="shared" si="7"/>
        <v>5650</v>
      </c>
      <c r="F27" s="68">
        <f t="shared" si="7"/>
        <v>509250</v>
      </c>
      <c r="G27" s="88">
        <f t="shared" si="7"/>
        <v>317564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137750</v>
      </c>
      <c r="K4" s="231">
        <f t="shared" ref="K4" si="0">D7+D11+D15</f>
        <v>16530</v>
      </c>
      <c r="L4" s="220">
        <f>F7+F11+F15</f>
        <v>102000</v>
      </c>
    </row>
    <row r="5" spans="1:12" x14ac:dyDescent="0.35">
      <c r="A5" s="28" t="str">
        <f>+Vendedor1!A5</f>
        <v>Nica 11am</v>
      </c>
      <c r="B5" s="132">
        <f>IF(DigitaNICA!C2&lt;&gt;"",DigitaNICA!C2,"")</f>
        <v>38</v>
      </c>
      <c r="C5" s="29">
        <f>IF(DigitaNICA!C18&lt;&gt;"",DigitaNICA!C18,"")</f>
        <v>43800</v>
      </c>
      <c r="D5" s="42">
        <f>IF(C5="",0,C5*J$16)</f>
        <v>5256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38544</v>
      </c>
      <c r="I5" s="217" t="s">
        <v>37</v>
      </c>
      <c r="J5" s="221">
        <f>SUM(IF(C5="",0,C5),IF(C9="",0,C9),IF(C13="",0,C13),IF(C17="",0,C17))</f>
        <v>125700</v>
      </c>
      <c r="K5" s="225">
        <f t="shared" ref="K5" si="2">D5+D9+D13+D17</f>
        <v>15084</v>
      </c>
      <c r="L5" s="222">
        <f>F5+F9+F13+F17</f>
        <v>68000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41700</v>
      </c>
      <c r="K6" s="226">
        <f t="shared" ref="K6" si="3">+D8+D12+D16</f>
        <v>4170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26</v>
      </c>
      <c r="C7" s="29">
        <f>IF(DigitaTICA!C18&lt;&gt;"",DigitaTICA!C18,"")</f>
        <v>52350</v>
      </c>
      <c r="D7" s="42">
        <f>IF(C7="",0,C7*J$15)</f>
        <v>6282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3568</v>
      </c>
      <c r="I7" s="217" t="s">
        <v>96</v>
      </c>
      <c r="J7" s="223">
        <f>SUM(IF(C19="",0,C19),IF(C20="",0,C20))</f>
        <v>107550</v>
      </c>
      <c r="K7" s="226">
        <f>+D19+D20</f>
        <v>12906</v>
      </c>
      <c r="L7" s="227">
        <f>+F19+F20</f>
        <v>450500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17200</v>
      </c>
      <c r="D8" s="42">
        <f>IF(C8="",0,C8*J$17)</f>
        <v>1720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15480</v>
      </c>
      <c r="I8" s="217" t="s">
        <v>104</v>
      </c>
      <c r="J8" s="223">
        <f>SUM(IF(C21="",0,C21),IF(C22="",0,C22),IF(C23="",0,C23))</f>
        <v>22400</v>
      </c>
      <c r="K8" s="226">
        <f t="shared" ref="K8" si="4">D21+D22+D23</f>
        <v>2688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>
        <f>IF(DigitaNICA!E18&lt;&gt;"",DigitaNICA!E18,"")</f>
        <v>44850</v>
      </c>
      <c r="D9" s="42">
        <f>IF(C9="",0,C9*J$16)</f>
        <v>5382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13968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IF(DigitaTICA!E18&lt;&gt;"",DigitaTICA!E18,"")</f>
        <v>22700</v>
      </c>
      <c r="D11" s="42">
        <f>IF(C11="",0,C11*J$15)</f>
        <v>2724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2976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9900</v>
      </c>
      <c r="D12" s="42">
        <f>IF(C12="",0,C12*J$17)</f>
        <v>990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8910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41</v>
      </c>
      <c r="C13" s="29">
        <f>IF(DigitaNICA!G18&lt;&gt;"",DigitaNICA!G18,"")</f>
        <v>31600</v>
      </c>
      <c r="D13" s="42">
        <f>IF(C13="",0,C13*J$16)</f>
        <v>3792</v>
      </c>
      <c r="E13" s="29">
        <f>IF(DigitaNICA!H18&lt;&gt;"",DigitaNICA!H18,"")</f>
        <v>500</v>
      </c>
      <c r="F13" s="42">
        <f>IF(E13="",0,E13*PREMIOS!F13)</f>
        <v>42500</v>
      </c>
      <c r="G13" s="30">
        <f>IF(OR(C13="",E13=""),0,C13-D13-F13)</f>
        <v>-14692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62</v>
      </c>
      <c r="C15" s="29">
        <f>IF(DigitaTICA!G18&lt;&gt;"",DigitaTICA!G18,"")</f>
        <v>62700</v>
      </c>
      <c r="D15" s="42">
        <f>IF(C15="",0,C15*J$15)</f>
        <v>7524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12676</v>
      </c>
      <c r="I15" s="76" t="s">
        <v>36</v>
      </c>
      <c r="J15" s="77">
        <v>0.12</v>
      </c>
      <c r="K15" s="78">
        <f>MROUND(D7+D11+D15,50)</f>
        <v>16550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14600</v>
      </c>
      <c r="D16" s="42">
        <f>IF(C16="",0,C16*J$17)</f>
        <v>1460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13140</v>
      </c>
      <c r="I16" s="63" t="s">
        <v>37</v>
      </c>
      <c r="J16" s="64">
        <v>0.12</v>
      </c>
      <c r="K16" s="30">
        <f>MROUND(D5+D9+D13+D17,50)</f>
        <v>15100</v>
      </c>
    </row>
    <row r="17" spans="1:11" x14ac:dyDescent="0.35">
      <c r="A17" s="28" t="str">
        <f>+Vendedor1!A17</f>
        <v>Nica 9pm</v>
      </c>
      <c r="B17" s="132">
        <f>IF(DigitaNICA!I2&lt;&gt;"",DigitaNICA!I2,"")</f>
        <v>59</v>
      </c>
      <c r="C17" s="29">
        <f>IF(DigitaNICA!I18&lt;&gt;"",DigitaNICA!I18,"")</f>
        <v>5450</v>
      </c>
      <c r="D17" s="42">
        <f>IF(C17="",0,C17*J$16)</f>
        <v>654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4796</v>
      </c>
      <c r="I17" s="63" t="s">
        <v>38</v>
      </c>
      <c r="J17" s="64">
        <v>0.1</v>
      </c>
      <c r="K17" s="30">
        <f>MROUND(D6+D8+D10+D12+D14+D16+D18,50)</f>
        <v>4150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12900</v>
      </c>
    </row>
    <row r="19" spans="1:11" x14ac:dyDescent="0.35">
      <c r="A19" s="28" t="s">
        <v>97</v>
      </c>
      <c r="B19" s="132">
        <f>IF(DigitaPRIMERA!C2&lt;&gt;"",DigitaPRIMERA!C2,"")</f>
        <v>39</v>
      </c>
      <c r="C19" s="29">
        <f>IF(DigitaPRIMERA!$C$18&lt;&gt;"",DigitaPRIMERA!$C$18,"")</f>
        <v>63250</v>
      </c>
      <c r="D19" s="42">
        <f>IF(C19="",0,C19*J$18)</f>
        <v>7590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55660</v>
      </c>
      <c r="I19" s="63" t="s">
        <v>104</v>
      </c>
      <c r="J19" s="64">
        <v>0.12</v>
      </c>
      <c r="K19" s="30">
        <f>MROUND(D21+D22+D23,50)</f>
        <v>2700</v>
      </c>
    </row>
    <row r="20" spans="1:11" x14ac:dyDescent="0.35">
      <c r="A20" s="28" t="s">
        <v>98</v>
      </c>
      <c r="B20" s="132" t="str">
        <f>IF(DigitaPRIMERA!E2&lt;&gt;"",DigitaPRIMERA!E2,"")</f>
        <v>07</v>
      </c>
      <c r="C20" s="29">
        <f>IF(DigitaPRIMERA!$E$18&lt;&gt;"",DigitaPRIMERA!$E$18,"")</f>
        <v>44300</v>
      </c>
      <c r="D20" s="42">
        <f>IF(C20="",0,C20*J$18)</f>
        <v>5316</v>
      </c>
      <c r="E20" s="29">
        <f>IF(DigitaPRIMERA!$F$18&lt;&gt;"",DigitaPRIMERA!$F$18,"")</f>
        <v>5300</v>
      </c>
      <c r="F20" s="42">
        <f>IF(E20="",0,E20*PREMIOS!F19)</f>
        <v>450500</v>
      </c>
      <c r="G20" s="30">
        <f t="shared" si="6"/>
        <v>-411516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39</v>
      </c>
      <c r="C21" s="29">
        <f>IF(DigitaHONDURAS!$C$18&lt;&gt;"",DigitaHONDURAS!$C$18,"")</f>
        <v>17700</v>
      </c>
      <c r="D21" s="42">
        <f>IF(C21="",0,C21*J$19)</f>
        <v>2124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15576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26</v>
      </c>
      <c r="C22" s="29">
        <f>IF(DigitaHONDURAS!$E$18&lt;&gt;"",DigitaHONDURAS!$E$18,"")</f>
        <v>4700</v>
      </c>
      <c r="D22" s="42">
        <f>IF(C22="",0,C22*J$19)</f>
        <v>564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4136</v>
      </c>
    </row>
    <row r="23" spans="1:11" x14ac:dyDescent="0.35">
      <c r="A23" s="28" t="s">
        <v>101</v>
      </c>
      <c r="B23" s="132">
        <f>IF(DigitaHONDURAS!G2&lt;&gt;"",DigitaHONDURAS!G2,"")</f>
        <v>91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435100</v>
      </c>
      <c r="D27" s="68">
        <f t="shared" ref="D27:G27" si="7">SUM(D5:D26)</f>
        <v>51378</v>
      </c>
      <c r="E27" s="68">
        <f t="shared" si="7"/>
        <v>7500</v>
      </c>
      <c r="F27" s="68">
        <f t="shared" si="7"/>
        <v>620500</v>
      </c>
      <c r="G27" s="88">
        <f t="shared" si="7"/>
        <v>-236778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41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41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26</v>
      </c>
      <c r="D2" s="268"/>
      <c r="E2" s="267">
        <f>IF(PREMIOS!$B11="","",PREMIOS!$B11)</f>
        <v>68</v>
      </c>
      <c r="F2" s="268"/>
      <c r="G2" s="267">
        <f>IF(PREMIOS!$B15="","",PREMIOS!$B15)</f>
        <v>62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43950</v>
      </c>
      <c r="D4" s="78">
        <f t="shared" ref="D4:H27" si="0">IF(C4="","",0)</f>
        <v>0</v>
      </c>
      <c r="E4" s="189">
        <v>33200</v>
      </c>
      <c r="F4" s="78">
        <v>500</v>
      </c>
      <c r="G4" s="189">
        <v>117300</v>
      </c>
      <c r="H4" s="78">
        <v>500</v>
      </c>
      <c r="J4" s="42">
        <f t="shared" ref="J4:J8" si="1">+C4+E4+G4</f>
        <v>194450</v>
      </c>
      <c r="K4" s="42">
        <f>IF(D4="",0,IF(F4="",D4,IF(H4="",D4+F4,D4+F4+H4)))</f>
        <v>1000</v>
      </c>
    </row>
    <row r="5" spans="1:11" x14ac:dyDescent="0.35">
      <c r="A5" s="47">
        <v>2</v>
      </c>
      <c r="B5" s="178" t="str">
        <f>Vendedor2!$B$2</f>
        <v>PUESTO 2</v>
      </c>
      <c r="C5" s="180">
        <v>59000</v>
      </c>
      <c r="D5" s="30">
        <f t="shared" si="0"/>
        <v>0</v>
      </c>
      <c r="E5" s="180">
        <v>39100</v>
      </c>
      <c r="F5" s="30">
        <f t="shared" si="0"/>
        <v>0</v>
      </c>
      <c r="G5" s="180">
        <v>69100</v>
      </c>
      <c r="H5" s="30">
        <v>500</v>
      </c>
      <c r="J5" s="42">
        <f t="shared" si="1"/>
        <v>167200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52350</v>
      </c>
      <c r="D8" s="30">
        <f t="shared" si="0"/>
        <v>0</v>
      </c>
      <c r="E8" s="180">
        <v>60750</v>
      </c>
      <c r="F8" s="30">
        <v>250</v>
      </c>
      <c r="G8" s="180">
        <v>45100</v>
      </c>
      <c r="H8" s="30">
        <v>1750</v>
      </c>
      <c r="J8" s="42">
        <f t="shared" si="1"/>
        <v>158200</v>
      </c>
      <c r="K8" s="42">
        <f t="shared" si="2"/>
        <v>2000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70250+139500</f>
        <v>209750</v>
      </c>
      <c r="D10" s="30">
        <f>250+0</f>
        <v>250</v>
      </c>
      <c r="E10" s="180">
        <f>37750+82500</f>
        <v>120250</v>
      </c>
      <c r="F10" s="30">
        <v>1400</v>
      </c>
      <c r="G10" s="180">
        <f>73500+88050</f>
        <v>161550</v>
      </c>
      <c r="H10" s="30">
        <v>400</v>
      </c>
      <c r="J10" s="42">
        <f t="shared" si="3"/>
        <v>491550</v>
      </c>
      <c r="K10" s="42">
        <f t="shared" si="2"/>
        <v>2050</v>
      </c>
    </row>
    <row r="11" spans="1:11" x14ac:dyDescent="0.35">
      <c r="A11" s="47">
        <v>8</v>
      </c>
      <c r="B11" s="178" t="str">
        <f>Vendedor8!$B$2</f>
        <v>ISA</v>
      </c>
      <c r="C11" s="180">
        <v>7600</v>
      </c>
      <c r="D11" s="30">
        <f t="shared" si="0"/>
        <v>0</v>
      </c>
      <c r="E11" s="180"/>
      <c r="F11" s="30" t="str">
        <f t="shared" si="0"/>
        <v/>
      </c>
      <c r="G11" s="180">
        <v>35300</v>
      </c>
      <c r="H11" s="30">
        <v>500</v>
      </c>
      <c r="J11" s="42">
        <f t="shared" si="3"/>
        <v>42900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36500</v>
      </c>
      <c r="D12" s="30">
        <v>1000</v>
      </c>
      <c r="E12" s="180">
        <v>11000</v>
      </c>
      <c r="F12" s="30">
        <f t="shared" si="0"/>
        <v>0</v>
      </c>
      <c r="G12" s="180">
        <v>31750</v>
      </c>
      <c r="H12" s="30">
        <v>1250</v>
      </c>
      <c r="J12" s="42">
        <f t="shared" si="3"/>
        <v>79250</v>
      </c>
      <c r="K12" s="42">
        <f t="shared" si="2"/>
        <v>2250</v>
      </c>
    </row>
    <row r="13" spans="1:11" x14ac:dyDescent="0.35">
      <c r="A13" s="47">
        <v>10</v>
      </c>
      <c r="B13" s="178" t="str">
        <f>Vendedor10!$B$2</f>
        <v>MARIALIZ</v>
      </c>
      <c r="C13" s="180">
        <v>18200</v>
      </c>
      <c r="D13" s="30">
        <v>300</v>
      </c>
      <c r="E13" s="180">
        <v>11350</v>
      </c>
      <c r="F13" s="30">
        <f t="shared" si="0"/>
        <v>0</v>
      </c>
      <c r="G13" s="180">
        <v>51950</v>
      </c>
      <c r="H13" s="30">
        <v>300</v>
      </c>
      <c r="J13" s="42">
        <f t="shared" si="3"/>
        <v>81500</v>
      </c>
      <c r="K13" s="42">
        <f t="shared" si="2"/>
        <v>600</v>
      </c>
    </row>
    <row r="14" spans="1:11" x14ac:dyDescent="0.35">
      <c r="A14" s="47">
        <v>11</v>
      </c>
      <c r="B14" s="178" t="str">
        <f>Vendedor11!$B$2</f>
        <v>CHARLY</v>
      </c>
      <c r="C14" s="180">
        <v>48300</v>
      </c>
      <c r="D14" s="30">
        <f t="shared" si="0"/>
        <v>0</v>
      </c>
      <c r="E14" s="180">
        <v>24950</v>
      </c>
      <c r="F14" s="30">
        <f t="shared" si="0"/>
        <v>0</v>
      </c>
      <c r="G14" s="180">
        <v>35850</v>
      </c>
      <c r="H14" s="30">
        <f t="shared" si="0"/>
        <v>0</v>
      </c>
      <c r="J14" s="42">
        <f t="shared" si="3"/>
        <v>109100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15100</v>
      </c>
      <c r="D16" s="30">
        <f t="shared" si="0"/>
        <v>0</v>
      </c>
      <c r="E16" s="180">
        <v>12500</v>
      </c>
      <c r="F16" s="30">
        <f t="shared" si="0"/>
        <v>0</v>
      </c>
      <c r="G16" s="180">
        <v>17400</v>
      </c>
      <c r="H16" s="30">
        <f t="shared" si="0"/>
        <v>0</v>
      </c>
      <c r="J16" s="42">
        <f t="shared" si="3"/>
        <v>45000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113900+13000</f>
        <v>126900</v>
      </c>
      <c r="D17" s="30">
        <f>100+0</f>
        <v>100</v>
      </c>
      <c r="E17" s="180">
        <f>13900+59050</f>
        <v>72950</v>
      </c>
      <c r="F17" s="30">
        <f>300+200</f>
        <v>500</v>
      </c>
      <c r="G17" s="180">
        <f>169500+40650</f>
        <v>210150</v>
      </c>
      <c r="H17" s="30">
        <f>150+400</f>
        <v>550</v>
      </c>
      <c r="J17" s="42">
        <f t="shared" si="3"/>
        <v>410000</v>
      </c>
      <c r="K17" s="42">
        <f t="shared" si="2"/>
        <v>1150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33450+18900</f>
        <v>52350</v>
      </c>
      <c r="D18" s="30">
        <f>500+0</f>
        <v>500</v>
      </c>
      <c r="E18" s="180">
        <f>9900+12800</f>
        <v>22700</v>
      </c>
      <c r="F18" s="30">
        <f>200+0</f>
        <v>200</v>
      </c>
      <c r="G18" s="180">
        <f>14600+48100</f>
        <v>62700</v>
      </c>
      <c r="H18" s="30">
        <v>500</v>
      </c>
      <c r="J18" s="42">
        <f t="shared" si="3"/>
        <v>137750</v>
      </c>
      <c r="K18" s="42">
        <f t="shared" si="2"/>
        <v>1200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670000</v>
      </c>
      <c r="D32" s="44">
        <f t="shared" si="6"/>
        <v>2150</v>
      </c>
      <c r="E32" s="43">
        <f t="shared" si="6"/>
        <v>408750</v>
      </c>
      <c r="F32" s="44">
        <f t="shared" si="6"/>
        <v>2850</v>
      </c>
      <c r="G32" s="43">
        <f t="shared" si="6"/>
        <v>838150</v>
      </c>
      <c r="H32" s="44">
        <f t="shared" si="6"/>
        <v>6250</v>
      </c>
      <c r="J32" s="95">
        <f>SUM(J4:J31)</f>
        <v>1916900</v>
      </c>
      <c r="K32" s="95"/>
    </row>
    <row r="33" spans="2:8" x14ac:dyDescent="0.35">
      <c r="D33" s="99">
        <f>+D32*85</f>
        <v>182750</v>
      </c>
      <c r="F33" s="99">
        <f>+F32*85</f>
        <v>242250</v>
      </c>
      <c r="H33" s="99">
        <f>+H32*85</f>
        <v>531250</v>
      </c>
    </row>
    <row r="34" spans="2:8" x14ac:dyDescent="0.35">
      <c r="B34" s="247" t="s">
        <v>149</v>
      </c>
      <c r="C34" s="43">
        <f t="shared" ref="C34:H34" si="7">+C4+C5+C6+C8+C13</f>
        <v>173500</v>
      </c>
      <c r="D34" s="43" t="e">
        <f t="shared" si="7"/>
        <v>#VALUE!</v>
      </c>
      <c r="E34" s="43">
        <f t="shared" si="7"/>
        <v>144400</v>
      </c>
      <c r="F34" s="43" t="e">
        <f t="shared" si="7"/>
        <v>#VALUE!</v>
      </c>
      <c r="G34" s="43">
        <f t="shared" si="7"/>
        <v>283450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235150</v>
      </c>
      <c r="D35" s="43" t="e">
        <f t="shared" ref="D35:H35" si="8">+D11+D14+D15+D17+D18</f>
        <v>#VALUE!</v>
      </c>
      <c r="E35" s="43">
        <f t="shared" si="8"/>
        <v>120600</v>
      </c>
      <c r="F35" s="43" t="e">
        <f t="shared" si="8"/>
        <v>#VALUE!</v>
      </c>
      <c r="G35" s="43">
        <f t="shared" si="8"/>
        <v>344000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246250</v>
      </c>
      <c r="D36" s="43" t="e">
        <f t="shared" ref="D36:H36" si="9">+D10+D12+D27</f>
        <v>#VALUE!</v>
      </c>
      <c r="E36" s="43">
        <f t="shared" si="9"/>
        <v>131250</v>
      </c>
      <c r="F36" s="43" t="e">
        <f t="shared" si="9"/>
        <v>#VALUE!</v>
      </c>
      <c r="G36" s="43">
        <f t="shared" si="9"/>
        <v>193300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38</v>
      </c>
      <c r="D2" s="268"/>
      <c r="E2" s="267">
        <f>IF(PREMIOS!$B9="","",PREMIOS!$B9)</f>
        <v>67</v>
      </c>
      <c r="F2" s="268"/>
      <c r="G2" s="267">
        <f>IF(PREMIOS!$B13="","",PREMIOS!$B13)</f>
        <v>41</v>
      </c>
      <c r="H2" s="268"/>
      <c r="I2" s="267">
        <f>IF(PREMIOS!$B17="","",PREMIOS!$B17)</f>
        <v>59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21100</v>
      </c>
      <c r="D4" s="78">
        <f t="shared" ref="D4:J27" si="0">IF(C4="","",0)</f>
        <v>0</v>
      </c>
      <c r="E4" s="206">
        <v>10000</v>
      </c>
      <c r="F4" s="78">
        <f t="shared" si="0"/>
        <v>0</v>
      </c>
      <c r="G4" s="189">
        <v>1200</v>
      </c>
      <c r="H4" s="78">
        <f t="shared" ref="H4:H27" si="1">IF(G4="","",0)</f>
        <v>0</v>
      </c>
      <c r="I4" s="189">
        <v>3200</v>
      </c>
      <c r="J4" s="78">
        <v>200</v>
      </c>
      <c r="L4" s="42">
        <f t="shared" ref="L4:L8" si="2">+C4+E4+G4+I4</f>
        <v>35500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13500</v>
      </c>
      <c r="D5" s="30">
        <f t="shared" si="0"/>
        <v>0</v>
      </c>
      <c r="E5" s="207">
        <v>14200</v>
      </c>
      <c r="F5" s="30">
        <f t="shared" si="0"/>
        <v>0</v>
      </c>
      <c r="G5" s="180">
        <v>2050</v>
      </c>
      <c r="H5" s="30">
        <v>250</v>
      </c>
      <c r="I5" s="180"/>
      <c r="J5" s="30" t="str">
        <f t="shared" ref="J5:J27" si="3">IF(I5="","",0)</f>
        <v/>
      </c>
      <c r="L5" s="42">
        <f t="shared" si="2"/>
        <v>29750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41900</v>
      </c>
      <c r="D8" s="30">
        <v>350</v>
      </c>
      <c r="E8" s="207">
        <v>23750</v>
      </c>
      <c r="F8" s="30">
        <v>350</v>
      </c>
      <c r="G8" s="180">
        <v>7200</v>
      </c>
      <c r="H8" s="30">
        <f t="shared" si="1"/>
        <v>0</v>
      </c>
      <c r="I8" s="180">
        <v>10900</v>
      </c>
      <c r="J8" s="30">
        <f t="shared" si="0"/>
        <v>0</v>
      </c>
      <c r="L8" s="42">
        <f t="shared" si="2"/>
        <v>83750</v>
      </c>
      <c r="M8" s="42">
        <f t="shared" si="4"/>
        <v>700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51400+125000</f>
        <v>176400</v>
      </c>
      <c r="D10" s="30">
        <f>250+1000</f>
        <v>1250</v>
      </c>
      <c r="E10" s="207">
        <f>34900+76450</f>
        <v>111350</v>
      </c>
      <c r="F10" s="30">
        <f t="shared" si="0"/>
        <v>0</v>
      </c>
      <c r="G10" s="180">
        <f>31700+53600</f>
        <v>85300</v>
      </c>
      <c r="H10" s="30">
        <f>700+800</f>
        <v>1500</v>
      </c>
      <c r="I10" s="180">
        <f>43500+81100</f>
        <v>124600</v>
      </c>
      <c r="J10" s="30">
        <f>500+1150</f>
        <v>1650</v>
      </c>
      <c r="L10" s="42">
        <f t="shared" si="5"/>
        <v>497650</v>
      </c>
      <c r="M10" s="42">
        <f t="shared" si="4"/>
        <v>4400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37950</v>
      </c>
      <c r="D12" s="30">
        <v>700</v>
      </c>
      <c r="E12" s="207">
        <v>12700</v>
      </c>
      <c r="F12" s="30">
        <f t="shared" si="0"/>
        <v>0</v>
      </c>
      <c r="G12" s="180">
        <v>3000</v>
      </c>
      <c r="H12" s="30">
        <f t="shared" si="0"/>
        <v>0</v>
      </c>
      <c r="I12" s="180"/>
      <c r="J12" s="30" t="str">
        <f t="shared" si="0"/>
        <v/>
      </c>
      <c r="L12" s="42">
        <f t="shared" si="5"/>
        <v>53650</v>
      </c>
      <c r="M12" s="42">
        <f t="shared" si="4"/>
        <v>700</v>
      </c>
    </row>
    <row r="13" spans="1:13" x14ac:dyDescent="0.35">
      <c r="A13" s="47">
        <v>10</v>
      </c>
      <c r="B13" s="178" t="str">
        <f>Vendedor10!$B$2</f>
        <v>MARIALIZ</v>
      </c>
      <c r="C13" s="180">
        <v>23800</v>
      </c>
      <c r="D13" s="30">
        <f t="shared" si="0"/>
        <v>0</v>
      </c>
      <c r="E13" s="207">
        <v>22950</v>
      </c>
      <c r="F13" s="30">
        <f t="shared" si="0"/>
        <v>0</v>
      </c>
      <c r="G13" s="180">
        <v>2400</v>
      </c>
      <c r="H13" s="30">
        <f t="shared" si="0"/>
        <v>0</v>
      </c>
      <c r="I13" s="180">
        <v>2850</v>
      </c>
      <c r="J13" s="30">
        <f t="shared" si="0"/>
        <v>0</v>
      </c>
      <c r="L13" s="42">
        <f t="shared" si="5"/>
        <v>52000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5900</v>
      </c>
      <c r="D16" s="30">
        <f t="shared" si="0"/>
        <v>0</v>
      </c>
      <c r="E16" s="207"/>
      <c r="F16" s="30" t="str">
        <f t="shared" si="0"/>
        <v/>
      </c>
      <c r="G16" s="180">
        <v>1000</v>
      </c>
      <c r="H16" s="30">
        <f t="shared" si="0"/>
        <v>0</v>
      </c>
      <c r="I16" s="180">
        <v>16050</v>
      </c>
      <c r="J16" s="30">
        <f t="shared" si="0"/>
        <v>0</v>
      </c>
      <c r="L16" s="42">
        <f t="shared" si="5"/>
        <v>22950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74000</v>
      </c>
      <c r="D17" s="30">
        <v>400</v>
      </c>
      <c r="E17" s="207">
        <v>68350</v>
      </c>
      <c r="F17" s="30">
        <v>600</v>
      </c>
      <c r="G17" s="180">
        <v>55700</v>
      </c>
      <c r="H17" s="30">
        <v>1150</v>
      </c>
      <c r="I17" s="180">
        <v>133850</v>
      </c>
      <c r="J17" s="30">
        <f t="shared" si="0"/>
        <v>0</v>
      </c>
      <c r="L17" s="42">
        <f t="shared" si="5"/>
        <v>331900</v>
      </c>
      <c r="M17" s="42">
        <f t="shared" si="4"/>
        <v>2150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43800</v>
      </c>
      <c r="D18" s="30">
        <f t="shared" si="0"/>
        <v>0</v>
      </c>
      <c r="E18" s="207">
        <v>44850</v>
      </c>
      <c r="F18" s="30">
        <v>300</v>
      </c>
      <c r="G18" s="180">
        <v>31600</v>
      </c>
      <c r="H18" s="30">
        <v>500</v>
      </c>
      <c r="I18" s="180">
        <v>5450</v>
      </c>
      <c r="J18" s="30">
        <f t="shared" si="3"/>
        <v>0</v>
      </c>
      <c r="L18" s="42">
        <f t="shared" si="5"/>
        <v>125700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438350</v>
      </c>
      <c r="D32" s="44">
        <f t="shared" si="7"/>
        <v>2700</v>
      </c>
      <c r="E32" s="43">
        <f t="shared" si="7"/>
        <v>308150</v>
      </c>
      <c r="F32" s="44">
        <f t="shared" si="7"/>
        <v>1250</v>
      </c>
      <c r="G32" s="43">
        <f t="shared" si="7"/>
        <v>189450</v>
      </c>
      <c r="H32" s="44">
        <f t="shared" si="7"/>
        <v>3400</v>
      </c>
      <c r="I32" s="43">
        <f t="shared" si="7"/>
        <v>296900</v>
      </c>
      <c r="J32" s="44">
        <f t="shared" si="7"/>
        <v>1850</v>
      </c>
      <c r="L32" s="95">
        <f>SUM(L9:L31)</f>
        <v>1083850</v>
      </c>
      <c r="M32" s="95">
        <f>SUM(M9:M31)</f>
        <v>7250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26 Blanca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62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29200+6600</f>
        <v>35800</v>
      </c>
      <c r="D10" s="30">
        <f t="shared" si="0"/>
        <v>0</v>
      </c>
      <c r="E10" s="180">
        <f>15150+5300</f>
        <v>20450</v>
      </c>
      <c r="F10" s="30">
        <f t="shared" si="0"/>
        <v>0</v>
      </c>
      <c r="G10" s="180">
        <f>26400+7800</f>
        <v>34200</v>
      </c>
      <c r="H10" s="30">
        <f t="shared" si="0"/>
        <v>0</v>
      </c>
      <c r="J10" s="42">
        <f t="shared" si="3"/>
        <v>90450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3650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3650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9600</v>
      </c>
      <c r="D17" s="30">
        <f t="shared" si="0"/>
        <v>0</v>
      </c>
      <c r="E17" s="180">
        <v>11500</v>
      </c>
      <c r="F17" s="30">
        <v>200</v>
      </c>
      <c r="G17" s="180">
        <v>36600</v>
      </c>
      <c r="H17" s="30">
        <v>400</v>
      </c>
      <c r="J17" s="42">
        <f t="shared" si="3"/>
        <v>57700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17200</v>
      </c>
      <c r="D18" s="30">
        <f t="shared" si="0"/>
        <v>0</v>
      </c>
      <c r="E18" s="180">
        <v>9900</v>
      </c>
      <c r="F18" s="30">
        <v>200</v>
      </c>
      <c r="G18" s="180">
        <v>14600</v>
      </c>
      <c r="H18" s="30">
        <f t="shared" si="0"/>
        <v>0</v>
      </c>
      <c r="J18" s="42">
        <f t="shared" si="3"/>
        <v>41700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66750</v>
      </c>
      <c r="D33" s="44">
        <f t="shared" si="7"/>
        <v>0</v>
      </c>
      <c r="E33" s="43">
        <f t="shared" si="7"/>
        <v>41850</v>
      </c>
      <c r="F33" s="44">
        <f t="shared" si="7"/>
        <v>400</v>
      </c>
      <c r="G33" s="43">
        <f t="shared" si="7"/>
        <v>85400</v>
      </c>
      <c r="H33" s="44">
        <f t="shared" si="7"/>
        <v>400</v>
      </c>
      <c r="J33" s="45">
        <f>SUM(J4:J32)</f>
        <v>194000</v>
      </c>
      <c r="K33" s="95">
        <f>SUM(K4:K32)</f>
        <v>800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39</v>
      </c>
      <c r="D2" s="268"/>
      <c r="E2" s="267" t="str">
        <f>IF(PREMIOS!$C19="","",PREMIOS!$C19)</f>
        <v>07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3900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3900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6000</v>
      </c>
      <c r="F5" s="30">
        <f t="shared" ref="F5:F27" si="1">IF(E5="","",0)</f>
        <v>0</v>
      </c>
      <c r="H5" s="42">
        <f t="shared" ref="H5:H32" si="2">+C5+E5</f>
        <v>6000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14900</v>
      </c>
      <c r="D8" s="30">
        <v>150</v>
      </c>
      <c r="E8" s="194">
        <v>4950</v>
      </c>
      <c r="F8" s="195">
        <f t="shared" si="1"/>
        <v>0</v>
      </c>
      <c r="H8" s="42">
        <f t="shared" si="2"/>
        <v>19850</v>
      </c>
      <c r="I8" s="42">
        <f t="shared" si="3"/>
        <v>150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24000+35850</f>
        <v>59850</v>
      </c>
      <c r="D10" s="30">
        <v>1000</v>
      </c>
      <c r="E10" s="180">
        <f>10550+5700</f>
        <v>16250</v>
      </c>
      <c r="F10" s="195">
        <f t="shared" si="1"/>
        <v>0</v>
      </c>
      <c r="H10" s="42">
        <f t="shared" si="2"/>
        <v>76100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44850</v>
      </c>
      <c r="D12" s="30">
        <v>550</v>
      </c>
      <c r="E12" s="194"/>
      <c r="F12" s="30" t="str">
        <f t="shared" si="0"/>
        <v/>
      </c>
      <c r="H12" s="42">
        <f t="shared" si="2"/>
        <v>44850</v>
      </c>
      <c r="I12" s="42">
        <f t="shared" si="3"/>
        <v>550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58700</v>
      </c>
      <c r="D17" s="195">
        <f t="shared" si="0"/>
        <v>0</v>
      </c>
      <c r="E17" s="180">
        <v>27350</v>
      </c>
      <c r="F17" s="30">
        <v>1200</v>
      </c>
      <c r="H17" s="42">
        <f t="shared" si="2"/>
        <v>86050</v>
      </c>
      <c r="I17" s="42">
        <f t="shared" si="3"/>
        <v>1200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63250</v>
      </c>
      <c r="D18" s="195">
        <f t="shared" si="0"/>
        <v>0</v>
      </c>
      <c r="E18" s="180">
        <v>44300</v>
      </c>
      <c r="F18" s="30">
        <v>5300</v>
      </c>
      <c r="H18" s="42">
        <f t="shared" si="2"/>
        <v>107550</v>
      </c>
      <c r="I18" s="42">
        <f t="shared" si="3"/>
        <v>5300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245450</v>
      </c>
      <c r="D33" s="44">
        <f>SUM(D4:D32)</f>
        <v>1700</v>
      </c>
      <c r="E33" s="43">
        <f>SUM(E4:E32)</f>
        <v>98850</v>
      </c>
      <c r="F33" s="44">
        <f>SUM(F4:F32)</f>
        <v>6500</v>
      </c>
      <c r="H33" s="95">
        <f>SUM(H4:H32)</f>
        <v>344300</v>
      </c>
      <c r="I33" s="95">
        <f>SUM(I4:I32)</f>
        <v>8200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39</v>
      </c>
      <c r="D2" s="268"/>
      <c r="E2" s="267">
        <f>IF(PREMIOS!$C20="","",PREMIOS!$C20)</f>
        <v>26</v>
      </c>
      <c r="F2" s="268"/>
      <c r="G2" s="267">
        <f>IF(PREMIOS!$D20="","",PREMIOS!$D20)</f>
        <v>91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2400+52500</f>
        <v>54900</v>
      </c>
      <c r="D10" s="195">
        <v>1000</v>
      </c>
      <c r="E10" s="180">
        <v>23600</v>
      </c>
      <c r="F10" s="30">
        <f t="shared" si="0"/>
        <v>0</v>
      </c>
      <c r="G10" s="180">
        <v>27550</v>
      </c>
      <c r="H10" s="195">
        <f t="shared" si="0"/>
        <v>0</v>
      </c>
      <c r="J10" s="42">
        <f t="shared" si="3"/>
        <v>106050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9550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9550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32500</v>
      </c>
      <c r="D17" s="195">
        <v>550</v>
      </c>
      <c r="E17" s="194"/>
      <c r="F17" s="195" t="str">
        <f t="shared" si="0"/>
        <v/>
      </c>
      <c r="G17" s="194">
        <v>20100</v>
      </c>
      <c r="H17" s="195">
        <f t="shared" si="2"/>
        <v>0</v>
      </c>
      <c r="J17" s="42">
        <f t="shared" si="3"/>
        <v>52600</v>
      </c>
      <c r="K17" s="42">
        <f t="shared" si="4"/>
        <v>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17700</v>
      </c>
      <c r="D18" s="195">
        <f t="shared" si="0"/>
        <v>0</v>
      </c>
      <c r="E18" s="180">
        <v>4700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22400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114650</v>
      </c>
      <c r="D33" s="44">
        <f t="shared" si="6"/>
        <v>1550</v>
      </c>
      <c r="E33" s="43">
        <f t="shared" si="6"/>
        <v>28300</v>
      </c>
      <c r="F33" s="44">
        <f t="shared" si="6"/>
        <v>0</v>
      </c>
      <c r="G33" s="43">
        <f t="shared" si="6"/>
        <v>47650</v>
      </c>
      <c r="H33" s="44">
        <f t="shared" si="6"/>
        <v>0</v>
      </c>
      <c r="J33" s="45">
        <f>SUM(J4:J32)</f>
        <v>190600</v>
      </c>
      <c r="K33" s="95">
        <f>SUM(K4:K32)</f>
        <v>1550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61</v>
      </c>
      <c r="D2" s="268"/>
      <c r="E2" s="267">
        <f>IF(PREMIOS!$C21="","",PREMIOS!$C21)</f>
        <v>37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31500</v>
      </c>
      <c r="D10" s="30">
        <f t="shared" si="0"/>
        <v>0</v>
      </c>
      <c r="E10" s="180">
        <v>34750</v>
      </c>
      <c r="F10" s="30">
        <f t="shared" si="0"/>
        <v>0</v>
      </c>
      <c r="H10" s="42">
        <f t="shared" si="2"/>
        <v>66250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31500</v>
      </c>
      <c r="D33" s="44">
        <f>SUM(D4:D32)</f>
        <v>0</v>
      </c>
      <c r="E33" s="43">
        <f>SUM(E4:E32)</f>
        <v>34750</v>
      </c>
      <c r="F33" s="44">
        <f>SUM(F4:F32)</f>
        <v>0</v>
      </c>
      <c r="H33" s="45">
        <f>SUM(H4:H32)</f>
        <v>66250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2026-04-17T16:36:08Z</dcterms:modified>
  <dc:language>es-CR</dc:language>
</cp:coreProperties>
</file>
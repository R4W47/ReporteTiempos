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8" documentId="11_81EF19778E02ECAC09407CEA64CFA457628137C7" xr6:coauthVersionLast="47" xr6:coauthVersionMax="47" xr10:uidLastSave="{05BF5A3C-5AFA-4C96-9C2B-B6684903D6F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/>
  <c r="H9" i="69" l="1"/>
  <c r="B2" i="7" l="1"/>
  <c r="B2" i="6"/>
  <c r="B2" i="15"/>
  <c r="B2" i="14"/>
  <c r="B2" i="16"/>
  <c r="B2" i="21"/>
  <c r="B2" i="22"/>
  <c r="K7" i="69"/>
  <c r="K6" i="69"/>
  <c r="I35" i="61"/>
  <c r="I34" i="61"/>
  <c r="G10" i="60"/>
  <c r="F10" i="60"/>
  <c r="E10" i="60"/>
  <c r="G10" i="62" l="1"/>
  <c r="E10" i="62"/>
  <c r="I10" i="61"/>
  <c r="H10" i="61"/>
  <c r="G10" i="61"/>
  <c r="H17" i="60"/>
  <c r="G17" i="60"/>
  <c r="H18" i="60"/>
  <c r="G18" i="60"/>
  <c r="F17" i="60"/>
  <c r="E17" i="60"/>
  <c r="E18" i="60"/>
  <c r="D10" i="60"/>
  <c r="C10" i="60"/>
  <c r="D17" i="60"/>
  <c r="C17" i="60"/>
  <c r="D18" i="60"/>
  <c r="C18" i="60"/>
  <c r="F10" i="61"/>
  <c r="E10" i="61"/>
  <c r="C10" i="62"/>
  <c r="D10" i="61" l="1"/>
  <c r="C10" i="61"/>
  <c r="C10" i="65"/>
  <c r="D18" i="65" l="1"/>
  <c r="D12" i="65"/>
  <c r="D11" i="65"/>
  <c r="D10" i="65"/>
  <c r="D18" i="61"/>
  <c r="D9" i="61"/>
  <c r="D8" i="61"/>
  <c r="G16" i="71"/>
  <c r="C23" i="15"/>
  <c r="D23" i="15" s="1"/>
  <c r="C22" i="15"/>
  <c r="E16" i="71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D22" i="15" l="1"/>
  <c r="F23" i="15"/>
  <c r="H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3" i="60"/>
  <c r="D35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D5" i="61"/>
  <c r="D6" i="60"/>
  <c r="F16" i="60"/>
  <c r="F15" i="60"/>
  <c r="F14" i="60"/>
  <c r="F13" i="60"/>
  <c r="F11" i="60"/>
  <c r="F35" i="60" s="1"/>
  <c r="F9" i="60"/>
  <c r="F8" i="60"/>
  <c r="F7" i="60"/>
  <c r="F6" i="60"/>
  <c r="F5" i="60"/>
  <c r="F4" i="60"/>
  <c r="H15" i="60"/>
  <c r="H14" i="60"/>
  <c r="H13" i="60"/>
  <c r="H12" i="60"/>
  <c r="H11" i="60"/>
  <c r="H9" i="60"/>
  <c r="H8" i="60"/>
  <c r="H7" i="60"/>
  <c r="H6" i="60"/>
  <c r="H5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F34" i="60" l="1"/>
  <c r="H34" i="60"/>
  <c r="D34" i="60"/>
  <c r="J8" i="14"/>
  <c r="D21" i="14"/>
  <c r="C12" i="71"/>
  <c r="D22" i="14"/>
  <c r="G12" i="71"/>
  <c r="E19" i="16"/>
  <c r="D4" i="65"/>
  <c r="D20" i="16"/>
  <c r="F18" i="64"/>
  <c r="E11" i="16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F29" i="72"/>
  <c r="E29" i="72"/>
  <c r="D29" i="72"/>
  <c r="J29" i="72" s="1"/>
  <c r="K29" i="72" s="1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D25" i="72"/>
  <c r="C25" i="72"/>
  <c r="B25" i="72"/>
  <c r="F24" i="72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2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H32" i="66" l="1"/>
  <c r="H23" i="70"/>
  <c r="J26" i="70"/>
  <c r="K26" i="70" s="1"/>
  <c r="J30" i="70"/>
  <c r="J25" i="72"/>
  <c r="K25" i="72" s="1"/>
  <c r="E27" i="72"/>
  <c r="K27" i="64"/>
  <c r="H20" i="70"/>
  <c r="I20" i="70" s="1"/>
  <c r="J30" i="71"/>
  <c r="K30" i="71" s="1"/>
  <c r="H25" i="72"/>
  <c r="L20" i="71"/>
  <c r="M20" i="71" s="1"/>
  <c r="G33" i="64"/>
  <c r="E33" i="66"/>
  <c r="H22" i="70"/>
  <c r="J25" i="70"/>
  <c r="K25" i="70" s="1"/>
  <c r="J29" i="70"/>
  <c r="K29" i="70" s="1"/>
  <c r="J24" i="72"/>
  <c r="K24" i="72" s="1"/>
  <c r="L28" i="71"/>
  <c r="M28" i="71" s="1"/>
  <c r="N15" i="72"/>
  <c r="F25" i="29"/>
  <c r="F27" i="72"/>
  <c r="I25" i="72"/>
  <c r="N25" i="72" s="1"/>
  <c r="H29" i="66"/>
  <c r="H33" i="66" s="1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31" i="71"/>
  <c r="K31" i="71" s="1"/>
  <c r="D18" i="72"/>
  <c r="J18" i="72" s="1"/>
  <c r="K18" i="72" s="1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I18" i="66"/>
  <c r="J7" i="19"/>
  <c r="F25" i="19"/>
  <c r="L9" i="19" s="1"/>
  <c r="F18" i="72"/>
  <c r="J26" i="71"/>
  <c r="L29" i="71"/>
  <c r="M29" i="71" s="1"/>
  <c r="H21" i="72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H25" i="70"/>
  <c r="I25" i="70" s="1"/>
  <c r="N25" i="70" s="1"/>
  <c r="H26" i="70"/>
  <c r="N26" i="70" s="1"/>
  <c r="K30" i="70"/>
  <c r="K31" i="70"/>
  <c r="B11" i="65"/>
  <c r="B11" i="68"/>
  <c r="D20" i="7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18" i="72" l="1"/>
  <c r="N27" i="71"/>
  <c r="K12" i="17"/>
  <c r="I33" i="66"/>
  <c r="L27" i="70"/>
  <c r="K21" i="8"/>
  <c r="K10" i="8"/>
  <c r="L27" i="71"/>
  <c r="M27" i="71" s="1"/>
  <c r="K21" i="19"/>
  <c r="K10" i="19"/>
  <c r="N27" i="72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4" i="52" l="1"/>
  <c r="J4" i="23"/>
  <c r="L6" i="23"/>
  <c r="L5" i="23"/>
  <c r="J6" i="23"/>
  <c r="L4" i="23"/>
  <c r="M22" i="52"/>
  <c r="C24" i="15"/>
  <c r="F17" i="52"/>
  <c r="M26" i="52"/>
  <c r="J5" i="19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1" l="1"/>
  <c r="F32" i="61"/>
  <c r="E32" i="60"/>
  <c r="K4" i="23"/>
  <c r="F32" i="60"/>
  <c r="F33" i="60" s="1"/>
  <c r="E32" i="61"/>
  <c r="K5" i="8"/>
  <c r="L6" i="25"/>
  <c r="H32" i="61"/>
  <c r="K6" i="23"/>
  <c r="J32" i="61"/>
  <c r="C32" i="61"/>
  <c r="I32" i="61"/>
  <c r="L6" i="22"/>
  <c r="M19" i="52"/>
  <c r="D32" i="61"/>
  <c r="G32" i="60"/>
  <c r="H32" i="60"/>
  <c r="K5" i="23"/>
  <c r="J19" i="70"/>
  <c r="K19" i="70" s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5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0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6" i="52"/>
  <c r="C25" i="1" s="1"/>
  <c r="B25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8" l="1"/>
  <c r="F16" i="15"/>
  <c r="F16" i="19"/>
  <c r="F12" i="15"/>
  <c r="F12" i="19"/>
  <c r="F12" i="8"/>
  <c r="K5" i="52"/>
  <c r="C4" i="1" s="1"/>
  <c r="B4" i="1"/>
  <c r="K4" i="52"/>
  <c r="C3" i="1" s="1"/>
  <c r="B3" i="1"/>
  <c r="K23" i="52"/>
  <c r="C22" i="1" s="1"/>
  <c r="B22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<sst xmlns="http://schemas.openxmlformats.org/spreadsheetml/2006/main" count="1296" uniqueCount="162">
  <si>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</si>
  <si>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</si>
  <si>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</si>
  <si>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</si>
  <si>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</si>
  <si>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</si>
  <si>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</si>
  <si>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</si>
  <si>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</si>
  <si>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</si>
  <si>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</si>
  <si>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</si>
  <si>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</si>
  <si>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</si>
  <si>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</si>
  <si>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</si>
  <si>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</si>
  <si>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</si>
  <si>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</si>
  <si>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</si>
  <si>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</si>
  <si>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</si>
  <si>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</si>
  <si>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</si>
  <si>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</si>
  <si>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</si>
  <si>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</si>
  <si>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</si>
  <si>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</si>
  <si>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</si>
  <si>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</si>
  <si>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</si>
  <si>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</si>
  <si>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</si>
  <si>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</si>
  <si>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</si>
  <si>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</si>
  <si>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</si>
  <si>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</si>
  <si>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</si>
  <si>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</si>
  <si>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</si>
  <si>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</si>
  <si>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</si>
  <si>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</si>
  <si>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</si>
  <si>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</si>
  <si>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</si>
  <si>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</si>
  <si>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</si>
  <si>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</si>
  <si>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</si>
  <si>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</si>
  <si>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</si>
  <si>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</si>
  <si>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</si>
  <si>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</si>
  <si>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</si>
  <si>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</si>
  <si>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</si>
  <si>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</si>
  <si>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</si>
  <si>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</si>
  <si>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</si>
  <si>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</si>
  <si>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</si>
  <si>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</si>
  <si>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</si>
  <si>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</si>
  <si>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</si>
  <si>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</si>
  <si>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</si>
  <si>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</si>
  <si>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</si>
  <si>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</si>
  <si>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</si>
  <si>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</si>
  <si>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</si>
  <si>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</si>
  <si>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</si>
  <si>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</si>
  <si>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</si>
  <si>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</si>
  <si>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</si>
  <si>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</si>
  <si>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</si>
  <si>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</si>
  <si>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</si>
  <si>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</si>
  <si>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</si>
  <si>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</si>
  <si>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</si>
  <si>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</si>
  <si>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</si>
  <si>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</si>
  <si>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</si>
  <si>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</si>
  <si>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</si>
  <si>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</si>
  <si>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</si>
  <si>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</si>
  <si>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</si>
  <si>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</si>
  <si>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</si>
  <si>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</si>
  <si>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</si>
  <si>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</si>
  <si>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</si>
  <si>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</si>
  <si>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</si>
  <si>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</si>
  <si>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</si>
  <si>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</si>
  <si>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</si>
  <si>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</si>
  <si>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</si>
  <si>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</si>
  <si>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</si>
  <si>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</si>
  <si>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</si>
  <si>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</si>
  <si>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</si>
  <si>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</si>
  <si>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</si>
  <si>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</si>
  <si>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</si>
  <si>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</si>
  <si>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</si>
  <si>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</si>
  <si>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</si>
  <si>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</si>
  <si>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</si>
  <si>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</si>
  <si>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</si>
  <si>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</si>
  <si>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</si>
  <si>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</si>
  <si>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</si>
  <si>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</si>
  <si>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</si>
  <si>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</si>
  <si>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</si>
  <si>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</si>
  <si>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</si>
  <si>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</si>
  <si>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</si>
  <si>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</si>
  <si>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</si>
  <si>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</si>
  <si>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</si>
  <si>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</si>
  <si>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</si>
  <si>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</si>
  <si>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</si>
  <si>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</si>
  <si>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</si>
  <si>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</si>
  <si>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</si>
  <si>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</si>
  <si>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</si>
  <si>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02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</si>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</sst>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.81640625" style="1" bestFit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235450</v>
      </c>
      <c r="C3" s="9">
        <f>+HojaTICA!K4+HojaNICA!M4+HojaREVENTADO!K4+HojaPrimera!I4+HojaHonduras!K4+HojaDominicana!I4+HojaPANA!G4</f>
        <v>30600</v>
      </c>
      <c r="D3" s="9">
        <f>+HojaTICA!N4+HojaNICA!P4+HojaREVENTADO!O4+HojaPrimera!L4+HojaHonduras!N4+HojaDominicana!L4+HojaPANA!J4</f>
        <v>113500</v>
      </c>
      <c r="F3" s="10">
        <f t="shared" ref="F3:F27" si="0">+B3-C3-D3</f>
        <v>91350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211900</v>
      </c>
      <c r="C4" s="9">
        <f>+HojaTICA!K5+HojaNICA!M5+HojaREVENTADO!K5+HojaPrimera!I5+HojaHonduras!K5+HojaDominicana!I5+HojaPANA!G5</f>
        <v>27500</v>
      </c>
      <c r="D4" s="9">
        <f>+HojaTICA!N5+HojaNICA!P5+HojaREVENTADO!O5+HojaPrimera!L5+HojaHonduras!N5+HojaDominicana!L5+HojaPANA!J5</f>
        <v>8500</v>
      </c>
      <c r="F4" s="14">
        <f t="shared" si="0"/>
        <v>175900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268850</v>
      </c>
      <c r="C7" s="9">
        <f>+HojaTICA!K8+HojaNICA!M8+HojaREVENTADO!K8+HojaPrimera!I8+HojaHonduras!K8+HojaDominicana!I8+HojaPANA!G8</f>
        <v>32250</v>
      </c>
      <c r="D7" s="9">
        <f>+HojaTICA!N8+HojaNICA!P8+HojaREVENTADO!O8+HojaPrimera!L8+HojaHonduras!N8+HojaDominicana!L8+HojaPANA!J8</f>
        <v>116500</v>
      </c>
      <c r="F7" s="14">
        <f t="shared" si="0"/>
        <v>120100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868450</v>
      </c>
      <c r="C9" s="9">
        <f>+HojaTICA!K10+HojaNICA!M10+HojaREVENTADO!K10+HojaPrimera!I10+HojaHonduras!K10+HojaDominicana!I10+HojaPANA!G10</f>
        <v>102840</v>
      </c>
      <c r="D9" s="9">
        <f>+HojaTICA!N10+HojaNICA!P10+HojaREVENTADO!O10+HojaPrimera!L10+HojaHonduras!N10+HojaDominicana!L10+HojaPANA!J10</f>
        <v>493000</v>
      </c>
      <c r="F9" s="14">
        <f t="shared" si="0"/>
        <v>272610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28150</v>
      </c>
      <c r="C10" s="9">
        <f>+HojaTICA!K11+HojaNICA!M11+HojaREVENTADO!K11+HojaPrimera!I11+HojaHonduras!K11+HojaDominicana!I11+HojaPANA!G11</f>
        <v>3400</v>
      </c>
      <c r="D10" s="9">
        <f>+HojaTICA!N11+HojaNICA!P11+HojaREVENTADO!O11+HojaPrimera!L11+HojaHonduras!N11+HojaDominicana!L11+HojaPANA!J11</f>
        <v>12750</v>
      </c>
      <c r="F10" s="14">
        <f t="shared" si="0"/>
        <v>12000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209950</v>
      </c>
      <c r="C11" s="9">
        <f>+HojaTICA!K12+HojaNICA!M12+HojaREVENTADO!K12+HojaPrimera!I12+HojaHonduras!K12+HojaDominicana!I12+HojaPANA!G12</f>
        <v>25050</v>
      </c>
      <c r="D11" s="9">
        <f>+HojaTICA!N12+HojaNICA!P12+HojaREVENTADO!O12+HojaPrimera!L12+HojaHonduras!N12+HojaDominicana!L12+HojaPANA!J12</f>
        <v>140250</v>
      </c>
      <c r="F11" s="14">
        <f t="shared" si="0"/>
        <v>44650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131050</v>
      </c>
      <c r="C12" s="9">
        <f>+HojaTICA!K13+HojaNICA!M13+HojaREVENTADO!K13+HojaPrimera!I13+HojaHonduras!K13+HojaDominicana!I13+HojaPANA!G13</f>
        <v>15700</v>
      </c>
      <c r="D12" s="9">
        <f>+HojaTICA!N13+HojaNICA!P13+HojaREVENTADO!O13+HojaPrimera!L13+HojaHonduras!N13+HojaDominicana!L13+HojaPANA!J13</f>
        <v>32000</v>
      </c>
      <c r="F12" s="14">
        <f t="shared" si="0"/>
        <v>83350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73050</v>
      </c>
      <c r="C13" s="9">
        <f>+HojaTICA!K14+HojaNICA!M14+HojaREVENTADO!K14+HojaPrimera!I14+HojaHonduras!K14+HojaDominicana!I14+HojaPANA!G14</f>
        <v>10950</v>
      </c>
      <c r="D13" s="9">
        <f>+HojaTICA!N14+HojaNICA!P14+HojaREVENTADO!O14+HojaPrimera!L14+HojaHonduras!N14+HojaDominicana!L14+HojaPANA!J14</f>
        <v>24000</v>
      </c>
      <c r="F13" s="14">
        <f t="shared" si="0"/>
        <v>38100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105050</v>
      </c>
      <c r="C15" s="9">
        <f>+HojaTICA!K16+HojaNICA!M16+HojaREVENTADO!K16+HojaPrimera!I16+HojaHonduras!K16+HojaDominicana!I16+HojaPANA!G16</f>
        <v>12590</v>
      </c>
      <c r="D15" s="9">
        <f>+HojaTICA!N16+HojaNICA!P16+HojaREVENTADO!O16+HojaPrimera!L16+HojaHonduras!N16+HojaDominicana!L16+HojaPANA!J16</f>
        <v>57250</v>
      </c>
      <c r="F15" s="14">
        <f t="shared" si="0"/>
        <v>35210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1056500</v>
      </c>
      <c r="C16" s="9">
        <f>+HojaTICA!K17+HojaNICA!M17+HojaREVENTADO!K17+HojaPrimera!I17+HojaHonduras!K17+HojaDominicana!I17+HojaPANA!G17</f>
        <v>125410</v>
      </c>
      <c r="D16" s="9">
        <f>+HojaTICA!N17+HojaNICA!P17+HojaREVENTADO!O17+HojaPrimera!L17+HojaHonduras!N17+HojaDominicana!L17+HojaPANA!J17</f>
        <v>766750</v>
      </c>
      <c r="F16" s="14">
        <f t="shared" si="0"/>
        <v>164340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452400</v>
      </c>
      <c r="C17" s="9">
        <f>+HojaTICA!K18+HojaNICA!M18+HojaREVENTADO!K18+HojaPrimera!I18+HojaHonduras!K18+HojaDominicana!I18+HojaPANA!G18</f>
        <v>53630</v>
      </c>
      <c r="D17" s="9">
        <f>+HojaTICA!N18+HojaNICA!P18+HojaREVENTADO!O18+HojaPrimera!L18+HojaHonduras!N18+HojaDominicana!L18+HojaPANA!J18</f>
        <v>371500</v>
      </c>
      <c r="F17" s="14">
        <f t="shared" si="0"/>
        <v>27270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-44050</v>
      </c>
      <c r="C26" s="9">
        <f>+HojaTICA!K27+HojaNICA!M27+HojaREVENTADO!K27+HojaPrimera!I27+HojaHonduras!K27+HojaDominicana!I27+HojaPANA!G27</f>
        <v>-5300</v>
      </c>
      <c r="D26" s="9">
        <f>+HojaTICA!N27+HojaNICA!P27+HojaREVENTADO!O27+HojaPrimera!L27+HojaHonduras!N27+HojaDominicana!L27+HojaPANA!J27</f>
        <v>0</v>
      </c>
      <c r="F26" s="14">
        <f t="shared" si="0"/>
        <v>-38750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3596750</v>
      </c>
      <c r="C28" s="17">
        <f t="shared" si="1"/>
        <v>434620</v>
      </c>
      <c r="D28" s="18">
        <f t="shared" si="1"/>
        <v>2136000</v>
      </c>
      <c r="F28" s="20">
        <f>SUM(F3:F27)</f>
        <v>1026130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160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47</v>
      </c>
      <c r="C19" s="132">
        <v>58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96</v>
      </c>
      <c r="C20" s="163">
        <v>55</v>
      </c>
      <c r="D20" s="166">
        <v>58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46</v>
      </c>
      <c r="C21" s="164">
        <v>59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02</v>
      </c>
      <c r="D2" s="268"/>
      <c r="E2" s="267">
        <f>DigitaTICA!E2</f>
        <v>46</v>
      </c>
      <c r="F2" s="268"/>
      <c r="G2" s="267" t="str">
        <f>DigitaTICA!G2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36200</v>
      </c>
      <c r="D4" s="30">
        <f>IF(Vendedor1!$E$7="",0,Vendedor1!$E$7)</f>
        <v>250</v>
      </c>
      <c r="E4" s="180">
        <f>IF(Vendedor1!$C$11="",0,Vendedor1!$C$11)</f>
        <v>43750</v>
      </c>
      <c r="F4" s="30">
        <f>IF(Vendedor1!$E$11="",0,Vendedor1!$E$11)</f>
        <v>0</v>
      </c>
      <c r="G4" s="180">
        <f>IF(Vendedor1!$C$15="",0,Vendedor1!$C$15)</f>
        <v>105900</v>
      </c>
      <c r="H4" s="30">
        <f>IF(Vendedor1!$E$15="",0,Vendedor1!$E$15)</f>
        <v>850</v>
      </c>
      <c r="J4" s="42">
        <f t="shared" ref="J4:J7" si="0">+C4+E4+G4</f>
        <v>185850</v>
      </c>
      <c r="K4" s="41">
        <f>MROUND(J4*Vendedor1!J$9,50)</f>
        <v>24150</v>
      </c>
      <c r="L4" s="42">
        <f t="shared" ref="L4:L7" si="1">+D4+F4+H4</f>
        <v>1100</v>
      </c>
      <c r="M4" s="42">
        <f t="shared" ref="M4:M7" si="2">+L4*85</f>
        <v>93500</v>
      </c>
      <c r="N4" s="42">
        <f>Vendedor1!$F$7+Vendedor1!$F$11+Vendedor1!$F$15</f>
        <v>93500</v>
      </c>
      <c r="P4" s="42">
        <f t="shared" ref="P4:P7" si="3">+J4-K4-N4</f>
        <v>68200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50600</v>
      </c>
      <c r="D5" s="30">
        <f>IF(Vendedor2!$E$7="",0,Vendedor2!$E$7)</f>
        <v>100</v>
      </c>
      <c r="E5" s="180">
        <f>IF(Vendedor2!$C$11="",0,Vendedor2!$C$11)</f>
        <v>36200</v>
      </c>
      <c r="F5" s="30">
        <f>IF(Vendedor2!$E$11="",0,Vendedor2!$E$11)</f>
        <v>0</v>
      </c>
      <c r="G5" s="180">
        <f>IF(Vendedor2!$C$15="",0,Vendedor2!$C$15)</f>
        <v>86850</v>
      </c>
      <c r="H5" s="30">
        <f>IF(Vendedor2!$E$15="",0,Vendedor2!$E$15)</f>
        <v>0</v>
      </c>
      <c r="J5" s="42">
        <f t="shared" si="0"/>
        <v>173650</v>
      </c>
      <c r="K5" s="41">
        <f>MROUND(J5*Vendedor2!J$9,50)</f>
        <v>22550</v>
      </c>
      <c r="L5" s="42">
        <f t="shared" si="1"/>
        <v>100</v>
      </c>
      <c r="M5" s="42">
        <f t="shared" si="2"/>
        <v>8500</v>
      </c>
      <c r="N5" s="42">
        <f>Vendedor2!$F$7+Vendedor2!$F$11+Vendedor2!$F$15</f>
        <v>8500</v>
      </c>
      <c r="P5" s="42">
        <f t="shared" si="3"/>
        <v>142600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35550</v>
      </c>
      <c r="D8" s="30">
        <f>IF(Vendedor5!$E$7="",0,Vendedor5!$E$7)</f>
        <v>100</v>
      </c>
      <c r="E8" s="180">
        <f>IF(Vendedor5!$C$11="",0,Vendedor5!$C$11)</f>
        <v>25100</v>
      </c>
      <c r="F8" s="30">
        <f>IF(Vendedor5!$E$11="",0,Vendedor5!$E$11)</f>
        <v>0</v>
      </c>
      <c r="G8" s="180">
        <f>IF(Vendedor5!$C$15="",0,Vendedor5!$C$15)</f>
        <v>64050</v>
      </c>
      <c r="H8" s="30">
        <f>IF(Vendedor5!$E$15="",0,Vendedor5!$E$15)</f>
        <v>0</v>
      </c>
      <c r="J8" s="42">
        <f t="shared" ref="J8" si="4">+C8+E8+G8</f>
        <v>124700</v>
      </c>
      <c r="K8" s="41">
        <f>MROUND(J8*Vendedor5!J$11,50)</f>
        <v>14950</v>
      </c>
      <c r="L8" s="42">
        <f t="shared" ref="L8" si="5">+D8+F8+H8</f>
        <v>100</v>
      </c>
      <c r="M8" s="42">
        <f t="shared" ref="M8" si="6">+L8*85</f>
        <v>8500</v>
      </c>
      <c r="N8" s="42">
        <f>Vendedor5!$F$7+Vendedor5!$F$11+Vendedor5!$F$15</f>
        <v>8500</v>
      </c>
      <c r="P8" s="42">
        <f t="shared" ref="P8" si="7">+J8-K8-N8</f>
        <v>101250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138300</v>
      </c>
      <c r="D10" s="30">
        <f>IF(Vendedor7!$E$7="",0,Vendedor7!$E$7)</f>
        <v>1100</v>
      </c>
      <c r="E10" s="180">
        <f>IF(Vendedor7!$C$11="",0,Vendedor7!$C$11)</f>
        <v>115200</v>
      </c>
      <c r="F10" s="30">
        <f>IF(Vendedor7!$E$11="",0,Vendedor7!$E$11)</f>
        <v>200</v>
      </c>
      <c r="G10" s="180">
        <f>IF(Vendedor7!$C$15="",0,Vendedor7!$C$15)</f>
        <v>149000</v>
      </c>
      <c r="H10" s="30">
        <f>IF(Vendedor7!$E$15="",0,Vendedor7!$E$15)</f>
        <v>550</v>
      </c>
      <c r="J10" s="42">
        <f t="shared" si="8"/>
        <v>402500</v>
      </c>
      <c r="K10" s="41">
        <f>MROUND(J10*Vendedor7!J$14,50)</f>
        <v>48300</v>
      </c>
      <c r="L10" s="42">
        <f t="shared" si="9"/>
        <v>1850</v>
      </c>
      <c r="M10" s="42">
        <f t="shared" si="10"/>
        <v>157250</v>
      </c>
      <c r="N10" s="42">
        <f>Vendedor7!$F$7+Vendedor7!$F$11+Vendedor7!$F$15</f>
        <v>157250</v>
      </c>
      <c r="P10" s="42">
        <f t="shared" si="11"/>
        <v>196950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4950</v>
      </c>
      <c r="D11" s="30">
        <f>IF(Vendedor8!$E$7="",0,Vendedor8!$E$7)</f>
        <v>150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23200</v>
      </c>
      <c r="H11" s="30">
        <f>IF(Vendedor8!$E$15="",0,Vendedor8!$E$15)</f>
        <v>0</v>
      </c>
      <c r="J11" s="42">
        <f t="shared" si="8"/>
        <v>28150</v>
      </c>
      <c r="K11" s="41">
        <f>MROUND(J11*Vendedor8!J$11,50)</f>
        <v>3400</v>
      </c>
      <c r="L11" s="42">
        <f t="shared" si="9"/>
        <v>150</v>
      </c>
      <c r="M11" s="42">
        <f t="shared" si="10"/>
        <v>12750</v>
      </c>
      <c r="N11" s="42">
        <f>Vendedor8!$F$7+Vendedor8!$F$11+Vendedor8!$F$15</f>
        <v>12750</v>
      </c>
      <c r="P11" s="42">
        <f t="shared" si="11"/>
        <v>12000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47650</v>
      </c>
      <c r="D12" s="30">
        <f>IF(Vendedor9!$E$7="",0,Vendedor9!$E$7)</f>
        <v>500</v>
      </c>
      <c r="E12" s="180">
        <f>IF(Vendedor9!$C$11="",0,Vendedor9!$C$11)</f>
        <v>22100</v>
      </c>
      <c r="F12" s="30">
        <f>IF(Vendedor9!$E$11="",0,Vendedor9!$E$11)</f>
        <v>150</v>
      </c>
      <c r="G12" s="180">
        <f>IF(Vendedor9!$C$15="",0,Vendedor9!$C$15)</f>
        <v>26050</v>
      </c>
      <c r="H12" s="30">
        <f>IF(Vendedor9!$E$15="",0,Vendedor9!$E$15)</f>
        <v>0</v>
      </c>
      <c r="J12" s="42">
        <f t="shared" si="8"/>
        <v>95800</v>
      </c>
      <c r="K12" s="41">
        <f>MROUND(J12*Vendedor9!J$11,50)</f>
        <v>11500</v>
      </c>
      <c r="L12" s="42">
        <f t="shared" si="9"/>
        <v>650</v>
      </c>
      <c r="M12" s="42">
        <f t="shared" si="10"/>
        <v>55250</v>
      </c>
      <c r="N12" s="42">
        <f>Vendedor9!$F$7+Vendedor9!$F$11+Vendedor9!$F$15</f>
        <v>55250</v>
      </c>
      <c r="P12" s="42">
        <f t="shared" si="11"/>
        <v>29050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33150</v>
      </c>
      <c r="D13" s="30">
        <f>IF(Vendedor10!$E$7="",0,Vendedor10!$E$7)</f>
        <v>0</v>
      </c>
      <c r="E13" s="180">
        <f>IF(Vendedor10!$C$11="",0,Vendedor10!$C$11)</f>
        <v>20200</v>
      </c>
      <c r="F13" s="30">
        <f>IF(Vendedor10!$E$11="",0,Vendedor10!$E$11)</f>
        <v>0</v>
      </c>
      <c r="G13" s="180">
        <f>IF(Vendedor10!$C$15="",0,Vendedor10!$C$15)</f>
        <v>45550</v>
      </c>
      <c r="H13" s="30">
        <f>IF(Vendedor10!$E$15="",0,Vendedor10!$E$15)</f>
        <v>0</v>
      </c>
      <c r="J13" s="42">
        <f t="shared" si="8"/>
        <v>98900</v>
      </c>
      <c r="K13" s="41">
        <f>MROUND(J13*Vendedor10!J$9,50)</f>
        <v>11850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87050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36850</v>
      </c>
      <c r="D14" s="30">
        <f>IF(Vendedor11!$E$7="",0,Vendedor11!$E$7)</f>
        <v>300</v>
      </c>
      <c r="E14" s="180">
        <f>IF(Vendedor11!$C$11="",0,Vendedor11!$C$11)</f>
        <v>7900</v>
      </c>
      <c r="F14" s="30">
        <f>IF(Vendedor11!$E$11="",0,Vendedor11!$E$11)</f>
        <v>0</v>
      </c>
      <c r="G14" s="180">
        <f>IF(Vendedor11!$C$15="",0,Vendedor11!$C$15)</f>
        <v>28300</v>
      </c>
      <c r="H14" s="30">
        <f>IF(Vendedor11!$E$15="",0,Vendedor11!$E$15)</f>
        <v>0</v>
      </c>
      <c r="J14" s="42">
        <f t="shared" si="8"/>
        <v>73050</v>
      </c>
      <c r="K14" s="41">
        <f>MROUND(J14*Vendedor11!J$9,50)</f>
        <v>10950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38100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25000</v>
      </c>
      <c r="D16" s="30">
        <f>IF(Vendedor13!$E$7="",0,Vendedor13!$E$7)</f>
        <v>0</v>
      </c>
      <c r="E16" s="180">
        <f>IF(Vendedor13!$C$11="",0,Vendedor13!$C$11)</f>
        <v>12000</v>
      </c>
      <c r="F16" s="30">
        <f>IF(Vendedor13!$E$11="",0,Vendedor13!$E$11)</f>
        <v>0</v>
      </c>
      <c r="G16" s="180">
        <f>IF(Vendedor13!$C$15="",0,Vendedor13!$C$15)</f>
        <v>20400</v>
      </c>
      <c r="H16" s="30">
        <f>IF(Vendedor13!$E$15="",0,Vendedor13!$E$15)</f>
        <v>250</v>
      </c>
      <c r="J16" s="42">
        <f t="shared" si="8"/>
        <v>57400</v>
      </c>
      <c r="K16" s="41">
        <f>MROUND(J16*Vendedor13!J$11,50)</f>
        <v>6900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29250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127000</v>
      </c>
      <c r="D17" s="30">
        <f>IF(Vendedor14!$E$7="",0,Vendedor14!$E$7)</f>
        <v>1300</v>
      </c>
      <c r="E17" s="180">
        <f>IF(Vendedor14!$C$11="",0,Vendedor14!$C$11)</f>
        <v>99750</v>
      </c>
      <c r="F17" s="30">
        <f>IF(Vendedor14!$E$11="",0,Vendedor14!$E$11)</f>
        <v>400</v>
      </c>
      <c r="G17" s="180">
        <f>IF(Vendedor14!$C$15="",0,Vendedor14!$C$15)</f>
        <v>205150</v>
      </c>
      <c r="H17" s="30">
        <f>IF(Vendedor14!$E$15="",0,Vendedor14!$E$15)</f>
        <v>1600</v>
      </c>
      <c r="J17" s="42">
        <f t="shared" si="8"/>
        <v>431900</v>
      </c>
      <c r="K17" s="41">
        <f>MROUND(J17*Vendedor14!J$15,50)</f>
        <v>51850</v>
      </c>
      <c r="L17" s="42">
        <f t="shared" si="9"/>
        <v>3300</v>
      </c>
      <c r="M17" s="42">
        <f t="shared" si="10"/>
        <v>280500</v>
      </c>
      <c r="N17" s="42">
        <f>Vendedor14!$F$7+Vendedor14!$F$11+Vendedor14!$F$15</f>
        <v>280500</v>
      </c>
      <c r="P17" s="42">
        <f t="shared" si="11"/>
        <v>99550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52400</v>
      </c>
      <c r="D18" s="30">
        <f>IF(Vendedor15!$E$7="",0,Vendedor15!$E$7)</f>
        <v>300</v>
      </c>
      <c r="E18" s="180">
        <f>IF(Vendedor15!$C$11="",0,Vendedor15!$C$11)</f>
        <v>46600</v>
      </c>
      <c r="F18" s="30">
        <f>IF(Vendedor15!$E$11="",0,Vendedor15!$E$11)</f>
        <v>200</v>
      </c>
      <c r="G18" s="180">
        <f>IF(Vendedor15!$C$15="",0,Vendedor15!$C$15)</f>
        <v>65950</v>
      </c>
      <c r="H18" s="30">
        <f>IF(Vendedor15!$E$15="",0,Vendedor15!$E$15)</f>
        <v>500</v>
      </c>
      <c r="J18" s="42">
        <f t="shared" ref="J18" si="12">+C18+E18+G18</f>
        <v>164950</v>
      </c>
      <c r="K18" s="41">
        <f>MROUND(J18*Vendedor15!J$15,50)</f>
        <v>19800</v>
      </c>
      <c r="L18" s="42">
        <f t="shared" ref="L18" si="13">+D18+F18+H18</f>
        <v>1000</v>
      </c>
      <c r="M18" s="42">
        <f t="shared" ref="M18" si="14">+L18*85</f>
        <v>85000</v>
      </c>
      <c r="N18" s="42">
        <f>Vendedor15!$F$7+Vendedor15!$F$11+Vendedor15!$F$15</f>
        <v>85000</v>
      </c>
      <c r="P18" s="42">
        <f t="shared" ref="P18" si="15">+J18-K18-N18</f>
        <v>60150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587650</v>
      </c>
      <c r="D32" s="44">
        <f t="shared" si="16"/>
        <v>4100</v>
      </c>
      <c r="E32" s="43">
        <f t="shared" si="16"/>
        <v>428800</v>
      </c>
      <c r="F32" s="44">
        <f t="shared" si="16"/>
        <v>950</v>
      </c>
      <c r="G32" s="43">
        <f t="shared" si="16"/>
        <v>820400</v>
      </c>
      <c r="H32" s="44">
        <f t="shared" si="16"/>
        <v>3750</v>
      </c>
      <c r="J32" s="95">
        <f>SUM(J4:J31)</f>
        <v>1836850</v>
      </c>
      <c r="K32" s="45">
        <f>SUM(K7:K31)</f>
        <v>179500</v>
      </c>
      <c r="L32" s="95">
        <f>SUM(L4:L31)</f>
        <v>8800</v>
      </c>
      <c r="M32" s="95">
        <f>SUM(M4:M31)</f>
        <v>748000</v>
      </c>
      <c r="N32" s="95">
        <f>SUM(N4:N31)</f>
        <v>746500</v>
      </c>
      <c r="P32" s="79">
        <f>SUM(P4:P31)</f>
        <v>864150</v>
      </c>
    </row>
    <row r="33" spans="3:13" x14ac:dyDescent="0.35">
      <c r="D33" s="99">
        <f>+D32*85</f>
        <v>348500</v>
      </c>
      <c r="F33" s="99">
        <f>+F32*85</f>
        <v>80750</v>
      </c>
      <c r="H33" s="99">
        <f>+H32*85</f>
        <v>318750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1836850</v>
      </c>
      <c r="E36" s="43">
        <f>+D36-J4-J5-J6</f>
        <v>1477350</v>
      </c>
      <c r="G36" s="101"/>
    </row>
    <row r="37" spans="3:13" x14ac:dyDescent="0.35">
      <c r="C37" s="47" t="s">
        <v>33</v>
      </c>
      <c r="D37" s="48">
        <f>D36*13%</f>
        <v>238790.5</v>
      </c>
      <c r="E37">
        <f>+D37-K4-K5-K6</f>
        <v>192090.5</v>
      </c>
      <c r="G37" s="100"/>
      <c r="H37" s="100"/>
    </row>
    <row r="38" spans="3:13" ht="15" thickBot="1" x14ac:dyDescent="0.4">
      <c r="C38" s="47" t="s">
        <v>30</v>
      </c>
      <c r="D38" s="30">
        <f>M32</f>
        <v>748000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850059.5</v>
      </c>
      <c r="F39" s="98">
        <f>+P32-D39</f>
        <v>14090.5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850059.5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70</v>
      </c>
      <c r="D2" s="268"/>
      <c r="E2" s="267" t="str">
        <f>DigitaNICA!E2</f>
        <v>07</v>
      </c>
      <c r="F2" s="268"/>
      <c r="G2" s="267">
        <f>DigitaNICA!G2</f>
        <v>30</v>
      </c>
      <c r="H2" s="268"/>
      <c r="I2" s="267">
        <f>DigitaNICA!I2</f>
        <v>38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20200</v>
      </c>
      <c r="D4" s="78">
        <f>IF(Vendedor1!$E$5="",0,Vendedor1!$E$5)</f>
        <v>0</v>
      </c>
      <c r="E4" s="189">
        <f>IF(Vendedor1!$C$9="",0,Vendedor1!$C$9)</f>
        <v>16700</v>
      </c>
      <c r="F4" s="78">
        <f>IF(Vendedor1!$E$9="",0,Vendedor1!$E$9)</f>
        <v>0</v>
      </c>
      <c r="G4" s="189">
        <f>IF(Vendedor1!$C$13="",0,Vendedor1!$C$13)</f>
        <v>4100</v>
      </c>
      <c r="H4" s="78">
        <f>IF(Vendedor1!$E$13="",0,Vendedor1!$E$13)</f>
        <v>0</v>
      </c>
      <c r="I4" s="189">
        <f>IF(Vendedor1!$C$17="",0,Vendedor1!$C$17)</f>
        <v>3000</v>
      </c>
      <c r="J4" s="78">
        <f>IF(Vendedor1!$E$17="",0,Vendedor1!$E$17)</f>
        <v>0</v>
      </c>
      <c r="L4" s="42">
        <f t="shared" ref="L4:L7" si="0">C4+E4+G4+I4</f>
        <v>44000</v>
      </c>
      <c r="M4" s="41">
        <f>MROUND(L4*Vendedor1!J$10,50)</f>
        <v>5700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38300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17500</v>
      </c>
      <c r="D5" s="30">
        <f>IF(Vendedor2!$E$5="",0,Vendedor2!$E$5)</f>
        <v>0</v>
      </c>
      <c r="E5" s="180">
        <f>IF(Vendedor2!$C$9="",0,Vendedor2!$C$9)</f>
        <v>2800</v>
      </c>
      <c r="F5" s="30">
        <f>IF(Vendedor2!$E$9="",0,Vendedor2!$E$9)</f>
        <v>0</v>
      </c>
      <c r="G5" s="180">
        <f>IF(Vendedor2!$C$13="",0,Vendedor2!$C$13)</f>
        <v>1000</v>
      </c>
      <c r="H5" s="30">
        <f>IF(Vendedor2!$E$13="",0,Vendedor2!$E$13)</f>
        <v>0</v>
      </c>
      <c r="I5" s="180">
        <f>IF(Vendedor2!$C$17="",0,Vendedor2!$C$17)</f>
        <v>13750</v>
      </c>
      <c r="J5" s="30">
        <f>IF(Vendedor2!$E$17="",0,Vendedor2!$E$17)</f>
        <v>0</v>
      </c>
      <c r="L5" s="42">
        <f t="shared" si="0"/>
        <v>35050</v>
      </c>
      <c r="M5" s="41">
        <f>MROUND(L5*Vendedor2!J$10,50)</f>
        <v>4550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30500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41750</v>
      </c>
      <c r="D8" s="30">
        <f>IF(Vendedor5!$E$5="",0,Vendedor5!$E$5)</f>
        <v>0</v>
      </c>
      <c r="E8" s="180">
        <f>IF(Vendedor5!$C$9="",0,Vendedor5!$C$9)</f>
        <v>15800</v>
      </c>
      <c r="F8" s="30">
        <f>IF(Vendedor5!$E$9="",0,Vendedor5!$E$9)</f>
        <v>100</v>
      </c>
      <c r="G8" s="180">
        <f>IF(Vendedor5!$C$13="",0,Vendedor5!$C$13)</f>
        <v>28250</v>
      </c>
      <c r="H8" s="30">
        <f>IF(Vendedor5!$E$13="",0,Vendedor5!$E$13)</f>
        <v>950</v>
      </c>
      <c r="I8" s="180">
        <f>IF(Vendedor5!$C$17="",0,Vendedor5!$C$17)</f>
        <v>32250</v>
      </c>
      <c r="J8" s="30">
        <f>IF(Vendedor5!$E$17="",0,Vendedor5!$E$17)</f>
        <v>100</v>
      </c>
      <c r="L8" s="42">
        <f t="shared" ref="L8" si="4">C8+E8+G8+I8</f>
        <v>118050</v>
      </c>
      <c r="M8" s="41">
        <f>MROUND(L8*Vendedor5!J$12,50)</f>
        <v>14150</v>
      </c>
      <c r="N8" s="42">
        <f t="shared" ref="N8" si="5">D8+F8+H8+J8</f>
        <v>1150</v>
      </c>
      <c r="O8" s="41">
        <f t="shared" si="3"/>
        <v>97750</v>
      </c>
      <c r="P8" s="42">
        <f>Vendedor5!$F$5+Vendedor5!$F$9+Vendedor5!$F$13+Vendedor5!$F$17</f>
        <v>92000</v>
      </c>
      <c r="Q8">
        <v>17</v>
      </c>
      <c r="R8" s="41">
        <f t="shared" ref="R8" si="6">+L8-M8-O8</f>
        <v>6150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86250</v>
      </c>
      <c r="D10" s="30">
        <f>IF(Vendedor7!$E$5="",0,Vendedor7!$E$5)</f>
        <v>2600</v>
      </c>
      <c r="E10" s="180">
        <f>IF(Vendedor7!$C$9="",0,Vendedor7!$C$9)</f>
        <v>72150</v>
      </c>
      <c r="F10" s="30">
        <f>IF(Vendedor7!$E$9="",0,Vendedor7!$E$9)</f>
        <v>200</v>
      </c>
      <c r="G10" s="180">
        <f>IF(Vendedor7!$C$13="",0,Vendedor7!$C$13)</f>
        <v>59950</v>
      </c>
      <c r="H10" s="30">
        <f>IF(Vendedor7!$E$13="",0,Vendedor7!$E$13)</f>
        <v>1100</v>
      </c>
      <c r="I10" s="180">
        <f>IF(Vendedor7!$C$17="",0,Vendedor7!$C$17)</f>
        <v>104800</v>
      </c>
      <c r="J10" s="30">
        <f>IF(Vendedor7!$E$17="",0,Vendedor7!$E$17)</f>
        <v>0</v>
      </c>
      <c r="L10" s="42">
        <f t="shared" si="7"/>
        <v>323150</v>
      </c>
      <c r="M10" s="41">
        <f>MROUND(L10*Vendedor7!J$15,50)</f>
        <v>38800</v>
      </c>
      <c r="N10" s="42">
        <f t="shared" ref="N10:N27" si="9">D10+F10+H10+J10</f>
        <v>3900</v>
      </c>
      <c r="O10" s="41">
        <f t="shared" si="3"/>
        <v>331500</v>
      </c>
      <c r="P10" s="42">
        <f>Vendedor7!$F$5+Vendedor7!$F$9+Vendedor7!$F$13+Vendedor7!$F$17</f>
        <v>331500</v>
      </c>
      <c r="R10" s="41">
        <f t="shared" si="8"/>
        <v>-47150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36850</v>
      </c>
      <c r="D12" s="30">
        <f>IF(Vendedor9!$E$5="",0,Vendedor9!$E$5)</f>
        <v>750</v>
      </c>
      <c r="E12" s="180">
        <f>IF(Vendedor9!$C$9="",0,Vendedor9!$C$9)</f>
        <v>28650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65500</v>
      </c>
      <c r="M12" s="41">
        <f>MROUND(L12*Vendedor9!J$12,50)</f>
        <v>7850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-27350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19600</v>
      </c>
      <c r="D13" s="30">
        <f>IF(Vendedor10!$E$5="",0,Vendedor10!$E$5)</f>
        <v>400</v>
      </c>
      <c r="E13" s="180">
        <f>IF(Vendedor10!$C$9="",0,Vendedor10!$C$9)</f>
        <v>11450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1100</v>
      </c>
      <c r="J13" s="30">
        <f>IF(Vendedor10!$E$17="",0,Vendedor10!$E$17)</f>
        <v>0</v>
      </c>
      <c r="L13" s="42">
        <f t="shared" si="7"/>
        <v>32150</v>
      </c>
      <c r="M13" s="41">
        <f>MROUND(L13*Vendedor10!J$10,50)</f>
        <v>3850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-5700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1000</v>
      </c>
      <c r="D16" s="30">
        <f>IF(Vendedor13!$E$5="",0,Vendedor13!$E$5)</f>
        <v>0</v>
      </c>
      <c r="E16" s="180">
        <f>IF(Vendedor13!$C$9="",0,Vendedor13!$C$9)</f>
        <v>13300</v>
      </c>
      <c r="F16" s="30">
        <f>IF(Vendedor13!$E$9="",0,Vendedor13!$E$9)</f>
        <v>200</v>
      </c>
      <c r="G16" s="180">
        <f>IF(Vendedor13!$C$13="",0,Vendedor13!$C$13)</f>
        <v>2000</v>
      </c>
      <c r="H16" s="30">
        <f>IF(Vendedor13!$E$13="",0,Vendedor13!$E$13)</f>
        <v>250</v>
      </c>
      <c r="I16" s="180">
        <f>IF(Vendedor13!$C$17="",0,Vendedor13!$C$17)</f>
        <v>10250</v>
      </c>
      <c r="J16" s="30">
        <f>IF(Vendedor13!$E$17="",0,Vendedor13!$E$17)</f>
        <v>0</v>
      </c>
      <c r="L16" s="42">
        <f t="shared" si="7"/>
        <v>26550</v>
      </c>
      <c r="M16" s="41">
        <f>MROUND(L16*Vendedor13!J$12,50)</f>
        <v>3200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-14900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89450</v>
      </c>
      <c r="D17" s="30">
        <f>IF(Vendedor14!$E$5="",0,Vendedor14!$E$5)</f>
        <v>500</v>
      </c>
      <c r="E17" s="180">
        <f>IF(Vendedor14!$C$9="",0,Vendedor14!$C$9)</f>
        <v>82000</v>
      </c>
      <c r="F17" s="30">
        <f>IF(Vendedor14!$E$9="",0,Vendedor14!$E$9)</f>
        <v>2150</v>
      </c>
      <c r="G17" s="180">
        <f>IF(Vendedor14!$C$13="",0,Vendedor14!$C$13)</f>
        <v>51500</v>
      </c>
      <c r="H17" s="30">
        <f>IF(Vendedor14!$E$13="",0,Vendedor14!$E$13)</f>
        <v>900</v>
      </c>
      <c r="I17" s="180">
        <f>IF(Vendedor14!$C$17="",0,Vendedor14!$C$17)</f>
        <v>169400</v>
      </c>
      <c r="J17" s="30">
        <f>IF(Vendedor14!$E$17="",0,Vendedor14!$E$17)</f>
        <v>1600</v>
      </c>
      <c r="L17" s="42">
        <f>C17+E17+G17+I17</f>
        <v>392350</v>
      </c>
      <c r="M17" s="41">
        <f>MROUND(L17*Vendedor14!J$16,50)</f>
        <v>47100</v>
      </c>
      <c r="N17" s="42">
        <f t="shared" si="9"/>
        <v>5150</v>
      </c>
      <c r="O17" s="41">
        <f t="shared" si="3"/>
        <v>437750</v>
      </c>
      <c r="P17" s="42">
        <f>Vendedor14!$F$5+Vendedor14!$F$9+Vendedor14!$F$13+Vendedor14!$F$17</f>
        <v>437750</v>
      </c>
      <c r="R17" s="41">
        <f t="shared" si="8"/>
        <v>-92500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58750</v>
      </c>
      <c r="D18" s="30">
        <f>IF(Vendedor15!$E$5="",0,Vendedor15!$E$5)</f>
        <v>0</v>
      </c>
      <c r="E18" s="180">
        <f>IF(Vendedor15!$C$9="",0,Vendedor15!$C$9)</f>
        <v>25200</v>
      </c>
      <c r="F18" s="30">
        <f>IF(Vendedor15!$E$9="",0,Vendedor15!$E$9)</f>
        <v>500</v>
      </c>
      <c r="G18" s="180">
        <f>IF(Vendedor15!$C$13="",0,Vendedor15!$C$13)</f>
        <v>25900</v>
      </c>
      <c r="H18" s="30">
        <f>IF(Vendedor15!$E$13="",0,Vendedor15!$E$13)</f>
        <v>0</v>
      </c>
      <c r="I18" s="180">
        <f>IF(Vendedor15!$C$17="",0,Vendedor15!$C$17)</f>
        <v>15000</v>
      </c>
      <c r="J18" s="30">
        <f>IF(Vendedor15!$E$17="",0,Vendedor15!$E$17)</f>
        <v>0</v>
      </c>
      <c r="L18" s="42">
        <f t="shared" ref="L18:L27" si="10">C18+E18+G18+I18</f>
        <v>124850</v>
      </c>
      <c r="M18" s="41">
        <f>MROUND(L18*Vendedor15!J$16,50)</f>
        <v>15000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67350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-44050</v>
      </c>
      <c r="J27" s="50">
        <f>IF(Vendedor24!$E$17="",0,Vendedor24!$E$17)</f>
        <v>0</v>
      </c>
      <c r="L27" s="42">
        <f t="shared" si="10"/>
        <v>-44050</v>
      </c>
      <c r="M27" s="41">
        <f>IF((L27*Vendedor24!J$10)&lt;0,MROUND(L27*Vendedor24!J$10,-50),MROUND(L27*Vendedor24!J$10,50))</f>
        <v>-5300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-38750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371350</v>
      </c>
      <c r="D32" s="44">
        <f t="shared" si="14"/>
        <v>4250</v>
      </c>
      <c r="E32" s="43">
        <f t="shared" si="14"/>
        <v>268050</v>
      </c>
      <c r="F32" s="44">
        <f t="shared" si="14"/>
        <v>3400</v>
      </c>
      <c r="G32" s="43">
        <f t="shared" si="14"/>
        <v>172700</v>
      </c>
      <c r="H32" s="44">
        <f t="shared" si="14"/>
        <v>3200</v>
      </c>
      <c r="I32" s="43">
        <f t="shared" si="14"/>
        <v>305500</v>
      </c>
      <c r="J32" s="44">
        <f t="shared" si="14"/>
        <v>1700</v>
      </c>
      <c r="L32" s="45">
        <f>SUM(L4:L31)</f>
        <v>1117600</v>
      </c>
      <c r="M32" s="45">
        <f>SUM(M7:M31)</f>
        <v>124650</v>
      </c>
      <c r="N32" s="95">
        <f>SUM(N4:N31)</f>
        <v>12550</v>
      </c>
      <c r="O32" s="46">
        <f>SUM(O4:O31)</f>
        <v>1066750</v>
      </c>
      <c r="P32" s="140">
        <f>SUM(P4:P31)</f>
        <v>1056750</v>
      </c>
      <c r="R32" s="79">
        <f>SUM(R4:R31)</f>
        <v>-84050</v>
      </c>
    </row>
    <row r="33" spans="3:15" x14ac:dyDescent="0.35">
      <c r="D33" s="120">
        <f>+D32*85</f>
        <v>361250</v>
      </c>
      <c r="F33" s="120">
        <f>+F32*85</f>
        <v>289000</v>
      </c>
      <c r="H33" s="120">
        <f>+H32*85</f>
        <v>272000</v>
      </c>
      <c r="J33" s="120">
        <f>+J32*85</f>
        <v>144500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1117600</v>
      </c>
      <c r="E36" s="43">
        <f>+D36-L4-L5-L6</f>
        <v>1038550</v>
      </c>
    </row>
    <row r="37" spans="3:15" x14ac:dyDescent="0.35">
      <c r="C37" s="47" t="s">
        <v>33</v>
      </c>
      <c r="D37" s="48">
        <f>D36*13%</f>
        <v>145288</v>
      </c>
      <c r="E37">
        <f>+D37-M4-M5-M6</f>
        <v>135038</v>
      </c>
    </row>
    <row r="38" spans="3:15" x14ac:dyDescent="0.35">
      <c r="C38" s="47" t="s">
        <v>30</v>
      </c>
      <c r="D38" s="30">
        <f>SUM(O4:O27)</f>
        <v>1066750</v>
      </c>
      <c r="G38" s="100"/>
    </row>
    <row r="39" spans="3:15" ht="15" thickBot="1" x14ac:dyDescent="0.4">
      <c r="C39" s="49" t="s">
        <v>4</v>
      </c>
      <c r="D39" s="80">
        <f>+D36-D37-D38</f>
        <v>-94438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-94438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02 Blanca</v>
      </c>
      <c r="D2" s="268"/>
      <c r="E2" s="267" t="str">
        <f>IF(E33=0,"",CONCATENATE(PREMIOS!$B11," ",PREMIOS!$B12))</f>
        <v>46 Blanca</v>
      </c>
      <c r="F2" s="268"/>
      <c r="G2" s="267" t="str">
        <f>IF(G33=0,"",CONCATENATE(PREMIOS!$B15," ",PREMIOS!$B16))</f>
        <v>02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20350</v>
      </c>
      <c r="D10" s="30">
        <f>IF(Vendedor7!$E$8="",0,Vendedor7!$E$8)</f>
        <v>0</v>
      </c>
      <c r="E10" s="180">
        <f>IF(Vendedor7!$C$12="",0,Vendedor7!$C$12)</f>
        <v>23600</v>
      </c>
      <c r="F10" s="30">
        <f>IF(Vendedor7!$E$12="",0,Vendedor7!$E$12)</f>
        <v>200</v>
      </c>
      <c r="G10" s="180">
        <f>IF(Vendedor7!$C$16="",0,Vendedor7!$C$16)</f>
        <v>26450</v>
      </c>
      <c r="H10" s="30">
        <f>IF(Vendedor7!$E$16="",0,Vendedor7!$E$16)</f>
        <v>0</v>
      </c>
      <c r="J10" s="42">
        <f t="shared" si="1"/>
        <v>70400</v>
      </c>
      <c r="K10" s="41">
        <f>J10*Vendedor7!J$16</f>
        <v>7040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63360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3500</v>
      </c>
      <c r="D12" s="30">
        <f>IF(Vendedor9!$E$8="",0,Vendedor9!$E$8)</f>
        <v>250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3000</v>
      </c>
      <c r="H12" s="30">
        <f>IF(Vendedor9!$E$16="",0,Vendedor9!$E$16)</f>
        <v>0</v>
      </c>
      <c r="J12" s="42">
        <f t="shared" si="1"/>
        <v>6500</v>
      </c>
      <c r="K12" s="41">
        <f>J12*Vendedor9!J$13</f>
        <v>650</v>
      </c>
      <c r="L12" s="42">
        <f t="shared" si="2"/>
        <v>0</v>
      </c>
      <c r="M12" s="42">
        <f t="shared" si="3"/>
        <v>250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5850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1400</v>
      </c>
      <c r="H16" s="30">
        <f>IF(Vendedor13!$E$16="",0,Vendedor13!$E$16)</f>
        <v>0</v>
      </c>
      <c r="J16" s="42">
        <f t="shared" si="1"/>
        <v>2400</v>
      </c>
      <c r="K16" s="41">
        <f>J16*Vendedor13!J$13</f>
        <v>240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2160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19550</v>
      </c>
      <c r="D17" s="30">
        <f>IF(Vendedor14!$E$8="",0,Vendedor14!$E$8)</f>
        <v>200</v>
      </c>
      <c r="E17" s="180">
        <f>IF(Vendedor14!$C$12="",0,Vendedor14!$C$12)</f>
        <v>16450</v>
      </c>
      <c r="F17" s="30">
        <f>IF(Vendedor14!$E$12="",0,Vendedor14!$E$12)</f>
        <v>300</v>
      </c>
      <c r="G17" s="180">
        <f>IF(Vendedor14!$C$16="",0,Vendedor14!$C$16)</f>
        <v>35100</v>
      </c>
      <c r="H17" s="30">
        <f>IF(Vendedor14!$E$16="",0,Vendedor14!$E$16)</f>
        <v>200</v>
      </c>
      <c r="J17" s="42">
        <f t="shared" si="1"/>
        <v>71100</v>
      </c>
      <c r="K17" s="41">
        <f>J17*Vendedor14!J$17</f>
        <v>7110</v>
      </c>
      <c r="L17" s="42">
        <f t="shared" si="2"/>
        <v>200</v>
      </c>
      <c r="M17" s="42">
        <f t="shared" si="3"/>
        <v>700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23990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11700</v>
      </c>
      <c r="D18" s="30">
        <f>IF(Vendedor15!$E$8="",0,Vendedor15!$E$8)</f>
        <v>200</v>
      </c>
      <c r="E18" s="180">
        <f>IF(Vendedor15!$C$12="",0,Vendedor15!$C$12)</f>
        <v>10500</v>
      </c>
      <c r="F18" s="30">
        <f>IF(Vendedor15!$E$12="",0,Vendedor15!$E$12)</f>
        <v>0</v>
      </c>
      <c r="G18" s="180">
        <f>IF(Vendedor15!$C$16="",0,Vendedor15!$C$16)</f>
        <v>10600</v>
      </c>
      <c r="H18" s="30">
        <f>IF(Vendedor15!$E$16="",0,Vendedor15!$E$16)</f>
        <v>200</v>
      </c>
      <c r="J18" s="42">
        <f t="shared" ref="J18" si="5">+C18+E18+G18</f>
        <v>32800</v>
      </c>
      <c r="K18" s="41">
        <f>J18*Vendedor15!J$17</f>
        <v>3280</v>
      </c>
      <c r="L18" s="42">
        <f t="shared" si="2"/>
        <v>200</v>
      </c>
      <c r="M18" s="42">
        <f t="shared" si="3"/>
        <v>400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-10480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56100</v>
      </c>
      <c r="D33" s="44">
        <f>IF(PREMIOS!E8&lt;&gt;0,SUM(D4:D32),0)</f>
        <v>0</v>
      </c>
      <c r="E33" s="43">
        <f>SUM(E4:E32)</f>
        <v>50550</v>
      </c>
      <c r="F33" s="44">
        <f>IF(PREMIOS!E12&lt;&gt;0,SUM(F4:F32),0)</f>
        <v>0</v>
      </c>
      <c r="G33" s="43">
        <f>SUM(G4:G32)</f>
        <v>76550</v>
      </c>
      <c r="H33" s="44">
        <f>IF(PREMIOS!E16&lt;&gt;0,SUM(H4:H32),0)</f>
        <v>400</v>
      </c>
      <c r="J33" s="45">
        <f>SUM(J4:J32)</f>
        <v>183200</v>
      </c>
      <c r="K33" s="45">
        <f>SUM(K7:K32)</f>
        <v>18320</v>
      </c>
      <c r="L33" s="95">
        <f>SUM(L7:L32)</f>
        <v>400</v>
      </c>
      <c r="M33" s="95">
        <f>SUM(M7:M32)</f>
        <v>1550</v>
      </c>
      <c r="N33" s="95">
        <f>SUM(N4:N27)</f>
        <v>88000</v>
      </c>
      <c r="O33" s="95">
        <f>SUM(O4:O27)</f>
        <v>80000</v>
      </c>
      <c r="Q33" s="79">
        <f>SUM(Q4:Q32)</f>
        <v>84880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88000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183200</v>
      </c>
      <c r="E37" s="43">
        <f>+D37-J4-J5-J6</f>
        <v>183200</v>
      </c>
      <c r="F37" s="275"/>
      <c r="G37" s="275"/>
    </row>
    <row r="38" spans="3:17" ht="15" thickBot="1" x14ac:dyDescent="0.4">
      <c r="C38" s="47" t="s">
        <v>33</v>
      </c>
      <c r="D38" s="30">
        <f>D37*10%</f>
        <v>18320</v>
      </c>
      <c r="E38" s="43">
        <f>+D38-K4-K5-K6</f>
        <v>18320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0">
        <f>+D37-D38-D39</f>
        <v>76880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76880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47</v>
      </c>
      <c r="D2" s="268"/>
      <c r="E2" s="267">
        <f>DigitaPRIMERA!E2</f>
        <v>58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3400</v>
      </c>
      <c r="D4" s="78">
        <f>IF(Vendedor1!$E$19="",0,Vendedor1!$E$19)</f>
        <v>0</v>
      </c>
      <c r="E4" s="189">
        <f>IF(Vendedor1!$C$20="",0,Vendedor1!$C$20)</f>
        <v>2200</v>
      </c>
      <c r="F4" s="78">
        <f>IF(Vendedor1!$E$20="",0,Vendedor1!$E$20)</f>
        <v>250</v>
      </c>
      <c r="H4" s="42">
        <f>+C4+E4</f>
        <v>5600</v>
      </c>
      <c r="I4" s="41">
        <f>MROUND(H4*Vendedor1!J$9,50)</f>
        <v>750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-15150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3200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3200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2800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20450</v>
      </c>
      <c r="D8" s="30">
        <f>IF(Vendedor5!$E$19="",0,Vendedor5!$E$19)</f>
        <v>0</v>
      </c>
      <c r="E8" s="180">
        <f>IF(Vendedor5!$C$20="",0,Vendedor5!$C$20)</f>
        <v>5650</v>
      </c>
      <c r="F8" s="30">
        <f>IF(Vendedor5!$E$20="",0,Vendedor5!$E$20)</f>
        <v>200</v>
      </c>
      <c r="H8" s="133">
        <f t="shared" si="1"/>
        <v>26100</v>
      </c>
      <c r="I8" s="148">
        <f>MROUND(H8*Vendedor5!J$11,50)</f>
        <v>3150</v>
      </c>
      <c r="J8" s="133">
        <f t="shared" si="2"/>
        <v>200</v>
      </c>
      <c r="K8" s="133">
        <f t="shared" si="3"/>
        <v>17000</v>
      </c>
      <c r="L8" s="133">
        <f>Vendedor5!$F$19+Vendedor5!$F$20</f>
        <v>16000</v>
      </c>
      <c r="M8" s="155"/>
      <c r="N8" s="133">
        <f t="shared" si="0"/>
        <v>6950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22200</v>
      </c>
      <c r="D10" s="30">
        <f>IF(Vendedor7!$E$19="",0,Vendedor7!$E$19)</f>
        <v>0</v>
      </c>
      <c r="E10" s="180">
        <f>IF(Vendedor7!$C$20="",0,Vendedor7!$C$20)</f>
        <v>20150</v>
      </c>
      <c r="F10" s="30">
        <f>IF(Vendedor7!$E$20="",0,Vendedor7!$E$20)</f>
        <v>0</v>
      </c>
      <c r="H10" s="42">
        <f t="shared" si="1"/>
        <v>42350</v>
      </c>
      <c r="I10" s="41">
        <f>MROUND(H10*Vendedor7!J$14,50)</f>
        <v>5100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37250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38750</v>
      </c>
      <c r="D12" s="30">
        <f>IF(Vendedor9!$E$19="",0,Vendedor9!$E$19)</f>
        <v>0</v>
      </c>
      <c r="E12" s="180">
        <f>IF(Vendedor9!$C$20="",0,Vendedor9!$C$20)</f>
        <v>3400</v>
      </c>
      <c r="F12" s="30">
        <f>IF(Vendedor9!$E$20="",0,Vendedor9!$E$20)</f>
        <v>0</v>
      </c>
      <c r="H12" s="133">
        <f t="shared" si="1"/>
        <v>42150</v>
      </c>
      <c r="I12" s="148">
        <f>MROUND(H12*Vendedor9!J$11,50)</f>
        <v>5050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37100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9000</v>
      </c>
      <c r="D16" s="30">
        <f>IF(Vendedor13!$E$19="",0,Vendedor13!$E$19)</f>
        <v>0</v>
      </c>
      <c r="E16" s="180">
        <f>IF(Vendedor13!$C$20="",0,Vendedor13!$C$20)</f>
        <v>9700</v>
      </c>
      <c r="F16" s="30">
        <f>IF(Vendedor13!$E$20="",0,Vendedor13!$E$20)</f>
        <v>0</v>
      </c>
      <c r="H16" s="133">
        <f t="shared" si="1"/>
        <v>18700</v>
      </c>
      <c r="I16" s="148">
        <f>MROUND(H16*Vendedor13!J$11,50)</f>
        <v>2250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16450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72350</v>
      </c>
      <c r="D17" s="30">
        <f>IF(Vendedor14!$E$19="",0,Vendedor14!$E$19)</f>
        <v>0</v>
      </c>
      <c r="E17" s="180">
        <f>IF(Vendedor14!$C$20="",0,Vendedor14!$C$20)</f>
        <v>34700</v>
      </c>
      <c r="F17" s="30">
        <f>IF(Vendedor14!$E$20="",0,Vendedor14!$E$20)</f>
        <v>0</v>
      </c>
      <c r="H17" s="42">
        <f t="shared" si="1"/>
        <v>107050</v>
      </c>
      <c r="I17" s="41">
        <f>MROUND(H17*Vendedor14!J$15,50)</f>
        <v>12850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94200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53400</v>
      </c>
      <c r="D18" s="30">
        <f>IF(Vendedor15!$E$19="",0,Vendedor15!$E$19)</f>
        <v>0</v>
      </c>
      <c r="E18" s="180">
        <f>IF(Vendedor15!$C$20="",0,Vendedor15!$C$20)</f>
        <v>36800</v>
      </c>
      <c r="F18" s="30">
        <f>IF(Vendedor15!$E$20="",0,Vendedor15!$E$20)</f>
        <v>1600</v>
      </c>
      <c r="H18" s="42">
        <f t="shared" si="1"/>
        <v>90200</v>
      </c>
      <c r="I18" s="41">
        <f>MROUND(H18*Vendedor15!J$15,50)</f>
        <v>10800</v>
      </c>
      <c r="J18" s="42">
        <f t="shared" si="2"/>
        <v>1600</v>
      </c>
      <c r="K18" s="42">
        <f t="shared" si="3"/>
        <v>136000</v>
      </c>
      <c r="L18" s="42">
        <f>Vendedor15!$F$19+Vendedor15!$F$20</f>
        <v>136000</v>
      </c>
      <c r="N18" s="42">
        <f t="shared" si="0"/>
        <v>-56600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222750</v>
      </c>
      <c r="D32" s="44">
        <f>SUM(D4:D31)</f>
        <v>0</v>
      </c>
      <c r="E32" s="43">
        <f>SUM(E4:E31)</f>
        <v>112600</v>
      </c>
      <c r="F32" s="44">
        <f>SUM(F4:F31)</f>
        <v>2050</v>
      </c>
      <c r="H32" s="95">
        <f>SUM(H4:H31)</f>
        <v>335350</v>
      </c>
      <c r="I32" s="45">
        <f>SUM(I7:I31)</f>
        <v>39200</v>
      </c>
      <c r="J32" s="95"/>
      <c r="K32" s="95">
        <f>SUM(K4:K31)</f>
        <v>174250</v>
      </c>
      <c r="L32" s="95">
        <f>SUM(L4:L31)</f>
        <v>172000</v>
      </c>
      <c r="N32" s="79">
        <f>SUM(N4:N31)</f>
        <v>123000</v>
      </c>
    </row>
    <row r="33" spans="3:6" x14ac:dyDescent="0.35">
      <c r="D33" s="99">
        <f>+D32*85</f>
        <v>0</v>
      </c>
      <c r="F33" s="99">
        <f>+F32*85</f>
        <v>174250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335350</v>
      </c>
      <c r="E36" s="43">
        <f>+D36-H4-H5-H6</f>
        <v>326550</v>
      </c>
    </row>
    <row r="37" spans="3:6" x14ac:dyDescent="0.35">
      <c r="C37" s="47" t="s">
        <v>33</v>
      </c>
      <c r="D37" s="48">
        <f>D36*13%</f>
        <v>43595.5</v>
      </c>
      <c r="E37">
        <f>+D37-I4-I5-I6</f>
        <v>42445.5</v>
      </c>
    </row>
    <row r="38" spans="3:6" ht="15" thickBot="1" x14ac:dyDescent="0.4">
      <c r="C38" s="47" t="s">
        <v>30</v>
      </c>
      <c r="D38" s="30">
        <f>SUM(K4:K27)</f>
        <v>174250</v>
      </c>
    </row>
    <row r="39" spans="3:6" ht="15" thickBot="1" x14ac:dyDescent="0.4">
      <c r="C39" s="49" t="s">
        <v>4</v>
      </c>
      <c r="D39" s="80">
        <f>+D36-D37-D38</f>
        <v>117504.5</v>
      </c>
      <c r="F39" s="98">
        <f>+N32-D39</f>
        <v>5495.5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117504.5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96</v>
      </c>
      <c r="D2" s="268"/>
      <c r="E2" s="267">
        <f>DigitaHONDURAS!E2</f>
        <v>55</v>
      </c>
      <c r="F2" s="268"/>
      <c r="G2" s="267">
        <f>DigitaHONDURAS!G2</f>
        <v>58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8750</v>
      </c>
      <c r="D10" s="30">
        <f>IF(Vendedor7!$E$21="",0,Vendedor7!$E$21)</f>
        <v>0</v>
      </c>
      <c r="E10" s="180">
        <f>IF(Vendedor7!$C$22="",0,Vendedor7!$C$22)</f>
        <v>6900</v>
      </c>
      <c r="F10" s="30">
        <f>IF(Vendedor7!$E$22="",0,Vendedor7!$E$22)</f>
        <v>50</v>
      </c>
      <c r="G10" s="180">
        <f>IF(Vendedor7!$C$23="",0,Vendedor7!$C$23)</f>
        <v>1900</v>
      </c>
      <c r="H10" s="30">
        <f>IF(Vendedor7!$E$23="",0,Vendedor7!$E$23)</f>
        <v>0</v>
      </c>
      <c r="J10" s="42">
        <f t="shared" si="0"/>
        <v>17550</v>
      </c>
      <c r="K10" s="41">
        <f>MROUND(J10*Vendedor7!J$14,50)</f>
        <v>2100</v>
      </c>
      <c r="L10" s="42">
        <f t="shared" si="1"/>
        <v>50</v>
      </c>
      <c r="M10" s="42">
        <f t="shared" si="3"/>
        <v>4250</v>
      </c>
      <c r="N10" s="42">
        <f>Vendedor7!$F$21+Vendedor7!$F$22+Vendedor7!$F$23</f>
        <v>4250</v>
      </c>
      <c r="P10" s="42">
        <f t="shared" si="2"/>
        <v>11200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31400</v>
      </c>
      <c r="D17" s="30">
        <f>IF(Vendedor14!$E$21="",0,Vendedor14!$E$21)</f>
        <v>0</v>
      </c>
      <c r="E17" s="180">
        <f>IF(Vendedor14!$C$22="",0,Vendedor14!$C$22)</f>
        <v>5750</v>
      </c>
      <c r="F17" s="30">
        <f>IF(Vendedor14!$E$22="",0,Vendedor14!$E$22)</f>
        <v>0</v>
      </c>
      <c r="G17" s="180">
        <f>IF(Vendedor14!$C$23="",0,Vendedor14!$C$23)</f>
        <v>16950</v>
      </c>
      <c r="H17" s="30">
        <f>IF(Vendedor14!$E$23="",0,Vendedor14!$E$23)</f>
        <v>100</v>
      </c>
      <c r="J17" s="42">
        <f t="shared" si="0"/>
        <v>54100</v>
      </c>
      <c r="K17" s="41">
        <f>MROUND(J17*Vendedor14!J$15,50)</f>
        <v>6500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39100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25900</v>
      </c>
      <c r="D18" s="30">
        <f>IF(Vendedor15!$E$21="",0,Vendedor15!$E$21)</f>
        <v>300</v>
      </c>
      <c r="E18" s="180">
        <f>IF(Vendedor15!$C$22="",0,Vendedor15!$C$22)</f>
        <v>11700</v>
      </c>
      <c r="F18" s="30">
        <f>IF(Vendedor15!$E$22="",0,Vendedor15!$E$22)</f>
        <v>0</v>
      </c>
      <c r="G18" s="180">
        <f>IF(Vendedor15!$C$23="",0,Vendedor15!$C$23)</f>
        <v>2000</v>
      </c>
      <c r="H18" s="30">
        <f>IF(Vendedor15!$E$23="",0,Vendedor15!$E$23)</f>
        <v>500</v>
      </c>
      <c r="J18" s="42">
        <f t="shared" si="0"/>
        <v>39600</v>
      </c>
      <c r="K18" s="41">
        <f>MROUND(J18*Vendedor15!J$15,50)</f>
        <v>4750</v>
      </c>
      <c r="L18" s="42">
        <f t="shared" si="1"/>
        <v>800</v>
      </c>
      <c r="M18" s="42">
        <f t="shared" si="3"/>
        <v>68000</v>
      </c>
      <c r="N18" s="42">
        <f>Vendedor15!$F$21+Vendedor15!$F$22+Vendedor15!$F$23</f>
        <v>68000</v>
      </c>
      <c r="P18" s="42">
        <f t="shared" si="2"/>
        <v>-33150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66050</v>
      </c>
      <c r="D32" s="44">
        <f t="shared" si="8"/>
        <v>300</v>
      </c>
      <c r="E32" s="43">
        <f t="shared" si="8"/>
        <v>24350</v>
      </c>
      <c r="F32" s="44">
        <f t="shared" si="8"/>
        <v>50</v>
      </c>
      <c r="G32" s="43">
        <f t="shared" si="8"/>
        <v>20850</v>
      </c>
      <c r="H32" s="44">
        <f t="shared" si="8"/>
        <v>600</v>
      </c>
      <c r="J32" s="95">
        <f>SUM(J4:J31)</f>
        <v>111250</v>
      </c>
      <c r="K32" s="45">
        <f>SUM(K7:K31)</f>
        <v>13350</v>
      </c>
      <c r="L32" s="95"/>
      <c r="M32" s="95">
        <f>SUM(M4:M31)</f>
        <v>80750</v>
      </c>
      <c r="N32" s="95">
        <f>SUM(N4:N31)</f>
        <v>80750</v>
      </c>
      <c r="P32" s="79">
        <f>SUM(P4:P31)</f>
        <v>17150</v>
      </c>
    </row>
    <row r="33" spans="3:8" x14ac:dyDescent="0.35">
      <c r="D33" s="99">
        <f>+D32*85</f>
        <v>25500</v>
      </c>
      <c r="F33" s="99">
        <f>+F32*85</f>
        <v>4250</v>
      </c>
      <c r="H33" s="99">
        <f>+H32*85</f>
        <v>51000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111250</v>
      </c>
      <c r="E36" s="43">
        <f>+D36-J4-J5-J6</f>
        <v>111250</v>
      </c>
    </row>
    <row r="37" spans="3:8" x14ac:dyDescent="0.35">
      <c r="C37" s="47" t="s">
        <v>33</v>
      </c>
      <c r="D37" s="48">
        <f>D36*13%</f>
        <v>14462.5</v>
      </c>
      <c r="E37">
        <f>+D37-K4-K5-K6</f>
        <v>14462.5</v>
      </c>
    </row>
    <row r="38" spans="3:8" ht="15" thickBot="1" x14ac:dyDescent="0.4">
      <c r="C38" s="47" t="s">
        <v>30</v>
      </c>
      <c r="D38" s="30">
        <f>SUM(M4:M27)</f>
        <v>80750</v>
      </c>
      <c r="G38" s="100"/>
    </row>
    <row r="39" spans="3:8" ht="15" thickBot="1" x14ac:dyDescent="0.4">
      <c r="C39" s="49" t="s">
        <v>4</v>
      </c>
      <c r="D39" s="80">
        <f>+D36-D37-D38</f>
        <v>16037.5</v>
      </c>
      <c r="F39" s="98">
        <f>+P32-D39</f>
        <v>1112.5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16037.5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46</v>
      </c>
      <c r="D2" s="268"/>
      <c r="E2" s="267">
        <f>DigitaDOMINICANA!E2</f>
        <v>59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12500</v>
      </c>
      <c r="F10" s="30">
        <f>IF(Vendedor7!$E$25="",0,Vendedor7!$E$25)</f>
        <v>0</v>
      </c>
      <c r="H10" s="42">
        <f t="shared" si="1"/>
        <v>12500</v>
      </c>
      <c r="I10" s="41">
        <f>MROUND(H10*Vendedor7!J$14,50)</f>
        <v>1500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12500</v>
      </c>
      <c r="F32" s="44">
        <f>SUM(F4:F31)</f>
        <v>0</v>
      </c>
      <c r="H32" s="95">
        <f>SUM(H4:H31)</f>
        <v>12500</v>
      </c>
      <c r="I32" s="45">
        <f>SUM(I7:I31)</f>
        <v>1500</v>
      </c>
      <c r="J32" s="95"/>
      <c r="K32" s="95">
        <f>SUM(K4:K31)</f>
        <v>0</v>
      </c>
      <c r="L32" s="95">
        <f>SUM(L4:L31)</f>
        <v>0</v>
      </c>
      <c r="N32" s="79">
        <f>SUM(N4:N31)</f>
        <v>11000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12500</v>
      </c>
      <c r="E36" s="43">
        <f>+D36-H4-H5-H6</f>
        <v>12500</v>
      </c>
    </row>
    <row r="37" spans="3:6" x14ac:dyDescent="0.35">
      <c r="C37" s="47" t="s">
        <v>33</v>
      </c>
      <c r="D37" s="48">
        <f>D36*13%</f>
        <v>1625</v>
      </c>
      <c r="E37">
        <f>+D37-I4-I5-I6</f>
        <v>1625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10875</v>
      </c>
      <c r="F39" s="98">
        <f>+N32-D39</f>
        <v>125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10875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03-05-2026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1038550</v>
      </c>
      <c r="C4" s="157">
        <f>HojaNICA!M32</f>
        <v>124650</v>
      </c>
      <c r="D4" s="150">
        <f>HojaNICA!E37</f>
        <v>135038</v>
      </c>
      <c r="E4" s="150">
        <f>HojaNICA!P32</f>
        <v>1056750</v>
      </c>
      <c r="F4" s="150">
        <f>HojaNICA!O32</f>
        <v>1066750</v>
      </c>
      <c r="G4" s="151">
        <f t="shared" ref="G4:G10" si="0">+D4-C4+F4-E4</f>
        <v>20388</v>
      </c>
      <c r="H4" s="21"/>
      <c r="I4" s="182"/>
    </row>
    <row r="5" spans="1:9" x14ac:dyDescent="0.35">
      <c r="A5" s="28" t="s">
        <v>19</v>
      </c>
      <c r="B5" s="156">
        <f>HojaTICA!$E$36</f>
        <v>1477350</v>
      </c>
      <c r="C5" s="157">
        <f>HojaTICA!K32</f>
        <v>179500</v>
      </c>
      <c r="D5" s="150">
        <f>HojaTICA!E37</f>
        <v>192090.5</v>
      </c>
      <c r="E5" s="150">
        <f>HojaTICA!N32</f>
        <v>746500</v>
      </c>
      <c r="F5" s="150">
        <f>HojaTICA!D38</f>
        <v>748000</v>
      </c>
      <c r="G5" s="151">
        <f t="shared" si="0"/>
        <v>14090.5</v>
      </c>
      <c r="H5" s="21"/>
      <c r="I5" s="182"/>
    </row>
    <row r="6" spans="1:9" x14ac:dyDescent="0.35">
      <c r="A6" s="28" t="s">
        <v>125</v>
      </c>
      <c r="B6" s="156">
        <f>HojaREVENTADO!$E$37</f>
        <v>183200</v>
      </c>
      <c r="C6" s="157">
        <f>HojaREVENTADO!K33</f>
        <v>18320</v>
      </c>
      <c r="D6" s="150">
        <f>HojaREVENTADO!E38</f>
        <v>18320</v>
      </c>
      <c r="E6" s="150">
        <f>HojaREVENTADO!O33</f>
        <v>80000</v>
      </c>
      <c r="F6" s="150">
        <f>HojaREVENTADO!N33</f>
        <v>88000</v>
      </c>
      <c r="G6" s="151">
        <f t="shared" si="0"/>
        <v>8000</v>
      </c>
      <c r="H6" s="21"/>
      <c r="I6" s="182"/>
    </row>
    <row r="7" spans="1:9" x14ac:dyDescent="0.35">
      <c r="A7" s="28" t="s">
        <v>96</v>
      </c>
      <c r="B7" s="156">
        <f>HojaPrimera!$E$36</f>
        <v>326550</v>
      </c>
      <c r="C7" s="157">
        <f>HojaPrimera!I32</f>
        <v>39200</v>
      </c>
      <c r="D7" s="150">
        <f>HojaPrimera!E37</f>
        <v>42445.5</v>
      </c>
      <c r="E7" s="150">
        <f>HojaPrimera!L32</f>
        <v>172000</v>
      </c>
      <c r="F7" s="150">
        <f>HojaPrimera!K32</f>
        <v>174250</v>
      </c>
      <c r="G7" s="151">
        <f t="shared" si="0"/>
        <v>5495.5</v>
      </c>
      <c r="H7" s="21"/>
      <c r="I7" s="21"/>
    </row>
    <row r="8" spans="1:9" x14ac:dyDescent="0.35">
      <c r="A8" s="28" t="s">
        <v>104</v>
      </c>
      <c r="B8" s="156">
        <f>HojaHonduras!$E$36</f>
        <v>111250</v>
      </c>
      <c r="C8" s="157">
        <f>HojaHonduras!K32</f>
        <v>13350</v>
      </c>
      <c r="D8" s="150">
        <f>HojaHonduras!E37</f>
        <v>14462.5</v>
      </c>
      <c r="E8" s="150">
        <f>HojaHonduras!N32</f>
        <v>80750</v>
      </c>
      <c r="F8" s="150">
        <f>HojaHonduras!M32</f>
        <v>80750</v>
      </c>
      <c r="G8" s="151">
        <f t="shared" si="0"/>
        <v>1112.5</v>
      </c>
      <c r="H8" s="21"/>
      <c r="I8" s="21"/>
    </row>
    <row r="9" spans="1:9" x14ac:dyDescent="0.35">
      <c r="A9" s="28" t="s">
        <v>20</v>
      </c>
      <c r="B9" s="156">
        <f>HojaDominicana!$E$36</f>
        <v>12500</v>
      </c>
      <c r="C9" s="157">
        <f>HojaDominicana!I32</f>
        <v>1500</v>
      </c>
      <c r="D9" s="150">
        <f>HojaDominicana!E37</f>
        <v>1625</v>
      </c>
      <c r="E9" s="150">
        <f>HojaDominicana!L32</f>
        <v>0</v>
      </c>
      <c r="F9" s="150">
        <f>HojaDominicana!K32</f>
        <v>0</v>
      </c>
      <c r="G9" s="151">
        <f t="shared" si="0"/>
        <v>125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3149400</v>
      </c>
      <c r="C11" s="175">
        <f>SUM(C4:C10)</f>
        <v>376520</v>
      </c>
      <c r="D11" s="175">
        <f t="shared" ref="D11:F11" si="1">SUM(D4:D10)</f>
        <v>403981.5</v>
      </c>
      <c r="E11" s="175">
        <f t="shared" si="1"/>
        <v>2136000</v>
      </c>
      <c r="F11" s="175">
        <f t="shared" si="1"/>
        <v>2157750</v>
      </c>
      <c r="G11" s="176">
        <f>SUM(G4:G10)</f>
        <v>49211.5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14211.5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235450</v>
      </c>
      <c r="E16" s="157">
        <f>+Vendedor1!D21</f>
        <v>30608.5</v>
      </c>
      <c r="F16" s="158">
        <f>IF(D16&lt;&gt;0,15000,0)</f>
        <v>15000</v>
      </c>
      <c r="G16" s="151">
        <f>+E16-F16</f>
        <v>15608.5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211900</v>
      </c>
      <c r="E17" s="157">
        <f>+Vendedor2!D21</f>
        <v>27547</v>
      </c>
      <c r="F17" s="158">
        <f>IF(D17&lt;&gt;0,15000,0)</f>
        <v>15000</v>
      </c>
      <c r="G17" s="151">
        <f>+E17-F17</f>
        <v>12547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447350</v>
      </c>
      <c r="E19" s="159">
        <f>SUM(E16:E18)</f>
        <v>58155.5</v>
      </c>
      <c r="F19" s="160">
        <f>SUM(F16:F18)</f>
        <v>30000</v>
      </c>
      <c r="G19" s="161">
        <f>SUM(G16:G18)</f>
        <v>28155.5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44050</v>
      </c>
      <c r="E22" s="157">
        <f>-Vendedor24!D27</f>
        <v>5286</v>
      </c>
      <c r="F22" s="158">
        <f>-Vendedor24!F27</f>
        <v>0</v>
      </c>
      <c r="G22" s="151">
        <f>+D22-E22-F22</f>
        <v>38764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81131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.54296875" bestFit="1" customWidth="1"/>
    <col min="7" max="7" width="4.1796875" customWidth="1"/>
    <col min="9" max="9" width="14.81640625" bestFit="1" customWidth="1"/>
    <col min="10" max="10" width="10.81640625" customWidth="1"/>
    <col min="11" max="11" width="11.26953125" bestFit="1" customWidth="1"/>
    <col min="12" max="13" width="10.81640625" customWidth="1"/>
  </cols>
  <sheetData>
    <row r="2" spans="1:15" x14ac:dyDescent="0.35">
      <c r="A2" s="278" t="str">
        <f ca="1">CONCATENATE("Tiempos Pana ",TEXT(I5,"dd-mm-yyyy"))</f>
        <v>Tiempos Pana 03-05-2026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1117600</v>
      </c>
      <c r="C5" s="150">
        <f>HojaNICA!D37</f>
        <v>145288</v>
      </c>
      <c r="D5" s="150">
        <f>HojaNICA!D38</f>
        <v>1066750</v>
      </c>
      <c r="E5" s="150"/>
      <c r="F5" s="151">
        <f>+B5-C5-D5+E5</f>
        <v>-94438</v>
      </c>
      <c r="H5" s="249" t="s">
        <v>105</v>
      </c>
      <c r="I5" s="243">
        <f ca="1">TODAY()-3</f>
        <v>46145</v>
      </c>
      <c r="O5" s="119"/>
    </row>
    <row r="6" spans="1:15" ht="15" thickBot="1" x14ac:dyDescent="0.4">
      <c r="A6" s="47" t="s">
        <v>36</v>
      </c>
      <c r="B6" s="150">
        <f>HojaTICA!D36</f>
        <v>1836850</v>
      </c>
      <c r="C6" s="150">
        <f>HojaTICA!D37</f>
        <v>238790.5</v>
      </c>
      <c r="D6" s="150">
        <f>HojaTICA!D38</f>
        <v>748000</v>
      </c>
      <c r="E6" s="150"/>
      <c r="F6" s="151">
        <f t="shared" ref="F6:F11" si="0">+B6-C6-D6+E6</f>
        <v>850059.5</v>
      </c>
      <c r="H6" s="256">
        <v>-2000000</v>
      </c>
      <c r="K6">
        <f>4036149.63+4404721.24+1228818.6+1053356.98</f>
        <v>10723046.450000001</v>
      </c>
    </row>
    <row r="7" spans="1:15" ht="15" thickBot="1" x14ac:dyDescent="0.4">
      <c r="A7" s="47" t="s">
        <v>38</v>
      </c>
      <c r="B7" s="150">
        <f>HojaREVENTADO!D37</f>
        <v>183200</v>
      </c>
      <c r="C7" s="150">
        <f>HojaREVENTADO!D38</f>
        <v>18320</v>
      </c>
      <c r="D7" s="150">
        <f>HojaREVENTADO!D39</f>
        <v>88000</v>
      </c>
      <c r="E7" s="150"/>
      <c r="F7" s="151">
        <f t="shared" si="0"/>
        <v>76880</v>
      </c>
      <c r="K7">
        <f>2886209.13+4310283.24+1305698.6+1197773.98</f>
        <v>9699964.9500000011</v>
      </c>
    </row>
    <row r="8" spans="1:15" x14ac:dyDescent="0.35">
      <c r="A8" s="47" t="s">
        <v>96</v>
      </c>
      <c r="B8" s="150">
        <f>HojaPrimera!$D36</f>
        <v>335350</v>
      </c>
      <c r="C8" s="150">
        <f>HojaPrimera!$D37</f>
        <v>43595.5</v>
      </c>
      <c r="D8" s="150">
        <f>HojaPrimera!$D38</f>
        <v>174250</v>
      </c>
      <c r="E8" s="150"/>
      <c r="F8" s="151">
        <f t="shared" si="0"/>
        <v>117504.5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111250</v>
      </c>
      <c r="C9" s="150">
        <f>HojaHonduras!$D37</f>
        <v>14462.5</v>
      </c>
      <c r="D9" s="150">
        <f>HojaHonduras!$D38</f>
        <v>80750</v>
      </c>
      <c r="E9" s="150"/>
      <c r="F9" s="151">
        <f t="shared" si="0"/>
        <v>16037.5</v>
      </c>
      <c r="H9" s="250">
        <f>+K12-K10-H6</f>
        <v>976918.5</v>
      </c>
    </row>
    <row r="10" spans="1:15" ht="15" thickBot="1" x14ac:dyDescent="0.4">
      <c r="A10" s="47" t="s">
        <v>20</v>
      </c>
      <c r="B10" s="150">
        <f>HojaDominicana!$D36</f>
        <v>12500</v>
      </c>
      <c r="C10" s="150">
        <f>HojaDominicana!$D37</f>
        <v>1625</v>
      </c>
      <c r="D10" s="150">
        <f>HojaDominicana!$D38</f>
        <v>0</v>
      </c>
      <c r="E10" s="150"/>
      <c r="F10" s="151">
        <f t="shared" si="0"/>
        <v>10875</v>
      </c>
      <c r="H10" s="154"/>
      <c r="J10" t="s">
        <v>148</v>
      </c>
      <c r="K10" s="252">
        <v>9766046.4500000011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8742964.9500000011</v>
      </c>
    </row>
    <row r="12" spans="1:15" ht="16" thickBot="1" x14ac:dyDescent="0.4">
      <c r="A12" s="144" t="s">
        <v>5</v>
      </c>
      <c r="B12" s="152">
        <f>SUM(B5:B11)</f>
        <v>3596750</v>
      </c>
      <c r="C12" s="152">
        <f>SUM(C5:C11)</f>
        <v>462081.5</v>
      </c>
      <c r="D12" s="152">
        <f>SUM(D5:D11)</f>
        <v>2157750</v>
      </c>
      <c r="E12" s="152"/>
      <c r="F12" s="255">
        <f>SUM(F5:F11)</f>
        <v>976918.5</v>
      </c>
      <c r="H12" s="251">
        <f>+K10+H9+H6</f>
        <v>8742964.9500000011</v>
      </c>
      <c r="J12" t="s">
        <v>140</v>
      </c>
      <c r="K12" s="254">
        <f>1929209.13+4310283.24+1305698.6+1197773.98</f>
        <v>8742964.9500000011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185850</v>
      </c>
      <c r="K4" s="231">
        <f t="shared" ref="K4" si="0">D7+D11+D15</f>
        <v>24160.5</v>
      </c>
      <c r="L4" s="220">
        <f>F7+F11+F15</f>
        <v>93500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IF(DigitaNICA!C4&lt;&gt;"",DigitaNICA!C4,"")</f>
        <v>20200</v>
      </c>
      <c r="D5" s="42">
        <f>IF(C5="",0,C5*J$10)</f>
        <v>2626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17574</v>
      </c>
      <c r="I5" s="241" t="s">
        <v>37</v>
      </c>
      <c r="J5" s="221">
        <f>SUM(IF(C5="",0,C5),IF(C9="",0,C9),IF(C13="",0,C13),IF(C17="",0,C17))</f>
        <v>44000</v>
      </c>
      <c r="K5" s="225">
        <f t="shared" ref="K5" si="2">D5+D9+D13+D17</f>
        <v>5720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5600</v>
      </c>
      <c r="K6" s="228">
        <f>D19+D20</f>
        <v>728</v>
      </c>
      <c r="L6" s="229">
        <f>F19+F20</f>
        <v>20000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IF(DigitaTICA!C4&lt;&gt;"",DigitaTICA!C4,"")</f>
        <v>36200</v>
      </c>
      <c r="D7" s="42">
        <f>IF(C7="",0,C7*J$9)</f>
        <v>4706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10244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07</v>
      </c>
      <c r="C9" s="29">
        <f>IF(DigitaNICA!E4&lt;&gt;"",DigitaNICA!E4,"")</f>
        <v>16700</v>
      </c>
      <c r="D9" s="42">
        <f>IF(C9="",0,C9*J$10)</f>
        <v>2171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14529</v>
      </c>
      <c r="I9" s="76" t="s">
        <v>36</v>
      </c>
      <c r="J9" s="77">
        <v>0.13</v>
      </c>
      <c r="K9" s="78">
        <f>MROUND(D7+D11+D15,50)</f>
        <v>24150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IF(DigitaTICA!E4&lt;&gt;"",DigitaTICA!E4,"")</f>
        <v>43750</v>
      </c>
      <c r="D11" s="42">
        <f>IF(C11="",0,C11*J$9)</f>
        <v>5687.5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38062.5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IF(DigitaNICA!G4&lt;&gt;"",DigitaNICA!G4,"")</f>
        <v>4100</v>
      </c>
      <c r="D13" s="42">
        <f>IF(C13="",0,C13*J$10)</f>
        <v>533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3567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IF(DigitaTICA!G4&lt;&gt;"",DigitaTICA!G4,"")</f>
        <v>105900</v>
      </c>
      <c r="D15" s="42">
        <f>IF(C15="",0,C15*J$9)</f>
        <v>13767</v>
      </c>
      <c r="E15" s="29">
        <f>IF(DigitaTICA!H4&lt;&gt;"",DigitaTICA!H4,"")</f>
        <v>850</v>
      </c>
      <c r="F15" s="42">
        <f>IF(E15="",0,E15*PREMIOS!F15)</f>
        <v>72250</v>
      </c>
      <c r="G15" s="30">
        <f t="shared" si="3"/>
        <v>19883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IF(DigitaNICA!I4&lt;&gt;"",DigitaNICA!I4,"")</f>
        <v>3000</v>
      </c>
      <c r="D17" s="42">
        <f>IF(C17="",0,C17*J$10)</f>
        <v>390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IF(DigitaPRIMERA!C4&lt;&gt;"",DigitaPRIMERA!C4,"")</f>
        <v>3400</v>
      </c>
      <c r="D19" s="42">
        <f>IF(C19="",0,C19*J$12)</f>
        <v>442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2958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>
        <f>IF(DigitaPRIMERA!E4&lt;&gt;"",DigitaPRIMERA!E4,"")</f>
        <v>2200</v>
      </c>
      <c r="D20" s="42">
        <f>IF(C20="",0,C20*J$12)</f>
        <v>286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-18086</v>
      </c>
    </row>
    <row r="21" spans="1:7" ht="15" thickBot="1" x14ac:dyDescent="0.4">
      <c r="A21" s="121" t="s">
        <v>5</v>
      </c>
      <c r="B21" s="128"/>
      <c r="C21" s="122">
        <f>SUM(C5:C20)</f>
        <v>235450</v>
      </c>
      <c r="D21" s="122">
        <f t="shared" ref="D21:G21" si="6">SUM(D5:D20)</f>
        <v>30608.5</v>
      </c>
      <c r="E21" s="122">
        <f t="shared" si="6"/>
        <v>1350</v>
      </c>
      <c r="F21" s="122">
        <f t="shared" si="6"/>
        <v>113500</v>
      </c>
      <c r="G21" s="123">
        <f t="shared" si="6"/>
        <v>91341.5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173650</v>
      </c>
      <c r="K4" s="231">
        <f t="shared" ref="K4" si="0">D7+D11+D15</f>
        <v>22574.5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IF(DigitaNICA!C5&lt;&gt;"",DigitaNICA!C5,"")</f>
        <v>17500</v>
      </c>
      <c r="D5" s="42">
        <f>IF(C5="",0,C5*J$10)</f>
        <v>2275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15225</v>
      </c>
      <c r="I5" s="241" t="s">
        <v>37</v>
      </c>
      <c r="J5" s="221">
        <f>SUM(IF(C5="",0,C5),IF(C9="",0,C9),IF(C13="",0,C13),IF(C17="",0,C17))</f>
        <v>35050</v>
      </c>
      <c r="K5" s="225">
        <f t="shared" ref="K5" si="2">D5+D9+D13+D17</f>
        <v>4556.5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3200</v>
      </c>
      <c r="K6" s="228">
        <f>D19+D20</f>
        <v>416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IF(DigitaTICA!C5&lt;&gt;"",DigitaTICA!C5,"")</f>
        <v>50600</v>
      </c>
      <c r="D7" s="42">
        <f>IF(C7="",0,C7*J$9)</f>
        <v>6578</v>
      </c>
      <c r="E7" s="29">
        <f>IF(DigitaTICA!D5&lt;&gt;"",DigitaTICA!D5,"")</f>
        <v>100</v>
      </c>
      <c r="F7" s="42">
        <f>IF(E7="",0,E7*PREMIOS!F7)</f>
        <v>8500</v>
      </c>
      <c r="G7" s="30">
        <f t="shared" si="1"/>
        <v>35522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07</v>
      </c>
      <c r="C9" s="29">
        <f>IF(DigitaNICA!E5&lt;&gt;"",DigitaNICA!E5,"")</f>
        <v>2800</v>
      </c>
      <c r="D9" s="42">
        <f>IF(C9="",0,C9*J$10)</f>
        <v>364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2436</v>
      </c>
      <c r="I9" s="60" t="s">
        <v>36</v>
      </c>
      <c r="J9" s="61">
        <v>0.13</v>
      </c>
      <c r="K9" s="62">
        <f>MROUND(D7+D11+D15,50)</f>
        <v>22550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4550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IF(DigitaTICA!E5&lt;&gt;"",DigitaTICA!E5,"")</f>
        <v>36200</v>
      </c>
      <c r="D11" s="42">
        <f>IF(C11="",0,C11*J$9)</f>
        <v>4706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31494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IF(DigitaNICA!G5&lt;&gt;"",DigitaNICA!G5,"")</f>
        <v>1000</v>
      </c>
      <c r="D13" s="42">
        <f>IF(C13="",0,C13*J$10)</f>
        <v>130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870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IF(DigitaTICA!G5&lt;&gt;"",DigitaTICA!G5,"")</f>
        <v>86850</v>
      </c>
      <c r="D15" s="42">
        <f>IF(C15="",0,C15*J$9)</f>
        <v>11290.5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75559.5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IF(DigitaNICA!I5&lt;&gt;"",DigitaNICA!I5,"")</f>
        <v>13750</v>
      </c>
      <c r="D17" s="42">
        <f>IF(C17="",0,C17*J$10)</f>
        <v>1787.5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11962.5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IF(DigitaPRIMERA!C5&lt;&gt;"",DigitaPRIMERA!C5,"")</f>
        <v>3200</v>
      </c>
      <c r="D19" s="42">
        <f>IF(C19="",0,C19*J$12)</f>
        <v>416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2784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211900</v>
      </c>
      <c r="D21" s="68">
        <f t="shared" ref="D21:G21" si="4">SUM(D5:D20)</f>
        <v>27547</v>
      </c>
      <c r="E21" s="68">
        <f t="shared" si="4"/>
        <v>100</v>
      </c>
      <c r="F21" s="68">
        <f t="shared" si="4"/>
        <v>8500</v>
      </c>
      <c r="G21" s="88">
        <f t="shared" si="4"/>
        <v>175853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124700</v>
      </c>
      <c r="K4" s="231">
        <f t="shared" ref="K4" si="0">D7+D11+D15</f>
        <v>14964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IF(DigitaNICA!C8&lt;&gt;"",DigitaNICA!C8,"")</f>
        <v>41750</v>
      </c>
      <c r="D5" s="42">
        <f>IF(C5="",0,C5*J$12)</f>
        <v>5010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36740</v>
      </c>
      <c r="I5" s="241" t="s">
        <v>37</v>
      </c>
      <c r="J5" s="221">
        <f>SUM(IF(C5="",0,C5),IF(C9="",0,C9),IF(C13="",0,C13),IF(C17="",0,C17))</f>
        <v>118050</v>
      </c>
      <c r="K5" s="225">
        <f t="shared" ref="K5" si="2">D5+D9+D13+D17</f>
        <v>14166</v>
      </c>
      <c r="L5" s="222">
        <f>F5+F9+F13+F17</f>
        <v>92000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IF(DigitaTICA!C8&lt;&gt;"",DigitaTICA!C8,"")</f>
        <v>35550</v>
      </c>
      <c r="D7" s="42">
        <f>IF(C7="",0,C7*J$11)</f>
        <v>4266</v>
      </c>
      <c r="E7" s="29">
        <f>IF(DigitaTICA!D8&lt;&gt;"",DigitaTICA!D8,"")</f>
        <v>100</v>
      </c>
      <c r="F7" s="42">
        <f>IF(E7="",0,E7*PREMIOS!F7)</f>
        <v>8500</v>
      </c>
      <c r="G7" s="30">
        <f t="shared" si="1"/>
        <v>22784</v>
      </c>
      <c r="I7" s="242" t="s">
        <v>96</v>
      </c>
      <c r="J7" s="224">
        <f>SUM(IF(C19="",0,C19),IF(C20="",0,C20))</f>
        <v>26100</v>
      </c>
      <c r="K7" s="228">
        <f>+D19+D20</f>
        <v>3132</v>
      </c>
      <c r="L7" s="229">
        <f>+F19+F20</f>
        <v>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07</v>
      </c>
      <c r="C9" s="29">
        <f>IF(DigitaNICA!E8&lt;&gt;"",DigitaNICA!E8,"")</f>
        <v>15800</v>
      </c>
      <c r="D9" s="42">
        <f>IF(C9="",0,C9*J$12)</f>
        <v>1896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5904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IF(DigitaTICA!E8&lt;&gt;"",DigitaTICA!E8,"")</f>
        <v>25100</v>
      </c>
      <c r="D11" s="42">
        <f>IF(C11="",0,C11*J$11)</f>
        <v>3012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22088</v>
      </c>
      <c r="I11" s="60" t="s">
        <v>36</v>
      </c>
      <c r="J11" s="61">
        <v>0.12</v>
      </c>
      <c r="K11" s="62">
        <f>MROUND(D7+D11+D15,50)</f>
        <v>14950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14150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IF(DigitaNICA!G8&lt;&gt;"",DigitaNICA!G8,"")</f>
        <v>28250</v>
      </c>
      <c r="D13" s="42">
        <f>IF(C13="",0,C13*J$12)</f>
        <v>3390</v>
      </c>
      <c r="E13" s="29">
        <f>IF(DigitaNICA!H8&lt;&gt;"",DigitaNICA!H8,"")</f>
        <v>950</v>
      </c>
      <c r="F13" s="42">
        <f>IF(E13="",0,E13*PREMIOS!E13)</f>
        <v>76000</v>
      </c>
      <c r="G13" s="30">
        <f>IF(OR(C13="",E13=""),0,C13-D13-F13)</f>
        <v>-51140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3150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IF(DigitaTICA!G8&lt;&gt;"",DigitaTICA!G8,"")</f>
        <v>64050</v>
      </c>
      <c r="D15" s="42">
        <f>IF(C15="",0,C15*J$11)</f>
        <v>7686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56364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IF(DigitaNICA!I8&lt;&gt;"",DigitaNICA!I8,"")</f>
        <v>32250</v>
      </c>
      <c r="D17" s="42">
        <f>IF(C17="",0,C17*J$12)</f>
        <v>3870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20380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IF(DigitaPRIMERA!C8&lt;&gt;"",DigitaPRIMERA!C8,"")</f>
        <v>20450</v>
      </c>
      <c r="D19" s="42">
        <f>IF(C19="",0,C19*J$14)</f>
        <v>2454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17996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>
        <f>IF(DigitaPRIMERA!E8&lt;&gt;"",DigitaPRIMERA!E8,"")</f>
        <v>5650</v>
      </c>
      <c r="D20" s="42">
        <f>IF(C20="",0,C20*J$14)</f>
        <v>678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-11028</v>
      </c>
    </row>
    <row r="21" spans="1:7" ht="15" thickBot="1" x14ac:dyDescent="0.4">
      <c r="A21" s="121" t="s">
        <v>5</v>
      </c>
      <c r="B21" s="128"/>
      <c r="C21" s="122">
        <f>SUM(C5:C20)</f>
        <v>268850</v>
      </c>
      <c r="D21" s="122">
        <f t="shared" ref="D21:G21" si="5">SUM(D5:D20)</f>
        <v>32262</v>
      </c>
      <c r="E21" s="122">
        <f t="shared" si="5"/>
        <v>1450</v>
      </c>
      <c r="F21" s="122">
        <f t="shared" si="5"/>
        <v>116500</v>
      </c>
      <c r="G21" s="123">
        <f t="shared" si="5"/>
        <v>120088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402500</v>
      </c>
      <c r="K4" s="231">
        <f t="shared" ref="K4" si="0">D7+D11+D15</f>
        <v>48300</v>
      </c>
      <c r="L4" s="220">
        <f>F7+F11+F15</f>
        <v>157250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IF(DigitaNICA!C10&lt;&gt;"",DigitaNICA!C10,"")</f>
        <v>86250</v>
      </c>
      <c r="D5" s="42">
        <f>IF(C5="",0,C5*J$15)</f>
        <v>10350</v>
      </c>
      <c r="E5" s="29">
        <f>IF(DigitaNICA!D10&lt;&gt;"",DigitaNICA!D10,"")</f>
        <v>2600</v>
      </c>
      <c r="F5" s="42">
        <f>IF(E5="",0,E5*PREMIOS!F5)</f>
        <v>221000</v>
      </c>
      <c r="G5" s="30">
        <f t="shared" ref="G5:G12" si="1">IF(OR(C5="",E5=""),0,C5-D5-F5)</f>
        <v>-145100</v>
      </c>
      <c r="I5" s="217" t="s">
        <v>37</v>
      </c>
      <c r="J5" s="221">
        <f>SUM(IF(C5="",0,C5),IF(C9="",0,C9),IF(C13="",0,C13),IF(C17="",0,C17))</f>
        <v>323150</v>
      </c>
      <c r="K5" s="225">
        <f t="shared" ref="K5" si="2">D5+D9+D13+D17</f>
        <v>38778</v>
      </c>
      <c r="L5" s="222">
        <f>F5+F9+F13+F17</f>
        <v>331500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70400</v>
      </c>
      <c r="K6" s="226">
        <f t="shared" ref="K6" si="3">+D8+D12+D16</f>
        <v>7040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IF(DigitaTICA!C10&lt;&gt;"",DigitaTICA!C10,"")</f>
        <v>138300</v>
      </c>
      <c r="D7" s="42">
        <f>IF(C7="",0,C7*J$14)</f>
        <v>16596</v>
      </c>
      <c r="E7" s="29">
        <f>IF(DigitaTICA!D10&lt;&gt;"",DigitaTICA!D10,"")</f>
        <v>1100</v>
      </c>
      <c r="F7" s="42">
        <f>IF(E7="",0,E7*PREMIOS!F7)</f>
        <v>93500</v>
      </c>
      <c r="G7" s="30">
        <f t="shared" si="1"/>
        <v>28204</v>
      </c>
      <c r="I7" s="217" t="s">
        <v>96</v>
      </c>
      <c r="J7" s="223">
        <f>SUM(IF(C19="",0,C19),IF(C20="",0,C20))</f>
        <v>42350</v>
      </c>
      <c r="K7" s="226">
        <f>+D19+D20</f>
        <v>5082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20350</v>
      </c>
      <c r="D8" s="42">
        <f>IF(C8="",0,C8*J$16)</f>
        <v>2035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18315</v>
      </c>
      <c r="I8" s="217" t="s">
        <v>104</v>
      </c>
      <c r="J8" s="223">
        <f>SUM(IF(C21="",0,C21),IF(C22="",0,C22),IF(C23="",0,C23))</f>
        <v>17550</v>
      </c>
      <c r="K8" s="226">
        <f t="shared" ref="K8" si="4">D21+D22+D23</f>
        <v>2106</v>
      </c>
      <c r="L8" s="227">
        <f>F21+F22+F23</f>
        <v>4250</v>
      </c>
    </row>
    <row r="9" spans="1:12" x14ac:dyDescent="0.35">
      <c r="A9" s="28" t="s">
        <v>48</v>
      </c>
      <c r="B9" s="132" t="str">
        <f>IF(DigitaNICA!E2&lt;&gt;"",DigitaNICA!E2,"")</f>
        <v>07</v>
      </c>
      <c r="C9" s="29">
        <f>IF(DigitaNICA!E10&lt;&gt;"",DigitaNICA!E10,"")</f>
        <v>72150</v>
      </c>
      <c r="D9" s="42">
        <f>IF(C9="",0,C9*J$15)</f>
        <v>8658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46492</v>
      </c>
      <c r="I9" s="217" t="s">
        <v>20</v>
      </c>
      <c r="J9" s="223">
        <f>SUM(IF(C24="",0,C24),IF(C25="",0,C25))</f>
        <v>12500</v>
      </c>
      <c r="K9" s="226">
        <f t="shared" ref="K9" si="5">+D24+D25</f>
        <v>1500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IF(DigitaTICA!E10&lt;&gt;"",DigitaTICA!E10,"")</f>
        <v>115200</v>
      </c>
      <c r="D11" s="42">
        <f>IF(C11="",0,C11*J$14)</f>
        <v>13824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84376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23600</v>
      </c>
      <c r="D12" s="42">
        <f>IF(C12="",0,C12*J$16)</f>
        <v>2360</v>
      </c>
      <c r="E12" s="29">
        <f>IF(DigitaREVENTADO!F10&lt;&gt;"",DigitaREVENTADO!F10,"")</f>
        <v>200</v>
      </c>
      <c r="F12" s="42">
        <f>IF(E12="",0,E12*PREMIOS!F12)</f>
        <v>0</v>
      </c>
      <c r="G12" s="30">
        <f t="shared" si="1"/>
        <v>21240</v>
      </c>
    </row>
    <row r="13" spans="1:12" ht="15" thickBot="1" x14ac:dyDescent="0.4">
      <c r="A13" s="28" t="s">
        <v>50</v>
      </c>
      <c r="B13" s="132">
        <f>IF(DigitaNICA!G2&lt;&gt;"",DigitaNICA!G2,"")</f>
        <v>30</v>
      </c>
      <c r="C13" s="29">
        <f>IF(DigitaNICA!G10&lt;&gt;"",DigitaNICA!G10,"")</f>
        <v>59950</v>
      </c>
      <c r="D13" s="42">
        <f>IF(C13="",0,C13*J$15)</f>
        <v>7194</v>
      </c>
      <c r="E13" s="29">
        <f>IF(DigitaNICA!H10&lt;&gt;"",DigitaNICA!H10,"")</f>
        <v>1100</v>
      </c>
      <c r="F13" s="42">
        <f>IF(E13="",0,E13*PREMIOS!F13)</f>
        <v>93500</v>
      </c>
      <c r="G13" s="30">
        <f>IF(OR(C13="",E13=""),0,C13-D13-F13)</f>
        <v>-40744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48300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IF(DigitaTICA!G10&lt;&gt;"",DigitaTICA!G10,"")</f>
        <v>149000</v>
      </c>
      <c r="D15" s="42">
        <f>IF(C15="",0,C15*J$14)</f>
        <v>17880</v>
      </c>
      <c r="E15" s="29">
        <f>IF(DigitaTICA!H10&lt;&gt;"",DigitaTICA!H10,"")</f>
        <v>550</v>
      </c>
      <c r="F15" s="42">
        <f>IF(E15="",0,E15*PREMIOS!F15)</f>
        <v>46750</v>
      </c>
      <c r="G15" s="30">
        <f t="shared" si="6"/>
        <v>84370</v>
      </c>
      <c r="I15" s="63" t="s">
        <v>37</v>
      </c>
      <c r="J15" s="64">
        <v>0.12</v>
      </c>
      <c r="K15" s="30">
        <f>MROUND(D5+D9+D13+D17,50)</f>
        <v>38800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26450</v>
      </c>
      <c r="D16" s="42">
        <f>IF(C16="",0,C16*J$16)</f>
        <v>2645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23805</v>
      </c>
      <c r="I16" s="63" t="s">
        <v>38</v>
      </c>
      <c r="J16" s="64">
        <v>0.1</v>
      </c>
      <c r="K16" s="30">
        <f>MROUND(D6+D8+D10+D12+D14+D16+D18,50)</f>
        <v>7050</v>
      </c>
    </row>
    <row r="17" spans="1:11" x14ac:dyDescent="0.35">
      <c r="A17" s="28" t="s">
        <v>52</v>
      </c>
      <c r="B17" s="132">
        <f>IF(DigitaNICA!I2&lt;&gt;"",DigitaNICA!I2,"")</f>
        <v>38</v>
      </c>
      <c r="C17" s="29">
        <f>IF(DigitaNICA!I10&lt;&gt;"",DigitaNICA!I10,"")</f>
        <v>104800</v>
      </c>
      <c r="D17" s="42">
        <f>IF(C17="",0,C17*J$15)</f>
        <v>12576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92224</v>
      </c>
      <c r="I17" s="63" t="s">
        <v>96</v>
      </c>
      <c r="J17" s="64">
        <v>0.12</v>
      </c>
      <c r="K17" s="30">
        <f>MROUND(D19+D20,50)</f>
        <v>5100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2100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IF(DigitaPRIMERA!$C$10&lt;&gt;"",DigitaPRIMERA!$C$10,"")</f>
        <v>22200</v>
      </c>
      <c r="D19" s="42">
        <f>IF(C19="",0,C19*J$17)</f>
        <v>2664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19536</v>
      </c>
      <c r="I19" s="63" t="s">
        <v>20</v>
      </c>
      <c r="J19" s="64">
        <v>0.12</v>
      </c>
      <c r="K19" s="30">
        <f>MROUND(D24+D25,50)</f>
        <v>1500</v>
      </c>
    </row>
    <row r="20" spans="1:11" ht="15" thickBot="1" x14ac:dyDescent="0.4">
      <c r="A20" s="28" t="s">
        <v>98</v>
      </c>
      <c r="B20" s="132">
        <f>IF(DigitaPRIMERA!E2&lt;&gt;"",DigitaPRIMERA!E2,"")</f>
        <v>58</v>
      </c>
      <c r="C20" s="29">
        <f>IF(DigitaPRIMERA!$E$10&lt;&gt;"",DigitaPRIMERA!$E$10,"")</f>
        <v>20150</v>
      </c>
      <c r="D20" s="42">
        <f>IF(C20="",0,C20*J$17)</f>
        <v>2418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17732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96</v>
      </c>
      <c r="C21" s="29">
        <f>IF(DigitaHONDURAS!$C$10&lt;&gt;"",DigitaHONDURAS!$C$10,"")</f>
        <v>8750</v>
      </c>
      <c r="D21" s="42">
        <f>IF(C21="",0,C21*J$18)</f>
        <v>1050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7700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IF(DigitaHONDURAS!$E$10&lt;&gt;"",DigitaHONDURAS!$E$10,"")</f>
        <v>6900</v>
      </c>
      <c r="D22" s="42">
        <f>IF(C22="",0,C22*J$18)</f>
        <v>828</v>
      </c>
      <c r="E22" s="29">
        <f>IF(DigitaHONDURAS!$F$10&lt;&gt;"",DigitaHONDURAS!$F$10,"")</f>
        <v>50</v>
      </c>
      <c r="F22" s="42">
        <f>IF(E22="",0,E22*PREMIOS!F20)</f>
        <v>4250</v>
      </c>
      <c r="G22" s="30">
        <f t="shared" si="7"/>
        <v>1822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>
        <f>IF(DigitaHONDURAS!$G$10&lt;&gt;"",DigitaHONDURAS!$G$10,"")</f>
        <v>1900</v>
      </c>
      <c r="D23" s="42">
        <f>IF(C23="",0,C23*J$18)</f>
        <v>228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1672</v>
      </c>
    </row>
    <row r="24" spans="1:11" x14ac:dyDescent="0.35">
      <c r="A24" s="28" t="s">
        <v>107</v>
      </c>
      <c r="B24" s="132">
        <f>IF(DigitaDOMINICANA!C2&lt;&gt;"",DigitaDOMINICANA!C2,"")</f>
        <v>46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59</v>
      </c>
      <c r="C25" s="29">
        <f>IF(DigitaDOMINICANA!$E$10&lt;&gt;"",DigitaDOMINICANA!$E$10,"")</f>
        <v>12500</v>
      </c>
      <c r="D25" s="42">
        <f>IF(C25="",0,C25*J$19)</f>
        <v>1500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11000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868450</v>
      </c>
      <c r="D27" s="68">
        <f t="shared" ref="D27:F27" si="9">SUM(D5:D26)</f>
        <v>102806</v>
      </c>
      <c r="E27" s="68">
        <f t="shared" si="9"/>
        <v>6000</v>
      </c>
      <c r="F27" s="68">
        <f t="shared" si="9"/>
        <v>493000</v>
      </c>
      <c r="G27" s="88">
        <f>SUM(G5:G26)</f>
        <v>272644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28150</v>
      </c>
      <c r="K4" s="231">
        <f t="shared" ref="K4" si="0">D7+D11+D15</f>
        <v>3378</v>
      </c>
      <c r="L4" s="220">
        <f>F7+F11+F15</f>
        <v>12750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IF(DigitaTICA!C11&lt;&gt;"",DigitaTICA!C11,"")</f>
        <v>4950</v>
      </c>
      <c r="D7" s="42">
        <f>IF(C7="",0,C7*J$11)</f>
        <v>594</v>
      </c>
      <c r="E7" s="29">
        <f>IF(DigitaTICA!D11&lt;&gt;"",DigitaTICA!D11,"")</f>
        <v>150</v>
      </c>
      <c r="F7" s="133">
        <f>IF(E7="",0,E7*PREMIOS!F7)</f>
        <v>12750</v>
      </c>
      <c r="G7" s="30">
        <f t="shared" si="1"/>
        <v>-8394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3400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IF(DigitaTICA!G11&lt;&gt;"",DigitaTICA!G11,"")</f>
        <v>23200</v>
      </c>
      <c r="D15" s="42">
        <f>IF(C15="",0,C15*J$11)</f>
        <v>2784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20416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28150</v>
      </c>
      <c r="D21" s="122">
        <f t="shared" ref="D21:G21" si="5">SUM(D5:D20)</f>
        <v>3378</v>
      </c>
      <c r="E21" s="122">
        <f t="shared" si="5"/>
        <v>150</v>
      </c>
      <c r="F21" s="122">
        <f t="shared" si="5"/>
        <v>12750</v>
      </c>
      <c r="G21" s="123">
        <f t="shared" si="5"/>
        <v>12022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95800</v>
      </c>
      <c r="K4" s="231">
        <f>D7+D11+D15</f>
        <v>11496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IF(DigitaNICA!C12&lt;&gt;"",DigitaNICA!C12,"")</f>
        <v>36850</v>
      </c>
      <c r="D5" s="42">
        <f>IF(C5="",0,C5*J$12)</f>
        <v>4422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-31322</v>
      </c>
      <c r="I5" s="217" t="s">
        <v>37</v>
      </c>
      <c r="J5" s="221">
        <f>SUM(IF(C5="",0,C5),IF(C9="",0,C9),IF(C13="",0,C13),IF(C17="",0,C17))</f>
        <v>65500</v>
      </c>
      <c r="K5" s="225">
        <f t="shared" ref="K5" si="1">D5+D9+D13+D17</f>
        <v>7860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6500</v>
      </c>
      <c r="K6" s="226">
        <f t="shared" ref="K6" si="2">+D8+D12+D16</f>
        <v>650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IF(DigitaTICA!C12&lt;&gt;"",DigitaTICA!C12,"")</f>
        <v>47650</v>
      </c>
      <c r="D7" s="42">
        <f>IF(C7="",0,C7*J$11)</f>
        <v>5718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-568</v>
      </c>
      <c r="I7" s="217" t="s">
        <v>96</v>
      </c>
      <c r="J7" s="223">
        <f>SUM(IF(C19="",0,C19),IF(C20="",0,C20))</f>
        <v>42150</v>
      </c>
      <c r="K7" s="226">
        <f>+D19+D20</f>
        <v>5058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3500</v>
      </c>
      <c r="D8" s="42">
        <f>IF(C8="",0,C8*J$13)</f>
        <v>350</v>
      </c>
      <c r="E8" s="29">
        <f>IF(DigitaREVENTADO!D12&lt;&gt;"",DigitaREVENTADO!D12,"")</f>
        <v>250</v>
      </c>
      <c r="F8" s="42">
        <f>IF(E8="",0,E8*PREMIOS!F8)</f>
        <v>0</v>
      </c>
      <c r="G8" s="30">
        <f t="shared" si="0"/>
        <v>3150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07</v>
      </c>
      <c r="C9" s="29">
        <f>IF(DigitaNICA!E12&lt;&gt;"",DigitaNICA!E12,"")</f>
        <v>28650</v>
      </c>
      <c r="D9" s="42">
        <f>IF(C9="",0,C9*J$12)</f>
        <v>3438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3962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IF(DigitaTICA!E12&lt;&gt;"",DigitaTICA!E12,"")</f>
        <v>22100</v>
      </c>
      <c r="D11" s="42">
        <f>IF(C11="",0,C11*J$11)</f>
        <v>2652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6698</v>
      </c>
      <c r="I11" s="60" t="s">
        <v>36</v>
      </c>
      <c r="J11" s="61">
        <v>0.12</v>
      </c>
      <c r="K11" s="62">
        <f>MROUND(D7+D11+D15,50)</f>
        <v>11500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7850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5050</v>
      </c>
    </row>
    <row r="15" spans="1:12" ht="15" thickBot="1" x14ac:dyDescent="0.4">
      <c r="A15" s="28" t="s">
        <v>61</v>
      </c>
      <c r="B15" s="132" t="str">
        <f>IF(DigitaTICA!G2&lt;&gt;"",DigitaTICA!G2,"")</f>
        <v>02</v>
      </c>
      <c r="C15" s="29">
        <f>IF(DigitaTICA!G12&lt;&gt;"",DigitaTICA!G12,"")</f>
        <v>26050</v>
      </c>
      <c r="D15" s="42">
        <f>IF(C15="",0,C15*J$11)</f>
        <v>3126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22924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3000</v>
      </c>
      <c r="D16" s="42">
        <f>IF(C16="",0,C16*J$13)</f>
        <v>300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IF(DigitaPRIMERA!$C$12&lt;&gt;"",DigitaPRIMERA!$C$12,"")</f>
        <v>38750</v>
      </c>
      <c r="D19" s="42">
        <f>IF(C19="",0,C19*J$14)</f>
        <v>4650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34100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>
        <f>IF(DigitaPRIMERA!$E$12&lt;&gt;"",DigitaPRIMERA!$E$12,"")</f>
        <v>3400</v>
      </c>
      <c r="D20" s="42">
        <f>IF(C20="",0,C20*J$14)</f>
        <v>408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2992</v>
      </c>
    </row>
    <row r="21" spans="1:7" x14ac:dyDescent="0.35">
      <c r="A21" s="28" t="s">
        <v>99</v>
      </c>
      <c r="B21" s="132">
        <f>IF(DigitaHONDURAS!C2&lt;&gt;"",DigitaHONDURAS!C2,"")</f>
        <v>96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209950</v>
      </c>
      <c r="D24" s="68">
        <f t="shared" ref="D24:G24" si="4">SUM(D5:D23)</f>
        <v>25064</v>
      </c>
      <c r="E24" s="68">
        <f t="shared" si="4"/>
        <v>1900</v>
      </c>
      <c r="F24" s="68">
        <f t="shared" si="4"/>
        <v>140250</v>
      </c>
      <c r="G24" s="88">
        <f t="shared" si="4"/>
        <v>44636</v>
      </c>
    </row>
    <row r="27" spans="1:7" x14ac:dyDescent="0.35">
      <c r="G27" s="21">
        <v>319154</v>
      </c>
    </row>
    <row r="28" spans="1:7" x14ac:dyDescent="0.35">
      <c r="G28" s="141">
        <f>+G24+G27</f>
        <v>363790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98900</v>
      </c>
      <c r="K4" s="231">
        <f t="shared" ref="K4" si="0">D7+D11+D15</f>
        <v>11868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>
        <f>IF(DigitaNICA!C13&lt;&gt;"",DigitaNICA!C13,"")</f>
        <v>19600</v>
      </c>
      <c r="D5" s="42">
        <f>IF(C5="",0,C5*J$10)</f>
        <v>2352</v>
      </c>
      <c r="E5" s="29">
        <f>IF(DigitaNICA!D13&lt;&gt;"",DigitaNICA!D13,"")</f>
        <v>400</v>
      </c>
      <c r="F5" s="42">
        <f>IF(E5="",0,E5*PREMIOS!E5)</f>
        <v>32000</v>
      </c>
      <c r="G5" s="30">
        <f t="shared" ref="G5:G12" si="1">IF(OR(C5="",E5=""),0,C5-D5-F5)</f>
        <v>-14752</v>
      </c>
      <c r="I5" s="218" t="s">
        <v>37</v>
      </c>
      <c r="J5" s="232">
        <f>SUM(IF(C5="",0,C5),IF(C9="",0,C9),IF(C13="",0,C13),IF(C17="",0,C17))</f>
        <v>32150</v>
      </c>
      <c r="K5" s="233">
        <f t="shared" ref="K5" si="2">D5+D9+D13+D17</f>
        <v>3858</v>
      </c>
      <c r="L5" s="234">
        <f>F5+F9+F13+F17</f>
        <v>32000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IF(DigitaTICA!C13&lt;&gt;"",DigitaTICA!C13,"")</f>
        <v>33150</v>
      </c>
      <c r="D7" s="42">
        <f>IF(C7="",0,C7*J$9)</f>
        <v>3978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29172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07</v>
      </c>
      <c r="C9" s="29">
        <f>IF(DigitaNICA!E13&lt;&gt;"",DigitaNICA!E13,"")</f>
        <v>11450</v>
      </c>
      <c r="D9" s="42">
        <f>IF(C9="",0,C9*J$10)</f>
        <v>1374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10076</v>
      </c>
      <c r="I9" s="60" t="s">
        <v>36</v>
      </c>
      <c r="J9" s="61">
        <v>0.12</v>
      </c>
      <c r="K9" s="62">
        <f>MROUND(D7+D11+D15,50)</f>
        <v>11850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3850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IF(DigitaTICA!E13&lt;&gt;"",DigitaTICA!E13,"")</f>
        <v>20200</v>
      </c>
      <c r="D11" s="42">
        <f>IF(C11="",0,C11*J$9)</f>
        <v>2424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17776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IF(DigitaTICA!G13&lt;&gt;"",DigitaTICA!G13,"")</f>
        <v>45550</v>
      </c>
      <c r="D15" s="42">
        <f>IF(C15="",0,C15*J$9)</f>
        <v>5466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40084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IF(DigitaNICA!I13&lt;&gt;"",DigitaNICA!I13,"")</f>
        <v>1100</v>
      </c>
      <c r="D17" s="42">
        <f>IF(C17="",0,C17*J$10)</f>
        <v>132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968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131050</v>
      </c>
      <c r="D19" s="68">
        <f>MROUND(SUM(D5:D18),50)</f>
        <v>15750</v>
      </c>
      <c r="E19" s="68">
        <f>SUM(E5:E18)</f>
        <v>400</v>
      </c>
      <c r="F19" s="68">
        <f>SUM(F5:F18)</f>
        <v>32000</v>
      </c>
      <c r="G19" s="88">
        <f>SUM(G5:G18)</f>
        <v>83324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73050</v>
      </c>
      <c r="K4" s="236">
        <f t="shared" ref="K4" si="0">D7+D11+D15</f>
        <v>10957.5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70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>
        <f>IF(DigitaTICA!C14&lt;&gt;"",DigitaTICA!C14,"")</f>
        <v>36850</v>
      </c>
      <c r="D7" s="42">
        <f>IF(C7="",0,C7*J$9)</f>
        <v>5527.5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7322.5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IF(DigitaTICA!E14&lt;&gt;"",DigitaTICA!E14,"")</f>
        <v>7900</v>
      </c>
      <c r="D11" s="42">
        <f>IF(C11="",0,C11*J$9)</f>
        <v>1185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6715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>
        <f>IF(DigitaTICA!G14&lt;&gt;"",DigitaTICA!G14,"")</f>
        <v>28300</v>
      </c>
      <c r="D15" s="42">
        <f>IF(C15="",0,C15*J$9)</f>
        <v>4245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24055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73050</v>
      </c>
      <c r="D19" s="68">
        <f>MROUND(SUM(D5:D18),50)</f>
        <v>10950</v>
      </c>
      <c r="E19" s="68">
        <f>SUM(E5:E18)</f>
        <v>300</v>
      </c>
      <c r="F19" s="68">
        <f>SUM(F5:F18)</f>
        <v>24000</v>
      </c>
      <c r="G19" s="88">
        <f>SUM(G5:G18)</f>
        <v>38092.5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57400</v>
      </c>
      <c r="K4" s="231">
        <f>D7+D11+D15</f>
        <v>6888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5">
        <f>SUM(IF(C5="",0,C5),IF(C9="",0,C9),IF(C13="",0,C13),IF(C17="",0,C17))</f>
        <v>26550</v>
      </c>
      <c r="K5" s="225">
        <f t="shared" ref="K5" si="1">D5+D9+D13+D17</f>
        <v>3186</v>
      </c>
      <c r="L5" s="222">
        <f>F5+F9+F13+F17</f>
        <v>36000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2400</v>
      </c>
      <c r="K6" s="226">
        <f t="shared" ref="K6" si="2">+D8+D12+D16</f>
        <v>240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29">
        <f>IF(DigitaTICA!C16&lt;&gt;"",DigitaTICA!C16,"")</f>
        <v>25000</v>
      </c>
      <c r="D7" s="42">
        <f>IF(C7="",0,C7*J$11)</f>
        <v>3000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22000</v>
      </c>
      <c r="I7" s="63" t="s">
        <v>96</v>
      </c>
      <c r="J7" s="226">
        <f>SUM(IF(C19="",0,C19),IF(C20="",0,C20))</f>
        <v>18700</v>
      </c>
      <c r="K7" s="226">
        <f>+D19+D20</f>
        <v>2244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07</v>
      </c>
      <c r="C9" s="29">
        <f>IF(DigitaNICA!E16&lt;&gt;"",DigitaNICA!E16,"")</f>
        <v>13300</v>
      </c>
      <c r="D9" s="42">
        <f>IF(C9="",0,C9*J$12)</f>
        <v>1596</v>
      </c>
      <c r="E9" s="29">
        <f>IF(DigitaNICA!F16&lt;&gt;"",DigitaNICA!F16,"")</f>
        <v>200</v>
      </c>
      <c r="F9" s="133">
        <f>IF(E9="",0,E9*PREMIOS!E9)</f>
        <v>16000</v>
      </c>
      <c r="G9" s="30">
        <f t="shared" si="0"/>
        <v>-4296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10560</v>
      </c>
      <c r="I11" s="76" t="s">
        <v>36</v>
      </c>
      <c r="J11" s="77">
        <v>0.12</v>
      </c>
      <c r="K11" s="78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IF(DigitaNICA!G16&lt;&gt;"",DigitaNICA!G16,"")</f>
        <v>2000</v>
      </c>
      <c r="D13" s="42">
        <f>IF(C13="",0,C13*J$12)</f>
        <v>240</v>
      </c>
      <c r="E13" s="29">
        <f>IF(DigitaNICA!H16&lt;&gt;"",DigitaNICA!H16,"")</f>
        <v>250</v>
      </c>
      <c r="F13" s="133">
        <f>IF(E13="",0,E13*PREMIOS!E13)</f>
        <v>20000</v>
      </c>
      <c r="G13" s="30">
        <f>IF(OR(C13="",E13=""),0,C13-D13-F13)</f>
        <v>-18240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2250</v>
      </c>
    </row>
    <row r="15" spans="1:12" ht="15" thickBot="1" x14ac:dyDescent="0.4">
      <c r="A15" s="28" t="s">
        <v>61</v>
      </c>
      <c r="B15" s="132" t="str">
        <f>IF(DigitaTICA!G2&lt;&gt;"",DigitaTICA!G2,"")</f>
        <v>02</v>
      </c>
      <c r="C15" s="29">
        <f>IF(DigitaTICA!G16&lt;&gt;"",DigitaTICA!G16,"")</f>
        <v>20400</v>
      </c>
      <c r="D15" s="42">
        <f>IF(C15="",0,C15*J$11)</f>
        <v>2448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-3298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1400</v>
      </c>
      <c r="D16" s="42">
        <f>IF(C16="",0,C16*J$13)</f>
        <v>140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1260</v>
      </c>
    </row>
    <row r="17" spans="1:7" x14ac:dyDescent="0.35">
      <c r="A17" s="28" t="s">
        <v>52</v>
      </c>
      <c r="B17" s="132">
        <f>IF(DigitaNICA!I2&lt;&gt;"",DigitaNICA!I2,"")</f>
        <v>38</v>
      </c>
      <c r="C17" s="29">
        <f>IF(DigitaNICA!I16&lt;&gt;"",DigitaNICA!I16,"")</f>
        <v>10250</v>
      </c>
      <c r="D17" s="42">
        <f>IF(C17="",0,C17*J$12)</f>
        <v>1230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9020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IF(DigitaPRIMERA!C16&lt;&gt;"",DigitaPRIMERA!C16,"")</f>
        <v>9000</v>
      </c>
      <c r="D19" s="42">
        <f>IF(C19="",0,C19*J$14)</f>
        <v>1080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7920</v>
      </c>
    </row>
    <row r="20" spans="1:7" x14ac:dyDescent="0.35">
      <c r="A20" s="28" t="s">
        <v>98</v>
      </c>
      <c r="B20" s="132">
        <f>IF(DigitaPRIMERA!E2&lt;&gt;"",DigitaPRIMERA!E2,"")</f>
        <v>58</v>
      </c>
      <c r="C20" s="29">
        <f>IF(DigitaPRIMERA!E16&lt;&gt;"",DigitaPRIMERA!E16,"")</f>
        <v>9700</v>
      </c>
      <c r="D20" s="42">
        <f>IF(C20="",0,C20*J$14)</f>
        <v>1164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8536</v>
      </c>
    </row>
    <row r="21" spans="1:7" x14ac:dyDescent="0.35">
      <c r="A21" s="28" t="s">
        <v>99</v>
      </c>
      <c r="B21" s="132">
        <f>IF(DigitaHONDURAS!C2&lt;&gt;"",DigitaHONDURAS!C2,"")</f>
        <v>96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105050</v>
      </c>
      <c r="D24" s="122">
        <f t="shared" ref="D24:G24" si="5">SUM(D5:D23)</f>
        <v>12558</v>
      </c>
      <c r="E24" s="122">
        <f t="shared" si="5"/>
        <v>700</v>
      </c>
      <c r="F24" s="122">
        <f t="shared" si="5"/>
        <v>57250</v>
      </c>
      <c r="G24" s="123">
        <f t="shared" si="5"/>
        <v>35242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431900</v>
      </c>
      <c r="K4" s="231">
        <f t="shared" ref="K4" si="0">D7+D11+D15</f>
        <v>51828</v>
      </c>
      <c r="L4" s="220">
        <f>F7+F11+F15</f>
        <v>280500</v>
      </c>
    </row>
    <row r="5" spans="1:12" x14ac:dyDescent="0.35">
      <c r="A5" s="28" t="s">
        <v>43</v>
      </c>
      <c r="B5" s="132">
        <f>IF(DigitaNICA!C2&lt;&gt;"",DigitaNICA!C2,"")</f>
        <v>70</v>
      </c>
      <c r="C5" s="89">
        <f>IF(DigitaNICA!C17&lt;&gt;"",DigitaNICA!C17,"")</f>
        <v>89450</v>
      </c>
      <c r="D5" s="42">
        <f>IF(C5="",0,C5*J$16)</f>
        <v>10734</v>
      </c>
      <c r="E5" s="89">
        <f>IF(DigitaNICA!D17&lt;&gt;"",DigitaNICA!D17,"")</f>
        <v>500</v>
      </c>
      <c r="F5" s="42">
        <f>IF(E5="",0,E5*PREMIOS!F5)</f>
        <v>42500</v>
      </c>
      <c r="G5" s="90">
        <f t="shared" ref="G5:G12" si="1">IF(OR(C5="",E5=""),0,C5-D5-F5)</f>
        <v>36216</v>
      </c>
      <c r="I5" s="217" t="s">
        <v>37</v>
      </c>
      <c r="J5" s="221">
        <f>SUM(IF(C5="",0,C5),IF(C9="",0,C9),IF(C13="",0,C13),IF(C17="",0,C17))</f>
        <v>392350</v>
      </c>
      <c r="K5" s="225">
        <f t="shared" ref="K5" si="2">D5+D9+D13+D17</f>
        <v>47082</v>
      </c>
      <c r="L5" s="222">
        <f>F5+F9+F13+F17</f>
        <v>437750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71100</v>
      </c>
      <c r="K6" s="226">
        <f t="shared" ref="K6" si="3">+D8+D12+D16</f>
        <v>7110</v>
      </c>
      <c r="L6" s="227">
        <f>+F8+F12+F16</f>
        <v>40000</v>
      </c>
    </row>
    <row r="7" spans="1:12" x14ac:dyDescent="0.35">
      <c r="A7" s="28" t="s">
        <v>46</v>
      </c>
      <c r="B7" s="132" t="str">
        <f>IF(DigitaTICA!C2&lt;&gt;"",DigitaTICA!C2,"")</f>
        <v>02</v>
      </c>
      <c r="C7" s="89">
        <f>IF(DigitaTICA!C17&lt;&gt;"",DigitaTICA!C17,"")</f>
        <v>127000</v>
      </c>
      <c r="D7" s="42">
        <f>IF(C7="",0,C7*J$15)</f>
        <v>15240</v>
      </c>
      <c r="E7" s="89">
        <f>IF(DigitaTICA!D17&lt;&gt;"",DigitaTICA!D17,"")</f>
        <v>1300</v>
      </c>
      <c r="F7" s="42">
        <f>IF(E7="",0,E7*PREMIOS!F7)</f>
        <v>110500</v>
      </c>
      <c r="G7" s="90">
        <f t="shared" si="1"/>
        <v>1260</v>
      </c>
      <c r="I7" s="217" t="s">
        <v>96</v>
      </c>
      <c r="J7" s="223">
        <f>SUM(IF(C19="",0,C19),IF(C20="",0,C20))</f>
        <v>107050</v>
      </c>
      <c r="K7" s="226">
        <f>+D19+D20</f>
        <v>12846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19550</v>
      </c>
      <c r="D8" s="42">
        <f>IF(C8="",0,C8*J$17)</f>
        <v>1955</v>
      </c>
      <c r="E8" s="89">
        <f>IF(DigitaREVENTADO!D17&lt;&gt;"",DigitaREVENTADO!D17,"")</f>
        <v>200</v>
      </c>
      <c r="F8" s="42">
        <f>IF(E8="",0,E8*PREMIOS!F8)</f>
        <v>0</v>
      </c>
      <c r="G8" s="90">
        <f t="shared" si="1"/>
        <v>17595</v>
      </c>
      <c r="I8" s="217" t="s">
        <v>104</v>
      </c>
      <c r="J8" s="223">
        <f>SUM(IF(C21="",0,C21),IF(C22="",0,C22),IF(C23="",0,C23))</f>
        <v>54100</v>
      </c>
      <c r="K8" s="226">
        <f t="shared" ref="K8" si="4">D21+D22+D23</f>
        <v>6492</v>
      </c>
      <c r="L8" s="227">
        <f>F21+F22+F23</f>
        <v>8500</v>
      </c>
    </row>
    <row r="9" spans="1:12" x14ac:dyDescent="0.35">
      <c r="A9" s="28" t="s">
        <v>48</v>
      </c>
      <c r="B9" s="132" t="str">
        <f>IF(DigitaNICA!E2&lt;&gt;"",DigitaNICA!E2,"")</f>
        <v>07</v>
      </c>
      <c r="C9" s="89">
        <f>IF(DigitaNICA!E17&lt;&gt;"",DigitaNICA!E17,"")</f>
        <v>82000</v>
      </c>
      <c r="D9" s="42">
        <f>IF(C9="",0,C9*J$16)</f>
        <v>9840</v>
      </c>
      <c r="E9" s="89">
        <f>IF(DigitaNICA!F17&lt;&gt;"",DigitaNICA!F17,"")</f>
        <v>2150</v>
      </c>
      <c r="F9" s="42">
        <f>IF(E9="",0,E9*PREMIOS!F9)</f>
        <v>182750</v>
      </c>
      <c r="G9" s="90">
        <f t="shared" si="1"/>
        <v>-110590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89">
        <f>IF(DigitaTICA!E17&lt;&gt;"",DigitaTICA!E17,"")</f>
        <v>99750</v>
      </c>
      <c r="D11" s="42">
        <f>IF(C11="",0,C11*J$15)</f>
        <v>11970</v>
      </c>
      <c r="E11" s="89">
        <f>IF(DigitaTICA!F17&lt;&gt;"",DigitaTICA!F17,"")</f>
        <v>400</v>
      </c>
      <c r="F11" s="42">
        <f>IF(E11="",0,E11*PREMIOS!F11)</f>
        <v>34000</v>
      </c>
      <c r="G11" s="90">
        <f t="shared" si="1"/>
        <v>53780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16450</v>
      </c>
      <c r="D12" s="42">
        <f>IF(C12="",0,C12*J$17)</f>
        <v>1645</v>
      </c>
      <c r="E12" s="89">
        <f>IF(DigitaREVENTADO!F17&lt;&gt;"",DigitaREVENTADO!F17,"")</f>
        <v>300</v>
      </c>
      <c r="F12" s="42">
        <f>IF(E12="",0,E12*PREMIOS!F12)</f>
        <v>0</v>
      </c>
      <c r="G12" s="90">
        <f t="shared" si="1"/>
        <v>14805</v>
      </c>
    </row>
    <row r="13" spans="1:12" ht="15" thickBot="1" x14ac:dyDescent="0.4">
      <c r="A13" s="28" t="s">
        <v>50</v>
      </c>
      <c r="B13" s="132">
        <f>IF(DigitaNICA!G2&lt;&gt;"",DigitaNICA!G2,"")</f>
        <v>30</v>
      </c>
      <c r="C13" s="89">
        <f>IF(DigitaNICA!G17&lt;&gt;"",DigitaNICA!G17,"")</f>
        <v>51500</v>
      </c>
      <c r="D13" s="42">
        <f>IF(C13="",0,C13*J$16)</f>
        <v>6180</v>
      </c>
      <c r="E13" s="89">
        <f>IF(DigitaNICA!H17&lt;&gt;"",DigitaNICA!H17,"")</f>
        <v>900</v>
      </c>
      <c r="F13" s="42">
        <f>IF(E13="",0,E13*PREMIOS!F13)</f>
        <v>76500</v>
      </c>
      <c r="G13" s="90">
        <f>IF(OR(C13="",E13=""),0,C13-D13-F13)</f>
        <v>-31180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02</v>
      </c>
      <c r="C15" s="89">
        <f>IF(DigitaTICA!G17&lt;&gt;"",DigitaTICA!G17,"")</f>
        <v>205150</v>
      </c>
      <c r="D15" s="42">
        <f>IF(C15="",0,C15*J$15)</f>
        <v>24618</v>
      </c>
      <c r="E15" s="89">
        <f>IF(DigitaTICA!H17&lt;&gt;"",DigitaTICA!H17,"")</f>
        <v>1600</v>
      </c>
      <c r="F15" s="42">
        <f>IF(E15="",0,E15*PREMIOS!F15)</f>
        <v>136000</v>
      </c>
      <c r="G15" s="90">
        <f t="shared" si="6"/>
        <v>44532</v>
      </c>
      <c r="I15" s="76" t="s">
        <v>36</v>
      </c>
      <c r="J15" s="77">
        <v>0.12</v>
      </c>
      <c r="K15" s="78">
        <f>MROUND(D7+D11+D15,50)</f>
        <v>51850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35100</v>
      </c>
      <c r="D16" s="42">
        <f>IF(C16="",0,C16*J$17)</f>
        <v>3510</v>
      </c>
      <c r="E16" s="89">
        <f>IF(DigitaREVENTADO!H17&lt;&gt;"",DigitaREVENTADO!H17,"")</f>
        <v>200</v>
      </c>
      <c r="F16" s="42">
        <f>IF(E16="",0,E16*PREMIOS!F16)</f>
        <v>40000</v>
      </c>
      <c r="G16" s="90">
        <f t="shared" si="6"/>
        <v>-8410</v>
      </c>
      <c r="I16" s="63" t="s">
        <v>37</v>
      </c>
      <c r="J16" s="64">
        <v>0.12</v>
      </c>
      <c r="K16" s="30">
        <f>MROUND(D5+D9+D13+D17,50)</f>
        <v>47100</v>
      </c>
    </row>
    <row r="17" spans="1:11" x14ac:dyDescent="0.35">
      <c r="A17" s="28" t="s">
        <v>52</v>
      </c>
      <c r="B17" s="132">
        <f>IF(DigitaNICA!I2&lt;&gt;"",DigitaNICA!I2,"")</f>
        <v>38</v>
      </c>
      <c r="C17" s="89">
        <f>IF(DigitaNICA!I17&lt;&gt;"",DigitaNICA!I17,"")</f>
        <v>169400</v>
      </c>
      <c r="D17" s="42">
        <f>IF(C17="",0,C17*J$16)</f>
        <v>20328</v>
      </c>
      <c r="E17" s="89">
        <f>IF(DigitaNICA!J17&lt;&gt;"",DigitaNICA!J17,"")</f>
        <v>1600</v>
      </c>
      <c r="F17" s="42">
        <f>IF(E17="",0,E17*PREMIOS!F17)</f>
        <v>136000</v>
      </c>
      <c r="G17" s="90">
        <f t="shared" si="6"/>
        <v>13072</v>
      </c>
      <c r="I17" s="63" t="s">
        <v>38</v>
      </c>
      <c r="J17" s="64">
        <v>0.1</v>
      </c>
      <c r="K17" s="30">
        <f>MROUND(D6+D8+D10+D12+D14+D16+D18,50)</f>
        <v>7100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12850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IF(DigitaPRIMERA!$C$17&lt;&gt;"",DigitaPRIMERA!$C$17,"")</f>
        <v>72350</v>
      </c>
      <c r="D19" s="42">
        <f>IF(C19="",0,C19*J$18)</f>
        <v>8682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63668</v>
      </c>
      <c r="I19" s="63" t="s">
        <v>104</v>
      </c>
      <c r="J19" s="64">
        <v>0.12</v>
      </c>
      <c r="K19" s="30">
        <f>MROUND(D21+D22+D23,50)</f>
        <v>6500</v>
      </c>
    </row>
    <row r="20" spans="1:11" x14ac:dyDescent="0.35">
      <c r="A20" s="28" t="s">
        <v>98</v>
      </c>
      <c r="B20" s="132">
        <f>IF(DigitaPRIMERA!E2&lt;&gt;"",DigitaPRIMERA!E2,"")</f>
        <v>58</v>
      </c>
      <c r="C20" s="29">
        <f>IF(DigitaPRIMERA!$E$17&lt;&gt;"",DigitaPRIMERA!$E$17,"")</f>
        <v>34700</v>
      </c>
      <c r="D20" s="42">
        <f>IF(C20="",0,C20*J$18)</f>
        <v>4164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30536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96</v>
      </c>
      <c r="C21" s="29">
        <f>IF(DigitaHONDURAS!$C$17&lt;&gt;"",DigitaHONDURAS!$C$17,"")</f>
        <v>31400</v>
      </c>
      <c r="D21" s="42">
        <f>IF(C21="",0,C21*J$19)</f>
        <v>3768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27632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IF(DigitaHONDURAS!$E$17&lt;&gt;"",DigitaHONDURAS!$E$17,"")</f>
        <v>5750</v>
      </c>
      <c r="D22" s="42">
        <f>IF(C22="",0,C22*J$19)</f>
        <v>690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5060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>
        <f>IF(DigitaHONDURAS!$G$17&lt;&gt;"",DigitaHONDURAS!$G$17,"")</f>
        <v>16950</v>
      </c>
      <c r="D23" s="42">
        <f>IF(C23="",0,C23*J$19)</f>
        <v>2034</v>
      </c>
      <c r="E23" s="29">
        <f>IF(DigitaHONDURAS!$H$17&lt;&gt;"",DigitaHONDURAS!$H$17,"")</f>
        <v>100</v>
      </c>
      <c r="F23" s="42">
        <f>IF(E23="",0,E23*PREMIOS!F20)</f>
        <v>8500</v>
      </c>
      <c r="G23" s="30">
        <f t="shared" si="6"/>
        <v>6416</v>
      </c>
    </row>
    <row r="24" spans="1:11" x14ac:dyDescent="0.35">
      <c r="A24" s="28" t="s">
        <v>102</v>
      </c>
      <c r="B24" s="132">
        <f>IF(DigitaDOMINICANA!C2&lt;&gt;"",DigitaDOMINICANA!C2,"")</f>
        <v>46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1056500</v>
      </c>
      <c r="D27" s="68">
        <f t="shared" ref="D27:G27" si="7">SUM(D5:D26)</f>
        <v>125358</v>
      </c>
      <c r="E27" s="68">
        <f t="shared" si="7"/>
        <v>9250</v>
      </c>
      <c r="F27" s="68">
        <f t="shared" si="7"/>
        <v>766750</v>
      </c>
      <c r="G27" s="88">
        <f t="shared" si="7"/>
        <v>164392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164950</v>
      </c>
      <c r="K4" s="231">
        <f t="shared" ref="K4" si="0">D7+D11+D15</f>
        <v>19794</v>
      </c>
      <c r="L4" s="220">
        <f>F7+F11+F15</f>
        <v>85000</v>
      </c>
    </row>
    <row r="5" spans="1:12" x14ac:dyDescent="0.35">
      <c r="A5" s="28" t="str">
        <f>+Vendedor1!A5</f>
        <v>Nica 11am</v>
      </c>
      <c r="B5" s="132">
        <f>IF(DigitaNICA!C2&lt;&gt;"",DigitaNICA!C2,"")</f>
        <v>70</v>
      </c>
      <c r="C5" s="29">
        <f>IF(DigitaNICA!C18&lt;&gt;"",DigitaNICA!C18,"")</f>
        <v>58750</v>
      </c>
      <c r="D5" s="42">
        <f>IF(C5="",0,C5*J$16)</f>
        <v>7050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51700</v>
      </c>
      <c r="I5" s="217" t="s">
        <v>37</v>
      </c>
      <c r="J5" s="221">
        <f>SUM(IF(C5="",0,C5),IF(C9="",0,C9),IF(C13="",0,C13),IF(C17="",0,C17))</f>
        <v>124850</v>
      </c>
      <c r="K5" s="225">
        <f t="shared" ref="K5" si="2">D5+D9+D13+D17</f>
        <v>14982</v>
      </c>
      <c r="L5" s="222">
        <f>F5+F9+F13+F17</f>
        <v>42500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32800</v>
      </c>
      <c r="K6" s="226">
        <f t="shared" ref="K6" si="3">+D8+D12+D16</f>
        <v>3280</v>
      </c>
      <c r="L6" s="227">
        <f>+F8+F12+F16</f>
        <v>40000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02</v>
      </c>
      <c r="C7" s="29">
        <f>IF(DigitaTICA!C18&lt;&gt;"",DigitaTICA!C18,"")</f>
        <v>52400</v>
      </c>
      <c r="D7" s="42">
        <f>IF(C7="",0,C7*J$15)</f>
        <v>6288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20612</v>
      </c>
      <c r="I7" s="217" t="s">
        <v>96</v>
      </c>
      <c r="J7" s="223">
        <f>SUM(IF(C19="",0,C19),IF(C20="",0,C20))</f>
        <v>90200</v>
      </c>
      <c r="K7" s="226">
        <f>+D19+D20</f>
        <v>10824</v>
      </c>
      <c r="L7" s="227">
        <f>+F19+F20</f>
        <v>136000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11700</v>
      </c>
      <c r="D8" s="42">
        <f>IF(C8="",0,C8*J$17)</f>
        <v>1170</v>
      </c>
      <c r="E8" s="29">
        <f>IF(DigitaREVENTADO!D18&lt;&gt;"",DigitaREVENTADO!D18,"")</f>
        <v>200</v>
      </c>
      <c r="F8" s="42">
        <f>IF(E8="",0,E8*PREMIOS!F8)</f>
        <v>0</v>
      </c>
      <c r="G8" s="30">
        <f t="shared" si="1"/>
        <v>10530</v>
      </c>
      <c r="I8" s="217" t="s">
        <v>104</v>
      </c>
      <c r="J8" s="223">
        <f>SUM(IF(C21="",0,C21),IF(C22="",0,C22),IF(C23="",0,C23))</f>
        <v>39600</v>
      </c>
      <c r="K8" s="226">
        <f t="shared" ref="K8" si="4">D21+D22+D23</f>
        <v>4752</v>
      </c>
      <c r="L8" s="227">
        <f>F21+F22+F23</f>
        <v>68000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07</v>
      </c>
      <c r="C9" s="29">
        <f>IF(DigitaNICA!E18&lt;&gt;"",DigitaNICA!E18,"")</f>
        <v>25200</v>
      </c>
      <c r="D9" s="42">
        <f>IF(C9="",0,C9*J$16)</f>
        <v>3024</v>
      </c>
      <c r="E9" s="29">
        <f>IF(DigitaNICA!F18&lt;&gt;"",DigitaNICA!F18,"")</f>
        <v>500</v>
      </c>
      <c r="F9" s="42">
        <f>IF(E9="",0,E9*PREMIOS!F9)</f>
        <v>42500</v>
      </c>
      <c r="G9" s="30">
        <f t="shared" si="1"/>
        <v>-20324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IF(DigitaTICA!E18&lt;&gt;"",DigitaTICA!E18,"")</f>
        <v>46600</v>
      </c>
      <c r="D11" s="42">
        <f>IF(C11="",0,C11*J$15)</f>
        <v>5592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24008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10500</v>
      </c>
      <c r="D12" s="42">
        <f>IF(C12="",0,C12*J$17)</f>
        <v>1050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9450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30</v>
      </c>
      <c r="C13" s="29">
        <f>IF(DigitaNICA!G18&lt;&gt;"",DigitaNICA!G18,"")</f>
        <v>25900</v>
      </c>
      <c r="D13" s="42">
        <f>IF(C13="",0,C13*J$16)</f>
        <v>3108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22792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02</v>
      </c>
      <c r="C15" s="29">
        <f>IF(DigitaTICA!G18&lt;&gt;"",DigitaTICA!G18,"")</f>
        <v>65950</v>
      </c>
      <c r="D15" s="42">
        <f>IF(C15="",0,C15*J$15)</f>
        <v>7914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15536</v>
      </c>
      <c r="I15" s="76" t="s">
        <v>36</v>
      </c>
      <c r="J15" s="77">
        <v>0.12</v>
      </c>
      <c r="K15" s="78">
        <f>MROUND(D7+D11+D15,50)</f>
        <v>19800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10600</v>
      </c>
      <c r="D16" s="42">
        <f>IF(C16="",0,C16*J$17)</f>
        <v>1060</v>
      </c>
      <c r="E16" s="29">
        <f>IF(DigitaREVENTADO!H18&lt;&gt;"",DigitaREVENTADO!H18,"")</f>
        <v>200</v>
      </c>
      <c r="F16" s="42">
        <f>IF(E16="",0,E16*PREMIOS!F16)</f>
        <v>40000</v>
      </c>
      <c r="G16" s="30">
        <f t="shared" si="6"/>
        <v>-30460</v>
      </c>
      <c r="I16" s="63" t="s">
        <v>37</v>
      </c>
      <c r="J16" s="64">
        <v>0.12</v>
      </c>
      <c r="K16" s="30">
        <f>MROUND(D5+D9+D13+D17,50)</f>
        <v>15000</v>
      </c>
    </row>
    <row r="17" spans="1:11" x14ac:dyDescent="0.35">
      <c r="A17" s="28" t="str">
        <f>+Vendedor1!A17</f>
        <v>Nica 9pm</v>
      </c>
      <c r="B17" s="132">
        <f>IF(DigitaNICA!I2&lt;&gt;"",DigitaNICA!I2,"")</f>
        <v>38</v>
      </c>
      <c r="C17" s="29">
        <f>IF(DigitaNICA!I18&lt;&gt;"",DigitaNICA!I18,"")</f>
        <v>15000</v>
      </c>
      <c r="D17" s="42">
        <f>IF(C17="",0,C17*J$16)</f>
        <v>1800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13200</v>
      </c>
      <c r="I17" s="63" t="s">
        <v>38</v>
      </c>
      <c r="J17" s="64">
        <v>0.1</v>
      </c>
      <c r="K17" s="30">
        <f>MROUND(D6+D8+D10+D12+D14+D16+D18,50)</f>
        <v>3300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IF(DigitaPRIMERA!$C$18&lt;&gt;"",DigitaPRIMERA!$C$18,"")</f>
        <v>53400</v>
      </c>
      <c r="D19" s="42">
        <f>IF(C19="",0,C19*J$18)</f>
        <v>6408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46992</v>
      </c>
      <c r="I19" s="63" t="s">
        <v>104</v>
      </c>
      <c r="J19" s="64">
        <v>0.12</v>
      </c>
      <c r="K19" s="30">
        <f>MROUND(D21+D22+D23,50)</f>
        <v>4750</v>
      </c>
    </row>
    <row r="20" spans="1:11" x14ac:dyDescent="0.35">
      <c r="A20" s="28" t="s">
        <v>98</v>
      </c>
      <c r="B20" s="132">
        <f>IF(DigitaPRIMERA!E2&lt;&gt;"",DigitaPRIMERA!E2,"")</f>
        <v>58</v>
      </c>
      <c r="C20" s="29">
        <f>IF(DigitaPRIMERA!$E$18&lt;&gt;"",DigitaPRIMERA!$E$18,"")</f>
        <v>36800</v>
      </c>
      <c r="D20" s="42">
        <f>IF(C20="",0,C20*J$18)</f>
        <v>4416</v>
      </c>
      <c r="E20" s="29">
        <f>IF(DigitaPRIMERA!$F$18&lt;&gt;"",DigitaPRIMERA!$F$18,"")</f>
        <v>1600</v>
      </c>
      <c r="F20" s="42">
        <f>IF(E20="",0,E20*PREMIOS!F19)</f>
        <v>136000</v>
      </c>
      <c r="G20" s="30">
        <f t="shared" si="6"/>
        <v>-103616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96</v>
      </c>
      <c r="C21" s="29">
        <f>IF(DigitaHONDURAS!$C$18&lt;&gt;"",DigitaHONDURAS!$C$18,"")</f>
        <v>25900</v>
      </c>
      <c r="D21" s="42">
        <f>IF(C21="",0,C21*J$19)</f>
        <v>3108</v>
      </c>
      <c r="E21" s="29">
        <f>IF(DigitaHONDURAS!$D$18&lt;&gt;"",DigitaHONDURAS!$D$18,"")</f>
        <v>300</v>
      </c>
      <c r="F21" s="42">
        <f>IF(E21="",0,E21*PREMIOS!F20)</f>
        <v>25500</v>
      </c>
      <c r="G21" s="30">
        <f t="shared" si="6"/>
        <v>-2708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IF(DigitaHONDURAS!$E$18&lt;&gt;"",DigitaHONDURAS!$E$18,"")</f>
        <v>11700</v>
      </c>
      <c r="D22" s="42">
        <f>IF(C22="",0,C22*J$19)</f>
        <v>1404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10296</v>
      </c>
    </row>
    <row r="23" spans="1:11" x14ac:dyDescent="0.35">
      <c r="A23" s="28" t="s">
        <v>101</v>
      </c>
      <c r="B23" s="132">
        <f>IF(DigitaHONDURAS!G2&lt;&gt;"",DigitaHONDURAS!G2,"")</f>
        <v>58</v>
      </c>
      <c r="C23" s="29">
        <f>IF(DigitaHONDURAS!$G$18&lt;&gt;"",DigitaHONDURAS!$G$18,"")</f>
        <v>2000</v>
      </c>
      <c r="D23" s="42">
        <f>IF(C23="",0,C23*J$19)</f>
        <v>240</v>
      </c>
      <c r="E23" s="29">
        <f>IF(DigitaHONDURAS!$H$18&lt;&gt;"",DigitaHONDURAS!$H$18,"")</f>
        <v>500</v>
      </c>
      <c r="F23" s="42">
        <f>IF(E23="",0,E23*PREMIOS!F20)</f>
        <v>42500</v>
      </c>
      <c r="G23" s="30">
        <f t="shared" si="6"/>
        <v>-40740</v>
      </c>
    </row>
    <row r="24" spans="1:11" x14ac:dyDescent="0.35">
      <c r="A24" s="28" t="s">
        <v>102</v>
      </c>
      <c r="B24" s="132">
        <f>IF(DigitaDOMINICANA!C2&lt;&gt;"",DigitaDOMINICANA!C2,"")</f>
        <v>46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452400</v>
      </c>
      <c r="D27" s="68">
        <f t="shared" ref="D27:G27" si="7">SUM(D5:D26)</f>
        <v>53632</v>
      </c>
      <c r="E27" s="68">
        <f t="shared" si="7"/>
        <v>4300</v>
      </c>
      <c r="F27" s="68">
        <f t="shared" si="7"/>
        <v>371500</v>
      </c>
      <c r="G27" s="88">
        <f t="shared" si="7"/>
        <v>27268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-5300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>
        <f>IF(DigitaNICA!I27&lt;&gt;"",DigitaNICA!I27,"")</f>
        <v>-44050</v>
      </c>
      <c r="D17" s="42">
        <f>IF(C17="",0,C17*J$10)</f>
        <v>-5286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-38764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-44050</v>
      </c>
      <c r="D27" s="68">
        <f t="shared" ref="D27:G27" si="2">SUM(D5:D26)</f>
        <v>-5286</v>
      </c>
      <c r="E27" s="68">
        <f t="shared" si="2"/>
        <v>0</v>
      </c>
      <c r="F27" s="68">
        <f t="shared" si="2"/>
        <v>0</v>
      </c>
      <c r="G27" s="88">
        <f t="shared" si="2"/>
        <v>-38764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02</v>
      </c>
      <c r="D2" s="268"/>
      <c r="E2" s="267">
        <f>IF(PREMIOS!$B11="","",PREMIOS!$B11)</f>
        <v>46</v>
      </c>
      <c r="F2" s="268"/>
      <c r="G2" s="267" t="str">
        <f>IF(PREMIOS!$B15="","",PREMIOS!$B15)</f>
        <v>02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36200</v>
      </c>
      <c r="D4" s="78">
        <v>250</v>
      </c>
      <c r="E4" s="189">
        <v>43750</v>
      </c>
      <c r="F4" s="78">
        <f t="shared" ref="D4:H27" si="0">IF(E4="","",0)</f>
        <v>0</v>
      </c>
      <c r="G4" s="189">
        <v>105900</v>
      </c>
      <c r="H4" s="78">
        <v>850</v>
      </c>
      <c r="J4" s="42">
        <f t="shared" ref="J4:J8" si="1">+C4+E4+G4</f>
        <v>185850</v>
      </c>
      <c r="K4" s="42">
        <f>IF(D4="",0,IF(F4="",D4,IF(H4="",D4+F4,D4+F4+H4)))</f>
        <v>1100</v>
      </c>
    </row>
    <row r="5" spans="1:11" x14ac:dyDescent="0.35">
      <c r="A5" s="47">
        <v>2</v>
      </c>
      <c r="B5" s="178" t="str">
        <f>Vendedor2!$B$2</f>
        <v>PUESTO 2</v>
      </c>
      <c r="C5" s="180">
        <v>50600</v>
      </c>
      <c r="D5" s="30">
        <v>100</v>
      </c>
      <c r="E5" s="180">
        <v>36200</v>
      </c>
      <c r="F5" s="30">
        <f t="shared" si="0"/>
        <v>0</v>
      </c>
      <c r="G5" s="180">
        <v>86850</v>
      </c>
      <c r="H5" s="30">
        <f t="shared" si="0"/>
        <v>0</v>
      </c>
      <c r="J5" s="42">
        <f t="shared" si="1"/>
        <v>173650</v>
      </c>
      <c r="K5" s="42">
        <f t="shared" ref="K5:K27" si="2">IF(D5="",0,IF(F5="",D5,IF(H5="",D5+F5,D5+F5+H5)))</f>
        <v>100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35550</v>
      </c>
      <c r="D8" s="30">
        <v>100</v>
      </c>
      <c r="E8" s="180">
        <v>25100</v>
      </c>
      <c r="F8" s="30">
        <f t="shared" si="0"/>
        <v>0</v>
      </c>
      <c r="G8" s="180">
        <v>64050</v>
      </c>
      <c r="H8" s="30">
        <f t="shared" si="0"/>
        <v>0</v>
      </c>
      <c r="J8" s="42">
        <f t="shared" si="1"/>
        <v>124700</v>
      </c>
      <c r="K8" s="42">
        <f t="shared" si="2"/>
        <v>100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95050+16350+10800+3650+5100+7350</f>
        <v>138300</v>
      </c>
      <c r="D10" s="30">
        <f>1100+0</f>
        <v>1100</v>
      </c>
      <c r="E10" s="180">
        <f>77350+37850</f>
        <v>115200</v>
      </c>
      <c r="F10" s="30">
        <f>200+0</f>
        <v>200</v>
      </c>
      <c r="G10" s="180">
        <f>40700+108300</f>
        <v>149000</v>
      </c>
      <c r="H10" s="30">
        <v>550</v>
      </c>
      <c r="J10" s="42">
        <f t="shared" si="3"/>
        <v>402500</v>
      </c>
      <c r="K10" s="42">
        <f t="shared" si="2"/>
        <v>1850</v>
      </c>
    </row>
    <row r="11" spans="1:11" x14ac:dyDescent="0.35">
      <c r="A11" s="47">
        <v>8</v>
      </c>
      <c r="B11" s="178" t="str">
        <f>Vendedor8!$B$2</f>
        <v>ISA</v>
      </c>
      <c r="C11" s="180">
        <v>4950</v>
      </c>
      <c r="D11" s="30">
        <v>150</v>
      </c>
      <c r="E11" s="180"/>
      <c r="F11" s="30" t="str">
        <f t="shared" si="0"/>
        <v/>
      </c>
      <c r="G11" s="180">
        <v>23200</v>
      </c>
      <c r="H11" s="30">
        <f t="shared" si="0"/>
        <v>0</v>
      </c>
      <c r="J11" s="42">
        <f t="shared" si="3"/>
        <v>28150</v>
      </c>
      <c r="K11" s="42">
        <f t="shared" si="2"/>
        <v>150</v>
      </c>
    </row>
    <row r="12" spans="1:11" x14ac:dyDescent="0.35">
      <c r="A12" s="47">
        <v>9</v>
      </c>
      <c r="B12" s="178" t="str">
        <f>Vendedor9!$B$2</f>
        <v>JUAN FELIX</v>
      </c>
      <c r="C12" s="180">
        <v>47650</v>
      </c>
      <c r="D12" s="30">
        <v>500</v>
      </c>
      <c r="E12" s="180">
        <v>22100</v>
      </c>
      <c r="F12" s="30">
        <v>150</v>
      </c>
      <c r="G12" s="180">
        <v>26050</v>
      </c>
      <c r="H12" s="30">
        <f t="shared" si="0"/>
        <v>0</v>
      </c>
      <c r="J12" s="42">
        <f t="shared" si="3"/>
        <v>95800</v>
      </c>
      <c r="K12" s="42">
        <f t="shared" si="2"/>
        <v>650</v>
      </c>
    </row>
    <row r="13" spans="1:11" x14ac:dyDescent="0.35">
      <c r="A13" s="47">
        <v>10</v>
      </c>
      <c r="B13" s="178" t="str">
        <f>Vendedor10!$B$2</f>
        <v>MARIALIZ</v>
      </c>
      <c r="C13" s="180">
        <v>33150</v>
      </c>
      <c r="D13" s="30">
        <f t="shared" si="0"/>
        <v>0</v>
      </c>
      <c r="E13" s="180">
        <v>20200</v>
      </c>
      <c r="F13" s="30">
        <f t="shared" si="0"/>
        <v>0</v>
      </c>
      <c r="G13" s="180">
        <v>45550</v>
      </c>
      <c r="H13" s="30">
        <f t="shared" si="0"/>
        <v>0</v>
      </c>
      <c r="J13" s="42">
        <f t="shared" si="3"/>
        <v>98900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36850</v>
      </c>
      <c r="D14" s="30">
        <v>300</v>
      </c>
      <c r="E14" s="180">
        <v>7900</v>
      </c>
      <c r="F14" s="30">
        <f t="shared" si="0"/>
        <v>0</v>
      </c>
      <c r="G14" s="180">
        <v>28300</v>
      </c>
      <c r="H14" s="30">
        <f t="shared" si="0"/>
        <v>0</v>
      </c>
      <c r="J14" s="42">
        <f t="shared" si="3"/>
        <v>73050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25000</v>
      </c>
      <c r="D16" s="30">
        <f t="shared" si="0"/>
        <v>0</v>
      </c>
      <c r="E16" s="180">
        <v>12000</v>
      </c>
      <c r="F16" s="30">
        <f t="shared" si="0"/>
        <v>0</v>
      </c>
      <c r="G16" s="180">
        <v>20400</v>
      </c>
      <c r="H16" s="30">
        <v>250</v>
      </c>
      <c r="J16" s="42">
        <f t="shared" si="3"/>
        <v>57400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101050+25950</f>
        <v>127000</v>
      </c>
      <c r="D17" s="30">
        <f>1000+300</f>
        <v>1300</v>
      </c>
      <c r="E17" s="180">
        <f>23750+76000</f>
        <v>99750</v>
      </c>
      <c r="F17" s="30">
        <f>400+0</f>
        <v>400</v>
      </c>
      <c r="G17" s="180">
        <f>162900+42250</f>
        <v>205150</v>
      </c>
      <c r="H17" s="30">
        <f>1200+400</f>
        <v>1600</v>
      </c>
      <c r="J17" s="42">
        <f t="shared" si="3"/>
        <v>431900</v>
      </c>
      <c r="K17" s="42">
        <f t="shared" si="2"/>
        <v>3300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39700+12700</f>
        <v>52400</v>
      </c>
      <c r="D18" s="30">
        <f>100+200</f>
        <v>300</v>
      </c>
      <c r="E18" s="180">
        <f>10700+35900</f>
        <v>46600</v>
      </c>
      <c r="F18" s="30">
        <v>200</v>
      </c>
      <c r="G18" s="180">
        <f>13000+52950</f>
        <v>65950</v>
      </c>
      <c r="H18" s="30">
        <f>200+300</f>
        <v>500</v>
      </c>
      <c r="J18" s="42">
        <f t="shared" si="3"/>
        <v>164950</v>
      </c>
      <c r="K18" s="42">
        <f t="shared" si="2"/>
        <v>1000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587650</v>
      </c>
      <c r="D32" s="44">
        <f t="shared" si="6"/>
        <v>4100</v>
      </c>
      <c r="E32" s="43">
        <f t="shared" si="6"/>
        <v>428800</v>
      </c>
      <c r="F32" s="44">
        <f t="shared" si="6"/>
        <v>950</v>
      </c>
      <c r="G32" s="43">
        <f t="shared" si="6"/>
        <v>820400</v>
      </c>
      <c r="H32" s="44">
        <f t="shared" si="6"/>
        <v>3750</v>
      </c>
      <c r="J32" s="95">
        <f>SUM(J4:J31)</f>
        <v>1836850</v>
      </c>
      <c r="K32" s="95"/>
    </row>
    <row r="33" spans="2:8" x14ac:dyDescent="0.35">
      <c r="D33" s="99">
        <f>+D32*85</f>
        <v>348500</v>
      </c>
      <c r="F33" s="99">
        <f>+F32*85</f>
        <v>80750</v>
      </c>
      <c r="H33" s="99">
        <f>+H32*85</f>
        <v>318750</v>
      </c>
    </row>
    <row r="34" spans="2:8" x14ac:dyDescent="0.35">
      <c r="B34" s="247" t="s">
        <v>149</v>
      </c>
      <c r="C34" s="43">
        <f t="shared" ref="C34:H34" si="7">+C4+C5+C6+C8+C13</f>
        <v>155500</v>
      </c>
      <c r="D34" s="43" t="e">
        <f t="shared" si="7"/>
        <v>#VALUE!</v>
      </c>
      <c r="E34" s="43">
        <f t="shared" si="7"/>
        <v>125250</v>
      </c>
      <c r="F34" s="43" t="e">
        <f t="shared" si="7"/>
        <v>#VALUE!</v>
      </c>
      <c r="G34" s="43">
        <f t="shared" si="7"/>
        <v>302350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221200</v>
      </c>
      <c r="D35" s="43" t="e">
        <f t="shared" ref="D35:H35" si="8">+D11+D14+D15+D17+D18</f>
        <v>#VALUE!</v>
      </c>
      <c r="E35" s="43">
        <f t="shared" si="8"/>
        <v>154250</v>
      </c>
      <c r="F35" s="43" t="e">
        <f t="shared" si="8"/>
        <v>#VALUE!</v>
      </c>
      <c r="G35" s="43">
        <f t="shared" si="8"/>
        <v>322600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185950</v>
      </c>
      <c r="D36" s="43" t="e">
        <f t="shared" ref="D36:H36" si="9">+D10+D12+D27</f>
        <v>#VALUE!</v>
      </c>
      <c r="E36" s="43">
        <f t="shared" si="9"/>
        <v>137300</v>
      </c>
      <c r="F36" s="43" t="e">
        <f t="shared" si="9"/>
        <v>#VALUE!</v>
      </c>
      <c r="G36" s="43">
        <f t="shared" si="9"/>
        <v>175050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5"/>
  <sheetViews>
    <sheetView showGridLines="0" zoomScale="90" zoomScaleNormal="90" workbookViewId="0">
      <selection activeCell="I9" sqref="I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70</v>
      </c>
      <c r="D2" s="268"/>
      <c r="E2" s="267" t="str">
        <f>IF(PREMIOS!$B9="","",PREMIOS!$B9)</f>
        <v>07</v>
      </c>
      <c r="F2" s="268"/>
      <c r="G2" s="267">
        <f>IF(PREMIOS!$B13="","",PREMIOS!$B13)</f>
        <v>30</v>
      </c>
      <c r="H2" s="268"/>
      <c r="I2" s="267">
        <f>IF(PREMIOS!$B17="","",PREMIOS!$B17)</f>
        <v>38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20200</v>
      </c>
      <c r="D4" s="78">
        <f t="shared" ref="D4:J27" si="0">IF(C4="","",0)</f>
        <v>0</v>
      </c>
      <c r="E4" s="206">
        <v>16700</v>
      </c>
      <c r="F4" s="78">
        <f t="shared" si="0"/>
        <v>0</v>
      </c>
      <c r="G4" s="189">
        <v>4100</v>
      </c>
      <c r="H4" s="78">
        <f t="shared" ref="H4:H27" si="1">IF(G4="","",0)</f>
        <v>0</v>
      </c>
      <c r="I4" s="189">
        <v>3000</v>
      </c>
      <c r="J4" s="78">
        <f t="shared" si="0"/>
        <v>0</v>
      </c>
      <c r="L4" s="42">
        <f t="shared" ref="L4:L8" si="2">+C4+E4+G4+I4</f>
        <v>44000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17500</v>
      </c>
      <c r="D5" s="30">
        <f t="shared" si="0"/>
        <v>0</v>
      </c>
      <c r="E5" s="207">
        <v>2800</v>
      </c>
      <c r="F5" s="30">
        <f t="shared" si="0"/>
        <v>0</v>
      </c>
      <c r="G5" s="180">
        <v>1000</v>
      </c>
      <c r="H5" s="30">
        <f t="shared" si="1"/>
        <v>0</v>
      </c>
      <c r="I5" s="180">
        <v>13750</v>
      </c>
      <c r="J5" s="30">
        <f t="shared" ref="J5:J27" si="3">IF(I5="","",0)</f>
        <v>0</v>
      </c>
      <c r="L5" s="42">
        <f t="shared" si="2"/>
        <v>35050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41750</v>
      </c>
      <c r="D8" s="30">
        <f t="shared" si="0"/>
        <v>0</v>
      </c>
      <c r="E8" s="207">
        <v>15800</v>
      </c>
      <c r="F8" s="30">
        <v>100</v>
      </c>
      <c r="G8" s="180">
        <v>28250</v>
      </c>
      <c r="H8" s="30">
        <v>950</v>
      </c>
      <c r="I8" s="180">
        <v>32250</v>
      </c>
      <c r="J8" s="30">
        <v>100</v>
      </c>
      <c r="L8" s="42">
        <f t="shared" si="2"/>
        <v>118050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39600+46650</f>
        <v>86250</v>
      </c>
      <c r="D10" s="30">
        <f>100+2500</f>
        <v>2600</v>
      </c>
      <c r="E10" s="207">
        <f>22750+49400</f>
        <v>72150</v>
      </c>
      <c r="F10" s="30">
        <f>100+100</f>
        <v>200</v>
      </c>
      <c r="G10" s="180">
        <f>22500+37450</f>
        <v>59950</v>
      </c>
      <c r="H10" s="30">
        <f>1000+100</f>
        <v>1100</v>
      </c>
      <c r="I10" s="180">
        <f>44050+60750</f>
        <v>104800</v>
      </c>
      <c r="J10" s="30">
        <f t="shared" si="0"/>
        <v>0</v>
      </c>
      <c r="L10" s="42">
        <f t="shared" si="5"/>
        <v>323150</v>
      </c>
      <c r="M10" s="42">
        <f t="shared" si="4"/>
        <v>3900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36850</v>
      </c>
      <c r="D12" s="30">
        <v>750</v>
      </c>
      <c r="E12" s="207">
        <v>28650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65500</v>
      </c>
      <c r="M12" s="42">
        <f t="shared" si="4"/>
        <v>1000</v>
      </c>
    </row>
    <row r="13" spans="1:13" x14ac:dyDescent="0.35">
      <c r="A13" s="47">
        <v>10</v>
      </c>
      <c r="B13" s="178" t="str">
        <f>Vendedor10!$B$2</f>
        <v>MARIALIZ</v>
      </c>
      <c r="C13" s="180">
        <v>19600</v>
      </c>
      <c r="D13" s="30">
        <v>400</v>
      </c>
      <c r="E13" s="207">
        <v>11450</v>
      </c>
      <c r="F13" s="30">
        <f t="shared" si="0"/>
        <v>0</v>
      </c>
      <c r="G13" s="180"/>
      <c r="H13" s="30" t="str">
        <f t="shared" si="0"/>
        <v/>
      </c>
      <c r="I13" s="180">
        <v>1100</v>
      </c>
      <c r="J13" s="30">
        <f t="shared" si="0"/>
        <v>0</v>
      </c>
      <c r="L13" s="42">
        <f t="shared" si="5"/>
        <v>32150</v>
      </c>
      <c r="M13" s="42">
        <f t="shared" si="4"/>
        <v>400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1000</v>
      </c>
      <c r="D16" s="30">
        <f t="shared" si="0"/>
        <v>0</v>
      </c>
      <c r="E16" s="207">
        <v>13300</v>
      </c>
      <c r="F16" s="30">
        <v>200</v>
      </c>
      <c r="G16" s="180">
        <v>2000</v>
      </c>
      <c r="H16" s="30">
        <v>250</v>
      </c>
      <c r="I16" s="180">
        <v>10250</v>
      </c>
      <c r="J16" s="30">
        <f t="shared" si="0"/>
        <v>0</v>
      </c>
      <c r="L16" s="42">
        <f t="shared" si="5"/>
        <v>26550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89450</v>
      </c>
      <c r="D17" s="30">
        <v>500</v>
      </c>
      <c r="E17" s="207">
        <v>82000</v>
      </c>
      <c r="F17" s="30">
        <v>2150</v>
      </c>
      <c r="G17" s="180">
        <v>51500</v>
      </c>
      <c r="H17" s="30">
        <v>900</v>
      </c>
      <c r="I17" s="180">
        <v>169400</v>
      </c>
      <c r="J17" s="30">
        <v>1600</v>
      </c>
      <c r="L17" s="42">
        <f t="shared" si="5"/>
        <v>392350</v>
      </c>
      <c r="M17" s="42">
        <f t="shared" si="4"/>
        <v>5150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58750</v>
      </c>
      <c r="D18" s="30">
        <f t="shared" si="0"/>
        <v>0</v>
      </c>
      <c r="E18" s="207">
        <v>25200</v>
      </c>
      <c r="F18" s="30">
        <v>500</v>
      </c>
      <c r="G18" s="180">
        <v>25900</v>
      </c>
      <c r="H18" s="30">
        <f t="shared" si="0"/>
        <v>0</v>
      </c>
      <c r="I18" s="180">
        <v>15000</v>
      </c>
      <c r="J18" s="30">
        <f t="shared" si="3"/>
        <v>0</v>
      </c>
      <c r="L18" s="42">
        <f t="shared" si="5"/>
        <v>124850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>
        <v>-44050</v>
      </c>
      <c r="J27" s="50">
        <f t="shared" si="3"/>
        <v>0</v>
      </c>
      <c r="L27" s="42">
        <f t="shared" si="5"/>
        <v>-44050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371350</v>
      </c>
      <c r="D32" s="44">
        <f t="shared" si="7"/>
        <v>4250</v>
      </c>
      <c r="E32" s="43">
        <f t="shared" si="7"/>
        <v>268050</v>
      </c>
      <c r="F32" s="44">
        <f t="shared" si="7"/>
        <v>3400</v>
      </c>
      <c r="G32" s="43">
        <f t="shared" si="7"/>
        <v>172700</v>
      </c>
      <c r="H32" s="44">
        <f t="shared" si="7"/>
        <v>3200</v>
      </c>
      <c r="I32" s="43">
        <f t="shared" si="7"/>
        <v>305500</v>
      </c>
      <c r="J32" s="44">
        <f t="shared" si="7"/>
        <v>1700</v>
      </c>
      <c r="L32" s="95">
        <f>SUM(L9:L31)</f>
        <v>920500</v>
      </c>
      <c r="M32" s="95">
        <f>SUM(M9:M31)</f>
        <v>10450</v>
      </c>
    </row>
    <row r="34" spans="9:9" x14ac:dyDescent="0.35">
      <c r="I34">
        <f>60350+169400+15000+44050+60750</f>
        <v>349550</v>
      </c>
    </row>
    <row r="35" spans="9:9" x14ac:dyDescent="0.35">
      <c r="I35">
        <f>+I34-44050</f>
        <v>305500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02 Blanca</v>
      </c>
      <c r="D2" s="268"/>
      <c r="E2" s="267" t="str">
        <f>IF(E33=0,"",CONCATENATE(PREMIOS!$B11," ",PREMIOS!$B12))</f>
        <v>46 Blanca</v>
      </c>
      <c r="F2" s="268"/>
      <c r="G2" s="267" t="str">
        <f>IF(G33=0,"",CONCATENATE(PREMIOS!$B15," ",PREMIOS!$B16))</f>
        <v>02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4050+5050+5550+600+1000+4100</f>
        <v>20350</v>
      </c>
      <c r="D10" s="30">
        <f t="shared" si="0"/>
        <v>0</v>
      </c>
      <c r="E10" s="180">
        <f>17400+6200</f>
        <v>23600</v>
      </c>
      <c r="F10" s="30">
        <v>200</v>
      </c>
      <c r="G10" s="180">
        <f>17300+9150</f>
        <v>26450</v>
      </c>
      <c r="H10" s="30">
        <f t="shared" si="0"/>
        <v>0</v>
      </c>
      <c r="J10" s="42">
        <f t="shared" si="3"/>
        <v>70400</v>
      </c>
      <c r="K10" s="42">
        <f t="shared" si="4"/>
        <v>200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3500</v>
      </c>
      <c r="D12" s="30">
        <v>250</v>
      </c>
      <c r="E12" s="180"/>
      <c r="F12" s="30" t="str">
        <f t="shared" si="1"/>
        <v/>
      </c>
      <c r="G12" s="180">
        <v>3000</v>
      </c>
      <c r="H12" s="30">
        <f t="shared" si="0"/>
        <v>0</v>
      </c>
      <c r="J12" s="42">
        <f t="shared" si="3"/>
        <v>6500</v>
      </c>
      <c r="K12" s="42">
        <f t="shared" si="4"/>
        <v>250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1400</v>
      </c>
      <c r="H16" s="195">
        <f t="shared" si="0"/>
        <v>0</v>
      </c>
      <c r="J16" s="42">
        <f t="shared" si="3"/>
        <v>2400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19550</v>
      </c>
      <c r="D17" s="30">
        <v>200</v>
      </c>
      <c r="E17" s="180">
        <v>16450</v>
      </c>
      <c r="F17" s="30">
        <v>300</v>
      </c>
      <c r="G17" s="180">
        <v>35100</v>
      </c>
      <c r="H17" s="30">
        <v>200</v>
      </c>
      <c r="J17" s="42">
        <f t="shared" si="3"/>
        <v>71100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11700</v>
      </c>
      <c r="D18" s="30">
        <v>200</v>
      </c>
      <c r="E18" s="180">
        <v>10500</v>
      </c>
      <c r="F18" s="30">
        <f t="shared" si="0"/>
        <v>0</v>
      </c>
      <c r="G18" s="180">
        <v>10600</v>
      </c>
      <c r="H18" s="30">
        <v>200</v>
      </c>
      <c r="J18" s="42">
        <f t="shared" si="3"/>
        <v>32800</v>
      </c>
      <c r="K18" s="42">
        <f t="shared" si="4"/>
        <v>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56100</v>
      </c>
      <c r="D33" s="44">
        <f t="shared" si="7"/>
        <v>650</v>
      </c>
      <c r="E33" s="43">
        <f t="shared" si="7"/>
        <v>50550</v>
      </c>
      <c r="F33" s="44">
        <f t="shared" si="7"/>
        <v>500</v>
      </c>
      <c r="G33" s="43">
        <f t="shared" si="7"/>
        <v>76550</v>
      </c>
      <c r="H33" s="44">
        <f t="shared" si="7"/>
        <v>400</v>
      </c>
      <c r="J33" s="45">
        <f>SUM(J4:J32)</f>
        <v>183200</v>
      </c>
      <c r="K33" s="95">
        <f>SUM(K4:K32)</f>
        <v>1550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C27" sqref="C2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47</v>
      </c>
      <c r="D2" s="268"/>
      <c r="E2" s="267">
        <f>IF(PREMIOS!$C19="","",PREMIOS!$C19)</f>
        <v>58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3400</v>
      </c>
      <c r="D4" s="78">
        <f t="shared" ref="D4:F27" si="0">IF(C4="","",0)</f>
        <v>0</v>
      </c>
      <c r="E4" s="189">
        <v>2200</v>
      </c>
      <c r="F4" s="78">
        <v>250</v>
      </c>
      <c r="H4" s="42">
        <f>+C4+E4</f>
        <v>5600</v>
      </c>
      <c r="I4" s="42">
        <f>IF(D4="",0,IF(F4="",D4,D4+F4))</f>
        <v>250</v>
      </c>
    </row>
    <row r="5" spans="1:9" x14ac:dyDescent="0.35">
      <c r="A5" s="47">
        <v>2</v>
      </c>
      <c r="B5" s="178" t="str">
        <f>Vendedor2!$B$2</f>
        <v>PUESTO 2</v>
      </c>
      <c r="C5" s="180">
        <v>3200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20450</v>
      </c>
      <c r="D8" s="30">
        <f t="shared" si="0"/>
        <v>0</v>
      </c>
      <c r="E8" s="194">
        <v>5650</v>
      </c>
      <c r="F8" s="195">
        <v>200</v>
      </c>
      <c r="H8" s="42">
        <f t="shared" si="2"/>
        <v>26100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8950+13250</f>
        <v>22200</v>
      </c>
      <c r="D10" s="30">
        <f t="shared" si="0"/>
        <v>0</v>
      </c>
      <c r="E10" s="180">
        <v>20150</v>
      </c>
      <c r="F10" s="195">
        <f t="shared" si="1"/>
        <v>0</v>
      </c>
      <c r="H10" s="42">
        <f t="shared" si="2"/>
        <v>42350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38750</v>
      </c>
      <c r="D12" s="30">
        <f t="shared" si="0"/>
        <v>0</v>
      </c>
      <c r="E12" s="194">
        <v>3400</v>
      </c>
      <c r="F12" s="30">
        <f t="shared" si="0"/>
        <v>0</v>
      </c>
      <c r="H12" s="42">
        <f t="shared" si="2"/>
        <v>42150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9000</v>
      </c>
      <c r="D16" s="195">
        <f t="shared" si="0"/>
        <v>0</v>
      </c>
      <c r="E16" s="194">
        <v>9700</v>
      </c>
      <c r="F16" s="195">
        <f t="shared" si="0"/>
        <v>0</v>
      </c>
      <c r="H16" s="42">
        <f t="shared" si="2"/>
        <v>18700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72350</v>
      </c>
      <c r="D17" s="195">
        <f t="shared" si="0"/>
        <v>0</v>
      </c>
      <c r="E17" s="180">
        <v>34700</v>
      </c>
      <c r="F17" s="30">
        <f t="shared" si="0"/>
        <v>0</v>
      </c>
      <c r="H17" s="42">
        <f t="shared" si="2"/>
        <v>107050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53400</v>
      </c>
      <c r="D18" s="195">
        <f t="shared" si="0"/>
        <v>0</v>
      </c>
      <c r="E18" s="180">
        <v>36800</v>
      </c>
      <c r="F18" s="30">
        <v>1600</v>
      </c>
      <c r="H18" s="42">
        <f t="shared" si="2"/>
        <v>90200</v>
      </c>
      <c r="I18" s="42">
        <f t="shared" si="3"/>
        <v>1600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222750</v>
      </c>
      <c r="D33" s="44">
        <f>SUM(D4:D32)</f>
        <v>0</v>
      </c>
      <c r="E33" s="43">
        <f>SUM(E4:E32)</f>
        <v>112600</v>
      </c>
      <c r="F33" s="44">
        <f>SUM(F4:F32)</f>
        <v>2050</v>
      </c>
      <c r="H33" s="95">
        <f>SUM(H4:H32)</f>
        <v>335350</v>
      </c>
      <c r="I33" s="95">
        <f>SUM(I4:I32)</f>
        <v>2050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96</v>
      </c>
      <c r="D2" s="268"/>
      <c r="E2" s="267">
        <f>IF(PREMIOS!$C20="","",PREMIOS!$C20)</f>
        <v>55</v>
      </c>
      <c r="F2" s="268"/>
      <c r="G2" s="267">
        <f>IF(PREMIOS!$D20="","",PREMIOS!$D20)</f>
        <v>58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8750</v>
      </c>
      <c r="D10" s="195">
        <f t="shared" si="0"/>
        <v>0</v>
      </c>
      <c r="E10" s="180">
        <v>6900</v>
      </c>
      <c r="F10" s="30">
        <v>50</v>
      </c>
      <c r="G10" s="180">
        <v>1900</v>
      </c>
      <c r="H10" s="195">
        <f t="shared" si="0"/>
        <v>0</v>
      </c>
      <c r="J10" s="42">
        <f t="shared" si="3"/>
        <v>17550</v>
      </c>
      <c r="K10" s="42">
        <f t="shared" si="4"/>
        <v>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31400</v>
      </c>
      <c r="D17" s="195">
        <f t="shared" si="0"/>
        <v>0</v>
      </c>
      <c r="E17" s="194">
        <v>5750</v>
      </c>
      <c r="F17" s="195">
        <f t="shared" si="0"/>
        <v>0</v>
      </c>
      <c r="G17" s="194">
        <v>16950</v>
      </c>
      <c r="H17" s="195">
        <v>100</v>
      </c>
      <c r="J17" s="42">
        <f t="shared" si="3"/>
        <v>54100</v>
      </c>
      <c r="K17" s="42">
        <f t="shared" si="4"/>
        <v>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25900</v>
      </c>
      <c r="D18" s="195">
        <v>300</v>
      </c>
      <c r="E18" s="180">
        <v>11700</v>
      </c>
      <c r="F18" s="30">
        <f t="shared" si="1"/>
        <v>0</v>
      </c>
      <c r="G18" s="180">
        <v>2000</v>
      </c>
      <c r="H18" s="30">
        <v>500</v>
      </c>
      <c r="J18" s="42">
        <f t="shared" si="3"/>
        <v>39600</v>
      </c>
      <c r="K18" s="42">
        <f t="shared" si="4"/>
        <v>800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66050</v>
      </c>
      <c r="D33" s="44">
        <f t="shared" si="6"/>
        <v>300</v>
      </c>
      <c r="E33" s="43">
        <f t="shared" si="6"/>
        <v>24350</v>
      </c>
      <c r="F33" s="44">
        <f t="shared" si="6"/>
        <v>50</v>
      </c>
      <c r="G33" s="43">
        <f t="shared" si="6"/>
        <v>20850</v>
      </c>
      <c r="H33" s="44">
        <f t="shared" si="6"/>
        <v>600</v>
      </c>
      <c r="J33" s="45">
        <f>SUM(J4:J32)</f>
        <v>111250</v>
      </c>
      <c r="K33" s="95">
        <f>SUM(K4:K32)</f>
        <v>950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46</v>
      </c>
      <c r="D2" s="268"/>
      <c r="E2" s="267">
        <f>IF(PREMIOS!$C21="","",PREMIOS!$C21)</f>
        <v>59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12500</v>
      </c>
      <c r="F10" s="30">
        <f t="shared" si="0"/>
        <v>0</v>
      </c>
      <c r="H10" s="42">
        <f t="shared" si="2"/>
        <v>12500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12500</v>
      </c>
      <c r="F33" s="44">
        <f>SUM(F4:F32)</f>
        <v>0</v>
      </c>
      <c r="H33" s="45">
        <f>SUM(H4:H32)</f>
        <v>12500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2026-05-06T16:51:54Z</dcterms:modified>
  <dc:language>es-CR</dc:language>
</cp:coreProperties>
</file>
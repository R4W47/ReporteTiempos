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67" documentId="13_ncr:1_{EB1C27A7-1EBD-4619-B18B-0BCA469E8746}" xr6:coauthVersionLast="47" xr6:coauthVersionMax="47" xr10:uidLastSave="{12836B4C-A2BD-4DA8-8C8D-62E8A2E4007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69" l="1"/>
  <c r="K12" i="69"/>
  <c r="B2" i="15" l="1"/>
  <c r="D18" i="65" l="1"/>
  <c r="D12" i="65"/>
  <c r="D11" i="65"/>
  <c r="D10" i="65"/>
  <c r="D18" i="61"/>
  <c r="D17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B2" i="16"/>
  <c r="F16" i="19"/>
  <c r="F15" i="19"/>
  <c r="F14" i="19"/>
  <c r="F12" i="19"/>
  <c r="F11" i="19"/>
  <c r="F10" i="19"/>
  <c r="F8" i="19"/>
  <c r="F7" i="19"/>
  <c r="F6" i="19"/>
  <c r="F17" i="8"/>
  <c r="F16" i="8"/>
  <c r="F15" i="8"/>
  <c r="F14" i="8"/>
  <c r="F13" i="8"/>
  <c r="F12" i="8"/>
  <c r="F11" i="8"/>
  <c r="F10" i="8"/>
  <c r="F8" i="8"/>
  <c r="F7" i="8"/>
  <c r="F6" i="8"/>
  <c r="F15" i="14"/>
  <c r="F11" i="14"/>
  <c r="F7" i="14"/>
  <c r="F15" i="21"/>
  <c r="F11" i="21"/>
  <c r="F7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H36" i="60" l="1"/>
  <c r="G36" i="60"/>
  <c r="F36" i="60"/>
  <c r="E36" i="60"/>
  <c r="D36" i="60"/>
  <c r="H35" i="60"/>
  <c r="G35" i="60"/>
  <c r="F35" i="60"/>
  <c r="E35" i="60"/>
  <c r="D35" i="60"/>
  <c r="C36" i="60"/>
  <c r="C35" i="60"/>
  <c r="H34" i="60"/>
  <c r="G34" i="60"/>
  <c r="F34" i="60"/>
  <c r="E34" i="60"/>
  <c r="D34" i="60"/>
  <c r="C34" i="60"/>
  <c r="L6" i="23"/>
  <c r="K6" i="23"/>
  <c r="J6" i="23"/>
  <c r="L4" i="23"/>
  <c r="K4" i="23"/>
  <c r="J4" i="23"/>
  <c r="F26" i="19"/>
  <c r="L10" i="19" s="1"/>
  <c r="F25" i="19"/>
  <c r="F24" i="19"/>
  <c r="F26" i="8"/>
  <c r="F25" i="8"/>
  <c r="F24" i="8"/>
  <c r="F23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8" i="65"/>
  <c r="F18" i="62"/>
  <c r="F10" i="62"/>
  <c r="D5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E21" i="29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G21" i="29" s="1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1" l="1"/>
  <c r="M27" i="71" s="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E13" i="19"/>
  <c r="F13" i="19" s="1"/>
  <c r="E12" i="19"/>
  <c r="E11" i="19"/>
  <c r="E9" i="19"/>
  <c r="F9" i="19" s="1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E16" i="8"/>
  <c r="E15" i="8"/>
  <c r="E13" i="8"/>
  <c r="E12" i="8"/>
  <c r="F17" i="52" s="1"/>
  <c r="E11" i="8"/>
  <c r="E9" i="8"/>
  <c r="F9" i="8" s="1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J5" i="19" l="1"/>
  <c r="M21" i="52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32" i="71" l="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G24" i="15" s="1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<sst xmlns="http://schemas.openxmlformats.org/spreadsheetml/2006/main" count="1294" uniqueCount="160">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</sst>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0</v>
      </c>
      <c r="C3" s="9">
        <f>+HojaTICA!K4+HojaNICA!M4+HojaREVENTADO!K4+HojaPrimera!I4+HojaHonduras!K4+HojaDominicana!I4+HojaPANA!G4</f>
        <v>0</v>
      </c>
      <c r="D3" s="9">
        <f>+HojaTICA!N4+HojaNICA!P4+HojaREVENTADO!O4+HojaPrimera!L4+HojaHonduras!N4+HojaDominicana!L4+HojaPANA!J4</f>
        <v>0</v>
      </c>
      <c r="F3" s="10">
        <f t="shared" ref="F3:F27" si="0">+B3-C3-D3</f>
        <v>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0</v>
      </c>
      <c r="C4" s="9">
        <f>+HojaTICA!K5+HojaNICA!M5+HojaREVENTADO!K5+HojaPrimera!I5+HojaHonduras!K5+HojaDominicana!I5+HojaPANA!G5</f>
        <v>0</v>
      </c>
      <c r="D4" s="9">
        <f>+HojaTICA!N5+HojaNICA!P5+HojaREVENTADO!O5+HojaPrimera!L5+HojaHonduras!N5+HojaDominicana!L5+HojaPANA!J5</f>
        <v>0</v>
      </c>
      <c r="F4" s="14">
        <f t="shared" si="0"/>
        <v>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0</v>
      </c>
      <c r="C9" s="9">
        <f>+HojaTICA!K10+HojaNICA!M10+HojaREVENTADO!K10+HojaPrimera!I10+HojaHonduras!K10+HojaDominicana!I10+HojaPANA!G10</f>
        <v>0</v>
      </c>
      <c r="D9" s="9">
        <f>+HojaTICA!N10+HojaNICA!P10+HojaREVENTADO!O10+HojaPrimera!L10+HojaHonduras!N10+HojaDominicana!L10+HojaPANA!J10</f>
        <v>0</v>
      </c>
      <c r="F9" s="14">
        <f t="shared" si="0"/>
        <v>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0</v>
      </c>
      <c r="C11" s="9">
        <f>+HojaTICA!K12+HojaNICA!M12+HojaREVENTADO!K12+HojaPrimera!I12+HojaHonduras!K12+HojaDominicana!I12+HojaPANA!G12</f>
        <v>0</v>
      </c>
      <c r="D11" s="9">
        <f>+HojaTICA!N12+HojaNICA!P12+HojaREVENTADO!O12+HojaPrimera!L12+HojaHonduras!N12+HojaDominicana!L12+HojaPANA!J12</f>
        <v>0</v>
      </c>
      <c r="F11" s="14">
        <f t="shared" si="0"/>
        <v>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1000</v>
      </c>
      <c r="C15" s="9">
        <f>+HojaTICA!K16+HojaNICA!M16+HojaREVENTADO!K16+HojaPrimera!I16+HojaHonduras!K16+HojaDominicana!I16+HojaPANA!G16</f>
        <v>100</v>
      </c>
      <c r="D15" s="9">
        <f>+HojaTICA!N16+HojaNICA!P16+HojaREVENTADO!O16+HojaPrimera!L16+HojaHonduras!N16+HojaDominicana!L16+HojaPANA!J16</f>
        <v>0</v>
      </c>
      <c r="F15" s="14">
        <f t="shared" si="0"/>
        <v>900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409700</v>
      </c>
      <c r="C16" s="9">
        <f>+HojaTICA!K17+HojaNICA!M17+HojaREVENTADO!K17+HojaPrimera!I17+HojaHonduras!K17+HojaDominicana!I17+HojaPANA!G17</f>
        <v>49150</v>
      </c>
      <c r="D16" s="9">
        <f>+HojaTICA!N17+HojaNICA!P17+HojaREVENTADO!O17+HojaPrimera!L17+HojaHonduras!N17+HojaDominicana!L17+HojaPANA!J17</f>
        <v>204000</v>
      </c>
      <c r="F16" s="14">
        <f t="shared" si="0"/>
        <v>156550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271500</v>
      </c>
      <c r="C17" s="9">
        <f>+HojaTICA!K18+HojaNICA!M18+HojaREVENTADO!K18+HojaPrimera!I18+HojaHonduras!K18+HojaDominicana!I18+HojaPANA!G18</f>
        <v>32550</v>
      </c>
      <c r="D17" s="9">
        <f>+HojaTICA!N18+HojaNICA!P18+HojaREVENTADO!O18+HojaPrimera!L18+HojaHonduras!N18+HojaDominicana!L18+HojaPANA!J18</f>
        <v>127500</v>
      </c>
      <c r="F17" s="14">
        <f t="shared" si="0"/>
        <v>111450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-54600</v>
      </c>
      <c r="C26" s="9">
        <f>+HojaTICA!K27+HojaNICA!M27+HojaREVENTADO!K27+HojaPrimera!I27+HojaHonduras!K27+HojaDominicana!I27+HojaPANA!G27</f>
        <v>-6550</v>
      </c>
      <c r="D26" s="9">
        <f>+HojaTICA!N27+HojaNICA!P27+HojaREVENTADO!O27+HojaPrimera!L27+HojaHonduras!N27+HojaDominicana!L27+HojaPANA!J27</f>
        <v>-21250</v>
      </c>
      <c r="F26" s="14">
        <f t="shared" si="0"/>
        <v>-26800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627600</v>
      </c>
      <c r="C28" s="17">
        <f t="shared" si="1"/>
        <v>75250</v>
      </c>
      <c r="D28" s="18">
        <f t="shared" si="1"/>
        <v>310250</v>
      </c>
      <c r="F28" s="20">
        <f>SUM(F3:F27)</f>
        <v>242100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92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/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159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/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78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43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43</v>
      </c>
      <c r="C19" s="132">
        <v>55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80</v>
      </c>
      <c r="C20" s="163">
        <v>95</v>
      </c>
      <c r="D20" s="166" t="s">
        <v>159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/>
      <c r="C21" s="164"/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/>
      </c>
      <c r="D2" s="268"/>
      <c r="E2" s="267" t="str">
        <f>DigitaTICA!E2</f>
        <v/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0</v>
      </c>
      <c r="D4" s="30">
        <f>IF(Vendedor1!$E$7="",0,Vendedor1!$E$7)</f>
        <v>0</v>
      </c>
      <c r="E4" s="180">
        <f>IF(Vendedor1!$C$11="",0,Vendedor1!$C$11)</f>
        <v>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0</v>
      </c>
      <c r="D5" s="30">
        <f>IF(Vendedor2!$E$7="",0,Vendedor2!$E$7)</f>
        <v>0</v>
      </c>
      <c r="E5" s="180">
        <f>IF(Vendedor2!$C$11="",0,Vendedor2!$C$11)</f>
        <v>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0</v>
      </c>
      <c r="D10" s="30">
        <f>IF(Vendedor7!$E$7="",0,Vendedor7!$E$7)</f>
        <v>0</v>
      </c>
      <c r="E10" s="180">
        <f>IF(Vendedor7!$C$11="",0,Vendedor7!$C$11)</f>
        <v>0</v>
      </c>
      <c r="F10" s="30">
        <f>IF(Vendedor7!$E$11="",0,Vendedor7!$E$11)</f>
        <v>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0</v>
      </c>
      <c r="D12" s="30">
        <f>IF(Vendedor9!$E$7="",0,Vendedor9!$E$7)</f>
        <v>0</v>
      </c>
      <c r="E12" s="180">
        <f>IF(Vendedor9!$C$11="",0,Vendedor9!$C$11)</f>
        <v>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5">
        <f>SUM(J4:J31)</f>
        <v>0</v>
      </c>
      <c r="K32" s="45">
        <f>SUM(K7:K31)</f>
        <v>0</v>
      </c>
      <c r="L32" s="95">
        <f>SUM(L4:L31)</f>
        <v>0</v>
      </c>
      <c r="M32" s="95">
        <f>SUM(M4:M31)</f>
        <v>0</v>
      </c>
      <c r="N32" s="95">
        <f>SUM(N4:N31)</f>
        <v>0</v>
      </c>
      <c r="P32" s="79">
        <f>SUM(P4:P31)</f>
        <v>0</v>
      </c>
    </row>
    <row r="33" spans="3:13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1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0"/>
      <c r="H37" s="100"/>
    </row>
    <row r="38" spans="3:13" ht="15" thickBot="1" x14ac:dyDescent="0.4">
      <c r="C38" s="47" t="s">
        <v>30</v>
      </c>
      <c r="D38" s="30">
        <f>M32</f>
        <v>0</v>
      </c>
      <c r="G38" s="100"/>
      <c r="H38" s="100"/>
    </row>
    <row r="39" spans="3:13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92</v>
      </c>
      <c r="D2" s="268"/>
      <c r="E2" s="267" t="str">
        <f>DigitaNICA!E2</f>
        <v>06</v>
      </c>
      <c r="F2" s="268"/>
      <c r="G2" s="267">
        <f>DigitaNICA!G2</f>
        <v>78</v>
      </c>
      <c r="H2" s="268"/>
      <c r="I2" s="267">
        <f>DigitaNICA!I2</f>
        <v>43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0</v>
      </c>
      <c r="D4" s="78">
        <f>IF(Vendedor1!$E$5="",0,Vendedor1!$E$5)</f>
        <v>0</v>
      </c>
      <c r="E4" s="189">
        <f>IF(Vendedor1!$C$9="",0,Vendedor1!$C$9)</f>
        <v>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0</v>
      </c>
      <c r="M4" s="41">
        <f>MROUND(L4*Vendedor1!J$10,50)</f>
        <v>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0</v>
      </c>
      <c r="D5" s="30">
        <f>IF(Vendedor2!$E$5="",0,Vendedor2!$E$5)</f>
        <v>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0</v>
      </c>
      <c r="M5" s="41">
        <f>MROUND(L5*Vendedor2!J$10,50)</f>
        <v>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0</v>
      </c>
      <c r="D10" s="30">
        <f>IF(Vendedor7!$E$5="",0,Vendedor7!$E$5)</f>
        <v>0</v>
      </c>
      <c r="E10" s="180">
        <f>IF(Vendedor7!$C$9="",0,Vendedor7!$C$9)</f>
        <v>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0</v>
      </c>
      <c r="M10" s="41">
        <f>MROUND(L10*Vendedor7!J$15,50)</f>
        <v>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0</v>
      </c>
      <c r="D12" s="30">
        <f>IF(Vendedor9!$E$5="",0,Vendedor9!$E$5)</f>
        <v>0</v>
      </c>
      <c r="E12" s="180">
        <f>IF(Vendedor9!$C$9="",0,Vendedor9!$C$9)</f>
        <v>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0</v>
      </c>
      <c r="M12" s="41">
        <f>MROUND(L12*Vendedor9!J$12,50)</f>
        <v>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1000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1000</v>
      </c>
      <c r="M16" s="41">
        <f>MROUND(L16*Vendedor13!J$12,50)</f>
        <v>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900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114950</v>
      </c>
      <c r="D17" s="30">
        <f>IF(Vendedor14!$E$5="",0,Vendedor14!$E$5)</f>
        <v>0</v>
      </c>
      <c r="E17" s="180">
        <f>IF(Vendedor14!$C$9="",0,Vendedor14!$C$9)</f>
        <v>103900</v>
      </c>
      <c r="F17" s="30">
        <f>IF(Vendedor14!$E$9="",0,Vendedor14!$E$9)</f>
        <v>1550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218850</v>
      </c>
      <c r="M17" s="41">
        <f>MROUND(L17*Vendedor14!J$16,50)</f>
        <v>26250</v>
      </c>
      <c r="N17" s="42">
        <f t="shared" si="9"/>
        <v>1550</v>
      </c>
      <c r="O17" s="41">
        <f t="shared" si="3"/>
        <v>131750</v>
      </c>
      <c r="P17" s="42">
        <f>Vendedor14!$F$5+Vendedor14!$F$9+Vendedor14!$F$13+Vendedor14!$F$17</f>
        <v>131750</v>
      </c>
      <c r="R17" s="41">
        <f t="shared" si="8"/>
        <v>60850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83400</v>
      </c>
      <c r="D18" s="30">
        <f>IF(Vendedor15!$E$5="",0,Vendedor15!$E$5)</f>
        <v>0</v>
      </c>
      <c r="E18" s="180">
        <f>IF(Vendedor15!$C$9="",0,Vendedor15!$C$9)</f>
        <v>30550</v>
      </c>
      <c r="F18" s="30">
        <f>IF(Vendedor15!$E$9="",0,Vendedor15!$E$9)</f>
        <v>200</v>
      </c>
      <c r="G18" s="180">
        <f>IF(Vendedor15!$C$13="",0,Vendedor15!$C$13)</f>
        <v>14250</v>
      </c>
      <c r="H18" s="30">
        <f>IF(Vendedor15!$E$13="",0,Vendedor15!$E$13)</f>
        <v>600</v>
      </c>
      <c r="I18" s="180">
        <f>IF(Vendedor15!$C$17="",0,Vendedor15!$C$17)</f>
        <v>7250</v>
      </c>
      <c r="J18" s="30">
        <f>IF(Vendedor15!$E$17="",0,Vendedor15!$E$17)</f>
        <v>0</v>
      </c>
      <c r="L18" s="42">
        <f t="shared" ref="L18:L27" si="10">C18+E18+G18+I18</f>
        <v>135450</v>
      </c>
      <c r="M18" s="41">
        <f>MROUND(L18*Vendedor15!J$16,50)</f>
        <v>16250</v>
      </c>
      <c r="N18" s="42">
        <f t="shared" si="9"/>
        <v>800</v>
      </c>
      <c r="O18" s="41">
        <f t="shared" si="3"/>
        <v>68000</v>
      </c>
      <c r="P18" s="42">
        <f>Vendedor15!$F$5+Vendedor15!$F$9+Vendedor15!$F$13+Vendedor15!$F$17</f>
        <v>68000</v>
      </c>
      <c r="R18" s="41">
        <f t="shared" si="8"/>
        <v>51200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-1000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-1000</v>
      </c>
      <c r="M27" s="41">
        <f>IF((L27*Vendedor24!J$10)&lt;0,MROUND(L27*Vendedor24!J$10,-50),MROUND(L27*Vendedor24!J$10,50))</f>
        <v>-100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-900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198350</v>
      </c>
      <c r="D32" s="44">
        <f t="shared" si="14"/>
        <v>0</v>
      </c>
      <c r="E32" s="43">
        <f t="shared" si="14"/>
        <v>134450</v>
      </c>
      <c r="F32" s="44">
        <f t="shared" si="14"/>
        <v>1750</v>
      </c>
      <c r="G32" s="43">
        <f t="shared" si="14"/>
        <v>14250</v>
      </c>
      <c r="H32" s="44">
        <f t="shared" si="14"/>
        <v>600</v>
      </c>
      <c r="I32" s="43">
        <f t="shared" si="14"/>
        <v>7250</v>
      </c>
      <c r="J32" s="44">
        <f t="shared" si="14"/>
        <v>0</v>
      </c>
      <c r="L32" s="45">
        <f>SUM(L4:L31)</f>
        <v>354300</v>
      </c>
      <c r="M32" s="45">
        <f>SUM(M7:M31)</f>
        <v>42500</v>
      </c>
      <c r="N32" s="95">
        <f>SUM(N4:N31)</f>
        <v>2350</v>
      </c>
      <c r="O32" s="46">
        <f>SUM(O4:O31)</f>
        <v>199750</v>
      </c>
      <c r="P32" s="140">
        <f>SUM(P4:P31)</f>
        <v>199750</v>
      </c>
      <c r="R32" s="79">
        <f>SUM(R4:R31)</f>
        <v>112050</v>
      </c>
    </row>
    <row r="33" spans="3:15" x14ac:dyDescent="0.35">
      <c r="D33" s="120">
        <f>+D32*85</f>
        <v>0</v>
      </c>
      <c r="F33" s="120">
        <f>+F32*85</f>
        <v>148750</v>
      </c>
      <c r="H33" s="120">
        <f>+H32*85</f>
        <v>51000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354300</v>
      </c>
      <c r="E36" s="43">
        <f>+D36-L4-L5-L6</f>
        <v>354300</v>
      </c>
    </row>
    <row r="37" spans="3:15" x14ac:dyDescent="0.35">
      <c r="C37" s="47" t="s">
        <v>33</v>
      </c>
      <c r="D37" s="48">
        <f>D36*13%</f>
        <v>46059</v>
      </c>
      <c r="E37">
        <f>+D37-M4-M5-M6</f>
        <v>46059</v>
      </c>
    </row>
    <row r="38" spans="3:15" x14ac:dyDescent="0.35">
      <c r="C38" s="47" t="s">
        <v>30</v>
      </c>
      <c r="D38" s="30">
        <f>SUM(O4:O27)</f>
        <v>199750</v>
      </c>
      <c r="G38" s="100"/>
    </row>
    <row r="39" spans="3:15" ht="15" thickBot="1" x14ac:dyDescent="0.4">
      <c r="C39" s="49" t="s">
        <v>4</v>
      </c>
      <c r="D39" s="80">
        <f>+D36-D37-D38</f>
        <v>108491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108491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0</v>
      </c>
      <c r="D10" s="30">
        <f>IF(Vendedor7!$E$8="",0,Vendedor7!$E$8)</f>
        <v>0</v>
      </c>
      <c r="E10" s="180">
        <f>IF(Vendedor7!$C$12="",0,Vendedor7!$C$12)</f>
        <v>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5"/>
      <c r="G37" s="275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43</v>
      </c>
      <c r="D2" s="268"/>
      <c r="E2" s="267">
        <f>DigitaPRIMERA!E2</f>
        <v>55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0</v>
      </c>
      <c r="I4" s="41">
        <f>MROUND(H4*Vendedor1!J$9,50)</f>
        <v>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0</v>
      </c>
      <c r="I12" s="148">
        <f>MROUND(H12*Vendedor9!J$11,50)</f>
        <v>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80150</v>
      </c>
      <c r="D17" s="30">
        <f>IF(Vendedor14!$E$19="",0,Vendedor14!$E$19)</f>
        <v>150</v>
      </c>
      <c r="E17" s="180">
        <f>IF(Vendedor14!$C$20="",0,Vendedor14!$C$20)</f>
        <v>58950</v>
      </c>
      <c r="F17" s="30">
        <f>IF(Vendedor14!$E$20="",0,Vendedor14!$E$20)</f>
        <v>550</v>
      </c>
      <c r="H17" s="42">
        <f t="shared" si="1"/>
        <v>139100</v>
      </c>
      <c r="I17" s="41">
        <f>MROUND(H17*Vendedor14!J$15,50)</f>
        <v>16700</v>
      </c>
      <c r="J17" s="42">
        <f t="shared" si="2"/>
        <v>700</v>
      </c>
      <c r="K17" s="42">
        <f t="shared" si="3"/>
        <v>59500</v>
      </c>
      <c r="L17" s="42">
        <f>Vendedor14!$F$19+Vendedor14!$F$20</f>
        <v>59500</v>
      </c>
      <c r="N17" s="42">
        <f t="shared" si="0"/>
        <v>62900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62100</v>
      </c>
      <c r="D18" s="30">
        <f>IF(Vendedor15!$E$19="",0,Vendedor15!$E$19)</f>
        <v>0</v>
      </c>
      <c r="E18" s="180">
        <f>IF(Vendedor15!$C$20="",0,Vendedor15!$C$20)</f>
        <v>38900</v>
      </c>
      <c r="F18" s="30">
        <f>IF(Vendedor15!$E$20="",0,Vendedor15!$E$20)</f>
        <v>300</v>
      </c>
      <c r="H18" s="42">
        <f t="shared" si="1"/>
        <v>101000</v>
      </c>
      <c r="I18" s="41">
        <f>MROUND(H18*Vendedor15!J$15,50)</f>
        <v>12100</v>
      </c>
      <c r="J18" s="42">
        <f t="shared" si="2"/>
        <v>300</v>
      </c>
      <c r="K18" s="42">
        <f t="shared" si="3"/>
        <v>25500</v>
      </c>
      <c r="L18" s="42">
        <f>Vendedor15!$F$19+Vendedor15!$F$20</f>
        <v>25500</v>
      </c>
      <c r="N18" s="42">
        <f t="shared" si="0"/>
        <v>63400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142250</v>
      </c>
      <c r="D32" s="44">
        <f>SUM(D4:D31)</f>
        <v>150</v>
      </c>
      <c r="E32" s="43">
        <f>SUM(E4:E31)</f>
        <v>97850</v>
      </c>
      <c r="F32" s="44">
        <f>SUM(F4:F31)</f>
        <v>850</v>
      </c>
      <c r="H32" s="95">
        <f>SUM(H4:H31)</f>
        <v>240100</v>
      </c>
      <c r="I32" s="45">
        <f>SUM(I7:I31)</f>
        <v>28800</v>
      </c>
      <c r="J32" s="95"/>
      <c r="K32" s="95">
        <f>SUM(K4:K31)</f>
        <v>85000</v>
      </c>
      <c r="L32" s="95">
        <f>SUM(L4:L31)</f>
        <v>85000</v>
      </c>
      <c r="N32" s="79">
        <f>SUM(N4:N31)</f>
        <v>126300</v>
      </c>
    </row>
    <row r="33" spans="3:6" x14ac:dyDescent="0.35">
      <c r="D33" s="99">
        <f>+D32*85</f>
        <v>12750</v>
      </c>
      <c r="F33" s="99">
        <f>+F32*85</f>
        <v>72250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240100</v>
      </c>
      <c r="E36" s="43">
        <f>+D36-H4-H5-H6</f>
        <v>240100</v>
      </c>
    </row>
    <row r="37" spans="3:6" x14ac:dyDescent="0.35">
      <c r="C37" s="47" t="s">
        <v>33</v>
      </c>
      <c r="D37" s="48">
        <f>D36*13%</f>
        <v>31213</v>
      </c>
      <c r="E37">
        <f>+D37-I4-I5-I6</f>
        <v>31213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123887</v>
      </c>
      <c r="F39" s="98">
        <f>+N32-D39</f>
        <v>2413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123887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80</v>
      </c>
      <c r="D2" s="268"/>
      <c r="E2" s="267">
        <f>DigitaHONDURAS!E2</f>
        <v>95</v>
      </c>
      <c r="F2" s="268"/>
      <c r="G2" s="267" t="str">
        <f>DigitaHONDURAS!G2</f>
        <v>06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0</v>
      </c>
      <c r="K10" s="41">
        <f>MROUND(J10*Vendedor7!J$14,50)</f>
        <v>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41300</v>
      </c>
      <c r="D17" s="30">
        <f>IF(Vendedor14!$E$21="",0,Vendedor14!$E$21)</f>
        <v>150</v>
      </c>
      <c r="E17" s="180">
        <f>IF(Vendedor14!$C$22="",0,Vendedor14!$C$22)</f>
        <v>10450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51750</v>
      </c>
      <c r="K17" s="41">
        <f>MROUND(J17*Vendedor14!J$15,50)</f>
        <v>6200</v>
      </c>
      <c r="L17" s="42">
        <f t="shared" si="1"/>
        <v>150</v>
      </c>
      <c r="M17" s="42">
        <f t="shared" si="3"/>
        <v>12750</v>
      </c>
      <c r="N17" s="42">
        <f>Vendedor14!$F$21+Vendedor14!$F$22+Vendedor14!$F$23</f>
        <v>12750</v>
      </c>
      <c r="P17" s="42">
        <f t="shared" si="2"/>
        <v>32800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12300</v>
      </c>
      <c r="D18" s="30">
        <f>IF(Vendedor15!$E$21="",0,Vendedor15!$E$21)</f>
        <v>100</v>
      </c>
      <c r="E18" s="180">
        <f>IF(Vendedor15!$C$22="",0,Vendedor15!$C$22)</f>
        <v>14400</v>
      </c>
      <c r="F18" s="30">
        <f>IF(Vendedor15!$E$22="",0,Vendedor15!$E$22)</f>
        <v>150</v>
      </c>
      <c r="G18" s="180">
        <f>IF(Vendedor15!$C$23="",0,Vendedor15!$C$23)</f>
        <v>8350</v>
      </c>
      <c r="H18" s="30">
        <f>IF(Vendedor15!$E$23="",0,Vendedor15!$E$23)</f>
        <v>150</v>
      </c>
      <c r="J18" s="42">
        <f t="shared" si="0"/>
        <v>35050</v>
      </c>
      <c r="K18" s="41">
        <f>MROUND(J18*Vendedor15!J$15,50)</f>
        <v>4200</v>
      </c>
      <c r="L18" s="42">
        <f t="shared" si="1"/>
        <v>400</v>
      </c>
      <c r="M18" s="42">
        <f t="shared" si="3"/>
        <v>34000</v>
      </c>
      <c r="N18" s="42">
        <f>Vendedor15!$F$21+Vendedor15!$F$22+Vendedor15!$F$23</f>
        <v>34000</v>
      </c>
      <c r="P18" s="42">
        <f t="shared" si="2"/>
        <v>-3150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-53600</v>
      </c>
      <c r="D27" s="50">
        <f>IF(Vendedor24!$E$21="",0,Vendedor24!$E$21)</f>
        <v>-250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-53600</v>
      </c>
      <c r="K27" s="41">
        <f>IF(J27*Vendedor24!J$9&gt;0,MROUND(J27*Vendedor24!J$9,50),MROUND(J27*Vendedor24!J$9,-50))</f>
        <v>-6450</v>
      </c>
      <c r="L27" s="42">
        <f t="shared" si="1"/>
        <v>-250</v>
      </c>
      <c r="M27" s="42">
        <f t="shared" si="3"/>
        <v>-21250</v>
      </c>
      <c r="N27" s="42">
        <f>Vendedor24!$F$21+Vendedor24!$F$22+Vendedor24!$F$23</f>
        <v>-21250</v>
      </c>
      <c r="P27" s="42">
        <f t="shared" si="2"/>
        <v>-25900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0</v>
      </c>
      <c r="D32" s="44">
        <f t="shared" si="8"/>
        <v>0</v>
      </c>
      <c r="E32" s="43">
        <f t="shared" si="8"/>
        <v>24850</v>
      </c>
      <c r="F32" s="44">
        <f t="shared" si="8"/>
        <v>150</v>
      </c>
      <c r="G32" s="43">
        <f t="shared" si="8"/>
        <v>8350</v>
      </c>
      <c r="H32" s="44">
        <f t="shared" si="8"/>
        <v>150</v>
      </c>
      <c r="J32" s="95">
        <f>SUM(J4:J31)</f>
        <v>33200</v>
      </c>
      <c r="K32" s="45">
        <f>SUM(K7:K31)</f>
        <v>3950</v>
      </c>
      <c r="L32" s="95"/>
      <c r="M32" s="95">
        <f>SUM(M4:M31)</f>
        <v>25500</v>
      </c>
      <c r="N32" s="95">
        <f>SUM(N4:N31)</f>
        <v>25500</v>
      </c>
      <c r="P32" s="79">
        <f>SUM(P4:P31)</f>
        <v>3750</v>
      </c>
    </row>
    <row r="33" spans="3:8" x14ac:dyDescent="0.35">
      <c r="D33" s="99">
        <f>+D32*85</f>
        <v>0</v>
      </c>
      <c r="F33" s="99">
        <f>+F32*85</f>
        <v>12750</v>
      </c>
      <c r="H33" s="99">
        <f>+H32*85</f>
        <v>12750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33200</v>
      </c>
      <c r="E36" s="43">
        <f>+D36-J4-J5-J6</f>
        <v>33200</v>
      </c>
    </row>
    <row r="37" spans="3:8" x14ac:dyDescent="0.35">
      <c r="C37" s="47" t="s">
        <v>33</v>
      </c>
      <c r="D37" s="48">
        <f>D36*13%</f>
        <v>4316</v>
      </c>
      <c r="E37">
        <f>+D37-K4-K5-K6</f>
        <v>4316</v>
      </c>
    </row>
    <row r="38" spans="3:8" ht="15" thickBot="1" x14ac:dyDescent="0.4">
      <c r="C38" s="47" t="s">
        <v>30</v>
      </c>
      <c r="D38" s="30">
        <f>SUM(M4:M27)</f>
        <v>25500</v>
      </c>
      <c r="G38" s="100"/>
    </row>
    <row r="39" spans="3:8" ht="15" thickBot="1" x14ac:dyDescent="0.4">
      <c r="C39" s="49" t="s">
        <v>4</v>
      </c>
      <c r="D39" s="80">
        <f>+D36-D37-D38</f>
        <v>3384</v>
      </c>
      <c r="F39" s="98">
        <f>+P32-D39</f>
        <v>366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3384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/>
      </c>
      <c r="D2" s="268"/>
      <c r="E2" s="267" t="str">
        <f>DigitaDOMINICANA!E2</f>
        <v/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05-04-2026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354300</v>
      </c>
      <c r="C4" s="157">
        <f>HojaNICA!M32</f>
        <v>42500</v>
      </c>
      <c r="D4" s="150">
        <f>HojaNICA!E37</f>
        <v>46059</v>
      </c>
      <c r="E4" s="150">
        <f>HojaNICA!P32</f>
        <v>199750</v>
      </c>
      <c r="F4" s="150">
        <f>HojaNICA!O32</f>
        <v>199750</v>
      </c>
      <c r="G4" s="151">
        <f t="shared" ref="G4:G10" si="0">+D4-C4+F4-E4</f>
        <v>3559</v>
      </c>
      <c r="H4" s="21"/>
      <c r="I4" s="182"/>
    </row>
    <row r="5" spans="1:9" x14ac:dyDescent="0.35">
      <c r="A5" s="28" t="s">
        <v>19</v>
      </c>
      <c r="B5" s="156">
        <f>HojaTICA!$E$36</f>
        <v>0</v>
      </c>
      <c r="C5" s="157">
        <f>HojaTICA!K32</f>
        <v>0</v>
      </c>
      <c r="D5" s="150">
        <f>HojaTICA!E37</f>
        <v>0</v>
      </c>
      <c r="E5" s="150">
        <f>HojaTICA!N32</f>
        <v>0</v>
      </c>
      <c r="F5" s="150">
        <f>HojaTICA!D38</f>
        <v>0</v>
      </c>
      <c r="G5" s="151">
        <f t="shared" si="0"/>
        <v>0</v>
      </c>
      <c r="H5" s="21"/>
      <c r="I5" s="182"/>
    </row>
    <row r="6" spans="1:9" x14ac:dyDescent="0.35">
      <c r="A6" s="28" t="s">
        <v>125</v>
      </c>
      <c r="B6" s="156">
        <f>HojaREVENTADO!$E$37</f>
        <v>0</v>
      </c>
      <c r="C6" s="157">
        <f>HojaREVENTADO!K33</f>
        <v>0</v>
      </c>
      <c r="D6" s="150">
        <f>HojaREVENTADO!E38</f>
        <v>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240100</v>
      </c>
      <c r="C7" s="157">
        <f>HojaPrimera!I32</f>
        <v>28800</v>
      </c>
      <c r="D7" s="150">
        <f>HojaPrimera!E37</f>
        <v>31213</v>
      </c>
      <c r="E7" s="150">
        <f>HojaPrimera!L32</f>
        <v>85000</v>
      </c>
      <c r="F7" s="150">
        <f>HojaPrimera!K32</f>
        <v>85000</v>
      </c>
      <c r="G7" s="151">
        <f t="shared" si="0"/>
        <v>2413</v>
      </c>
      <c r="H7" s="21"/>
      <c r="I7" s="21"/>
    </row>
    <row r="8" spans="1:9" x14ac:dyDescent="0.35">
      <c r="A8" s="28" t="s">
        <v>104</v>
      </c>
      <c r="B8" s="156">
        <f>HojaHonduras!$E$36</f>
        <v>33200</v>
      </c>
      <c r="C8" s="157">
        <f>HojaHonduras!K32</f>
        <v>3950</v>
      </c>
      <c r="D8" s="150">
        <f>HojaHonduras!E37</f>
        <v>4316</v>
      </c>
      <c r="E8" s="150">
        <f>HojaHonduras!N32</f>
        <v>25500</v>
      </c>
      <c r="F8" s="150">
        <f>HojaHonduras!M32</f>
        <v>25500</v>
      </c>
      <c r="G8" s="151">
        <f t="shared" si="0"/>
        <v>366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627600</v>
      </c>
      <c r="C11" s="175">
        <f>SUM(C4:C10)</f>
        <v>75250</v>
      </c>
      <c r="D11" s="175">
        <f t="shared" ref="D11:F11" si="1">SUM(D4:D10)</f>
        <v>81588</v>
      </c>
      <c r="E11" s="175">
        <f t="shared" si="1"/>
        <v>310250</v>
      </c>
      <c r="F11" s="175">
        <f t="shared" si="1"/>
        <v>310250</v>
      </c>
      <c r="G11" s="176">
        <f>SUM(G4:G10)</f>
        <v>6338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0</v>
      </c>
      <c r="H12" s="141">
        <f>+G11-G12</f>
        <v>6338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0</v>
      </c>
      <c r="E16" s="157">
        <f>+Vendedor1!D21</f>
        <v>0</v>
      </c>
      <c r="F16" s="158">
        <f>IF(D16&lt;&gt;0,15000,0)</f>
        <v>0</v>
      </c>
      <c r="G16" s="151">
        <f>+E16-F16</f>
        <v>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0</v>
      </c>
      <c r="E17" s="157">
        <f>+Vendedor2!D21</f>
        <v>0</v>
      </c>
      <c r="F17" s="158">
        <f>IF(D17&lt;&gt;0,15000,0)</f>
        <v>0</v>
      </c>
      <c r="G17" s="151">
        <f>+E17-F17</f>
        <v>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0</v>
      </c>
      <c r="E19" s="159">
        <f>SUM(E16:E18)</f>
        <v>0</v>
      </c>
      <c r="F19" s="160">
        <f>SUM(F16:F18)</f>
        <v>0</v>
      </c>
      <c r="G19" s="161">
        <f>SUM(G16:G18)</f>
        <v>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54600</v>
      </c>
      <c r="E22" s="157">
        <f>-Vendedor24!D27</f>
        <v>6552</v>
      </c>
      <c r="F22" s="158">
        <f>-Vendedor24!F27</f>
        <v>21250</v>
      </c>
      <c r="G22" s="151">
        <f>+D22-E22-F22</f>
        <v>26798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33136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05-04-2026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354300</v>
      </c>
      <c r="C5" s="150">
        <f>HojaNICA!D37</f>
        <v>46059</v>
      </c>
      <c r="D5" s="150">
        <f>HojaNICA!D38</f>
        <v>199750</v>
      </c>
      <c r="E5" s="150"/>
      <c r="F5" s="151">
        <f>+B5-C5-D5+E5</f>
        <v>108491</v>
      </c>
      <c r="H5" s="249" t="s">
        <v>105</v>
      </c>
      <c r="I5" s="243">
        <f ca="1">TODAY()-2</f>
        <v>46117</v>
      </c>
      <c r="O5" s="119"/>
    </row>
    <row r="6" spans="1:15" ht="15" thickBot="1" x14ac:dyDescent="0.4">
      <c r="A6" s="47" t="s">
        <v>36</v>
      </c>
      <c r="B6" s="150">
        <f>HojaTICA!D36</f>
        <v>0</v>
      </c>
      <c r="C6" s="150">
        <f>HojaTICA!D37</f>
        <v>0</v>
      </c>
      <c r="D6" s="150">
        <f>HojaTICA!D38</f>
        <v>0</v>
      </c>
      <c r="E6" s="150"/>
      <c r="F6" s="151">
        <f t="shared" ref="F6:F11" si="0">+B6-C6-D6+E6</f>
        <v>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0</v>
      </c>
      <c r="C7" s="150">
        <f>HojaREVENTADO!D38</f>
        <v>0</v>
      </c>
      <c r="D7" s="150">
        <f>HojaREVENTADO!D39</f>
        <v>0</v>
      </c>
      <c r="E7" s="150"/>
      <c r="F7" s="151">
        <f t="shared" si="0"/>
        <v>0</v>
      </c>
    </row>
    <row r="8" spans="1:15" x14ac:dyDescent="0.35">
      <c r="A8" s="47" t="s">
        <v>96</v>
      </c>
      <c r="B8" s="150">
        <f>HojaPrimera!$D36</f>
        <v>240100</v>
      </c>
      <c r="C8" s="150">
        <f>HojaPrimera!$D37</f>
        <v>31213</v>
      </c>
      <c r="D8" s="150">
        <f>HojaPrimera!$D38</f>
        <v>85000</v>
      </c>
      <c r="E8" s="150"/>
      <c r="F8" s="151">
        <f t="shared" si="0"/>
        <v>123887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33200</v>
      </c>
      <c r="C9" s="150">
        <f>HojaHonduras!$D37</f>
        <v>4316</v>
      </c>
      <c r="D9" s="150">
        <f>HojaHonduras!$D38</f>
        <v>25500</v>
      </c>
      <c r="E9" s="150"/>
      <c r="F9" s="151">
        <f t="shared" si="0"/>
        <v>3384</v>
      </c>
      <c r="H9" s="250">
        <f>+K12-K10-H6</f>
        <v>235762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3218703.16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3454465.16</v>
      </c>
    </row>
    <row r="12" spans="1:15" ht="16" thickBot="1" x14ac:dyDescent="0.4">
      <c r="A12" s="144" t="s">
        <v>5</v>
      </c>
      <c r="B12" s="152">
        <f>SUM(B5:B11)</f>
        <v>627600</v>
      </c>
      <c r="C12" s="152">
        <f>SUM(C5:C11)</f>
        <v>81588</v>
      </c>
      <c r="D12" s="152">
        <f>SUM(D5:D11)</f>
        <v>310250</v>
      </c>
      <c r="E12" s="152"/>
      <c r="F12" s="255">
        <f>SUM(F5:F11)</f>
        <v>235762</v>
      </c>
      <c r="H12" s="251">
        <f>K12</f>
        <v>3454465.16</v>
      </c>
      <c r="J12" t="s">
        <v>140</v>
      </c>
      <c r="K12" s="254">
        <f>-1855000.11+3782040.99+74364.8+1453059.48</f>
        <v>3454465.16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 t="str">
        <f>IF(DigitaNICA!C4&lt;&gt;"",DigitaNICA!C4,"")</f>
        <v/>
      </c>
      <c r="D5" s="42">
        <f>IF(C5="",0,C5*J$10)</f>
        <v>0</v>
      </c>
      <c r="E5" s="29" t="str">
        <f>IF(DigitaNICA!D4&lt;&gt;"",DigitaNICA!D4,"")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2">
        <f>IF(DigitaPRIMERA!E2&lt;&gt;"",DigitaPRIMERA!E2,"")</f>
        <v>55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6">SUM(D5:D20)</f>
        <v>0</v>
      </c>
      <c r="E21" s="122">
        <f t="shared" si="6"/>
        <v>0</v>
      </c>
      <c r="F21" s="122">
        <f t="shared" si="6"/>
        <v>0</v>
      </c>
      <c r="G21" s="123">
        <f t="shared" si="6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 t="str">
        <f>IF(DigitaNICA!C5&lt;&gt;"",DigitaNICA!C5,"")</f>
        <v/>
      </c>
      <c r="D5" s="42">
        <f>IF(C5="",0,C5*J$10)</f>
        <v>0</v>
      </c>
      <c r="E5" s="29" t="str">
        <f>IF(DigitaNICA!D5&lt;&gt;"",DigitaNICA!D5,"")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55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 t="str">
        <f>IF(DigitaNICA!C10&lt;&gt;"",DigitaNICA!C10,"")</f>
        <v/>
      </c>
      <c r="D5" s="42">
        <f>IF(C5="",0,C5*J$15)</f>
        <v>0</v>
      </c>
      <c r="E5" s="29" t="str">
        <f>IF(DigitaNICA!D10&lt;&gt;"",DigitaNICA!D10,"")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IF(DigitaNICA!E10&lt;&gt;"",DigitaNICA!E10,"")</f>
        <v/>
      </c>
      <c r="D9" s="42">
        <f>IF(C9="",0,C9*J$15)</f>
        <v>0</v>
      </c>
      <c r="E9" s="29" t="str">
        <f>IF(DigitaNICA!F10&lt;&gt;"",DigitaNICA!F10,"")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78</v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2">
        <f>IF(DigitaNICA!I2&lt;&gt;"",DigitaNICA!I2,"")</f>
        <v>43</v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 t="str">
        <f>IF(DigitaPRIMERA!$C$10&lt;&gt;"",DigitaPRIMERA!$C$10,"")</f>
        <v/>
      </c>
      <c r="D19" s="42">
        <f>IF(C19="",0,C19*J$17)</f>
        <v>0</v>
      </c>
      <c r="E19" s="29" t="str">
        <f>IF(DigitaPRIMERA!$D$10&lt;&gt;"",DigitaPRIMERA!$D$10,"")</f>
        <v/>
      </c>
      <c r="F19" s="42">
        <f>IF(E19="",0,E19*PREMIOS!F19)</f>
        <v>0</v>
      </c>
      <c r="G19" s="30">
        <f t="shared" ref="G19:G22" si="7">IF(OR(C19="",E19=""),0,C19-D19-F19)</f>
        <v>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55</v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80</v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2">
        <f>IF(DigitaHONDURAS!E2&lt;&gt;"",DigitaHONDURAS!E2,"")</f>
        <v>95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 t="str">
        <f>IF(DigitaHONDURAS!G2&lt;&gt;"",DigitaHONDURAS!G2,"")</f>
        <v>06</v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F27" si="9">SUM(D5:D26)</f>
        <v>0</v>
      </c>
      <c r="E27" s="68">
        <f t="shared" si="9"/>
        <v>0</v>
      </c>
      <c r="F27" s="68">
        <f t="shared" si="9"/>
        <v>0</v>
      </c>
      <c r="G27" s="88">
        <f>SUM(G5:G26)</f>
        <v>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 t="str">
        <f>IF(DigitaNICA!C12&lt;&gt;"",DigitaNICA!C12,"")</f>
        <v/>
      </c>
      <c r="D5" s="42">
        <f>IF(C5="",0,C5*J$12)</f>
        <v>0</v>
      </c>
      <c r="E5" s="29" t="str">
        <f>IF(DigitaNICA!D12&lt;&gt;"",DigitaNICA!D12,"")</f>
        <v/>
      </c>
      <c r="F5" s="42">
        <f>IF(E5="",0,E5*PREMIOS!F5)</f>
        <v>0</v>
      </c>
      <c r="G5" s="30">
        <f t="shared" ref="G5:G12" si="0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1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IF(DigitaPRIMERA!$C$12&lt;&gt;"",DigitaPRIMERA!$C$12,"")</f>
        <v/>
      </c>
      <c r="D19" s="42">
        <f>IF(C19="",0,C19*J$14)</f>
        <v>0</v>
      </c>
      <c r="E19" s="29" t="str">
        <f>IF(DigitaPRIMERA!$D$12&lt;&gt;"",DigitaPRIMERA!$D$12,"")</f>
        <v/>
      </c>
      <c r="F19" s="42">
        <f>IF(E19="",0,E19*PREMIOS!F19)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0</v>
      </c>
      <c r="D24" s="68">
        <f t="shared" ref="D24:G24" si="4">SUM(D5:D23)</f>
        <v>0</v>
      </c>
      <c r="E24" s="68">
        <f t="shared" si="4"/>
        <v>0</v>
      </c>
      <c r="F24" s="68">
        <f t="shared" si="4"/>
        <v>0</v>
      </c>
      <c r="G24" s="88">
        <f t="shared" si="4"/>
        <v>0</v>
      </c>
    </row>
    <row r="27" spans="1:7" x14ac:dyDescent="0.35">
      <c r="G27" s="21">
        <v>0</v>
      </c>
    </row>
    <row r="28" spans="1:7" x14ac:dyDescent="0.35">
      <c r="G28" s="141">
        <f>+G24+G27</f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92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29">
        <f>IF(DigitaNICA!C16&lt;&gt;"",DigitaNICA!C16,"")</f>
        <v>1000</v>
      </c>
      <c r="D5" s="42">
        <f>IF(C5="",0,C5*J$12)</f>
        <v>120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880</v>
      </c>
      <c r="I5" s="63" t="s">
        <v>37</v>
      </c>
      <c r="J5" s="225">
        <f>SUM(IF(C5="",0,C5),IF(C9="",0,C9),IF(C13="",0,C13),IF(C17="",0,C17))</f>
        <v>1000</v>
      </c>
      <c r="K5" s="225">
        <f t="shared" ref="K5" si="1">D5+D9+D13+D17</f>
        <v>120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100</v>
      </c>
    </row>
    <row r="13" spans="1:12" x14ac:dyDescent="0.35">
      <c r="A13" s="28" t="s">
        <v>50</v>
      </c>
      <c r="B13" s="132">
        <f>IF(DigitaNICA!G2&lt;&gt;"",DigitaNICA!G2,"")</f>
        <v>78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1000</v>
      </c>
      <c r="D24" s="122">
        <f t="shared" ref="D24:G24" si="5">SUM(D5:D23)</f>
        <v>120</v>
      </c>
      <c r="E24" s="122">
        <f t="shared" si="5"/>
        <v>0</v>
      </c>
      <c r="F24" s="122">
        <f t="shared" si="5"/>
        <v>0</v>
      </c>
      <c r="G24" s="123">
        <f t="shared" si="5"/>
        <v>880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92</v>
      </c>
      <c r="C5" s="89">
        <f>IF(DigitaNICA!C17&lt;&gt;"",DigitaNICA!C17,"")</f>
        <v>114950</v>
      </c>
      <c r="D5" s="42">
        <f>IF(C5="",0,C5*J$16)</f>
        <v>13794</v>
      </c>
      <c r="E5" s="89">
        <f>IF(DigitaNICA!D17&lt;&gt;"",DigitaNICA!D17,"")</f>
        <v>0</v>
      </c>
      <c r="F5" s="42">
        <f>IF(E5="",0,E5*PREMIOS!F5)</f>
        <v>0</v>
      </c>
      <c r="G5" s="90">
        <f t="shared" ref="G5:G12" si="1">IF(OR(C5="",E5=""),0,C5-D5-F5)</f>
        <v>101156</v>
      </c>
      <c r="I5" s="217" t="s">
        <v>37</v>
      </c>
      <c r="J5" s="221">
        <f>SUM(IF(C5="",0,C5),IF(C9="",0,C9),IF(C13="",0,C13),IF(C17="",0,C17))</f>
        <v>218850</v>
      </c>
      <c r="K5" s="225">
        <f t="shared" ref="K5" si="2">D5+D9+D13+D17</f>
        <v>26262</v>
      </c>
      <c r="L5" s="222">
        <f>F5+F9+F13+F17</f>
        <v>131750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139100</v>
      </c>
      <c r="K7" s="226">
        <f>+D19+D20</f>
        <v>16692</v>
      </c>
      <c r="L7" s="227">
        <f>+F19+F20</f>
        <v>59500</v>
      </c>
    </row>
    <row r="8" spans="1:12" x14ac:dyDescent="0.35">
      <c r="A8" s="28" t="s">
        <v>47</v>
      </c>
      <c r="B8" s="132" t="str">
        <f>IF(B7&lt;&gt;"",PREMIOS!B8,"")</f>
        <v/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51750</v>
      </c>
      <c r="K8" s="226">
        <f t="shared" ref="K8" si="4">D21+D22+D23</f>
        <v>6210</v>
      </c>
      <c r="L8" s="227">
        <f>F21+F22+F23</f>
        <v>12750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89">
        <f>IF(DigitaNICA!E17&lt;&gt;"",DigitaNICA!E17,"")</f>
        <v>103900</v>
      </c>
      <c r="D9" s="42">
        <f>IF(C9="",0,C9*J$16)</f>
        <v>12468</v>
      </c>
      <c r="E9" s="89">
        <f>IF(DigitaNICA!F17&lt;&gt;"",DigitaNICA!F17,"")</f>
        <v>1550</v>
      </c>
      <c r="F9" s="42">
        <f>IF(E9="",0,E9*PREMIOS!F9)</f>
        <v>131750</v>
      </c>
      <c r="G9" s="90">
        <f t="shared" si="1"/>
        <v>-40318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78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26250</v>
      </c>
    </row>
    <row r="17" spans="1:11" x14ac:dyDescent="0.35">
      <c r="A17" s="28" t="s">
        <v>52</v>
      </c>
      <c r="B17" s="132">
        <f>IF(DigitaNICA!I2&lt;&gt;"",DigitaNICA!I2,"")</f>
        <v>43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16700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IF(DigitaPRIMERA!$C$17&lt;&gt;"",DigitaPRIMERA!$C$17,"")</f>
        <v>80150</v>
      </c>
      <c r="D19" s="42">
        <f>IF(C19="",0,C19*J$18)</f>
        <v>9618</v>
      </c>
      <c r="E19" s="29">
        <f>IF(DigitaPRIMERA!$D$17&lt;&gt;"",DigitaPRIMERA!$D$17,"")</f>
        <v>150</v>
      </c>
      <c r="F19" s="42">
        <f>IF(E19="",0,E19*PREMIOS!F19)</f>
        <v>12750</v>
      </c>
      <c r="G19" s="30">
        <f t="shared" si="6"/>
        <v>57782</v>
      </c>
      <c r="I19" s="63" t="s">
        <v>104</v>
      </c>
      <c r="J19" s="64">
        <v>0.12</v>
      </c>
      <c r="K19" s="30">
        <f>MROUND(D21+D22+D23,50)</f>
        <v>6200</v>
      </c>
    </row>
    <row r="20" spans="1:11" x14ac:dyDescent="0.35">
      <c r="A20" s="28" t="s">
        <v>98</v>
      </c>
      <c r="B20" s="132">
        <f>IF(DigitaPRIMERA!E2&lt;&gt;"",DigitaPRIMERA!E2,"")</f>
        <v>55</v>
      </c>
      <c r="C20" s="29">
        <f>IF(DigitaPRIMERA!$E$17&lt;&gt;"",DigitaPRIMERA!$E$17,"")</f>
        <v>58950</v>
      </c>
      <c r="D20" s="42">
        <f>IF(C20="",0,C20*J$18)</f>
        <v>7074</v>
      </c>
      <c r="E20" s="29">
        <f>IF(DigitaPRIMERA!$F$17&lt;&gt;"",DigitaPRIMERA!$F$17,"")</f>
        <v>550</v>
      </c>
      <c r="F20" s="42">
        <f>IF(E20="",0,E20*PREMIOS!F19)</f>
        <v>46750</v>
      </c>
      <c r="G20" s="30">
        <f t="shared" si="6"/>
        <v>5126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80</v>
      </c>
      <c r="C21" s="29">
        <f>IF(DigitaHONDURAS!$C$17&lt;&gt;"",DigitaHONDURAS!$C$17,"")</f>
        <v>41300</v>
      </c>
      <c r="D21" s="42">
        <f>IF(C21="",0,C21*J$19)</f>
        <v>4956</v>
      </c>
      <c r="E21" s="29">
        <f>IF(DigitaHONDURAS!$D$17&lt;&gt;"",DigitaHONDURAS!$D$17,"")</f>
        <v>150</v>
      </c>
      <c r="F21" s="42">
        <f>IF(E21="",0,E21*PREMIOS!F20)</f>
        <v>12750</v>
      </c>
      <c r="G21" s="30">
        <f t="shared" si="6"/>
        <v>23594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95</v>
      </c>
      <c r="C22" s="29">
        <f>IF(DigitaHONDURAS!$E$17&lt;&gt;"",DigitaHONDURAS!$E$17,"")</f>
        <v>10450</v>
      </c>
      <c r="D22" s="42">
        <f>IF(C22="",0,C22*J$19)</f>
        <v>1254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9196</v>
      </c>
    </row>
    <row r="23" spans="1:11" x14ac:dyDescent="0.35">
      <c r="A23" s="28" t="s">
        <v>101</v>
      </c>
      <c r="B23" s="132" t="str">
        <f>IF(DigitaHONDURAS!G2&lt;&gt;"",DigitaHONDURAS!G2,"")</f>
        <v>06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409700</v>
      </c>
      <c r="D27" s="68">
        <f t="shared" ref="D27:G27" si="7">SUM(D5:D26)</f>
        <v>49164</v>
      </c>
      <c r="E27" s="68">
        <f t="shared" si="7"/>
        <v>2400</v>
      </c>
      <c r="F27" s="68">
        <f t="shared" si="7"/>
        <v>204000</v>
      </c>
      <c r="G27" s="88">
        <f t="shared" si="7"/>
        <v>156536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92</v>
      </c>
      <c r="C5" s="29">
        <f>IF(DigitaNICA!C18&lt;&gt;"",DigitaNICA!C18,"")</f>
        <v>83400</v>
      </c>
      <c r="D5" s="42">
        <f>IF(C5="",0,C5*J$16)</f>
        <v>10008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73392</v>
      </c>
      <c r="I5" s="217" t="s">
        <v>37</v>
      </c>
      <c r="J5" s="221">
        <f>SUM(IF(C5="",0,C5),IF(C9="",0,C9),IF(C13="",0,C13),IF(C17="",0,C17))</f>
        <v>135450</v>
      </c>
      <c r="K5" s="225">
        <f t="shared" ref="K5" si="2">D5+D9+D13+D17</f>
        <v>16254</v>
      </c>
      <c r="L5" s="222">
        <f>F5+F9+F13+F17</f>
        <v>68000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101000</v>
      </c>
      <c r="K7" s="226">
        <f>+D19+D20</f>
        <v>12120</v>
      </c>
      <c r="L7" s="227">
        <f>+F19+F20</f>
        <v>25500</v>
      </c>
    </row>
    <row r="8" spans="1:12" x14ac:dyDescent="0.35">
      <c r="A8" s="28" t="str">
        <f>+Vendedor1!A8</f>
        <v>Reventado 1pm</v>
      </c>
      <c r="B8" s="132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35050</v>
      </c>
      <c r="K8" s="226">
        <f t="shared" ref="K8" si="4">D21+D22+D23</f>
        <v>4206</v>
      </c>
      <c r="L8" s="227">
        <f>F21+F22+F23</f>
        <v>34000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06</v>
      </c>
      <c r="C9" s="29">
        <f>IF(DigitaNICA!E18&lt;&gt;"",DigitaNICA!E18,"")</f>
        <v>30550</v>
      </c>
      <c r="D9" s="42">
        <f>IF(C9="",0,C9*J$16)</f>
        <v>3666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9884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78</v>
      </c>
      <c r="C13" s="29">
        <f>IF(DigitaNICA!G18&lt;&gt;"",DigitaNICA!G18,"")</f>
        <v>14250</v>
      </c>
      <c r="D13" s="42">
        <f>IF(C13="",0,C13*J$16)</f>
        <v>1710</v>
      </c>
      <c r="E13" s="29">
        <f>IF(DigitaNICA!H18&lt;&gt;"",DigitaNICA!H18,"")</f>
        <v>600</v>
      </c>
      <c r="F13" s="42">
        <f>IF(E13="",0,E13*PREMIOS!F13)</f>
        <v>51000</v>
      </c>
      <c r="G13" s="30">
        <f>IF(OR(C13="",E13=""),0,C13-D13-F13)</f>
        <v>-38460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16250</v>
      </c>
    </row>
    <row r="17" spans="1:11" x14ac:dyDescent="0.35">
      <c r="A17" s="28" t="str">
        <f>+Vendedor1!A17</f>
        <v>Nica 9pm</v>
      </c>
      <c r="B17" s="132">
        <f>IF(DigitaNICA!I2&lt;&gt;"",DigitaNICA!I2,"")</f>
        <v>43</v>
      </c>
      <c r="C17" s="29">
        <f>IF(DigitaNICA!I18&lt;&gt;"",DigitaNICA!I18,"")</f>
        <v>7250</v>
      </c>
      <c r="D17" s="42">
        <f>IF(C17="",0,C17*J$16)</f>
        <v>870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6380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12100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IF(DigitaPRIMERA!$C$18&lt;&gt;"",DigitaPRIMERA!$C$18,"")</f>
        <v>62100</v>
      </c>
      <c r="D19" s="42">
        <f>IF(C19="",0,C19*J$18)</f>
        <v>7452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54648</v>
      </c>
      <c r="I19" s="63" t="s">
        <v>104</v>
      </c>
      <c r="J19" s="64">
        <v>0.12</v>
      </c>
      <c r="K19" s="30">
        <f>MROUND(D21+D22+D23,50)</f>
        <v>4200</v>
      </c>
    </row>
    <row r="20" spans="1:11" x14ac:dyDescent="0.35">
      <c r="A20" s="28" t="s">
        <v>98</v>
      </c>
      <c r="B20" s="132">
        <f>IF(DigitaPRIMERA!E2&lt;&gt;"",DigitaPRIMERA!E2,"")</f>
        <v>55</v>
      </c>
      <c r="C20" s="29">
        <f>IF(DigitaPRIMERA!$E$18&lt;&gt;"",DigitaPRIMERA!$E$18,"")</f>
        <v>38900</v>
      </c>
      <c r="D20" s="42">
        <f>IF(C20="",0,C20*J$18)</f>
        <v>4668</v>
      </c>
      <c r="E20" s="29">
        <f>IF(DigitaPRIMERA!$F$18&lt;&gt;"",DigitaPRIMERA!$F$18,"")</f>
        <v>300</v>
      </c>
      <c r="F20" s="42">
        <f>IF(E20="",0,E20*PREMIOS!F19)</f>
        <v>25500</v>
      </c>
      <c r="G20" s="30">
        <f t="shared" si="6"/>
        <v>8732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80</v>
      </c>
      <c r="C21" s="29">
        <f>IF(DigitaHONDURAS!$C$18&lt;&gt;"",DigitaHONDURAS!$C$18,"")</f>
        <v>12300</v>
      </c>
      <c r="D21" s="42">
        <f>IF(C21="",0,C21*J$19)</f>
        <v>1476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2324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95</v>
      </c>
      <c r="C22" s="29">
        <f>IF(DigitaHONDURAS!$E$18&lt;&gt;"",DigitaHONDURAS!$E$18,"")</f>
        <v>14400</v>
      </c>
      <c r="D22" s="42">
        <f>IF(C22="",0,C22*J$19)</f>
        <v>1728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-78</v>
      </c>
    </row>
    <row r="23" spans="1:11" x14ac:dyDescent="0.35">
      <c r="A23" s="28" t="s">
        <v>101</v>
      </c>
      <c r="B23" s="132" t="str">
        <f>IF(DigitaHONDURAS!G2&lt;&gt;"",DigitaHONDURAS!G2,"")</f>
        <v>06</v>
      </c>
      <c r="C23" s="29">
        <f>IF(DigitaHONDURAS!$G$18&lt;&gt;"",DigitaHONDURAS!$G$18,"")</f>
        <v>8350</v>
      </c>
      <c r="D23" s="42">
        <f>IF(C23="",0,C23*J$19)</f>
        <v>1002</v>
      </c>
      <c r="E23" s="29">
        <f>IF(DigitaHONDURAS!$H$18&lt;&gt;"",DigitaHONDURAS!$H$18,"")</f>
        <v>150</v>
      </c>
      <c r="F23" s="42">
        <f>IF(E23="",0,E23*PREMIOS!F20)</f>
        <v>12750</v>
      </c>
      <c r="G23" s="30">
        <f t="shared" si="6"/>
        <v>-5402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271500</v>
      </c>
      <c r="D27" s="68">
        <f t="shared" ref="D27:G27" si="7">SUM(D5:D26)</f>
        <v>32580</v>
      </c>
      <c r="E27" s="68">
        <f t="shared" si="7"/>
        <v>1500</v>
      </c>
      <c r="F27" s="68">
        <f t="shared" si="7"/>
        <v>127500</v>
      </c>
      <c r="G27" s="88">
        <f t="shared" si="7"/>
        <v>111420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>
        <f>IF(DigitaNICA!C27&lt;&gt;"",DigitaNICA!C27,"")</f>
        <v>-1000</v>
      </c>
      <c r="D5" s="42">
        <f>IF(C5="",0,C5*J$10)</f>
        <v>-120</v>
      </c>
      <c r="E5" s="29">
        <f>IF(DigitaNICA!D27&lt;&gt;"",DigitaNICA!D27,"")</f>
        <v>0</v>
      </c>
      <c r="F5" s="42">
        <f>IF(E5="",0,E5*PREMIOS!F5)</f>
        <v>0</v>
      </c>
      <c r="G5" s="30">
        <f t="shared" ref="G5:G12" si="0">IF(OR(C5="",E5=""),0,C5-D5-F5)</f>
        <v>-880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-100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>
        <f>IF(DigitaHONDURAS!$C$27&lt;&gt;"",DigitaHONDURAS!$C$27,"")</f>
        <v>-53600</v>
      </c>
      <c r="D21" s="42">
        <f>IF(C21="",0,C21*J$13)</f>
        <v>-6432</v>
      </c>
      <c r="E21" s="29">
        <f>IF(DigitaHONDURAS!$D$27&lt;&gt;"",DigitaHONDURAS!$D$27,"")</f>
        <v>-250</v>
      </c>
      <c r="F21" s="42">
        <f>IF(E21="",0,E21*PREMIOS!F20)</f>
        <v>-21250</v>
      </c>
      <c r="G21" s="30">
        <f t="shared" si="1"/>
        <v>-25918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-54600</v>
      </c>
      <c r="D27" s="68">
        <f t="shared" ref="D27:G27" si="2">SUM(D5:D26)</f>
        <v>-6552</v>
      </c>
      <c r="E27" s="68">
        <f t="shared" si="2"/>
        <v>-250</v>
      </c>
      <c r="F27" s="68">
        <f t="shared" si="2"/>
        <v>-21250</v>
      </c>
      <c r="G27" s="88">
        <f t="shared" si="2"/>
        <v>-26798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/>
      </c>
      <c r="D2" s="268"/>
      <c r="E2" s="267" t="str">
        <f>IF(PREMIOS!$B11="","",PREMIOS!$B11)</f>
        <v/>
      </c>
      <c r="F2" s="268"/>
      <c r="G2" s="267" t="str">
        <f>IF(PREMIOS!$B15="","",PREMIOS!$B15)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/>
      <c r="D4" s="78" t="str">
        <f t="shared" ref="D4:H27" si="0">IF(C4="","",0)</f>
        <v/>
      </c>
      <c r="E4" s="189"/>
      <c r="F4" s="78" t="str">
        <f t="shared" si="0"/>
        <v/>
      </c>
      <c r="G4" s="189"/>
      <c r="H4" s="78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si="0"/>
        <v/>
      </c>
      <c r="G5" s="180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0"/>
        <v/>
      </c>
      <c r="G12" s="180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0"/>
        <v/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/>
      <c r="F16" s="30" t="str">
        <f t="shared" si="0"/>
        <v/>
      </c>
      <c r="G16" s="180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5">
        <f>SUM(J4:J31)</f>
        <v>0</v>
      </c>
      <c r="K32" s="95"/>
    </row>
    <row r="33" spans="2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2:8" x14ac:dyDescent="0.35">
      <c r="B34" s="247" t="s">
        <v>149</v>
      </c>
      <c r="C34" s="43">
        <f t="shared" ref="C34:H34" si="7">+C4+C5+C6+C8+C13</f>
        <v>0</v>
      </c>
      <c r="D34" s="43" t="e">
        <f t="shared" si="7"/>
        <v>#VALUE!</v>
      </c>
      <c r="E34" s="43">
        <f t="shared" si="7"/>
        <v>0</v>
      </c>
      <c r="F34" s="43" t="e">
        <f t="shared" si="7"/>
        <v>#VALUE!</v>
      </c>
      <c r="G34" s="43">
        <f t="shared" si="7"/>
        <v>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0</v>
      </c>
      <c r="D35" s="43" t="e">
        <f t="shared" ref="D35:H35" si="8">+D11+D14+D15+D17+D18</f>
        <v>#VALUE!</v>
      </c>
      <c r="E35" s="43">
        <f t="shared" si="8"/>
        <v>0</v>
      </c>
      <c r="F35" s="43" t="e">
        <f t="shared" si="8"/>
        <v>#VALUE!</v>
      </c>
      <c r="G35" s="43">
        <f t="shared" si="8"/>
        <v>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0</v>
      </c>
      <c r="D36" s="43" t="e">
        <f t="shared" ref="D36:H36" si="9">+D10+D12+D27</f>
        <v>#VALUE!</v>
      </c>
      <c r="E36" s="43">
        <f t="shared" si="9"/>
        <v>0</v>
      </c>
      <c r="F36" s="43" t="e">
        <f t="shared" si="9"/>
        <v>#VALUE!</v>
      </c>
      <c r="G36" s="43">
        <f t="shared" si="9"/>
        <v>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G17" sqref="G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92</v>
      </c>
      <c r="D2" s="268"/>
      <c r="E2" s="267" t="str">
        <f>IF(PREMIOS!$B9="","",PREMIOS!$B9)</f>
        <v>06</v>
      </c>
      <c r="F2" s="268"/>
      <c r="G2" s="267">
        <f>IF(PREMIOS!$B13="","",PREMIOS!$B13)</f>
        <v>78</v>
      </c>
      <c r="H2" s="268"/>
      <c r="I2" s="267">
        <f>IF(PREMIOS!$B17="","",PREMIOS!$B17)</f>
        <v>43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/>
      <c r="D4" s="78" t="str">
        <f t="shared" ref="D4:J27" si="0">IF(C4="","",0)</f>
        <v/>
      </c>
      <c r="E4" s="206"/>
      <c r="F4" s="78" t="str">
        <f t="shared" si="0"/>
        <v/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0</v>
      </c>
      <c r="M4" s="42" t="str">
        <f>IF(D4=0,0,IF(F4="",D4,IF(H4="",D4+F4,IF(J4="",D4+F4+H4,D4+F4+H4+J4))))</f>
        <v/>
      </c>
    </row>
    <row r="5" spans="1:13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0</v>
      </c>
      <c r="M5" s="42" t="str">
        <f t="shared" ref="M5:M27" si="4">IF(D5=0,0,IF(F5="",D5,IF(H5="",D5+F5,IF(J5="",D5+F5+H5,D5+F5+H5+J5))))</f>
        <v/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207"/>
      <c r="F10" s="30" t="str">
        <f t="shared" si="0"/>
        <v/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0</v>
      </c>
      <c r="M10" s="42" t="str">
        <f t="shared" si="4"/>
        <v/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207"/>
      <c r="F12" s="30" t="str">
        <f t="shared" si="0"/>
        <v/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0</v>
      </c>
      <c r="M12" s="42" t="str">
        <f t="shared" si="4"/>
        <v/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1000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1000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114950</v>
      </c>
      <c r="D17" s="30">
        <f t="shared" si="0"/>
        <v>0</v>
      </c>
      <c r="E17" s="207">
        <v>103900</v>
      </c>
      <c r="F17" s="30">
        <v>1550</v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218850</v>
      </c>
      <c r="M17" s="42">
        <f t="shared" si="4"/>
        <v>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83400</v>
      </c>
      <c r="D18" s="30">
        <f t="shared" si="0"/>
        <v>0</v>
      </c>
      <c r="E18" s="207">
        <v>30550</v>
      </c>
      <c r="F18" s="30">
        <v>200</v>
      </c>
      <c r="G18" s="180">
        <v>14250</v>
      </c>
      <c r="H18" s="30">
        <v>600</v>
      </c>
      <c r="I18" s="180">
        <v>7250</v>
      </c>
      <c r="J18" s="30">
        <f t="shared" si="3"/>
        <v>0</v>
      </c>
      <c r="L18" s="42">
        <f t="shared" si="5"/>
        <v>135450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>
        <v>-1000</v>
      </c>
      <c r="D27" s="50">
        <f t="shared" si="0"/>
        <v>0</v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-1000</v>
      </c>
      <c r="M27" s="42">
        <f t="shared" si="4"/>
        <v>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198350</v>
      </c>
      <c r="D32" s="44">
        <f t="shared" si="7"/>
        <v>0</v>
      </c>
      <c r="E32" s="43">
        <f t="shared" si="7"/>
        <v>134450</v>
      </c>
      <c r="F32" s="44">
        <f t="shared" si="7"/>
        <v>1750</v>
      </c>
      <c r="G32" s="43">
        <f t="shared" si="7"/>
        <v>14250</v>
      </c>
      <c r="H32" s="44">
        <f t="shared" si="7"/>
        <v>600</v>
      </c>
      <c r="I32" s="43">
        <f t="shared" si="7"/>
        <v>7250</v>
      </c>
      <c r="J32" s="44">
        <f t="shared" si="7"/>
        <v>0</v>
      </c>
      <c r="L32" s="95">
        <f>SUM(L9:L31)</f>
        <v>354300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43</v>
      </c>
      <c r="D2" s="268"/>
      <c r="E2" s="267">
        <f>IF(PREMIOS!$C19="","",PREMIOS!$C19)</f>
        <v>55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/>
      <c r="D4" s="78" t="str">
        <f t="shared" ref="D4:F27" si="0">IF(C4="","",0)</f>
        <v/>
      </c>
      <c r="E4" s="189"/>
      <c r="F4" s="78" t="str">
        <f t="shared" si="0"/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195" t="str">
        <f t="shared" si="1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/>
      <c r="D12" s="30" t="str">
        <f t="shared" si="0"/>
        <v/>
      </c>
      <c r="E12" s="194"/>
      <c r="F12" s="30" t="str">
        <f t="shared" si="0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80150</v>
      </c>
      <c r="D17" s="195">
        <v>150</v>
      </c>
      <c r="E17" s="180">
        <v>58950</v>
      </c>
      <c r="F17" s="30">
        <v>550</v>
      </c>
      <c r="H17" s="42">
        <f t="shared" si="2"/>
        <v>139100</v>
      </c>
      <c r="I17" s="42">
        <f t="shared" si="3"/>
        <v>700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62100</v>
      </c>
      <c r="D18" s="195">
        <f t="shared" si="0"/>
        <v>0</v>
      </c>
      <c r="E18" s="180">
        <v>38900</v>
      </c>
      <c r="F18" s="30">
        <v>300</v>
      </c>
      <c r="H18" s="42">
        <f t="shared" si="2"/>
        <v>101000</v>
      </c>
      <c r="I18" s="42">
        <f t="shared" si="3"/>
        <v>300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142250</v>
      </c>
      <c r="D33" s="44">
        <f>SUM(D4:D32)</f>
        <v>150</v>
      </c>
      <c r="E33" s="43">
        <f>SUM(E4:E32)</f>
        <v>97850</v>
      </c>
      <c r="F33" s="44">
        <f>SUM(F4:F32)</f>
        <v>850</v>
      </c>
      <c r="H33" s="95">
        <f>SUM(H4:H32)</f>
        <v>240100</v>
      </c>
      <c r="I33" s="95">
        <f>SUM(I4:I32)</f>
        <v>1000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E16" sqref="E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80</v>
      </c>
      <c r="D2" s="268"/>
      <c r="E2" s="267">
        <f>IF(PREMIOS!$C20="","",PREMIOS!$C20)</f>
        <v>95</v>
      </c>
      <c r="F2" s="268"/>
      <c r="G2" s="267" t="str">
        <f>IF(PREMIOS!$D20="","",PREMIOS!$D20)</f>
        <v>06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195" t="str">
        <f t="shared" si="0"/>
        <v/>
      </c>
      <c r="E10" s="180"/>
      <c r="F10" s="30" t="str">
        <f t="shared" si="0"/>
        <v/>
      </c>
      <c r="G10" s="180"/>
      <c r="H10" s="195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41300</v>
      </c>
      <c r="D17" s="195">
        <v>150</v>
      </c>
      <c r="E17" s="194">
        <v>10450</v>
      </c>
      <c r="F17" s="195">
        <f t="shared" si="0"/>
        <v>0</v>
      </c>
      <c r="G17" s="194"/>
      <c r="H17" s="195" t="str">
        <f t="shared" si="2"/>
        <v/>
      </c>
      <c r="J17" s="42">
        <f t="shared" si="3"/>
        <v>51750</v>
      </c>
      <c r="K17" s="42">
        <f t="shared" si="4"/>
        <v>150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12300</v>
      </c>
      <c r="D18" s="195">
        <v>100</v>
      </c>
      <c r="E18" s="180">
        <v>14400</v>
      </c>
      <c r="F18" s="30">
        <v>150</v>
      </c>
      <c r="G18" s="180">
        <v>8350</v>
      </c>
      <c r="H18" s="30">
        <v>150</v>
      </c>
      <c r="J18" s="42">
        <f t="shared" si="3"/>
        <v>35050</v>
      </c>
      <c r="K18" s="42">
        <f t="shared" si="4"/>
        <v>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>
        <v>-53600</v>
      </c>
      <c r="D27" s="50">
        <v>-250</v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-53600</v>
      </c>
      <c r="K27" s="42">
        <f t="shared" si="4"/>
        <v>-250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0</v>
      </c>
      <c r="D33" s="44">
        <f t="shared" si="6"/>
        <v>0</v>
      </c>
      <c r="E33" s="43">
        <f t="shared" si="6"/>
        <v>24850</v>
      </c>
      <c r="F33" s="44">
        <f t="shared" si="6"/>
        <v>150</v>
      </c>
      <c r="G33" s="43">
        <f t="shared" si="6"/>
        <v>8350</v>
      </c>
      <c r="H33" s="44">
        <f t="shared" si="6"/>
        <v>150</v>
      </c>
      <c r="J33" s="45">
        <f>SUM(J4:J32)</f>
        <v>33200</v>
      </c>
      <c r="K33" s="95">
        <f>SUM(K4:K32)</f>
        <v>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 t="str">
        <f>IF(PREMIOS!$B21="","",PREMIOS!$B21)</f>
        <v/>
      </c>
      <c r="D2" s="268"/>
      <c r="E2" s="267" t="str">
        <f>IF(PREMIOS!$C21="","",PREMIOS!$C21)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2026-04-07T17:24:18Z</dcterms:modified>
  <dc:language>es-CR</dc:language>
</cp:coreProperties>
</file>
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CUENTAS DIARIAS MACHOTE CON MACROS/"/>
    </mc:Choice>
  </mc:AlternateContent>
  <xr:revisionPtr revIDLastSave="14" documentId="13_ncr:1_{EB1C27A7-1EBD-4619-B18B-0BCA469E8746}" xr6:coauthVersionLast="47" xr6:coauthVersionMax="47" xr10:uidLastSave="{599B923E-EEEE-4B77-AE58-9726E29A117D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D18" i="64" l="1"/>
  <c r="D18" i="65"/>
  <c r="D12" i="65"/>
  <c r="D11" i="65"/>
  <c r="D10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B22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H36" i="60" l="1"/>
  <c r="G36" i="60"/>
  <c r="F36" i="60"/>
  <c r="E36" i="60"/>
  <c r="D36" i="60"/>
  <c r="H35" i="60"/>
  <c r="G35" i="60"/>
  <c r="F35" i="60"/>
  <c r="E35" i="60"/>
  <c r="D35" i="60"/>
  <c r="C36" i="60"/>
  <c r="C35" i="60"/>
  <c r="H34" i="60"/>
  <c r="G34" i="60"/>
  <c r="F34" i="60"/>
  <c r="E34" i="60"/>
  <c r="D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1" i="52" l="1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<sst xmlns="http://schemas.openxmlformats.org/spreadsheetml/2006/main" count="1292" uniqueCount="159">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</sst>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0</v>
      </c>
      <c r="C9" s="9">
        <f>+HojaTICA!K10+HojaNICA!M10+HojaREVENTADO!K10+HojaPrimera!I10+HojaHonduras!K10+HojaDominicana!I10+HojaPANA!G10</f>
        <v>0</v>
      </c>
      <c r="D9" s="9">
        <f>+HojaTICA!N10+HojaNICA!P10+HojaREVENTADO!O10+HojaPrimera!L10+HojaHonduras!N10+HojaDominicana!L10+HojaPANA!J10</f>
        <v>0</v>
      </c>
      <c r="F9" s="14">
        <f t="shared" si="0"/>
        <v>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0</v>
      </c>
      <c r="C11" s="9">
        <f>+HojaTICA!K12+HojaNICA!M12+HojaREVENTADO!K12+HojaPrimera!I12+HojaHonduras!K12+HojaDominicana!I12+HojaPANA!G12</f>
        <v>0</v>
      </c>
      <c r="D11" s="9">
        <f>+HojaTICA!N12+HojaNICA!P12+HojaREVENTADO!O12+HojaPrimera!L12+HojaHonduras!N12+HojaDominicana!L12+HojaPANA!J12</f>
        <v>0</v>
      </c>
      <c r="F11" s="14">
        <f t="shared" si="0"/>
        <v>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0</v>
      </c>
      <c r="C15" s="9">
        <f>+HojaTICA!K16+HojaNICA!M16+HojaREVENTADO!K16+HojaPrimera!I16+HojaHonduras!K16+HojaDominicana!I16+HojaPANA!G16</f>
        <v>0</v>
      </c>
      <c r="D15" s="9">
        <f>+HojaTICA!N16+HojaNICA!P16+HojaREVENTADO!O16+HojaPrimera!L16+HojaHonduras!N16+HojaDominicana!L16+HojaPANA!J16</f>
        <v>0</v>
      </c>
      <c r="F15" s="14">
        <f t="shared" si="0"/>
        <v>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0</v>
      </c>
      <c r="C28" s="17">
        <f t="shared" si="1"/>
        <v>0</v>
      </c>
      <c r="D28" s="18">
        <f t="shared" si="1"/>
        <v>0</v>
      </c>
      <c r="F28" s="20">
        <f>SUM(F3:F27)</f>
        <v>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9" sqref="B19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/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/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/>
      <c r="C19" s="132"/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/>
      <c r="C20" s="163"/>
      <c r="D20" s="166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/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0</v>
      </c>
      <c r="K32" s="45">
        <f>SUM(K7:K31)</f>
        <v>0</v>
      </c>
      <c r="L32" s="95">
        <f>SUM(L4:L31)</f>
        <v>0</v>
      </c>
      <c r="M32" s="95">
        <f>SUM(M4:M31)</f>
        <v>0</v>
      </c>
      <c r="N32" s="95">
        <f>SUM(N4:N31)</f>
        <v>0</v>
      </c>
      <c r="P32" s="79">
        <f>SUM(P4:P31)</f>
        <v>0</v>
      </c>
    </row>
    <row r="33" spans="3:13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1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0"/>
      <c r="H37" s="100"/>
    </row>
    <row r="38" spans="3:13" ht="15" thickBot="1" x14ac:dyDescent="0.4">
      <c r="C38" s="47" t="s">
        <v>30</v>
      </c>
      <c r="D38" s="30">
        <f>M32</f>
        <v>0</v>
      </c>
      <c r="G38" s="100"/>
      <c r="H38" s="100"/>
    </row>
    <row r="39" spans="3:13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/>
      </c>
      <c r="D2" s="268"/>
      <c r="E2" s="267" t="str">
        <f>DigitaNICA!E2</f>
        <v/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0</v>
      </c>
      <c r="D4" s="78">
        <f>IF(Vendedor1!$E$5="",0,Vendedor1!$E$5)</f>
        <v>0</v>
      </c>
      <c r="E4" s="189">
        <f>IF(Vendedor1!$C$9="",0,Vendedor1!$C$9)</f>
        <v>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0</v>
      </c>
      <c r="D10" s="30">
        <f>IF(Vendedor7!$E$5="",0,Vendedor7!$E$5)</f>
        <v>0</v>
      </c>
      <c r="E10" s="180">
        <f>IF(Vendedor7!$C$9="",0,Vendedor7!$C$9)</f>
        <v>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0</v>
      </c>
      <c r="M10" s="41">
        <f>MROUND(L10*Vendedor7!J$15,50)</f>
        <v>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0</v>
      </c>
      <c r="D12" s="30">
        <f>IF(Vendedor9!$E$5="",0,Vendedor9!$E$5)</f>
        <v>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0</v>
      </c>
      <c r="M12" s="41">
        <f>MROUND(L12*Vendedor9!J$12,50)</f>
        <v>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0</v>
      </c>
      <c r="M16" s="41">
        <f>MROUND(L16*Vendedor13!J$12,50)</f>
        <v>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0</v>
      </c>
      <c r="D32" s="44">
        <f t="shared" si="14"/>
        <v>0</v>
      </c>
      <c r="E32" s="43">
        <f t="shared" si="14"/>
        <v>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0</v>
      </c>
      <c r="M32" s="45">
        <f>SUM(M7:M31)</f>
        <v>0</v>
      </c>
      <c r="N32" s="95">
        <f>SUM(N4:N31)</f>
        <v>0</v>
      </c>
      <c r="O32" s="46">
        <f>SUM(O4:O31)</f>
        <v>0</v>
      </c>
      <c r="P32" s="140">
        <f>SUM(P4:P31)</f>
        <v>0</v>
      </c>
      <c r="R32" s="79">
        <f>SUM(R4:R31)</f>
        <v>0</v>
      </c>
    </row>
    <row r="33" spans="3:15" x14ac:dyDescent="0.35">
      <c r="D33" s="120">
        <f>+D32*85</f>
        <v>0</v>
      </c>
      <c r="F33" s="120">
        <f>+F32*85</f>
        <v>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0</v>
      </c>
      <c r="E36" s="43">
        <f>+D36-L4-L5-L6</f>
        <v>0</v>
      </c>
    </row>
    <row r="37" spans="3:15" x14ac:dyDescent="0.35">
      <c r="C37" s="47" t="s">
        <v>33</v>
      </c>
      <c r="D37" s="48">
        <f>D36*13%</f>
        <v>0</v>
      </c>
      <c r="E37">
        <f>+D37-M4-M5-M6</f>
        <v>0</v>
      </c>
    </row>
    <row r="38" spans="3:15" x14ac:dyDescent="0.35">
      <c r="C38" s="47" t="s">
        <v>30</v>
      </c>
      <c r="D38" s="30">
        <f>SUM(O4:O27)</f>
        <v>0</v>
      </c>
      <c r="G38" s="100"/>
    </row>
    <row r="39" spans="3:15" ht="15" thickBot="1" x14ac:dyDescent="0.4">
      <c r="C39" s="49" t="s">
        <v>4</v>
      </c>
      <c r="D39" s="80">
        <f>+D36-D37-D38</f>
        <v>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/>
      </c>
      <c r="D2" s="268"/>
      <c r="E2" s="267" t="str">
        <f>DigitaPRIMERA!E2</f>
        <v/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0</v>
      </c>
      <c r="I12" s="148">
        <f>MROUND(H12*Vendedor9!J$11,50)</f>
        <v>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/>
      </c>
      <c r="D2" s="268"/>
      <c r="E2" s="267" t="str">
        <f>DigitaHONDURAS!E2</f>
        <v/>
      </c>
      <c r="F2" s="268"/>
      <c r="G2" s="267" t="str">
        <f>DigitaHONDURAS!G2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0</v>
      </c>
      <c r="K10" s="41">
        <f>MROUND(J10*Vendedor7!J$14,50)</f>
        <v>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0</v>
      </c>
      <c r="K32" s="45">
        <f>SUM(K7:K31)</f>
        <v>0</v>
      </c>
      <c r="L32" s="95"/>
      <c r="M32" s="95">
        <f>SUM(M4:M31)</f>
        <v>0</v>
      </c>
      <c r="N32" s="95">
        <f>SUM(N4:N31)</f>
        <v>0</v>
      </c>
      <c r="P32" s="79">
        <f>SUM(P4:P31)</f>
        <v>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0</v>
      </c>
      <c r="E36" s="43">
        <f>+D36-J4-J5-J6</f>
        <v>0</v>
      </c>
    </row>
    <row r="37" spans="3:8" x14ac:dyDescent="0.35">
      <c r="C37" s="47" t="s">
        <v>33</v>
      </c>
      <c r="D37" s="48">
        <f>D36*13%</f>
        <v>0</v>
      </c>
      <c r="E37">
        <f>+D37-K4-K5-K6</f>
        <v>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/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01-04-2026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0</v>
      </c>
      <c r="C4" s="157">
        <f>HojaNICA!M32</f>
        <v>0</v>
      </c>
      <c r="D4" s="150">
        <f>HojaNICA!E37</f>
        <v>0</v>
      </c>
      <c r="E4" s="150">
        <f>HojaNICA!P32</f>
        <v>0</v>
      </c>
      <c r="F4" s="150">
        <f>HojaNICA!O32</f>
        <v>0</v>
      </c>
      <c r="G4" s="151">
        <f t="shared" ref="G4:G10" si="0">+D4-C4+F4-E4</f>
        <v>0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0</v>
      </c>
      <c r="C7" s="157">
        <f>HojaPrimera!I32</f>
        <v>0</v>
      </c>
      <c r="D7" s="150">
        <f>HojaPrimera!E37</f>
        <v>0</v>
      </c>
      <c r="E7" s="150">
        <f>HojaPrimera!L32</f>
        <v>0</v>
      </c>
      <c r="F7" s="150">
        <f>HojaPrimera!K32</f>
        <v>0</v>
      </c>
      <c r="G7" s="151">
        <f t="shared" si="0"/>
        <v>0</v>
      </c>
      <c r="H7" s="21"/>
      <c r="I7" s="21"/>
    </row>
    <row r="8" spans="1:9" x14ac:dyDescent="0.35">
      <c r="A8" s="28" t="s">
        <v>104</v>
      </c>
      <c r="B8" s="156">
        <f>HojaHonduras!$E$36</f>
        <v>0</v>
      </c>
      <c r="C8" s="157">
        <f>HojaHonduras!K32</f>
        <v>0</v>
      </c>
      <c r="D8" s="150">
        <f>HojaHonduras!E37</f>
        <v>0</v>
      </c>
      <c r="E8" s="150">
        <f>HojaHonduras!N32</f>
        <v>0</v>
      </c>
      <c r="F8" s="150">
        <f>HojaHonduras!M32</f>
        <v>0</v>
      </c>
      <c r="G8" s="151">
        <f t="shared" si="0"/>
        <v>0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0</v>
      </c>
      <c r="C11" s="175">
        <f>SUM(C4:C10)</f>
        <v>0</v>
      </c>
      <c r="D11" s="175">
        <f t="shared" ref="D11:F11" si="1">SUM(D4:D10)</f>
        <v>0</v>
      </c>
      <c r="E11" s="175">
        <f t="shared" si="1"/>
        <v>0</v>
      </c>
      <c r="F11" s="175">
        <f t="shared" si="1"/>
        <v>0</v>
      </c>
      <c r="G11" s="176">
        <f>SUM(G4:G10)</f>
        <v>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0</v>
      </c>
      <c r="H12" s="141">
        <f>+G11-G12</f>
        <v>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0</v>
      </c>
      <c r="E16" s="157">
        <f>+Vendedor1!D21</f>
        <v>0</v>
      </c>
      <c r="F16" s="158">
        <f>IF(D16&lt;&gt;0,15000,0)</f>
        <v>0</v>
      </c>
      <c r="G16" s="151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0</v>
      </c>
      <c r="E17" s="157">
        <f>+Vendedor2!D21</f>
        <v>0</v>
      </c>
      <c r="F17" s="158">
        <f>IF(D17&lt;&gt;0,15000,0)</f>
        <v>0</v>
      </c>
      <c r="G17" s="151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0</v>
      </c>
      <c r="E19" s="159">
        <f>SUM(E16:E18)</f>
        <v>0</v>
      </c>
      <c r="F19" s="160">
        <f>SUM(F16:F18)</f>
        <v>0</v>
      </c>
      <c r="G19" s="161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01-04-2026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0</v>
      </c>
      <c r="C5" s="150">
        <f>HojaNICA!D37</f>
        <v>0</v>
      </c>
      <c r="D5" s="150">
        <f>HojaNICA!D38</f>
        <v>0</v>
      </c>
      <c r="E5" s="150"/>
      <c r="F5" s="151">
        <f>+B5-C5-D5+E5</f>
        <v>0</v>
      </c>
      <c r="H5" s="249" t="s">
        <v>105</v>
      </c>
      <c r="I5" s="243">
        <f ca="1">TODAY()</f>
        <v>46113</v>
      </c>
      <c r="O5" s="119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0</v>
      </c>
      <c r="C8" s="150">
        <f>HojaPrimera!$D37</f>
        <v>0</v>
      </c>
      <c r="D8" s="150">
        <f>HojaPrimera!$D38</f>
        <v>0</v>
      </c>
      <c r="E8" s="150"/>
      <c r="F8" s="151">
        <f t="shared" si="0"/>
        <v>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0</v>
      </c>
      <c r="C9" s="150">
        <f>HojaHonduras!$D37</f>
        <v>0</v>
      </c>
      <c r="D9" s="150">
        <f>HojaHonduras!$D38</f>
        <v>0</v>
      </c>
      <c r="E9" s="150"/>
      <c r="F9" s="151">
        <f t="shared" si="0"/>
        <v>0</v>
      </c>
      <c r="H9" s="250">
        <f>+K12-K10-H6</f>
        <v>0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/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0</v>
      </c>
    </row>
    <row r="12" spans="1:15" ht="16" thickBot="1" x14ac:dyDescent="0.4">
      <c r="A12" s="144" t="s">
        <v>5</v>
      </c>
      <c r="B12" s="152">
        <f>SUM(B5:B11)</f>
        <v>0</v>
      </c>
      <c r="C12" s="152">
        <f>SUM(C5:C11)</f>
        <v>0</v>
      </c>
      <c r="D12" s="152">
        <f>SUM(D5:D11)</f>
        <v>0</v>
      </c>
      <c r="E12" s="152"/>
      <c r="F12" s="255">
        <f>SUM(F5:F11)</f>
        <v>0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6">SUM(D5:D20)</f>
        <v>0</v>
      </c>
      <c r="E21" s="122">
        <f t="shared" si="6"/>
        <v>0</v>
      </c>
      <c r="F21" s="122">
        <f t="shared" si="6"/>
        <v>0</v>
      </c>
      <c r="G21" s="123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IF(DigitaNICA!C10&lt;&gt;"",DigitaNICA!C10,"")</f>
        <v/>
      </c>
      <c r="D5" s="42">
        <f>IF(C5="",0,C5*J$15)</f>
        <v>0</v>
      </c>
      <c r="E5" s="29" t="str">
        <f>IF(DigitaNICA!D10&lt;&gt;"",DigitaNICA!D10,"")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IF(DigitaPRIMERA!$C$10&lt;&gt;"",DigitaPRIMERA!$C$10,"")</f>
        <v/>
      </c>
      <c r="D19" s="42">
        <f>IF(C19="",0,C19*J$17)</f>
        <v>0</v>
      </c>
      <c r="E19" s="29" t="str">
        <f>IF(DigitaPRIMERA!$D$10&lt;&gt;"",DigitaPRIMERA!$D$10,"")</f>
        <v/>
      </c>
      <c r="F19" s="42">
        <f>IF(E19="",0,E19*PREMIOS!F19)</f>
        <v>0</v>
      </c>
      <c r="G19" s="30">
        <f t="shared" ref="G19:G22" si="7">IF(OR(C19="",E19=""),0,C19-D19-F19)</f>
        <v>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/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F27" si="9">SUM(D5:D26)</f>
        <v>0</v>
      </c>
      <c r="E27" s="68">
        <f t="shared" si="9"/>
        <v>0</v>
      </c>
      <c r="F27" s="68">
        <f t="shared" si="9"/>
        <v>0</v>
      </c>
      <c r="G27" s="88">
        <f>SUM(G5:G26)</f>
        <v>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/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0</v>
      </c>
      <c r="D24" s="68">
        <f t="shared" ref="D24:G24" si="4">SUM(D5:D23)</f>
        <v>0</v>
      </c>
      <c r="E24" s="68">
        <f t="shared" si="4"/>
        <v>0</v>
      </c>
      <c r="F24" s="68">
        <f t="shared" si="4"/>
        <v>0</v>
      </c>
      <c r="G24" s="88">
        <f t="shared" si="4"/>
        <v>0</v>
      </c>
    </row>
    <row r="27" spans="1:7" x14ac:dyDescent="0.35">
      <c r="G27" s="21">
        <v>0</v>
      </c>
    </row>
    <row r="28" spans="1:7" x14ac:dyDescent="0.35">
      <c r="G28" s="141">
        <f>+G24+G27</f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/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/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/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0</v>
      </c>
      <c r="D24" s="122">
        <f t="shared" ref="D24:G24" si="5">SUM(D5:D23)</f>
        <v>0</v>
      </c>
      <c r="E24" s="122">
        <f t="shared" si="5"/>
        <v>0</v>
      </c>
      <c r="F24" s="122">
        <f t="shared" si="5"/>
        <v>0</v>
      </c>
      <c r="G24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/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/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/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/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8" t="str">
        <f t="shared" ref="D4:H27" si="0">IF(C4="","",0)</f>
        <v/>
      </c>
      <c r="E4" s="189"/>
      <c r="F4" s="78" t="str">
        <f t="shared" si="0"/>
        <v/>
      </c>
      <c r="G4" s="189"/>
      <c r="H4" s="78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0</v>
      </c>
      <c r="K32" s="95"/>
    </row>
    <row r="33" spans="2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2:8" x14ac:dyDescent="0.35">
      <c r="B34" s="247" t="s">
        <v>149</v>
      </c>
      <c r="C34" s="43">
        <f t="shared" ref="C34:H34" si="7">+C4+C5+C6+C8+C13</f>
        <v>0</v>
      </c>
      <c r="D34" s="43" t="e">
        <f t="shared" si="7"/>
        <v>#VALUE!</v>
      </c>
      <c r="E34" s="43">
        <f t="shared" si="7"/>
        <v>0</v>
      </c>
      <c r="F34" s="43" t="e">
        <f t="shared" si="7"/>
        <v>#VALUE!</v>
      </c>
      <c r="G34" s="43">
        <f t="shared" si="7"/>
        <v>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0</v>
      </c>
      <c r="D36" s="43" t="e">
        <f t="shared" ref="D36:H36" si="9">+D10+D12+D27</f>
        <v>#VALUE!</v>
      </c>
      <c r="E36" s="43">
        <f t="shared" si="9"/>
        <v>0</v>
      </c>
      <c r="F36" s="43" t="e">
        <f t="shared" si="9"/>
        <v>#VALUE!</v>
      </c>
      <c r="G36" s="43">
        <f t="shared" si="9"/>
        <v>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/>
      </c>
      <c r="D2" s="268"/>
      <c r="E2" s="267" t="str">
        <f>IF(PREMIOS!$B9="","",PREMIOS!$B9)</f>
        <v/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/>
      <c r="D4" s="78" t="str">
        <f t="shared" ref="D4:J27" si="0">IF(C4="","",0)</f>
        <v/>
      </c>
      <c r="E4" s="206"/>
      <c r="F4" s="78" t="str">
        <f t="shared" si="0"/>
        <v/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207"/>
      <c r="F10" s="30" t="str">
        <f t="shared" si="0"/>
        <v/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0</v>
      </c>
      <c r="M10" s="42" t="str">
        <f t="shared" si="4"/>
        <v/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0</v>
      </c>
      <c r="M12" s="42" t="str">
        <f t="shared" si="4"/>
        <v/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0</v>
      </c>
      <c r="M16" s="42" t="str">
        <f t="shared" si="4"/>
        <v/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0</v>
      </c>
      <c r="D32" s="44">
        <f t="shared" si="7"/>
        <v>0</v>
      </c>
      <c r="E32" s="43">
        <f t="shared" si="7"/>
        <v>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/>
      </c>
      <c r="D2" s="268"/>
      <c r="E2" s="267" t="str">
        <f>IF(PREMIOS!$C19="","",PREMIOS!$C19)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/>
      <c r="D4" s="78" t="str">
        <f t="shared" ref="D4:F27" si="0">IF(C4="","",0)</f>
        <v/>
      </c>
      <c r="E4" s="189"/>
      <c r="F4" s="78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195" t="str">
        <f t="shared" si="1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/>
      <c r="D12" s="30" t="str">
        <f t="shared" si="0"/>
        <v/>
      </c>
      <c r="E12" s="194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95">
        <f>SUM(H4:H32)</f>
        <v>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/>
      </c>
      <c r="D2" s="268"/>
      <c r="E2" s="267" t="str">
        <f>IF(PREMIOS!$C20="","",PREMIOS!$C20)</f>
        <v/>
      </c>
      <c r="F2" s="268"/>
      <c r="G2" s="267" t="str">
        <f>IF(PREMIOS!$D20="","",PREMIOS!$D20)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/>
      <c r="F10" s="30" t="str">
        <f t="shared" si="0"/>
        <v/>
      </c>
      <c r="G10" s="180"/>
      <c r="H10" s="195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 t="str">
        <f>IF(PREMIOS!$B21="","",PREMIOS!$B21)</f>
        <v/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2026-04-01T17:35:21Z</dcterms:modified>
  <dc:language>es-CR</dc:language>
</cp:coreProperties>
</file>
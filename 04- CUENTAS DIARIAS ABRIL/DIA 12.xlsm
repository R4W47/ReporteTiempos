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103" documentId="13_ncr:1_{EB1C27A7-1EBD-4619-B18B-0BCA469E8746}" xr6:coauthVersionLast="47" xr6:coauthVersionMax="47" xr10:uidLastSave="{FA493A1C-EBCD-47E3-A661-4ACCCA295884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E10" i="65"/>
  <c r="G10" i="62"/>
  <c r="F10" i="62"/>
  <c r="E10" i="62"/>
  <c r="C10" i="62"/>
  <c r="I10" i="61"/>
  <c r="H10" i="61"/>
  <c r="G10" i="61"/>
  <c r="E10" i="61"/>
  <c r="C10" i="61"/>
  <c r="H17" i="60"/>
  <c r="G17" i="60"/>
  <c r="G10" i="60"/>
  <c r="H18" i="60"/>
  <c r="G18" i="60"/>
  <c r="F17" i="60"/>
  <c r="E17" i="60"/>
  <c r="E18" i="60"/>
  <c r="F10" i="60"/>
  <c r="E10" i="60"/>
  <c r="C18" i="60"/>
  <c r="C10" i="60"/>
  <c r="D17" i="60"/>
  <c r="C17" i="60"/>
  <c r="D12" i="65" l="1"/>
  <c r="D11" i="65"/>
  <c r="D10" i="65"/>
  <c r="D9" i="61"/>
  <c r="D22" i="15"/>
  <c r="C23" i="15"/>
  <c r="G16" i="71" s="1"/>
  <c r="C22" i="15"/>
  <c r="E16" i="71" s="1"/>
  <c r="C21" i="15"/>
  <c r="C16" i="71" s="1"/>
  <c r="H16" i="64"/>
  <c r="E23" i="15" s="1"/>
  <c r="D16" i="64"/>
  <c r="E21" i="15" s="1"/>
  <c r="B2" i="25"/>
  <c r="D27" i="65"/>
  <c r="D26" i="65"/>
  <c r="D25" i="65"/>
  <c r="D24" i="65"/>
  <c r="D23" i="65"/>
  <c r="D22" i="65"/>
  <c r="D21" i="65"/>
  <c r="D20" i="65"/>
  <c r="D19" i="65"/>
  <c r="D17" i="65"/>
  <c r="D16" i="65"/>
  <c r="D15" i="65"/>
  <c r="D14" i="65"/>
  <c r="D13" i="65"/>
  <c r="D9" i="65"/>
  <c r="D8" i="65"/>
  <c r="D7" i="65"/>
  <c r="D6" i="65"/>
  <c r="D5" i="65"/>
  <c r="F14" i="19"/>
  <c r="F10" i="19"/>
  <c r="F6" i="19"/>
  <c r="F14" i="8"/>
  <c r="F10" i="8"/>
  <c r="F6" i="8"/>
  <c r="H12" i="69"/>
  <c r="H9" i="69"/>
  <c r="H16" i="71" l="1"/>
  <c r="F23" i="15"/>
  <c r="G23" i="15" s="1"/>
  <c r="D23" i="15"/>
  <c r="F21" i="15"/>
  <c r="D16" i="71"/>
  <c r="D21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18" i="62"/>
  <c r="D27" i="61"/>
  <c r="D26" i="61"/>
  <c r="D25" i="61"/>
  <c r="D24" i="61"/>
  <c r="D23" i="61"/>
  <c r="D22" i="61"/>
  <c r="D21" i="61"/>
  <c r="D20" i="61"/>
  <c r="D19" i="61"/>
  <c r="D16" i="61"/>
  <c r="D15" i="61"/>
  <c r="D14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8" i="60"/>
  <c r="D16" i="60"/>
  <c r="D15" i="60"/>
  <c r="D14" i="60"/>
  <c r="D13" i="60"/>
  <c r="D12" i="60"/>
  <c r="D11" i="60"/>
  <c r="D9" i="60"/>
  <c r="D8" i="60"/>
  <c r="D7" i="60"/>
  <c r="D5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H10" i="64"/>
  <c r="D10" i="64"/>
  <c r="F8" i="65"/>
  <c r="F18" i="62"/>
  <c r="F16" i="61"/>
  <c r="D6" i="60"/>
  <c r="F18" i="60"/>
  <c r="F16" i="60"/>
  <c r="F15" i="60"/>
  <c r="F14" i="60"/>
  <c r="F35" i="60" s="1"/>
  <c r="F12" i="60"/>
  <c r="F11" i="60"/>
  <c r="F9" i="60"/>
  <c r="F8" i="60"/>
  <c r="F7" i="60"/>
  <c r="F6" i="60"/>
  <c r="F5" i="60"/>
  <c r="H15" i="60"/>
  <c r="H12" i="60"/>
  <c r="H9" i="60"/>
  <c r="H7" i="60"/>
  <c r="H6" i="60"/>
  <c r="F18" i="21"/>
  <c r="F14" i="21"/>
  <c r="F10" i="21"/>
  <c r="F6" i="21"/>
  <c r="K10" i="19"/>
  <c r="J10" i="19"/>
  <c r="L9" i="19"/>
  <c r="K9" i="19"/>
  <c r="J9" i="19"/>
  <c r="L10" i="8"/>
  <c r="K10" i="8"/>
  <c r="J10" i="8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D10" i="62"/>
  <c r="J16" i="61"/>
  <c r="J15" i="61"/>
  <c r="J14" i="61"/>
  <c r="J13" i="61"/>
  <c r="J12" i="61"/>
  <c r="J11" i="61"/>
  <c r="J9" i="61"/>
  <c r="J8" i="61"/>
  <c r="J7" i="61"/>
  <c r="F15" i="61"/>
  <c r="F14" i="61"/>
  <c r="F13" i="61"/>
  <c r="F12" i="61"/>
  <c r="F11" i="61"/>
  <c r="E9" i="16" s="1"/>
  <c r="F9" i="61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F36" i="60"/>
  <c r="D36" i="60"/>
  <c r="D35" i="60"/>
  <c r="E7" i="16"/>
  <c r="H34" i="60"/>
  <c r="F34" i="60"/>
  <c r="D34" i="60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8" i="64"/>
  <c r="F17" i="62"/>
  <c r="E11" i="16"/>
  <c r="K6" i="25"/>
  <c r="K6" i="22"/>
  <c r="H17" i="64"/>
  <c r="F10" i="65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7" i="62"/>
  <c r="H16" i="62"/>
  <c r="H15" i="62"/>
  <c r="H14" i="62"/>
  <c r="H13" i="62"/>
  <c r="H12" i="62"/>
  <c r="H11" i="62"/>
  <c r="E16" i="16" s="1"/>
  <c r="H10" i="62"/>
  <c r="H18" i="61"/>
  <c r="H15" i="61"/>
  <c r="H14" i="61"/>
  <c r="H13" i="61"/>
  <c r="H12" i="61"/>
  <c r="H11" i="61"/>
  <c r="E13" i="16" s="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J18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F10" i="64" l="1"/>
  <c r="H27" i="60"/>
  <c r="H26" i="60"/>
  <c r="H25" i="60"/>
  <c r="H24" i="60"/>
  <c r="H23" i="60"/>
  <c r="H22" i="60"/>
  <c r="H21" i="60"/>
  <c r="H20" i="60"/>
  <c r="H19" i="60"/>
  <c r="G2" i="64" l="1"/>
  <c r="B23" i="15" s="1"/>
  <c r="C2" i="68"/>
  <c r="C2" i="73" s="1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E22" i="15" s="1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J7" i="19" s="1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F26" i="21" s="1"/>
  <c r="L10" i="21" s="1"/>
  <c r="C26" i="2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M8" i="61" s="1"/>
  <c r="H7" i="61"/>
  <c r="H6" i="61"/>
  <c r="H5" i="61"/>
  <c r="M5" i="61" s="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D26" i="21" l="1"/>
  <c r="J10" i="21"/>
  <c r="L6" i="6"/>
  <c r="F22" i="15"/>
  <c r="L8" i="15" s="1"/>
  <c r="F16" i="71"/>
  <c r="L16" i="71" s="1"/>
  <c r="M16" i="71" s="1"/>
  <c r="G22" i="15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M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D23" i="29"/>
  <c r="G23" i="29" s="1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K20" i="21" l="1"/>
  <c r="K10" i="21"/>
  <c r="F21" i="8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I10" i="73" s="1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J5" i="19" s="1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L6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L5" i="15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I13" i="59"/>
  <c r="D17" i="24"/>
  <c r="G17" i="24" s="1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L6" i="22" s="1"/>
  <c r="E11" i="22"/>
  <c r="F11" i="22" s="1"/>
  <c r="E9" i="22"/>
  <c r="F9" i="22" s="1"/>
  <c r="E8" i="22"/>
  <c r="F8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L6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K5" i="8" l="1"/>
  <c r="F24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E37" i="70" s="1"/>
  <c r="D7" i="74" s="1"/>
  <c r="K32" i="70"/>
  <c r="F7" i="74" s="1"/>
  <c r="D38" i="70"/>
  <c r="D8" i="69" s="1"/>
  <c r="B8" i="69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2" i="52"/>
  <c r="D21" i="1"/>
  <c r="Q23" i="52"/>
  <c r="D22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<sst xmlns="http://schemas.openxmlformats.org/spreadsheetml/2006/main" count="1295" uniqueCount="161">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</sst>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7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6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273150</v>
      </c>
      <c r="C3" s="9">
        <f>+HojaTICA!K4+HojaNICA!M4+HojaREVENTADO!K4+HojaPrimera!I4+HojaHonduras!K4+HojaDominicana!I4+HojaPANA!G4</f>
        <v>35550</v>
      </c>
      <c r="D3" s="9">
        <f>+HojaTICA!N4+HojaNICA!P4+HojaREVENTADO!O4+HojaPrimera!L4+HojaHonduras!N4+HojaDominicana!L4+HojaPANA!J4</f>
        <v>133500</v>
      </c>
      <c r="F3" s="10">
        <f t="shared" ref="F3:F27" si="0">+B3-C3-D3</f>
        <v>104100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174600</v>
      </c>
      <c r="C4" s="9">
        <f>+HojaTICA!K5+HojaNICA!M5+HojaREVENTADO!K5+HojaPrimera!I5+HojaHonduras!K5+HojaDominicana!I5+HojaPANA!G5</f>
        <v>22700</v>
      </c>
      <c r="D4" s="9">
        <f>+HojaTICA!N5+HojaNICA!P5+HojaREVENTADO!O5+HojaPrimera!L5+HojaHonduras!N5+HojaDominicana!L5+HojaPANA!J5</f>
        <v>74000</v>
      </c>
      <c r="F4" s="14">
        <f t="shared" si="0"/>
        <v>77900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403300</v>
      </c>
      <c r="C7" s="9">
        <f>+HojaTICA!K8+HojaNICA!M8+HojaREVENTADO!K8+HojaPrimera!I8+HojaHonduras!K8+HojaDominicana!I8+HojaPANA!G8</f>
        <v>48400</v>
      </c>
      <c r="D7" s="9">
        <f>+HojaTICA!N8+HojaNICA!P8+HojaREVENTADO!O8+HojaPrimera!L8+HojaHonduras!N8+HojaDominicana!L8+HojaPANA!J8</f>
        <v>48250</v>
      </c>
      <c r="F7" s="14">
        <f t="shared" si="0"/>
        <v>306650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1101850</v>
      </c>
      <c r="C9" s="9">
        <f>+HojaTICA!K10+HojaNICA!M10+HojaREVENTADO!K10+HojaPrimera!I10+HojaHonduras!K10+HojaDominicana!I10+HojaPANA!G10</f>
        <v>130415</v>
      </c>
      <c r="D9" s="9">
        <f>+HojaTICA!N10+HojaNICA!P10+HojaREVENTADO!O10+HojaPrimera!L10+HojaHonduras!N10+HojaDominicana!L10+HojaPANA!J10</f>
        <v>1483750</v>
      </c>
      <c r="F9" s="14">
        <f t="shared" si="0"/>
        <v>-512315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41000</v>
      </c>
      <c r="C10" s="9">
        <f>+HojaTICA!K11+HojaNICA!M11+HojaREVENTADO!K11+HojaPrimera!I11+HojaHonduras!K11+HojaDominicana!I11+HojaPANA!G11</f>
        <v>4900</v>
      </c>
      <c r="D10" s="9">
        <f>+HojaTICA!N11+HojaNICA!P11+HojaREVENTADO!O11+HojaPrimera!L11+HojaHonduras!N11+HojaDominicana!L11+HojaPANA!J11</f>
        <v>25500</v>
      </c>
      <c r="F10" s="14">
        <f t="shared" si="0"/>
        <v>10600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89300</v>
      </c>
      <c r="C11" s="9">
        <f>+HojaTICA!K12+HojaNICA!M12+HojaREVENTADO!K12+HojaPrimera!I12+HojaHonduras!K12+HojaDominicana!I12+HojaPANA!G12</f>
        <v>10700</v>
      </c>
      <c r="D11" s="9">
        <f>+HojaTICA!N12+HojaNICA!P12+HojaREVENTADO!O12+HojaPrimera!L12+HojaHonduras!N12+HojaDominicana!L12+HojaPANA!J12</f>
        <v>0</v>
      </c>
      <c r="F11" s="14">
        <f t="shared" si="0"/>
        <v>78600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249050</v>
      </c>
      <c r="C12" s="9">
        <f>+HojaTICA!K13+HojaNICA!M13+HojaREVENTADO!K13+HojaPrimera!I13+HojaHonduras!K13+HojaDominicana!I13+HojaPANA!G13</f>
        <v>29900</v>
      </c>
      <c r="D12" s="9">
        <f>+HojaTICA!N13+HojaNICA!P13+HojaREVENTADO!O13+HojaPrimera!L13+HojaHonduras!N13+HojaDominicana!L13+HojaPANA!J13</f>
        <v>191000</v>
      </c>
      <c r="F12" s="14">
        <f t="shared" si="0"/>
        <v>28150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101450</v>
      </c>
      <c r="C13" s="9">
        <f>+HojaTICA!K14+HojaNICA!M14+HojaREVENTADO!K14+HojaPrimera!I14+HojaHonduras!K14+HojaDominicana!I14+HojaPANA!G14</f>
        <v>15200</v>
      </c>
      <c r="D13" s="9">
        <f>+HojaTICA!N14+HojaNICA!P14+HojaREVENTADO!O14+HojaPrimera!L14+HojaHonduras!N14+HojaDominicana!L14+HojaPANA!J14</f>
        <v>40000</v>
      </c>
      <c r="F13" s="14">
        <f t="shared" si="0"/>
        <v>46250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123850</v>
      </c>
      <c r="C15" s="9">
        <f>+HojaTICA!K16+HojaNICA!M16+HojaREVENTADO!K16+HojaPrimera!I16+HojaHonduras!K16+HojaDominicana!I16+HojaPANA!G16</f>
        <v>14750</v>
      </c>
      <c r="D15" s="9">
        <f>+HojaTICA!N16+HojaNICA!P16+HojaREVENTADO!O16+HojaPrimera!L16+HojaHonduras!N16+HojaDominicana!L16+HojaPANA!J16</f>
        <v>25000</v>
      </c>
      <c r="F15" s="14">
        <f t="shared" si="0"/>
        <v>84100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924350</v>
      </c>
      <c r="C16" s="9">
        <f>+HojaTICA!K17+HojaNICA!M17+HojaREVENTADO!K17+HojaPrimera!I17+HojaHonduras!K17+HojaDominicana!I17+HojaPANA!G17</f>
        <v>109575</v>
      </c>
      <c r="D16" s="9">
        <f>+HojaTICA!N17+HojaNICA!P17+HojaREVENTADO!O17+HojaPrimera!L17+HojaHonduras!N17+HojaDominicana!L17+HojaPANA!J17</f>
        <v>335750</v>
      </c>
      <c r="F16" s="14">
        <f t="shared" si="0"/>
        <v>479025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456200</v>
      </c>
      <c r="C17" s="9">
        <f>+HojaTICA!K18+HojaNICA!M18+HojaREVENTADO!K18+HojaPrimera!I18+HojaHonduras!K18+HojaDominicana!I18+HojaPANA!G18</f>
        <v>53785</v>
      </c>
      <c r="D17" s="9">
        <f>+HojaTICA!N18+HojaNICA!P18+HojaREVENTADO!O18+HojaPrimera!L18+HojaHonduras!N18+HojaDominicana!L18+HojaPANA!J18</f>
        <v>123250</v>
      </c>
      <c r="F17" s="14">
        <f t="shared" si="0"/>
        <v>279165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-3600</v>
      </c>
      <c r="C26" s="9">
        <f>+HojaTICA!K27+HojaNICA!M27+HojaREVENTADO!K27+HojaPrimera!I27+HojaHonduras!K27+HojaDominicana!I27+HojaPANA!G27</f>
        <v>-450</v>
      </c>
      <c r="D26" s="9">
        <f>+HojaTICA!N27+HojaNICA!P27+HojaREVENTADO!O27+HojaPrimera!L27+HojaHonduras!N27+HojaDominicana!L27+HojaPANA!J27</f>
        <v>0</v>
      </c>
      <c r="F26" s="14">
        <f t="shared" si="0"/>
        <v>-3150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3934500</v>
      </c>
      <c r="C28" s="17">
        <f t="shared" si="1"/>
        <v>475425</v>
      </c>
      <c r="D28" s="18">
        <f t="shared" si="1"/>
        <v>2480000</v>
      </c>
      <c r="F28" s="20">
        <f>SUM(F3:F27)</f>
        <v>979075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6" sqref="C16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2" t="s">
        <v>6</v>
      </c>
      <c r="B2" s="263"/>
      <c r="C2" s="263"/>
      <c r="D2" s="264"/>
      <c r="E2" s="264"/>
      <c r="F2" s="264"/>
      <c r="G2" s="117"/>
      <c r="I2" s="257" t="s">
        <v>7</v>
      </c>
      <c r="J2" s="257"/>
      <c r="K2" s="257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2" t="s">
        <v>160</v>
      </c>
      <c r="C5" s="132"/>
      <c r="D5" s="136"/>
      <c r="E5" s="30">
        <v>80</v>
      </c>
      <c r="F5" s="30">
        <v>85</v>
      </c>
      <c r="G5" s="30">
        <v>85</v>
      </c>
      <c r="I5" s="258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6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8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2">
        <v>47</v>
      </c>
      <c r="C7" s="132"/>
      <c r="D7" s="136"/>
      <c r="E7" s="30">
        <v>80</v>
      </c>
      <c r="F7" s="30">
        <v>85</v>
      </c>
      <c r="G7" s="30">
        <v>85</v>
      </c>
      <c r="I7" s="258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5" t="str">
        <f>D8</f>
        <v>Blanca</v>
      </c>
      <c r="C8" s="135"/>
      <c r="D8" s="136" t="s">
        <v>17</v>
      </c>
      <c r="E8" s="30">
        <f>IF(D8=J$10,K$10,IF(D8=J$11,K$11,IF(D8=J$12,K$12,"")))</f>
        <v>0</v>
      </c>
      <c r="F8" s="30">
        <f>IF($D8=$J$10,$L$10,IF($D8=$J$11,$L$11,IF($D8=$J$12,$L$12,"")))</f>
        <v>0</v>
      </c>
      <c r="G8" s="30">
        <f>IF($D8=$J$10,$M$10,IF($D8=$J$11,$M$11,IF($D8=$J$12,$M$12,"")))</f>
        <v>0</v>
      </c>
      <c r="I8" s="258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2">
        <v>49</v>
      </c>
      <c r="C9" s="132"/>
      <c r="D9" s="136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6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59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2">
        <v>46</v>
      </c>
      <c r="C11" s="132"/>
      <c r="D11" s="136"/>
      <c r="E11" s="30">
        <v>80</v>
      </c>
      <c r="F11" s="30">
        <v>85</v>
      </c>
      <c r="G11" s="30">
        <v>85</v>
      </c>
      <c r="I11" s="260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5" t="str">
        <f>D12</f>
        <v>Roja</v>
      </c>
      <c r="C12" s="135"/>
      <c r="D12" s="136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1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30</v>
      </c>
      <c r="C13" s="132"/>
      <c r="D13" s="136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6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2">
        <v>81</v>
      </c>
      <c r="C15" s="132"/>
      <c r="D15" s="136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5" t="str">
        <f>D16</f>
        <v>Blanca</v>
      </c>
      <c r="C16" s="135"/>
      <c r="D16" s="136" t="s">
        <v>17</v>
      </c>
      <c r="E16" s="30">
        <f>IF(D16=J$10,K$10,IF(D16=J$11,K$11,IF(D16=J$12,K$12,"")))</f>
        <v>0</v>
      </c>
      <c r="F16" s="30">
        <f>IF(D16=J$10,L$10,IF(D16=J$11,L$11,IF(D16=J$12,L$12,"")))</f>
        <v>0</v>
      </c>
      <c r="G16" s="30">
        <f>IF($D16=$J$10,$M$10,IF($D16=$J$11,$M$11,IF($D16=$J$12,$M$12,"")))</f>
        <v>0</v>
      </c>
    </row>
    <row r="17" spans="1:7" x14ac:dyDescent="0.35">
      <c r="A17" s="28" t="s">
        <v>52</v>
      </c>
      <c r="B17" s="162">
        <v>45</v>
      </c>
      <c r="C17" s="132"/>
      <c r="D17" s="136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6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2">
        <v>65</v>
      </c>
      <c r="C19" s="132">
        <v>70</v>
      </c>
      <c r="D19" s="136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2">
        <v>87</v>
      </c>
      <c r="C20" s="162">
        <v>59</v>
      </c>
      <c r="D20" s="165">
        <v>92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63" t="s">
        <v>160</v>
      </c>
      <c r="C21" s="163">
        <v>78</v>
      </c>
      <c r="D21" s="137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>
        <v>64</v>
      </c>
      <c r="C22" s="134"/>
      <c r="D22" s="138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6" x14ac:dyDescent="0.35">
      <c r="C2" s="266">
        <f>DigitaTICA!C2</f>
        <v>47</v>
      </c>
      <c r="D2" s="267"/>
      <c r="E2" s="266">
        <f>DigitaTICA!E2</f>
        <v>46</v>
      </c>
      <c r="F2" s="267"/>
      <c r="G2" s="266">
        <f>DigitaTICA!G2</f>
        <v>81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79">
        <f>IF(Vendedor1!$C$7="",0,Vendedor1!$C$7)</f>
        <v>49750</v>
      </c>
      <c r="D4" s="30">
        <f>IF(Vendedor1!$E$7="",0,Vendedor1!$E$7)</f>
        <v>250</v>
      </c>
      <c r="E4" s="179">
        <f>IF(Vendedor1!$C$11="",0,Vendedor1!$C$11)</f>
        <v>26400</v>
      </c>
      <c r="F4" s="30">
        <f>IF(Vendedor1!$E$11="",0,Vendedor1!$E$11)</f>
        <v>200</v>
      </c>
      <c r="G4" s="179">
        <f>IF(Vendedor1!$C$15="",0,Vendedor1!$C$15)</f>
        <v>143750</v>
      </c>
      <c r="H4" s="30">
        <f>IF(Vendedor1!$E$15="",0,Vendedor1!$E$15)</f>
        <v>650</v>
      </c>
      <c r="J4" s="42">
        <f t="shared" ref="J4:J7" si="0">+C4+E4+G4</f>
        <v>219900</v>
      </c>
      <c r="K4" s="41">
        <f>MROUND(J4*Vendedor1!J$9,50)</f>
        <v>28600</v>
      </c>
      <c r="L4" s="42">
        <f t="shared" ref="L4:L7" si="1">+D4+F4+H4</f>
        <v>1100</v>
      </c>
      <c r="M4" s="42">
        <f t="shared" ref="M4:M7" si="2">+L4*85</f>
        <v>93500</v>
      </c>
      <c r="N4" s="42">
        <f>Vendedor1!$F$7+Vendedor1!$F$11+Vendedor1!$F$15</f>
        <v>93500</v>
      </c>
      <c r="P4" s="42">
        <f t="shared" ref="P4:P7" si="3">+J4-K4-N4</f>
        <v>97800</v>
      </c>
    </row>
    <row r="5" spans="1:16" x14ac:dyDescent="0.35">
      <c r="A5" s="41">
        <v>2</v>
      </c>
      <c r="B5" s="176" t="str">
        <f>Vendedor2!$B$2</f>
        <v>PUESTO 2</v>
      </c>
      <c r="C5" s="179">
        <f>IF(Vendedor2!$C$7="",0,Vendedor2!$C$7)</f>
        <v>53750</v>
      </c>
      <c r="D5" s="30">
        <f>IF(Vendedor2!$E$7="",0,Vendedor2!$E$7)</f>
        <v>0</v>
      </c>
      <c r="E5" s="179">
        <f>IF(Vendedor2!$C$11="",0,Vendedor2!$C$11)</f>
        <v>29800</v>
      </c>
      <c r="F5" s="30">
        <f>IF(Vendedor2!$E$11="",0,Vendedor2!$E$11)</f>
        <v>0</v>
      </c>
      <c r="G5" s="179">
        <f>IF(Vendedor2!$C$15="",0,Vendedor2!$C$15)</f>
        <v>57950</v>
      </c>
      <c r="H5" s="30">
        <f>IF(Vendedor2!$E$15="",0,Vendedor2!$E$15)</f>
        <v>400</v>
      </c>
      <c r="J5" s="42">
        <f t="shared" si="0"/>
        <v>141500</v>
      </c>
      <c r="K5" s="41">
        <f>MROUND(J5*Vendedor2!J$9,50)</f>
        <v>18400</v>
      </c>
      <c r="L5" s="42">
        <f t="shared" si="1"/>
        <v>400</v>
      </c>
      <c r="M5" s="42">
        <f t="shared" si="2"/>
        <v>34000</v>
      </c>
      <c r="N5" s="42">
        <f>Vendedor2!$F$7+Vendedor2!$F$11+Vendedor2!$F$15</f>
        <v>34000</v>
      </c>
      <c r="P5" s="42">
        <f t="shared" si="3"/>
        <v>89100</v>
      </c>
    </row>
    <row r="6" spans="1:16" x14ac:dyDescent="0.35">
      <c r="A6" s="41">
        <v>3</v>
      </c>
      <c r="B6" s="176" t="str">
        <f>Vendedor3!$B$2</f>
        <v>TABLET</v>
      </c>
      <c r="C6" s="179">
        <f>IF(Vendedor3!$C$7="",0,Vendedor3!$C$7)</f>
        <v>0</v>
      </c>
      <c r="D6" s="30">
        <f>IF(Vendedor3!$E$7="",0,Vendedor3!$E$7)</f>
        <v>0</v>
      </c>
      <c r="E6" s="179">
        <f>IF(Vendedor3!$C$11="",0,Vendedor3!$C$11)</f>
        <v>0</v>
      </c>
      <c r="F6" s="30">
        <f>IF(Vendedor3!$E$11="",0,Vendedor3!$E$11)</f>
        <v>0</v>
      </c>
      <c r="G6" s="179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6" t="str">
        <f>Vendedor4!$B$2</f>
        <v>Nuevo 2</v>
      </c>
      <c r="C7" s="179">
        <f>IF(Vendedor4!$C$7="",0,Vendedor4!$C$7)</f>
        <v>0</v>
      </c>
      <c r="D7" s="30">
        <f>IF(Vendedor4!$E$7="",0,Vendedor4!$E$7)</f>
        <v>0</v>
      </c>
      <c r="E7" s="179">
        <f>IF(Vendedor4!$C$11="",0,Vendedor4!$C$11)</f>
        <v>0</v>
      </c>
      <c r="F7" s="30">
        <f>IF(Vendedor4!$E$11="",0,Vendedor4!$E$11)</f>
        <v>0</v>
      </c>
      <c r="G7" s="179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6" t="str">
        <f>Vendedor5!$B$2</f>
        <v>YOYO</v>
      </c>
      <c r="C8" s="179">
        <f>IF(Vendedor5!$C$7="",0,Vendedor5!$C$7)</f>
        <v>65650</v>
      </c>
      <c r="D8" s="30">
        <f>IF(Vendedor5!$E$7="",0,Vendedor5!$E$7)</f>
        <v>0</v>
      </c>
      <c r="E8" s="179">
        <f>IF(Vendedor5!$C$11="",0,Vendedor5!$C$11)</f>
        <v>40750</v>
      </c>
      <c r="F8" s="30">
        <f>IF(Vendedor5!$E$11="",0,Vendedor5!$E$11)</f>
        <v>0</v>
      </c>
      <c r="G8" s="179">
        <f>IF(Vendedor5!$C$15="",0,Vendedor5!$C$15)</f>
        <v>54250</v>
      </c>
      <c r="H8" s="30">
        <f>IF(Vendedor5!$E$15="",0,Vendedor5!$E$15)</f>
        <v>50</v>
      </c>
      <c r="J8" s="42">
        <f t="shared" ref="J8" si="4">+C8+E8+G8</f>
        <v>160650</v>
      </c>
      <c r="K8" s="41">
        <f>MROUND(J8*Vendedor5!J$11,50)</f>
        <v>19300</v>
      </c>
      <c r="L8" s="42">
        <f t="shared" ref="L8" si="5">+D8+F8+H8</f>
        <v>50</v>
      </c>
      <c r="M8" s="42">
        <f t="shared" ref="M8" si="6">+L8*85</f>
        <v>4250</v>
      </c>
      <c r="N8" s="42">
        <f>Vendedor5!$F$7+Vendedor5!$F$11+Vendedor5!$F$15</f>
        <v>4250</v>
      </c>
      <c r="P8" s="42">
        <f t="shared" ref="P8" si="7">+J8-K8-N8</f>
        <v>137100</v>
      </c>
    </row>
    <row r="9" spans="1:16" x14ac:dyDescent="0.35">
      <c r="A9" s="41">
        <v>6</v>
      </c>
      <c r="B9" s="177" t="str">
        <f>Vendedor6!$B$2</f>
        <v>vendedor 06</v>
      </c>
      <c r="C9" s="179">
        <f>IF(Vendedor6!$C$7="",0,Vendedor6!$C$7)</f>
        <v>0</v>
      </c>
      <c r="D9" s="30">
        <f>IF(Vendedor6!$E$7="",0,Vendedor6!$E$7)</f>
        <v>0</v>
      </c>
      <c r="E9" s="179">
        <f>IF(Vendedor6!$C$11="",0,Vendedor6!$C$11)</f>
        <v>0</v>
      </c>
      <c r="F9" s="30">
        <f>IF(Vendedor6!$E$11="",0,Vendedor6!$E$11)</f>
        <v>0</v>
      </c>
      <c r="G9" s="179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IF(Vendedor7!$C$7="",0,Vendedor7!$C$7)</f>
        <v>145500</v>
      </c>
      <c r="D10" s="30">
        <f>IF(Vendedor7!$E$7="",0,Vendedor7!$E$7)</f>
        <v>3000</v>
      </c>
      <c r="E10" s="179">
        <f>IF(Vendedor7!$C$11="",0,Vendedor7!$C$11)</f>
        <v>113800</v>
      </c>
      <c r="F10" s="30">
        <f>IF(Vendedor7!$E$11="",0,Vendedor7!$E$11)</f>
        <v>3600</v>
      </c>
      <c r="G10" s="179">
        <f>IF(Vendedor7!$C$15="",0,Vendedor7!$C$15)</f>
        <v>165400</v>
      </c>
      <c r="H10" s="30">
        <f>IF(Vendedor7!$E$15="",0,Vendedor7!$E$15)</f>
        <v>500</v>
      </c>
      <c r="J10" s="42">
        <f t="shared" si="8"/>
        <v>424700</v>
      </c>
      <c r="K10" s="41">
        <f>MROUND(J10*Vendedor7!J$14,50)</f>
        <v>50950</v>
      </c>
      <c r="L10" s="42">
        <f t="shared" si="9"/>
        <v>7100</v>
      </c>
      <c r="M10" s="42">
        <f t="shared" si="10"/>
        <v>603500</v>
      </c>
      <c r="N10" s="42">
        <f>Vendedor7!$F$7+Vendedor7!$F$11+Vendedor7!$F$15</f>
        <v>603500</v>
      </c>
      <c r="P10" s="42">
        <f t="shared" si="11"/>
        <v>-229750</v>
      </c>
    </row>
    <row r="11" spans="1:16" x14ac:dyDescent="0.35">
      <c r="A11" s="41">
        <v>8</v>
      </c>
      <c r="B11" s="177" t="str">
        <f>Vendedor8!$B$2</f>
        <v>ISA</v>
      </c>
      <c r="C11" s="179">
        <f>IF(Vendedor8!$C$7="",0,Vendedor8!$C$7)</f>
        <v>13500</v>
      </c>
      <c r="D11" s="30">
        <f>IF(Vendedor8!$E$7="",0,Vendedor8!$E$7)</f>
        <v>0</v>
      </c>
      <c r="E11" s="179">
        <f>IF(Vendedor8!$C$11="",0,Vendedor8!$C$11)</f>
        <v>0</v>
      </c>
      <c r="F11" s="30">
        <f>IF(Vendedor8!$E$11="",0,Vendedor8!$E$11)</f>
        <v>0</v>
      </c>
      <c r="G11" s="179">
        <f>IF(Vendedor8!$C$15="",0,Vendedor8!$C$15)</f>
        <v>27500</v>
      </c>
      <c r="H11" s="30">
        <f>IF(Vendedor8!$E$15="",0,Vendedor8!$E$15)</f>
        <v>300</v>
      </c>
      <c r="J11" s="42">
        <f t="shared" si="8"/>
        <v>41000</v>
      </c>
      <c r="K11" s="41">
        <f>MROUND(J11*Vendedor8!J$11,50)</f>
        <v>4900</v>
      </c>
      <c r="L11" s="42">
        <f t="shared" si="9"/>
        <v>300</v>
      </c>
      <c r="M11" s="42">
        <f t="shared" si="10"/>
        <v>25500</v>
      </c>
      <c r="N11" s="42">
        <f>Vendedor8!$F$7+Vendedor8!$F$11+Vendedor8!$F$15</f>
        <v>25500</v>
      </c>
      <c r="P11" s="42">
        <f t="shared" si="11"/>
        <v>10600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IF(Vendedor9!$C$7="",0,Vendedor9!$C$7)</f>
        <v>16100</v>
      </c>
      <c r="D12" s="30">
        <f>IF(Vendedor9!$E$7="",0,Vendedor9!$E$7)</f>
        <v>0</v>
      </c>
      <c r="E12" s="179">
        <f>IF(Vendedor9!$C$11="",0,Vendedor9!$C$11)</f>
        <v>4100</v>
      </c>
      <c r="F12" s="30">
        <f>IF(Vendedor9!$E$11="",0,Vendedor9!$E$11)</f>
        <v>0</v>
      </c>
      <c r="G12" s="179">
        <f>IF(Vendedor9!$C$15="",0,Vendedor9!$C$15)</f>
        <v>22900</v>
      </c>
      <c r="H12" s="30">
        <f>IF(Vendedor9!$E$15="",0,Vendedor9!$E$15)</f>
        <v>0</v>
      </c>
      <c r="J12" s="42">
        <f t="shared" si="8"/>
        <v>43100</v>
      </c>
      <c r="K12" s="41">
        <f>MROUND(J12*Vendedor9!J$11,50)</f>
        <v>5150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37950</v>
      </c>
    </row>
    <row r="13" spans="1:16" x14ac:dyDescent="0.35">
      <c r="A13" s="41">
        <v>10</v>
      </c>
      <c r="B13" s="177" t="str">
        <f>Vendedor10!$B$2</f>
        <v>MARIALIZ</v>
      </c>
      <c r="C13" s="179">
        <f>IF(Vendedor10!$C$7="",0,Vendedor10!$C$7)</f>
        <v>47800</v>
      </c>
      <c r="D13" s="30">
        <f>IF(Vendedor10!$E$7="",0,Vendedor10!$E$7)</f>
        <v>0</v>
      </c>
      <c r="E13" s="179">
        <f>IF(Vendedor10!$C$11="",0,Vendedor10!$C$11)</f>
        <v>35200</v>
      </c>
      <c r="F13" s="30">
        <f>IF(Vendedor10!$E$11="",0,Vendedor10!$E$11)</f>
        <v>100</v>
      </c>
      <c r="G13" s="179">
        <f>IF(Vendedor10!$C$15="",0,Vendedor10!$C$15)</f>
        <v>78750</v>
      </c>
      <c r="H13" s="30">
        <f>IF(Vendedor10!$E$15="",0,Vendedor10!$E$15)</f>
        <v>1300</v>
      </c>
      <c r="J13" s="42">
        <f t="shared" si="8"/>
        <v>161750</v>
      </c>
      <c r="K13" s="41">
        <f>MROUND(J13*Vendedor10!J$9,50)</f>
        <v>19400</v>
      </c>
      <c r="L13" s="42">
        <f t="shared" si="9"/>
        <v>1400</v>
      </c>
      <c r="M13" s="42">
        <f t="shared" si="10"/>
        <v>119000</v>
      </c>
      <c r="N13" s="42">
        <f>Vendedor10!$F$7+Vendedor10!$F$11+Vendedor10!$F$15</f>
        <v>119000</v>
      </c>
      <c r="P13" s="42">
        <f t="shared" si="11"/>
        <v>23350</v>
      </c>
    </row>
    <row r="14" spans="1:16" x14ac:dyDescent="0.35">
      <c r="A14" s="41">
        <v>11</v>
      </c>
      <c r="B14" s="177" t="str">
        <f>Vendedor11!$B$2</f>
        <v>CHARLY</v>
      </c>
      <c r="C14" s="179">
        <f>IF(Vendedor11!$C$7="",0,Vendedor11!$C$7)</f>
        <v>34150</v>
      </c>
      <c r="D14" s="30">
        <f>IF(Vendedor11!$E$7="",0,Vendedor11!$E$7)</f>
        <v>0</v>
      </c>
      <c r="E14" s="179">
        <f>IF(Vendedor11!$C$11="",0,Vendedor11!$C$11)</f>
        <v>17300</v>
      </c>
      <c r="F14" s="30">
        <f>IF(Vendedor11!$E$11="",0,Vendedor11!$E$11)</f>
        <v>0</v>
      </c>
      <c r="G14" s="179">
        <f>IF(Vendedor11!$C$15="",0,Vendedor11!$C$15)</f>
        <v>50000</v>
      </c>
      <c r="H14" s="30">
        <f>IF(Vendedor11!$E$15="",0,Vendedor11!$E$15)</f>
        <v>500</v>
      </c>
      <c r="J14" s="42">
        <f t="shared" si="8"/>
        <v>101450</v>
      </c>
      <c r="K14" s="41">
        <f>MROUND(J14*Vendedor11!J$9,50)</f>
        <v>15200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46250</v>
      </c>
    </row>
    <row r="15" spans="1:16" x14ac:dyDescent="0.35">
      <c r="A15" s="41">
        <v>12</v>
      </c>
      <c r="B15" s="177" t="str">
        <f>Vendedor12!$B$2</f>
        <v>LAURY</v>
      </c>
      <c r="C15" s="179">
        <f>IF(Vendedor12!$C$7="",0,Vendedor12!$C$7)</f>
        <v>0</v>
      </c>
      <c r="D15" s="30">
        <f>IF(Vendedor12!$E$7="",0,Vendedor12!$E$7)</f>
        <v>0</v>
      </c>
      <c r="E15" s="179">
        <f>IF(Vendedor12!$C$11="",0,Vendedor12!$C$11)</f>
        <v>0</v>
      </c>
      <c r="F15" s="30">
        <f>IF(Vendedor12!$E$11="",0,Vendedor12!$E$11)</f>
        <v>0</v>
      </c>
      <c r="G15" s="179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IF(Vendedor13!$C$7="",0,Vendedor13!$C$7)</f>
        <v>17400</v>
      </c>
      <c r="D16" s="30">
        <f>IF(Vendedor13!$E$7="",0,Vendedor13!$E$7)</f>
        <v>0</v>
      </c>
      <c r="E16" s="179">
        <f>IF(Vendedor13!$C$11="",0,Vendedor13!$C$11)</f>
        <v>9900</v>
      </c>
      <c r="F16" s="30">
        <f>IF(Vendedor13!$E$11="",0,Vendedor13!$E$11)</f>
        <v>0</v>
      </c>
      <c r="G16" s="179">
        <f>IF(Vendedor13!$C$15="",0,Vendedor13!$C$15)</f>
        <v>41500</v>
      </c>
      <c r="H16" s="30">
        <f>IF(Vendedor13!$E$15="",0,Vendedor13!$E$15)</f>
        <v>200</v>
      </c>
      <c r="J16" s="42">
        <f t="shared" si="8"/>
        <v>68800</v>
      </c>
      <c r="K16" s="41">
        <f>MROUND(J16*Vendedor13!J$11,50)</f>
        <v>8250</v>
      </c>
      <c r="L16" s="42">
        <f t="shared" si="9"/>
        <v>200</v>
      </c>
      <c r="M16" s="42">
        <f t="shared" si="10"/>
        <v>17000</v>
      </c>
      <c r="N16" s="42">
        <f>Vendedor13!$F$7+Vendedor13!$F$11+Vendedor13!$F$15</f>
        <v>17000</v>
      </c>
      <c r="P16" s="42">
        <f t="shared" si="11"/>
        <v>43550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IF(Vendedor14!$C$7="",0,Vendedor14!$C$7)</f>
        <v>100600</v>
      </c>
      <c r="D17" s="30">
        <f>IF(Vendedor14!$E$7="",0,Vendedor14!$E$7)</f>
        <v>850</v>
      </c>
      <c r="E17" s="179">
        <f>IF(Vendedor14!$C$11="",0,Vendedor14!$C$11)</f>
        <v>101100</v>
      </c>
      <c r="F17" s="30">
        <f>IF(Vendedor14!$E$11="",0,Vendedor14!$E$11)</f>
        <v>500</v>
      </c>
      <c r="G17" s="179">
        <f>IF(Vendedor14!$C$15="",0,Vendedor14!$C$15)</f>
        <v>214100</v>
      </c>
      <c r="H17" s="30">
        <f>IF(Vendedor14!$E$15="",0,Vendedor14!$E$15)</f>
        <v>800</v>
      </c>
      <c r="J17" s="42">
        <f t="shared" si="8"/>
        <v>415800</v>
      </c>
      <c r="K17" s="41">
        <f>MROUND(J17*Vendedor14!J$15,50)</f>
        <v>49900</v>
      </c>
      <c r="L17" s="42">
        <f t="shared" si="9"/>
        <v>2150</v>
      </c>
      <c r="M17" s="42">
        <f t="shared" si="10"/>
        <v>182750</v>
      </c>
      <c r="N17" s="42">
        <f>Vendedor14!$F$7+Vendedor14!$F$11+Vendedor14!$F$15</f>
        <v>182750</v>
      </c>
      <c r="P17" s="42">
        <f t="shared" si="11"/>
        <v>183150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IF(Vendedor15!$C$7="",0,Vendedor15!$C$7)</f>
        <v>72300</v>
      </c>
      <c r="D18" s="30">
        <f>IF(Vendedor15!$E$7="",0,Vendedor15!$E$7)</f>
        <v>0</v>
      </c>
      <c r="E18" s="179">
        <f>IF(Vendedor15!$C$11="",0,Vendedor15!$C$11)</f>
        <v>47700</v>
      </c>
      <c r="F18" s="30">
        <f>IF(Vendedor15!$E$11="",0,Vendedor15!$E$11)</f>
        <v>0</v>
      </c>
      <c r="G18" s="179">
        <f>IF(Vendedor15!$C$15="",0,Vendedor15!$C$15)</f>
        <v>53050</v>
      </c>
      <c r="H18" s="30">
        <f>IF(Vendedor15!$E$15="",0,Vendedor15!$E$15)</f>
        <v>150</v>
      </c>
      <c r="J18" s="42">
        <f t="shared" ref="J18" si="12">+C18+E18+G18</f>
        <v>173050</v>
      </c>
      <c r="K18" s="41">
        <f>MROUND(J18*Vendedor15!J$15,50)</f>
        <v>20750</v>
      </c>
      <c r="L18" s="42">
        <f t="shared" ref="L18" si="13">+D18+F18+H18</f>
        <v>150</v>
      </c>
      <c r="M18" s="42">
        <f t="shared" ref="M18" si="14">+L18*85</f>
        <v>12750</v>
      </c>
      <c r="N18" s="42">
        <f>Vendedor15!$F$7+Vendedor15!$F$11+Vendedor15!$F$15</f>
        <v>12750</v>
      </c>
      <c r="P18" s="42">
        <f t="shared" ref="P18" si="15">+J18-K18-N18</f>
        <v>139550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IF(Vendedor24!$C$7="",0,Vendedor24!$C$7)</f>
        <v>0</v>
      </c>
      <c r="D27" s="50">
        <f>IF(Vendedor24!$E$7="",0,Vendedor24!$E$7)</f>
        <v>0</v>
      </c>
      <c r="E27" s="180">
        <f>IF(Vendedor24!$C$11="",0,Vendedor24!$C$11)</f>
        <v>0</v>
      </c>
      <c r="F27" s="50">
        <f>IF(Vendedor24!$E$11="",0,Vendedor24!$E$11)</f>
        <v>0</v>
      </c>
      <c r="G27" s="180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616500</v>
      </c>
      <c r="D32" s="44">
        <f t="shared" si="16"/>
        <v>4100</v>
      </c>
      <c r="E32" s="43">
        <f t="shared" si="16"/>
        <v>426050</v>
      </c>
      <c r="F32" s="44">
        <f t="shared" si="16"/>
        <v>4400</v>
      </c>
      <c r="G32" s="43">
        <f t="shared" si="16"/>
        <v>909150</v>
      </c>
      <c r="H32" s="44">
        <f t="shared" si="16"/>
        <v>4850</v>
      </c>
      <c r="J32" s="95">
        <f>SUM(J4:J31)</f>
        <v>1951700</v>
      </c>
      <c r="K32" s="45">
        <f>SUM(K7:K31)</f>
        <v>193800</v>
      </c>
      <c r="L32" s="95">
        <f>SUM(L4:L31)</f>
        <v>13350</v>
      </c>
      <c r="M32" s="95">
        <f>SUM(M4:M31)</f>
        <v>1134750</v>
      </c>
      <c r="N32" s="95">
        <f>SUM(N4:N31)</f>
        <v>1132250</v>
      </c>
      <c r="P32" s="79">
        <f>SUM(P4:P31)</f>
        <v>578650</v>
      </c>
    </row>
    <row r="33" spans="3:13" x14ac:dyDescent="0.35">
      <c r="D33" s="99">
        <f>+D32*85</f>
        <v>348500</v>
      </c>
      <c r="F33" s="99">
        <f>+F32*85</f>
        <v>374000</v>
      </c>
      <c r="H33" s="99">
        <f>+H32*85</f>
        <v>412250</v>
      </c>
    </row>
    <row r="34" spans="3:13" ht="15" thickBot="1" x14ac:dyDescent="0.4">
      <c r="L34" s="148"/>
      <c r="M34" s="43"/>
    </row>
    <row r="35" spans="3:13" x14ac:dyDescent="0.35">
      <c r="C35" s="265" t="s">
        <v>89</v>
      </c>
      <c r="D35" s="265"/>
    </row>
    <row r="36" spans="3:13" x14ac:dyDescent="0.35">
      <c r="C36" s="47" t="s">
        <v>28</v>
      </c>
      <c r="D36" s="30">
        <f>+C32+E32+G32</f>
        <v>1951700</v>
      </c>
      <c r="E36" s="43">
        <f>+D36-J4-J5-J6</f>
        <v>1590300</v>
      </c>
      <c r="G36" s="101"/>
    </row>
    <row r="37" spans="3:13" x14ac:dyDescent="0.35">
      <c r="C37" s="47" t="s">
        <v>33</v>
      </c>
      <c r="D37" s="48">
        <f>D36*13%</f>
        <v>253721</v>
      </c>
      <c r="E37">
        <f>+D37-K4-K5-K6</f>
        <v>206721</v>
      </c>
      <c r="G37" s="100"/>
      <c r="H37" s="100"/>
    </row>
    <row r="38" spans="3:13" ht="15" thickBot="1" x14ac:dyDescent="0.4">
      <c r="C38" s="47" t="s">
        <v>30</v>
      </c>
      <c r="D38" s="30">
        <f>M32</f>
        <v>1134750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563229</v>
      </c>
      <c r="F39" s="98">
        <f>+P32-D39</f>
        <v>15421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563229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8" x14ac:dyDescent="0.35">
      <c r="C2" s="266" t="str">
        <f>DigitaNICA!C2</f>
        <v>01</v>
      </c>
      <c r="D2" s="267"/>
      <c r="E2" s="266">
        <f>DigitaNICA!E2</f>
        <v>49</v>
      </c>
      <c r="F2" s="267"/>
      <c r="G2" s="266">
        <f>DigitaNICA!G2</f>
        <v>30</v>
      </c>
      <c r="H2" s="267"/>
      <c r="I2" s="266">
        <f>DigitaNICA!I2</f>
        <v>45</v>
      </c>
      <c r="J2" s="267"/>
    </row>
    <row r="3" spans="1:18" ht="15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6">
        <v>1</v>
      </c>
      <c r="B4" s="198" t="str">
        <f>Vendedor1!$B$2</f>
        <v>VENTANA</v>
      </c>
      <c r="C4" s="188">
        <f>IF(Vendedor1!$C$5="",0,Vendedor1!$C$5)</f>
        <v>23300</v>
      </c>
      <c r="D4" s="78">
        <f>IF(Vendedor1!$E$5="",0,Vendedor1!$E$5)</f>
        <v>0</v>
      </c>
      <c r="E4" s="188">
        <f>IF(Vendedor1!$C$9="",0,Vendedor1!$C$9)</f>
        <v>14000</v>
      </c>
      <c r="F4" s="78">
        <f>IF(Vendedor1!$E$9="",0,Vendedor1!$E$9)</f>
        <v>0</v>
      </c>
      <c r="G4" s="188">
        <f>IF(Vendedor1!$C$13="",0,Vendedor1!$C$13)</f>
        <v>7900</v>
      </c>
      <c r="H4" s="78">
        <f>IF(Vendedor1!$E$13="",0,Vendedor1!$E$13)</f>
        <v>500</v>
      </c>
      <c r="I4" s="188">
        <f>IF(Vendedor1!$C$17="",0,Vendedor1!$C$17)</f>
        <v>500</v>
      </c>
      <c r="J4" s="78">
        <f>IF(Vendedor1!$E$17="",0,Vendedor1!$E$17)</f>
        <v>0</v>
      </c>
      <c r="L4" s="42">
        <f t="shared" ref="L4:L7" si="0">C4+E4+G4+I4</f>
        <v>45700</v>
      </c>
      <c r="M4" s="41">
        <f>MROUND(L4*Vendedor1!J$10,50)</f>
        <v>5950</v>
      </c>
      <c r="N4" s="42">
        <f t="shared" ref="N4:N7" si="1">D4+F4+H4+J4</f>
        <v>500</v>
      </c>
      <c r="O4" s="41">
        <f>IFERROR(N4*85,0)</f>
        <v>42500</v>
      </c>
      <c r="P4" s="42">
        <f>Vendedor1!$F$5+Vendedor1!$F$9+Vendedor1!$F$13+Vendedor1!$F$17</f>
        <v>40000</v>
      </c>
      <c r="R4" s="41">
        <f t="shared" ref="R4:R7" si="2">+L4-M4-O4</f>
        <v>-2750</v>
      </c>
    </row>
    <row r="5" spans="1:18" x14ac:dyDescent="0.35">
      <c r="A5" s="47">
        <v>2</v>
      </c>
      <c r="B5" s="176" t="str">
        <f>Vendedor2!$B$2</f>
        <v>PUESTO 2</v>
      </c>
      <c r="C5" s="179">
        <f>IF(Vendedor2!$C$5="",0,Vendedor2!$C$5)</f>
        <v>26600</v>
      </c>
      <c r="D5" s="30">
        <f>IF(Vendedor2!$E$5="",0,Vendedor2!$E$5)</f>
        <v>500</v>
      </c>
      <c r="E5" s="179">
        <f>IF(Vendedor2!$C$9="",0,Vendedor2!$C$9)</f>
        <v>3500</v>
      </c>
      <c r="F5" s="30">
        <f>IF(Vendedor2!$E$9="",0,Vendedor2!$E$9)</f>
        <v>0</v>
      </c>
      <c r="G5" s="179">
        <f>IF(Vendedor2!$C$13="",0,Vendedor2!$C$13)</f>
        <v>700</v>
      </c>
      <c r="H5" s="30">
        <f>IF(Vendedor2!$E$13="",0,Vendedor2!$E$13)</f>
        <v>0</v>
      </c>
      <c r="I5" s="179">
        <f>IF(Vendedor2!$C$17="",0,Vendedor2!$C$17)</f>
        <v>0</v>
      </c>
      <c r="J5" s="30">
        <f>IF(Vendedor2!$E$17="",0,Vendedor2!$E$17)</f>
        <v>0</v>
      </c>
      <c r="L5" s="42">
        <f t="shared" si="0"/>
        <v>30800</v>
      </c>
      <c r="M5" s="41">
        <f>MROUND(L5*Vendedor2!J$10,50)</f>
        <v>4000</v>
      </c>
      <c r="N5" s="42">
        <f t="shared" si="1"/>
        <v>500</v>
      </c>
      <c r="O5" s="41">
        <f t="shared" ref="O5:O27" si="3">IFERROR(N5*85,0)</f>
        <v>42500</v>
      </c>
      <c r="P5" s="42">
        <f>Vendedor2!$F$5+Vendedor2!$F$9+Vendedor2!$F$13+Vendedor2!$F$17</f>
        <v>40000</v>
      </c>
      <c r="Q5">
        <v>5</v>
      </c>
      <c r="R5" s="41">
        <f t="shared" si="2"/>
        <v>-15700</v>
      </c>
    </row>
    <row r="6" spans="1:18" x14ac:dyDescent="0.35">
      <c r="A6" s="47">
        <v>3</v>
      </c>
      <c r="B6" s="176" t="str">
        <f>Vendedor3!$B$2</f>
        <v>TABLET</v>
      </c>
      <c r="C6" s="179">
        <f>IF(Vendedor3!$C$5="",0,Vendedor3!$C$5)</f>
        <v>0</v>
      </c>
      <c r="D6" s="30">
        <f>IF(Vendedor3!$E$5="",0,Vendedor3!$E$5)</f>
        <v>0</v>
      </c>
      <c r="E6" s="179">
        <f>IF(Vendedor3!$C$9="",0,Vendedor3!$C$9)</f>
        <v>0</v>
      </c>
      <c r="F6" s="30">
        <f>IF(Vendedor3!$E$9="",0,Vendedor3!$E$9)</f>
        <v>0</v>
      </c>
      <c r="G6" s="179">
        <f>IF(Vendedor3!$C$13="",0,Vendedor3!$C$13)</f>
        <v>0</v>
      </c>
      <c r="H6" s="30">
        <f>IF(Vendedor3!$E$13="",0,Vendedor3!$E$13)</f>
        <v>0</v>
      </c>
      <c r="I6" s="179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6" t="str">
        <f>Vendedor4!$B$2</f>
        <v>Nuevo 2</v>
      </c>
      <c r="C7" s="179">
        <f>IF(Vendedor4!$C$5="",0,Vendedor4!$C$5)</f>
        <v>0</v>
      </c>
      <c r="D7" s="30">
        <f>IF(Vendedor4!$E$5="",0,Vendedor4!$E$5)</f>
        <v>0</v>
      </c>
      <c r="E7" s="179">
        <f>IF(Vendedor4!$C$9="",0,Vendedor4!$C$9)</f>
        <v>0</v>
      </c>
      <c r="F7" s="30">
        <f>IF(Vendedor4!$E$9="",0,Vendedor4!$E$9)</f>
        <v>0</v>
      </c>
      <c r="G7" s="179">
        <f>IF(Vendedor4!$C$13="",0,Vendedor4!$C$13)</f>
        <v>0</v>
      </c>
      <c r="H7" s="30">
        <f>IF(Vendedor4!$E$13="",0,Vendedor4!$E$13)</f>
        <v>0</v>
      </c>
      <c r="I7" s="179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6" t="str">
        <f>Vendedor5!$B$2</f>
        <v>YOYO</v>
      </c>
      <c r="C8" s="179">
        <f>IF(Vendedor5!$C$5="",0,Vendedor5!$C$5)</f>
        <v>70950</v>
      </c>
      <c r="D8" s="30">
        <f>IF(Vendedor5!$E$5="",0,Vendedor5!$E$5)</f>
        <v>550</v>
      </c>
      <c r="E8" s="179">
        <f>IF(Vendedor5!$C$9="",0,Vendedor5!$C$9)</f>
        <v>67350</v>
      </c>
      <c r="F8" s="30">
        <f>IF(Vendedor5!$E$9="",0,Vendedor5!$E$9)</f>
        <v>0</v>
      </c>
      <c r="G8" s="179">
        <f>IF(Vendedor5!$C$13="",0,Vendedor5!$C$13)</f>
        <v>9950</v>
      </c>
      <c r="H8" s="30">
        <f>IF(Vendedor5!$E$13="",0,Vendedor5!$E$13)</f>
        <v>0</v>
      </c>
      <c r="I8" s="179">
        <f>IF(Vendedor5!$C$17="",0,Vendedor5!$C$17)</f>
        <v>21450</v>
      </c>
      <c r="J8" s="30">
        <f>IF(Vendedor5!$E$17="",0,Vendedor5!$E$17)</f>
        <v>0</v>
      </c>
      <c r="L8" s="42">
        <f t="shared" ref="L8" si="4">C8+E8+G8+I8</f>
        <v>169700</v>
      </c>
      <c r="M8" s="41">
        <f>MROUND(L8*Vendedor5!J$12,50)</f>
        <v>20350</v>
      </c>
      <c r="N8" s="42">
        <f t="shared" ref="N8" si="5">D8+F8+H8+J8</f>
        <v>550</v>
      </c>
      <c r="O8" s="41">
        <f t="shared" si="3"/>
        <v>46750</v>
      </c>
      <c r="P8" s="42">
        <f>Vendedor5!$F$5+Vendedor5!$F$9+Vendedor5!$F$13+Vendedor5!$F$17</f>
        <v>44000</v>
      </c>
      <c r="Q8">
        <v>17</v>
      </c>
      <c r="R8" s="41">
        <f t="shared" ref="R8" si="6">+L8-M8-O8</f>
        <v>102600</v>
      </c>
    </row>
    <row r="9" spans="1:18" x14ac:dyDescent="0.35">
      <c r="A9" s="47">
        <v>6</v>
      </c>
      <c r="B9" s="177" t="str">
        <f>Vendedor6!$B$2</f>
        <v>vendedor 06</v>
      </c>
      <c r="C9" s="179">
        <f>IF(Vendedor6!$C$5="",0,Vendedor6!$C$5)</f>
        <v>0</v>
      </c>
      <c r="D9" s="30">
        <f>IF(Vendedor6!$E$5="",0,Vendedor6!$E$5)</f>
        <v>0</v>
      </c>
      <c r="E9" s="179">
        <f>IF(Vendedor6!$C$9="",0,Vendedor6!$C$9)</f>
        <v>0</v>
      </c>
      <c r="F9" s="30">
        <f>IF(Vendedor6!$E$9="",0,Vendedor6!$E$9)</f>
        <v>0</v>
      </c>
      <c r="G9" s="179">
        <f>IF(Vendedor6!$C$13="",0,Vendedor6!$C$13)</f>
        <v>0</v>
      </c>
      <c r="H9" s="30">
        <f>IF(Vendedor6!$E$13="",0,Vendedor6!$E$13)</f>
        <v>0</v>
      </c>
      <c r="I9" s="179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7" t="str">
        <f>Vendedor7!$B$2</f>
        <v>PIKIS</v>
      </c>
      <c r="C10" s="179">
        <f>IF(Vendedor7!$C$5="",0,Vendedor7!$C$5)</f>
        <v>126400</v>
      </c>
      <c r="D10" s="30">
        <f>IF(Vendedor7!$E$5="",0,Vendedor7!$E$5)</f>
        <v>750</v>
      </c>
      <c r="E10" s="179">
        <f>IF(Vendedor7!$C$9="",0,Vendedor7!$C$9)</f>
        <v>90250</v>
      </c>
      <c r="F10" s="30">
        <f>IF(Vendedor7!$E$9="",0,Vendedor7!$E$9)</f>
        <v>150</v>
      </c>
      <c r="G10" s="179">
        <f>IF(Vendedor7!$C$13="",0,Vendedor7!$C$13)</f>
        <v>71100</v>
      </c>
      <c r="H10" s="30">
        <f>IF(Vendedor7!$E$13="",0,Vendedor7!$E$13)</f>
        <v>2500</v>
      </c>
      <c r="I10" s="179">
        <f>IF(Vendedor7!$C$17="",0,Vendedor7!$C$17)</f>
        <v>132850</v>
      </c>
      <c r="J10" s="30">
        <f>IF(Vendedor7!$E$17="",0,Vendedor7!$E$17)</f>
        <v>500</v>
      </c>
      <c r="L10" s="42">
        <f t="shared" si="7"/>
        <v>420600</v>
      </c>
      <c r="M10" s="41">
        <f>MROUND(L10*Vendedor7!J$15,50)</f>
        <v>50450</v>
      </c>
      <c r="N10" s="42">
        <f t="shared" ref="N10:N27" si="9">D10+F10+H10+J10</f>
        <v>3900</v>
      </c>
      <c r="O10" s="41">
        <f t="shared" si="3"/>
        <v>331500</v>
      </c>
      <c r="P10" s="42">
        <f>Vendedor7!$F$5+Vendedor7!$F$9+Vendedor7!$F$13+Vendedor7!$F$17</f>
        <v>331500</v>
      </c>
      <c r="R10" s="41">
        <f t="shared" si="8"/>
        <v>38650</v>
      </c>
    </row>
    <row r="11" spans="1:18" x14ac:dyDescent="0.35">
      <c r="A11" s="47">
        <v>8</v>
      </c>
      <c r="B11" s="177" t="str">
        <f>Vendedor8!$B$2</f>
        <v>ISA</v>
      </c>
      <c r="C11" s="179">
        <f>IF(Vendedor8!$C$5="",0,Vendedor8!$C$5)</f>
        <v>0</v>
      </c>
      <c r="D11" s="30">
        <f>IF(Vendedor8!$E$5="",0,Vendedor8!$E$5)</f>
        <v>0</v>
      </c>
      <c r="E11" s="179">
        <f>IF(Vendedor8!$C$9="",0,Vendedor8!$C$9)</f>
        <v>0</v>
      </c>
      <c r="F11" s="30">
        <f>IF(Vendedor8!$E$9="",0,Vendedor8!$E$9)</f>
        <v>0</v>
      </c>
      <c r="G11" s="179">
        <f>IF(Vendedor8!$C$13="",0,Vendedor8!$C$13)</f>
        <v>0</v>
      </c>
      <c r="H11" s="30">
        <f>IF(Vendedor8!$E$13="",0,Vendedor8!$E$13)</f>
        <v>0</v>
      </c>
      <c r="I11" s="179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7" t="str">
        <f>Vendedor9!$B$2</f>
        <v>JUAN FELIX</v>
      </c>
      <c r="C12" s="179">
        <f>IF(Vendedor9!$C$5="",0,Vendedor9!$C$5)</f>
        <v>14850</v>
      </c>
      <c r="D12" s="30">
        <f>IF(Vendedor9!$E$5="",0,Vendedor9!$E$5)</f>
        <v>0</v>
      </c>
      <c r="E12" s="179">
        <f>IF(Vendedor9!$C$9="",0,Vendedor9!$C$9)</f>
        <v>13700</v>
      </c>
      <c r="F12" s="30">
        <f>IF(Vendedor9!$E$9="",0,Vendedor9!$E$9)</f>
        <v>0</v>
      </c>
      <c r="G12" s="179">
        <f>IF(Vendedor9!$C$13="",0,Vendedor9!$C$13)</f>
        <v>0</v>
      </c>
      <c r="H12" s="30">
        <f>IF(Vendedor9!$E$13="",0,Vendedor9!$E$13)</f>
        <v>0</v>
      </c>
      <c r="I12" s="179">
        <f>IF(Vendedor9!$C$17="",0,Vendedor9!$C$17)</f>
        <v>0</v>
      </c>
      <c r="J12" s="30">
        <f>IF(Vendedor9!$E$17="",0,Vendedor9!$E$17)</f>
        <v>0</v>
      </c>
      <c r="L12" s="42">
        <f t="shared" si="7"/>
        <v>28550</v>
      </c>
      <c r="M12" s="41">
        <f>MROUND(L12*Vendedor9!J$12,50)</f>
        <v>3450</v>
      </c>
      <c r="N12" s="42">
        <f t="shared" si="9"/>
        <v>0</v>
      </c>
      <c r="O12" s="41">
        <f t="shared" si="3"/>
        <v>0</v>
      </c>
      <c r="P12" s="42">
        <f>Vendedor9!$F$5+Vendedor9!$F$9+Vendedor9!$F$13+Vendedor9!$F$17</f>
        <v>0</v>
      </c>
      <c r="R12" s="41">
        <f t="shared" si="8"/>
        <v>25100</v>
      </c>
    </row>
    <row r="13" spans="1:18" x14ac:dyDescent="0.35">
      <c r="A13" s="47">
        <v>10</v>
      </c>
      <c r="B13" s="177" t="str">
        <f>Vendedor10!$B$2</f>
        <v>MARIALIZ</v>
      </c>
      <c r="C13" s="179">
        <f>IF(Vendedor10!$C$5="",0,Vendedor10!$C$5)</f>
        <v>31100</v>
      </c>
      <c r="D13" s="30">
        <f>IF(Vendedor10!$E$5="",0,Vendedor10!$E$5)</f>
        <v>900</v>
      </c>
      <c r="E13" s="179">
        <f>IF(Vendedor10!$C$9="",0,Vendedor10!$C$9)</f>
        <v>26700</v>
      </c>
      <c r="F13" s="30">
        <f>IF(Vendedor10!$E$9="",0,Vendedor10!$E$9)</f>
        <v>0</v>
      </c>
      <c r="G13" s="179">
        <f>IF(Vendedor10!$C$13="",0,Vendedor10!$C$13)</f>
        <v>28900</v>
      </c>
      <c r="H13" s="30">
        <f>IF(Vendedor10!$E$13="",0,Vendedor10!$E$13)</f>
        <v>0</v>
      </c>
      <c r="I13" s="179">
        <f>IF(Vendedor10!$C$17="",0,Vendedor10!$C$17)</f>
        <v>600</v>
      </c>
      <c r="J13" s="30">
        <f>IF(Vendedor10!$E$17="",0,Vendedor10!$E$17)</f>
        <v>0</v>
      </c>
      <c r="L13" s="42">
        <f t="shared" si="7"/>
        <v>87300</v>
      </c>
      <c r="M13" s="41">
        <f>MROUND(L13*Vendedor10!J$10,50)</f>
        <v>10500</v>
      </c>
      <c r="N13" s="42">
        <f t="shared" si="9"/>
        <v>900</v>
      </c>
      <c r="O13" s="41">
        <f t="shared" si="3"/>
        <v>76500</v>
      </c>
      <c r="P13" s="42">
        <f>Vendedor10!$F$5+Vendedor10!$F$9+Vendedor10!$F$13+Vendedor10!$F$17</f>
        <v>72000</v>
      </c>
      <c r="R13" s="41">
        <f t="shared" si="8"/>
        <v>300</v>
      </c>
    </row>
    <row r="14" spans="1:18" x14ac:dyDescent="0.35">
      <c r="A14" s="47">
        <v>11</v>
      </c>
      <c r="B14" s="177" t="str">
        <f>Vendedor11!$B$2</f>
        <v>CHARLY</v>
      </c>
      <c r="C14" s="179">
        <f>IF(Vendedor11!$C$5="",0,Vendedor11!$C$5)</f>
        <v>0</v>
      </c>
      <c r="D14" s="30">
        <f>IF(Vendedor11!$E$5="",0,Vendedor11!$E$5)</f>
        <v>0</v>
      </c>
      <c r="E14" s="179">
        <f>IF(Vendedor11!$C$9="",0,Vendedor11!$C$9)</f>
        <v>0</v>
      </c>
      <c r="F14" s="30">
        <f>IF(Vendedor11!$E$9="",0,Vendedor11!$E$9)</f>
        <v>0</v>
      </c>
      <c r="G14" s="179">
        <f>IF(Vendedor11!$C$13="",0,Vendedor11!$C$13)</f>
        <v>0</v>
      </c>
      <c r="H14" s="30">
        <f>IF(Vendedor11!$E$13="",0,Vendedor11!$E$13)</f>
        <v>0</v>
      </c>
      <c r="I14" s="179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7" t="str">
        <f>Vendedor12!$B$2</f>
        <v>LAURY</v>
      </c>
      <c r="C15" s="179">
        <f>IF(Vendedor12!$C$5="",0,Vendedor12!$C$5)</f>
        <v>0</v>
      </c>
      <c r="D15" s="30">
        <f>IF(Vendedor12!$E$5="",0,Vendedor12!$E$5)</f>
        <v>0</v>
      </c>
      <c r="E15" s="179">
        <f>IF(Vendedor12!$C$9="",0,Vendedor12!$C$9)</f>
        <v>0</v>
      </c>
      <c r="F15" s="30">
        <f>IF(Vendedor12!$E$9="",0,Vendedor12!$E$9)</f>
        <v>0</v>
      </c>
      <c r="G15" s="179">
        <f>IF(Vendedor12!$C$13="",0,Vendedor12!$C$13)</f>
        <v>0</v>
      </c>
      <c r="H15" s="30">
        <f>IF(Vendedor12!$E$13="",0,Vendedor12!$E$13)</f>
        <v>0</v>
      </c>
      <c r="I15" s="179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7" t="str">
        <f>Vendedor13!$B$2</f>
        <v>MINERO</v>
      </c>
      <c r="C16" s="179">
        <f>IF(Vendedor13!$C$5="",0,Vendedor13!$C$5)</f>
        <v>3500</v>
      </c>
      <c r="D16" s="30">
        <f>IF(Vendedor13!$E$5="",0,Vendedor13!$E$5)</f>
        <v>0</v>
      </c>
      <c r="E16" s="179">
        <f>IF(Vendedor13!$C$9="",0,Vendedor13!$C$9)</f>
        <v>1500</v>
      </c>
      <c r="F16" s="30">
        <f>IF(Vendedor13!$E$9="",0,Vendedor13!$E$9)</f>
        <v>0</v>
      </c>
      <c r="G16" s="179">
        <f>IF(Vendedor13!$C$13="",0,Vendedor13!$C$13)</f>
        <v>15550</v>
      </c>
      <c r="H16" s="30">
        <f>IF(Vendedor13!$E$13="",0,Vendedor13!$E$13)</f>
        <v>100</v>
      </c>
      <c r="I16" s="179">
        <f>IF(Vendedor13!$C$17="",0,Vendedor13!$C$17)</f>
        <v>21900</v>
      </c>
      <c r="J16" s="30">
        <f>IF(Vendedor13!$E$17="",0,Vendedor13!$E$17)</f>
        <v>0</v>
      </c>
      <c r="L16" s="42">
        <f t="shared" si="7"/>
        <v>42450</v>
      </c>
      <c r="M16" s="41">
        <f>MROUND(L16*Vendedor13!J$12,50)</f>
        <v>5100</v>
      </c>
      <c r="N16" s="42">
        <f t="shared" si="9"/>
        <v>100</v>
      </c>
      <c r="O16" s="41">
        <f t="shared" si="3"/>
        <v>8500</v>
      </c>
      <c r="P16" s="42">
        <f>Vendedor13!$F$5+Vendedor13!$F$9+Vendedor13!$F$13+Vendedor13!$F$17</f>
        <v>8000</v>
      </c>
      <c r="R16" s="41">
        <f t="shared" si="8"/>
        <v>28850</v>
      </c>
    </row>
    <row r="17" spans="1:18" x14ac:dyDescent="0.35">
      <c r="A17" s="47">
        <v>14</v>
      </c>
      <c r="B17" s="177" t="str">
        <f>Vendedor14!$B$2</f>
        <v>EDUARDO TIEMPOS LICORERA</v>
      </c>
      <c r="C17" s="179">
        <f>IF(Vendedor14!$C$5="",0,Vendedor14!$C$5)</f>
        <v>85700</v>
      </c>
      <c r="D17" s="30">
        <f>IF(Vendedor14!$E$5="",0,Vendedor14!$E$5)</f>
        <v>400</v>
      </c>
      <c r="E17" s="179">
        <f>IF(Vendedor14!$C$9="",0,Vendedor14!$C$9)</f>
        <v>56600</v>
      </c>
      <c r="F17" s="30">
        <f>IF(Vendedor14!$E$9="",0,Vendedor14!$E$9)</f>
        <v>500</v>
      </c>
      <c r="G17" s="179">
        <f>IF(Vendedor14!$C$13="",0,Vendedor14!$C$13)</f>
        <v>42350</v>
      </c>
      <c r="H17" s="30">
        <f>IF(Vendedor14!$E$13="",0,Vendedor14!$E$13)</f>
        <v>450</v>
      </c>
      <c r="I17" s="179">
        <f>IF(Vendedor14!$C$17="",0,Vendedor14!$C$17)</f>
        <v>117600</v>
      </c>
      <c r="J17" s="30">
        <f>IF(Vendedor14!$E$17="",0,Vendedor14!$E$17)</f>
        <v>300</v>
      </c>
      <c r="L17" s="42">
        <f>C17+E17+G17+I17</f>
        <v>302250</v>
      </c>
      <c r="M17" s="41">
        <f>MROUND(L17*Vendedor14!J$16,50)</f>
        <v>36250</v>
      </c>
      <c r="N17" s="42">
        <f t="shared" si="9"/>
        <v>1650</v>
      </c>
      <c r="O17" s="41">
        <f t="shared" si="3"/>
        <v>140250</v>
      </c>
      <c r="P17" s="42">
        <f>Vendedor14!$F$5+Vendedor14!$F$9+Vendedor14!$F$13+Vendedor14!$F$17</f>
        <v>140250</v>
      </c>
      <c r="R17" s="41">
        <f t="shared" si="8"/>
        <v>125750</v>
      </c>
    </row>
    <row r="18" spans="1:18" x14ac:dyDescent="0.35">
      <c r="A18" s="47">
        <v>15</v>
      </c>
      <c r="B18" s="177" t="str">
        <f>Vendedor15!$B$2</f>
        <v>EDUARDO PUESTO CENTRO</v>
      </c>
      <c r="C18" s="179">
        <f>IF(Vendedor15!$C$5="",0,Vendedor15!$C$5)</f>
        <v>52800</v>
      </c>
      <c r="D18" s="30">
        <f>IF(Vendedor15!$E$5="",0,Vendedor15!$E$5)</f>
        <v>800</v>
      </c>
      <c r="E18" s="179">
        <f>IF(Vendedor15!$C$9="",0,Vendedor15!$C$9)</f>
        <v>48350</v>
      </c>
      <c r="F18" s="30">
        <f>IF(Vendedor15!$E$9="",0,Vendedor15!$E$9)</f>
        <v>150</v>
      </c>
      <c r="G18" s="179">
        <f>IF(Vendedor15!$C$13="",0,Vendedor15!$C$13)</f>
        <v>8800</v>
      </c>
      <c r="H18" s="30">
        <f>IF(Vendedor15!$E$13="",0,Vendedor15!$E$13)</f>
        <v>0</v>
      </c>
      <c r="I18" s="179">
        <f>IF(Vendedor15!$C$17="",0,Vendedor15!$C$17)</f>
        <v>2400</v>
      </c>
      <c r="J18" s="30">
        <f>IF(Vendedor15!$E$17="",0,Vendedor15!$E$17)</f>
        <v>0</v>
      </c>
      <c r="L18" s="42">
        <f t="shared" ref="L18:L27" si="10">C18+E18+G18+I18</f>
        <v>112350</v>
      </c>
      <c r="M18" s="41">
        <f>MROUND(L18*Vendedor15!J$16,50)</f>
        <v>13500</v>
      </c>
      <c r="N18" s="42">
        <f t="shared" si="9"/>
        <v>950</v>
      </c>
      <c r="O18" s="41">
        <f t="shared" si="3"/>
        <v>80750</v>
      </c>
      <c r="P18" s="42">
        <f>Vendedor15!$F$5+Vendedor15!$F$9+Vendedor15!$F$13+Vendedor15!$F$17</f>
        <v>80750</v>
      </c>
      <c r="R18" s="41">
        <f t="shared" si="8"/>
        <v>18100</v>
      </c>
    </row>
    <row r="19" spans="1:18" hidden="1" x14ac:dyDescent="0.35">
      <c r="A19" s="47">
        <v>16</v>
      </c>
      <c r="B19" s="177" t="str">
        <f>Vendedor16!$C$2</f>
        <v>Vendedor 16</v>
      </c>
      <c r="C19" s="179">
        <f>IF(Vendedor16!$C$5="",0,Vendedor16!$C$5)</f>
        <v>0</v>
      </c>
      <c r="D19" s="30">
        <f>IF(Vendedor16!$E$5="",0,Vendedor16!$E$5)</f>
        <v>0</v>
      </c>
      <c r="E19" s="179">
        <f>IF(Vendedor16!$C$9="",0,Vendedor16!$C$9)</f>
        <v>0</v>
      </c>
      <c r="F19" s="30">
        <f>IF(Vendedor16!$E$9="",0,Vendedor16!$E$9)</f>
        <v>0</v>
      </c>
      <c r="G19" s="179">
        <f>IF(Vendedor16!$C$13="",0,Vendedor16!$C$13)</f>
        <v>0</v>
      </c>
      <c r="H19" s="30">
        <f>IF(Vendedor16!$E$13="",0,Vendedor16!$E$13)</f>
        <v>0</v>
      </c>
      <c r="I19" s="179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7" t="str">
        <f>Vendedor17!$C$2</f>
        <v>Vendedor 17</v>
      </c>
      <c r="C20" s="179">
        <f>IF(Vendedor17!$C$5="",0,Vendedor17!$C$5)</f>
        <v>0</v>
      </c>
      <c r="D20" s="30">
        <f>IF(Vendedor17!$E$5="",0,Vendedor17!$E$5)</f>
        <v>0</v>
      </c>
      <c r="E20" s="179">
        <f>IF(Vendedor17!$C$9="",0,Vendedor17!$C$9)</f>
        <v>0</v>
      </c>
      <c r="F20" s="30">
        <f>IF(Vendedor17!$E$9="",0,Vendedor17!$E$9)</f>
        <v>0</v>
      </c>
      <c r="G20" s="179">
        <f>IF(Vendedor17!$C$13="",0,Vendedor17!$C$13)</f>
        <v>0</v>
      </c>
      <c r="H20" s="30">
        <f>IF(Vendedor17!$E$13="",0,Vendedor17!$E$13)</f>
        <v>0</v>
      </c>
      <c r="I20" s="179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7" t="str">
        <f>Vendedor18!$C$2</f>
        <v>Vendedor 18</v>
      </c>
      <c r="C21" s="179">
        <f>IF(Vendedor18!$C$5="",0,Vendedor18!$C$5)</f>
        <v>0</v>
      </c>
      <c r="D21" s="30">
        <f>IF(Vendedor18!$E$5="",0,Vendedor18!$E$5)</f>
        <v>0</v>
      </c>
      <c r="E21" s="179">
        <f>IF(Vendedor18!$C$9="",0,Vendedor18!$C$9)</f>
        <v>0</v>
      </c>
      <c r="F21" s="30">
        <f>IF(Vendedor18!$E$9="",0,Vendedor18!$E$9)</f>
        <v>0</v>
      </c>
      <c r="G21" s="179">
        <f>IF(Vendedor18!$C$13="",0,Vendedor18!$C$13)</f>
        <v>0</v>
      </c>
      <c r="H21" s="30">
        <f>IF(Vendedor18!$E$13="",0,Vendedor18!$E$13)</f>
        <v>0</v>
      </c>
      <c r="I21" s="179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7" t="str">
        <f>Vendedor19!$C$2</f>
        <v>Vendedor 19</v>
      </c>
      <c r="C22" s="179">
        <f>IF(Vendedor19!$C$5="",0,Vendedor19!$C$5)</f>
        <v>0</v>
      </c>
      <c r="D22" s="30">
        <f>IF(Vendedor19!$E$5="",0,Vendedor19!$E$5)</f>
        <v>0</v>
      </c>
      <c r="E22" s="179">
        <f>IF(Vendedor19!$C$9="",0,Vendedor19!$C$9)</f>
        <v>0</v>
      </c>
      <c r="F22" s="30">
        <f>IF(Vendedor19!$E$9="",0,Vendedor19!$E$9)</f>
        <v>0</v>
      </c>
      <c r="G22" s="179">
        <f>IF(Vendedor19!$C$13="",0,Vendedor19!$C$13)</f>
        <v>0</v>
      </c>
      <c r="H22" s="30">
        <f>IF(Vendedor19!$E$13="",0,Vendedor19!$E$13)</f>
        <v>0</v>
      </c>
      <c r="I22" s="179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7" t="str">
        <f>Vendedor20!$C$2</f>
        <v>Vendedor 20</v>
      </c>
      <c r="C23" s="179">
        <f>IF(Vendedor20!$C$5="",0,Vendedor20!$C$5)</f>
        <v>0</v>
      </c>
      <c r="D23" s="30">
        <f>IF(Vendedor20!$E$5="",0,Vendedor20!$E$5)</f>
        <v>0</v>
      </c>
      <c r="E23" s="179">
        <f>IF(Vendedor20!$C$9="",0,Vendedor20!$C$9)</f>
        <v>0</v>
      </c>
      <c r="F23" s="30">
        <f>IF(Vendedor20!$E$9="",0,Vendedor20!$E$9)</f>
        <v>0</v>
      </c>
      <c r="G23" s="179">
        <f>IF(Vendedor20!$C$13="",0,Vendedor20!$C$13)</f>
        <v>0</v>
      </c>
      <c r="H23" s="30">
        <f>IF(Vendedor20!$E$13="",0,Vendedor20!$E$13)</f>
        <v>0</v>
      </c>
      <c r="I23" s="179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7" t="str">
        <f>Vendedor21!$B$2</f>
        <v>Vendedor 21</v>
      </c>
      <c r="C24" s="179">
        <f>IF(Vendedor21!$B$5="",0,Vendedor21!$B$5)</f>
        <v>0</v>
      </c>
      <c r="D24" s="30">
        <f>IF(Vendedor21!$D$5="",0,Vendedor21!$D$5)</f>
        <v>0</v>
      </c>
      <c r="E24" s="179">
        <f>IF(Vendedor21!$B$9="",0,Vendedor21!$B$9)</f>
        <v>0</v>
      </c>
      <c r="F24" s="30">
        <f>IF(Vendedor21!$D$9="",0,Vendedor21!$D$9)</f>
        <v>0</v>
      </c>
      <c r="G24" s="179">
        <f>IF(Vendedor21!$B$13="",0,Vendedor21!$B$13)</f>
        <v>0</v>
      </c>
      <c r="H24" s="30">
        <f>IF(Vendedor21!$D$13="",0,Vendedor21!$D$13)</f>
        <v>0</v>
      </c>
      <c r="I24" s="179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7" t="str">
        <f>Vendedor22!$B$2</f>
        <v>Vendedor 22</v>
      </c>
      <c r="C25" s="179">
        <f>IF(Vendedor22!$B$5="",0,Vendedor22!$B$5)</f>
        <v>0</v>
      </c>
      <c r="D25" s="30">
        <f>IF(Vendedor22!$D$5="",0,Vendedor22!$D$5)</f>
        <v>0</v>
      </c>
      <c r="E25" s="179">
        <f>IF(Vendedor22!$B$9="",0,Vendedor22!$B$9)</f>
        <v>0</v>
      </c>
      <c r="F25" s="30">
        <f>IF(Vendedor22!$D$9="",0,Vendedor22!$D$9)</f>
        <v>0</v>
      </c>
      <c r="G25" s="179">
        <f>IF(Vendedor22!$B$13="",0,Vendedor22!$B$13)</f>
        <v>0</v>
      </c>
      <c r="H25" s="30">
        <f>IF(Vendedor22!$D$13="",0,Vendedor22!$D$13)</f>
        <v>0</v>
      </c>
      <c r="I25" s="179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7" t="str">
        <f>Vendedor23!$B$2</f>
        <v>Vendedor 23</v>
      </c>
      <c r="C26" s="179">
        <f>IF(Vendedor23!$B$5="",0,Vendedor23!$B$5)</f>
        <v>0</v>
      </c>
      <c r="D26" s="30">
        <f>IF(Vendedor23!$D$5="",0,Vendedor23!$D$5)</f>
        <v>0</v>
      </c>
      <c r="E26" s="179">
        <f>IF(Vendedor23!$B$9="",0,Vendedor23!$B$9)</f>
        <v>0</v>
      </c>
      <c r="F26" s="30">
        <f>IF(Vendedor23!$D$9="",0,Vendedor23!$D$9)</f>
        <v>0</v>
      </c>
      <c r="G26" s="179">
        <f>IF(Vendedor23!$B$13="",0,Vendedor23!$B$13)</f>
        <v>0</v>
      </c>
      <c r="H26" s="30">
        <f>IF(Vendedor23!$D$13="",0,Vendedor23!$D$13)</f>
        <v>0</v>
      </c>
      <c r="I26" s="179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0" t="str">
        <f>Vendedor24!$C$2</f>
        <v>Arreglo Otro</v>
      </c>
      <c r="C27" s="180">
        <f>IF(Vendedor24!$C$5="",0,Vendedor24!$C$5)</f>
        <v>0</v>
      </c>
      <c r="D27" s="50">
        <f>IF(Vendedor24!$E$5="",0,Vendedor24!$E$5)</f>
        <v>0</v>
      </c>
      <c r="E27" s="180">
        <f>IF(Vendedor24!$C$9="",0,Vendedor24!$C$9)</f>
        <v>0</v>
      </c>
      <c r="F27" s="50">
        <f>IF(Vendedor24!$E$9="",0,Vendedor24!$E$9)</f>
        <v>0</v>
      </c>
      <c r="G27" s="180">
        <f>IF(Vendedor24!$C$13="",0,Vendedor24!$C$13)</f>
        <v>0</v>
      </c>
      <c r="H27" s="50">
        <f>IF(Vendedor24!$E$13="",0,Vendedor24!$E$13)</f>
        <v>0</v>
      </c>
      <c r="I27" s="180">
        <f>IF(Vendedor24!$C$17="",0,Vendedor24!$C$17)</f>
        <v>0</v>
      </c>
      <c r="J27" s="50">
        <f>IF(Vendedor24!$E$17="",0,Vendedor24!$E$17)</f>
        <v>0</v>
      </c>
      <c r="L27" s="42">
        <f t="shared" si="10"/>
        <v>0</v>
      </c>
      <c r="M27" s="41">
        <f>IF((L27*Vendedor24!J$10)&lt;0,MROUND(L27*Vendedor24!J$10,-50),MROUND(L27*Vendedor24!J$10,50))</f>
        <v>0</v>
      </c>
      <c r="N27" s="42">
        <f t="shared" si="9"/>
        <v>0</v>
      </c>
      <c r="O27" s="41">
        <f t="shared" si="3"/>
        <v>0</v>
      </c>
      <c r="P27" s="42">
        <f>Vendedor24!$F$5+Vendedor24!$F$9+Vendedor24!$F$13+Vendedor24!$F$17</f>
        <v>0</v>
      </c>
      <c r="R27" s="41">
        <f t="shared" si="8"/>
        <v>0</v>
      </c>
    </row>
    <row r="28" spans="1:18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435200</v>
      </c>
      <c r="D32" s="44">
        <f t="shared" si="14"/>
        <v>3900</v>
      </c>
      <c r="E32" s="43">
        <f t="shared" si="14"/>
        <v>321950</v>
      </c>
      <c r="F32" s="44">
        <f t="shared" si="14"/>
        <v>800</v>
      </c>
      <c r="G32" s="43">
        <f t="shared" si="14"/>
        <v>185250</v>
      </c>
      <c r="H32" s="44">
        <f t="shared" si="14"/>
        <v>3550</v>
      </c>
      <c r="I32" s="43">
        <f t="shared" si="14"/>
        <v>297300</v>
      </c>
      <c r="J32" s="44">
        <f t="shared" si="14"/>
        <v>800</v>
      </c>
      <c r="L32" s="45">
        <f>SUM(L4:L31)</f>
        <v>1239700</v>
      </c>
      <c r="M32" s="45">
        <f>SUM(M7:M31)</f>
        <v>139600</v>
      </c>
      <c r="N32" s="95">
        <f>SUM(N4:N31)</f>
        <v>9050</v>
      </c>
      <c r="O32" s="46">
        <f>SUM(O4:O31)</f>
        <v>769250</v>
      </c>
      <c r="P32" s="139">
        <f>SUM(P4:P31)</f>
        <v>756500</v>
      </c>
      <c r="R32" s="79">
        <f>SUM(R4:R31)</f>
        <v>320900</v>
      </c>
    </row>
    <row r="33" spans="3:15" x14ac:dyDescent="0.35">
      <c r="D33" s="120">
        <f>+D32*85</f>
        <v>331500</v>
      </c>
      <c r="F33" s="120">
        <f>+F32*85</f>
        <v>68000</v>
      </c>
      <c r="H33" s="120">
        <f>+H32*85</f>
        <v>301750</v>
      </c>
      <c r="J33" s="120">
        <f>+J32*85</f>
        <v>68000</v>
      </c>
    </row>
    <row r="34" spans="3:15" ht="15" thickBot="1" x14ac:dyDescent="0.4"/>
    <row r="35" spans="3:15" x14ac:dyDescent="0.35">
      <c r="C35" s="265" t="s">
        <v>89</v>
      </c>
      <c r="D35" s="265"/>
      <c r="N35" s="148"/>
      <c r="O35" s="43"/>
    </row>
    <row r="36" spans="3:15" x14ac:dyDescent="0.35">
      <c r="C36" s="47" t="s">
        <v>28</v>
      </c>
      <c r="D36" s="30">
        <f>+C32+E32+G32+I32</f>
        <v>1239700</v>
      </c>
      <c r="E36" s="43">
        <f>+D36-L4-L5-L6</f>
        <v>1163200</v>
      </c>
    </row>
    <row r="37" spans="3:15" x14ac:dyDescent="0.35">
      <c r="C37" s="47" t="s">
        <v>33</v>
      </c>
      <c r="D37" s="48">
        <f>D36*13%</f>
        <v>161161</v>
      </c>
      <c r="E37">
        <f>+D37-M4-M5-M6</f>
        <v>151211</v>
      </c>
    </row>
    <row r="38" spans="3:15" x14ac:dyDescent="0.35">
      <c r="C38" s="47" t="s">
        <v>30</v>
      </c>
      <c r="D38" s="30">
        <f>SUM(O4:O27)</f>
        <v>769250</v>
      </c>
      <c r="G38" s="100"/>
    </row>
    <row r="39" spans="3:15" ht="15" thickBot="1" x14ac:dyDescent="0.4">
      <c r="C39" s="49" t="s">
        <v>4</v>
      </c>
      <c r="D39" s="80">
        <f>+D36-D37-D38</f>
        <v>309289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309289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7" ht="14.5" customHeight="1" x14ac:dyDescent="0.35">
      <c r="C2" s="266" t="str">
        <f>IF(C33=0,"",CONCATENATE(PREMIOS!$B7," ",PREMIOS!$B8))</f>
        <v>47 Blanca</v>
      </c>
      <c r="D2" s="267"/>
      <c r="E2" s="266" t="str">
        <f>IF(E33=0,"",CONCATENATE(PREMIOS!$B11," ",PREMIOS!$B12))</f>
        <v>46 Roja</v>
      </c>
      <c r="F2" s="267"/>
      <c r="G2" s="266" t="str">
        <f>IF(G33=0,"",CONCATENATE(PREMIOS!$B15," ",PREMIOS!$B16))</f>
        <v>81 Blanca</v>
      </c>
      <c r="H2" s="267"/>
    </row>
    <row r="3" spans="1:17" ht="15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6">
        <v>1</v>
      </c>
      <c r="B4" s="187" t="str">
        <f>Vendedor1!$B$2</f>
        <v>VENTANA</v>
      </c>
      <c r="C4" s="188">
        <f>IF(Vendedor1!$C$8="",0,Vendedor1!$C$8)</f>
        <v>0</v>
      </c>
      <c r="D4" s="78">
        <f>IF(Vendedor1!$E$8="",0,Vendedor1!$E$8)</f>
        <v>0</v>
      </c>
      <c r="E4" s="188">
        <f>IF(Vendedor1!$C$12="",0,Vendedor1!$C$12)</f>
        <v>0</v>
      </c>
      <c r="F4" s="78">
        <f>IF(Vendedor1!$E$12="",0,Vendedor1!$E$12)</f>
        <v>0</v>
      </c>
      <c r="G4" s="188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7" t="str">
        <f>Vendedor2!$B$2</f>
        <v>PUESTO 2</v>
      </c>
      <c r="C5" s="179">
        <f>IF(Vendedor2!$C$8="",0,Vendedor2!$C$8)</f>
        <v>0</v>
      </c>
      <c r="D5" s="30">
        <f>IF(Vendedor2!$E$8="",0,Vendedor2!$E$8)</f>
        <v>0</v>
      </c>
      <c r="E5" s="179">
        <f>IF(Vendedor2!$C$12="",0,Vendedor2!$C$12)</f>
        <v>0</v>
      </c>
      <c r="F5" s="30">
        <f>IF(Vendedor2!$E$12="",0,Vendedor2!$E$12)</f>
        <v>0</v>
      </c>
      <c r="G5" s="179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7" t="str">
        <f>Vendedor3!$B$2</f>
        <v>TABLET</v>
      </c>
      <c r="C6" s="179">
        <f>IF(Vendedor3!$C$8="",0,Vendedor3!$C$8)</f>
        <v>0</v>
      </c>
      <c r="D6" s="30">
        <f>IF(Vendedor3!$E$8="",0,Vendedor3!$E$8)</f>
        <v>0</v>
      </c>
      <c r="E6" s="179">
        <f>IF(Vendedor3!$C$12="",0,Vendedor3!$C$12)</f>
        <v>0</v>
      </c>
      <c r="F6" s="30">
        <f>IF(Vendedor3!$E$12="",0,Vendedor3!$E$12)</f>
        <v>0</v>
      </c>
      <c r="G6" s="179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7" t="str">
        <f>Vendedor4!$B$2</f>
        <v>Nuevo 2</v>
      </c>
      <c r="C7" s="179">
        <f>IF(Vendedor4!$C$8="",0,Vendedor4!$C$8)</f>
        <v>0</v>
      </c>
      <c r="D7" s="30">
        <f>IF(Vendedor4!$E$8="",0,Vendedor4!$E$8)</f>
        <v>0</v>
      </c>
      <c r="E7" s="179">
        <f>IF(Vendedor4!$C$12="",0,Vendedor4!$C$12)</f>
        <v>0</v>
      </c>
      <c r="F7" s="30">
        <f>IF(Vendedor4!$E$12="",0,Vendedor4!$E$12)</f>
        <v>0</v>
      </c>
      <c r="G7" s="179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7" t="str">
        <f>Vendedor5!$B$2</f>
        <v>YOYO</v>
      </c>
      <c r="C8" s="179">
        <f>IF(Vendedor5!$C$8="",0,Vendedor5!$C$8)</f>
        <v>0</v>
      </c>
      <c r="D8" s="30">
        <f>IF(Vendedor5!$E$8="",0,Vendedor5!$E$8)</f>
        <v>0</v>
      </c>
      <c r="E8" s="179">
        <f>IF(Vendedor5!$C$12="",0,Vendedor5!$C$12)</f>
        <v>0</v>
      </c>
      <c r="F8" s="30">
        <f>IF(Vendedor5!$E$12="",0,Vendedor5!$E$12)</f>
        <v>0</v>
      </c>
      <c r="G8" s="179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7" t="str">
        <f>Vendedor6!$B$2</f>
        <v>vendedor 06</v>
      </c>
      <c r="C9" s="179">
        <f>IF(Vendedor6!$C$8="",0,Vendedor6!$C$8)</f>
        <v>0</v>
      </c>
      <c r="D9" s="30">
        <f>IF(Vendedor6!$E$8="",0,Vendedor6!$E$8)</f>
        <v>0</v>
      </c>
      <c r="E9" s="179">
        <f>IF(Vendedor6!$C$12="",0,Vendedor6!$C$12)</f>
        <v>0</v>
      </c>
      <c r="F9" s="30">
        <f>IF(Vendedor6!$E$12="",0,Vendedor6!$E$12)</f>
        <v>0</v>
      </c>
      <c r="G9" s="179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7" t="str">
        <f>Vendedor7!$B$2</f>
        <v>PIKIS</v>
      </c>
      <c r="C10" s="179">
        <f>IF(Vendedor7!$C$8="",0,Vendedor7!$C$8)</f>
        <v>30250</v>
      </c>
      <c r="D10" s="30">
        <f>IF(Vendedor7!$E$8="",0,Vendedor7!$E$8)</f>
        <v>0</v>
      </c>
      <c r="E10" s="179">
        <f>IF(Vendedor7!$C$12="",0,Vendedor7!$C$12)</f>
        <v>18150</v>
      </c>
      <c r="F10" s="30">
        <f>IF(Vendedor7!$E$12="",0,Vendedor7!$E$12)</f>
        <v>2000</v>
      </c>
      <c r="G10" s="179">
        <f>IF(Vendedor7!$C$16="",0,Vendedor7!$C$16)</f>
        <v>38250</v>
      </c>
      <c r="H10" s="30">
        <f>IF(Vendedor7!$E$16="",0,Vendedor7!$E$16)</f>
        <v>0</v>
      </c>
      <c r="J10" s="42">
        <f t="shared" si="1"/>
        <v>86650</v>
      </c>
      <c r="K10" s="41">
        <f>J10*Vendedor7!J$16</f>
        <v>8665</v>
      </c>
      <c r="L10" s="42">
        <f t="shared" si="2"/>
        <v>2000</v>
      </c>
      <c r="M10" s="42">
        <f t="shared" si="3"/>
        <v>2000</v>
      </c>
      <c r="N10" s="42">
        <f t="shared" si="0"/>
        <v>440000</v>
      </c>
      <c r="O10" s="42">
        <f>Vendedor7!$F$8+Vendedor7!$F$12+Vendedor7!$F$16</f>
        <v>400000</v>
      </c>
      <c r="Q10" s="42">
        <f t="shared" si="4"/>
        <v>-322015</v>
      </c>
    </row>
    <row r="11" spans="1:17" x14ac:dyDescent="0.35">
      <c r="A11" s="47">
        <v>8</v>
      </c>
      <c r="B11" s="177" t="str">
        <f>Vendedor8!$B$2</f>
        <v>ISA</v>
      </c>
      <c r="C11" s="179">
        <f>IF(Vendedor8!$C$8="",0,Vendedor8!$C$8)</f>
        <v>0</v>
      </c>
      <c r="D11" s="30">
        <f>IF(Vendedor8!$E$8="",0,Vendedor8!$E$8)</f>
        <v>0</v>
      </c>
      <c r="E11" s="179">
        <f>IF(Vendedor8!$C$12="",0,Vendedor8!$C$12)</f>
        <v>0</v>
      </c>
      <c r="F11" s="30">
        <f>IF(Vendedor8!$E$12="",0,Vendedor8!$E$12)</f>
        <v>0</v>
      </c>
      <c r="G11" s="179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7" t="str">
        <f>Vendedor9!$B$2</f>
        <v>JUAN FELIX</v>
      </c>
      <c r="C12" s="179">
        <f>IF(Vendedor9!$C$8="",0,Vendedor9!$C$8)</f>
        <v>1000</v>
      </c>
      <c r="D12" s="30">
        <f>IF(Vendedor9!$E$8="",0,Vendedor9!$E$8)</f>
        <v>0</v>
      </c>
      <c r="E12" s="179">
        <f>IF(Vendedor9!$C$12="",0,Vendedor9!$C$12)</f>
        <v>0</v>
      </c>
      <c r="F12" s="30">
        <f>IF(Vendedor9!$E$12="",0,Vendedor9!$E$12)</f>
        <v>0</v>
      </c>
      <c r="G12" s="179">
        <f>IF(Vendedor9!$C$16="",0,Vendedor9!$C$16)</f>
        <v>0</v>
      </c>
      <c r="H12" s="30">
        <f>IF(Vendedor9!$E$16="",0,Vendedor9!$E$16)</f>
        <v>0</v>
      </c>
      <c r="J12" s="42">
        <f t="shared" si="1"/>
        <v>1000</v>
      </c>
      <c r="K12" s="41">
        <f>J12*Vendedor9!J$13</f>
        <v>100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900</v>
      </c>
    </row>
    <row r="13" spans="1:17" x14ac:dyDescent="0.35">
      <c r="A13" s="47">
        <v>10</v>
      </c>
      <c r="B13" s="177" t="str">
        <f>Vendedor10!$B$2</f>
        <v>MARIALIZ</v>
      </c>
      <c r="C13" s="179">
        <f>IF(Vendedor10!$C$8="",0,Vendedor10!$C$8)</f>
        <v>0</v>
      </c>
      <c r="D13" s="30">
        <f>IF(Vendedor10!$E$8="",0,Vendedor10!$E$8)</f>
        <v>0</v>
      </c>
      <c r="E13" s="179">
        <f>IF(Vendedor10!$C$12="",0,Vendedor10!$C$12)</f>
        <v>0</v>
      </c>
      <c r="F13" s="30">
        <f>IF(Vendedor10!$E$12="",0,Vendedor10!$E$12)</f>
        <v>0</v>
      </c>
      <c r="G13" s="179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7" t="str">
        <f>Vendedor11!$B$2</f>
        <v>CHARLY</v>
      </c>
      <c r="C14" s="179">
        <f>IF(Vendedor11!$C$8="",0,Vendedor11!$C$8)</f>
        <v>0</v>
      </c>
      <c r="D14" s="30">
        <f>IF(Vendedor11!$E$8="",0,Vendedor11!$E$8)</f>
        <v>0</v>
      </c>
      <c r="E14" s="179">
        <f>IF(Vendedor11!$C$12="",0,Vendedor11!$C$12)</f>
        <v>0</v>
      </c>
      <c r="F14" s="30">
        <f>IF(Vendedor11!$E$12="",0,Vendedor11!$E$12)</f>
        <v>0</v>
      </c>
      <c r="G14" s="179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7" t="str">
        <f>Vendedor12!$B$2</f>
        <v>LAURY</v>
      </c>
      <c r="C15" s="179">
        <f>IF(Vendedor12!$C$8="",0,Vendedor12!$C$8)</f>
        <v>0</v>
      </c>
      <c r="D15" s="30">
        <f>IF(Vendedor12!$E$8="",0,Vendedor12!$E$8)</f>
        <v>0</v>
      </c>
      <c r="E15" s="179">
        <f>IF(Vendedor12!$C$12="",0,Vendedor12!$C$12)</f>
        <v>0</v>
      </c>
      <c r="F15" s="30">
        <f>IF(Vendedor12!$E$12="",0,Vendedor12!$E$12)</f>
        <v>0</v>
      </c>
      <c r="G15" s="179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7" t="str">
        <f>Vendedor13!$B$2</f>
        <v>MINERO</v>
      </c>
      <c r="C16" s="179">
        <f>IF(Vendedor13!$C$8="",0,Vendedor13!$C$8)</f>
        <v>4000</v>
      </c>
      <c r="D16" s="30">
        <f>IF(Vendedor13!$E$8="",0,Vendedor13!$E$8)</f>
        <v>0</v>
      </c>
      <c r="E16" s="179">
        <f>IF(Vendedor13!$C$12="",0,Vendedor13!$C$12)</f>
        <v>1000</v>
      </c>
      <c r="F16" s="30">
        <f>IF(Vendedor13!$E$12="",0,Vendedor13!$E$12)</f>
        <v>0</v>
      </c>
      <c r="G16" s="179">
        <f>IF(Vendedor13!$C$16="",0,Vendedor13!$C$16)</f>
        <v>2000</v>
      </c>
      <c r="H16" s="30">
        <f>IF(Vendedor13!$E$16="",0,Vendedor13!$E$16)</f>
        <v>0</v>
      </c>
      <c r="J16" s="42">
        <f t="shared" si="1"/>
        <v>7000</v>
      </c>
      <c r="K16" s="41">
        <f>J16*Vendedor13!J$13</f>
        <v>700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6300</v>
      </c>
    </row>
    <row r="17" spans="1:17" x14ac:dyDescent="0.35">
      <c r="A17" s="47">
        <v>14</v>
      </c>
      <c r="B17" s="177" t="str">
        <f>Vendedor14!$B$2</f>
        <v>EDUARDO TIEMPOS LICORERA</v>
      </c>
      <c r="C17" s="179">
        <f>IF(Vendedor14!$C$8="",0,Vendedor14!$C$8)</f>
        <v>19700</v>
      </c>
      <c r="D17" s="30">
        <f>IF(Vendedor14!$E$8="",0,Vendedor14!$E$8)</f>
        <v>500</v>
      </c>
      <c r="E17" s="179">
        <f>IF(Vendedor14!$C$12="",0,Vendedor14!$C$12)</f>
        <v>12000</v>
      </c>
      <c r="F17" s="30">
        <f>IF(Vendedor14!$E$12="",0,Vendedor14!$E$12)</f>
        <v>0</v>
      </c>
      <c r="G17" s="179">
        <f>IF(Vendedor14!$C$16="",0,Vendedor14!$C$16)</f>
        <v>34550</v>
      </c>
      <c r="H17" s="30">
        <f>IF(Vendedor14!$E$16="",0,Vendedor14!$E$16)</f>
        <v>0</v>
      </c>
      <c r="J17" s="42">
        <f t="shared" si="1"/>
        <v>66250</v>
      </c>
      <c r="K17" s="41">
        <f>J17*Vendedor14!J$17</f>
        <v>6625</v>
      </c>
      <c r="L17" s="42">
        <f t="shared" si="2"/>
        <v>0</v>
      </c>
      <c r="M17" s="42">
        <f t="shared" si="3"/>
        <v>500</v>
      </c>
      <c r="N17" s="42">
        <f t="shared" si="0"/>
        <v>0</v>
      </c>
      <c r="O17" s="42">
        <f>Vendedor14!$F$8+Vendedor14!$F$12+Vendedor14!$F$16</f>
        <v>0</v>
      </c>
      <c r="Q17" s="42">
        <f t="shared" si="4"/>
        <v>59625</v>
      </c>
    </row>
    <row r="18" spans="1:17" x14ac:dyDescent="0.35">
      <c r="A18" s="47">
        <v>15</v>
      </c>
      <c r="B18" s="177" t="str">
        <f>Vendedor15!$B$2</f>
        <v>EDUARDO PUESTO CENTRO</v>
      </c>
      <c r="C18" s="179">
        <f>IF(Vendedor15!$C$8="",0,Vendedor15!$C$8)</f>
        <v>20250</v>
      </c>
      <c r="D18" s="30">
        <f>IF(Vendedor15!$E$8="",0,Vendedor15!$E$8)</f>
        <v>0</v>
      </c>
      <c r="E18" s="179">
        <f>IF(Vendedor15!$C$12="",0,Vendedor15!$C$12)</f>
        <v>18950</v>
      </c>
      <c r="F18" s="30">
        <f>IF(Vendedor15!$E$12="",0,Vendedor15!$E$12)</f>
        <v>0</v>
      </c>
      <c r="G18" s="179">
        <f>IF(Vendedor15!$C$16="",0,Vendedor15!$C$16)</f>
        <v>9150</v>
      </c>
      <c r="H18" s="30">
        <f>IF(Vendedor15!$E$16="",0,Vendedor15!$E$16)</f>
        <v>0</v>
      </c>
      <c r="J18" s="42">
        <f t="shared" ref="J18" si="5">+C18+E18+G18</f>
        <v>48350</v>
      </c>
      <c r="K18" s="41">
        <f>J18*Vendedor15!J$17</f>
        <v>4835</v>
      </c>
      <c r="L18" s="42">
        <f t="shared" si="2"/>
        <v>0</v>
      </c>
      <c r="M18" s="42">
        <f t="shared" si="3"/>
        <v>0</v>
      </c>
      <c r="N18" s="42">
        <f t="shared" si="0"/>
        <v>0</v>
      </c>
      <c r="O18" s="42">
        <f>Vendedor15!$F$8+Vendedor15!$F$12+Vendedor15!$F$16</f>
        <v>0</v>
      </c>
      <c r="Q18" s="42">
        <f t="shared" si="4"/>
        <v>43515</v>
      </c>
    </row>
    <row r="19" spans="1:17" hidden="1" x14ac:dyDescent="0.35">
      <c r="A19" s="47">
        <v>16</v>
      </c>
      <c r="B19" s="177" t="str">
        <f>Vendedor16!$C$2</f>
        <v>Vendedor 16</v>
      </c>
      <c r="C19" s="179">
        <f>IF(Vendedor16!$C$8="",0,Vendedor16!$C$8)</f>
        <v>0</v>
      </c>
      <c r="D19" s="30">
        <f>IF(Vendedor16!$E$8="",0,Vendedor16!$E$8)</f>
        <v>0</v>
      </c>
      <c r="E19" s="179">
        <f>IF(Vendedor16!$C$12="",0,Vendedor16!$C$12)</f>
        <v>0</v>
      </c>
      <c r="F19" s="30">
        <f>IF(Vendedor16!$E$12="",0,Vendedor16!$E$12)</f>
        <v>0</v>
      </c>
      <c r="G19" s="179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7" t="str">
        <f>Vendedor17!$C$2</f>
        <v>Vendedor 17</v>
      </c>
      <c r="C20" s="179">
        <f>IF(Vendedor17!$C$8="",0,Vendedor17!$C$8)</f>
        <v>0</v>
      </c>
      <c r="D20" s="30">
        <f>IF(Vendedor17!$E$8="",0,Vendedor17!$E$8)</f>
        <v>0</v>
      </c>
      <c r="E20" s="179">
        <f>IF(Vendedor17!$C$12="",0,Vendedor17!$C$12)</f>
        <v>0</v>
      </c>
      <c r="F20" s="30">
        <f>IF(Vendedor17!$E$12="",0,Vendedor17!$E$12)</f>
        <v>0</v>
      </c>
      <c r="G20" s="179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7" t="str">
        <f>Vendedor18!$C$2</f>
        <v>Vendedor 18</v>
      </c>
      <c r="C21" s="179">
        <f>IF(Vendedor18!$C$8="",0,Vendedor18!$C$8)</f>
        <v>0</v>
      </c>
      <c r="D21" s="30">
        <f>IF(Vendedor18!$E$8="",0,Vendedor18!$E$8)</f>
        <v>0</v>
      </c>
      <c r="E21" s="179">
        <f>IF(Vendedor18!$C$12="",0,Vendedor18!$C$12)</f>
        <v>0</v>
      </c>
      <c r="F21" s="30">
        <f>IF(Vendedor18!$E$12="",0,Vendedor18!$E$12)</f>
        <v>0</v>
      </c>
      <c r="G21" s="179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7" t="str">
        <f>Vendedor19!$C$2</f>
        <v>Vendedor 19</v>
      </c>
      <c r="C22" s="179">
        <f>IF(Vendedor19!$C$8="",0,Vendedor19!$C$8)</f>
        <v>0</v>
      </c>
      <c r="D22" s="30">
        <f>IF(Vendedor19!$E$8="",0,Vendedor19!$E$8)</f>
        <v>0</v>
      </c>
      <c r="E22" s="179">
        <f>IF(Vendedor19!$C$12="",0,Vendedor19!$C$12)</f>
        <v>0</v>
      </c>
      <c r="F22" s="30">
        <f>IF(Vendedor19!$E$12="",0,Vendedor19!$E$12)</f>
        <v>0</v>
      </c>
      <c r="G22" s="179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7" t="str">
        <f>Vendedor20!$C$2</f>
        <v>Vendedor 20</v>
      </c>
      <c r="C23" s="179">
        <f>IF(Vendedor20!$C$8="",0,Vendedor20!$C$8)</f>
        <v>0</v>
      </c>
      <c r="D23" s="30">
        <f>IF(Vendedor20!$E$8="",0,Vendedor20!$E$8)</f>
        <v>0</v>
      </c>
      <c r="E23" s="179">
        <f>IF(Vendedor20!$C$12="",0,Vendedor20!$C$12)</f>
        <v>0</v>
      </c>
      <c r="F23" s="30">
        <f>IF(Vendedor20!$E$12="",0,Vendedor20!$E$12)</f>
        <v>0</v>
      </c>
      <c r="G23" s="179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7" t="str">
        <f>Vendedor21!$B$2</f>
        <v>Vendedor 21</v>
      </c>
      <c r="C24" s="179">
        <f>IF(Vendedor21!$B$8="",0,Vendedor21!$B$8)</f>
        <v>0</v>
      </c>
      <c r="D24" s="30">
        <f>IF(Vendedor21!$D$8="",0,Vendedor21!$D$8)</f>
        <v>0</v>
      </c>
      <c r="E24" s="179">
        <f>IF(Vendedor21!$B$12="",0,Vendedor21!$B$12)</f>
        <v>0</v>
      </c>
      <c r="F24" s="30">
        <f>IF(Vendedor21!$D$12="",0,Vendedor21!$D$12)</f>
        <v>0</v>
      </c>
      <c r="G24" s="179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7" t="str">
        <f>Vendedor22!$B$2</f>
        <v>Vendedor 22</v>
      </c>
      <c r="C25" s="179">
        <f>IF(Vendedor22!$B$8="",0,Vendedor22!$B$8)</f>
        <v>0</v>
      </c>
      <c r="D25" s="30">
        <f>IF(Vendedor22!$D$8="",0,Vendedor22!$D$8)</f>
        <v>0</v>
      </c>
      <c r="E25" s="179">
        <f>IF(Vendedor22!$B$12="",0,Vendedor22!$B$12)</f>
        <v>0</v>
      </c>
      <c r="F25" s="30">
        <f>IF(Vendedor22!$D$12="",0,Vendedor22!$D$12)</f>
        <v>0</v>
      </c>
      <c r="G25" s="179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7" t="str">
        <f>Vendedor23!$B$2</f>
        <v>Vendedor 23</v>
      </c>
      <c r="C26" s="179">
        <f>IF(Vendedor23!$B$8="",0,Vendedor23!$B$8)</f>
        <v>0</v>
      </c>
      <c r="D26" s="30">
        <f>IF(Vendedor23!$D$8="",0,Vendedor23!$D$8)</f>
        <v>0</v>
      </c>
      <c r="E26" s="179">
        <f>IF(Vendedor23!$B$12="",0,Vendedor23!$B$12)</f>
        <v>0</v>
      </c>
      <c r="F26" s="30">
        <f>IF(Vendedor23!$D$12="",0,Vendedor23!$D$12)</f>
        <v>0</v>
      </c>
      <c r="G26" s="179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0" t="str">
        <f>Vendedor24!$C$2</f>
        <v>Arreglo Otro</v>
      </c>
      <c r="C27" s="180">
        <f>IF(Vendedor24!$C$8="",0,Vendedor24!$C$8)</f>
        <v>0</v>
      </c>
      <c r="D27" s="50">
        <f>IF(Vendedor24!$E$8="",0,Vendedor24!$E$8)</f>
        <v>0</v>
      </c>
      <c r="E27" s="180">
        <f>IF(Vendedor24!$C$12="",0,Vendedor24!$C$12)</f>
        <v>0</v>
      </c>
      <c r="F27" s="50">
        <f>IF(Vendedor24!$E$12="",0,Vendedor24!$E$12)</f>
        <v>0</v>
      </c>
      <c r="G27" s="180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5">
        <v>25</v>
      </c>
      <c r="B28" s="178" t="str">
        <f>Vendedor25!$B$2</f>
        <v>Vendedor 25</v>
      </c>
      <c r="C28" s="178">
        <f>IF(Vendedor25!$B$8="",0,Vendedor25!$B$8)</f>
        <v>0</v>
      </c>
      <c r="D28" s="178">
        <f>IF(Vendedor25!$D$8="",0,Vendedor25!$D$8)</f>
        <v>0</v>
      </c>
      <c r="E28" s="178">
        <f>IF(Vendedor25!$B$12="",0,Vendedor25!$B$12)</f>
        <v>0</v>
      </c>
      <c r="F28" s="178">
        <f>IF(Vendedor25!$D$12="",0,Vendedor25!$D$12)</f>
        <v>0</v>
      </c>
      <c r="G28" s="178">
        <f>IF(Vendedor25!$B$16="",0,Vendedor25!$B$16)</f>
        <v>0</v>
      </c>
      <c r="H28" s="178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75200</v>
      </c>
      <c r="D33" s="44">
        <f>IF(PREMIOS!E8&lt;&gt;0,SUM(D4:D32),0)</f>
        <v>0</v>
      </c>
      <c r="E33" s="43">
        <f>SUM(E4:E32)</f>
        <v>50100</v>
      </c>
      <c r="F33" s="44">
        <f>IF(PREMIOS!E12&lt;&gt;0,SUM(F4:F32),0)</f>
        <v>2000</v>
      </c>
      <c r="G33" s="43">
        <f>SUM(G4:G32)</f>
        <v>83950</v>
      </c>
      <c r="H33" s="44">
        <f>IF(PREMIOS!E16&lt;&gt;0,SUM(H4:H32),0)</f>
        <v>0</v>
      </c>
      <c r="J33" s="45">
        <f>SUM(J4:J32)</f>
        <v>209250</v>
      </c>
      <c r="K33" s="45">
        <f>SUM(K7:K32)</f>
        <v>20925</v>
      </c>
      <c r="L33" s="95">
        <f>SUM(L7:L32)</f>
        <v>2000</v>
      </c>
      <c r="M33" s="95">
        <f>SUM(M7:M32)</f>
        <v>2500</v>
      </c>
      <c r="N33" s="95">
        <f>SUM(N4:N27)</f>
        <v>440000</v>
      </c>
      <c r="O33" s="95">
        <f>SUM(O4:O27)</f>
        <v>400000</v>
      </c>
      <c r="Q33" s="79">
        <f>SUM(Q4:Q32)</f>
        <v>-211675</v>
      </c>
    </row>
    <row r="34" spans="3:17" x14ac:dyDescent="0.35">
      <c r="D34" s="118">
        <f>IF(PREMIOS!$D8=PREMIOS!$J$10,D33*$G$38,IF(PREMIOS!$D8=PREMIOS!$J$11,D33*$F$38,IF(PREMIOS!$D8=PREMIOS!$J$12,0,"")))</f>
        <v>0</v>
      </c>
      <c r="F34" s="118">
        <f>IF(PREMIOS!$D12=PREMIOS!$J$10,F33*$G$38,IF(PREMIOS!$D12=PREMIOS!$J$11,F33*$F$38,IF(PREMIOS!$D12=PREMIOS!$J$12,0,"")))</f>
        <v>440000</v>
      </c>
      <c r="H34" s="118">
        <f>IF(PREMIOS!$D16=PREMIOS!$J$10,H33*$G$38,IF(PREMIOS!$D16=PREMIOS!$J$11,H33*$F$38,IF(PREMIOS!$D16=PREMIOS!$J$12,0,"")))</f>
        <v>0</v>
      </c>
    </row>
    <row r="35" spans="3:17" ht="15" thickBot="1" x14ac:dyDescent="0.4"/>
    <row r="36" spans="3:17" ht="14.5" customHeight="1" x14ac:dyDescent="0.35">
      <c r="C36" s="272" t="s">
        <v>90</v>
      </c>
      <c r="D36" s="272"/>
      <c r="F36" s="273" t="s">
        <v>94</v>
      </c>
      <c r="G36" s="273" t="s">
        <v>95</v>
      </c>
    </row>
    <row r="37" spans="3:17" ht="14.5" customHeight="1" x14ac:dyDescent="0.35">
      <c r="C37" s="47" t="s">
        <v>28</v>
      </c>
      <c r="D37" s="30">
        <f>+C33+E33+G33</f>
        <v>209250</v>
      </c>
      <c r="E37" s="43">
        <f>+D37-J4-J5-J6</f>
        <v>209250</v>
      </c>
      <c r="F37" s="274"/>
      <c r="G37" s="274"/>
    </row>
    <row r="38" spans="3:17" ht="15" thickBot="1" x14ac:dyDescent="0.4">
      <c r="C38" s="47" t="s">
        <v>33</v>
      </c>
      <c r="D38" s="30">
        <f>D37*10%</f>
        <v>20925</v>
      </c>
      <c r="E38" s="43">
        <f>+D38-K4-K5-K6</f>
        <v>20925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440000</v>
      </c>
    </row>
    <row r="40" spans="3:17" ht="15" thickBot="1" x14ac:dyDescent="0.4">
      <c r="C40" s="49" t="s">
        <v>4</v>
      </c>
      <c r="D40" s="80">
        <f>+D37-D38-D39</f>
        <v>-251675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2">
        <v>0</v>
      </c>
    </row>
    <row r="44" spans="3:17" ht="15" thickBot="1" x14ac:dyDescent="0.4">
      <c r="C44" s="108" t="s">
        <v>79</v>
      </c>
      <c r="D44" s="109">
        <f>+D42+D40+D43</f>
        <v>-251675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113</v>
      </c>
      <c r="D1" s="271"/>
      <c r="E1" s="270" t="s">
        <v>98</v>
      </c>
      <c r="F1" s="271"/>
    </row>
    <row r="2" spans="1:14" ht="14.5" customHeight="1" x14ac:dyDescent="0.35">
      <c r="C2" s="266">
        <f>DigitaPRIMERA!C2</f>
        <v>65</v>
      </c>
      <c r="D2" s="267"/>
      <c r="E2" s="266">
        <f>DigitaPRIMERA!E2</f>
        <v>70</v>
      </c>
      <c r="F2" s="267"/>
    </row>
    <row r="3" spans="1:14" ht="14.5" customHeight="1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6">
        <v>1</v>
      </c>
      <c r="B4" s="198" t="str">
        <f>Vendedor1!$B$2</f>
        <v>VENTANA</v>
      </c>
      <c r="C4" s="188">
        <f>IF(Vendedor1!$C$19="",0,Vendedor1!$C$19)</f>
        <v>6550</v>
      </c>
      <c r="D4" s="78">
        <f>IF(Vendedor1!$E$19="",0,Vendedor1!$E$19)</f>
        <v>0</v>
      </c>
      <c r="E4" s="188">
        <f>IF(Vendedor1!$C$20="",0,Vendedor1!$C$20)</f>
        <v>1000</v>
      </c>
      <c r="F4" s="78">
        <f>IF(Vendedor1!$E$20="",0,Vendedor1!$E$20)</f>
        <v>0</v>
      </c>
      <c r="H4" s="42">
        <f>+C4+E4</f>
        <v>7550</v>
      </c>
      <c r="I4" s="41">
        <f>MROUND(H4*Vendedor1!J$9,50)</f>
        <v>1000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6550</v>
      </c>
    </row>
    <row r="5" spans="1:14" x14ac:dyDescent="0.35">
      <c r="A5" s="47">
        <v>2</v>
      </c>
      <c r="B5" s="176" t="str">
        <f>Vendedor2!$B$2</f>
        <v>PUESTO 2</v>
      </c>
      <c r="C5" s="179">
        <f>IF(Vendedor2!$C$19="",0,Vendedor2!$C$19)</f>
        <v>2300</v>
      </c>
      <c r="D5" s="30">
        <f>IF(Vendedor2!$E$19="",0,Vendedor2!$E$19)</f>
        <v>0</v>
      </c>
      <c r="E5" s="179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2300</v>
      </c>
      <c r="I5" s="41">
        <f>MROUND(H5*Vendedor2!J$9,50)</f>
        <v>300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2000</v>
      </c>
    </row>
    <row r="6" spans="1:14" x14ac:dyDescent="0.35">
      <c r="A6" s="47">
        <v>3</v>
      </c>
      <c r="B6" s="176" t="str">
        <f>Vendedor3!$B$2</f>
        <v>TABLET</v>
      </c>
      <c r="C6" s="179">
        <f>IF(Vendedor3!$C$19="",0,Vendedor3!$C$19)</f>
        <v>0</v>
      </c>
      <c r="D6" s="30">
        <f>IF(Vendedor3!$E$19="",0,Vendedor3!$E$19)</f>
        <v>0</v>
      </c>
      <c r="E6" s="179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79">
        <f>IF(Vendedor5!$C$19="",0,Vendedor5!$C$19)</f>
        <v>47200</v>
      </c>
      <c r="D8" s="30">
        <f>IF(Vendedor5!$E$19="",0,Vendedor5!$E$19)</f>
        <v>0</v>
      </c>
      <c r="E8" s="179">
        <f>IF(Vendedor5!$C$20="",0,Vendedor5!$C$20)</f>
        <v>25750</v>
      </c>
      <c r="F8" s="30">
        <f>IF(Vendedor5!$E$20="",0,Vendedor5!$E$20)</f>
        <v>0</v>
      </c>
      <c r="H8" s="133">
        <f t="shared" si="1"/>
        <v>72950</v>
      </c>
      <c r="I8" s="147">
        <f>MROUND(H8*Vendedor5!J$11,50)</f>
        <v>8750</v>
      </c>
      <c r="J8" s="133">
        <f t="shared" si="2"/>
        <v>0</v>
      </c>
      <c r="K8" s="133">
        <f t="shared" si="3"/>
        <v>0</v>
      </c>
      <c r="L8" s="133">
        <f>Vendedor5!$F$19+Vendedor5!$F$20</f>
        <v>0</v>
      </c>
      <c r="M8" s="154"/>
      <c r="N8" s="133">
        <f t="shared" si="0"/>
        <v>64200</v>
      </c>
    </row>
    <row r="9" spans="1:14" x14ac:dyDescent="0.35">
      <c r="A9" s="202">
        <v>6</v>
      </c>
      <c r="B9" s="195" t="str">
        <f>Vendedor6!$B$2</f>
        <v>vendedor 06</v>
      </c>
      <c r="C9" s="179">
        <f>IF(Vendedor6!$C$19="",0,Vendedor6!$C$19)</f>
        <v>0</v>
      </c>
      <c r="D9" s="30">
        <f>IF(Vendedor6!$E$19="",0,Vendedor6!$E$19)</f>
        <v>0</v>
      </c>
      <c r="E9" s="179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7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4"/>
      <c r="N9" s="133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IF(Vendedor7!$C$19="",0,Vendedor7!$C$19)</f>
        <v>35300</v>
      </c>
      <c r="D10" s="30">
        <f>IF(Vendedor7!$E$19="",0,Vendedor7!$E$19)</f>
        <v>0</v>
      </c>
      <c r="E10" s="179">
        <f>IF(Vendedor7!$C$20="",0,Vendedor7!$C$20)</f>
        <v>19450</v>
      </c>
      <c r="F10" s="30">
        <f>IF(Vendedor7!$E$20="",0,Vendedor7!$E$20)</f>
        <v>0</v>
      </c>
      <c r="H10" s="42">
        <f t="shared" si="1"/>
        <v>54750</v>
      </c>
      <c r="I10" s="41">
        <f>MROUND(H10*Vendedor7!J$14,50)</f>
        <v>6550</v>
      </c>
      <c r="J10" s="42">
        <f t="shared" si="2"/>
        <v>0</v>
      </c>
      <c r="K10" s="42">
        <f t="shared" si="3"/>
        <v>0</v>
      </c>
      <c r="L10" s="42">
        <f>Vendedor7!$F$19+Vendedor7!$F$20</f>
        <v>0</v>
      </c>
      <c r="N10" s="42">
        <f t="shared" si="0"/>
        <v>48200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5" t="str">
        <f>Vendedor9!$B$2</f>
        <v>JUAN FELIX</v>
      </c>
      <c r="C12" s="179">
        <f>IF(Vendedor9!$C$19="",0,Vendedor9!$C$19)</f>
        <v>16650</v>
      </c>
      <c r="D12" s="30">
        <f>IF(Vendedor9!$E$19="",0,Vendedor9!$E$19)</f>
        <v>0</v>
      </c>
      <c r="E12" s="179">
        <f>IF(Vendedor9!$C$20="",0,Vendedor9!$C$20)</f>
        <v>0</v>
      </c>
      <c r="F12" s="30">
        <f>IF(Vendedor9!$E$20="",0,Vendedor9!$E$20)</f>
        <v>0</v>
      </c>
      <c r="H12" s="133">
        <f t="shared" si="1"/>
        <v>16650</v>
      </c>
      <c r="I12" s="147">
        <f>MROUND(H12*Vendedor9!J$11,50)</f>
        <v>2000</v>
      </c>
      <c r="J12" s="133">
        <f t="shared" si="2"/>
        <v>0</v>
      </c>
      <c r="K12" s="133">
        <f t="shared" si="3"/>
        <v>0</v>
      </c>
      <c r="L12" s="133">
        <f>Vendedor9!$F$19+Vendedor9!$F$20</f>
        <v>0</v>
      </c>
      <c r="M12" s="154"/>
      <c r="N12" s="133">
        <f t="shared" si="0"/>
        <v>14650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5" t="str">
        <f>Vendedor13!$B$2</f>
        <v>MINERO</v>
      </c>
      <c r="C16" s="179">
        <f>IF(Vendedor13!$C$19="",0,Vendedor13!$C$19)</f>
        <v>2000</v>
      </c>
      <c r="D16" s="30">
        <f>IF(Vendedor13!$E$19="",0,Vendedor13!$E$19)</f>
        <v>0</v>
      </c>
      <c r="E16" s="179">
        <f>IF(Vendedor13!$C$20="",0,Vendedor13!$C$20)</f>
        <v>0</v>
      </c>
      <c r="F16" s="30">
        <f>IF(Vendedor13!$E$20="",0,Vendedor13!$E$20)</f>
        <v>0</v>
      </c>
      <c r="H16" s="133">
        <f t="shared" si="1"/>
        <v>2000</v>
      </c>
      <c r="I16" s="147">
        <f>MROUND(H16*Vendedor13!J$11,50)</f>
        <v>250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4"/>
      <c r="N16" s="133">
        <f t="shared" si="0"/>
        <v>1750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IF(Vendedor14!$C$19="",0,Vendedor14!$C$19)</f>
        <v>65750</v>
      </c>
      <c r="D17" s="30">
        <f>IF(Vendedor14!$E$19="",0,Vendedor14!$E$19)</f>
        <v>0</v>
      </c>
      <c r="E17" s="179">
        <f>IF(Vendedor14!$C$20="",0,Vendedor14!$C$20)</f>
        <v>23600</v>
      </c>
      <c r="F17" s="30">
        <f>IF(Vendedor14!$E$20="",0,Vendedor14!$E$20)</f>
        <v>100</v>
      </c>
      <c r="H17" s="42">
        <f t="shared" si="1"/>
        <v>89350</v>
      </c>
      <c r="I17" s="41">
        <f>MROUND(H17*Vendedor14!J$15,50)</f>
        <v>10700</v>
      </c>
      <c r="J17" s="42">
        <f t="shared" si="2"/>
        <v>100</v>
      </c>
      <c r="K17" s="42">
        <f t="shared" si="3"/>
        <v>8500</v>
      </c>
      <c r="L17" s="42">
        <f>Vendedor14!$F$19+Vendedor14!$F$20</f>
        <v>8500</v>
      </c>
      <c r="N17" s="42">
        <f t="shared" si="0"/>
        <v>70150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IF(Vendedor15!$C$19="",0,Vendedor15!$C$19)</f>
        <v>48550</v>
      </c>
      <c r="D18" s="30">
        <f>IF(Vendedor15!$E$19="",0,Vendedor15!$E$19)</f>
        <v>150</v>
      </c>
      <c r="E18" s="179">
        <f>IF(Vendedor15!$C$20="",0,Vendedor15!$C$20)</f>
        <v>42550</v>
      </c>
      <c r="F18" s="30">
        <f>IF(Vendedor15!$E$20="",0,Vendedor15!$E$20)</f>
        <v>0</v>
      </c>
      <c r="H18" s="42">
        <f t="shared" si="1"/>
        <v>91100</v>
      </c>
      <c r="I18" s="41">
        <f>MROUND(H18*Vendedor15!J$15,50)</f>
        <v>10950</v>
      </c>
      <c r="J18" s="42">
        <f t="shared" si="2"/>
        <v>150</v>
      </c>
      <c r="K18" s="42">
        <f t="shared" si="3"/>
        <v>12750</v>
      </c>
      <c r="L18" s="42">
        <f>Vendedor15!$F$19+Vendedor15!$F$20</f>
        <v>12750</v>
      </c>
      <c r="N18" s="42">
        <f t="shared" si="0"/>
        <v>67400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IF(Vendedor24!$C$19="",0,Vendedor24!$C$19)</f>
        <v>0</v>
      </c>
      <c r="D27" s="50">
        <f>IF(Vendedor24!$E$19="",0,Vendedor24!$E$19)</f>
        <v>0</v>
      </c>
      <c r="E27" s="180">
        <f>IF(Vendedor24!$C$20="",0,Vendedor24!$C$20)</f>
        <v>0</v>
      </c>
      <c r="F27" s="50">
        <f>IF(Vendedor24!$E$20="",0,Vendedor24!$E$20)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Vendedor24!$F$19+Vendedor24!$F$20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224300</v>
      </c>
      <c r="D32" s="44">
        <f>SUM(D4:D31)</f>
        <v>150</v>
      </c>
      <c r="E32" s="43">
        <f>SUM(E4:E31)</f>
        <v>112350</v>
      </c>
      <c r="F32" s="44">
        <f>SUM(F4:F31)</f>
        <v>100</v>
      </c>
      <c r="H32" s="95">
        <f>SUM(H4:H31)</f>
        <v>336650</v>
      </c>
      <c r="I32" s="45">
        <f>SUM(I7:I31)</f>
        <v>39200</v>
      </c>
      <c r="J32" s="95"/>
      <c r="K32" s="95">
        <f>SUM(K4:K31)</f>
        <v>21250</v>
      </c>
      <c r="L32" s="95">
        <f>SUM(L4:L31)</f>
        <v>21250</v>
      </c>
      <c r="N32" s="79">
        <f>SUM(N4:N31)</f>
        <v>274900</v>
      </c>
    </row>
    <row r="33" spans="3:6" x14ac:dyDescent="0.35">
      <c r="D33" s="99">
        <f>+D32*85</f>
        <v>12750</v>
      </c>
      <c r="F33" s="99">
        <f>+F32*85</f>
        <v>8500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336650</v>
      </c>
      <c r="E36" s="43">
        <f>+D36-H4-H5-H6</f>
        <v>326800</v>
      </c>
    </row>
    <row r="37" spans="3:6" x14ac:dyDescent="0.35">
      <c r="C37" s="47" t="s">
        <v>33</v>
      </c>
      <c r="D37" s="48">
        <f>D36*13%</f>
        <v>43764.5</v>
      </c>
      <c r="E37">
        <f>+D37-I4-I5-I6</f>
        <v>42464.5</v>
      </c>
    </row>
    <row r="38" spans="3:6" ht="15" thickBot="1" x14ac:dyDescent="0.4">
      <c r="C38" s="47" t="s">
        <v>30</v>
      </c>
      <c r="D38" s="30">
        <f>SUM(K4:K27)</f>
        <v>21250</v>
      </c>
    </row>
    <row r="39" spans="3:6" ht="15" thickBot="1" x14ac:dyDescent="0.4">
      <c r="C39" s="49" t="s">
        <v>4</v>
      </c>
      <c r="D39" s="80">
        <f>+D36-D37-D38</f>
        <v>271635.5</v>
      </c>
      <c r="F39" s="98">
        <f>+N32-D39</f>
        <v>3264.5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271635.5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0" t="s">
        <v>132</v>
      </c>
      <c r="D1" s="271"/>
      <c r="E1" s="270" t="s">
        <v>133</v>
      </c>
      <c r="F1" s="271"/>
      <c r="G1" s="270" t="s">
        <v>134</v>
      </c>
      <c r="H1" s="271"/>
    </row>
    <row r="2" spans="1:16" x14ac:dyDescent="0.35">
      <c r="C2" s="266">
        <f>DigitaHONDURAS!C2</f>
        <v>87</v>
      </c>
      <c r="D2" s="267"/>
      <c r="E2" s="266">
        <f>DigitaHONDURAS!E2</f>
        <v>59</v>
      </c>
      <c r="F2" s="267"/>
      <c r="G2" s="266">
        <f>DigitaHONDURAS!G2</f>
        <v>92</v>
      </c>
      <c r="H2" s="267"/>
    </row>
    <row r="3" spans="1:16" x14ac:dyDescent="0.35">
      <c r="C3" s="268"/>
      <c r="D3" s="269"/>
      <c r="E3" s="268"/>
      <c r="F3" s="269"/>
      <c r="G3" s="268"/>
      <c r="H3" s="269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6" t="str">
        <f>Vendedor1!$B$2</f>
        <v>VENTANA</v>
      </c>
      <c r="C4" s="192"/>
      <c r="D4" s="83"/>
      <c r="E4" s="192"/>
      <c r="F4" s="83"/>
      <c r="G4" s="192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6" t="str">
        <f>Vendedor2!$B$2</f>
        <v>PUESTO 2</v>
      </c>
      <c r="C5" s="192"/>
      <c r="D5" s="83"/>
      <c r="E5" s="192"/>
      <c r="F5" s="83"/>
      <c r="G5" s="192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6" t="str">
        <f>Vendedor3!$B$2</f>
        <v>TABLET</v>
      </c>
      <c r="C6" s="192"/>
      <c r="D6" s="83"/>
      <c r="E6" s="192"/>
      <c r="F6" s="83"/>
      <c r="G6" s="192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6" t="str">
        <f>Vendedor4!$B$2</f>
        <v>Nuevo 2</v>
      </c>
      <c r="C7" s="192"/>
      <c r="D7" s="83"/>
      <c r="E7" s="192"/>
      <c r="F7" s="83"/>
      <c r="G7" s="192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6" t="str">
        <f>Vendedor5!$B$2</f>
        <v>YOYO</v>
      </c>
      <c r="C8" s="192"/>
      <c r="D8" s="83"/>
      <c r="E8" s="192"/>
      <c r="F8" s="83"/>
      <c r="G8" s="192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7" t="str">
        <f>Vendedor6!$B$2</f>
        <v>vendedor 06</v>
      </c>
      <c r="C9" s="192"/>
      <c r="D9" s="83"/>
      <c r="E9" s="192"/>
      <c r="F9" s="83"/>
      <c r="G9" s="192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7" t="str">
        <f>Vendedor7!$B$2</f>
        <v>PIKIS</v>
      </c>
      <c r="C10" s="179">
        <f>IF(Vendedor7!$C$21="",0,Vendedor7!$C$21)</f>
        <v>4600</v>
      </c>
      <c r="D10" s="30">
        <f>IF(Vendedor7!$E$21="",0,Vendedor7!$E$21)</f>
        <v>0</v>
      </c>
      <c r="E10" s="179">
        <f>IF(Vendedor7!$C$22="",0,Vendedor7!$C$22)</f>
        <v>0</v>
      </c>
      <c r="F10" s="30">
        <f>IF(Vendedor7!$E$22="",0,Vendedor7!$E$22)</f>
        <v>0</v>
      </c>
      <c r="G10" s="179">
        <f>IF(Vendedor7!$C$23="",0,Vendedor7!$C$23)</f>
        <v>30350</v>
      </c>
      <c r="H10" s="30">
        <f>IF(Vendedor7!$E$23="",0,Vendedor7!$E$23)</f>
        <v>0</v>
      </c>
      <c r="J10" s="42">
        <f t="shared" si="0"/>
        <v>34950</v>
      </c>
      <c r="K10" s="41">
        <f>MROUND(J10*Vendedor7!J$14,50)</f>
        <v>4200</v>
      </c>
      <c r="L10" s="42">
        <f t="shared" si="1"/>
        <v>0</v>
      </c>
      <c r="M10" s="42">
        <f t="shared" si="3"/>
        <v>0</v>
      </c>
      <c r="N10" s="42">
        <f>Vendedor7!$F$21+Vendedor7!$F$22+Vendedor7!$F$23</f>
        <v>0</v>
      </c>
      <c r="P10" s="42">
        <f t="shared" si="2"/>
        <v>30750</v>
      </c>
    </row>
    <row r="11" spans="1:16" x14ac:dyDescent="0.35">
      <c r="A11" s="41">
        <v>8</v>
      </c>
      <c r="B11" s="177" t="str">
        <f>Vendedor8!$B$2</f>
        <v>ISA</v>
      </c>
      <c r="C11" s="192"/>
      <c r="D11" s="83"/>
      <c r="E11" s="192"/>
      <c r="F11" s="83"/>
      <c r="G11" s="192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7" t="str">
        <f>Vendedor9!$B$2</f>
        <v>JUAN FELIX</v>
      </c>
      <c r="C12" s="179">
        <f>IF(Vendedor9!$C$21="",0,Vendedor9!$C$21)</f>
        <v>0</v>
      </c>
      <c r="D12" s="30">
        <f>IF(Vendedor9!$E$21="",0,Vendedor9!$E$21)</f>
        <v>0</v>
      </c>
      <c r="E12" s="179">
        <f>IF(Vendedor9!$C$22="",0,Vendedor9!$C$22)</f>
        <v>0</v>
      </c>
      <c r="F12" s="30">
        <f>IF(Vendedor9!$E$22="",0,Vendedor9!$E$22)</f>
        <v>0</v>
      </c>
      <c r="G12" s="179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7" t="str">
        <f>Vendedor10!$B$2</f>
        <v>MARIALIZ</v>
      </c>
      <c r="C13" s="192"/>
      <c r="D13" s="83"/>
      <c r="E13" s="192"/>
      <c r="F13" s="83"/>
      <c r="G13" s="192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7" t="str">
        <f>Vendedor11!$B$2</f>
        <v>CHARLY</v>
      </c>
      <c r="C14" s="192"/>
      <c r="D14" s="83"/>
      <c r="E14" s="192"/>
      <c r="F14" s="83"/>
      <c r="G14" s="192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7" t="str">
        <f>Vendedor12!$B$2</f>
        <v>LAURY</v>
      </c>
      <c r="C15" s="192"/>
      <c r="D15" s="83"/>
      <c r="E15" s="192"/>
      <c r="F15" s="83"/>
      <c r="G15" s="192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7" t="str">
        <f>Vendedor13!$B$2</f>
        <v>MINERO</v>
      </c>
      <c r="C16" s="179">
        <f>IF(Vendedor13!$C$21="",0,Vendedor13!$C$21)</f>
        <v>0</v>
      </c>
      <c r="D16" s="30">
        <f>IF(Vendedor13!$E$21="",0,Vendedor13!$E$21)</f>
        <v>0</v>
      </c>
      <c r="E16" s="179">
        <f>IF(Vendedor13!$C$22="",0,Vendedor13!$C$22)</f>
        <v>2300</v>
      </c>
      <c r="F16" s="30">
        <f>IF(Vendedor13!$E$22="",0,Vendedor13!$E$22)</f>
        <v>0</v>
      </c>
      <c r="G16" s="179">
        <f>IF(Vendedor13!$C$23="",0,Vendedor13!$C$23)</f>
        <v>1300</v>
      </c>
      <c r="H16" s="30">
        <f>IF(Vendedor13!$E$23="",0,Vendedor13!$E$23)</f>
        <v>0</v>
      </c>
      <c r="J16" s="133">
        <f t="shared" si="0"/>
        <v>3600</v>
      </c>
      <c r="K16" s="147">
        <f>MROUND(J16*Vendedor13!J$11,50)</f>
        <v>450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3150</v>
      </c>
    </row>
    <row r="17" spans="1:16" x14ac:dyDescent="0.35">
      <c r="A17" s="41">
        <v>14</v>
      </c>
      <c r="B17" s="177" t="str">
        <f>Vendedor14!$B$2</f>
        <v>EDUARDO TIEMPOS LICORERA</v>
      </c>
      <c r="C17" s="179">
        <f>IF(Vendedor14!$C$21="",0,Vendedor14!$C$21)</f>
        <v>29400</v>
      </c>
      <c r="D17" s="30">
        <f>IF(Vendedor14!$E$21="",0,Vendedor14!$E$21)</f>
        <v>0</v>
      </c>
      <c r="E17" s="179">
        <f>IF(Vendedor14!$C$22="",0,Vendedor14!$C$22)</f>
        <v>10250</v>
      </c>
      <c r="F17" s="30">
        <f>IF(Vendedor14!$E$22="",0,Vendedor14!$E$22)</f>
        <v>50</v>
      </c>
      <c r="G17" s="179">
        <f>IF(Vendedor14!$C$23="",0,Vendedor14!$C$23)</f>
        <v>11050</v>
      </c>
      <c r="H17" s="30">
        <f>IF(Vendedor14!$E$23="",0,Vendedor14!$E$23)</f>
        <v>0</v>
      </c>
      <c r="J17" s="42">
        <f t="shared" si="0"/>
        <v>50700</v>
      </c>
      <c r="K17" s="41">
        <f>MROUND(J17*Vendedor14!J$15,50)</f>
        <v>6100</v>
      </c>
      <c r="L17" s="42">
        <f t="shared" si="1"/>
        <v>50</v>
      </c>
      <c r="M17" s="42">
        <f t="shared" si="3"/>
        <v>4250</v>
      </c>
      <c r="N17" s="42">
        <f>Vendedor14!$F$21+Vendedor14!$F$22+Vendedor14!$F$23</f>
        <v>4250</v>
      </c>
      <c r="P17" s="42">
        <f t="shared" si="2"/>
        <v>40350</v>
      </c>
    </row>
    <row r="18" spans="1:16" x14ac:dyDescent="0.35">
      <c r="A18" s="41">
        <v>15</v>
      </c>
      <c r="B18" s="177" t="str">
        <f>Vendedor15!$B$2</f>
        <v>EDUARDO PUESTO CENTRO</v>
      </c>
      <c r="C18" s="179">
        <f>IF(Vendedor15!$C$21="",0,Vendedor15!$C$21)</f>
        <v>19950</v>
      </c>
      <c r="D18" s="30">
        <f>IF(Vendedor15!$E$21="",0,Vendedor15!$E$21)</f>
        <v>200</v>
      </c>
      <c r="E18" s="179">
        <f>IF(Vendedor15!$C$22="",0,Vendedor15!$C$22)</f>
        <v>7000</v>
      </c>
      <c r="F18" s="30">
        <f>IF(Vendedor15!$E$22="",0,Vendedor15!$E$22)</f>
        <v>0</v>
      </c>
      <c r="G18" s="179">
        <f>IF(Vendedor15!$C$23="",0,Vendedor15!$C$23)</f>
        <v>4400</v>
      </c>
      <c r="H18" s="30">
        <f>IF(Vendedor15!$E$23="",0,Vendedor15!$E$23)</f>
        <v>0</v>
      </c>
      <c r="J18" s="42">
        <f t="shared" si="0"/>
        <v>31350</v>
      </c>
      <c r="K18" s="41">
        <f>MROUND(J18*Vendedor15!J$15,50)</f>
        <v>3750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10600</v>
      </c>
    </row>
    <row r="19" spans="1:16" hidden="1" x14ac:dyDescent="0.35">
      <c r="A19" s="41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G19" s="179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G20" s="179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G21" s="179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G22" s="179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G23" s="179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G24" s="179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G25" s="179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G26" s="179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7" t="str">
        <f>Vendedor24!$C$2</f>
        <v>Arreglo Otro</v>
      </c>
      <c r="C27" s="180">
        <f>IF(Vendedor24!$C$21="",0,Vendedor24!$C$21)</f>
        <v>0</v>
      </c>
      <c r="D27" s="50">
        <f>IF(Vendedor24!$E$21="",0,Vendedor24!$E$21)</f>
        <v>0</v>
      </c>
      <c r="E27" s="180">
        <f>IF(Vendedor24!$C$22="",0,Vendedor24!$C$22)</f>
        <v>-2300</v>
      </c>
      <c r="F27" s="50">
        <f>IF(Vendedor24!$E$22="",0,Vendedor24!$E$22)</f>
        <v>0</v>
      </c>
      <c r="G27" s="180">
        <f>IF(Vendedor24!$C$23="",0,Vendedor24!$C$23)</f>
        <v>-1300</v>
      </c>
      <c r="H27" s="50">
        <f>IF(Vendedor24!$E$23="",0,Vendedor24!$E$23)</f>
        <v>0</v>
      </c>
      <c r="J27" s="42">
        <f t="shared" si="0"/>
        <v>-3600</v>
      </c>
      <c r="K27" s="41">
        <f>IF(J27*Vendedor24!J$9&gt;0,MROUND(J27*Vendedor24!J$9,50),MROUND(J27*Vendedor24!J$9,-50))</f>
        <v>-450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-3150</v>
      </c>
    </row>
    <row r="28" spans="1:16" hidden="1" x14ac:dyDescent="0.35">
      <c r="A28" s="41">
        <v>26</v>
      </c>
      <c r="B28" s="42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53950</v>
      </c>
      <c r="D32" s="44">
        <f t="shared" si="8"/>
        <v>200</v>
      </c>
      <c r="E32" s="43">
        <f t="shared" si="8"/>
        <v>17250</v>
      </c>
      <c r="F32" s="44">
        <f t="shared" si="8"/>
        <v>50</v>
      </c>
      <c r="G32" s="43">
        <f t="shared" si="8"/>
        <v>45800</v>
      </c>
      <c r="H32" s="44">
        <f t="shared" si="8"/>
        <v>0</v>
      </c>
      <c r="J32" s="95">
        <f>SUM(J4:J31)</f>
        <v>117000</v>
      </c>
      <c r="K32" s="45">
        <f>SUM(K7:K31)</f>
        <v>14050</v>
      </c>
      <c r="L32" s="95"/>
      <c r="M32" s="95">
        <f>SUM(M4:M31)</f>
        <v>21250</v>
      </c>
      <c r="N32" s="95">
        <f>SUM(N4:N31)</f>
        <v>21250</v>
      </c>
      <c r="P32" s="79">
        <f>SUM(P4:P31)</f>
        <v>81700</v>
      </c>
    </row>
    <row r="33" spans="3:8" x14ac:dyDescent="0.35">
      <c r="D33" s="99">
        <f>+D32*85</f>
        <v>17000</v>
      </c>
      <c r="F33" s="99">
        <f>+F32*85</f>
        <v>4250</v>
      </c>
      <c r="H33" s="99">
        <f>+H32*85</f>
        <v>0</v>
      </c>
    </row>
    <row r="34" spans="3:8" ht="15" thickBot="1" x14ac:dyDescent="0.4"/>
    <row r="35" spans="3:8" x14ac:dyDescent="0.35">
      <c r="C35" s="265" t="s">
        <v>89</v>
      </c>
      <c r="D35" s="265"/>
    </row>
    <row r="36" spans="3:8" x14ac:dyDescent="0.35">
      <c r="C36" s="47" t="s">
        <v>28</v>
      </c>
      <c r="D36" s="30">
        <f>+C32+E32+G32</f>
        <v>117000</v>
      </c>
      <c r="E36" s="43">
        <f>+D36-J4-J5-J6</f>
        <v>117000</v>
      </c>
    </row>
    <row r="37" spans="3:8" x14ac:dyDescent="0.35">
      <c r="C37" s="47" t="s">
        <v>33</v>
      </c>
      <c r="D37" s="48">
        <f>D36*13%</f>
        <v>15210</v>
      </c>
      <c r="E37">
        <f>+D37-K4-K5-K6</f>
        <v>15210</v>
      </c>
    </row>
    <row r="38" spans="3:8" ht="15" thickBot="1" x14ac:dyDescent="0.4">
      <c r="C38" s="47" t="s">
        <v>30</v>
      </c>
      <c r="D38" s="30">
        <f>SUM(M4:M27)</f>
        <v>21250</v>
      </c>
      <c r="G38" s="100"/>
    </row>
    <row r="39" spans="3:8" ht="15" thickBot="1" x14ac:dyDescent="0.4">
      <c r="C39" s="49" t="s">
        <v>4</v>
      </c>
      <c r="D39" s="80">
        <f>+D36-D37-D38</f>
        <v>80540</v>
      </c>
      <c r="F39" s="98">
        <f>+P32-D39</f>
        <v>1160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80540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0" t="s">
        <v>114</v>
      </c>
      <c r="D1" s="271"/>
      <c r="E1" s="270" t="s">
        <v>115</v>
      </c>
      <c r="F1" s="271"/>
    </row>
    <row r="2" spans="1:14" x14ac:dyDescent="0.35">
      <c r="C2" s="266" t="str">
        <f>DigitaDOMINICANA!C2</f>
        <v>01</v>
      </c>
      <c r="D2" s="267"/>
      <c r="E2" s="266">
        <f>DigitaDOMINICANA!E2</f>
        <v>78</v>
      </c>
      <c r="F2" s="267"/>
    </row>
    <row r="3" spans="1:14" ht="15" thickBot="1" x14ac:dyDescent="0.4">
      <c r="C3" s="266"/>
      <c r="D3" s="267"/>
      <c r="E3" s="266"/>
      <c r="F3" s="267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3">
        <v>1</v>
      </c>
      <c r="B4" s="204" t="str">
        <f>Vendedor1!$B$2</f>
        <v>VENTANA</v>
      </c>
      <c r="C4" s="196"/>
      <c r="D4" s="197"/>
      <c r="E4" s="196"/>
      <c r="F4" s="197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1">
        <v>2</v>
      </c>
      <c r="B5" s="199" t="str">
        <f>Vendedor2!$B$2</f>
        <v>PUESTO 2</v>
      </c>
      <c r="C5" s="192"/>
      <c r="D5" s="83"/>
      <c r="E5" s="192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1">
        <v>3</v>
      </c>
      <c r="B6" s="199" t="str">
        <f>Vendedor3!$B$2</f>
        <v>TABLET</v>
      </c>
      <c r="C6" s="192"/>
      <c r="D6" s="83"/>
      <c r="E6" s="192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1">
        <v>4</v>
      </c>
      <c r="B7" s="199" t="str">
        <f>Vendedor4!$B$2</f>
        <v>Nuevo 2</v>
      </c>
      <c r="C7" s="192"/>
      <c r="D7" s="83"/>
      <c r="E7" s="192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1">
        <v>5</v>
      </c>
      <c r="B8" s="199" t="str">
        <f>Vendedor5!$B$2</f>
        <v>YOYO</v>
      </c>
      <c r="C8" s="192"/>
      <c r="D8" s="83"/>
      <c r="E8" s="192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1">
        <v>6</v>
      </c>
      <c r="B9" s="191" t="str">
        <f>Vendedor6!$B$2</f>
        <v>vendedor 06</v>
      </c>
      <c r="C9" s="192"/>
      <c r="D9" s="83"/>
      <c r="E9" s="192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7" t="str">
        <f>Vendedor7!$B$2</f>
        <v>PIKIS</v>
      </c>
      <c r="C10" s="179">
        <f>IF(Vendedor7!$C$24="",0,Vendedor7!$C$24)</f>
        <v>34000</v>
      </c>
      <c r="D10" s="30">
        <f>IF(Vendedor7!$E$24="",0,Vendedor7!$E$24)</f>
        <v>750</v>
      </c>
      <c r="E10" s="179">
        <f>IF(Vendedor7!$C$25="",0,Vendedor7!$C$25)</f>
        <v>41000</v>
      </c>
      <c r="F10" s="30">
        <f>IF(Vendedor7!$E$25="",0,Vendedor7!$E$25)</f>
        <v>1000</v>
      </c>
      <c r="H10" s="42">
        <f t="shared" si="1"/>
        <v>75000</v>
      </c>
      <c r="I10" s="41">
        <f>MROUND(H10*Vendedor7!J$14,50)</f>
        <v>9000</v>
      </c>
      <c r="J10" s="42">
        <f t="shared" si="2"/>
        <v>1750</v>
      </c>
      <c r="K10" s="42">
        <f t="shared" si="3"/>
        <v>148750</v>
      </c>
      <c r="L10" s="42">
        <f>Vendedor7!$F$24+Vendedor7!$F$25</f>
        <v>148750</v>
      </c>
      <c r="N10" s="42">
        <f t="shared" si="0"/>
        <v>-82750</v>
      </c>
    </row>
    <row r="11" spans="1:14" x14ac:dyDescent="0.35">
      <c r="A11" s="201">
        <v>8</v>
      </c>
      <c r="B11" s="191" t="str">
        <f>Vendedor8!$B$2</f>
        <v>ISA</v>
      </c>
      <c r="C11" s="192"/>
      <c r="D11" s="83"/>
      <c r="E11" s="192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1">
        <v>9</v>
      </c>
      <c r="B12" s="191" t="str">
        <f>Vendedor9!$B$2</f>
        <v>JUAN FELIX</v>
      </c>
      <c r="C12" s="192"/>
      <c r="D12" s="83"/>
      <c r="E12" s="192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1">
        <v>10</v>
      </c>
      <c r="B13" s="191" t="str">
        <f>Vendedor10!$B$2</f>
        <v>MARIALIZ</v>
      </c>
      <c r="C13" s="192"/>
      <c r="D13" s="83"/>
      <c r="E13" s="192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1">
        <v>11</v>
      </c>
      <c r="B14" s="191" t="str">
        <f>Vendedor11!$B$2</f>
        <v>CHARLY</v>
      </c>
      <c r="C14" s="192"/>
      <c r="D14" s="83"/>
      <c r="E14" s="192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1">
        <v>12</v>
      </c>
      <c r="B15" s="191" t="str">
        <f>Vendedor12!$B$2</f>
        <v>LAURY</v>
      </c>
      <c r="C15" s="192"/>
      <c r="D15" s="83"/>
      <c r="E15" s="192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1">
        <v>13</v>
      </c>
      <c r="B16" s="191" t="str">
        <f>Vendedor13!$B$2</f>
        <v>MINERO</v>
      </c>
      <c r="C16" s="192"/>
      <c r="D16" s="83"/>
      <c r="E16" s="192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7" t="str">
        <f>Vendedor14!$B$2</f>
        <v>EDUARDO TIEMPOS LICORERA</v>
      </c>
      <c r="C17" s="179">
        <f>IF(Vendedor14!$C$24="",0,Vendedor14!$C$24)</f>
        <v>0</v>
      </c>
      <c r="D17" s="30">
        <f>IF(Vendedor14!$E$24="",0,Vendedor14!$E$24)</f>
        <v>0</v>
      </c>
      <c r="E17" s="179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7" t="str">
        <f>Vendedor15!$B$2</f>
        <v>EDUARDO PUESTO CENTRO</v>
      </c>
      <c r="C18" s="179">
        <f>IF(Vendedor15!$C$24="",0,Vendedor15!$C$24)</f>
        <v>0</v>
      </c>
      <c r="D18" s="30">
        <f>IF(Vendedor15!$E$24="",0,Vendedor15!$E$24)</f>
        <v>0</v>
      </c>
      <c r="E18" s="179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E19" s="179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E20" s="179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E21" s="179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E22" s="179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E23" s="179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E24" s="179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E25" s="179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E26" s="179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0" t="str">
        <f>Vendedor24!$C$2</f>
        <v>Arreglo Otro</v>
      </c>
      <c r="C27" s="180">
        <f>IF(Vendedor24!$C$24="",0,Vendedor24!$C$24)</f>
        <v>0</v>
      </c>
      <c r="D27" s="50">
        <f>IF(Vendedor24!$E$24="",0,Vendedor24!$E$24)</f>
        <v>0</v>
      </c>
      <c r="E27" s="180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34000</v>
      </c>
      <c r="D32" s="44">
        <f>SUM(D4:D31)</f>
        <v>750</v>
      </c>
      <c r="E32" s="43">
        <f>SUM(E4:E31)</f>
        <v>41000</v>
      </c>
      <c r="F32" s="44">
        <f>SUM(F4:F31)</f>
        <v>1000</v>
      </c>
      <c r="H32" s="95">
        <f>SUM(H4:H31)</f>
        <v>75000</v>
      </c>
      <c r="I32" s="45">
        <f>SUM(I7:I31)</f>
        <v>9000</v>
      </c>
      <c r="J32" s="95"/>
      <c r="K32" s="95">
        <f>SUM(K4:K31)</f>
        <v>148750</v>
      </c>
      <c r="L32" s="95">
        <f>SUM(L4:L31)</f>
        <v>148750</v>
      </c>
      <c r="N32" s="79">
        <f>SUM(N4:N31)</f>
        <v>-82750</v>
      </c>
    </row>
    <row r="33" spans="3:6" x14ac:dyDescent="0.35">
      <c r="D33" s="99">
        <f>+D32*85</f>
        <v>63750</v>
      </c>
      <c r="F33" s="99">
        <f>+F32*85</f>
        <v>85000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+C32+E32</f>
        <v>75000</v>
      </c>
      <c r="E36" s="43">
        <f>+D36-H4-H5-H6</f>
        <v>75000</v>
      </c>
    </row>
    <row r="37" spans="3:6" x14ac:dyDescent="0.35">
      <c r="C37" s="47" t="s">
        <v>33</v>
      </c>
      <c r="D37" s="48">
        <f>D36*13%</f>
        <v>9750</v>
      </c>
      <c r="E37">
        <f>+D37-I4-I5-I6</f>
        <v>9750</v>
      </c>
    </row>
    <row r="38" spans="3:6" ht="15" thickBot="1" x14ac:dyDescent="0.4">
      <c r="C38" s="47" t="s">
        <v>30</v>
      </c>
      <c r="D38" s="30">
        <f>SUM(K4:K27)</f>
        <v>148750</v>
      </c>
    </row>
    <row r="39" spans="3:6" ht="15" thickBot="1" x14ac:dyDescent="0.4">
      <c r="C39" s="49" t="s">
        <v>4</v>
      </c>
      <c r="D39" s="80">
        <f>+D36-D37-D38</f>
        <v>-83500</v>
      </c>
      <c r="F39" s="98">
        <f>+N32-D39</f>
        <v>750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-83500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0" t="s">
        <v>109</v>
      </c>
      <c r="D1" s="271"/>
    </row>
    <row r="2" spans="1:12" x14ac:dyDescent="0.35">
      <c r="C2" s="266">
        <f>DigitaPANAMENA!C2</f>
        <v>64</v>
      </c>
      <c r="D2" s="267"/>
    </row>
    <row r="3" spans="1:12" ht="15" thickBot="1" x14ac:dyDescent="0.4">
      <c r="C3" s="266"/>
      <c r="D3" s="267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3">
        <v>1</v>
      </c>
      <c r="B4" s="204" t="str">
        <f>Vendedor1!$B$2</f>
        <v>VENTANA</v>
      </c>
      <c r="C4" s="196"/>
      <c r="D4" s="197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1">
        <v>2</v>
      </c>
      <c r="B5" s="199" t="str">
        <f>Vendedor2!$B$2</f>
        <v>PUESTO 2</v>
      </c>
      <c r="C5" s="192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1">
        <v>3</v>
      </c>
      <c r="B6" s="199" t="str">
        <f>Vendedor3!$B$2</f>
        <v>TABLET</v>
      </c>
      <c r="C6" s="192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1">
        <v>4</v>
      </c>
      <c r="B7" s="199" t="str">
        <f>Vendedor4!$B$2</f>
        <v>Nuevo 2</v>
      </c>
      <c r="C7" s="192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1">
        <v>5</v>
      </c>
      <c r="B8" s="199" t="str">
        <f>Vendedor5!$B$2</f>
        <v>YOYO</v>
      </c>
      <c r="C8" s="192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1">
        <v>6</v>
      </c>
      <c r="B9" s="191" t="str">
        <f>Vendedor6!$B$2</f>
        <v>vendedor 06</v>
      </c>
      <c r="C9" s="192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7" t="str">
        <f>Vendedor7!$B$2</f>
        <v>PIKIS</v>
      </c>
      <c r="C10" s="179">
        <f>IF(Vendedor7!$C$26="",0,Vendedor7!$C$26)</f>
        <v>5200</v>
      </c>
      <c r="D10" s="30">
        <f>IF(Vendedor7!$E$26="",0,Vendedor7!$E$26)</f>
        <v>0</v>
      </c>
      <c r="F10" s="42">
        <f t="shared" si="1"/>
        <v>5200</v>
      </c>
      <c r="G10" s="41">
        <f>MROUND(F10*Vendedor7!J$14,50)</f>
        <v>600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4600</v>
      </c>
    </row>
    <row r="11" spans="1:12" x14ac:dyDescent="0.35">
      <c r="A11" s="201">
        <v>8</v>
      </c>
      <c r="B11" s="191" t="str">
        <f>Vendedor8!$B$2</f>
        <v>ISA</v>
      </c>
      <c r="C11" s="192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1">
        <v>9</v>
      </c>
      <c r="B12" s="191" t="str">
        <f>Vendedor9!$B$2</f>
        <v>JUAN FELIX</v>
      </c>
      <c r="C12" s="192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1">
        <v>10</v>
      </c>
      <c r="B13" s="191" t="str">
        <f>Vendedor10!$B$2</f>
        <v>MARIALIZ</v>
      </c>
      <c r="C13" s="192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1">
        <v>11</v>
      </c>
      <c r="B14" s="191" t="str">
        <f>Vendedor11!$B$2</f>
        <v>CHARLY</v>
      </c>
      <c r="C14" s="192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1">
        <v>12</v>
      </c>
      <c r="B15" s="191" t="str">
        <f>Vendedor12!$B$2</f>
        <v>LAURY</v>
      </c>
      <c r="C15" s="192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1">
        <v>13</v>
      </c>
      <c r="B16" s="191" t="str">
        <f>Vendedor13!$B$2</f>
        <v>MINERO</v>
      </c>
      <c r="C16" s="192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7" t="str">
        <f>Vendedor14!$B$2</f>
        <v>EDUARDO TIEMPOS LICORERA</v>
      </c>
      <c r="C17" s="179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7" t="str">
        <f>Vendedor15!$B$2</f>
        <v>EDUARDO PUESTO CENTRO</v>
      </c>
      <c r="C18" s="179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7" t="str">
        <f>Vendedor16!$C$2</f>
        <v>Vendedor 16</v>
      </c>
      <c r="C19" s="179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7" t="str">
        <f>Vendedor17!$C$2</f>
        <v>Vendedor 17</v>
      </c>
      <c r="C20" s="179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7" t="str">
        <f>Vendedor18!$C$2</f>
        <v>Vendedor 18</v>
      </c>
      <c r="C21" s="179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7" t="str">
        <f>Vendedor19!$C$2</f>
        <v>Vendedor 19</v>
      </c>
      <c r="C22" s="179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7" t="str">
        <f>Vendedor20!$C$2</f>
        <v>Vendedor 20</v>
      </c>
      <c r="C23" s="179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7" t="str">
        <f>Vendedor21!$B$2</f>
        <v>Vendedor 21</v>
      </c>
      <c r="C24" s="179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7" t="str">
        <f>Vendedor22!$B$2</f>
        <v>Vendedor 22</v>
      </c>
      <c r="C25" s="179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7" t="str">
        <f>Vendedor23!$B$2</f>
        <v>Vendedor 23</v>
      </c>
      <c r="C26" s="179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0" t="str">
        <f>Vendedor24!$C$2</f>
        <v>Arreglo Otro</v>
      </c>
      <c r="C27" s="180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5200</v>
      </c>
      <c r="D32" s="44">
        <f>SUM(D4:D31)</f>
        <v>0</v>
      </c>
      <c r="F32" s="95">
        <f>SUM(F4:F31)</f>
        <v>5200</v>
      </c>
      <c r="G32" s="95">
        <f>SUM(G7:G31)</f>
        <v>600</v>
      </c>
      <c r="H32" s="95"/>
      <c r="I32" s="95">
        <f>SUM(I4:I31)</f>
        <v>0</v>
      </c>
      <c r="J32" s="95">
        <f>SUM(J4:J31)</f>
        <v>0</v>
      </c>
      <c r="L32" s="91">
        <f>SUM(L4:L31)</f>
        <v>4600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5" t="s">
        <v>89</v>
      </c>
      <c r="D35" s="265"/>
    </row>
    <row r="36" spans="3:6" x14ac:dyDescent="0.35">
      <c r="C36" s="47" t="s">
        <v>28</v>
      </c>
      <c r="D36" s="30">
        <f>+C32</f>
        <v>5200</v>
      </c>
      <c r="F36" s="43">
        <f>+D36-F4-F5-F6</f>
        <v>5200</v>
      </c>
    </row>
    <row r="37" spans="3:6" x14ac:dyDescent="0.35">
      <c r="C37" s="47" t="s">
        <v>33</v>
      </c>
      <c r="D37" s="30">
        <f>D36*14%</f>
        <v>728.00000000000011</v>
      </c>
      <c r="E37" s="43"/>
      <c r="F37" s="43">
        <f>+D37-G4-G5-G6</f>
        <v>728.00000000000011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4472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2">
        <v>0</v>
      </c>
    </row>
    <row r="43" spans="3:6" ht="15" thickBot="1" x14ac:dyDescent="0.4">
      <c r="C43" s="108" t="s">
        <v>79</v>
      </c>
      <c r="D43" s="109">
        <f>+D39+D41+D42</f>
        <v>4472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5" t="str">
        <f ca="1">CONCATENATE("Cuentas ALI ",TEXT('Ctas Banca'!I5,"dd-mm-yyyy"))</f>
        <v>Cuentas ALI 16-04-2026</v>
      </c>
      <c r="B1" s="275"/>
      <c r="C1" s="275"/>
      <c r="D1" s="275"/>
      <c r="E1" s="275"/>
      <c r="F1" s="275"/>
      <c r="G1" s="275"/>
      <c r="H1" s="21"/>
      <c r="I1" s="21"/>
    </row>
    <row r="2" spans="1:9" ht="15" thickBot="1" x14ac:dyDescent="0.4">
      <c r="A2" s="276" t="s">
        <v>137</v>
      </c>
      <c r="B2" s="276"/>
      <c r="C2" s="276"/>
      <c r="D2" s="276"/>
      <c r="E2" s="276"/>
      <c r="F2" s="276"/>
      <c r="G2" s="276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5">
        <f>HojaNICA!$E$36</f>
        <v>1163200</v>
      </c>
      <c r="C4" s="156">
        <f>HojaNICA!M32</f>
        <v>139600</v>
      </c>
      <c r="D4" s="149">
        <f>HojaNICA!E37</f>
        <v>151211</v>
      </c>
      <c r="E4" s="149">
        <f>HojaNICA!P32</f>
        <v>756500</v>
      </c>
      <c r="F4" s="149">
        <f>HojaNICA!O32</f>
        <v>769250</v>
      </c>
      <c r="G4" s="150">
        <f t="shared" ref="G4:G10" si="0">+D4-C4+F4-E4</f>
        <v>24361</v>
      </c>
      <c r="H4" s="21"/>
      <c r="I4" s="181"/>
    </row>
    <row r="5" spans="1:9" x14ac:dyDescent="0.35">
      <c r="A5" s="28" t="s">
        <v>19</v>
      </c>
      <c r="B5" s="155">
        <f>HojaTICA!$E$36</f>
        <v>1590300</v>
      </c>
      <c r="C5" s="156">
        <f>HojaTICA!K32</f>
        <v>193800</v>
      </c>
      <c r="D5" s="149">
        <f>HojaTICA!E37</f>
        <v>206721</v>
      </c>
      <c r="E5" s="149">
        <f>HojaTICA!N32</f>
        <v>1132250</v>
      </c>
      <c r="F5" s="149">
        <f>HojaTICA!D38</f>
        <v>1134750</v>
      </c>
      <c r="G5" s="150">
        <f t="shared" si="0"/>
        <v>15421</v>
      </c>
      <c r="H5" s="21"/>
      <c r="I5" s="181"/>
    </row>
    <row r="6" spans="1:9" x14ac:dyDescent="0.35">
      <c r="A6" s="28" t="s">
        <v>125</v>
      </c>
      <c r="B6" s="155">
        <f>HojaREVENTADO!$E$37</f>
        <v>209250</v>
      </c>
      <c r="C6" s="156">
        <f>HojaREVENTADO!K33</f>
        <v>20925</v>
      </c>
      <c r="D6" s="149">
        <f>HojaREVENTADO!E38</f>
        <v>20925</v>
      </c>
      <c r="E6" s="149">
        <f>HojaREVENTADO!O33</f>
        <v>400000</v>
      </c>
      <c r="F6" s="149">
        <f>HojaREVENTADO!N33</f>
        <v>440000</v>
      </c>
      <c r="G6" s="150">
        <f t="shared" si="0"/>
        <v>40000</v>
      </c>
      <c r="H6" s="21"/>
      <c r="I6" s="181"/>
    </row>
    <row r="7" spans="1:9" x14ac:dyDescent="0.35">
      <c r="A7" s="28" t="s">
        <v>96</v>
      </c>
      <c r="B7" s="155">
        <f>HojaPrimera!$E$36</f>
        <v>326800</v>
      </c>
      <c r="C7" s="156">
        <f>HojaPrimera!I32</f>
        <v>39200</v>
      </c>
      <c r="D7" s="149">
        <f>HojaPrimera!E37</f>
        <v>42464.5</v>
      </c>
      <c r="E7" s="149">
        <f>HojaPrimera!L32</f>
        <v>21250</v>
      </c>
      <c r="F7" s="149">
        <f>HojaPrimera!K32</f>
        <v>21250</v>
      </c>
      <c r="G7" s="150">
        <f t="shared" si="0"/>
        <v>3264.5</v>
      </c>
      <c r="H7" s="21"/>
      <c r="I7" s="21"/>
    </row>
    <row r="8" spans="1:9" x14ac:dyDescent="0.35">
      <c r="A8" s="28" t="s">
        <v>104</v>
      </c>
      <c r="B8" s="155">
        <f>HojaHonduras!$E$36</f>
        <v>117000</v>
      </c>
      <c r="C8" s="156">
        <f>HojaHonduras!K32</f>
        <v>14050</v>
      </c>
      <c r="D8" s="149">
        <f>HojaHonduras!E37</f>
        <v>15210</v>
      </c>
      <c r="E8" s="149">
        <f>HojaHonduras!N32</f>
        <v>21250</v>
      </c>
      <c r="F8" s="149">
        <f>HojaHonduras!M32</f>
        <v>21250</v>
      </c>
      <c r="G8" s="150">
        <f t="shared" si="0"/>
        <v>1160</v>
      </c>
      <c r="H8" s="21"/>
      <c r="I8" s="21"/>
    </row>
    <row r="9" spans="1:9" x14ac:dyDescent="0.35">
      <c r="A9" s="28" t="s">
        <v>20</v>
      </c>
      <c r="B9" s="155">
        <f>HojaDominicana!$E$36</f>
        <v>75000</v>
      </c>
      <c r="C9" s="156">
        <f>HojaDominicana!I32</f>
        <v>9000</v>
      </c>
      <c r="D9" s="149">
        <f>HojaDominicana!E37</f>
        <v>9750</v>
      </c>
      <c r="E9" s="149">
        <f>HojaDominicana!L32</f>
        <v>148750</v>
      </c>
      <c r="F9" s="149">
        <f>HojaDominicana!K32</f>
        <v>148750</v>
      </c>
      <c r="G9" s="150">
        <f t="shared" si="0"/>
        <v>750</v>
      </c>
      <c r="H9" s="21"/>
      <c r="I9" s="21"/>
    </row>
    <row r="10" spans="1:9" ht="15" thickBot="1" x14ac:dyDescent="0.4">
      <c r="A10" s="166" t="s">
        <v>21</v>
      </c>
      <c r="B10" s="167">
        <f>HojaPANA!F36</f>
        <v>5200</v>
      </c>
      <c r="C10" s="168">
        <f>HojaPANA!G32</f>
        <v>600</v>
      </c>
      <c r="D10" s="169">
        <f>HojaPANA!F37</f>
        <v>728.00000000000011</v>
      </c>
      <c r="E10" s="169">
        <f>HojaPANA!J32</f>
        <v>0</v>
      </c>
      <c r="F10" s="169">
        <f>HojaPANA!I32</f>
        <v>0</v>
      </c>
      <c r="G10" s="170">
        <f t="shared" si="0"/>
        <v>128.00000000000011</v>
      </c>
      <c r="H10" s="21"/>
      <c r="I10" s="21"/>
    </row>
    <row r="11" spans="1:9" ht="19" thickBot="1" x14ac:dyDescent="0.5">
      <c r="A11" s="173" t="s">
        <v>32</v>
      </c>
      <c r="B11" s="174">
        <f>SUM(B4:B10)</f>
        <v>3486750</v>
      </c>
      <c r="C11" s="174">
        <f>SUM(C4:C10)</f>
        <v>417175</v>
      </c>
      <c r="D11" s="174">
        <f t="shared" ref="D11:F11" si="1">SUM(D4:D10)</f>
        <v>447009.5</v>
      </c>
      <c r="E11" s="174">
        <f t="shared" si="1"/>
        <v>2480000</v>
      </c>
      <c r="F11" s="174">
        <f t="shared" si="1"/>
        <v>2535250</v>
      </c>
      <c r="G11" s="175">
        <f>SUM(G4:G10)</f>
        <v>85084.5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1" t="s">
        <v>126</v>
      </c>
      <c r="G12" s="172">
        <v>15000</v>
      </c>
      <c r="H12" s="140">
        <f>+G11-G12</f>
        <v>70084.5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6" t="s">
        <v>136</v>
      </c>
      <c r="D14" s="276"/>
      <c r="E14" s="276"/>
      <c r="F14" s="276"/>
      <c r="G14" s="276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6">
        <f>+Vendedor1!C21</f>
        <v>273150</v>
      </c>
      <c r="E16" s="156">
        <f>+Vendedor1!D21</f>
        <v>35509.5</v>
      </c>
      <c r="F16" s="157">
        <f>IF(D16&lt;&gt;0,15000,0)</f>
        <v>15000</v>
      </c>
      <c r="G16" s="150">
        <f>+E16-F16</f>
        <v>20509.5</v>
      </c>
      <c r="H16" s="21"/>
      <c r="I16" s="21"/>
    </row>
    <row r="17" spans="1:9" x14ac:dyDescent="0.35">
      <c r="A17" s="21"/>
      <c r="B17" s="21"/>
      <c r="C17" s="28" t="s">
        <v>130</v>
      </c>
      <c r="D17" s="156">
        <f>+Vendedor2!C21</f>
        <v>174600</v>
      </c>
      <c r="E17" s="156">
        <f>+Vendedor2!D21</f>
        <v>22698</v>
      </c>
      <c r="F17" s="157">
        <f>IF(D17&lt;&gt;0,15000,0)</f>
        <v>15000</v>
      </c>
      <c r="G17" s="150">
        <f>+E17-F17</f>
        <v>7698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6">
        <f>+Vendedor3!C21</f>
        <v>0</v>
      </c>
      <c r="E18" s="156">
        <f>+Vendedor3!D21</f>
        <v>0</v>
      </c>
      <c r="F18" s="157">
        <f>IF(D18&lt;&gt;0,15000,0)</f>
        <v>0</v>
      </c>
      <c r="G18" s="150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1" t="s">
        <v>32</v>
      </c>
      <c r="D19" s="158">
        <f>SUM(D16:D18)</f>
        <v>447750</v>
      </c>
      <c r="E19" s="158">
        <f>SUM(E16:E18)</f>
        <v>58207.5</v>
      </c>
      <c r="F19" s="159">
        <f>SUM(F16:F18)</f>
        <v>30000</v>
      </c>
      <c r="G19" s="160">
        <f>SUM(G16:G18)</f>
        <v>28207.5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6">
        <v>0</v>
      </c>
      <c r="E22" s="156">
        <v>0</v>
      </c>
      <c r="F22" s="157">
        <f>-Vendedor24!F27</f>
        <v>0</v>
      </c>
      <c r="G22" s="150">
        <f>+D22-E22-F22</f>
        <v>0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2" t="s">
        <v>124</v>
      </c>
      <c r="G24" s="161">
        <f>G11+G19-G12+G22</f>
        <v>98292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sqref="A1:H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7" t="str">
        <f ca="1">CONCATENATE("Tiempos Pana ",TEXT(I5,"dd-mm-yyyy"))</f>
        <v>Tiempos Pana 16-04-2026</v>
      </c>
      <c r="B2" s="277"/>
      <c r="C2" s="277"/>
      <c r="D2" s="277"/>
      <c r="E2" s="277"/>
      <c r="F2" s="277"/>
    </row>
    <row r="3" spans="1:15" ht="15" thickBot="1" x14ac:dyDescent="0.4"/>
    <row r="4" spans="1:15" ht="16" thickBot="1" x14ac:dyDescent="0.4">
      <c r="A4" s="144" t="s">
        <v>8</v>
      </c>
      <c r="B4" s="145" t="s">
        <v>39</v>
      </c>
      <c r="C4" s="145" t="s">
        <v>40</v>
      </c>
      <c r="D4" s="145" t="s">
        <v>12</v>
      </c>
      <c r="E4" s="145" t="s">
        <v>105</v>
      </c>
      <c r="F4" s="146" t="s">
        <v>32</v>
      </c>
      <c r="I4" s="247" t="s">
        <v>144</v>
      </c>
      <c r="L4" s="153"/>
    </row>
    <row r="5" spans="1:15" ht="21" x14ac:dyDescent="0.5">
      <c r="A5" s="47" t="s">
        <v>37</v>
      </c>
      <c r="B5" s="149">
        <f>HojaNICA!D36</f>
        <v>1239700</v>
      </c>
      <c r="C5" s="149">
        <f>HojaNICA!D37</f>
        <v>161161</v>
      </c>
      <c r="D5" s="149">
        <f>HojaNICA!D38</f>
        <v>769250</v>
      </c>
      <c r="E5" s="149"/>
      <c r="F5" s="150">
        <f>+B5-C5-D5+E5</f>
        <v>309289</v>
      </c>
      <c r="H5" s="248" t="s">
        <v>105</v>
      </c>
      <c r="I5" s="242">
        <f ca="1">TODAY()-1</f>
        <v>46128</v>
      </c>
      <c r="O5" s="119"/>
    </row>
    <row r="6" spans="1:15" ht="15" thickBot="1" x14ac:dyDescent="0.4">
      <c r="A6" s="47" t="s">
        <v>36</v>
      </c>
      <c r="B6" s="149">
        <f>HojaTICA!D36</f>
        <v>1951700</v>
      </c>
      <c r="C6" s="149">
        <f>HojaTICA!D37</f>
        <v>253721</v>
      </c>
      <c r="D6" s="149">
        <f>HojaTICA!D38</f>
        <v>1134750</v>
      </c>
      <c r="E6" s="149"/>
      <c r="F6" s="150">
        <f t="shared" ref="F6:F11" si="0">+B6-C6-D6+E6</f>
        <v>563229</v>
      </c>
      <c r="H6" s="255">
        <v>0</v>
      </c>
    </row>
    <row r="7" spans="1:15" ht="15" thickBot="1" x14ac:dyDescent="0.4">
      <c r="A7" s="47" t="s">
        <v>38</v>
      </c>
      <c r="B7" s="149">
        <f>HojaREVENTADO!D37</f>
        <v>209250</v>
      </c>
      <c r="C7" s="149">
        <f>HojaREVENTADO!D38</f>
        <v>20925</v>
      </c>
      <c r="D7" s="149">
        <f>HojaREVENTADO!D39</f>
        <v>440000</v>
      </c>
      <c r="E7" s="149"/>
      <c r="F7" s="150">
        <f t="shared" si="0"/>
        <v>-251675</v>
      </c>
    </row>
    <row r="8" spans="1:15" x14ac:dyDescent="0.35">
      <c r="A8" s="47" t="s">
        <v>96</v>
      </c>
      <c r="B8" s="149">
        <f>HojaPrimera!$D36</f>
        <v>336650</v>
      </c>
      <c r="C8" s="149">
        <f>HojaPrimera!$D37</f>
        <v>43764.5</v>
      </c>
      <c r="D8" s="149">
        <f>HojaPrimera!$D38</f>
        <v>21250</v>
      </c>
      <c r="E8" s="149"/>
      <c r="F8" s="150">
        <f t="shared" si="0"/>
        <v>271635.5</v>
      </c>
      <c r="H8" s="248" t="s">
        <v>153</v>
      </c>
    </row>
    <row r="9" spans="1:15" ht="15" thickBot="1" x14ac:dyDescent="0.4">
      <c r="A9" s="47" t="s">
        <v>104</v>
      </c>
      <c r="B9" s="149">
        <f>HojaHonduras!$D36</f>
        <v>117000</v>
      </c>
      <c r="C9" s="149">
        <f>HojaHonduras!$D37</f>
        <v>15210</v>
      </c>
      <c r="D9" s="149">
        <f>HojaHonduras!$D38</f>
        <v>21250</v>
      </c>
      <c r="E9" s="149"/>
      <c r="F9" s="150">
        <f t="shared" si="0"/>
        <v>80540</v>
      </c>
      <c r="H9" s="249">
        <f>+K12-K10-H6</f>
        <v>902900.5</v>
      </c>
    </row>
    <row r="10" spans="1:15" ht="15" thickBot="1" x14ac:dyDescent="0.4">
      <c r="A10" s="47" t="s">
        <v>20</v>
      </c>
      <c r="B10" s="149">
        <f>HojaDominicana!$D36</f>
        <v>75000</v>
      </c>
      <c r="C10" s="149">
        <f>HojaDominicana!$D37</f>
        <v>9750</v>
      </c>
      <c r="D10" s="149">
        <f>HojaDominicana!$D38</f>
        <v>148750</v>
      </c>
      <c r="E10" s="149"/>
      <c r="F10" s="150">
        <f t="shared" si="0"/>
        <v>-83500</v>
      </c>
      <c r="H10" s="153"/>
      <c r="J10" t="s">
        <v>148</v>
      </c>
      <c r="K10" s="251">
        <v>5841901.4100000001</v>
      </c>
    </row>
    <row r="11" spans="1:15" ht="15" thickBot="1" x14ac:dyDescent="0.4">
      <c r="A11" s="47" t="s">
        <v>21</v>
      </c>
      <c r="B11" s="149">
        <f>HojaPANA!$D36</f>
        <v>5200</v>
      </c>
      <c r="C11" s="149">
        <f>HojaPANA!$D37</f>
        <v>728.00000000000011</v>
      </c>
      <c r="D11" s="164">
        <f>HojaPANA!$D38</f>
        <v>0</v>
      </c>
      <c r="E11" s="149"/>
      <c r="F11" s="150">
        <f t="shared" si="0"/>
        <v>4472</v>
      </c>
      <c r="H11" s="213" t="s">
        <v>154</v>
      </c>
      <c r="J11" t="s">
        <v>158</v>
      </c>
      <c r="K11" s="252">
        <f>+K10+F12+H6</f>
        <v>6735891.9100000001</v>
      </c>
    </row>
    <row r="12" spans="1:15" ht="16" thickBot="1" x14ac:dyDescent="0.4">
      <c r="A12" s="143" t="s">
        <v>5</v>
      </c>
      <c r="B12" s="151">
        <f>SUM(B5:B11)</f>
        <v>3934500</v>
      </c>
      <c r="C12" s="151">
        <f>SUM(C5:C11)</f>
        <v>505259.5</v>
      </c>
      <c r="D12" s="151">
        <f>SUM(D5:D11)</f>
        <v>2535250</v>
      </c>
      <c r="E12" s="151"/>
      <c r="F12" s="254">
        <f>SUM(F5:F11)</f>
        <v>893990.5</v>
      </c>
      <c r="H12" s="250">
        <f>K12</f>
        <v>6744801.9100000001</v>
      </c>
      <c r="J12" t="s">
        <v>140</v>
      </c>
      <c r="K12" s="253">
        <f>885920.89+4240411.74+366039.8+1252429.48</f>
        <v>6744801.9100000001</v>
      </c>
    </row>
    <row r="13" spans="1:15" x14ac:dyDescent="0.35">
      <c r="M13" s="153"/>
    </row>
    <row r="14" spans="1:15" x14ac:dyDescent="0.35">
      <c r="B14" s="153"/>
      <c r="M14" s="43"/>
    </row>
    <row r="15" spans="1:15" x14ac:dyDescent="0.35">
      <c r="M15" s="43"/>
    </row>
    <row r="16" spans="1:15" x14ac:dyDescent="0.35">
      <c r="B16" s="153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VENTANA</v>
      </c>
      <c r="C2" s="279"/>
      <c r="D2" s="280"/>
      <c r="J2" s="21" t="s">
        <v>146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219900</v>
      </c>
      <c r="K4" s="230">
        <f t="shared" ref="K4" si="0">D7+D11+D15</f>
        <v>28587</v>
      </c>
      <c r="L4" s="219">
        <f>F7+F11+F15</f>
        <v>93500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IF(DigitaNICA!C4&lt;&gt;"",DigitaNICA!C4,"")</f>
        <v>23300</v>
      </c>
      <c r="D5" s="42">
        <f>IF(C5="",0,C5*J$10)</f>
        <v>3029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20271</v>
      </c>
      <c r="I5" s="240" t="s">
        <v>37</v>
      </c>
      <c r="J5" s="220">
        <f>SUM(IF(C5="",0,C5),IF(C9="",0,C9),IF(C13="",0,C13),IF(C17="",0,C17))</f>
        <v>45700</v>
      </c>
      <c r="K5" s="224">
        <f t="shared" ref="K5" si="2">D5+D9+D13+D17</f>
        <v>5941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7550</v>
      </c>
      <c r="K6" s="227">
        <f>D19+D20</f>
        <v>981.5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>
        <f>IF(DigitaTICA!C4&lt;&gt;"",DigitaTICA!C4,"")</f>
        <v>49750</v>
      </c>
      <c r="D7" s="42">
        <f>IF(C7="",0,C7*J$9)</f>
        <v>6467.5</v>
      </c>
      <c r="E7" s="29">
        <f>IF(DigitaTICA!D4&lt;&gt;"",DigitaTICA!D4,"")</f>
        <v>250</v>
      </c>
      <c r="F7" s="42">
        <f>IF(E7="",0,E7*PREMIOS!F7)</f>
        <v>21250</v>
      </c>
      <c r="G7" s="30">
        <f t="shared" si="1"/>
        <v>22032.5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IF(DigitaNICA!E4&lt;&gt;"",DigitaNICA!E4,"")</f>
        <v>14000</v>
      </c>
      <c r="D9" s="42">
        <f>IF(C9="",0,C9*J$10)</f>
        <v>1820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12180</v>
      </c>
      <c r="I9" s="76" t="s">
        <v>36</v>
      </c>
      <c r="J9" s="77">
        <v>0.13</v>
      </c>
      <c r="K9" s="78">
        <f>MROUND(D7+D11+D15,50)</f>
        <v>28600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5950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IF(DigitaTICA!E4&lt;&gt;"",DigitaTICA!E4,"")</f>
        <v>26400</v>
      </c>
      <c r="D11" s="42">
        <f>IF(C11="",0,C11*J$9)</f>
        <v>3432</v>
      </c>
      <c r="E11" s="29">
        <f>IF(DigitaTICA!F4&lt;&gt;"",DigitaTICA!F4,"")</f>
        <v>200</v>
      </c>
      <c r="F11" s="42">
        <f>IF(E11="",0,E11*PREMIOS!F11)</f>
        <v>17000</v>
      </c>
      <c r="G11" s="30">
        <f t="shared" si="1"/>
        <v>5968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1000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IF(DigitaNICA!G4&lt;&gt;"",DigitaNICA!G4,"")</f>
        <v>7900</v>
      </c>
      <c r="D13" s="42">
        <f>IF(C13="",0,C13*J$10)</f>
        <v>1027</v>
      </c>
      <c r="E13" s="29">
        <f>IF(DigitaNICA!H4&lt;&gt;"",DigitaNICA!H4,"")</f>
        <v>500</v>
      </c>
      <c r="F13" s="42">
        <f>IF(E13="",0,E13*PREMIOS!E13)</f>
        <v>40000</v>
      </c>
      <c r="G13" s="30">
        <f>IF(OR(C13="",E13=""),0,C13-D13-F13)</f>
        <v>-33127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IF(DigitaTICA!G4&lt;&gt;"",DigitaTICA!G4,"")</f>
        <v>143750</v>
      </c>
      <c r="D15" s="42">
        <f>IF(C15="",0,C15*J$9)</f>
        <v>18687.5</v>
      </c>
      <c r="E15" s="29">
        <f>IF(DigitaTICA!H4&lt;&gt;"",DigitaTICA!H4,"")</f>
        <v>650</v>
      </c>
      <c r="F15" s="42">
        <f>IF(E15="",0,E15*PREMIOS!F15)</f>
        <v>55250</v>
      </c>
      <c r="G15" s="30">
        <f t="shared" si="3"/>
        <v>69812.5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>
        <f>IF(DigitaNICA!I4&lt;&gt;"",DigitaNICA!I4,"")</f>
        <v>500</v>
      </c>
      <c r="D17" s="42">
        <f>IF(C17="",0,C17*J$10)</f>
        <v>65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435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IF(DigitaPRIMERA!C4&lt;&gt;"",DigitaPRIMERA!C4,"")</f>
        <v>6550</v>
      </c>
      <c r="D19" s="42">
        <f>IF(C19="",0,C19*J$12)</f>
        <v>851.5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5698.5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>
        <f>IF(DigitaPRIMERA!E4&lt;&gt;"",DigitaPRIMERA!E4,"")</f>
        <v>1000</v>
      </c>
      <c r="D20" s="42">
        <f>IF(C20="",0,C20*J$12)</f>
        <v>130</v>
      </c>
      <c r="E20" s="29">
        <f>IF(DigitaPRIMERA!F4&lt;&gt;"",DigitaPRIMERA!F4,"")</f>
        <v>0</v>
      </c>
      <c r="F20" s="42">
        <f>IF(E20="",0,E20*PREMIOS!E19)</f>
        <v>0</v>
      </c>
      <c r="G20" s="30">
        <f t="shared" ref="G20" si="5">IF(OR(C20="",E20=""),0,C20-D20-F20)</f>
        <v>870</v>
      </c>
    </row>
    <row r="21" spans="1:7" ht="15" thickBot="1" x14ac:dyDescent="0.4">
      <c r="A21" s="121" t="s">
        <v>5</v>
      </c>
      <c r="B21" s="128"/>
      <c r="C21" s="122">
        <f>SUM(C5:C20)</f>
        <v>273150</v>
      </c>
      <c r="D21" s="122">
        <f t="shared" ref="D21:G21" si="6">SUM(D5:D20)</f>
        <v>35509.5</v>
      </c>
      <c r="E21" s="122">
        <f t="shared" si="6"/>
        <v>1600</v>
      </c>
      <c r="F21" s="122">
        <f t="shared" si="6"/>
        <v>133500</v>
      </c>
      <c r="G21" s="123">
        <f t="shared" si="6"/>
        <v>104140.5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PUESTO 2</v>
      </c>
      <c r="C2" s="279"/>
      <c r="D2" s="280"/>
      <c r="J2" s="21" t="s">
        <v>145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141500</v>
      </c>
      <c r="K4" s="230">
        <f t="shared" ref="K4" si="0">D7+D11+D15</f>
        <v>18395</v>
      </c>
      <c r="L4" s="219">
        <f>F7+F11+F15</f>
        <v>34000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IF(DigitaNICA!C5&lt;&gt;"",DigitaNICA!C5,"")</f>
        <v>26600</v>
      </c>
      <c r="D5" s="42">
        <f>IF(C5="",0,C5*J$10)</f>
        <v>3458</v>
      </c>
      <c r="E5" s="29">
        <f>IF(DigitaNICA!D5&lt;&gt;"",DigitaNICA!D5,"")</f>
        <v>500</v>
      </c>
      <c r="F5" s="42">
        <f>IF(E5="",0,E5*PREMIOS!E5)</f>
        <v>40000</v>
      </c>
      <c r="G5" s="30">
        <f t="shared" ref="G5:G12" si="1">IF(OR(C5="",E5=""),0,C5-D5-F5)</f>
        <v>-16858</v>
      </c>
      <c r="I5" s="240" t="s">
        <v>37</v>
      </c>
      <c r="J5" s="220">
        <f>SUM(IF(C5="",0,C5),IF(C9="",0,C9),IF(C13="",0,C13),IF(C17="",0,C17))</f>
        <v>30800</v>
      </c>
      <c r="K5" s="224">
        <f t="shared" ref="K5" si="2">D5+D9+D13+D17</f>
        <v>4004</v>
      </c>
      <c r="L5" s="221">
        <f>F5+F9+F13+F17</f>
        <v>40000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2300</v>
      </c>
      <c r="K6" s="227">
        <f>D19+D20</f>
        <v>299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>
        <f>IF(DigitaTICA!C5&lt;&gt;"",DigitaTICA!C5,"")</f>
        <v>53750</v>
      </c>
      <c r="D7" s="42">
        <f>IF(C7="",0,C7*J$9)</f>
        <v>6987.5</v>
      </c>
      <c r="E7" s="29">
        <f>IF(DigitaTICA!D5&lt;&gt;"",DigitaTICA!D5,"")</f>
        <v>0</v>
      </c>
      <c r="F7" s="42">
        <f>IF(E7="",0,E7*PREMIOS!F7)</f>
        <v>0</v>
      </c>
      <c r="G7" s="30">
        <f t="shared" si="1"/>
        <v>46762.5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IF(DigitaNICA!E5&lt;&gt;"",DigitaNICA!E5,"")</f>
        <v>3500</v>
      </c>
      <c r="D9" s="42">
        <f>IF(C9="",0,C9*J$10)</f>
        <v>455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3045</v>
      </c>
      <c r="I9" s="60" t="s">
        <v>36</v>
      </c>
      <c r="J9" s="61">
        <v>0.13</v>
      </c>
      <c r="K9" s="62">
        <f>MROUND(D7+D11+D15,50)</f>
        <v>18400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4000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IF(DigitaTICA!E5&lt;&gt;"",DigitaTICA!E5,"")</f>
        <v>29800</v>
      </c>
      <c r="D11" s="42">
        <f>IF(C11="",0,C11*J$9)</f>
        <v>3874</v>
      </c>
      <c r="E11" s="29">
        <f>IF(DigitaTICA!F5&lt;&gt;"",DigitaTICA!F5,"")</f>
        <v>0</v>
      </c>
      <c r="F11" s="42">
        <f>IF(E11="",0,E11*PREMIOS!F11)</f>
        <v>0</v>
      </c>
      <c r="G11" s="30">
        <f t="shared" si="1"/>
        <v>25926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300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IF(DigitaNICA!G5&lt;&gt;"",DigitaNICA!G5,"")</f>
        <v>700</v>
      </c>
      <c r="D13" s="42">
        <f>IF(C13="",0,C13*J$10)</f>
        <v>91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609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IF(DigitaTICA!G5&lt;&gt;"",DigitaTICA!G5,"")</f>
        <v>57950</v>
      </c>
      <c r="D15" s="42">
        <f>IF(C15="",0,C15*J$9)</f>
        <v>7533.5</v>
      </c>
      <c r="E15" s="29">
        <f>IF(DigitaTICA!H5&lt;&gt;"",DigitaTICA!H5,"")</f>
        <v>400</v>
      </c>
      <c r="F15" s="42">
        <f>IF(E15="",0,E15*PREMIOS!F15)</f>
        <v>34000</v>
      </c>
      <c r="G15" s="30">
        <f t="shared" si="3"/>
        <v>16416.5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IF(DigitaPRIMERA!C5&lt;&gt;"",DigitaPRIMERA!C5,"")</f>
        <v>2300</v>
      </c>
      <c r="D19" s="42">
        <f>IF(C19="",0,C19*J$12)</f>
        <v>299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2001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174600</v>
      </c>
      <c r="D21" s="68">
        <f t="shared" ref="D21:G21" si="4">SUM(D5:D20)</f>
        <v>22698</v>
      </c>
      <c r="E21" s="68">
        <f t="shared" si="4"/>
        <v>900</v>
      </c>
      <c r="F21" s="68">
        <f t="shared" si="4"/>
        <v>74000</v>
      </c>
      <c r="G21" s="88">
        <f t="shared" si="4"/>
        <v>77902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152</v>
      </c>
      <c r="C2" s="279"/>
      <c r="D2" s="280"/>
      <c r="J2" s="21" t="s">
        <v>152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96</v>
      </c>
      <c r="J6" s="223">
        <f>SUM(IF(C19="",0,C19),IF(C20="",0,C20))</f>
        <v>0</v>
      </c>
      <c r="K6" s="227">
        <f>D19+D20</f>
        <v>0</v>
      </c>
      <c r="L6" s="228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8" t="s">
        <v>34</v>
      </c>
      <c r="J8" s="278"/>
      <c r="K8" s="278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Nuevo 2</v>
      </c>
      <c r="C2" s="279"/>
      <c r="D2" s="280"/>
      <c r="J2" s="21" t="s">
        <v>117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7">
        <f t="shared" ref="K6" si="3">+D8+D12+D16</f>
        <v>0</v>
      </c>
      <c r="L6" s="228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2" t="str">
        <f>J2</f>
        <v>YOYO</v>
      </c>
      <c r="C2" s="282"/>
      <c r="D2" s="283"/>
      <c r="J2" s="21" t="s">
        <v>87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160650</v>
      </c>
      <c r="K4" s="230">
        <f t="shared" ref="K4" si="0">D7+D11+D15</f>
        <v>19278</v>
      </c>
      <c r="L4" s="219">
        <f>F7+F11+F15</f>
        <v>4250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IF(DigitaNICA!C8&lt;&gt;"",DigitaNICA!C8,"")</f>
        <v>70950</v>
      </c>
      <c r="D5" s="42">
        <f>IF(C5="",0,C5*J$12)</f>
        <v>8514</v>
      </c>
      <c r="E5" s="29">
        <f>IF(DigitaNICA!D8&lt;&gt;"",DigitaNICA!D8,"")</f>
        <v>550</v>
      </c>
      <c r="F5" s="42">
        <f>IF(E5="",0,E5*PREMIOS!E5)</f>
        <v>44000</v>
      </c>
      <c r="G5" s="30">
        <f t="shared" ref="G5:G12" si="1">IF(OR(C5="",E5=""),0,C5-D5-F5)</f>
        <v>18436</v>
      </c>
      <c r="I5" s="240" t="s">
        <v>37</v>
      </c>
      <c r="J5" s="220">
        <f>SUM(IF(C5="",0,C5),IF(C9="",0,C9),IF(C13="",0,C13),IF(C17="",0,C17))</f>
        <v>169700</v>
      </c>
      <c r="K5" s="224">
        <f t="shared" ref="K5" si="2">D5+D9+D13+D17</f>
        <v>20364</v>
      </c>
      <c r="L5" s="221">
        <f>F5+F9+F13+F17</f>
        <v>44000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>
        <f>IF(DigitaTICA!C8&lt;&gt;"",DigitaTICA!C8,"")</f>
        <v>65650</v>
      </c>
      <c r="D7" s="42">
        <f>IF(C7="",0,C7*J$11)</f>
        <v>7878</v>
      </c>
      <c r="E7" s="29">
        <f>IF(DigitaTICA!D8&lt;&gt;"",DigitaTICA!D8,"")</f>
        <v>0</v>
      </c>
      <c r="F7" s="42">
        <f>IF(E7="",0,E7*PREMIOS!F7)</f>
        <v>0</v>
      </c>
      <c r="G7" s="30">
        <f t="shared" si="1"/>
        <v>57772</v>
      </c>
      <c r="I7" s="241" t="s">
        <v>96</v>
      </c>
      <c r="J7" s="223">
        <f>SUM(IF(C19="",0,C19),IF(C20="",0,C20))</f>
        <v>72950</v>
      </c>
      <c r="K7" s="227">
        <f>+D19+D20</f>
        <v>8754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IF(DigitaNICA!E8&lt;&gt;"",DigitaNICA!E8,"")</f>
        <v>67350</v>
      </c>
      <c r="D9" s="42">
        <f>IF(C9="",0,C9*J$12)</f>
        <v>8082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59268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IF(DigitaTICA!E8&lt;&gt;"",DigitaTICA!E8,"")</f>
        <v>40750</v>
      </c>
      <c r="D11" s="42">
        <f>IF(C11="",0,C11*J$11)</f>
        <v>4890</v>
      </c>
      <c r="E11" s="29">
        <f>IF(DigitaTICA!F8&lt;&gt;"",DigitaTICA!F8,"")</f>
        <v>0</v>
      </c>
      <c r="F11" s="42">
        <f>IF(E11="",0,E11*PREMIOS!F11)</f>
        <v>0</v>
      </c>
      <c r="G11" s="30">
        <f t="shared" si="1"/>
        <v>35860</v>
      </c>
      <c r="I11" s="60" t="s">
        <v>36</v>
      </c>
      <c r="J11" s="61">
        <v>0.12</v>
      </c>
      <c r="K11" s="62">
        <f>MROUND(D7+D11+D15,50)</f>
        <v>19300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20350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IF(DigitaNICA!G8&lt;&gt;"",DigitaNICA!G8,"")</f>
        <v>9950</v>
      </c>
      <c r="D13" s="42">
        <f>IF(C13="",0,C13*J$12)</f>
        <v>1194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8756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8750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IF(DigitaTICA!G8&lt;&gt;"",DigitaTICA!G8,"")</f>
        <v>54250</v>
      </c>
      <c r="D15" s="42">
        <f>IF(C15="",0,C15*J$11)</f>
        <v>6510</v>
      </c>
      <c r="E15" s="29">
        <f>IF(DigitaTICA!H8&lt;&gt;"",DigitaTICA!H8,"")</f>
        <v>50</v>
      </c>
      <c r="F15" s="42">
        <f>IF(E15="",0,E15*PREMIOS!F15)</f>
        <v>4250</v>
      </c>
      <c r="G15" s="30">
        <f t="shared" si="4"/>
        <v>43490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>
        <f>IF(DigitaNICA!I8&lt;&gt;"",DigitaNICA!I8,"")</f>
        <v>21450</v>
      </c>
      <c r="D17" s="42">
        <f>IF(C17="",0,C17*J$12)</f>
        <v>2574</v>
      </c>
      <c r="E17" s="29">
        <f>IF(DigitaNICA!J8&lt;&gt;"",DigitaNICA!J8,"")</f>
        <v>0</v>
      </c>
      <c r="F17" s="42">
        <f>IF(E17="",0,E17*PREMIOS!E17)</f>
        <v>0</v>
      </c>
      <c r="G17" s="30">
        <f t="shared" si="4"/>
        <v>18876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IF(DigitaPRIMERA!C8&lt;&gt;"",DigitaPRIMERA!C8,"")</f>
        <v>47200</v>
      </c>
      <c r="D19" s="42">
        <f>IF(C19="",0,C19*J$14)</f>
        <v>5664</v>
      </c>
      <c r="E19" s="29">
        <f>IF(DigitaPRIMERA!D8&lt;&gt;"",DigitaPRIMERA!D8,"")</f>
        <v>0</v>
      </c>
      <c r="F19" s="42">
        <f>IF(E19="",0,E19*PREMIOS!E19)</f>
        <v>0</v>
      </c>
      <c r="G19" s="30">
        <f t="shared" si="4"/>
        <v>41536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>
        <f>IF(DigitaPRIMERA!E8&lt;&gt;"",DigitaPRIMERA!E8,"")</f>
        <v>25750</v>
      </c>
      <c r="D20" s="42">
        <f>IF(C20="",0,C20*J$14)</f>
        <v>3090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22660</v>
      </c>
    </row>
    <row r="21" spans="1:7" ht="15" thickBot="1" x14ac:dyDescent="0.4">
      <c r="A21" s="121" t="s">
        <v>5</v>
      </c>
      <c r="B21" s="128"/>
      <c r="C21" s="122">
        <f>SUM(C5:C20)</f>
        <v>403300</v>
      </c>
      <c r="D21" s="122">
        <f t="shared" ref="D21:G21" si="5">SUM(D5:D20)</f>
        <v>48396</v>
      </c>
      <c r="E21" s="122">
        <f t="shared" si="5"/>
        <v>600</v>
      </c>
      <c r="F21" s="122">
        <f t="shared" si="5"/>
        <v>48250</v>
      </c>
      <c r="G21" s="123">
        <f t="shared" si="5"/>
        <v>306654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159</v>
      </c>
      <c r="C2" s="279"/>
      <c r="D2" s="280"/>
      <c r="J2" s="21" t="s">
        <v>147</v>
      </c>
    </row>
    <row r="3" spans="1:12" ht="15" thickBot="1" x14ac:dyDescent="0.4">
      <c r="I3" s="237"/>
      <c r="J3" s="243" t="s">
        <v>39</v>
      </c>
      <c r="K3" s="244" t="s">
        <v>141</v>
      </c>
      <c r="L3" s="245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20">
        <f>SUM(IF(C7="",0,C7),IF(C11="",0,C11),IF(C15="",0,C15))</f>
        <v>0</v>
      </c>
      <c r="K4" s="224">
        <f t="shared" ref="K4" si="0">D7+D11+D15</f>
        <v>0</v>
      </c>
      <c r="L4" s="221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0" t="s">
        <v>38</v>
      </c>
      <c r="J6" s="220">
        <f>SUM(IF(C8="",0,C8),IF(C12="",0,C12),IF(C16="",0,C16))</f>
        <v>0</v>
      </c>
      <c r="K6" s="224">
        <f>D8+D12+D16</f>
        <v>0</v>
      </c>
      <c r="L6" s="221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PIKIS</v>
      </c>
      <c r="C2" s="279"/>
      <c r="D2" s="280"/>
      <c r="J2" s="21" t="s">
        <v>116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424700</v>
      </c>
      <c r="K4" s="230">
        <f t="shared" ref="K4" si="0">D7+D11+D15</f>
        <v>50964</v>
      </c>
      <c r="L4" s="219">
        <f>F7+F11+F15</f>
        <v>603500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IF(DigitaNICA!C10&lt;&gt;"",DigitaNICA!C10,"")</f>
        <v>126400</v>
      </c>
      <c r="D5" s="42">
        <f>IF(C5="",0,C5*J$15)</f>
        <v>15168</v>
      </c>
      <c r="E5" s="29">
        <f>IF(DigitaNICA!D10&lt;&gt;"",DigitaNICA!D10,"")</f>
        <v>750</v>
      </c>
      <c r="F5" s="42">
        <f>IF(E5="",0,E5*PREMIOS!F5)</f>
        <v>63750</v>
      </c>
      <c r="G5" s="30">
        <f t="shared" ref="G5:G12" si="1">IF(OR(C5="",E5=""),0,C5-D5-F5)</f>
        <v>47482</v>
      </c>
      <c r="I5" s="216" t="s">
        <v>37</v>
      </c>
      <c r="J5" s="220">
        <f>SUM(IF(C5="",0,C5),IF(C9="",0,C9),IF(C13="",0,C13),IF(C17="",0,C17))</f>
        <v>420600</v>
      </c>
      <c r="K5" s="224">
        <f t="shared" ref="K5" si="2">D5+D9+D13+D17</f>
        <v>50472</v>
      </c>
      <c r="L5" s="221">
        <f>F5+F9+F13+F17</f>
        <v>331500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86650</v>
      </c>
      <c r="K6" s="225">
        <f t="shared" ref="K6" si="3">+D8+D12+D16</f>
        <v>8665</v>
      </c>
      <c r="L6" s="226">
        <f>F8+F12+F16</f>
        <v>400000</v>
      </c>
    </row>
    <row r="7" spans="1:12" x14ac:dyDescent="0.35">
      <c r="A7" s="28" t="s">
        <v>46</v>
      </c>
      <c r="B7" s="132">
        <f>IF(DigitaTICA!C2&lt;&gt;"",DigitaTICA!C2,"")</f>
        <v>47</v>
      </c>
      <c r="C7" s="29">
        <f>IF(DigitaTICA!C10&lt;&gt;"",DigitaTICA!C10,"")</f>
        <v>145500</v>
      </c>
      <c r="D7" s="42">
        <f>IF(C7="",0,C7*J$14)</f>
        <v>17460</v>
      </c>
      <c r="E7" s="29">
        <f>IF(DigitaTICA!D10&lt;&gt;"",DigitaTICA!D10,"")</f>
        <v>3000</v>
      </c>
      <c r="F7" s="42">
        <f>IF(E7="",0,E7*PREMIOS!F7)</f>
        <v>255000</v>
      </c>
      <c r="G7" s="30">
        <f t="shared" si="1"/>
        <v>-126960</v>
      </c>
      <c r="I7" s="216" t="s">
        <v>96</v>
      </c>
      <c r="J7" s="222">
        <f>SUM(IF(C19="",0,C19),IF(C20="",0,C20))</f>
        <v>54750</v>
      </c>
      <c r="K7" s="225">
        <f>+D19+D20</f>
        <v>6570</v>
      </c>
      <c r="L7" s="226">
        <f>+F19+F20</f>
        <v>0</v>
      </c>
    </row>
    <row r="8" spans="1:12" x14ac:dyDescent="0.35">
      <c r="A8" s="28" t="s">
        <v>47</v>
      </c>
      <c r="B8" s="132" t="str">
        <f>IF(B7&lt;&gt;"",PREMIOS!B8,"")</f>
        <v>Blanca</v>
      </c>
      <c r="C8" s="29">
        <f>IF(DigitaREVENTADO!C10&lt;&gt;"",DigitaREVENTADO!C10,"")</f>
        <v>30250</v>
      </c>
      <c r="D8" s="42">
        <f>IF(C8="",0,C8*J$16)</f>
        <v>3025</v>
      </c>
      <c r="E8" s="29">
        <f>IF(DigitaREVENTADO!D10&lt;&gt;"",DigitaREVENTADO!D10,"")</f>
        <v>0</v>
      </c>
      <c r="F8" s="42">
        <f>IF(E8="",0,E8*PREMIOS!F8)</f>
        <v>0</v>
      </c>
      <c r="G8" s="30">
        <f t="shared" si="1"/>
        <v>27225</v>
      </c>
      <c r="I8" s="216" t="s">
        <v>104</v>
      </c>
      <c r="J8" s="222">
        <f>SUM(IF(C21="",0,C21),IF(C22="",0,C22),IF(C23="",0,C23))</f>
        <v>34950</v>
      </c>
      <c r="K8" s="225">
        <f t="shared" ref="K8" si="4">D21+D22+D23</f>
        <v>4194</v>
      </c>
      <c r="L8" s="226">
        <f>F21+F22+F23</f>
        <v>0</v>
      </c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IF(DigitaNICA!E10&lt;&gt;"",DigitaNICA!E10,"")</f>
        <v>90250</v>
      </c>
      <c r="D9" s="42">
        <f>IF(C9="",0,C9*J$15)</f>
        <v>10830</v>
      </c>
      <c r="E9" s="29">
        <f>IF(DigitaNICA!F10&lt;&gt;"",DigitaNICA!F10,"")</f>
        <v>150</v>
      </c>
      <c r="F9" s="42">
        <f>IF(E9="",0,E9*PREMIOS!F9)</f>
        <v>12750</v>
      </c>
      <c r="G9" s="30">
        <f t="shared" si="1"/>
        <v>66670</v>
      </c>
      <c r="I9" s="216" t="s">
        <v>20</v>
      </c>
      <c r="J9" s="222">
        <f>SUM(IF(C24="",0,C24),IF(C25="",0,C25))</f>
        <v>75000</v>
      </c>
      <c r="K9" s="225">
        <f t="shared" ref="K9" si="5">+D24+D25</f>
        <v>9000</v>
      </c>
      <c r="L9" s="226">
        <f>F24+F25</f>
        <v>148750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5200</v>
      </c>
      <c r="K10" s="227">
        <f>+D26</f>
        <v>624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IF(DigitaTICA!E10&lt;&gt;"",DigitaTICA!E10,"")</f>
        <v>113800</v>
      </c>
      <c r="D11" s="42">
        <f>IF(C11="",0,C11*J$14)</f>
        <v>13656</v>
      </c>
      <c r="E11" s="29">
        <f>IF(DigitaTICA!F10&lt;&gt;"",DigitaTICA!F10,"")</f>
        <v>3600</v>
      </c>
      <c r="F11" s="42">
        <f>IF(E11="",0,E11*PREMIOS!F11)</f>
        <v>306000</v>
      </c>
      <c r="G11" s="30">
        <f t="shared" si="1"/>
        <v>-205856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18150</v>
      </c>
      <c r="D12" s="42">
        <f>IF(C12="",0,C12*J$16)</f>
        <v>1815</v>
      </c>
      <c r="E12" s="29">
        <f>IF(DigitaREVENTADO!F10&lt;&gt;"",DigitaREVENTADO!F10,"")</f>
        <v>2000</v>
      </c>
      <c r="F12" s="42">
        <f>IF(E12="",0,E12*PREMIOS!F12)</f>
        <v>400000</v>
      </c>
      <c r="G12" s="30">
        <f t="shared" si="1"/>
        <v>-383665</v>
      </c>
    </row>
    <row r="13" spans="1:12" ht="15" thickBot="1" x14ac:dyDescent="0.4">
      <c r="A13" s="28" t="s">
        <v>50</v>
      </c>
      <c r="B13" s="132">
        <f>IF(DigitaNICA!G2&lt;&gt;"",DigitaNICA!G2,"")</f>
        <v>30</v>
      </c>
      <c r="C13" s="29">
        <f>IF(DigitaNICA!G10&lt;&gt;"",DigitaNICA!G10,"")</f>
        <v>71100</v>
      </c>
      <c r="D13" s="42">
        <f>IF(C13="",0,C13*J$15)</f>
        <v>8532</v>
      </c>
      <c r="E13" s="29">
        <f>IF(DigitaNICA!H10&lt;&gt;"",DigitaNICA!H10,"")</f>
        <v>2500</v>
      </c>
      <c r="F13" s="42">
        <f>IF(E13="",0,E13*PREMIOS!F13)</f>
        <v>212500</v>
      </c>
      <c r="G13" s="30">
        <f>IF(OR(C13="",E13=""),0,C13-D13-F13)</f>
        <v>-149932</v>
      </c>
      <c r="I13" s="278" t="s">
        <v>34</v>
      </c>
      <c r="J13" s="278"/>
      <c r="K13" s="278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50950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IF(DigitaTICA!G10&lt;&gt;"",DigitaTICA!G10,"")</f>
        <v>165400</v>
      </c>
      <c r="D15" s="42">
        <f>IF(C15="",0,C15*J$14)</f>
        <v>19848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103052</v>
      </c>
      <c r="I15" s="63" t="s">
        <v>37</v>
      </c>
      <c r="J15" s="64">
        <v>0.12</v>
      </c>
      <c r="K15" s="30">
        <f>MROUND(D5+D9+D13+D17,50)</f>
        <v>50450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IF(DigitaREVENTADO!G10&lt;&gt;"",DigitaREVENTADO!G10,"")</f>
        <v>38250</v>
      </c>
      <c r="D16" s="42">
        <f>IF(C16="",0,C16*J$16)</f>
        <v>3825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34425</v>
      </c>
      <c r="I16" s="63" t="s">
        <v>38</v>
      </c>
      <c r="J16" s="64">
        <v>0.1</v>
      </c>
      <c r="K16" s="30">
        <f>MROUND(D6+D8+D10+D12+D14+D16+D18,50)</f>
        <v>8650</v>
      </c>
    </row>
    <row r="17" spans="1:11" x14ac:dyDescent="0.35">
      <c r="A17" s="28" t="s">
        <v>52</v>
      </c>
      <c r="B17" s="132">
        <f>IF(DigitaNICA!I2&lt;&gt;"",DigitaNICA!I2,"")</f>
        <v>45</v>
      </c>
      <c r="C17" s="29">
        <f>IF(DigitaNICA!I10&lt;&gt;"",DigitaNICA!I10,"")</f>
        <v>132850</v>
      </c>
      <c r="D17" s="42">
        <f>IF(C17="",0,C17*J$15)</f>
        <v>15942</v>
      </c>
      <c r="E17" s="29">
        <f>IF(DigitaNICA!J10&lt;&gt;"",DigitaNICA!J10,"")</f>
        <v>500</v>
      </c>
      <c r="F17" s="42">
        <f>IF(E17="",0,E17*PREMIOS!F17)</f>
        <v>42500</v>
      </c>
      <c r="G17" s="30">
        <f t="shared" si="6"/>
        <v>74408</v>
      </c>
      <c r="I17" s="63" t="s">
        <v>96</v>
      </c>
      <c r="J17" s="64">
        <v>0.12</v>
      </c>
      <c r="K17" s="30">
        <f>MROUND(D19+D20,50)</f>
        <v>6550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4200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IF(DigitaPRIMERA!$C$10&lt;&gt;"",DigitaPRIMERA!$C$10,"")</f>
        <v>35300</v>
      </c>
      <c r="D19" s="42">
        <f>IF(C19="",0,C19*J$17)</f>
        <v>4236</v>
      </c>
      <c r="E19" s="29">
        <f>IF(DigitaPRIMERA!$D$10&lt;&gt;"",DigitaPRIMERA!$D$10,"")</f>
        <v>0</v>
      </c>
      <c r="F19" s="42">
        <f>IF(E19="",0,E19*PREMIOS!F19)</f>
        <v>0</v>
      </c>
      <c r="G19" s="30">
        <f t="shared" ref="G19:G22" si="7">IF(OR(C19="",E19=""),0,C19-D19-F19)</f>
        <v>31064</v>
      </c>
      <c r="I19" s="63" t="s">
        <v>20</v>
      </c>
      <c r="J19" s="64">
        <v>0.12</v>
      </c>
      <c r="K19" s="30">
        <f>MROUND(D24+D25,50)</f>
        <v>9000</v>
      </c>
    </row>
    <row r="20" spans="1:11" ht="15" thickBot="1" x14ac:dyDescent="0.4">
      <c r="A20" s="28" t="s">
        <v>98</v>
      </c>
      <c r="B20" s="132">
        <f>IF(DigitaPRIMERA!E2&lt;&gt;"",DigitaPRIMERA!E2,"")</f>
        <v>70</v>
      </c>
      <c r="C20" s="29">
        <f>IF(DigitaPRIMERA!$E$10&lt;&gt;"",DigitaPRIMERA!$E$10,"")</f>
        <v>19450</v>
      </c>
      <c r="D20" s="42">
        <f>IF(C20="",0,C20*J$17)</f>
        <v>2334</v>
      </c>
      <c r="E20" s="29">
        <f>IF(DigitaPRIMERA!$F$10&lt;&gt;"",DigitaPRIMERA!$F$10,"")</f>
        <v>0</v>
      </c>
      <c r="F20" s="42">
        <f>IF(E20="",0,E20*PREMIOS!F19)</f>
        <v>0</v>
      </c>
      <c r="G20" s="30">
        <f t="shared" si="7"/>
        <v>17116</v>
      </c>
      <c r="I20" s="65" t="s">
        <v>21</v>
      </c>
      <c r="J20" s="66">
        <v>0.12</v>
      </c>
      <c r="K20" s="50">
        <f>MROUND(D26,50)</f>
        <v>600</v>
      </c>
    </row>
    <row r="21" spans="1:11" x14ac:dyDescent="0.35">
      <c r="A21" s="28" t="s">
        <v>99</v>
      </c>
      <c r="B21" s="132">
        <f>IF(DigitaHONDURAS!C2&lt;&gt;"",DigitaHONDURAS!C2,"")</f>
        <v>87</v>
      </c>
      <c r="C21" s="29">
        <f>IF(DigitaHONDURAS!$C$10&lt;&gt;"",DigitaHONDURAS!$C$10,"")</f>
        <v>4600</v>
      </c>
      <c r="D21" s="42">
        <f>IF(C21="",0,C21*J$18)</f>
        <v>552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4048</v>
      </c>
    </row>
    <row r="22" spans="1:11" x14ac:dyDescent="0.35">
      <c r="A22" s="28" t="s">
        <v>100</v>
      </c>
      <c r="B22" s="132">
        <f>IF(DigitaHONDURAS!E2&lt;&gt;"",DigitaHONDURAS!E2,"")</f>
        <v>59</v>
      </c>
      <c r="C22" s="29" t="str">
        <f>IF(DigitaHONDURAS!$E$10&lt;&gt;"",DigitaHONDURAS!$E$10,"")</f>
        <v/>
      </c>
      <c r="D22" s="42">
        <f>IF(C22="",0,C22*J$18)</f>
        <v>0</v>
      </c>
      <c r="E22" s="29" t="str">
        <f>IF(DigitaHONDURAS!$F$10&lt;&gt;"",DigitaHONDURAS!$F$10,"")</f>
        <v/>
      </c>
      <c r="F22" s="42">
        <f>IF(E22="",0,E22*PREMIOS!F20)</f>
        <v>0</v>
      </c>
      <c r="G22" s="30">
        <f t="shared" si="7"/>
        <v>0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>
        <f>IF(DigitaHONDURAS!$G$10&lt;&gt;"",DigitaHONDURAS!$G$10,"")</f>
        <v>30350</v>
      </c>
      <c r="D23" s="42">
        <f>IF(C23="",0,C23*J$18)</f>
        <v>3642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26708</v>
      </c>
    </row>
    <row r="24" spans="1:11" x14ac:dyDescent="0.35">
      <c r="A24" s="28" t="s">
        <v>107</v>
      </c>
      <c r="B24" s="132" t="str">
        <f>IF(DigitaDOMINICANA!C2&lt;&gt;"",DigitaDOMINICANA!C2,"")</f>
        <v>01</v>
      </c>
      <c r="C24" s="29">
        <f>IF(DigitaDOMINICANA!$C$10&lt;&gt;"",DigitaDOMINICANA!$C$10,"")</f>
        <v>34000</v>
      </c>
      <c r="D24" s="42">
        <f>IF(C24="",0,C24*J$19)</f>
        <v>4080</v>
      </c>
      <c r="E24" s="29">
        <f>IF(DigitaDOMINICANA!$D$10&lt;&gt;"",DigitaDOMINICANA!$D$10,"")</f>
        <v>750</v>
      </c>
      <c r="F24" s="42">
        <f>IF(E24="",0,E24*PREMIOS!F21)</f>
        <v>63750</v>
      </c>
      <c r="G24" s="30">
        <f t="shared" si="8"/>
        <v>-33830</v>
      </c>
    </row>
    <row r="25" spans="1:11" x14ac:dyDescent="0.35">
      <c r="A25" s="28" t="s">
        <v>108</v>
      </c>
      <c r="B25" s="132">
        <f>IF(DigitaDOMINICANA!E2&lt;&gt;"",DigitaDOMINICANA!E2,"")</f>
        <v>78</v>
      </c>
      <c r="C25" s="29">
        <f>IF(DigitaDOMINICANA!$E$10&lt;&gt;"",DigitaDOMINICANA!$E$10,"")</f>
        <v>41000</v>
      </c>
      <c r="D25" s="42">
        <f>IF(C25="",0,C25*J$19)</f>
        <v>4920</v>
      </c>
      <c r="E25" s="29">
        <f>IF(DigitaDOMINICANA!$F$10&lt;&gt;"",DigitaDOMINICANA!$F$10,"")</f>
        <v>1000</v>
      </c>
      <c r="F25" s="42">
        <f>IF(E25="",0,E25*PREMIOS!F21)</f>
        <v>85000</v>
      </c>
      <c r="G25" s="30">
        <f t="shared" si="8"/>
        <v>-48920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>
        <f>IF(DigitaPANAMENA!$C$10&lt;&gt;"",DigitaPANAMENA!$C$10,"")</f>
        <v>5200</v>
      </c>
      <c r="D26" s="42">
        <f>IF(C26="",0,C26*J$20)</f>
        <v>624</v>
      </c>
      <c r="E26" s="29">
        <f>IF(DigitaPANAMENA!$D$10&lt;&gt;"",DigitaPANAMENA!$D$10,"")</f>
        <v>0</v>
      </c>
      <c r="F26" s="42">
        <f>IF(E26="",0,E26*PREMIOS!F22)</f>
        <v>0</v>
      </c>
      <c r="G26" s="30">
        <f t="shared" si="8"/>
        <v>4576</v>
      </c>
    </row>
    <row r="27" spans="1:11" ht="15" thickBot="1" x14ac:dyDescent="0.4">
      <c r="A27" s="67" t="s">
        <v>5</v>
      </c>
      <c r="B27" s="127"/>
      <c r="C27" s="68">
        <f>SUM(C5:C26)</f>
        <v>1101850</v>
      </c>
      <c r="D27" s="68">
        <f t="shared" ref="D27:F27" si="9">SUM(D5:D26)</f>
        <v>130489</v>
      </c>
      <c r="E27" s="68">
        <f t="shared" si="9"/>
        <v>14750</v>
      </c>
      <c r="F27" s="68">
        <f t="shared" si="9"/>
        <v>1483750</v>
      </c>
      <c r="G27" s="88">
        <f>SUM(G5:G26)</f>
        <v>-512389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ISA</v>
      </c>
      <c r="C2" s="279"/>
      <c r="D2" s="280"/>
      <c r="J2" s="21" t="s">
        <v>93</v>
      </c>
    </row>
    <row r="3" spans="1:12" ht="15" thickBot="1" x14ac:dyDescent="0.4">
      <c r="I3" s="237"/>
      <c r="J3" s="52" t="s">
        <v>39</v>
      </c>
      <c r="K3" s="238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39" t="s">
        <v>36</v>
      </c>
      <c r="J4" s="218">
        <f>SUM(IF(C7="",0,C7),IF(C11="",0,C11),IF(C15="",0,C15))</f>
        <v>41000</v>
      </c>
      <c r="K4" s="230">
        <f t="shared" ref="K4" si="0">D7+D11+D15</f>
        <v>4920</v>
      </c>
      <c r="L4" s="219">
        <f>F7+F11+F15</f>
        <v>25500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0" t="s">
        <v>37</v>
      </c>
      <c r="J5" s="220">
        <f>SUM(IF(C5="",0,C5),IF(C9="",0,C9),IF(C13="",0,C13),IF(C17="",0,C17))</f>
        <v>0</v>
      </c>
      <c r="K5" s="224">
        <f t="shared" ref="K5" si="2">D5+D9+D13+D17</f>
        <v>0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0" t="s">
        <v>38</v>
      </c>
      <c r="J6" s="222">
        <v>0</v>
      </c>
      <c r="K6" s="225">
        <f t="shared" ref="K6" si="3">+D8+D12+D16</f>
        <v>0</v>
      </c>
      <c r="L6" s="226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>
        <f>IF(DigitaTICA!C11&lt;&gt;"",DigitaTICA!C11,"")</f>
        <v>13500</v>
      </c>
      <c r="D7" s="42">
        <f>IF(C7="",0,C7*J$11)</f>
        <v>1620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11880</v>
      </c>
      <c r="I7" s="241" t="s">
        <v>96</v>
      </c>
      <c r="J7" s="223">
        <f>SUM(IF(C19="",0,C19),IF(C20="",0,C20))</f>
        <v>0</v>
      </c>
      <c r="K7" s="227">
        <f>+D19+D20</f>
        <v>0</v>
      </c>
      <c r="L7" s="228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46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4900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IF(DigitaTICA!G11&lt;&gt;"",DigitaTICA!G11,"")</f>
        <v>27500</v>
      </c>
      <c r="D15" s="42">
        <f>IF(C15="",0,C15*J$11)</f>
        <v>3300</v>
      </c>
      <c r="E15" s="29">
        <f>IF(DigitaTICA!H11&lt;&gt;"",DigitaTICA!H11,"")</f>
        <v>300</v>
      </c>
      <c r="F15" s="133">
        <f>IF(E15="",0,E15*PREMIOS!F15)</f>
        <v>25500</v>
      </c>
      <c r="G15" s="30">
        <f t="shared" si="4"/>
        <v>-1300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41000</v>
      </c>
      <c r="D21" s="122">
        <f t="shared" ref="D21:G21" si="5">SUM(D5:D20)</f>
        <v>4920</v>
      </c>
      <c r="E21" s="122">
        <f t="shared" si="5"/>
        <v>300</v>
      </c>
      <c r="F21" s="122">
        <f t="shared" si="5"/>
        <v>25500</v>
      </c>
      <c r="G21" s="123">
        <f t="shared" si="5"/>
        <v>10580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JUAN FELIX</v>
      </c>
      <c r="C2" s="279"/>
      <c r="D2" s="280"/>
      <c r="J2" s="21" t="s">
        <v>118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43100</v>
      </c>
      <c r="K4" s="230">
        <f>D7+D11+D15</f>
        <v>5172</v>
      </c>
      <c r="L4" s="219">
        <f>F7+F11+F15</f>
        <v>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IF(DigitaNICA!C12&lt;&gt;"",DigitaNICA!C12,"")</f>
        <v>14850</v>
      </c>
      <c r="D5" s="42">
        <f>IF(C5="",0,C5*J$12)</f>
        <v>1782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13068</v>
      </c>
      <c r="I5" s="216" t="s">
        <v>37</v>
      </c>
      <c r="J5" s="220">
        <f>SUM(IF(C5="",0,C5),IF(C9="",0,C9),IF(C13="",0,C13),IF(C17="",0,C17))</f>
        <v>28550</v>
      </c>
      <c r="K5" s="224">
        <f t="shared" ref="K5" si="1">D5+D9+D13+D17</f>
        <v>3426</v>
      </c>
      <c r="L5" s="221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6" t="s">
        <v>38</v>
      </c>
      <c r="J6" s="220">
        <f>SUM(IF(C8="",0,C8),IF(C12="",0,C12),IF(C16="",0,C16))</f>
        <v>1000</v>
      </c>
      <c r="K6" s="225">
        <f t="shared" ref="K6" si="2">+D8+D12+D16</f>
        <v>100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47</v>
      </c>
      <c r="C7" s="29">
        <f>IF(DigitaTICA!C12&lt;&gt;"",DigitaTICA!C12,"")</f>
        <v>16100</v>
      </c>
      <c r="D7" s="42">
        <f>IF(C7="",0,C7*J$11)</f>
        <v>1932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14168</v>
      </c>
      <c r="I7" s="216" t="s">
        <v>96</v>
      </c>
      <c r="J7" s="222">
        <f>SUM(IF(C19="",0,C19),IF(C20="",0,C20))</f>
        <v>16650</v>
      </c>
      <c r="K7" s="225">
        <f>+D19+D20</f>
        <v>1998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IF(DigitaREVENTADO!C12&lt;&gt;"",DigitaREVENTADO!C12,"")</f>
        <v>1000</v>
      </c>
      <c r="D8" s="42">
        <f>IF(C8="",0,C8*J$13)</f>
        <v>100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900</v>
      </c>
      <c r="I8" s="217" t="s">
        <v>104</v>
      </c>
      <c r="J8" s="223">
        <f>SUM(IF(C21="",0,C21),IF(C22="",0,C22),IF(C23="",0,C23))</f>
        <v>0</v>
      </c>
      <c r="K8" s="227">
        <f>+D21+D22+D23</f>
        <v>0</v>
      </c>
      <c r="L8" s="228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IF(DigitaNICA!E12&lt;&gt;"",DigitaNICA!E12,"")</f>
        <v>13700</v>
      </c>
      <c r="D9" s="42">
        <f>IF(C9="",0,C9*J$12)</f>
        <v>1644</v>
      </c>
      <c r="E9" s="29">
        <f>IF(DigitaNICA!F12&lt;&gt;"",DigitaNICA!F12,"")</f>
        <v>0</v>
      </c>
      <c r="F9" s="42">
        <f>IF(E9="",0,E9*PREMIOS!F9)</f>
        <v>0</v>
      </c>
      <c r="G9" s="30">
        <f t="shared" si="0"/>
        <v>12056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1" t="s">
        <v>34</v>
      </c>
      <c r="J10" s="281"/>
      <c r="K10" s="281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IF(DigitaTICA!E12&lt;&gt;"",DigitaTICA!E12,"")</f>
        <v>4100</v>
      </c>
      <c r="D11" s="42">
        <f>IF(C11="",0,C11*J$11)</f>
        <v>492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3608</v>
      </c>
      <c r="I11" s="60" t="s">
        <v>36</v>
      </c>
      <c r="J11" s="61">
        <v>0.12</v>
      </c>
      <c r="K11" s="62">
        <f>MROUND(D7+D11+D15,50)</f>
        <v>5150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IF(DigitaREVENTADO!E12&lt;&gt;"",DigitaREVENTADO!E12,"")</f>
        <v/>
      </c>
      <c r="D12" s="42">
        <f>IF(C12="",0,C12*J$13)</f>
        <v>0</v>
      </c>
      <c r="E12" s="29" t="str">
        <f>IF(DigitaREVENTADO!F12&lt;&gt;"",DigitaREVENTADO!F12,"")</f>
        <v/>
      </c>
      <c r="F12" s="42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3450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100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2000</v>
      </c>
    </row>
    <row r="15" spans="1:12" ht="15" thickBot="1" x14ac:dyDescent="0.4">
      <c r="A15" s="28" t="s">
        <v>61</v>
      </c>
      <c r="B15" s="132">
        <f>IF(DigitaTICA!G2&lt;&gt;"",DigitaTICA!G2,"")</f>
        <v>81</v>
      </c>
      <c r="C15" s="29">
        <f>IF(DigitaTICA!G12&lt;&gt;"",DigitaTICA!G12,"")</f>
        <v>22900</v>
      </c>
      <c r="D15" s="42">
        <f>IF(C15="",0,C15*J$11)</f>
        <v>2748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20152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IF(DigitaPRIMERA!$C$12&lt;&gt;"",DigitaPRIMERA!$C$12,"")</f>
        <v>16650</v>
      </c>
      <c r="D19" s="42">
        <f>IF(C19="",0,C19*J$14)</f>
        <v>1998</v>
      </c>
      <c r="E19" s="29">
        <f>IF(DigitaPRIMERA!$D$12&lt;&gt;"",DigitaPRIMERA!$D$12,"")</f>
        <v>0</v>
      </c>
      <c r="F19" s="42">
        <f>IF(E19="",0,E19*PREMIOS!F19)</f>
        <v>0</v>
      </c>
      <c r="G19" s="30">
        <f t="shared" si="3"/>
        <v>14652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59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92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89300</v>
      </c>
      <c r="D24" s="68">
        <f t="shared" ref="D24:G24" si="4">SUM(D5:D23)</f>
        <v>10696</v>
      </c>
      <c r="E24" s="68">
        <f t="shared" si="4"/>
        <v>0</v>
      </c>
      <c r="F24" s="68">
        <f t="shared" si="4"/>
        <v>0</v>
      </c>
      <c r="G24" s="88">
        <f t="shared" si="4"/>
        <v>78604</v>
      </c>
    </row>
    <row r="27" spans="1:7" x14ac:dyDescent="0.35">
      <c r="G27" s="21">
        <v>117553</v>
      </c>
    </row>
    <row r="28" spans="1:7" x14ac:dyDescent="0.35">
      <c r="G28" s="140">
        <f>+G24+G27</f>
        <v>196157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57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161750</v>
      </c>
      <c r="K4" s="230">
        <f t="shared" ref="K4" si="0">D7+D11+D15</f>
        <v>19410</v>
      </c>
      <c r="L4" s="219">
        <f>F7+F11+F15</f>
        <v>119000</v>
      </c>
    </row>
    <row r="5" spans="1:12" ht="15" thickBot="1" x14ac:dyDescent="0.4">
      <c r="A5" s="28" t="s">
        <v>43</v>
      </c>
      <c r="B5" s="132" t="str">
        <f>IF(DigitaNICA!C2&lt;&gt;"",DigitaNICA!C2,"")</f>
        <v>01</v>
      </c>
      <c r="C5" s="29">
        <f>IF(DigitaNICA!C13&lt;&gt;"",DigitaNICA!C13,"")</f>
        <v>31100</v>
      </c>
      <c r="D5" s="42">
        <f>IF(C5="",0,C5*J$10)</f>
        <v>3732</v>
      </c>
      <c r="E5" s="29">
        <f>IF(DigitaNICA!D13&lt;&gt;"",DigitaNICA!D13,"")</f>
        <v>900</v>
      </c>
      <c r="F5" s="42">
        <f>IF(E5="",0,E5*PREMIOS!E5)</f>
        <v>72000</v>
      </c>
      <c r="G5" s="30">
        <f t="shared" ref="G5:G12" si="1">IF(OR(C5="",E5=""),0,C5-D5-F5)</f>
        <v>-44632</v>
      </c>
      <c r="I5" s="217" t="s">
        <v>37</v>
      </c>
      <c r="J5" s="231">
        <f>SUM(IF(C5="",0,C5),IF(C9="",0,C9),IF(C13="",0,C13),IF(C17="",0,C17))</f>
        <v>87300</v>
      </c>
      <c r="K5" s="232">
        <f t="shared" ref="K5" si="2">D5+D9+D13+D17</f>
        <v>10476</v>
      </c>
      <c r="L5" s="233">
        <f>F5+F9+F13+F17</f>
        <v>72000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>
        <f>IF(DigitaTICA!C13&lt;&gt;"",DigitaTICA!C13,"")</f>
        <v>47800</v>
      </c>
      <c r="D7" s="42">
        <f>IF(C7="",0,C7*J$9)</f>
        <v>5736</v>
      </c>
      <c r="E7" s="29">
        <f>IF(DigitaTICA!D13&lt;&gt;"",DigitaTICA!D13,"")</f>
        <v>0</v>
      </c>
      <c r="F7" s="133">
        <f>IF(E7="",0,E7*PREMIOS!F7)</f>
        <v>0</v>
      </c>
      <c r="G7" s="30">
        <f t="shared" si="1"/>
        <v>42064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>
        <f>IF(DigitaNICA!E13&lt;&gt;"",DigitaNICA!E13,"")</f>
        <v>26700</v>
      </c>
      <c r="D9" s="42">
        <f>IF(C9="",0,C9*J$10)</f>
        <v>3204</v>
      </c>
      <c r="E9" s="29">
        <f>IF(DigitaNICA!F13&lt;&gt;"",DigitaNICA!F13,"")</f>
        <v>0</v>
      </c>
      <c r="F9" s="133">
        <f>IF(E9="",0,E9*PREMIOS!E9)</f>
        <v>0</v>
      </c>
      <c r="G9" s="30">
        <f t="shared" si="1"/>
        <v>23496</v>
      </c>
      <c r="I9" s="60" t="s">
        <v>36</v>
      </c>
      <c r="J9" s="61">
        <v>0.12</v>
      </c>
      <c r="K9" s="62">
        <f>MROUND(D7+D11+D15,50)</f>
        <v>19400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10500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>
        <f>IF(DigitaTICA!E13&lt;&gt;"",DigitaTICA!E13,"")</f>
        <v>35200</v>
      </c>
      <c r="D11" s="42">
        <f>IF(C11="",0,C11*J$9)</f>
        <v>4224</v>
      </c>
      <c r="E11" s="29">
        <f>IF(DigitaTICA!F13&lt;&gt;"",DigitaTICA!F13,"")</f>
        <v>100</v>
      </c>
      <c r="F11" s="133">
        <f>IF(E11="",0,E11*PREMIOS!F11)</f>
        <v>8500</v>
      </c>
      <c r="G11" s="30">
        <f t="shared" si="1"/>
        <v>22476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IF(DigitaNICA!G13&lt;&gt;"",DigitaNICA!G13,"")</f>
        <v>28900</v>
      </c>
      <c r="D13" s="42">
        <f>IF(C13="",0,C13*J$10)</f>
        <v>3468</v>
      </c>
      <c r="E13" s="29">
        <f>IF(DigitaNICA!H13&lt;&gt;"",DigitaNICA!H13,"")</f>
        <v>0</v>
      </c>
      <c r="F13" s="133">
        <f>IF(E13="",0,E13*PREMIOS!E13)</f>
        <v>0</v>
      </c>
      <c r="G13" s="30">
        <f>IF(OR(C13="",E13=""),0,C13-D13-F13)</f>
        <v>25432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IF(DigitaTICA!G13&lt;&gt;"",DigitaTICA!G13,"")</f>
        <v>78750</v>
      </c>
      <c r="D15" s="42">
        <f>IF(C15="",0,C15*J$9)</f>
        <v>9450</v>
      </c>
      <c r="E15" s="29">
        <f>IF(DigitaTICA!H13&lt;&gt;"",DigitaTICA!H13,"")</f>
        <v>1300</v>
      </c>
      <c r="F15" s="133">
        <f>IF(E15="",0,E15*PREMIOS!F15)</f>
        <v>110500</v>
      </c>
      <c r="G15" s="30">
        <f t="shared" si="3"/>
        <v>-41200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>
        <f>IF(DigitaNICA!I13&lt;&gt;"",DigitaNICA!I13,"")</f>
        <v>600</v>
      </c>
      <c r="D17" s="42">
        <f>IF(C17="",0,C17*J$10)</f>
        <v>72</v>
      </c>
      <c r="E17" s="29">
        <f>IF(DigitaNICA!J13&lt;&gt;"",DigitaNICA!J13,"")</f>
        <v>0</v>
      </c>
      <c r="F17" s="42">
        <f>IF(E17="",0,E17*PREMIOS!E17)</f>
        <v>0</v>
      </c>
      <c r="G17" s="30">
        <f t="shared" si="3"/>
        <v>528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249050</v>
      </c>
      <c r="D19" s="68">
        <f>MROUND(SUM(D5:D18),50)</f>
        <v>29900</v>
      </c>
      <c r="E19" s="68">
        <f>SUM(E5:E18)</f>
        <v>2300</v>
      </c>
      <c r="F19" s="68">
        <f>SUM(F5:F18)</f>
        <v>191000</v>
      </c>
      <c r="G19" s="88">
        <f>SUM(G5:G18)</f>
        <v>28164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54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4">
        <f>SUM(IF(C7="",0,C7),IF(C11="",0,C11),IF(C15="",0,C15))</f>
        <v>101450</v>
      </c>
      <c r="K4" s="235">
        <f t="shared" ref="K4" si="0">D7+D11+D15</f>
        <v>15217.5</v>
      </c>
      <c r="L4" s="236">
        <f>F7+F11+F15</f>
        <v>40000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>
        <f>IF(DigitaTICA!C14&lt;&gt;"",DigitaTICA!C14,"")</f>
        <v>34150</v>
      </c>
      <c r="D7" s="42">
        <f>IF(C7="",0,C7*J$9)</f>
        <v>5122.5</v>
      </c>
      <c r="E7" s="29">
        <f>IF(DigitaTICA!D14&lt;&gt;"",DigitaTICA!D14,"")</f>
        <v>0</v>
      </c>
      <c r="F7" s="42">
        <f>IF(E7="",0,E7*PREMIOS!E7)</f>
        <v>0</v>
      </c>
      <c r="G7" s="30">
        <f t="shared" si="1"/>
        <v>29027.5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15200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>
        <f>IF(DigitaTICA!E14&lt;&gt;"",DigitaTICA!E14,"")</f>
        <v>17300</v>
      </c>
      <c r="D11" s="42">
        <f>IF(C11="",0,C11*J$9)</f>
        <v>2595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14705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>
        <f>IF(DigitaTICA!G14&lt;&gt;"",DigitaTICA!G14,"")</f>
        <v>50000</v>
      </c>
      <c r="D15" s="42">
        <f>IF(C15="",0,C15*J$9)</f>
        <v>7500</v>
      </c>
      <c r="E15" s="29">
        <f>IF(DigitaTICA!H14&lt;&gt;"",DigitaTICA!H14,"")</f>
        <v>500</v>
      </c>
      <c r="F15" s="42">
        <f>IF(E15="",0,E15*PREMIOS!E15)</f>
        <v>40000</v>
      </c>
      <c r="G15" s="30">
        <f t="shared" si="2"/>
        <v>2500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101450</v>
      </c>
      <c r="D19" s="68">
        <f>MROUND(SUM(D5:D18),50)</f>
        <v>15200</v>
      </c>
      <c r="E19" s="68">
        <f>SUM(E5:E18)</f>
        <v>500</v>
      </c>
      <c r="F19" s="68">
        <f>SUM(F5:F18)</f>
        <v>40000</v>
      </c>
      <c r="G19" s="88">
        <f>SUM(G5:G18)</f>
        <v>46232.5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55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0</v>
      </c>
      <c r="K4" s="230">
        <f t="shared" ref="K4" si="0">D7+D11+D15</f>
        <v>0</v>
      </c>
      <c r="L4" s="219">
        <f>F7+F11+F15</f>
        <v>0</v>
      </c>
    </row>
    <row r="5" spans="1:12" ht="15" thickBot="1" x14ac:dyDescent="0.4">
      <c r="A5" s="28" t="s">
        <v>43</v>
      </c>
      <c r="B5" s="132" t="str">
        <f>IF(DigitaNICA!C2&lt;&gt;"",DigitaNICA!C2,"")</f>
        <v>01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7" t="s">
        <v>37</v>
      </c>
      <c r="J5" s="231">
        <f>SUM(IF(C5="",0,C5),IF(C9="",0,C9),IF(C13="",0,C13),IF(C17="",0,C17))</f>
        <v>0</v>
      </c>
      <c r="K5" s="232">
        <f t="shared" ref="K5" si="2">D5+D9+D13+D17</f>
        <v>0</v>
      </c>
      <c r="L5" s="233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47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1" t="s">
        <v>34</v>
      </c>
      <c r="J8" s="281"/>
      <c r="K8" s="281"/>
    </row>
    <row r="9" spans="1:12" x14ac:dyDescent="0.35">
      <c r="A9" s="28" t="s">
        <v>48</v>
      </c>
      <c r="B9" s="132">
        <f>IF(DigitaNICA!E2&lt;&gt;"",DigitaNICA!E2,"")</f>
        <v>49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46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30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81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Blanca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tr">
        <f>J2</f>
        <v>MINERO</v>
      </c>
      <c r="C2" s="279"/>
      <c r="D2" s="280"/>
      <c r="J2" s="21" t="s">
        <v>142</v>
      </c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0">
        <f>SUM(IF(C7="",0,C7),IF(C11="",0,C11),IF(C15="",0,C15))</f>
        <v>68800</v>
      </c>
      <c r="K4" s="230">
        <f>D7+D11+D15</f>
        <v>8256</v>
      </c>
      <c r="L4" s="219">
        <f>F7+F11+F15</f>
        <v>17000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29">
        <f>IF(DigitaNICA!C16&lt;&gt;"",DigitaNICA!C16,"")</f>
        <v>3500</v>
      </c>
      <c r="D5" s="42">
        <f>IF(C5="",0,C5*J$12)</f>
        <v>420</v>
      </c>
      <c r="E5" s="29">
        <f>IF(DigitaNICA!D16&lt;&gt;"",DigitaNICA!D16,"")</f>
        <v>0</v>
      </c>
      <c r="F5" s="42">
        <f>IF(E5="",0,E5*PREMIOS!E5)</f>
        <v>0</v>
      </c>
      <c r="G5" s="30">
        <f t="shared" ref="G5:G12" si="0">IF(OR(C5="",E5=""),0,C5-D5-F5)</f>
        <v>3080</v>
      </c>
      <c r="I5" s="63" t="s">
        <v>37</v>
      </c>
      <c r="J5" s="224">
        <f>SUM(IF(C5="",0,C5),IF(C9="",0,C9),IF(C13="",0,C13),IF(C17="",0,C17))</f>
        <v>42450</v>
      </c>
      <c r="K5" s="224">
        <f t="shared" ref="K5" si="1">D5+D9+D13+D17</f>
        <v>5094</v>
      </c>
      <c r="L5" s="221">
        <f>F5+F9+F13+F17</f>
        <v>8000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5">
        <f>SUM(IF(C8="",0,C8),IF(C12="",0,C12),IF(C16="",0,C16))</f>
        <v>7000</v>
      </c>
      <c r="K6" s="225">
        <f t="shared" ref="K6" si="2">+D8+D12+D16</f>
        <v>700</v>
      </c>
      <c r="L6" s="226">
        <f>F8+F12+F16</f>
        <v>0</v>
      </c>
    </row>
    <row r="7" spans="1:12" x14ac:dyDescent="0.35">
      <c r="A7" s="28" t="s">
        <v>46</v>
      </c>
      <c r="B7" s="132">
        <f>IF(DigitaTICA!C2&lt;&gt;"",DigitaTICA!C2,"")</f>
        <v>47</v>
      </c>
      <c r="C7" s="29">
        <f>IF(DigitaTICA!C16&lt;&gt;"",DigitaTICA!C16,"")</f>
        <v>17400</v>
      </c>
      <c r="D7" s="42">
        <f>IF(C7="",0,C7*J$11)</f>
        <v>2088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15312</v>
      </c>
      <c r="I7" s="63" t="s">
        <v>96</v>
      </c>
      <c r="J7" s="225">
        <f>SUM(IF(C19="",0,C19),IF(C20="",0,C20))</f>
        <v>2000</v>
      </c>
      <c r="K7" s="225">
        <f>+D19+D20</f>
        <v>240</v>
      </c>
      <c r="L7" s="226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Blanca</v>
      </c>
      <c r="C8" s="29">
        <f>IF(DigitaREVENTADO!C16&lt;&gt;"",DigitaREVENTADO!C16,"")</f>
        <v>4000</v>
      </c>
      <c r="D8" s="42">
        <f>IF(C8="",0,C8*J$13)</f>
        <v>400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3600</v>
      </c>
      <c r="I8" s="65" t="s">
        <v>104</v>
      </c>
      <c r="J8" s="227">
        <f>SUM(IF(C21="",0,C21),IF(C22="",0,C22),IF(C23="",0,C23))</f>
        <v>3600</v>
      </c>
      <c r="K8" s="227">
        <f>D21+D22+D23</f>
        <v>432</v>
      </c>
      <c r="L8" s="228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49</v>
      </c>
      <c r="C9" s="29">
        <f>IF(DigitaNICA!E16&lt;&gt;"",DigitaNICA!E16,"")</f>
        <v>1500</v>
      </c>
      <c r="D9" s="42">
        <f>IF(C9="",0,C9*J$12)</f>
        <v>180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1320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8" t="s">
        <v>34</v>
      </c>
      <c r="J10" s="278"/>
      <c r="K10" s="278"/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IF(DigitaTICA!E16&lt;&gt;"",DigitaTICA!E16,"")</f>
        <v>9900</v>
      </c>
      <c r="D11" s="42">
        <f>IF(C11="",0,C11*J$11)</f>
        <v>1188</v>
      </c>
      <c r="E11" s="29">
        <f>IF(DigitaTICA!F16&lt;&gt;"",DigitaTICA!F16,"")</f>
        <v>0</v>
      </c>
      <c r="F11" s="133">
        <f>IF(E11="",0,E11*PREMIOS!F11)</f>
        <v>0</v>
      </c>
      <c r="G11" s="30">
        <f t="shared" si="0"/>
        <v>8712</v>
      </c>
      <c r="I11" s="76" t="s">
        <v>36</v>
      </c>
      <c r="J11" s="77">
        <v>0.12</v>
      </c>
      <c r="K11" s="78">
        <f>MROUND(D7+D11+D15,50)</f>
        <v>8250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1000</v>
      </c>
      <c r="D12" s="42">
        <f>IF(C12="",0,C12*J$13)</f>
        <v>100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900</v>
      </c>
      <c r="I12" s="63" t="s">
        <v>37</v>
      </c>
      <c r="J12" s="64">
        <v>0.12</v>
      </c>
      <c r="K12" s="30">
        <f>MROUND(D5+D9+D13+D17,50)</f>
        <v>5100</v>
      </c>
    </row>
    <row r="13" spans="1:12" x14ac:dyDescent="0.35">
      <c r="A13" s="28" t="s">
        <v>50</v>
      </c>
      <c r="B13" s="132">
        <f>IF(DigitaNICA!G2&lt;&gt;"",DigitaNICA!G2,"")</f>
        <v>30</v>
      </c>
      <c r="C13" s="29">
        <f>IF(DigitaNICA!G16&lt;&gt;"",DigitaNICA!G16,"")</f>
        <v>15550</v>
      </c>
      <c r="D13" s="42">
        <f>IF(C13="",0,C13*J$12)</f>
        <v>1866</v>
      </c>
      <c r="E13" s="29">
        <f>IF(DigitaNICA!H16&lt;&gt;"",DigitaNICA!H16,"")</f>
        <v>100</v>
      </c>
      <c r="F13" s="133">
        <f>IF(E13="",0,E13*PREMIOS!E13)</f>
        <v>8000</v>
      </c>
      <c r="G13" s="30">
        <f>IF(OR(C13="",E13=""),0,C13-D13-F13)</f>
        <v>5684</v>
      </c>
      <c r="I13" s="63" t="s">
        <v>38</v>
      </c>
      <c r="J13" s="64">
        <v>0.1</v>
      </c>
      <c r="K13" s="30">
        <f>MROUND(D6+D8+D10+D12+D14+D16+D18,50)</f>
        <v>700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250</v>
      </c>
    </row>
    <row r="15" spans="1:12" ht="15" thickBot="1" x14ac:dyDescent="0.4">
      <c r="A15" s="28" t="s">
        <v>61</v>
      </c>
      <c r="B15" s="132">
        <f>IF(DigitaTICA!G2&lt;&gt;"",DigitaTICA!G2,"")</f>
        <v>81</v>
      </c>
      <c r="C15" s="29">
        <f>IF(DigitaTICA!G16&lt;&gt;"",DigitaTICA!G16,"")</f>
        <v>41500</v>
      </c>
      <c r="D15" s="42">
        <f>IF(C15="",0,C15*J$11)</f>
        <v>4980</v>
      </c>
      <c r="E15" s="29">
        <f>IF(DigitaTICA!H16&lt;&gt;"",DigitaTICA!H16,"")</f>
        <v>200</v>
      </c>
      <c r="F15" s="133">
        <f>IF(E15="",0,E15*PREMIOS!F15)</f>
        <v>17000</v>
      </c>
      <c r="G15" s="30">
        <f t="shared" si="3"/>
        <v>19520</v>
      </c>
      <c r="I15" s="65" t="s">
        <v>104</v>
      </c>
      <c r="J15" s="66">
        <v>0.12</v>
      </c>
      <c r="K15" s="50">
        <f>MROUND(D21+D22+D23,50)</f>
        <v>450</v>
      </c>
    </row>
    <row r="16" spans="1:12" x14ac:dyDescent="0.35">
      <c r="A16" s="28" t="s">
        <v>62</v>
      </c>
      <c r="B16" s="132" t="str">
        <f>IF(B15&lt;&gt;"",PREMIOS!B16,"")</f>
        <v>Blanca</v>
      </c>
      <c r="C16" s="29">
        <f>IF(DigitaREVENTADO!G16&lt;&gt;"",DigitaREVENTADO!G16,"")</f>
        <v>2000</v>
      </c>
      <c r="D16" s="42">
        <f>IF(C16="",0,C16*J$13)</f>
        <v>200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1800</v>
      </c>
    </row>
    <row r="17" spans="1:7" x14ac:dyDescent="0.35">
      <c r="A17" s="28" t="s">
        <v>52</v>
      </c>
      <c r="B17" s="132">
        <f>IF(DigitaNICA!I2&lt;&gt;"",DigitaNICA!I2,"")</f>
        <v>45</v>
      </c>
      <c r="C17" s="29">
        <f>IF(DigitaNICA!I16&lt;&gt;"",DigitaNICA!I16,"")</f>
        <v>21900</v>
      </c>
      <c r="D17" s="42">
        <f>IF(C17="",0,C17*J$12)</f>
        <v>2628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19272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>
        <f>IF(DigitaPRIMERA!C2&lt;&gt;"",DigitaPRIMERA!C2,"")</f>
        <v>65</v>
      </c>
      <c r="C19" s="29">
        <f>IF(DigitaPRIMERA!C16&lt;&gt;"",DigitaPRIMERA!C16,"")</f>
        <v>2000</v>
      </c>
      <c r="D19" s="42">
        <f>IF(C19="",0,C19*J$14)</f>
        <v>240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1760</v>
      </c>
    </row>
    <row r="20" spans="1:7" x14ac:dyDescent="0.35">
      <c r="A20" s="28" t="s">
        <v>98</v>
      </c>
      <c r="B20" s="132">
        <f>IF(DigitaPRIMERA!E2&lt;&gt;"",DigitaPRIMERA!E2,"")</f>
        <v>70</v>
      </c>
      <c r="C20" s="29" t="str">
        <f>IF(DigitaPRIMERA!E16&lt;&gt;"",DigitaPRIMERA!E16,"")</f>
        <v/>
      </c>
      <c r="D20" s="42">
        <f>IF(C20="",0,C20*J$14)</f>
        <v>0</v>
      </c>
      <c r="E20" s="29" t="str">
        <f>IF(DigitaPRIMERA!F16&lt;&gt;"",DigitaPRIMERA!F16,"")</f>
        <v/>
      </c>
      <c r="F20" s="42">
        <f>IF(E20="",0,E20*PREMIOS!E19)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87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59</v>
      </c>
      <c r="C22" s="29">
        <f>IF(DigitaHONDURAS!$E$16&lt;&gt;"",DigitaHONDURAS!$E$16,"")</f>
        <v>2300</v>
      </c>
      <c r="D22" s="42">
        <f t="shared" ref="D22:D23" si="4">IF(C22="",0,C22*J$15)</f>
        <v>276</v>
      </c>
      <c r="E22" s="29">
        <f>IF(DigitaHONDURAS!$F$16&lt;&gt;"",DigitaHONDURAS!$F$16,"")</f>
        <v>0</v>
      </c>
      <c r="F22" s="42">
        <f>IF(E22="",0,E22*PREMIOS!E20)</f>
        <v>0</v>
      </c>
      <c r="G22" s="30">
        <f t="shared" si="3"/>
        <v>2024</v>
      </c>
    </row>
    <row r="23" spans="1:7" x14ac:dyDescent="0.35">
      <c r="A23" s="28" t="s">
        <v>101</v>
      </c>
      <c r="B23" s="132">
        <f>IF(DigitaHONDURAS!G2&lt;&gt;"",DigitaHONDURAS!G2,"")</f>
        <v>92</v>
      </c>
      <c r="C23" s="29">
        <f>IF(DigitaHONDURAS!$G$16&lt;&gt;"",DigitaHONDURAS!$G$16,"")</f>
        <v>1300</v>
      </c>
      <c r="D23" s="42">
        <f t="shared" si="4"/>
        <v>156</v>
      </c>
      <c r="E23" s="29">
        <f>IF(DigitaHONDURAS!$H$16&lt;&gt;"",DigitaHONDURAS!$H$16,"")</f>
        <v>0</v>
      </c>
      <c r="F23" s="42">
        <f>IF(E23="",0,E23*PREMIOS!E20)</f>
        <v>0</v>
      </c>
      <c r="G23" s="30">
        <f t="shared" si="3"/>
        <v>1144</v>
      </c>
    </row>
    <row r="24" spans="1:7" ht="15" thickBot="1" x14ac:dyDescent="0.4">
      <c r="A24" s="121" t="s">
        <v>5</v>
      </c>
      <c r="B24" s="128"/>
      <c r="C24" s="122">
        <f>SUM(C5:C23)</f>
        <v>123850</v>
      </c>
      <c r="D24" s="122">
        <f t="shared" ref="D24:G24" si="5">SUM(D5:D23)</f>
        <v>14722</v>
      </c>
      <c r="E24" s="122">
        <f t="shared" si="5"/>
        <v>300</v>
      </c>
      <c r="F24" s="122">
        <f t="shared" si="5"/>
        <v>25000</v>
      </c>
      <c r="G24" s="123">
        <f t="shared" si="5"/>
        <v>84128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91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415800</v>
      </c>
      <c r="K4" s="230">
        <f t="shared" ref="K4" si="0">D7+D11+D15</f>
        <v>49896</v>
      </c>
      <c r="L4" s="219">
        <f>F7+F11+F15</f>
        <v>182750</v>
      </c>
    </row>
    <row r="5" spans="1:12" x14ac:dyDescent="0.35">
      <c r="A5" s="28" t="s">
        <v>43</v>
      </c>
      <c r="B5" s="132" t="str">
        <f>IF(DigitaNICA!C2&lt;&gt;"",DigitaNICA!C2,"")</f>
        <v>01</v>
      </c>
      <c r="C5" s="89">
        <f>IF(DigitaNICA!C17&lt;&gt;"",DigitaNICA!C17,"")</f>
        <v>85700</v>
      </c>
      <c r="D5" s="42">
        <f>IF(C5="",0,C5*J$16)</f>
        <v>10284</v>
      </c>
      <c r="E5" s="89">
        <f>IF(DigitaNICA!D17&lt;&gt;"",DigitaNICA!D17,"")</f>
        <v>400</v>
      </c>
      <c r="F5" s="42">
        <f>IF(E5="",0,E5*PREMIOS!F5)</f>
        <v>34000</v>
      </c>
      <c r="G5" s="90">
        <f t="shared" ref="G5:G12" si="1">IF(OR(C5="",E5=""),0,C5-D5-F5)</f>
        <v>41416</v>
      </c>
      <c r="I5" s="216" t="s">
        <v>37</v>
      </c>
      <c r="J5" s="220">
        <f>SUM(IF(C5="",0,C5),IF(C9="",0,C9),IF(C13="",0,C13),IF(C17="",0,C17))</f>
        <v>302250</v>
      </c>
      <c r="K5" s="224">
        <f t="shared" ref="K5" si="2">D5+D9+D13+D17</f>
        <v>36270</v>
      </c>
      <c r="L5" s="221">
        <f>F5+F9+F13+F17</f>
        <v>140250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6" t="s">
        <v>38</v>
      </c>
      <c r="J6" s="220">
        <f>SUM(IF(C8="",0,C8),IF(C12="",0,C12),IF(C16="",0,C16))</f>
        <v>66250</v>
      </c>
      <c r="K6" s="225">
        <f t="shared" ref="K6" si="3">+D8+D12+D16</f>
        <v>6625</v>
      </c>
      <c r="L6" s="226">
        <f>+F8+F12+F16</f>
        <v>0</v>
      </c>
    </row>
    <row r="7" spans="1:12" x14ac:dyDescent="0.35">
      <c r="A7" s="28" t="s">
        <v>46</v>
      </c>
      <c r="B7" s="132">
        <f>IF(DigitaTICA!C2&lt;&gt;"",DigitaTICA!C2,"")</f>
        <v>47</v>
      </c>
      <c r="C7" s="89">
        <f>IF(DigitaTICA!C17&lt;&gt;"",DigitaTICA!C17,"")</f>
        <v>100600</v>
      </c>
      <c r="D7" s="42">
        <f>IF(C7="",0,C7*J$15)</f>
        <v>12072</v>
      </c>
      <c r="E7" s="89">
        <f>IF(DigitaTICA!D17&lt;&gt;"",DigitaTICA!D17,"")</f>
        <v>850</v>
      </c>
      <c r="F7" s="42">
        <f>IF(E7="",0,E7*PREMIOS!F7)</f>
        <v>72250</v>
      </c>
      <c r="G7" s="90">
        <f t="shared" si="1"/>
        <v>16278</v>
      </c>
      <c r="I7" s="216" t="s">
        <v>96</v>
      </c>
      <c r="J7" s="222">
        <f>SUM(IF(C19="",0,C19),IF(C20="",0,C20))</f>
        <v>89350</v>
      </c>
      <c r="K7" s="225">
        <f>+D19+D20</f>
        <v>10722</v>
      </c>
      <c r="L7" s="226">
        <f>+F19+F20</f>
        <v>8500</v>
      </c>
    </row>
    <row r="8" spans="1:12" x14ac:dyDescent="0.35">
      <c r="A8" s="28" t="s">
        <v>47</v>
      </c>
      <c r="B8" s="132" t="str">
        <f>IF(B7&lt;&gt;"",PREMIOS!B8,"")</f>
        <v>Blanca</v>
      </c>
      <c r="C8" s="89">
        <f>IF(DigitaREVENTADO!C17&lt;&gt;"",DigitaREVENTADO!C17,"")</f>
        <v>19700</v>
      </c>
      <c r="D8" s="42">
        <f>IF(C8="",0,C8*J$17)</f>
        <v>1970</v>
      </c>
      <c r="E8" s="89">
        <f>IF(DigitaREVENTADO!D17&lt;&gt;"",DigitaREVENTADO!D17,"")</f>
        <v>500</v>
      </c>
      <c r="F8" s="42">
        <f>IF(E8="",0,E8*PREMIOS!F8)</f>
        <v>0</v>
      </c>
      <c r="G8" s="90">
        <f t="shared" si="1"/>
        <v>17730</v>
      </c>
      <c r="I8" s="216" t="s">
        <v>104</v>
      </c>
      <c r="J8" s="222">
        <f>SUM(IF(C21="",0,C21),IF(C22="",0,C22),IF(C23="",0,C23))</f>
        <v>50700</v>
      </c>
      <c r="K8" s="225">
        <f t="shared" ref="K8" si="4">D21+D22+D23</f>
        <v>6084</v>
      </c>
      <c r="L8" s="226">
        <f>F21+F22+F23</f>
        <v>4250</v>
      </c>
    </row>
    <row r="9" spans="1:12" x14ac:dyDescent="0.35">
      <c r="A9" s="28" t="s">
        <v>48</v>
      </c>
      <c r="B9" s="132">
        <f>IF(DigitaNICA!E2&lt;&gt;"",DigitaNICA!E2,"")</f>
        <v>49</v>
      </c>
      <c r="C9" s="89">
        <f>IF(DigitaNICA!E17&lt;&gt;"",DigitaNICA!E17,"")</f>
        <v>56600</v>
      </c>
      <c r="D9" s="42">
        <f>IF(C9="",0,C9*J$16)</f>
        <v>6792</v>
      </c>
      <c r="E9" s="89">
        <f>IF(DigitaNICA!F17&lt;&gt;"",DigitaNICA!F17,"")</f>
        <v>500</v>
      </c>
      <c r="F9" s="42">
        <f>IF(E9="",0,E9*PREMIOS!F9)</f>
        <v>42500</v>
      </c>
      <c r="G9" s="90">
        <f t="shared" si="1"/>
        <v>7308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89">
        <f>IF(DigitaTICA!E17&lt;&gt;"",DigitaTICA!E17,"")</f>
        <v>101100</v>
      </c>
      <c r="D11" s="42">
        <f>IF(C11="",0,C11*J$15)</f>
        <v>12132</v>
      </c>
      <c r="E11" s="89">
        <f>IF(DigitaTICA!F17&lt;&gt;"",DigitaTICA!F17,"")</f>
        <v>500</v>
      </c>
      <c r="F11" s="42">
        <f>IF(E11="",0,E11*PREMIOS!F11)</f>
        <v>42500</v>
      </c>
      <c r="G11" s="90">
        <f t="shared" si="1"/>
        <v>46468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12000</v>
      </c>
      <c r="D12" s="42">
        <f>IF(C12="",0,C12*J$17)</f>
        <v>1200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10800</v>
      </c>
    </row>
    <row r="13" spans="1:12" ht="15" thickBot="1" x14ac:dyDescent="0.4">
      <c r="A13" s="28" t="s">
        <v>50</v>
      </c>
      <c r="B13" s="132">
        <f>IF(DigitaNICA!G2&lt;&gt;"",DigitaNICA!G2,"")</f>
        <v>30</v>
      </c>
      <c r="C13" s="89">
        <f>IF(DigitaNICA!G17&lt;&gt;"",DigitaNICA!G17,"")</f>
        <v>42350</v>
      </c>
      <c r="D13" s="42">
        <f>IF(C13="",0,C13*J$16)</f>
        <v>5082</v>
      </c>
      <c r="E13" s="89">
        <f>IF(DigitaNICA!H17&lt;&gt;"",DigitaNICA!H17,"")</f>
        <v>450</v>
      </c>
      <c r="F13" s="42">
        <f>IF(E13="",0,E13*PREMIOS!F13)</f>
        <v>38250</v>
      </c>
      <c r="G13" s="90">
        <f>IF(OR(C13="",E13=""),0,C13-D13-F13)</f>
        <v>-982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8" t="s">
        <v>34</v>
      </c>
      <c r="J14" s="278"/>
      <c r="K14" s="278"/>
    </row>
    <row r="15" spans="1:12" x14ac:dyDescent="0.35">
      <c r="A15" s="28" t="s">
        <v>61</v>
      </c>
      <c r="B15" s="132">
        <f>IF(DigitaTICA!G2&lt;&gt;"",DigitaTICA!G2,"")</f>
        <v>81</v>
      </c>
      <c r="C15" s="89">
        <f>IF(DigitaTICA!G17&lt;&gt;"",DigitaTICA!G17,"")</f>
        <v>214100</v>
      </c>
      <c r="D15" s="42">
        <f>IF(C15="",0,C15*J$15)</f>
        <v>25692</v>
      </c>
      <c r="E15" s="89">
        <f>IF(DigitaTICA!H17&lt;&gt;"",DigitaTICA!H17,"")</f>
        <v>800</v>
      </c>
      <c r="F15" s="42">
        <f>IF(E15="",0,E15*PREMIOS!F15)</f>
        <v>68000</v>
      </c>
      <c r="G15" s="90">
        <f t="shared" si="6"/>
        <v>120408</v>
      </c>
      <c r="I15" s="76" t="s">
        <v>36</v>
      </c>
      <c r="J15" s="77">
        <v>0.12</v>
      </c>
      <c r="K15" s="78">
        <f>MROUND(D7+D11+D15,50)</f>
        <v>49900</v>
      </c>
    </row>
    <row r="16" spans="1:12" x14ac:dyDescent="0.35">
      <c r="A16" s="28" t="s">
        <v>62</v>
      </c>
      <c r="B16" s="132" t="str">
        <f>IF(B15&lt;&gt;"",PREMIOS!B16,"")</f>
        <v>Blanca</v>
      </c>
      <c r="C16" s="89">
        <f>IF(DigitaREVENTADO!G17&lt;&gt;"",DigitaREVENTADO!G17,"")</f>
        <v>34550</v>
      </c>
      <c r="D16" s="42">
        <f>IF(C16="",0,C16*J$17)</f>
        <v>3455</v>
      </c>
      <c r="E16" s="89">
        <f>IF(DigitaREVENTADO!H17&lt;&gt;"",DigitaREVENTADO!H17,"")</f>
        <v>0</v>
      </c>
      <c r="F16" s="42">
        <f>IF(E16="",0,E16*PREMIOS!F16)</f>
        <v>0</v>
      </c>
      <c r="G16" s="90">
        <f t="shared" si="6"/>
        <v>31095</v>
      </c>
      <c r="I16" s="63" t="s">
        <v>37</v>
      </c>
      <c r="J16" s="64">
        <v>0.12</v>
      </c>
      <c r="K16" s="30">
        <f>MROUND(D5+D9+D13+D17,50)</f>
        <v>36250</v>
      </c>
    </row>
    <row r="17" spans="1:11" x14ac:dyDescent="0.35">
      <c r="A17" s="28" t="s">
        <v>52</v>
      </c>
      <c r="B17" s="132">
        <f>IF(DigitaNICA!I2&lt;&gt;"",DigitaNICA!I2,"")</f>
        <v>45</v>
      </c>
      <c r="C17" s="89">
        <f>IF(DigitaNICA!I17&lt;&gt;"",DigitaNICA!I17,"")</f>
        <v>117600</v>
      </c>
      <c r="D17" s="42">
        <f>IF(C17="",0,C17*J$16)</f>
        <v>14112</v>
      </c>
      <c r="E17" s="89">
        <f>IF(DigitaNICA!J17&lt;&gt;"",DigitaNICA!J17,"")</f>
        <v>300</v>
      </c>
      <c r="F17" s="42">
        <f>IF(E17="",0,E17*PREMIOS!F17)</f>
        <v>25500</v>
      </c>
      <c r="G17" s="90">
        <f t="shared" si="6"/>
        <v>77988</v>
      </c>
      <c r="I17" s="63" t="s">
        <v>38</v>
      </c>
      <c r="J17" s="64">
        <v>0.1</v>
      </c>
      <c r="K17" s="30">
        <f>MROUND(D6+D8+D10+D12+D14+D16+D18,50)</f>
        <v>6650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10700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IF(DigitaPRIMERA!$C$17&lt;&gt;"",DigitaPRIMERA!$C$17,"")</f>
        <v>65750</v>
      </c>
      <c r="D19" s="42">
        <f>IF(C19="",0,C19*J$18)</f>
        <v>7890</v>
      </c>
      <c r="E19" s="29">
        <f>IF(DigitaPRIMERA!$D$17&lt;&gt;"",DigitaPRIMERA!$D$17,"")</f>
        <v>0</v>
      </c>
      <c r="F19" s="42">
        <f>IF(E19="",0,E19*PREMIOS!F19)</f>
        <v>0</v>
      </c>
      <c r="G19" s="30">
        <f t="shared" si="6"/>
        <v>57860</v>
      </c>
      <c r="I19" s="63" t="s">
        <v>104</v>
      </c>
      <c r="J19" s="64">
        <v>0.12</v>
      </c>
      <c r="K19" s="30">
        <f>MROUND(D21+D22+D23,50)</f>
        <v>6100</v>
      </c>
    </row>
    <row r="20" spans="1:11" x14ac:dyDescent="0.35">
      <c r="A20" s="28" t="s">
        <v>98</v>
      </c>
      <c r="B20" s="132">
        <f>IF(DigitaPRIMERA!E2&lt;&gt;"",DigitaPRIMERA!E2,"")</f>
        <v>70</v>
      </c>
      <c r="C20" s="29">
        <f>IF(DigitaPRIMERA!$E$17&lt;&gt;"",DigitaPRIMERA!$E$17,"")</f>
        <v>23600</v>
      </c>
      <c r="D20" s="42">
        <f>IF(C20="",0,C20*J$18)</f>
        <v>2832</v>
      </c>
      <c r="E20" s="29">
        <f>IF(DigitaPRIMERA!$F$17&lt;&gt;"",DigitaPRIMERA!$F$17,"")</f>
        <v>100</v>
      </c>
      <c r="F20" s="42">
        <f>IF(E20="",0,E20*PREMIOS!F19)</f>
        <v>8500</v>
      </c>
      <c r="G20" s="30">
        <f t="shared" si="6"/>
        <v>12268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>
        <f>IF(DigitaHONDURAS!$C$17&lt;&gt;"",DigitaHONDURAS!$C$17,"")</f>
        <v>29400</v>
      </c>
      <c r="D21" s="42">
        <f>IF(C21="",0,C21*J$19)</f>
        <v>3528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25872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59</v>
      </c>
      <c r="C22" s="29">
        <f>IF(DigitaHONDURAS!$E$17&lt;&gt;"",DigitaHONDURAS!$E$17,"")</f>
        <v>10250</v>
      </c>
      <c r="D22" s="42">
        <f>IF(C22="",0,C22*J$19)</f>
        <v>1230</v>
      </c>
      <c r="E22" s="29">
        <f>IF(DigitaHONDURAS!$F$17&lt;&gt;"",DigitaHONDURAS!$F$17,"")</f>
        <v>50</v>
      </c>
      <c r="F22" s="42">
        <f>IF(E22="",0,E22*PREMIOS!F20)</f>
        <v>4250</v>
      </c>
      <c r="G22" s="30">
        <f t="shared" si="6"/>
        <v>4770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>
        <f>IF(DigitaHONDURAS!$G$17&lt;&gt;"",DigitaHONDURAS!$G$17,"")</f>
        <v>11050</v>
      </c>
      <c r="D23" s="42">
        <f>IF(C23="",0,C23*J$19)</f>
        <v>1326</v>
      </c>
      <c r="E23" s="29">
        <f>IF(DigitaHONDURAS!$H$17&lt;&gt;"",DigitaHONDURAS!$H$17,"")</f>
        <v>0</v>
      </c>
      <c r="F23" s="42">
        <f>IF(E23="",0,E23*PREMIOS!F20)</f>
        <v>0</v>
      </c>
      <c r="G23" s="30">
        <f t="shared" si="6"/>
        <v>9724</v>
      </c>
    </row>
    <row r="24" spans="1:11" x14ac:dyDescent="0.35">
      <c r="A24" s="28" t="s">
        <v>102</v>
      </c>
      <c r="B24" s="132" t="str">
        <f>IF(DigitaDOMINICANA!C2&lt;&gt;"",DigitaDOMINICANA!C2,"")</f>
        <v>01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924350</v>
      </c>
      <c r="D27" s="68">
        <f t="shared" ref="D27:G27" si="7">SUM(D5:D26)</f>
        <v>109597</v>
      </c>
      <c r="E27" s="68">
        <f t="shared" si="7"/>
        <v>4450</v>
      </c>
      <c r="F27" s="68">
        <f t="shared" si="7"/>
        <v>335750</v>
      </c>
      <c r="G27" s="88">
        <f t="shared" si="7"/>
        <v>479003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79" t="s">
        <v>92</v>
      </c>
      <c r="C2" s="279"/>
      <c r="D2" s="280"/>
    </row>
    <row r="3" spans="1:12" ht="15" thickBot="1" x14ac:dyDescent="0.4">
      <c r="J3" s="72" t="s">
        <v>39</v>
      </c>
      <c r="K3" s="229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5" t="s">
        <v>36</v>
      </c>
      <c r="J4" s="218">
        <f>SUM(IF(C7="",0,C7),IF(C11="",0,C11),IF(C15="",0,C15))</f>
        <v>173050</v>
      </c>
      <c r="K4" s="230">
        <f t="shared" ref="K4" si="0">D7+D11+D15</f>
        <v>20766</v>
      </c>
      <c r="L4" s="219">
        <f>F7+F11+F15</f>
        <v>12750</v>
      </c>
    </row>
    <row r="5" spans="1:12" x14ac:dyDescent="0.35">
      <c r="A5" s="28" t="str">
        <f>+Vendedor1!A5</f>
        <v>Nica 11am</v>
      </c>
      <c r="B5" s="132" t="str">
        <f>IF(DigitaNICA!C2&lt;&gt;"",DigitaNICA!C2,"")</f>
        <v>01</v>
      </c>
      <c r="C5" s="29">
        <f>IF(DigitaNICA!C18&lt;&gt;"",DigitaNICA!C18,"")</f>
        <v>52800</v>
      </c>
      <c r="D5" s="42">
        <f>IF(C5="",0,C5*J$16)</f>
        <v>6336</v>
      </c>
      <c r="E5" s="29">
        <f>IF(DigitaNICA!D18&lt;&gt;"",DigitaNICA!D18,"")</f>
        <v>800</v>
      </c>
      <c r="F5" s="42">
        <f>IF(E5="",0,E5*PREMIOS!F5)</f>
        <v>68000</v>
      </c>
      <c r="G5" s="30">
        <f t="shared" ref="G5:G12" si="1">IF(OR(C5="",E5=""),0,C5-D5-F5)</f>
        <v>-21536</v>
      </c>
      <c r="I5" s="216" t="s">
        <v>37</v>
      </c>
      <c r="J5" s="220">
        <f>SUM(IF(C5="",0,C5),IF(C9="",0,C9),IF(C13="",0,C13),IF(C17="",0,C17))</f>
        <v>112350</v>
      </c>
      <c r="K5" s="224">
        <f t="shared" ref="K5" si="2">D5+D9+D13+D17</f>
        <v>13482</v>
      </c>
      <c r="L5" s="221">
        <f>F5+F9+F13+F17</f>
        <v>80750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6" t="s">
        <v>38</v>
      </c>
      <c r="J6" s="220">
        <f>SUM(IF(C8="",0,C8),IF(C12="",0,C12),IF(C16="",0,C16))</f>
        <v>48350</v>
      </c>
      <c r="K6" s="225">
        <f t="shared" ref="K6" si="3">+D8+D12+D16</f>
        <v>4835</v>
      </c>
      <c r="L6" s="226">
        <f>+F8+F12+F16</f>
        <v>0</v>
      </c>
    </row>
    <row r="7" spans="1:12" x14ac:dyDescent="0.35">
      <c r="A7" s="28" t="str">
        <f>+Vendedor1!A7</f>
        <v>Tica 1pm</v>
      </c>
      <c r="B7" s="132">
        <f>IF(DigitaTICA!C2&lt;&gt;"",DigitaTICA!C2,"")</f>
        <v>47</v>
      </c>
      <c r="C7" s="29">
        <f>IF(DigitaTICA!C18&lt;&gt;"",DigitaTICA!C18,"")</f>
        <v>72300</v>
      </c>
      <c r="D7" s="42">
        <f>IF(C7="",0,C7*J$15)</f>
        <v>8676</v>
      </c>
      <c r="E7" s="29">
        <f>IF(DigitaTICA!D18&lt;&gt;"",DigitaTICA!D18,"")</f>
        <v>0</v>
      </c>
      <c r="F7" s="42">
        <f>IF(E7="",0,E7*PREMIOS!F7)</f>
        <v>0</v>
      </c>
      <c r="G7" s="30">
        <f t="shared" si="1"/>
        <v>63624</v>
      </c>
      <c r="I7" s="216" t="s">
        <v>96</v>
      </c>
      <c r="J7" s="222">
        <f>SUM(IF(C19="",0,C19),IF(C20="",0,C20))</f>
        <v>91100</v>
      </c>
      <c r="K7" s="225">
        <f>+D19+D20</f>
        <v>10932</v>
      </c>
      <c r="L7" s="226">
        <f>+F19+F20</f>
        <v>12750</v>
      </c>
    </row>
    <row r="8" spans="1:12" x14ac:dyDescent="0.35">
      <c r="A8" s="28" t="str">
        <f>+Vendedor1!A8</f>
        <v>Reventado 1pm</v>
      </c>
      <c r="B8" s="132" t="str">
        <f>IF(B7&lt;&gt;"",PREMIOS!B8,"")</f>
        <v>Blanca</v>
      </c>
      <c r="C8" s="29">
        <f>IF(DigitaREVENTADO!C18&lt;&gt;"",DigitaREVENTADO!C18,"")</f>
        <v>20250</v>
      </c>
      <c r="D8" s="42">
        <f>IF(C8="",0,C8*J$17)</f>
        <v>2025</v>
      </c>
      <c r="E8" s="29">
        <f>IF(DigitaREVENTADO!D18&lt;&gt;"",DigitaREVENTADO!D18,"")</f>
        <v>0</v>
      </c>
      <c r="F8" s="42">
        <f>IF(E8="",0,E8*PREMIOS!F8)</f>
        <v>0</v>
      </c>
      <c r="G8" s="30">
        <f t="shared" si="1"/>
        <v>18225</v>
      </c>
      <c r="I8" s="216" t="s">
        <v>104</v>
      </c>
      <c r="J8" s="222">
        <f>SUM(IF(C21="",0,C21),IF(C22="",0,C22),IF(C23="",0,C23))</f>
        <v>31350</v>
      </c>
      <c r="K8" s="225">
        <f t="shared" ref="K8" si="4">D21+D22+D23</f>
        <v>3762</v>
      </c>
      <c r="L8" s="226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49</v>
      </c>
      <c r="C9" s="29">
        <f>IF(DigitaNICA!E18&lt;&gt;"",DigitaNICA!E18,"")</f>
        <v>48350</v>
      </c>
      <c r="D9" s="42">
        <f>IF(C9="",0,C9*J$16)</f>
        <v>5802</v>
      </c>
      <c r="E9" s="29">
        <f>IF(DigitaNICA!F18&lt;&gt;"",DigitaNICA!F18,"")</f>
        <v>150</v>
      </c>
      <c r="F9" s="42">
        <f>IF(E9="",0,E9*PREMIOS!F9)</f>
        <v>12750</v>
      </c>
      <c r="G9" s="30">
        <f t="shared" si="1"/>
        <v>29798</v>
      </c>
      <c r="I9" s="216" t="s">
        <v>20</v>
      </c>
      <c r="J9" s="222">
        <f>SUM(IF(C24="",0,C24),IF(C25="",0,C25))</f>
        <v>0</v>
      </c>
      <c r="K9" s="225">
        <f t="shared" ref="K9" si="5">+D24+D25</f>
        <v>0</v>
      </c>
      <c r="L9" s="226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7" t="s">
        <v>21</v>
      </c>
      <c r="J10" s="223">
        <f>IF(C26="",0,C26)</f>
        <v>0</v>
      </c>
      <c r="K10" s="227">
        <f>+D26</f>
        <v>0</v>
      </c>
      <c r="L10" s="228">
        <f>F26</f>
        <v>0</v>
      </c>
    </row>
    <row r="11" spans="1:12" x14ac:dyDescent="0.35">
      <c r="A11" s="28" t="s">
        <v>59</v>
      </c>
      <c r="B11" s="132">
        <f>IF(DigitaTICA!E2&lt;&gt;"",DigitaTICA!E2,"")</f>
        <v>46</v>
      </c>
      <c r="C11" s="29">
        <f>IF(DigitaTICA!E18&lt;&gt;"",DigitaTICA!E18,"")</f>
        <v>47700</v>
      </c>
      <c r="D11" s="42">
        <f>IF(C11="",0,C11*J$15)</f>
        <v>5724</v>
      </c>
      <c r="E11" s="29">
        <f>IF(DigitaTICA!F18&lt;&gt;"",DigitaTICA!F18,"")</f>
        <v>0</v>
      </c>
      <c r="F11" s="42">
        <f>IF(E11="",0,E11*PREMIOS!F11)</f>
        <v>0</v>
      </c>
      <c r="G11" s="30">
        <f t="shared" si="1"/>
        <v>41976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18950</v>
      </c>
      <c r="D12" s="42">
        <f>IF(C12="",0,C12*J$17)</f>
        <v>1895</v>
      </c>
      <c r="E12" s="29">
        <f>IF(DigitaREVENTADO!F18&lt;&gt;"",DigitaREVENTADO!F18,"")</f>
        <v>0</v>
      </c>
      <c r="F12" s="42">
        <f>IF(E12="",0,E12*PREMIOS!F12)</f>
        <v>0</v>
      </c>
      <c r="G12" s="30">
        <f t="shared" si="1"/>
        <v>17055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30</v>
      </c>
      <c r="C13" s="29">
        <f>IF(DigitaNICA!G18&lt;&gt;"",DigitaNICA!G18,"")</f>
        <v>8800</v>
      </c>
      <c r="D13" s="42">
        <f>IF(C13="",0,C13*J$16)</f>
        <v>1056</v>
      </c>
      <c r="E13" s="29">
        <f>IF(DigitaNICA!H18&lt;&gt;"",DigitaNICA!H18,"")</f>
        <v>0</v>
      </c>
      <c r="F13" s="42">
        <f>IF(E13="",0,E13*PREMIOS!F13)</f>
        <v>0</v>
      </c>
      <c r="G13" s="30">
        <f>IF(OR(C13="",E13=""),0,C13-D13-F13)</f>
        <v>7744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4" t="s">
        <v>34</v>
      </c>
      <c r="J14" s="285"/>
      <c r="K14" s="286"/>
    </row>
    <row r="15" spans="1:12" x14ac:dyDescent="0.35">
      <c r="A15" s="28" t="str">
        <f>+Vendedor1!A15</f>
        <v>Tica 7:30pm</v>
      </c>
      <c r="B15" s="132">
        <f>IF(DigitaTICA!G2&lt;&gt;"",DigitaTICA!G2,"")</f>
        <v>81</v>
      </c>
      <c r="C15" s="29">
        <f>IF(DigitaTICA!G18&lt;&gt;"",DigitaTICA!G18,"")</f>
        <v>53050</v>
      </c>
      <c r="D15" s="42">
        <f>IF(C15="",0,C15*J$15)</f>
        <v>6366</v>
      </c>
      <c r="E15" s="29">
        <f>IF(DigitaTICA!H18&lt;&gt;"",DigitaTICA!H18,"")</f>
        <v>150</v>
      </c>
      <c r="F15" s="42">
        <f>IF(E15="",0,E15*PREMIOS!F15)</f>
        <v>12750</v>
      </c>
      <c r="G15" s="30">
        <f t="shared" si="6"/>
        <v>33934</v>
      </c>
      <c r="I15" s="76" t="s">
        <v>36</v>
      </c>
      <c r="J15" s="77">
        <v>0.12</v>
      </c>
      <c r="K15" s="78">
        <f>MROUND(D7+D11+D15,50)</f>
        <v>20750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Blanca</v>
      </c>
      <c r="C16" s="29">
        <f>IF(DigitaREVENTADO!G18&lt;&gt;"",DigitaREVENTADO!G18,"")</f>
        <v>9150</v>
      </c>
      <c r="D16" s="42">
        <f>IF(C16="",0,C16*J$17)</f>
        <v>915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8235</v>
      </c>
      <c r="I16" s="63" t="s">
        <v>37</v>
      </c>
      <c r="J16" s="64">
        <v>0.12</v>
      </c>
      <c r="K16" s="30">
        <f>MROUND(D5+D9+D13+D17,50)</f>
        <v>13500</v>
      </c>
    </row>
    <row r="17" spans="1:11" x14ac:dyDescent="0.35">
      <c r="A17" s="28" t="str">
        <f>+Vendedor1!A17</f>
        <v>Nica 9pm</v>
      </c>
      <c r="B17" s="132">
        <f>IF(DigitaNICA!I2&lt;&gt;"",DigitaNICA!I2,"")</f>
        <v>45</v>
      </c>
      <c r="C17" s="29">
        <f>IF(DigitaNICA!I18&lt;&gt;"",DigitaNICA!I18,"")</f>
        <v>2400</v>
      </c>
      <c r="D17" s="42">
        <f>IF(C17="",0,C17*J$16)</f>
        <v>288</v>
      </c>
      <c r="E17" s="29">
        <f>IF(DigitaNICA!J18&lt;&gt;"",DigitaNICA!J18,"")</f>
        <v>0</v>
      </c>
      <c r="F17" s="42">
        <f>IF(E17="",0,E17*PREMIOS!F17)</f>
        <v>0</v>
      </c>
      <c r="G17" s="30">
        <f t="shared" si="6"/>
        <v>2112</v>
      </c>
      <c r="I17" s="63" t="s">
        <v>38</v>
      </c>
      <c r="J17" s="64">
        <v>0.1</v>
      </c>
      <c r="K17" s="30">
        <f>MROUND(D6+D8+D10+D12+D14+D16+D18,50)</f>
        <v>4850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10950</v>
      </c>
    </row>
    <row r="19" spans="1:11" x14ac:dyDescent="0.35">
      <c r="A19" s="28" t="s">
        <v>97</v>
      </c>
      <c r="B19" s="132">
        <f>IF(DigitaPRIMERA!C2&lt;&gt;"",DigitaPRIMERA!C2,"")</f>
        <v>65</v>
      </c>
      <c r="C19" s="29">
        <f>IF(DigitaPRIMERA!$C$18&lt;&gt;"",DigitaPRIMERA!$C$18,"")</f>
        <v>48550</v>
      </c>
      <c r="D19" s="42">
        <f>IF(C19="",0,C19*J$18)</f>
        <v>5826</v>
      </c>
      <c r="E19" s="29">
        <f>IF(DigitaPRIMERA!$D$18&lt;&gt;"",DigitaPRIMERA!$D$18,"")</f>
        <v>150</v>
      </c>
      <c r="F19" s="42">
        <f>IF(E19="",0,E19*PREMIOS!F19)</f>
        <v>12750</v>
      </c>
      <c r="G19" s="30">
        <f t="shared" si="6"/>
        <v>29974</v>
      </c>
      <c r="I19" s="63" t="s">
        <v>104</v>
      </c>
      <c r="J19" s="64">
        <v>0.12</v>
      </c>
      <c r="K19" s="30">
        <f>MROUND(D21+D22+D23,50)</f>
        <v>3750</v>
      </c>
    </row>
    <row r="20" spans="1:11" x14ac:dyDescent="0.35">
      <c r="A20" s="28" t="s">
        <v>98</v>
      </c>
      <c r="B20" s="132">
        <f>IF(DigitaPRIMERA!E2&lt;&gt;"",DigitaPRIMERA!E2,"")</f>
        <v>70</v>
      </c>
      <c r="C20" s="29">
        <f>IF(DigitaPRIMERA!$E$18&lt;&gt;"",DigitaPRIMERA!$E$18,"")</f>
        <v>42550</v>
      </c>
      <c r="D20" s="42">
        <f>IF(C20="",0,C20*J$18)</f>
        <v>5106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37444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87</v>
      </c>
      <c r="C21" s="29">
        <f>IF(DigitaHONDURAS!$C$18&lt;&gt;"",DigitaHONDURAS!$C$18,"")</f>
        <v>19950</v>
      </c>
      <c r="D21" s="42">
        <f>IF(C21="",0,C21*J$19)</f>
        <v>2394</v>
      </c>
      <c r="E21" s="29">
        <f>IF(DigitaHONDURAS!$D$18&lt;&gt;"",DigitaHONDURAS!$D$18,"")</f>
        <v>200</v>
      </c>
      <c r="F21" s="42">
        <f>IF(E21="",0,E21*PREMIOS!F20)</f>
        <v>17000</v>
      </c>
      <c r="G21" s="30">
        <f t="shared" si="6"/>
        <v>556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59</v>
      </c>
      <c r="C22" s="29">
        <f>IF(DigitaHONDURAS!$E$18&lt;&gt;"",DigitaHONDURAS!$E$18,"")</f>
        <v>7000</v>
      </c>
      <c r="D22" s="42">
        <f>IF(C22="",0,C22*J$19)</f>
        <v>840</v>
      </c>
      <c r="E22" s="29">
        <f>IF(DigitaHONDURAS!$F$18&lt;&gt;"",DigitaHONDURAS!$F$18,"")</f>
        <v>0</v>
      </c>
      <c r="F22" s="42">
        <f>IF(E22="",0,E22*PREMIOS!F20)</f>
        <v>0</v>
      </c>
      <c r="G22" s="30">
        <f t="shared" si="6"/>
        <v>6160</v>
      </c>
    </row>
    <row r="23" spans="1:11" x14ac:dyDescent="0.35">
      <c r="A23" s="28" t="s">
        <v>101</v>
      </c>
      <c r="B23" s="132">
        <f>IF(DigitaHONDURAS!G2&lt;&gt;"",DigitaHONDURAS!G2,"")</f>
        <v>92</v>
      </c>
      <c r="C23" s="29">
        <f>IF(DigitaHONDURAS!$G$18&lt;&gt;"",DigitaHONDURAS!$G$18,"")</f>
        <v>4400</v>
      </c>
      <c r="D23" s="42">
        <f>IF(C23="",0,C23*J$19)</f>
        <v>528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3872</v>
      </c>
    </row>
    <row r="24" spans="1:11" x14ac:dyDescent="0.35">
      <c r="A24" s="28" t="s">
        <v>102</v>
      </c>
      <c r="B24" s="132" t="str">
        <f>IF(DigitaDOMINICANA!C2&lt;&gt;"",DigitaDOMINICANA!C2,"")</f>
        <v>01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78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>
        <f>IF(DigitaPANAMENA!C2&lt;&gt;"",DigitaPANAMENA!C2,"")</f>
        <v>64</v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456200</v>
      </c>
      <c r="D27" s="68">
        <f t="shared" ref="D27:G27" si="7">SUM(D5:D26)</f>
        <v>53777</v>
      </c>
      <c r="E27" s="68">
        <f t="shared" si="7"/>
        <v>1450</v>
      </c>
      <c r="F27" s="68">
        <f t="shared" si="7"/>
        <v>123250</v>
      </c>
      <c r="G27" s="88">
        <f t="shared" si="7"/>
        <v>279173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88</v>
      </c>
      <c r="D2" s="280"/>
      <c r="E2" s="280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 t="str">
        <f>IF(DigitaNICA!C2&lt;&gt;"",DigitaNICA!C2,"")</f>
        <v>01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47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Blanca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tr">
        <f>+Vendedor1!A9</f>
        <v>Nica 3pm</v>
      </c>
      <c r="B9" s="132">
        <f>IF(DigitaNICA!E2&lt;&gt;"",DigitaNICA!E2,"")</f>
        <v>49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30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81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Blanca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45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85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4"/>
  </cols>
  <sheetData>
    <row r="1" spans="1:11" ht="15" thickBot="1" x14ac:dyDescent="0.4"/>
    <row r="2" spans="1:11" ht="15" thickBot="1" x14ac:dyDescent="0.4">
      <c r="A2" s="51" t="s">
        <v>35</v>
      </c>
      <c r="B2" s="124"/>
      <c r="C2" s="280" t="s">
        <v>84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83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0" t="s">
        <v>82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 t="str">
        <f>IF(DigitaNICA!C2&lt;&gt;"",DigitaNICA!C2,"")</f>
        <v>01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47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Blanca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1" t="s">
        <v>34</v>
      </c>
      <c r="J8" s="281"/>
      <c r="K8" s="281"/>
    </row>
    <row r="9" spans="1:11" x14ac:dyDescent="0.35">
      <c r="A9" s="28" t="s">
        <v>48</v>
      </c>
      <c r="B9" s="132">
        <f>IF(DigitaNICA!E2&lt;&gt;"",DigitaNICA!E2,"")</f>
        <v>49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46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30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81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Blanca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45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67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70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0" t="s">
        <v>81</v>
      </c>
      <c r="D2" s="280"/>
      <c r="E2" s="280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26"/>
      <c r="C5" s="29" t="str">
        <f>IF(DigitaNICA!C27&lt;&gt;"",DigitaNICA!C27,"")</f>
        <v/>
      </c>
      <c r="D5" s="42">
        <f>IF(C5="",0,C5*J$10)</f>
        <v>0</v>
      </c>
      <c r="E5" s="29" t="str">
        <f>IF(DigitaNICA!D27&lt;&gt;"",DigitaNICA!D27,"")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8" t="s">
        <v>34</v>
      </c>
      <c r="J8" s="278"/>
      <c r="K8" s="278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>
        <f>MROUND(D19+D20,50)</f>
        <v>0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 t="e">
        <f>MROUND(D21+D22+D23,50)</f>
        <v>#NUM!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 t="str">
        <f>IF(DigitaPRIMERA!$C$27&lt;&gt;"",DigitaPRIMERA!$C$27,"")</f>
        <v/>
      </c>
      <c r="D19" s="42">
        <f>IF(C19="",0,C19*J$12)</f>
        <v>0</v>
      </c>
      <c r="E19" s="29" t="str">
        <f>IF(DigitaPRIMERA!$D$27&lt;&gt;"",DigitaPRIMERA!$D$27,"")</f>
        <v/>
      </c>
      <c r="F19" s="42">
        <f>IF(E19="",0,E19*PREMIOS!F19)</f>
        <v>0</v>
      </c>
      <c r="G19" s="30">
        <f t="shared" si="1"/>
        <v>0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>
        <f>IF(DigitaHONDURAS!$E$27&lt;&gt;"",DigitaHONDURAS!$E$27,"")</f>
        <v>-2300</v>
      </c>
      <c r="D22" s="42">
        <f>IF(C22="",0,C22*J$13)</f>
        <v>-276</v>
      </c>
      <c r="E22" s="29">
        <f>IF(DigitaHONDURAS!$F$27&lt;&gt;"",DigitaHONDURAS!$F$27,"")</f>
        <v>0</v>
      </c>
      <c r="F22" s="42">
        <f>IF(E22="",0,E22*PREMIOS!F20)</f>
        <v>0</v>
      </c>
      <c r="G22" s="30">
        <f t="shared" si="1"/>
        <v>-2024</v>
      </c>
    </row>
    <row r="23" spans="1:7" x14ac:dyDescent="0.35">
      <c r="A23" s="28" t="s">
        <v>101</v>
      </c>
      <c r="B23" s="126"/>
      <c r="C23" s="29">
        <f>IF(DigitaHONDURAS!$G$27&lt;&gt;"",DigitaHONDURAS!$G$27,"")</f>
        <v>-1300</v>
      </c>
      <c r="D23" s="42">
        <f>IF(C23="",0,C23*J$13)</f>
        <v>-156</v>
      </c>
      <c r="E23" s="29">
        <f>IF(DigitaHONDURAS!$H$27&lt;&gt;"",DigitaHONDURAS!$H$27,"")</f>
        <v>0</v>
      </c>
      <c r="F23" s="42">
        <f>IF(E23="",0,E23*PREMIOS!F20)</f>
        <v>0</v>
      </c>
      <c r="G23" s="30">
        <f t="shared" si="1"/>
        <v>-1144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-3600</v>
      </c>
      <c r="D27" s="68">
        <f t="shared" ref="D27:G27" si="2">SUM(D5:D26)</f>
        <v>-432</v>
      </c>
      <c r="E27" s="68">
        <f t="shared" si="2"/>
        <v>0</v>
      </c>
      <c r="F27" s="68">
        <f t="shared" si="2"/>
        <v>0</v>
      </c>
      <c r="G27" s="88">
        <f t="shared" si="2"/>
        <v>-3168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106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64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69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58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0" t="s">
        <v>68</v>
      </c>
      <c r="C2" s="280"/>
      <c r="D2" s="280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1" t="s">
        <v>34</v>
      </c>
      <c r="I8" s="281"/>
      <c r="J8" s="281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>
        <f>IF(PREMIOS!$B7="","",PREMIOS!$B7)</f>
        <v>47</v>
      </c>
      <c r="D2" s="267"/>
      <c r="E2" s="266">
        <f>IF(PREMIOS!$B11="","",PREMIOS!$B11)</f>
        <v>46</v>
      </c>
      <c r="F2" s="267"/>
      <c r="G2" s="266">
        <f>IF(PREMIOS!$B15="","",PREMIOS!$B15)</f>
        <v>81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110" t="s">
        <v>28</v>
      </c>
      <c r="K3" s="110" t="s">
        <v>75</v>
      </c>
    </row>
    <row r="4" spans="1:11" x14ac:dyDescent="0.35">
      <c r="A4" s="186">
        <v>1</v>
      </c>
      <c r="B4" s="187" t="str">
        <f>Vendedor1!$B$2</f>
        <v>VENTANA</v>
      </c>
      <c r="C4" s="188">
        <v>49750</v>
      </c>
      <c r="D4" s="78">
        <v>250</v>
      </c>
      <c r="E4" s="188">
        <v>26400</v>
      </c>
      <c r="F4" s="78">
        <v>200</v>
      </c>
      <c r="G4" s="188">
        <v>143750</v>
      </c>
      <c r="H4" s="78">
        <v>650</v>
      </c>
      <c r="J4" s="42">
        <f t="shared" ref="J4:J8" si="0">+C4+E4+G4</f>
        <v>219900</v>
      </c>
      <c r="K4" s="42">
        <f>IF(D4="",0,IF(F4="",D4,IF(H4="",D4+F4,D4+F4+H4)))</f>
        <v>1100</v>
      </c>
    </row>
    <row r="5" spans="1:11" x14ac:dyDescent="0.35">
      <c r="A5" s="47">
        <v>2</v>
      </c>
      <c r="B5" s="177" t="str">
        <f>Vendedor2!$B$2</f>
        <v>PUESTO 2</v>
      </c>
      <c r="C5" s="179">
        <v>53750</v>
      </c>
      <c r="D5" s="30">
        <f t="shared" ref="D5:H27" si="1">IF(C5="","",0)</f>
        <v>0</v>
      </c>
      <c r="E5" s="179">
        <v>29800</v>
      </c>
      <c r="F5" s="30">
        <f t="shared" si="1"/>
        <v>0</v>
      </c>
      <c r="G5" s="179">
        <v>57950</v>
      </c>
      <c r="H5" s="30">
        <v>400</v>
      </c>
      <c r="J5" s="42">
        <f t="shared" si="0"/>
        <v>141500</v>
      </c>
      <c r="K5" s="42">
        <f t="shared" ref="K5:K27" si="2">IF(D5="",0,IF(F5="",D5,IF(H5="",D5+F5,D5+F5+H5)))</f>
        <v>400</v>
      </c>
    </row>
    <row r="6" spans="1:11" x14ac:dyDescent="0.35">
      <c r="A6" s="47">
        <v>3</v>
      </c>
      <c r="B6" s="177" t="str">
        <f>Vendedor3!$B$2</f>
        <v>TABLET</v>
      </c>
      <c r="C6" s="179"/>
      <c r="D6" s="30" t="str">
        <f t="shared" si="1"/>
        <v/>
      </c>
      <c r="E6" s="179"/>
      <c r="F6" s="30" t="str">
        <f t="shared" si="1"/>
        <v/>
      </c>
      <c r="G6" s="179"/>
      <c r="H6" s="30" t="str">
        <f t="shared" si="1"/>
        <v/>
      </c>
      <c r="J6" s="42">
        <f t="shared" si="0"/>
        <v>0</v>
      </c>
      <c r="K6" s="42">
        <f t="shared" si="2"/>
        <v>0</v>
      </c>
    </row>
    <row r="7" spans="1:11" x14ac:dyDescent="0.35">
      <c r="A7" s="47">
        <v>4</v>
      </c>
      <c r="B7" s="177" t="str">
        <f>Vendedor4!$B$2</f>
        <v>Nuevo 2</v>
      </c>
      <c r="C7" s="179"/>
      <c r="D7" s="30" t="str">
        <f t="shared" si="1"/>
        <v/>
      </c>
      <c r="E7" s="179"/>
      <c r="F7" s="30" t="str">
        <f t="shared" si="1"/>
        <v/>
      </c>
      <c r="G7" s="179"/>
      <c r="H7" s="30" t="str">
        <f t="shared" si="1"/>
        <v/>
      </c>
      <c r="J7" s="42">
        <f t="shared" si="0"/>
        <v>0</v>
      </c>
      <c r="K7" s="42">
        <f t="shared" si="2"/>
        <v>0</v>
      </c>
    </row>
    <row r="8" spans="1:11" x14ac:dyDescent="0.35">
      <c r="A8" s="47">
        <v>5</v>
      </c>
      <c r="B8" s="177" t="str">
        <f>Vendedor5!$B$2</f>
        <v>YOYO</v>
      </c>
      <c r="C8" s="179">
        <v>65650</v>
      </c>
      <c r="D8" s="30">
        <f t="shared" si="1"/>
        <v>0</v>
      </c>
      <c r="E8" s="179">
        <v>40750</v>
      </c>
      <c r="F8" s="30">
        <f t="shared" si="1"/>
        <v>0</v>
      </c>
      <c r="G8" s="179">
        <v>54250</v>
      </c>
      <c r="H8" s="30">
        <v>50</v>
      </c>
      <c r="J8" s="42">
        <f t="shared" si="0"/>
        <v>160650</v>
      </c>
      <c r="K8" s="42">
        <f t="shared" si="2"/>
        <v>50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1"/>
        <v/>
      </c>
      <c r="E9" s="179"/>
      <c r="F9" s="30" t="str">
        <f t="shared" si="1"/>
        <v/>
      </c>
      <c r="G9" s="179"/>
      <c r="H9" s="30" t="str">
        <f t="shared" si="1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59850+85650</f>
        <v>145500</v>
      </c>
      <c r="D10" s="30">
        <v>3000</v>
      </c>
      <c r="E10" s="179">
        <f>36950+76850</f>
        <v>113800</v>
      </c>
      <c r="F10" s="30">
        <f>2000+1600</f>
        <v>3600</v>
      </c>
      <c r="G10" s="179">
        <f>64000+101400</f>
        <v>165400</v>
      </c>
      <c r="H10" s="30">
        <v>500</v>
      </c>
      <c r="J10" s="42">
        <f t="shared" si="3"/>
        <v>424700</v>
      </c>
      <c r="K10" s="42">
        <f t="shared" si="2"/>
        <v>7100</v>
      </c>
    </row>
    <row r="11" spans="1:11" x14ac:dyDescent="0.35">
      <c r="A11" s="47">
        <v>8</v>
      </c>
      <c r="B11" s="177" t="str">
        <f>Vendedor8!$B$2</f>
        <v>ISA</v>
      </c>
      <c r="C11" s="179">
        <v>13500</v>
      </c>
      <c r="D11" s="30">
        <f t="shared" si="1"/>
        <v>0</v>
      </c>
      <c r="E11" s="179"/>
      <c r="F11" s="30" t="str">
        <f t="shared" si="1"/>
        <v/>
      </c>
      <c r="G11" s="179">
        <v>27500</v>
      </c>
      <c r="H11" s="30">
        <v>300</v>
      </c>
      <c r="J11" s="42">
        <f t="shared" si="3"/>
        <v>41000</v>
      </c>
      <c r="K11" s="42">
        <f t="shared" si="2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16100</v>
      </c>
      <c r="D12" s="30">
        <f t="shared" si="1"/>
        <v>0</v>
      </c>
      <c r="E12" s="179">
        <v>4100</v>
      </c>
      <c r="F12" s="30">
        <f t="shared" si="1"/>
        <v>0</v>
      </c>
      <c r="G12" s="179">
        <v>22900</v>
      </c>
      <c r="H12" s="30">
        <f t="shared" si="1"/>
        <v>0</v>
      </c>
      <c r="J12" s="42">
        <f t="shared" si="3"/>
        <v>43100</v>
      </c>
      <c r="K12" s="42">
        <f t="shared" si="2"/>
        <v>0</v>
      </c>
    </row>
    <row r="13" spans="1:11" x14ac:dyDescent="0.35">
      <c r="A13" s="47">
        <v>10</v>
      </c>
      <c r="B13" s="177" t="str">
        <f>Vendedor10!$B$2</f>
        <v>MARIALIZ</v>
      </c>
      <c r="C13" s="179">
        <v>47800</v>
      </c>
      <c r="D13" s="30">
        <f t="shared" si="1"/>
        <v>0</v>
      </c>
      <c r="E13" s="179">
        <v>35200</v>
      </c>
      <c r="F13" s="30">
        <v>100</v>
      </c>
      <c r="G13" s="179">
        <v>78750</v>
      </c>
      <c r="H13" s="30">
        <v>1300</v>
      </c>
      <c r="J13" s="42">
        <f t="shared" si="3"/>
        <v>161750</v>
      </c>
      <c r="K13" s="42">
        <f t="shared" si="2"/>
        <v>1400</v>
      </c>
    </row>
    <row r="14" spans="1:11" x14ac:dyDescent="0.35">
      <c r="A14" s="47">
        <v>11</v>
      </c>
      <c r="B14" s="177" t="str">
        <f>Vendedor11!$B$2</f>
        <v>CHARLY</v>
      </c>
      <c r="C14" s="179">
        <v>34150</v>
      </c>
      <c r="D14" s="30">
        <f t="shared" si="1"/>
        <v>0</v>
      </c>
      <c r="E14" s="179">
        <v>17300</v>
      </c>
      <c r="F14" s="30">
        <f t="shared" si="1"/>
        <v>0</v>
      </c>
      <c r="G14" s="179">
        <v>50000</v>
      </c>
      <c r="H14" s="30">
        <v>500</v>
      </c>
      <c r="J14" s="42">
        <f t="shared" si="3"/>
        <v>101450</v>
      </c>
      <c r="K14" s="42">
        <f t="shared" si="2"/>
        <v>500</v>
      </c>
    </row>
    <row r="15" spans="1:11" x14ac:dyDescent="0.35">
      <c r="A15" s="47">
        <v>12</v>
      </c>
      <c r="B15" s="177" t="str">
        <f>Vendedor12!$B$2</f>
        <v>LAURY</v>
      </c>
      <c r="C15" s="179"/>
      <c r="D15" s="30" t="str">
        <f t="shared" si="1"/>
        <v/>
      </c>
      <c r="E15" s="179"/>
      <c r="F15" s="30" t="str">
        <f t="shared" si="1"/>
        <v/>
      </c>
      <c r="G15" s="179"/>
      <c r="H15" s="30" t="str">
        <f t="shared" si="1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7" t="str">
        <f>Vendedor13!$B$2</f>
        <v>MINERO</v>
      </c>
      <c r="C16" s="179">
        <v>17400</v>
      </c>
      <c r="D16" s="30">
        <f t="shared" si="1"/>
        <v>0</v>
      </c>
      <c r="E16" s="179">
        <v>9900</v>
      </c>
      <c r="F16" s="30">
        <f t="shared" si="1"/>
        <v>0</v>
      </c>
      <c r="G16" s="179">
        <v>41500</v>
      </c>
      <c r="H16" s="30">
        <v>200</v>
      </c>
      <c r="J16" s="42">
        <f t="shared" si="3"/>
        <v>68800</v>
      </c>
      <c r="K16" s="42">
        <f t="shared" si="2"/>
        <v>200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f>75750+24850</f>
        <v>100600</v>
      </c>
      <c r="D17" s="30">
        <f>350+500</f>
        <v>850</v>
      </c>
      <c r="E17" s="179">
        <f>88800+12300</f>
        <v>101100</v>
      </c>
      <c r="F17" s="30">
        <f>500+0</f>
        <v>500</v>
      </c>
      <c r="G17" s="179">
        <f>167500+46600</f>
        <v>214100</v>
      </c>
      <c r="H17" s="30">
        <f>800+0</f>
        <v>800</v>
      </c>
      <c r="J17" s="42">
        <f t="shared" si="3"/>
        <v>415800</v>
      </c>
      <c r="K17" s="42">
        <f t="shared" si="2"/>
        <v>2150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f>49750+22550</f>
        <v>72300</v>
      </c>
      <c r="D18" s="30">
        <f t="shared" si="1"/>
        <v>0</v>
      </c>
      <c r="E18" s="179">
        <f>27750+19950</f>
        <v>47700</v>
      </c>
      <c r="F18" s="30">
        <f t="shared" si="1"/>
        <v>0</v>
      </c>
      <c r="G18" s="179">
        <f>40800+12250</f>
        <v>53050</v>
      </c>
      <c r="H18" s="30">
        <f>150+0</f>
        <v>150</v>
      </c>
      <c r="J18" s="42">
        <f t="shared" si="3"/>
        <v>173050</v>
      </c>
      <c r="K18" s="42">
        <f t="shared" si="2"/>
        <v>150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1"/>
        <v/>
      </c>
      <c r="E19" s="179"/>
      <c r="F19" s="30" t="str">
        <f t="shared" si="1"/>
        <v/>
      </c>
      <c r="G19" s="179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1"/>
        <v/>
      </c>
      <c r="E20" s="179"/>
      <c r="F20" s="30" t="str">
        <f t="shared" si="1"/>
        <v/>
      </c>
      <c r="G20" s="179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1"/>
        <v/>
      </c>
      <c r="E21" s="179"/>
      <c r="F21" s="30" t="str">
        <f t="shared" si="1"/>
        <v/>
      </c>
      <c r="G21" s="179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1"/>
        <v/>
      </c>
      <c r="E22" s="179"/>
      <c r="F22" s="30" t="str">
        <f t="shared" si="1"/>
        <v/>
      </c>
      <c r="G22" s="179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1"/>
        <v/>
      </c>
      <c r="E23" s="179"/>
      <c r="F23" s="30" t="str">
        <f t="shared" si="1"/>
        <v/>
      </c>
      <c r="G23" s="179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1"/>
        <v/>
      </c>
      <c r="E24" s="179"/>
      <c r="F24" s="30" t="str">
        <f t="shared" si="1"/>
        <v/>
      </c>
      <c r="G24" s="179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1"/>
        <v/>
      </c>
      <c r="E25" s="179"/>
      <c r="F25" s="30" t="str">
        <f t="shared" si="1"/>
        <v/>
      </c>
      <c r="G25" s="179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1"/>
        <v/>
      </c>
      <c r="E26" s="179"/>
      <c r="F26" s="30" t="str">
        <f t="shared" si="1"/>
        <v/>
      </c>
      <c r="G26" s="179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1"/>
        <v/>
      </c>
      <c r="E27" s="180"/>
      <c r="F27" s="50" t="str">
        <f t="shared" si="1"/>
        <v/>
      </c>
      <c r="G27" s="180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5">
        <v>26</v>
      </c>
      <c r="B28" s="178" t="str">
        <f>Vendedor26!$B$2</f>
        <v>Vendedor 26</v>
      </c>
      <c r="C28" s="178">
        <f>Vendedor26!$B$7</f>
        <v>0</v>
      </c>
      <c r="D28" s="178">
        <f>Vendedor26!$D$7</f>
        <v>0</v>
      </c>
      <c r="E28" s="178">
        <f>Vendedor26!$B$11</f>
        <v>0</v>
      </c>
      <c r="F28" s="178">
        <f>Vendedor26!$D$11</f>
        <v>0</v>
      </c>
      <c r="G28" s="178">
        <f>Vendedor26!$B$15</f>
        <v>0</v>
      </c>
      <c r="H28" s="178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616500</v>
      </c>
      <c r="D32" s="44">
        <f t="shared" si="6"/>
        <v>4100</v>
      </c>
      <c r="E32" s="43">
        <f t="shared" si="6"/>
        <v>426050</v>
      </c>
      <c r="F32" s="44">
        <f t="shared" si="6"/>
        <v>4400</v>
      </c>
      <c r="G32" s="43">
        <f t="shared" si="6"/>
        <v>909150</v>
      </c>
      <c r="H32" s="44">
        <f t="shared" si="6"/>
        <v>4850</v>
      </c>
      <c r="J32" s="95">
        <f>SUM(J4:J31)</f>
        <v>1951700</v>
      </c>
      <c r="K32" s="95"/>
    </row>
    <row r="33" spans="2:8" x14ac:dyDescent="0.35">
      <c r="D33" s="99">
        <f>+D32*85</f>
        <v>348500</v>
      </c>
      <c r="F33" s="99">
        <f>+F32*85</f>
        <v>374000</v>
      </c>
      <c r="H33" s="99">
        <f>+H32*85</f>
        <v>412250</v>
      </c>
    </row>
    <row r="34" spans="2:8" x14ac:dyDescent="0.35">
      <c r="B34" s="246" t="s">
        <v>149</v>
      </c>
      <c r="C34" s="43">
        <f t="shared" ref="C34:H34" si="7">+C4+C5+C6+C8+C13</f>
        <v>216950</v>
      </c>
      <c r="D34" s="43" t="e">
        <f t="shared" si="7"/>
        <v>#VALUE!</v>
      </c>
      <c r="E34" s="43">
        <f t="shared" si="7"/>
        <v>132150</v>
      </c>
      <c r="F34" s="43" t="e">
        <f t="shared" si="7"/>
        <v>#VALUE!</v>
      </c>
      <c r="G34" s="43">
        <f t="shared" si="7"/>
        <v>334700</v>
      </c>
      <c r="H34" s="43" t="e">
        <f t="shared" si="7"/>
        <v>#VALUE!</v>
      </c>
    </row>
    <row r="35" spans="2:8" x14ac:dyDescent="0.35">
      <c r="B35" s="246" t="s">
        <v>150</v>
      </c>
      <c r="C35" s="43">
        <f>+C11+C14+C15+C17+C18</f>
        <v>220550</v>
      </c>
      <c r="D35" s="43" t="e">
        <f t="shared" ref="D35:H35" si="8">+D11+D14+D15+D17+D18</f>
        <v>#VALUE!</v>
      </c>
      <c r="E35" s="43">
        <f t="shared" si="8"/>
        <v>166100</v>
      </c>
      <c r="F35" s="43" t="e">
        <f t="shared" si="8"/>
        <v>#VALUE!</v>
      </c>
      <c r="G35" s="43">
        <f t="shared" si="8"/>
        <v>344650</v>
      </c>
      <c r="H35" s="43" t="e">
        <f t="shared" si="8"/>
        <v>#VALUE!</v>
      </c>
    </row>
    <row r="36" spans="2:8" x14ac:dyDescent="0.35">
      <c r="B36" s="246" t="s">
        <v>151</v>
      </c>
      <c r="C36" s="43">
        <f>+C10+C12+C27</f>
        <v>161600</v>
      </c>
      <c r="D36" s="43" t="e">
        <f t="shared" ref="D36:H36" si="9">+D10+D12+D27</f>
        <v>#VALUE!</v>
      </c>
      <c r="E36" s="43">
        <f t="shared" si="9"/>
        <v>117900</v>
      </c>
      <c r="F36" s="43" t="e">
        <f t="shared" si="9"/>
        <v>#VALUE!</v>
      </c>
      <c r="G36" s="43">
        <f t="shared" si="9"/>
        <v>188300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5" sqref="I15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0" t="s">
        <v>23</v>
      </c>
      <c r="D1" s="271"/>
      <c r="E1" s="270" t="s">
        <v>24</v>
      </c>
      <c r="F1" s="271"/>
      <c r="G1" s="270" t="s">
        <v>25</v>
      </c>
      <c r="H1" s="271"/>
      <c r="I1" s="270" t="s">
        <v>26</v>
      </c>
      <c r="J1" s="271"/>
    </row>
    <row r="2" spans="1:13" ht="21" customHeight="1" x14ac:dyDescent="0.35">
      <c r="C2" s="266" t="str">
        <f>IF(PREMIOS!$B5="","",PREMIOS!$B5)</f>
        <v>01</v>
      </c>
      <c r="D2" s="267"/>
      <c r="E2" s="266">
        <f>IF(PREMIOS!$B9="","",PREMIOS!$B9)</f>
        <v>49</v>
      </c>
      <c r="F2" s="267"/>
      <c r="G2" s="266">
        <f>IF(PREMIOS!$B13="","",PREMIOS!$B13)</f>
        <v>30</v>
      </c>
      <c r="H2" s="267"/>
      <c r="I2" s="266">
        <f>IF(PREMIOS!$B17="","",PREMIOS!$B17)</f>
        <v>45</v>
      </c>
      <c r="J2" s="267"/>
    </row>
    <row r="3" spans="1:13" ht="21" customHeight="1" thickBot="1" x14ac:dyDescent="0.4">
      <c r="C3" s="266"/>
      <c r="D3" s="267"/>
      <c r="E3" s="266"/>
      <c r="F3" s="267"/>
      <c r="G3" s="266"/>
      <c r="H3" s="267"/>
      <c r="I3" s="266"/>
      <c r="J3" s="267"/>
      <c r="L3" s="39" t="s">
        <v>28</v>
      </c>
      <c r="M3" s="39" t="s">
        <v>30</v>
      </c>
    </row>
    <row r="4" spans="1:13" x14ac:dyDescent="0.35">
      <c r="A4" s="186">
        <v>1</v>
      </c>
      <c r="B4" s="187" t="str">
        <f>Vendedor1!$B$2</f>
        <v>VENTANA</v>
      </c>
      <c r="C4" s="188">
        <v>23300</v>
      </c>
      <c r="D4" s="78">
        <f t="shared" ref="D4:J27" si="0">IF(C4="","",0)</f>
        <v>0</v>
      </c>
      <c r="E4" s="205">
        <v>14000</v>
      </c>
      <c r="F4" s="78">
        <f t="shared" si="0"/>
        <v>0</v>
      </c>
      <c r="G4" s="188">
        <v>7900</v>
      </c>
      <c r="H4" s="78">
        <v>500</v>
      </c>
      <c r="I4" s="188">
        <v>500</v>
      </c>
      <c r="J4" s="78">
        <f t="shared" si="0"/>
        <v>0</v>
      </c>
      <c r="L4" s="42">
        <f t="shared" ref="L4:L8" si="1">+C4+E4+G4+I4</f>
        <v>45700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7" t="str">
        <f>Vendedor2!$B$2</f>
        <v>PUESTO 2</v>
      </c>
      <c r="C5" s="179">
        <v>26600</v>
      </c>
      <c r="D5" s="30">
        <v>500</v>
      </c>
      <c r="E5" s="206">
        <v>3500</v>
      </c>
      <c r="F5" s="30">
        <f t="shared" si="0"/>
        <v>0</v>
      </c>
      <c r="G5" s="179">
        <v>700</v>
      </c>
      <c r="H5" s="30">
        <f t="shared" ref="H5:H27" si="2">IF(G5="","",0)</f>
        <v>0</v>
      </c>
      <c r="I5" s="179"/>
      <c r="J5" s="30" t="str">
        <f t="shared" ref="J5:J27" si="3">IF(I5="","",0)</f>
        <v/>
      </c>
      <c r="L5" s="42">
        <f t="shared" si="1"/>
        <v>30800</v>
      </c>
      <c r="M5" s="42">
        <f t="shared" ref="M5:M27" si="4">IF(D5=0,0,IF(F5="",D5,IF(H5="",D5+F5,IF(J5="",D5+F5+H5,D5+F5+H5+J5))))</f>
        <v>500</v>
      </c>
    </row>
    <row r="6" spans="1:13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206"/>
      <c r="F6" s="30" t="str">
        <f t="shared" si="0"/>
        <v/>
      </c>
      <c r="G6" s="179"/>
      <c r="H6" s="30" t="str">
        <f t="shared" si="2"/>
        <v/>
      </c>
      <c r="I6" s="179"/>
      <c r="J6" s="30" t="str">
        <f t="shared" si="3"/>
        <v/>
      </c>
      <c r="L6" s="42">
        <f t="shared" si="1"/>
        <v>0</v>
      </c>
      <c r="M6" s="42" t="str">
        <f t="shared" si="4"/>
        <v/>
      </c>
    </row>
    <row r="7" spans="1:13" x14ac:dyDescent="0.35">
      <c r="A7" s="47">
        <v>4</v>
      </c>
      <c r="B7" s="177" t="str">
        <f>Vendedor4!$B$2</f>
        <v>Nuevo 2</v>
      </c>
      <c r="C7" s="179"/>
      <c r="D7" s="30" t="str">
        <f t="shared" si="0"/>
        <v/>
      </c>
      <c r="E7" s="206"/>
      <c r="F7" s="30" t="str">
        <f t="shared" si="0"/>
        <v/>
      </c>
      <c r="G7" s="179"/>
      <c r="H7" s="30" t="str">
        <f t="shared" si="2"/>
        <v/>
      </c>
      <c r="I7" s="179"/>
      <c r="J7" s="30" t="str">
        <f t="shared" si="0"/>
        <v/>
      </c>
      <c r="L7" s="42">
        <f t="shared" si="1"/>
        <v>0</v>
      </c>
      <c r="M7" s="42" t="str">
        <f t="shared" si="4"/>
        <v/>
      </c>
    </row>
    <row r="8" spans="1:13" x14ac:dyDescent="0.35">
      <c r="A8" s="47">
        <v>5</v>
      </c>
      <c r="B8" s="177" t="str">
        <f>Vendedor5!$B$2</f>
        <v>YOYO</v>
      </c>
      <c r="C8" s="179">
        <v>70950</v>
      </c>
      <c r="D8" s="30">
        <v>550</v>
      </c>
      <c r="E8" s="206">
        <v>67350</v>
      </c>
      <c r="F8" s="30">
        <f t="shared" si="0"/>
        <v>0</v>
      </c>
      <c r="G8" s="179">
        <v>9950</v>
      </c>
      <c r="H8" s="30">
        <f t="shared" si="2"/>
        <v>0</v>
      </c>
      <c r="I8" s="179">
        <v>21450</v>
      </c>
      <c r="J8" s="30">
        <f t="shared" si="0"/>
        <v>0</v>
      </c>
      <c r="L8" s="42">
        <f t="shared" si="1"/>
        <v>169700</v>
      </c>
      <c r="M8" s="42">
        <f t="shared" si="4"/>
        <v>550</v>
      </c>
    </row>
    <row r="9" spans="1:13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206"/>
      <c r="F9" s="30" t="str">
        <f t="shared" si="0"/>
        <v/>
      </c>
      <c r="G9" s="179"/>
      <c r="H9" s="30" t="str">
        <f t="shared" si="2"/>
        <v/>
      </c>
      <c r="I9" s="179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7" t="str">
        <f>Vendedor7!$B$2</f>
        <v>PIKIS</v>
      </c>
      <c r="C10" s="179">
        <f>40200+86200</f>
        <v>126400</v>
      </c>
      <c r="D10" s="30">
        <v>750</v>
      </c>
      <c r="E10" s="206">
        <f>48400+41850</f>
        <v>90250</v>
      </c>
      <c r="F10" s="30">
        <v>150</v>
      </c>
      <c r="G10" s="179">
        <f>29950+41150</f>
        <v>71100</v>
      </c>
      <c r="H10" s="30">
        <f>2300+200</f>
        <v>2500</v>
      </c>
      <c r="I10" s="179">
        <f>58850+74000</f>
        <v>132850</v>
      </c>
      <c r="J10" s="30">
        <v>500</v>
      </c>
      <c r="L10" s="42">
        <f t="shared" si="5"/>
        <v>420600</v>
      </c>
      <c r="M10" s="42">
        <f t="shared" si="4"/>
        <v>3900</v>
      </c>
    </row>
    <row r="11" spans="1:13" x14ac:dyDescent="0.35">
      <c r="A11" s="47">
        <v>8</v>
      </c>
      <c r="B11" s="177" t="str">
        <f>Vendedor8!$B$2</f>
        <v>ISA</v>
      </c>
      <c r="C11" s="179"/>
      <c r="D11" s="30" t="str">
        <f t="shared" si="0"/>
        <v/>
      </c>
      <c r="E11" s="206"/>
      <c r="F11" s="30" t="str">
        <f t="shared" si="0"/>
        <v/>
      </c>
      <c r="G11" s="179"/>
      <c r="H11" s="30" t="str">
        <f t="shared" si="0"/>
        <v/>
      </c>
      <c r="I11" s="179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7" t="str">
        <f>Vendedor9!$B$2</f>
        <v>JUAN FELIX</v>
      </c>
      <c r="C12" s="179">
        <v>14850</v>
      </c>
      <c r="D12" s="30">
        <f t="shared" si="0"/>
        <v>0</v>
      </c>
      <c r="E12" s="206">
        <v>13700</v>
      </c>
      <c r="F12" s="30">
        <f t="shared" si="0"/>
        <v>0</v>
      </c>
      <c r="G12" s="179"/>
      <c r="H12" s="30" t="str">
        <f t="shared" si="0"/>
        <v/>
      </c>
      <c r="I12" s="179"/>
      <c r="J12" s="30" t="str">
        <f t="shared" si="0"/>
        <v/>
      </c>
      <c r="L12" s="42">
        <f t="shared" si="5"/>
        <v>28550</v>
      </c>
      <c r="M12" s="42">
        <f t="shared" si="4"/>
        <v>0</v>
      </c>
    </row>
    <row r="13" spans="1:13" x14ac:dyDescent="0.35">
      <c r="A13" s="47">
        <v>10</v>
      </c>
      <c r="B13" s="177" t="str">
        <f>Vendedor10!$B$2</f>
        <v>MARIALIZ</v>
      </c>
      <c r="C13" s="179">
        <v>31100</v>
      </c>
      <c r="D13" s="30">
        <v>900</v>
      </c>
      <c r="E13" s="206">
        <v>26700</v>
      </c>
      <c r="F13" s="30">
        <f t="shared" si="0"/>
        <v>0</v>
      </c>
      <c r="G13" s="179">
        <v>28900</v>
      </c>
      <c r="H13" s="30">
        <f t="shared" si="0"/>
        <v>0</v>
      </c>
      <c r="I13" s="179">
        <v>600</v>
      </c>
      <c r="J13" s="30">
        <f t="shared" si="0"/>
        <v>0</v>
      </c>
      <c r="L13" s="42">
        <f t="shared" si="5"/>
        <v>87300</v>
      </c>
      <c r="M13" s="42">
        <f t="shared" si="4"/>
        <v>900</v>
      </c>
    </row>
    <row r="14" spans="1:13" x14ac:dyDescent="0.35">
      <c r="A14" s="189">
        <v>11</v>
      </c>
      <c r="B14" s="182" t="str">
        <f>Vendedor11!$B$2</f>
        <v>CHARLY</v>
      </c>
      <c r="C14" s="183"/>
      <c r="D14" s="184" t="str">
        <f t="shared" si="0"/>
        <v/>
      </c>
      <c r="E14" s="207"/>
      <c r="F14" s="184" t="str">
        <f t="shared" si="0"/>
        <v/>
      </c>
      <c r="G14" s="183"/>
      <c r="H14" s="184" t="str">
        <f t="shared" si="0"/>
        <v/>
      </c>
      <c r="I14" s="183"/>
      <c r="J14" s="184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7" t="str">
        <f>Vendedor12!$B$2</f>
        <v>LAURY</v>
      </c>
      <c r="C15" s="179"/>
      <c r="D15" s="30" t="str">
        <f t="shared" si="0"/>
        <v/>
      </c>
      <c r="E15" s="206"/>
      <c r="F15" s="30" t="str">
        <f t="shared" si="0"/>
        <v/>
      </c>
      <c r="G15" s="179"/>
      <c r="H15" s="30" t="str">
        <f t="shared" si="0"/>
        <v/>
      </c>
      <c r="I15" s="179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7" t="str">
        <f>Vendedor13!$B$2</f>
        <v>MINERO</v>
      </c>
      <c r="C16" s="179">
        <v>3500</v>
      </c>
      <c r="D16" s="30">
        <f t="shared" si="0"/>
        <v>0</v>
      </c>
      <c r="E16" s="206">
        <v>1500</v>
      </c>
      <c r="F16" s="30">
        <f t="shared" si="0"/>
        <v>0</v>
      </c>
      <c r="G16" s="179">
        <v>15550</v>
      </c>
      <c r="H16" s="30">
        <v>100</v>
      </c>
      <c r="I16" s="179">
        <v>21900</v>
      </c>
      <c r="J16" s="30">
        <f t="shared" si="0"/>
        <v>0</v>
      </c>
      <c r="L16" s="42">
        <f t="shared" si="5"/>
        <v>42450</v>
      </c>
      <c r="M16" s="42">
        <f t="shared" si="4"/>
        <v>0</v>
      </c>
    </row>
    <row r="17" spans="1:13" x14ac:dyDescent="0.35">
      <c r="A17" s="47">
        <v>14</v>
      </c>
      <c r="B17" s="177" t="str">
        <f>Vendedor14!$B$2</f>
        <v>EDUARDO TIEMPOS LICORERA</v>
      </c>
      <c r="C17" s="179">
        <v>85700</v>
      </c>
      <c r="D17" s="30">
        <v>400</v>
      </c>
      <c r="E17" s="206">
        <v>56600</v>
      </c>
      <c r="F17" s="30">
        <v>500</v>
      </c>
      <c r="G17" s="179">
        <v>42350</v>
      </c>
      <c r="H17" s="30">
        <v>450</v>
      </c>
      <c r="I17" s="179">
        <v>117600</v>
      </c>
      <c r="J17" s="30">
        <v>300</v>
      </c>
      <c r="L17" s="42">
        <f t="shared" si="5"/>
        <v>302250</v>
      </c>
      <c r="M17" s="42">
        <f t="shared" si="4"/>
        <v>1650</v>
      </c>
    </row>
    <row r="18" spans="1:13" x14ac:dyDescent="0.35">
      <c r="A18" s="47">
        <v>15</v>
      </c>
      <c r="B18" s="177" t="str">
        <f>Vendedor15!$B$2</f>
        <v>EDUARDO PUESTO CENTRO</v>
      </c>
      <c r="C18" s="179">
        <v>52800</v>
      </c>
      <c r="D18" s="30">
        <v>800</v>
      </c>
      <c r="E18" s="206">
        <v>48350</v>
      </c>
      <c r="F18" s="30">
        <v>150</v>
      </c>
      <c r="G18" s="179">
        <v>8800</v>
      </c>
      <c r="H18" s="30">
        <f t="shared" si="0"/>
        <v>0</v>
      </c>
      <c r="I18" s="179">
        <v>2400</v>
      </c>
      <c r="J18" s="30">
        <f t="shared" si="3"/>
        <v>0</v>
      </c>
      <c r="L18" s="42">
        <f t="shared" si="5"/>
        <v>112350</v>
      </c>
      <c r="M18" s="42">
        <f t="shared" si="4"/>
        <v>950</v>
      </c>
    </row>
    <row r="19" spans="1:13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206"/>
      <c r="F19" s="30" t="str">
        <f t="shared" si="0"/>
        <v/>
      </c>
      <c r="G19" s="179"/>
      <c r="H19" s="30" t="str">
        <f t="shared" si="2"/>
        <v/>
      </c>
      <c r="I19" s="179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206"/>
      <c r="F20" s="30" t="str">
        <f t="shared" si="0"/>
        <v/>
      </c>
      <c r="G20" s="179"/>
      <c r="H20" s="30" t="str">
        <f t="shared" si="2"/>
        <v/>
      </c>
      <c r="I20" s="179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206"/>
      <c r="F21" s="30" t="str">
        <f t="shared" si="0"/>
        <v/>
      </c>
      <c r="G21" s="179"/>
      <c r="H21" s="30" t="str">
        <f t="shared" si="2"/>
        <v/>
      </c>
      <c r="I21" s="179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206"/>
      <c r="F22" s="30" t="str">
        <f t="shared" si="0"/>
        <v/>
      </c>
      <c r="G22" s="179"/>
      <c r="H22" s="30" t="str">
        <f t="shared" si="2"/>
        <v/>
      </c>
      <c r="I22" s="179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206"/>
      <c r="F23" s="30" t="str">
        <f t="shared" si="0"/>
        <v/>
      </c>
      <c r="G23" s="179"/>
      <c r="H23" s="30" t="str">
        <f t="shared" si="2"/>
        <v/>
      </c>
      <c r="I23" s="179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206"/>
      <c r="F24" s="30" t="str">
        <f t="shared" si="0"/>
        <v/>
      </c>
      <c r="G24" s="179"/>
      <c r="H24" s="30" t="str">
        <f t="shared" si="2"/>
        <v/>
      </c>
      <c r="I24" s="179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206"/>
      <c r="F25" s="30" t="str">
        <f t="shared" si="0"/>
        <v/>
      </c>
      <c r="G25" s="179"/>
      <c r="H25" s="30" t="str">
        <f t="shared" si="2"/>
        <v/>
      </c>
      <c r="I25" s="179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206"/>
      <c r="F26" s="30" t="str">
        <f t="shared" si="0"/>
        <v/>
      </c>
      <c r="G26" s="179"/>
      <c r="H26" s="30" t="str">
        <f t="shared" si="2"/>
        <v/>
      </c>
      <c r="I26" s="179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208"/>
      <c r="F27" s="50"/>
      <c r="G27" s="180"/>
      <c r="H27" s="50" t="str">
        <f t="shared" si="2"/>
        <v/>
      </c>
      <c r="I27" s="180"/>
      <c r="J27" s="50" t="str">
        <f t="shared" si="3"/>
        <v/>
      </c>
      <c r="L27" s="42">
        <f t="shared" si="5"/>
        <v>0</v>
      </c>
      <c r="M27" s="42" t="str">
        <f t="shared" si="4"/>
        <v/>
      </c>
    </row>
    <row r="28" spans="1:13" hidden="1" x14ac:dyDescent="0.35">
      <c r="A28" s="185">
        <v>26</v>
      </c>
      <c r="B28" s="178" t="str">
        <f>Vendedor26!$B$2</f>
        <v>Vendedor 26</v>
      </c>
      <c r="C28" s="178">
        <f>Vendedor26!$B$5</f>
        <v>0</v>
      </c>
      <c r="D28" s="178">
        <f>Vendedor26!$D$5</f>
        <v>0</v>
      </c>
      <c r="E28" s="178">
        <f>Vendedor26!$B$9</f>
        <v>0</v>
      </c>
      <c r="F28" s="178">
        <f>Vendedor26!$D$9</f>
        <v>0</v>
      </c>
      <c r="G28" s="178">
        <f>Vendedor26!$B$13</f>
        <v>0</v>
      </c>
      <c r="H28" s="178">
        <f>Vendedor26!$D$13</f>
        <v>0</v>
      </c>
      <c r="I28" s="178">
        <f>Vendedor26!$B$17</f>
        <v>0</v>
      </c>
      <c r="J28" s="178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435200</v>
      </c>
      <c r="D32" s="44">
        <f t="shared" si="7"/>
        <v>3900</v>
      </c>
      <c r="E32" s="43">
        <f t="shared" si="7"/>
        <v>321950</v>
      </c>
      <c r="F32" s="44">
        <f t="shared" si="7"/>
        <v>800</v>
      </c>
      <c r="G32" s="43">
        <f t="shared" si="7"/>
        <v>185250</v>
      </c>
      <c r="H32" s="44">
        <f t="shared" si="7"/>
        <v>3550</v>
      </c>
      <c r="I32" s="43">
        <f t="shared" si="7"/>
        <v>297300</v>
      </c>
      <c r="J32" s="44">
        <f t="shared" si="7"/>
        <v>800</v>
      </c>
      <c r="L32" s="95">
        <f>SUM(L9:L31)</f>
        <v>993500</v>
      </c>
      <c r="M32" s="95">
        <f>SUM(M9:M31)</f>
        <v>7400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E10" sqref="E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71</v>
      </c>
      <c r="D1" s="271"/>
      <c r="E1" s="270" t="s">
        <v>72</v>
      </c>
      <c r="F1" s="271"/>
      <c r="G1" s="270" t="s">
        <v>73</v>
      </c>
      <c r="H1" s="271"/>
    </row>
    <row r="2" spans="1:11" ht="21" customHeight="1" x14ac:dyDescent="0.35">
      <c r="C2" s="266" t="str">
        <f>IF(C33=0,"",CONCATENATE(PREMIOS!$B7," ",PREMIOS!$B8))</f>
        <v>47 Blanca</v>
      </c>
      <c r="D2" s="267"/>
      <c r="E2" s="266" t="str">
        <f>IF(E33=0,"",CONCATENATE(PREMIOS!$B11," ",PREMIOS!$B12))</f>
        <v>46 Roja</v>
      </c>
      <c r="F2" s="267"/>
      <c r="G2" s="266" t="str">
        <f>IF(G33=0,"",CONCATENATE(PREMIOS!$B15," ",PREMIOS!$B16))</f>
        <v>81 Blanca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209"/>
      <c r="D4" s="210" t="str">
        <f t="shared" ref="D4:H26" si="0">IF(C4="","",0)</f>
        <v/>
      </c>
      <c r="E4" s="209"/>
      <c r="F4" s="210" t="str">
        <f t="shared" ref="F4:F27" si="1">IF(E4="","",0)</f>
        <v/>
      </c>
      <c r="G4" s="209"/>
      <c r="H4" s="210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211"/>
      <c r="D5" s="212" t="str">
        <f t="shared" si="0"/>
        <v/>
      </c>
      <c r="E5" s="211"/>
      <c r="F5" s="212" t="str">
        <f t="shared" si="1"/>
        <v/>
      </c>
      <c r="G5" s="211"/>
      <c r="H5" s="212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211"/>
      <c r="D6" s="212" t="str">
        <f t="shared" si="0"/>
        <v/>
      </c>
      <c r="E6" s="211"/>
      <c r="F6" s="212" t="str">
        <f t="shared" si="1"/>
        <v/>
      </c>
      <c r="G6" s="211"/>
      <c r="H6" s="212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211"/>
      <c r="D7" s="212" t="str">
        <f t="shared" si="0"/>
        <v/>
      </c>
      <c r="E7" s="211"/>
      <c r="F7" s="212" t="str">
        <f t="shared" si="1"/>
        <v/>
      </c>
      <c r="G7" s="211"/>
      <c r="H7" s="212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211"/>
      <c r="D8" s="212" t="str">
        <f t="shared" si="0"/>
        <v/>
      </c>
      <c r="E8" s="211"/>
      <c r="F8" s="212" t="str">
        <f t="shared" si="1"/>
        <v/>
      </c>
      <c r="G8" s="211"/>
      <c r="H8" s="212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79"/>
      <c r="D9" s="30" t="str">
        <f t="shared" si="0"/>
        <v/>
      </c>
      <c r="E9" s="179"/>
      <c r="F9" s="30" t="str">
        <f t="shared" si="1"/>
        <v/>
      </c>
      <c r="G9" s="179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f>25200+5050</f>
        <v>30250</v>
      </c>
      <c r="D10" s="30">
        <f t="shared" si="0"/>
        <v>0</v>
      </c>
      <c r="E10" s="179">
        <f>17150+1000</f>
        <v>18150</v>
      </c>
      <c r="F10" s="30">
        <f>2000+0</f>
        <v>2000</v>
      </c>
      <c r="G10" s="179">
        <f>31000+7250</f>
        <v>38250</v>
      </c>
      <c r="H10" s="30">
        <f t="shared" si="0"/>
        <v>0</v>
      </c>
      <c r="J10" s="42">
        <f t="shared" si="3"/>
        <v>86650</v>
      </c>
      <c r="K10" s="42">
        <f t="shared" si="4"/>
        <v>2000</v>
      </c>
    </row>
    <row r="11" spans="1:11" x14ac:dyDescent="0.35">
      <c r="A11" s="47">
        <v>8</v>
      </c>
      <c r="B11" s="177" t="str">
        <f>Vendedor8!$B$2</f>
        <v>ISA</v>
      </c>
      <c r="C11" s="211"/>
      <c r="D11" s="212" t="str">
        <f t="shared" si="0"/>
        <v/>
      </c>
      <c r="E11" s="211"/>
      <c r="F11" s="212" t="str">
        <f t="shared" si="1"/>
        <v/>
      </c>
      <c r="G11" s="211"/>
      <c r="H11" s="212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79">
        <v>1000</v>
      </c>
      <c r="D12" s="30">
        <f t="shared" si="0"/>
        <v>0</v>
      </c>
      <c r="E12" s="179"/>
      <c r="F12" s="30" t="str">
        <f t="shared" si="1"/>
        <v/>
      </c>
      <c r="G12" s="179"/>
      <c r="H12" s="30" t="str">
        <f t="shared" si="0"/>
        <v/>
      </c>
      <c r="J12" s="42">
        <f t="shared" si="3"/>
        <v>1000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211"/>
      <c r="D13" s="212" t="str">
        <f t="shared" si="0"/>
        <v/>
      </c>
      <c r="E13" s="211"/>
      <c r="F13" s="212" t="str">
        <f t="shared" si="1"/>
        <v/>
      </c>
      <c r="G13" s="211"/>
      <c r="H13" s="212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211"/>
      <c r="D14" s="212" t="str">
        <f t="shared" si="0"/>
        <v/>
      </c>
      <c r="E14" s="211"/>
      <c r="F14" s="212" t="str">
        <f t="shared" si="1"/>
        <v/>
      </c>
      <c r="G14" s="211"/>
      <c r="H14" s="212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211"/>
      <c r="D15" s="212" t="str">
        <f t="shared" si="0"/>
        <v/>
      </c>
      <c r="E15" s="211"/>
      <c r="F15" s="212" t="str">
        <f t="shared" si="1"/>
        <v/>
      </c>
      <c r="G15" s="211"/>
      <c r="H15" s="212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>
        <v>4000</v>
      </c>
      <c r="D16" s="194">
        <f t="shared" si="0"/>
        <v>0</v>
      </c>
      <c r="E16" s="193">
        <v>1000</v>
      </c>
      <c r="F16" s="194">
        <f t="shared" si="1"/>
        <v>0</v>
      </c>
      <c r="G16" s="193">
        <v>2000</v>
      </c>
      <c r="H16" s="194">
        <f t="shared" si="0"/>
        <v>0</v>
      </c>
      <c r="J16" s="42">
        <f t="shared" si="3"/>
        <v>7000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79">
        <v>19700</v>
      </c>
      <c r="D17" s="30">
        <v>500</v>
      </c>
      <c r="E17" s="179">
        <v>12000</v>
      </c>
      <c r="F17" s="30">
        <f t="shared" si="0"/>
        <v>0</v>
      </c>
      <c r="G17" s="179">
        <v>34550</v>
      </c>
      <c r="H17" s="30">
        <f t="shared" si="0"/>
        <v>0</v>
      </c>
      <c r="J17" s="42">
        <f t="shared" si="3"/>
        <v>66250</v>
      </c>
      <c r="K17" s="42">
        <f t="shared" si="4"/>
        <v>500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20250</v>
      </c>
      <c r="D18" s="30">
        <f t="shared" si="0"/>
        <v>0</v>
      </c>
      <c r="E18" s="179">
        <v>18950</v>
      </c>
      <c r="F18" s="30">
        <f t="shared" si="0"/>
        <v>0</v>
      </c>
      <c r="G18" s="179">
        <v>9150</v>
      </c>
      <c r="H18" s="30">
        <f t="shared" si="0"/>
        <v>0</v>
      </c>
      <c r="J18" s="42">
        <f t="shared" si="3"/>
        <v>48350</v>
      </c>
      <c r="K18" s="42">
        <f t="shared" si="4"/>
        <v>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ref="D27" si="5">IF(C27="","",0)</f>
        <v/>
      </c>
      <c r="E27" s="180"/>
      <c r="F27" s="50" t="str">
        <f t="shared" si="1"/>
        <v/>
      </c>
      <c r="G27" s="180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75200</v>
      </c>
      <c r="D33" s="44">
        <f t="shared" si="7"/>
        <v>500</v>
      </c>
      <c r="E33" s="43">
        <f t="shared" si="7"/>
        <v>50100</v>
      </c>
      <c r="F33" s="44">
        <f t="shared" si="7"/>
        <v>2000</v>
      </c>
      <c r="G33" s="43">
        <f t="shared" si="7"/>
        <v>83950</v>
      </c>
      <c r="H33" s="44">
        <f t="shared" si="7"/>
        <v>0</v>
      </c>
      <c r="J33" s="45">
        <f>SUM(J4:J32)</f>
        <v>209250</v>
      </c>
      <c r="K33" s="95">
        <f>SUM(K4:K32)</f>
        <v>2500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97</v>
      </c>
      <c r="D1" s="271"/>
      <c r="E1" s="270" t="s">
        <v>98</v>
      </c>
      <c r="F1" s="271"/>
    </row>
    <row r="2" spans="1:9" ht="21" customHeight="1" x14ac:dyDescent="0.35">
      <c r="C2" s="266">
        <f>IF(PREMIOS!$B19="","",PREMIOS!$B19)</f>
        <v>65</v>
      </c>
      <c r="D2" s="267"/>
      <c r="E2" s="266">
        <f>IF(PREMIOS!$C19="","",PREMIOS!$C19)</f>
        <v>70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88">
        <v>6550</v>
      </c>
      <c r="D4" s="78">
        <f t="shared" ref="D4:F27" si="0">IF(C4="","",0)</f>
        <v>0</v>
      </c>
      <c r="E4" s="188">
        <v>1000</v>
      </c>
      <c r="F4" s="78">
        <f t="shared" si="0"/>
        <v>0</v>
      </c>
      <c r="H4" s="42">
        <f>+C4+E4</f>
        <v>7550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79">
        <v>2300</v>
      </c>
      <c r="D5" s="30">
        <f t="shared" si="0"/>
        <v>0</v>
      </c>
      <c r="E5" s="179"/>
      <c r="F5" s="30" t="str">
        <f t="shared" ref="F5:F27" si="1">IF(E5="","",0)</f>
        <v/>
      </c>
      <c r="H5" s="42">
        <f t="shared" ref="H5:H32" si="2">+C5+E5</f>
        <v>2300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79"/>
      <c r="D6" s="30" t="str">
        <f t="shared" si="0"/>
        <v/>
      </c>
      <c r="E6" s="179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3">
        <v>47200</v>
      </c>
      <c r="D8" s="30">
        <f t="shared" si="0"/>
        <v>0</v>
      </c>
      <c r="E8" s="193">
        <v>25750</v>
      </c>
      <c r="F8" s="194">
        <f t="shared" si="1"/>
        <v>0</v>
      </c>
      <c r="H8" s="42">
        <f t="shared" si="2"/>
        <v>72950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3"/>
      <c r="D9" s="30" t="str">
        <f t="shared" si="0"/>
        <v/>
      </c>
      <c r="E9" s="193"/>
      <c r="F9" s="194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35300</v>
      </c>
      <c r="D10" s="30">
        <f t="shared" si="0"/>
        <v>0</v>
      </c>
      <c r="E10" s="179">
        <f>10000+9450</f>
        <v>19450</v>
      </c>
      <c r="F10" s="194">
        <f t="shared" si="1"/>
        <v>0</v>
      </c>
      <c r="H10" s="42">
        <f t="shared" si="2"/>
        <v>54750</v>
      </c>
      <c r="I10" s="42">
        <f t="shared" si="3"/>
        <v>0</v>
      </c>
    </row>
    <row r="11" spans="1:9" x14ac:dyDescent="0.35">
      <c r="A11" s="47">
        <v>8</v>
      </c>
      <c r="B11" s="177" t="str">
        <f>Vendedor8!$B$2</f>
        <v>ISA</v>
      </c>
      <c r="C11" s="193"/>
      <c r="D11" s="30" t="str">
        <f t="shared" si="0"/>
        <v/>
      </c>
      <c r="E11" s="193"/>
      <c r="F11" s="194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3">
        <v>16650</v>
      </c>
      <c r="D12" s="30">
        <f t="shared" si="0"/>
        <v>0</v>
      </c>
      <c r="E12" s="193"/>
      <c r="F12" s="30" t="str">
        <f t="shared" si="0"/>
        <v/>
      </c>
      <c r="H12" s="42">
        <f t="shared" si="2"/>
        <v>16650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3">
        <v>2000</v>
      </c>
      <c r="D16" s="194">
        <f t="shared" si="0"/>
        <v>0</v>
      </c>
      <c r="E16" s="193"/>
      <c r="F16" s="194" t="str">
        <f t="shared" si="0"/>
        <v/>
      </c>
      <c r="H16" s="42">
        <f t="shared" si="2"/>
        <v>2000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>
        <v>65750</v>
      </c>
      <c r="D17" s="194">
        <f t="shared" si="0"/>
        <v>0</v>
      </c>
      <c r="E17" s="179">
        <v>23600</v>
      </c>
      <c r="F17" s="30">
        <v>100</v>
      </c>
      <c r="H17" s="42">
        <f t="shared" si="2"/>
        <v>89350</v>
      </c>
      <c r="I17" s="42">
        <f t="shared" si="3"/>
        <v>100</v>
      </c>
    </row>
    <row r="18" spans="1:9" x14ac:dyDescent="0.35">
      <c r="A18" s="47">
        <v>15</v>
      </c>
      <c r="B18" s="177" t="str">
        <f>Vendedor15!$B$2</f>
        <v>EDUARDO PUESTO CENTRO</v>
      </c>
      <c r="C18" s="179">
        <v>48550</v>
      </c>
      <c r="D18" s="194">
        <v>150</v>
      </c>
      <c r="E18" s="179">
        <v>42550</v>
      </c>
      <c r="F18" s="30">
        <f t="shared" si="0"/>
        <v>0</v>
      </c>
      <c r="H18" s="42">
        <f t="shared" si="2"/>
        <v>91100</v>
      </c>
      <c r="I18" s="42">
        <f t="shared" si="3"/>
        <v>150</v>
      </c>
    </row>
    <row r="19" spans="1:9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224300</v>
      </c>
      <c r="D33" s="44">
        <f>SUM(D4:D32)</f>
        <v>150</v>
      </c>
      <c r="E33" s="43">
        <f>SUM(E4:E32)</f>
        <v>112350</v>
      </c>
      <c r="F33" s="44">
        <f>SUM(F4:F32)</f>
        <v>100</v>
      </c>
      <c r="H33" s="95">
        <f>SUM(H4:H32)</f>
        <v>336650</v>
      </c>
      <c r="I33" s="95">
        <f>SUM(I4:I32)</f>
        <v>250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0" t="s">
        <v>99</v>
      </c>
      <c r="D1" s="271"/>
      <c r="E1" s="270" t="s">
        <v>100</v>
      </c>
      <c r="F1" s="271"/>
      <c r="G1" s="270" t="s">
        <v>101</v>
      </c>
      <c r="H1" s="271"/>
    </row>
    <row r="2" spans="1:11" ht="21" customHeight="1" x14ac:dyDescent="0.35">
      <c r="C2" s="266">
        <f>IF(PREMIOS!$B20="","",PREMIOS!$B20)</f>
        <v>87</v>
      </c>
      <c r="D2" s="267"/>
      <c r="E2" s="266">
        <f>IF(PREMIOS!$C20="","",PREMIOS!$C20)</f>
        <v>59</v>
      </c>
      <c r="F2" s="267"/>
      <c r="G2" s="266">
        <f>IF(PREMIOS!$D20="","",PREMIOS!$D20)</f>
        <v>92</v>
      </c>
      <c r="H2" s="267"/>
    </row>
    <row r="3" spans="1:11" ht="21" customHeight="1" thickBot="1" x14ac:dyDescent="0.4">
      <c r="C3" s="266"/>
      <c r="D3" s="267"/>
      <c r="E3" s="266"/>
      <c r="F3" s="267"/>
      <c r="G3" s="266"/>
      <c r="H3" s="267"/>
      <c r="J3" s="39" t="s">
        <v>28</v>
      </c>
      <c r="K3" s="39" t="s">
        <v>77</v>
      </c>
    </row>
    <row r="4" spans="1:11" x14ac:dyDescent="0.35">
      <c r="A4" s="186">
        <v>1</v>
      </c>
      <c r="B4" s="187" t="str">
        <f>Vendedor1!$B$2</f>
        <v>VENTANA</v>
      </c>
      <c r="C4" s="196"/>
      <c r="D4" s="197" t="str">
        <f t="shared" ref="D4:H27" si="0">IF(C4="","",0)</f>
        <v/>
      </c>
      <c r="E4" s="196"/>
      <c r="F4" s="197" t="str">
        <f t="shared" ref="F4:F27" si="1">IF(E4="","",0)</f>
        <v/>
      </c>
      <c r="G4" s="196"/>
      <c r="H4" s="197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G5" s="192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G6" s="192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G7" s="192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G8" s="192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G9" s="192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7" t="str">
        <f>Vendedor7!$B$2</f>
        <v>PIKIS</v>
      </c>
      <c r="C10" s="179">
        <v>4600</v>
      </c>
      <c r="D10" s="194">
        <f t="shared" si="0"/>
        <v>0</v>
      </c>
      <c r="E10" s="179"/>
      <c r="F10" s="30" t="str">
        <f t="shared" si="0"/>
        <v/>
      </c>
      <c r="G10" s="179">
        <v>30350</v>
      </c>
      <c r="H10" s="194">
        <f t="shared" si="0"/>
        <v>0</v>
      </c>
      <c r="J10" s="42">
        <f t="shared" si="3"/>
        <v>34950</v>
      </c>
      <c r="K10" s="42">
        <f t="shared" si="4"/>
        <v>0</v>
      </c>
    </row>
    <row r="11" spans="1:11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G11" s="192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7" t="str">
        <f>Vendedor9!$B$2</f>
        <v>JUAN FELIX</v>
      </c>
      <c r="C12" s="193"/>
      <c r="D12" s="194" t="str">
        <f t="shared" si="0"/>
        <v/>
      </c>
      <c r="E12" s="193"/>
      <c r="F12" s="194" t="str">
        <f t="shared" si="1"/>
        <v/>
      </c>
      <c r="G12" s="193"/>
      <c r="H12" s="194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G13" s="192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G14" s="192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G15" s="192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7" t="str">
        <f>Vendedor13!$B$2</f>
        <v>MINERO</v>
      </c>
      <c r="C16" s="193"/>
      <c r="D16" s="194" t="str">
        <f t="shared" si="0"/>
        <v/>
      </c>
      <c r="E16" s="193">
        <v>2300</v>
      </c>
      <c r="F16" s="194">
        <f t="shared" si="1"/>
        <v>0</v>
      </c>
      <c r="G16" s="193">
        <v>1300</v>
      </c>
      <c r="H16" s="194">
        <f>IF(G16="","",0)</f>
        <v>0</v>
      </c>
      <c r="J16" s="42">
        <f t="shared" si="3"/>
        <v>3600</v>
      </c>
      <c r="K16" s="42">
        <f t="shared" si="4"/>
        <v>0</v>
      </c>
    </row>
    <row r="17" spans="1:11" x14ac:dyDescent="0.35">
      <c r="A17" s="47">
        <v>14</v>
      </c>
      <c r="B17" s="177" t="str">
        <f>Vendedor14!$B$2</f>
        <v>EDUARDO TIEMPOS LICORERA</v>
      </c>
      <c r="C17" s="193">
        <v>29400</v>
      </c>
      <c r="D17" s="194">
        <f t="shared" si="0"/>
        <v>0</v>
      </c>
      <c r="E17" s="193">
        <v>10250</v>
      </c>
      <c r="F17" s="194">
        <v>50</v>
      </c>
      <c r="G17" s="193">
        <v>11050</v>
      </c>
      <c r="H17" s="194">
        <f t="shared" si="2"/>
        <v>0</v>
      </c>
      <c r="J17" s="42">
        <f t="shared" si="3"/>
        <v>50700</v>
      </c>
      <c r="K17" s="42">
        <f t="shared" si="4"/>
        <v>50</v>
      </c>
    </row>
    <row r="18" spans="1:11" x14ac:dyDescent="0.35">
      <c r="A18" s="47">
        <v>15</v>
      </c>
      <c r="B18" s="177" t="str">
        <f>Vendedor15!$B$2</f>
        <v>EDUARDO PUESTO CENTRO</v>
      </c>
      <c r="C18" s="179">
        <v>19950</v>
      </c>
      <c r="D18" s="194">
        <v>200</v>
      </c>
      <c r="E18" s="179">
        <v>7000</v>
      </c>
      <c r="F18" s="30">
        <f t="shared" si="1"/>
        <v>0</v>
      </c>
      <c r="G18" s="179">
        <v>4400</v>
      </c>
      <c r="H18" s="30">
        <f t="shared" si="2"/>
        <v>0</v>
      </c>
      <c r="J18" s="42">
        <f t="shared" si="3"/>
        <v>31350</v>
      </c>
      <c r="K18" s="42">
        <f t="shared" si="4"/>
        <v>200</v>
      </c>
    </row>
    <row r="19" spans="1:11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G19" s="179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G20" s="179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G21" s="179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G22" s="179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G23" s="179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G24" s="179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G25" s="179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G26" s="179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>
        <v>-2300</v>
      </c>
      <c r="F27" s="50">
        <f t="shared" si="1"/>
        <v>0</v>
      </c>
      <c r="G27" s="180">
        <v>-1300</v>
      </c>
      <c r="H27" s="50">
        <f t="shared" si="2"/>
        <v>0</v>
      </c>
      <c r="J27" s="42">
        <f t="shared" si="3"/>
        <v>-3600</v>
      </c>
      <c r="K27" s="42">
        <f t="shared" si="4"/>
        <v>0</v>
      </c>
    </row>
    <row r="28" spans="1:11" hidden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G28" s="178"/>
      <c r="H28" s="178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53950</v>
      </c>
      <c r="D33" s="44">
        <f t="shared" si="6"/>
        <v>200</v>
      </c>
      <c r="E33" s="43">
        <f t="shared" si="6"/>
        <v>17250</v>
      </c>
      <c r="F33" s="44">
        <f t="shared" si="6"/>
        <v>50</v>
      </c>
      <c r="G33" s="43">
        <f t="shared" si="6"/>
        <v>45800</v>
      </c>
      <c r="H33" s="44">
        <f t="shared" si="6"/>
        <v>0</v>
      </c>
      <c r="J33" s="45">
        <f>SUM(J4:J32)</f>
        <v>117000</v>
      </c>
      <c r="K33" s="95">
        <f>SUM(K4:K32)</f>
        <v>250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2" sqref="E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0" t="s">
        <v>110</v>
      </c>
      <c r="D1" s="271"/>
      <c r="E1" s="270" t="s">
        <v>111</v>
      </c>
      <c r="F1" s="271"/>
    </row>
    <row r="2" spans="1:9" ht="21" customHeight="1" x14ac:dyDescent="0.35">
      <c r="C2" s="266" t="str">
        <f>IF(PREMIOS!$B21="","",PREMIOS!$B21)</f>
        <v>01</v>
      </c>
      <c r="D2" s="267"/>
      <c r="E2" s="266">
        <f>IF(PREMIOS!$C21="","",PREMIOS!$C21)</f>
        <v>78</v>
      </c>
      <c r="F2" s="267"/>
    </row>
    <row r="3" spans="1:9" ht="21" customHeight="1" thickBot="1" x14ac:dyDescent="0.4">
      <c r="C3" s="266"/>
      <c r="D3" s="267"/>
      <c r="E3" s="266"/>
      <c r="F3" s="267"/>
      <c r="H3" s="39" t="s">
        <v>28</v>
      </c>
      <c r="I3" s="39" t="s">
        <v>77</v>
      </c>
    </row>
    <row r="4" spans="1:9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  <c r="E4" s="196"/>
      <c r="F4" s="197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  <c r="E5" s="192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  <c r="E6" s="192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  <c r="E7" s="192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  <c r="E8" s="192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  <c r="E9" s="192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7" t="str">
        <f>Vendedor7!$B$2</f>
        <v>PIKIS</v>
      </c>
      <c r="C10" s="179">
        <v>34000</v>
      </c>
      <c r="D10" s="30">
        <v>750</v>
      </c>
      <c r="E10" s="179">
        <v>41000</v>
      </c>
      <c r="F10" s="30">
        <v>1000</v>
      </c>
      <c r="H10" s="42">
        <f t="shared" si="2"/>
        <v>75000</v>
      </c>
      <c r="I10" s="42">
        <f t="shared" si="3"/>
        <v>1750</v>
      </c>
    </row>
    <row r="11" spans="1:9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  <c r="E11" s="192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  <c r="E12" s="192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  <c r="E13" s="192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  <c r="E14" s="192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  <c r="E15" s="192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  <c r="E16" s="192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  <c r="E17" s="179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  <c r="E18" s="179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  <c r="E19" s="179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  <c r="E20" s="179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  <c r="E21" s="179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  <c r="E22" s="179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  <c r="E23" s="179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  <c r="E24" s="179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  <c r="E25" s="179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  <c r="E26" s="179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  <c r="E27" s="180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5">
        <v>25</v>
      </c>
      <c r="B28" s="178" t="str">
        <f>Vendedor25!$B$2</f>
        <v>Vendedor 25</v>
      </c>
      <c r="C28" s="178"/>
      <c r="D28" s="178"/>
      <c r="E28" s="178"/>
      <c r="F28" s="178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34000</v>
      </c>
      <c r="D33" s="44">
        <f>SUM(D4:D32)</f>
        <v>750</v>
      </c>
      <c r="E33" s="43">
        <f>SUM(E4:E32)</f>
        <v>41000</v>
      </c>
      <c r="F33" s="44">
        <f>SUM(F4:F32)</f>
        <v>1000</v>
      </c>
      <c r="H33" s="45">
        <f>SUM(H4:H32)</f>
        <v>75000</v>
      </c>
      <c r="I33" s="95">
        <f>SUM(I4:I32)</f>
        <v>1750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2" sqref="C12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0" t="s">
        <v>109</v>
      </c>
      <c r="D1" s="271"/>
    </row>
    <row r="2" spans="1:4" ht="21" customHeight="1" x14ac:dyDescent="0.35">
      <c r="C2" s="266">
        <f>IF(PREMIOS!$B22="","",PREMIOS!$B22)</f>
        <v>64</v>
      </c>
      <c r="D2" s="267"/>
    </row>
    <row r="3" spans="1:4" ht="21" customHeight="1" thickBot="1" x14ac:dyDescent="0.4">
      <c r="C3" s="266"/>
      <c r="D3" s="267"/>
    </row>
    <row r="4" spans="1:4" x14ac:dyDescent="0.35">
      <c r="A4" s="186">
        <v>1</v>
      </c>
      <c r="B4" s="187" t="str">
        <f>Vendedor1!$B$2</f>
        <v>VENTANA</v>
      </c>
      <c r="C4" s="196"/>
      <c r="D4" s="197" t="str">
        <f t="shared" ref="D4:D27" si="0">IF(C4="","",0)</f>
        <v/>
      </c>
    </row>
    <row r="5" spans="1:4" x14ac:dyDescent="0.35">
      <c r="A5" s="47">
        <v>2</v>
      </c>
      <c r="B5" s="177" t="str">
        <f>Vendedor2!$B$2</f>
        <v>PUESTO 2</v>
      </c>
      <c r="C5" s="192"/>
      <c r="D5" s="83" t="str">
        <f t="shared" si="0"/>
        <v/>
      </c>
    </row>
    <row r="6" spans="1:4" x14ac:dyDescent="0.35">
      <c r="A6" s="47">
        <v>3</v>
      </c>
      <c r="B6" s="177" t="str">
        <f>Vendedor3!$B$2</f>
        <v>TABLET</v>
      </c>
      <c r="C6" s="192"/>
      <c r="D6" s="83" t="str">
        <f t="shared" si="0"/>
        <v/>
      </c>
    </row>
    <row r="7" spans="1:4" x14ac:dyDescent="0.35">
      <c r="A7" s="47">
        <v>4</v>
      </c>
      <c r="B7" s="177" t="str">
        <f>Vendedor4!$B$2</f>
        <v>Nuevo 2</v>
      </c>
      <c r="C7" s="192"/>
      <c r="D7" s="83" t="str">
        <f t="shared" si="0"/>
        <v/>
      </c>
    </row>
    <row r="8" spans="1:4" x14ac:dyDescent="0.35">
      <c r="A8" s="47">
        <v>5</v>
      </c>
      <c r="B8" s="177" t="str">
        <f>Vendedor5!$B$2</f>
        <v>YOYO</v>
      </c>
      <c r="C8" s="192"/>
      <c r="D8" s="83" t="str">
        <f t="shared" si="0"/>
        <v/>
      </c>
    </row>
    <row r="9" spans="1:4" x14ac:dyDescent="0.35">
      <c r="A9" s="47">
        <v>6</v>
      </c>
      <c r="B9" s="177" t="str">
        <f>Vendedor6!$B$2</f>
        <v>vendedor 06</v>
      </c>
      <c r="C9" s="192"/>
      <c r="D9" s="83" t="str">
        <f t="shared" si="0"/>
        <v/>
      </c>
    </row>
    <row r="10" spans="1:4" x14ac:dyDescent="0.35">
      <c r="A10" s="47">
        <v>7</v>
      </c>
      <c r="B10" s="177" t="str">
        <f>Vendedor7!$B$2</f>
        <v>PIKIS</v>
      </c>
      <c r="C10" s="179">
        <v>5200</v>
      </c>
      <c r="D10" s="30">
        <f t="shared" si="0"/>
        <v>0</v>
      </c>
    </row>
    <row r="11" spans="1:4" x14ac:dyDescent="0.35">
      <c r="A11" s="47">
        <v>8</v>
      </c>
      <c r="B11" s="177" t="str">
        <f>Vendedor8!$B$2</f>
        <v>ISA</v>
      </c>
      <c r="C11" s="192"/>
      <c r="D11" s="83" t="str">
        <f t="shared" si="0"/>
        <v/>
      </c>
    </row>
    <row r="12" spans="1:4" x14ac:dyDescent="0.35">
      <c r="A12" s="47">
        <v>9</v>
      </c>
      <c r="B12" s="177" t="str">
        <f>Vendedor9!$B$2</f>
        <v>JUAN FELIX</v>
      </c>
      <c r="C12" s="192"/>
      <c r="D12" s="83" t="str">
        <f t="shared" si="0"/>
        <v/>
      </c>
    </row>
    <row r="13" spans="1:4" x14ac:dyDescent="0.35">
      <c r="A13" s="47">
        <v>10</v>
      </c>
      <c r="B13" s="177" t="str">
        <f>Vendedor10!$B$2</f>
        <v>MARIALIZ</v>
      </c>
      <c r="C13" s="192"/>
      <c r="D13" s="83" t="str">
        <f t="shared" si="0"/>
        <v/>
      </c>
    </row>
    <row r="14" spans="1:4" x14ac:dyDescent="0.35">
      <c r="A14" s="47">
        <v>11</v>
      </c>
      <c r="B14" s="177" t="str">
        <f>Vendedor11!$B$2</f>
        <v>CHARLY</v>
      </c>
      <c r="C14" s="192"/>
      <c r="D14" s="83" t="str">
        <f t="shared" si="0"/>
        <v/>
      </c>
    </row>
    <row r="15" spans="1:4" x14ac:dyDescent="0.35">
      <c r="A15" s="47">
        <v>12</v>
      </c>
      <c r="B15" s="177" t="str">
        <f>Vendedor12!$B$2</f>
        <v>LAURY</v>
      </c>
      <c r="C15" s="192"/>
      <c r="D15" s="83" t="str">
        <f t="shared" si="0"/>
        <v/>
      </c>
    </row>
    <row r="16" spans="1:4" x14ac:dyDescent="0.35">
      <c r="A16" s="47">
        <v>13</v>
      </c>
      <c r="B16" s="177" t="str">
        <f>Vendedor13!$B$2</f>
        <v>MINERO</v>
      </c>
      <c r="C16" s="192"/>
      <c r="D16" s="83" t="str">
        <f t="shared" si="0"/>
        <v/>
      </c>
    </row>
    <row r="17" spans="1:4" x14ac:dyDescent="0.35">
      <c r="A17" s="47">
        <v>14</v>
      </c>
      <c r="B17" s="177" t="str">
        <f>Vendedor14!$B$2</f>
        <v>EDUARDO TIEMPOS LICORERA</v>
      </c>
      <c r="C17" s="179"/>
      <c r="D17" s="30" t="str">
        <f t="shared" si="0"/>
        <v/>
      </c>
    </row>
    <row r="18" spans="1:4" x14ac:dyDescent="0.35">
      <c r="A18" s="47">
        <v>15</v>
      </c>
      <c r="B18" s="177" t="str">
        <f>Vendedor15!$B$2</f>
        <v>EDUARDO PUESTO CENTRO</v>
      </c>
      <c r="C18" s="179"/>
      <c r="D18" s="30" t="str">
        <f t="shared" si="0"/>
        <v/>
      </c>
    </row>
    <row r="19" spans="1:4" hidden="1" x14ac:dyDescent="0.35">
      <c r="A19" s="47">
        <v>16</v>
      </c>
      <c r="B19" s="177" t="str">
        <f>Vendedor16!$C$2</f>
        <v>Vendedor 16</v>
      </c>
      <c r="C19" s="179"/>
      <c r="D19" s="30" t="str">
        <f t="shared" si="0"/>
        <v/>
      </c>
    </row>
    <row r="20" spans="1:4" hidden="1" x14ac:dyDescent="0.35">
      <c r="A20" s="47">
        <v>17</v>
      </c>
      <c r="B20" s="177" t="str">
        <f>Vendedor17!$C$2</f>
        <v>Vendedor 17</v>
      </c>
      <c r="C20" s="179"/>
      <c r="D20" s="30" t="str">
        <f t="shared" si="0"/>
        <v/>
      </c>
    </row>
    <row r="21" spans="1:4" hidden="1" x14ac:dyDescent="0.35">
      <c r="A21" s="47">
        <v>18</v>
      </c>
      <c r="B21" s="177" t="str">
        <f>Vendedor18!$C$2</f>
        <v>Vendedor 18</v>
      </c>
      <c r="C21" s="179"/>
      <c r="D21" s="30" t="str">
        <f t="shared" si="0"/>
        <v/>
      </c>
    </row>
    <row r="22" spans="1:4" hidden="1" x14ac:dyDescent="0.35">
      <c r="A22" s="47">
        <v>19</v>
      </c>
      <c r="B22" s="177" t="str">
        <f>Vendedor19!$C$2</f>
        <v>Vendedor 19</v>
      </c>
      <c r="C22" s="179"/>
      <c r="D22" s="30" t="str">
        <f t="shared" si="0"/>
        <v/>
      </c>
    </row>
    <row r="23" spans="1:4" hidden="1" x14ac:dyDescent="0.35">
      <c r="A23" s="47">
        <v>20</v>
      </c>
      <c r="B23" s="177" t="str">
        <f>Vendedor20!$C$2</f>
        <v>Vendedor 20</v>
      </c>
      <c r="C23" s="179"/>
      <c r="D23" s="30" t="str">
        <f t="shared" si="0"/>
        <v/>
      </c>
    </row>
    <row r="24" spans="1:4" hidden="1" x14ac:dyDescent="0.35">
      <c r="A24" s="47">
        <v>21</v>
      </c>
      <c r="B24" s="177" t="str">
        <f>Vendedor21!$B$2</f>
        <v>Vendedor 21</v>
      </c>
      <c r="C24" s="179"/>
      <c r="D24" s="30" t="str">
        <f t="shared" si="0"/>
        <v/>
      </c>
    </row>
    <row r="25" spans="1:4" hidden="1" x14ac:dyDescent="0.35">
      <c r="A25" s="47">
        <v>22</v>
      </c>
      <c r="B25" s="177" t="str">
        <f>Vendedor22!$B$2</f>
        <v>Vendedor 22</v>
      </c>
      <c r="C25" s="179"/>
      <c r="D25" s="30" t="str">
        <f t="shared" si="0"/>
        <v/>
      </c>
    </row>
    <row r="26" spans="1:4" hidden="1" x14ac:dyDescent="0.35">
      <c r="A26" s="47">
        <v>23</v>
      </c>
      <c r="B26" s="177" t="str">
        <f>Vendedor23!$B$2</f>
        <v>Vendedor 23</v>
      </c>
      <c r="C26" s="179"/>
      <c r="D26" s="30" t="str">
        <f t="shared" si="0"/>
        <v/>
      </c>
    </row>
    <row r="27" spans="1:4" ht="15" thickBot="1" x14ac:dyDescent="0.4">
      <c r="A27" s="49">
        <v>24</v>
      </c>
      <c r="B27" s="190" t="str">
        <f>Vendedor24!$C$2</f>
        <v>Arreglo Otro</v>
      </c>
      <c r="C27" s="180"/>
      <c r="D27" s="50" t="str">
        <f t="shared" si="0"/>
        <v/>
      </c>
    </row>
    <row r="28" spans="1:4" hidden="1" x14ac:dyDescent="0.35">
      <c r="A28" s="185">
        <v>25</v>
      </c>
      <c r="B28" s="178" t="str">
        <f>Vendedor25!$B$2</f>
        <v>Vendedor 25</v>
      </c>
      <c r="C28" s="178"/>
      <c r="D28" s="178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5200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2026-04-17T16:34:32Z</dcterms:modified>
  <dc:language>es-CR</dc:language>
</cp:coreProperties>
</file>
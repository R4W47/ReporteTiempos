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59" documentId="13_ncr:1_{EB1C27A7-1EBD-4619-B18B-0BCA469E8746}" xr6:coauthVersionLast="47" xr6:coauthVersionMax="47" xr10:uidLastSave="{621332B1-DEFF-436C-B753-A524FBD75A2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H17" i="60"/>
  <c r="G17" i="60"/>
  <c r="G18" i="60"/>
  <c r="H10" i="60"/>
  <c r="G10" i="60"/>
  <c r="H10" i="61"/>
  <c r="G10" i="61"/>
  <c r="E10" i="65"/>
  <c r="E10" i="62"/>
  <c r="E17" i="60"/>
  <c r="E18" i="60"/>
  <c r="E10" i="60"/>
  <c r="E10" i="61"/>
  <c r="C10" i="62"/>
  <c r="C10" i="60"/>
  <c r="D18" i="60"/>
  <c r="C18" i="60"/>
  <c r="D17" i="60"/>
  <c r="C17" i="60"/>
  <c r="C10" i="61"/>
  <c r="C10" i="65"/>
  <c r="D18" i="64" l="1"/>
  <c r="D12" i="65"/>
  <c r="D11" i="65"/>
  <c r="D10" i="65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F15" i="14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6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7" i="64"/>
  <c r="F8" i="65"/>
  <c r="F18" i="62"/>
  <c r="F10" i="62"/>
  <c r="D5" i="61"/>
  <c r="F18" i="61"/>
  <c r="F16" i="61"/>
  <c r="J17" i="61"/>
  <c r="D6" i="60"/>
  <c r="F18" i="60"/>
  <c r="F17" i="60"/>
  <c r="F16" i="60"/>
  <c r="F15" i="60"/>
  <c r="F14" i="60"/>
  <c r="F35" i="60" s="1"/>
  <c r="F13" i="60"/>
  <c r="F12" i="60"/>
  <c r="F36" i="60" s="1"/>
  <c r="F11" i="60"/>
  <c r="F9" i="60"/>
  <c r="F7" i="60"/>
  <c r="F6" i="60"/>
  <c r="F5" i="60"/>
  <c r="F4" i="60"/>
  <c r="H16" i="60"/>
  <c r="H15" i="60"/>
  <c r="H14" i="60"/>
  <c r="H13" i="60"/>
  <c r="H12" i="60"/>
  <c r="H11" i="60"/>
  <c r="H36" i="60"/>
  <c r="H9" i="60"/>
  <c r="H8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5" i="60" l="1"/>
  <c r="H34" i="60"/>
  <c r="F34" i="60"/>
  <c r="D35" i="60"/>
  <c r="E7" i="16"/>
  <c r="D34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2" i="61"/>
  <c r="H11" i="61"/>
  <c r="E13" i="16" s="1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<sst xmlns="http://schemas.openxmlformats.org/spreadsheetml/2006/main" count="1293" uniqueCount="160">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</sst>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220900</v>
      </c>
      <c r="C3" s="9">
        <f>+HojaTICA!K4+HojaNICA!M4+HojaREVENTADO!K4+HojaPrimera!I4+HojaHonduras!K4+HojaDominicana!I4+HojaPANA!G4</f>
        <v>28750</v>
      </c>
      <c r="D3" s="9">
        <f>+HojaTICA!N4+HojaNICA!P4+HojaREVENTADO!O4+HojaPrimera!L4+HojaHonduras!N4+HojaDominicana!L4+HojaPANA!J4</f>
        <v>93000</v>
      </c>
      <c r="F3" s="10">
        <f t="shared" ref="F3:F27" si="0">+B3-C3-D3</f>
        <v>99150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184650</v>
      </c>
      <c r="C4" s="9">
        <f>+HojaTICA!K5+HojaNICA!M5+HojaREVENTADO!K5+HojaPrimera!I5+HojaHonduras!K5+HojaDominicana!I5+HojaPANA!G5</f>
        <v>24000</v>
      </c>
      <c r="D4" s="9">
        <f>+HojaTICA!N5+HojaNICA!P5+HojaREVENTADO!O5+HojaPrimera!L5+HojaHonduras!N5+HojaDominicana!L5+HojaPANA!J5</f>
        <v>259250</v>
      </c>
      <c r="F4" s="14">
        <f t="shared" si="0"/>
        <v>-98600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276900</v>
      </c>
      <c r="C7" s="9">
        <f>+HojaTICA!K8+HojaNICA!M8+HojaREVENTADO!K8+HojaPrimera!I8+HojaHonduras!K8+HojaDominicana!I8+HojaPANA!G8</f>
        <v>33200</v>
      </c>
      <c r="D7" s="9">
        <f>+HojaTICA!N8+HojaNICA!P8+HojaREVENTADO!O8+HojaPrimera!L8+HojaHonduras!N8+HojaDominicana!L8+HojaPANA!J8</f>
        <v>77000</v>
      </c>
      <c r="F7" s="14">
        <f t="shared" si="0"/>
        <v>166700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1268950</v>
      </c>
      <c r="C9" s="9">
        <f>+HojaTICA!K10+HojaNICA!M10+HojaREVENTADO!K10+HojaPrimera!I10+HojaHonduras!K10+HojaDominicana!I10+HojaPANA!G10</f>
        <v>150090</v>
      </c>
      <c r="D9" s="9">
        <f>+HojaTICA!N10+HojaNICA!P10+HojaREVENTADO!O10+HojaPrimera!L10+HojaHonduras!N10+HojaDominicana!L10+HojaPANA!J10</f>
        <v>722500</v>
      </c>
      <c r="F9" s="14">
        <f t="shared" si="0"/>
        <v>396360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20800</v>
      </c>
      <c r="C10" s="9">
        <f>+HojaTICA!K11+HojaNICA!M11+HojaREVENTADO!K11+HojaPrimera!I11+HojaHonduras!K11+HojaDominicana!I11+HojaPANA!G11</f>
        <v>2500</v>
      </c>
      <c r="D10" s="9">
        <f>+HojaTICA!N11+HojaNICA!P11+HojaREVENTADO!O11+HojaPrimera!L11+HojaHonduras!N11+HojaDominicana!L11+HojaPANA!J11</f>
        <v>0</v>
      </c>
      <c r="F10" s="14">
        <f t="shared" si="0"/>
        <v>18300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142500</v>
      </c>
      <c r="C11" s="9">
        <f>+HojaTICA!K12+HojaNICA!M12+HojaREVENTADO!K12+HojaPrimera!I12+HojaHonduras!K12+HojaDominicana!I12+HojaPANA!G12</f>
        <v>16995</v>
      </c>
      <c r="D11" s="9">
        <f>+HojaTICA!N12+HojaNICA!P12+HojaREVENTADO!O12+HojaPrimera!L12+HojaHonduras!N12+HojaDominicana!L12+HojaPANA!J12</f>
        <v>76500</v>
      </c>
      <c r="F11" s="14">
        <f t="shared" si="0"/>
        <v>49005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125400</v>
      </c>
      <c r="C12" s="9">
        <f>+HojaTICA!K13+HojaNICA!M13+HojaREVENTADO!K13+HojaPrimera!I13+HojaHonduras!K13+HojaDominicana!I13+HojaPANA!G13</f>
        <v>15050</v>
      </c>
      <c r="D12" s="9">
        <f>+HojaTICA!N13+HojaNICA!P13+HojaREVENTADO!O13+HojaPrimera!L13+HojaHonduras!N13+HojaDominicana!L13+HojaPANA!J13</f>
        <v>98500</v>
      </c>
      <c r="F12" s="14">
        <f t="shared" si="0"/>
        <v>11850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55450</v>
      </c>
      <c r="C13" s="9">
        <f>+HojaTICA!K14+HojaNICA!M14+HojaREVENTADO!K14+HojaPrimera!I14+HojaHonduras!K14+HojaDominicana!I14+HojaPANA!G14</f>
        <v>8300</v>
      </c>
      <c r="D13" s="9">
        <f>+HojaTICA!N14+HojaNICA!P14+HojaREVENTADO!O14+HojaPrimera!L14+HojaHonduras!N14+HojaDominicana!L14+HojaPANA!J14</f>
        <v>0</v>
      </c>
      <c r="F13" s="14">
        <f t="shared" si="0"/>
        <v>47150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60900</v>
      </c>
      <c r="C15" s="9">
        <f>+HojaTICA!K16+HojaNICA!M16+HojaREVENTADO!K16+HojaPrimera!I16+HojaHonduras!K16+HojaDominicana!I16+HojaPANA!G16</f>
        <v>7300</v>
      </c>
      <c r="D15" s="9">
        <f>+HojaTICA!N16+HojaNICA!P16+HojaREVENTADO!O16+HojaPrimera!L16+HojaHonduras!N16+HojaDominicana!L16+HojaPANA!J16</f>
        <v>0</v>
      </c>
      <c r="F15" s="14">
        <f t="shared" si="0"/>
        <v>53600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997900</v>
      </c>
      <c r="C16" s="9">
        <f>+HojaTICA!K17+HojaNICA!M17+HojaREVENTADO!K17+HojaPrimera!I17+HojaHonduras!K17+HojaDominicana!I17+HojaPANA!G17</f>
        <v>118225</v>
      </c>
      <c r="D16" s="9">
        <f>+HojaTICA!N17+HojaNICA!P17+HojaREVENTADO!O17+HojaPrimera!L17+HojaHonduras!N17+HojaDominicana!L17+HojaPANA!J17</f>
        <v>323000</v>
      </c>
      <c r="F16" s="14">
        <f t="shared" si="0"/>
        <v>556675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470600</v>
      </c>
      <c r="C17" s="9">
        <f>+HojaTICA!K18+HojaNICA!M18+HojaREVENTADO!K18+HojaPrimera!I18+HojaHonduras!K18+HojaDominicana!I18+HojaPANA!G18</f>
        <v>55435</v>
      </c>
      <c r="D17" s="9">
        <f>+HojaTICA!N18+HojaNICA!P18+HojaREVENTADO!O18+HojaPrimera!L18+HojaHonduras!N18+HojaDominicana!L18+HojaPANA!J18</f>
        <v>565250</v>
      </c>
      <c r="F17" s="14">
        <f t="shared" si="0"/>
        <v>-150085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3824950</v>
      </c>
      <c r="C28" s="17">
        <f t="shared" si="1"/>
        <v>459845</v>
      </c>
      <c r="D28" s="18">
        <f t="shared" si="1"/>
        <v>2215000</v>
      </c>
      <c r="F28" s="20">
        <f>SUM(F3:F27)</f>
        <v>1150105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56</v>
      </c>
      <c r="C19" s="132">
        <v>22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99</v>
      </c>
      <c r="C20" s="163">
        <v>29</v>
      </c>
      <c r="D20" s="166">
        <v>53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92</v>
      </c>
      <c r="C21" s="164">
        <v>67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73</v>
      </c>
      <c r="D2" s="268"/>
      <c r="E2" s="267">
        <f>DigitaTICA!E2</f>
        <v>92</v>
      </c>
      <c r="F2" s="268"/>
      <c r="G2" s="267">
        <f>DigitaTICA!G2</f>
        <v>24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73900</v>
      </c>
      <c r="D4" s="30">
        <f>IF(Vendedor1!$E$7="",0,Vendedor1!$E$7)</f>
        <v>1000</v>
      </c>
      <c r="E4" s="180">
        <f>IF(Vendedor1!$C$11="",0,Vendedor1!$C$11)</f>
        <v>33700</v>
      </c>
      <c r="F4" s="30">
        <f>IF(Vendedor1!$E$11="",0,Vendedor1!$E$11)</f>
        <v>0</v>
      </c>
      <c r="G4" s="180">
        <f>IF(Vendedor1!$C$15="",0,Vendedor1!$C$15)</f>
        <v>76150</v>
      </c>
      <c r="H4" s="30">
        <f>IF(Vendedor1!$E$15="",0,Vendedor1!$E$15)</f>
        <v>0</v>
      </c>
      <c r="J4" s="42">
        <f t="shared" ref="J4:J7" si="0">+C4+E4+G4</f>
        <v>183750</v>
      </c>
      <c r="K4" s="41">
        <f>MROUND(J4*Vendedor1!J$9,50)</f>
        <v>23900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74850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41500</v>
      </c>
      <c r="D5" s="30">
        <f>IF(Vendedor2!$E$7="",0,Vendedor2!$E$7)</f>
        <v>800</v>
      </c>
      <c r="E5" s="180">
        <f>IF(Vendedor2!$C$11="",0,Vendedor2!$C$11)</f>
        <v>41300</v>
      </c>
      <c r="F5" s="30">
        <f>IF(Vendedor2!$E$11="",0,Vendedor2!$E$11)</f>
        <v>0</v>
      </c>
      <c r="G5" s="180">
        <f>IF(Vendedor2!$C$15="",0,Vendedor2!$C$15)</f>
        <v>69550</v>
      </c>
      <c r="H5" s="30">
        <f>IF(Vendedor2!$E$15="",0,Vendedor2!$E$15)</f>
        <v>2250</v>
      </c>
      <c r="J5" s="42">
        <f t="shared" si="0"/>
        <v>152350</v>
      </c>
      <c r="K5" s="41">
        <f>MROUND(J5*Vendedor2!J$9,50)</f>
        <v>19800</v>
      </c>
      <c r="L5" s="42">
        <f t="shared" si="1"/>
        <v>3050</v>
      </c>
      <c r="M5" s="42">
        <f t="shared" si="2"/>
        <v>259250</v>
      </c>
      <c r="N5" s="42">
        <f>Vendedor2!$F$7+Vendedor2!$F$11+Vendedor2!$F$15</f>
        <v>259250</v>
      </c>
      <c r="P5" s="42">
        <f t="shared" si="3"/>
        <v>-126700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63400</v>
      </c>
      <c r="D8" s="30">
        <f>IF(Vendedor5!$E$7="",0,Vendedor5!$E$7)</f>
        <v>100</v>
      </c>
      <c r="E8" s="180">
        <f>IF(Vendedor5!$C$11="",0,Vendedor5!$C$11)</f>
        <v>33600</v>
      </c>
      <c r="F8" s="30">
        <f>IF(Vendedor5!$E$11="",0,Vendedor5!$E$11)</f>
        <v>100</v>
      </c>
      <c r="G8" s="180">
        <f>IF(Vendedor5!$C$15="",0,Vendedor5!$C$15)</f>
        <v>55850</v>
      </c>
      <c r="H8" s="30">
        <f>IF(Vendedor5!$E$15="",0,Vendedor5!$E$15)</f>
        <v>0</v>
      </c>
      <c r="J8" s="42">
        <f t="shared" ref="J8" si="4">+C8+E8+G8</f>
        <v>152850</v>
      </c>
      <c r="K8" s="41">
        <f>MROUND(J8*Vendedor5!J$11,50)</f>
        <v>18350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117500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150500</v>
      </c>
      <c r="D10" s="30">
        <f>IF(Vendedor7!$E$7="",0,Vendedor7!$E$7)</f>
        <v>500</v>
      </c>
      <c r="E10" s="180">
        <f>IF(Vendedor7!$C$11="",0,Vendedor7!$C$11)</f>
        <v>170200</v>
      </c>
      <c r="F10" s="30">
        <f>IF(Vendedor7!$E$11="",0,Vendedor7!$E$11)</f>
        <v>200</v>
      </c>
      <c r="G10" s="180">
        <f>IF(Vendedor7!$C$15="",0,Vendedor7!$C$15)</f>
        <v>174300</v>
      </c>
      <c r="H10" s="30">
        <f>IF(Vendedor7!$E$15="",0,Vendedor7!$E$15)</f>
        <v>400</v>
      </c>
      <c r="J10" s="42">
        <f t="shared" si="8"/>
        <v>495000</v>
      </c>
      <c r="K10" s="41">
        <f>MROUND(J10*Vendedor7!J$14,50)</f>
        <v>59400</v>
      </c>
      <c r="L10" s="42">
        <f t="shared" si="9"/>
        <v>1100</v>
      </c>
      <c r="M10" s="42">
        <f t="shared" si="10"/>
        <v>93500</v>
      </c>
      <c r="N10" s="42">
        <f>Vendedor7!$F$7+Vendedor7!$F$11+Vendedor7!$F$15</f>
        <v>93500</v>
      </c>
      <c r="P10" s="42">
        <f t="shared" si="11"/>
        <v>342100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10000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10800</v>
      </c>
      <c r="H11" s="30">
        <f>IF(Vendedor8!$E$15="",0,Vendedor8!$E$15)</f>
        <v>0</v>
      </c>
      <c r="J11" s="42">
        <f t="shared" si="8"/>
        <v>20800</v>
      </c>
      <c r="K11" s="41">
        <f>MROUND(J11*Vendedor8!J$11,50)</f>
        <v>2500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18300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35850</v>
      </c>
      <c r="D12" s="30">
        <f>IF(Vendedor9!$E$7="",0,Vendedor9!$E$7)</f>
        <v>700</v>
      </c>
      <c r="E12" s="180">
        <f>IF(Vendedor9!$C$11="",0,Vendedor9!$C$11)</f>
        <v>21000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56850</v>
      </c>
      <c r="K12" s="41">
        <f>MROUND(J12*Vendedor9!J$11,50)</f>
        <v>6800</v>
      </c>
      <c r="L12" s="42">
        <f t="shared" si="9"/>
        <v>700</v>
      </c>
      <c r="M12" s="42">
        <f t="shared" si="10"/>
        <v>59500</v>
      </c>
      <c r="N12" s="42">
        <f>Vendedor9!$F$7+Vendedor9!$F$11+Vendedor9!$F$15</f>
        <v>59500</v>
      </c>
      <c r="P12" s="42">
        <f t="shared" si="11"/>
        <v>-9450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35600</v>
      </c>
      <c r="D13" s="30">
        <f>IF(Vendedor10!$E$7="",0,Vendedor10!$E$7)</f>
        <v>500</v>
      </c>
      <c r="E13" s="180">
        <f>IF(Vendedor10!$C$11="",0,Vendedor10!$C$11)</f>
        <v>19550</v>
      </c>
      <c r="F13" s="30">
        <f>IF(Vendedor10!$E$11="",0,Vendedor10!$E$11)</f>
        <v>0</v>
      </c>
      <c r="G13" s="180">
        <f>IF(Vendedor10!$C$15="",0,Vendedor10!$C$15)</f>
        <v>19500</v>
      </c>
      <c r="H13" s="30">
        <f>IF(Vendedor10!$E$15="",0,Vendedor10!$E$15)</f>
        <v>0</v>
      </c>
      <c r="J13" s="42">
        <f t="shared" si="8"/>
        <v>74650</v>
      </c>
      <c r="K13" s="41">
        <f>MROUND(J13*Vendedor10!J$9,50)</f>
        <v>8950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23200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27800</v>
      </c>
      <c r="D14" s="30">
        <f>IF(Vendedor11!$E$7="",0,Vendedor11!$E$7)</f>
        <v>0</v>
      </c>
      <c r="E14" s="180">
        <f>IF(Vendedor11!$C$11="",0,Vendedor11!$C$11)</f>
        <v>8650</v>
      </c>
      <c r="F14" s="30">
        <f>IF(Vendedor11!$E$11="",0,Vendedor11!$E$11)</f>
        <v>0</v>
      </c>
      <c r="G14" s="180">
        <f>IF(Vendedor11!$C$15="",0,Vendedor11!$C$15)</f>
        <v>19000</v>
      </c>
      <c r="H14" s="30">
        <f>IF(Vendedor11!$E$15="",0,Vendedor11!$E$15)</f>
        <v>0</v>
      </c>
      <c r="J14" s="42">
        <f t="shared" si="8"/>
        <v>55450</v>
      </c>
      <c r="K14" s="41">
        <f>MROUND(J14*Vendedor11!J$9,50)</f>
        <v>8300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47150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9050</v>
      </c>
      <c r="D16" s="30">
        <f>IF(Vendedor13!$E$7="",0,Vendedor13!$E$7)</f>
        <v>0</v>
      </c>
      <c r="E16" s="180">
        <f>IF(Vendedor13!$C$11="",0,Vendedor13!$C$11)</f>
        <v>5000</v>
      </c>
      <c r="F16" s="30">
        <f>IF(Vendedor13!$E$11="",0,Vendedor13!$E$11)</f>
        <v>0</v>
      </c>
      <c r="G16" s="180">
        <f>IF(Vendedor13!$C$15="",0,Vendedor13!$C$15)</f>
        <v>30950</v>
      </c>
      <c r="H16" s="30">
        <f>IF(Vendedor13!$E$15="",0,Vendedor13!$E$15)</f>
        <v>0</v>
      </c>
      <c r="J16" s="42">
        <f t="shared" si="8"/>
        <v>45000</v>
      </c>
      <c r="K16" s="41">
        <f>MROUND(J16*Vendedor13!J$11,50)</f>
        <v>5400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39600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139650</v>
      </c>
      <c r="D17" s="30">
        <f>IF(Vendedor14!$E$7="",0,Vendedor14!$E$7)</f>
        <v>100</v>
      </c>
      <c r="E17" s="180">
        <f>IF(Vendedor14!$C$11="",0,Vendedor14!$C$11)</f>
        <v>90400</v>
      </c>
      <c r="F17" s="30">
        <f>IF(Vendedor14!$E$11="",0,Vendedor14!$E$11)</f>
        <v>0</v>
      </c>
      <c r="G17" s="180">
        <f>IF(Vendedor14!$C$15="",0,Vendedor14!$C$15)</f>
        <v>191100</v>
      </c>
      <c r="H17" s="30">
        <f>IF(Vendedor14!$E$15="",0,Vendedor14!$E$15)</f>
        <v>2150</v>
      </c>
      <c r="J17" s="42">
        <f t="shared" si="8"/>
        <v>421150</v>
      </c>
      <c r="K17" s="41">
        <f>MROUND(J17*Vendedor14!J$15,50)</f>
        <v>50550</v>
      </c>
      <c r="L17" s="42">
        <f t="shared" si="9"/>
        <v>2250</v>
      </c>
      <c r="M17" s="42">
        <f t="shared" si="10"/>
        <v>191250</v>
      </c>
      <c r="N17" s="42">
        <f>Vendedor14!$F$7+Vendedor14!$F$11+Vendedor14!$F$15</f>
        <v>191250</v>
      </c>
      <c r="P17" s="42">
        <f t="shared" si="11"/>
        <v>179350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63850</v>
      </c>
      <c r="D18" s="30">
        <f>IF(Vendedor15!$E$7="",0,Vendedor15!$E$7)</f>
        <v>350</v>
      </c>
      <c r="E18" s="180">
        <f>IF(Vendedor15!$C$11="",0,Vendedor15!$C$11)</f>
        <v>34200</v>
      </c>
      <c r="F18" s="30">
        <f>IF(Vendedor15!$E$11="",0,Vendedor15!$E$11)</f>
        <v>0</v>
      </c>
      <c r="G18" s="180">
        <f>IF(Vendedor15!$C$15="",0,Vendedor15!$C$15)</f>
        <v>77000</v>
      </c>
      <c r="H18" s="30">
        <f>IF(Vendedor15!$E$15="",0,Vendedor15!$E$15)</f>
        <v>100</v>
      </c>
      <c r="J18" s="42">
        <f t="shared" ref="J18" si="12">+C18+E18+G18</f>
        <v>175050</v>
      </c>
      <c r="K18" s="41">
        <f>MROUND(J18*Vendedor15!J$15,50)</f>
        <v>21000</v>
      </c>
      <c r="L18" s="42">
        <f t="shared" ref="L18" si="13">+D18+F18+H18</f>
        <v>450</v>
      </c>
      <c r="M18" s="42">
        <f t="shared" ref="M18" si="14">+L18*85</f>
        <v>38250</v>
      </c>
      <c r="N18" s="42">
        <f>Vendedor15!$F$7+Vendedor15!$F$11+Vendedor15!$F$15</f>
        <v>38250</v>
      </c>
      <c r="P18" s="42">
        <f t="shared" ref="P18" si="15">+J18-K18-N18</f>
        <v>115800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651100</v>
      </c>
      <c r="D32" s="44">
        <f t="shared" si="16"/>
        <v>4050</v>
      </c>
      <c r="E32" s="43">
        <f t="shared" si="16"/>
        <v>457600</v>
      </c>
      <c r="F32" s="44">
        <f t="shared" si="16"/>
        <v>300</v>
      </c>
      <c r="G32" s="43">
        <f t="shared" si="16"/>
        <v>724200</v>
      </c>
      <c r="H32" s="44">
        <f t="shared" si="16"/>
        <v>4900</v>
      </c>
      <c r="J32" s="95">
        <f>SUM(J4:J31)</f>
        <v>1832900</v>
      </c>
      <c r="K32" s="45">
        <f>SUM(K7:K31)</f>
        <v>181250</v>
      </c>
      <c r="L32" s="95">
        <f>SUM(L4:L31)</f>
        <v>9250</v>
      </c>
      <c r="M32" s="95">
        <f>SUM(M4:M31)</f>
        <v>786250</v>
      </c>
      <c r="N32" s="95">
        <f>SUM(N4:N31)</f>
        <v>786250</v>
      </c>
      <c r="P32" s="79">
        <f>SUM(P4:P31)</f>
        <v>821700</v>
      </c>
    </row>
    <row r="33" spans="3:13" x14ac:dyDescent="0.35">
      <c r="D33" s="99">
        <f>+D32*85</f>
        <v>344250</v>
      </c>
      <c r="F33" s="99">
        <f>+F32*85</f>
        <v>25500</v>
      </c>
      <c r="H33" s="99">
        <f>+H32*85</f>
        <v>416500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1832900</v>
      </c>
      <c r="E36" s="43">
        <f>+D36-J4-J5-J6</f>
        <v>1496800</v>
      </c>
      <c r="G36" s="101"/>
    </row>
    <row r="37" spans="3:13" x14ac:dyDescent="0.35">
      <c r="C37" s="47" t="s">
        <v>33</v>
      </c>
      <c r="D37" s="48">
        <f>D36*13%</f>
        <v>238277</v>
      </c>
      <c r="E37">
        <f>+D37-K4-K5-K6</f>
        <v>194577</v>
      </c>
      <c r="G37" s="100"/>
      <c r="H37" s="100"/>
    </row>
    <row r="38" spans="3:13" ht="15" thickBot="1" x14ac:dyDescent="0.4">
      <c r="C38" s="47" t="s">
        <v>30</v>
      </c>
      <c r="D38" s="30">
        <f>M32</f>
        <v>786250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808373</v>
      </c>
      <c r="F39" s="98">
        <f>+P32-D39</f>
        <v>13327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808373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68</v>
      </c>
      <c r="D2" s="268"/>
      <c r="E2" s="267">
        <f>DigitaNICA!E2</f>
        <v>57</v>
      </c>
      <c r="F2" s="268"/>
      <c r="G2" s="267">
        <f>DigitaNICA!G2</f>
        <v>75</v>
      </c>
      <c r="H2" s="268"/>
      <c r="I2" s="267">
        <f>DigitaNICA!I2</f>
        <v>39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15550</v>
      </c>
      <c r="D4" s="78">
        <f>IF(Vendedor1!$E$5="",0,Vendedor1!$E$5)</f>
        <v>100</v>
      </c>
      <c r="E4" s="189">
        <f>IF(Vendedor1!$C$9="",0,Vendedor1!$C$9)</f>
        <v>11100</v>
      </c>
      <c r="F4" s="78">
        <f>IF(Vendedor1!$E$9="",0,Vendedor1!$E$9)</f>
        <v>0</v>
      </c>
      <c r="G4" s="189">
        <f>IF(Vendedor1!$C$13="",0,Vendedor1!$C$13)</f>
        <v>1600</v>
      </c>
      <c r="H4" s="78">
        <f>IF(Vendedor1!$E$13="",0,Vendedor1!$E$13)</f>
        <v>0</v>
      </c>
      <c r="I4" s="189">
        <f>IF(Vendedor1!$C$17="",0,Vendedor1!$C$17)</f>
        <v>1200</v>
      </c>
      <c r="J4" s="78">
        <f>IF(Vendedor1!$E$17="",0,Vendedor1!$E$17)</f>
        <v>0</v>
      </c>
      <c r="L4" s="42">
        <f t="shared" ref="L4:L7" si="0">C4+E4+G4+I4</f>
        <v>29450</v>
      </c>
      <c r="M4" s="41">
        <f>MROUND(L4*Vendedor1!J$10,50)</f>
        <v>3850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17100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15500</v>
      </c>
      <c r="D5" s="30">
        <f>IF(Vendedor2!$E$5="",0,Vendedor2!$E$5)</f>
        <v>0</v>
      </c>
      <c r="E5" s="180">
        <f>IF(Vendedor2!$C$9="",0,Vendedor2!$C$9)</f>
        <v>7050</v>
      </c>
      <c r="F5" s="30">
        <f>IF(Vendedor2!$E$9="",0,Vendedor2!$E$9)</f>
        <v>0</v>
      </c>
      <c r="G5" s="180">
        <f>IF(Vendedor2!$C$13="",0,Vendedor2!$C$13)</f>
        <v>6350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28900</v>
      </c>
      <c r="M5" s="41">
        <f>MROUND(L5*Vendedor2!J$10,50)</f>
        <v>3750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25150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51550</v>
      </c>
      <c r="D8" s="30">
        <f>IF(Vendedor5!$E$5="",0,Vendedor5!$E$5)</f>
        <v>0</v>
      </c>
      <c r="E8" s="180">
        <f>IF(Vendedor5!$C$9="",0,Vendedor5!$C$9)</f>
        <v>35650</v>
      </c>
      <c r="F8" s="30">
        <f>IF(Vendedor5!$E$9="",0,Vendedor5!$E$9)</f>
        <v>750</v>
      </c>
      <c r="G8" s="180">
        <f>IF(Vendedor5!$C$13="",0,Vendedor5!$C$13)</f>
        <v>16450</v>
      </c>
      <c r="H8" s="30">
        <f>IF(Vendedor5!$E$13="",0,Vendedor5!$E$13)</f>
        <v>0</v>
      </c>
      <c r="I8" s="180">
        <f>IF(Vendedor5!$C$17="",0,Vendedor5!$C$17)</f>
        <v>5300</v>
      </c>
      <c r="J8" s="30">
        <f>IF(Vendedor5!$E$17="",0,Vendedor5!$E$17)</f>
        <v>0</v>
      </c>
      <c r="L8" s="42">
        <f t="shared" ref="L8" si="4">C8+E8+G8+I8</f>
        <v>108950</v>
      </c>
      <c r="M8" s="41">
        <f>MROUND(L8*Vendedor5!J$12,50)</f>
        <v>13050</v>
      </c>
      <c r="N8" s="42">
        <f t="shared" ref="N8" si="5">D8+F8+H8+J8</f>
        <v>750</v>
      </c>
      <c r="O8" s="41">
        <f t="shared" si="3"/>
        <v>63750</v>
      </c>
      <c r="P8" s="42">
        <f>Vendedor5!$F$5+Vendedor5!$F$9+Vendedor5!$F$13+Vendedor5!$F$17</f>
        <v>60000</v>
      </c>
      <c r="Q8">
        <v>17</v>
      </c>
      <c r="R8" s="41">
        <f t="shared" ref="R8" si="6">+L8-M8-O8</f>
        <v>32150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109000</v>
      </c>
      <c r="D10" s="30">
        <f>IF(Vendedor7!$E$5="",0,Vendedor7!$E$5)</f>
        <v>0</v>
      </c>
      <c r="E10" s="180">
        <f>IF(Vendedor7!$C$9="",0,Vendedor7!$C$9)</f>
        <v>138750</v>
      </c>
      <c r="F10" s="30">
        <f>IF(Vendedor7!$E$9="",0,Vendedor7!$E$9)</f>
        <v>2000</v>
      </c>
      <c r="G10" s="180">
        <f>IF(Vendedor7!$C$13="",0,Vendedor7!$C$13)</f>
        <v>124300</v>
      </c>
      <c r="H10" s="30">
        <f>IF(Vendedor7!$E$13="",0,Vendedor7!$E$13)</f>
        <v>3750</v>
      </c>
      <c r="I10" s="180">
        <f>IF(Vendedor7!$C$17="",0,Vendedor7!$C$17)</f>
        <v>136900</v>
      </c>
      <c r="J10" s="30">
        <f>IF(Vendedor7!$E$17="",0,Vendedor7!$E$17)</f>
        <v>500</v>
      </c>
      <c r="L10" s="42">
        <f t="shared" si="7"/>
        <v>508950</v>
      </c>
      <c r="M10" s="41">
        <f>MROUND(L10*Vendedor7!J$15,50)</f>
        <v>61050</v>
      </c>
      <c r="N10" s="42">
        <f t="shared" ref="N10:N27" si="9">D10+F10+H10+J10</f>
        <v>6250</v>
      </c>
      <c r="O10" s="41">
        <f t="shared" si="3"/>
        <v>531250</v>
      </c>
      <c r="P10" s="42">
        <f>Vendedor7!$F$5+Vendedor7!$F$9+Vendedor7!$F$13+Vendedor7!$F$17</f>
        <v>531250</v>
      </c>
      <c r="R10" s="41">
        <f t="shared" si="8"/>
        <v>-83350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26200</v>
      </c>
      <c r="D12" s="30">
        <f>IF(Vendedor9!$E$5="",0,Vendedor9!$E$5)</f>
        <v>200</v>
      </c>
      <c r="E12" s="180">
        <f>IF(Vendedor9!$C$9="",0,Vendedor9!$C$9)</f>
        <v>12800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39000</v>
      </c>
      <c r="M12" s="41">
        <f>MROUND(L12*Vendedor9!J$12,50)</f>
        <v>4700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17300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25250</v>
      </c>
      <c r="D13" s="30">
        <f>IF(Vendedor10!$E$5="",0,Vendedor10!$E$5)</f>
        <v>0</v>
      </c>
      <c r="E13" s="180">
        <f>IF(Vendedor10!$C$9="",0,Vendedor10!$C$9)</f>
        <v>11100</v>
      </c>
      <c r="F13" s="30">
        <f>IF(Vendedor10!$E$9="",0,Vendedor10!$E$9)</f>
        <v>600</v>
      </c>
      <c r="G13" s="180">
        <f>IF(Vendedor10!$C$13="",0,Vendedor10!$C$13)</f>
        <v>10000</v>
      </c>
      <c r="H13" s="30">
        <f>IF(Vendedor10!$E$13="",0,Vendedor10!$E$13)</f>
        <v>100</v>
      </c>
      <c r="I13" s="180">
        <f>IF(Vendedor10!$C$17="",0,Vendedor10!$C$17)</f>
        <v>4400</v>
      </c>
      <c r="J13" s="30">
        <f>IF(Vendedor10!$E$17="",0,Vendedor10!$E$17)</f>
        <v>0</v>
      </c>
      <c r="L13" s="42">
        <f t="shared" si="7"/>
        <v>50750</v>
      </c>
      <c r="M13" s="41">
        <f>MROUND(L13*Vendedor10!J$10,50)</f>
        <v>6100</v>
      </c>
      <c r="N13" s="42">
        <f t="shared" si="9"/>
        <v>700</v>
      </c>
      <c r="O13" s="41">
        <f t="shared" si="3"/>
        <v>59500</v>
      </c>
      <c r="P13" s="42">
        <f>Vendedor10!$F$5+Vendedor10!$F$9+Vendedor10!$F$13+Vendedor10!$F$17</f>
        <v>56000</v>
      </c>
      <c r="R13" s="41">
        <f t="shared" si="8"/>
        <v>-14850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2800</v>
      </c>
      <c r="D16" s="30">
        <f>IF(Vendedor13!$E$5="",0,Vendedor13!$E$5)</f>
        <v>0</v>
      </c>
      <c r="E16" s="180">
        <f>IF(Vendedor13!$C$9="",0,Vendedor13!$C$9)</f>
        <v>400</v>
      </c>
      <c r="F16" s="30">
        <f>IF(Vendedor13!$E$9="",0,Vendedor13!$E$9)</f>
        <v>0</v>
      </c>
      <c r="G16" s="180">
        <f>IF(Vendedor13!$C$13="",0,Vendedor13!$C$13)</f>
        <v>2000</v>
      </c>
      <c r="H16" s="30">
        <f>IF(Vendedor13!$E$13="",0,Vendedor13!$E$13)</f>
        <v>0</v>
      </c>
      <c r="I16" s="180">
        <f>IF(Vendedor13!$C$17="",0,Vendedor13!$C$17)</f>
        <v>10200</v>
      </c>
      <c r="J16" s="30">
        <f>IF(Vendedor13!$E$17="",0,Vendedor13!$E$17)</f>
        <v>0</v>
      </c>
      <c r="L16" s="42">
        <f t="shared" si="7"/>
        <v>15400</v>
      </c>
      <c r="M16" s="41">
        <f>MROUND(L16*Vendedor13!J$12,50)</f>
        <v>1850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13550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89850</v>
      </c>
      <c r="D17" s="30">
        <f>IF(Vendedor14!$E$5="",0,Vendedor14!$E$5)</f>
        <v>0</v>
      </c>
      <c r="E17" s="180">
        <f>IF(Vendedor14!$C$9="",0,Vendedor14!$C$9)</f>
        <v>83950</v>
      </c>
      <c r="F17" s="30">
        <f>IF(Vendedor14!$E$9="",0,Vendedor14!$E$9)</f>
        <v>600</v>
      </c>
      <c r="G17" s="180">
        <f>IF(Vendedor14!$C$13="",0,Vendedor14!$C$13)</f>
        <v>44300</v>
      </c>
      <c r="H17" s="30">
        <f>IF(Vendedor14!$E$13="",0,Vendedor14!$E$13)</f>
        <v>500</v>
      </c>
      <c r="I17" s="180">
        <f>IF(Vendedor14!$C$17="",0,Vendedor14!$C$17)</f>
        <v>128850</v>
      </c>
      <c r="J17" s="30">
        <f>IF(Vendedor14!$E$17="",0,Vendedor14!$E$17)</f>
        <v>0</v>
      </c>
      <c r="L17" s="42">
        <f>C17+E17+G17+I17</f>
        <v>346950</v>
      </c>
      <c r="M17" s="41">
        <f>MROUND(L17*Vendedor14!J$16,50)</f>
        <v>41650</v>
      </c>
      <c r="N17" s="42">
        <f t="shared" si="9"/>
        <v>1100</v>
      </c>
      <c r="O17" s="41">
        <f t="shared" si="3"/>
        <v>93500</v>
      </c>
      <c r="P17" s="42">
        <f>Vendedor14!$F$5+Vendedor14!$F$9+Vendedor14!$F$13+Vendedor14!$F$17</f>
        <v>93500</v>
      </c>
      <c r="R17" s="41">
        <f t="shared" si="8"/>
        <v>211800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55150</v>
      </c>
      <c r="D18" s="30">
        <f>IF(Vendedor15!$E$5="",0,Vendedor15!$E$5)</f>
        <v>400</v>
      </c>
      <c r="E18" s="180">
        <f>IF(Vendedor15!$C$9="",0,Vendedor15!$C$9)</f>
        <v>54050</v>
      </c>
      <c r="F18" s="30">
        <f>IF(Vendedor15!$E$9="",0,Vendedor15!$E$9)</f>
        <v>0</v>
      </c>
      <c r="G18" s="180">
        <f>IF(Vendedor15!$C$13="",0,Vendedor15!$C$13)</f>
        <v>25450</v>
      </c>
      <c r="H18" s="30">
        <f>IF(Vendedor15!$E$13="",0,Vendedor15!$E$13)</f>
        <v>0</v>
      </c>
      <c r="I18" s="180">
        <f>IF(Vendedor15!$C$17="",0,Vendedor15!$C$17)</f>
        <v>9600</v>
      </c>
      <c r="J18" s="30">
        <f>IF(Vendedor15!$E$17="",0,Vendedor15!$E$17)</f>
        <v>200</v>
      </c>
      <c r="L18" s="42">
        <f t="shared" ref="L18:L27" si="10">C18+E18+G18+I18</f>
        <v>144250</v>
      </c>
      <c r="M18" s="41">
        <f>MROUND(L18*Vendedor15!J$16,50)</f>
        <v>17300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75950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390850</v>
      </c>
      <c r="D32" s="44">
        <f t="shared" si="14"/>
        <v>700</v>
      </c>
      <c r="E32" s="43">
        <f t="shared" si="14"/>
        <v>354850</v>
      </c>
      <c r="F32" s="44">
        <f t="shared" si="14"/>
        <v>3950</v>
      </c>
      <c r="G32" s="43">
        <f t="shared" si="14"/>
        <v>230450</v>
      </c>
      <c r="H32" s="44">
        <f t="shared" si="14"/>
        <v>4350</v>
      </c>
      <c r="I32" s="43">
        <f t="shared" si="14"/>
        <v>296450</v>
      </c>
      <c r="J32" s="44">
        <f t="shared" si="14"/>
        <v>700</v>
      </c>
      <c r="L32" s="45">
        <f>SUM(L4:L31)</f>
        <v>1272600</v>
      </c>
      <c r="M32" s="45">
        <f>SUM(M7:M31)</f>
        <v>145700</v>
      </c>
      <c r="N32" s="95">
        <f>SUM(N4:N31)</f>
        <v>9700</v>
      </c>
      <c r="O32" s="46">
        <f>SUM(O4:O31)</f>
        <v>824500</v>
      </c>
      <c r="P32" s="140">
        <f>SUM(P4:P31)</f>
        <v>816750</v>
      </c>
      <c r="R32" s="79">
        <f>SUM(R4:R31)</f>
        <v>294800</v>
      </c>
    </row>
    <row r="33" spans="3:15" x14ac:dyDescent="0.35">
      <c r="D33" s="120">
        <f>+D32*85</f>
        <v>59500</v>
      </c>
      <c r="F33" s="120">
        <f>+F32*85</f>
        <v>335750</v>
      </c>
      <c r="H33" s="120">
        <f>+H32*85</f>
        <v>369750</v>
      </c>
      <c r="J33" s="120">
        <f>+J32*85</f>
        <v>59500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1272600</v>
      </c>
      <c r="E36" s="43">
        <f>+D36-L4-L5-L6</f>
        <v>1214250</v>
      </c>
    </row>
    <row r="37" spans="3:15" x14ac:dyDescent="0.35">
      <c r="C37" s="47" t="s">
        <v>33</v>
      </c>
      <c r="D37" s="48">
        <f>D36*13%</f>
        <v>165438</v>
      </c>
      <c r="E37">
        <f>+D37-M4-M5-M6</f>
        <v>157838</v>
      </c>
    </row>
    <row r="38" spans="3:15" x14ac:dyDescent="0.35">
      <c r="C38" s="47" t="s">
        <v>30</v>
      </c>
      <c r="D38" s="30">
        <f>SUM(O4:O27)</f>
        <v>824500</v>
      </c>
      <c r="G38" s="100"/>
    </row>
    <row r="39" spans="3:15" ht="15" thickBot="1" x14ac:dyDescent="0.4">
      <c r="C39" s="49" t="s">
        <v>4</v>
      </c>
      <c r="D39" s="80">
        <f>+D36-D37-D38</f>
        <v>282662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282662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73 Roja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>24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26250</v>
      </c>
      <c r="D10" s="30">
        <f>IF(Vendedor7!$E$8="",0,Vendedor7!$E$8)</f>
        <v>0</v>
      </c>
      <c r="E10" s="180">
        <f>IF(Vendedor7!$C$12="",0,Vendedor7!$C$12)</f>
        <v>30450</v>
      </c>
      <c r="F10" s="30">
        <f>IF(Vendedor7!$E$12="",0,Vendedor7!$E$12)</f>
        <v>0</v>
      </c>
      <c r="G10" s="180">
        <f>IF(Vendedor7!$C$16="",0,Vendedor7!$C$16)</f>
        <v>49200</v>
      </c>
      <c r="H10" s="30">
        <f>IF(Vendedor7!$E$16="",0,Vendedor7!$E$16)</f>
        <v>0</v>
      </c>
      <c r="J10" s="42">
        <f t="shared" si="1"/>
        <v>105900</v>
      </c>
      <c r="K10" s="41">
        <f>J10*Vendedor7!J$16</f>
        <v>10590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95310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4950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4950</v>
      </c>
      <c r="K12" s="41">
        <f>J12*Vendedor9!J$13</f>
        <v>495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4455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500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22600</v>
      </c>
      <c r="D17" s="30">
        <f>IF(Vendedor14!$E$8="",0,Vendedor14!$E$8)</f>
        <v>0</v>
      </c>
      <c r="E17" s="180">
        <f>IF(Vendedor14!$C$12="",0,Vendedor14!$C$12)</f>
        <v>17800</v>
      </c>
      <c r="F17" s="30">
        <f>IF(Vendedor14!$E$12="",0,Vendedor14!$E$12)</f>
        <v>0</v>
      </c>
      <c r="G17" s="180">
        <f>IF(Vendedor14!$C$16="",0,Vendedor14!$C$16)</f>
        <v>38850</v>
      </c>
      <c r="H17" s="30">
        <f>IF(Vendedor14!$E$16="",0,Vendedor14!$E$16)</f>
        <v>200</v>
      </c>
      <c r="J17" s="42">
        <f t="shared" si="1"/>
        <v>79250</v>
      </c>
      <c r="K17" s="41">
        <f>J17*Vendedor14!J$17</f>
        <v>7925</v>
      </c>
      <c r="L17" s="42">
        <f t="shared" si="2"/>
        <v>0</v>
      </c>
      <c r="M17" s="42">
        <f t="shared" si="3"/>
        <v>200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71325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15950</v>
      </c>
      <c r="D18" s="30">
        <f>IF(Vendedor15!$E$8="",0,Vendedor15!$E$8)</f>
        <v>0</v>
      </c>
      <c r="E18" s="180">
        <f>IF(Vendedor15!$C$12="",0,Vendedor15!$C$12)</f>
        <v>6650</v>
      </c>
      <c r="F18" s="30">
        <f>IF(Vendedor15!$E$12="",0,Vendedor15!$E$12)</f>
        <v>0</v>
      </c>
      <c r="G18" s="180">
        <f>IF(Vendedor15!$C$16="",0,Vendedor15!$C$16)</f>
        <v>29250</v>
      </c>
      <c r="H18" s="30">
        <f>IF(Vendedor15!$E$16="",0,Vendedor15!$E$16)</f>
        <v>50</v>
      </c>
      <c r="J18" s="42">
        <f t="shared" ref="J18" si="5">+C18+E18+G18</f>
        <v>51850</v>
      </c>
      <c r="K18" s="41">
        <f>J18*Vendedor15!J$17</f>
        <v>5185</v>
      </c>
      <c r="L18" s="42">
        <f t="shared" si="2"/>
        <v>0</v>
      </c>
      <c r="M18" s="42">
        <f t="shared" si="3"/>
        <v>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46665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69750</v>
      </c>
      <c r="D33" s="44">
        <f>IF(PREMIOS!E8&lt;&gt;0,SUM(D4:D32),0)</f>
        <v>0</v>
      </c>
      <c r="E33" s="43">
        <f>SUM(E4:E32)</f>
        <v>54900</v>
      </c>
      <c r="F33" s="44">
        <f>IF(PREMIOS!E12&lt;&gt;0,SUM(F4:F32),0)</f>
        <v>0</v>
      </c>
      <c r="G33" s="43">
        <f>SUM(G4:G32)</f>
        <v>117800</v>
      </c>
      <c r="H33" s="44">
        <f>IF(PREMIOS!E16&lt;&gt;0,SUM(H4:H32),0)</f>
        <v>0</v>
      </c>
      <c r="J33" s="45">
        <f>SUM(J4:J32)</f>
        <v>242450</v>
      </c>
      <c r="K33" s="45">
        <f>SUM(K7:K32)</f>
        <v>24245</v>
      </c>
      <c r="L33" s="95">
        <f>SUM(L7:L32)</f>
        <v>0</v>
      </c>
      <c r="M33" s="95">
        <f>SUM(M7:M32)</f>
        <v>250</v>
      </c>
      <c r="N33" s="95">
        <f>SUM(N4:N27)</f>
        <v>0</v>
      </c>
      <c r="O33" s="95">
        <f>SUM(O4:O27)</f>
        <v>0</v>
      </c>
      <c r="Q33" s="79">
        <f>SUM(Q4:Q32)</f>
        <v>218205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242450</v>
      </c>
      <c r="E37" s="43">
        <f>+D37-J4-J5-J6</f>
        <v>242450</v>
      </c>
      <c r="F37" s="275"/>
      <c r="G37" s="275"/>
    </row>
    <row r="38" spans="3:17" ht="15" thickBot="1" x14ac:dyDescent="0.4">
      <c r="C38" s="47" t="s">
        <v>33</v>
      </c>
      <c r="D38" s="30">
        <f>D37*10%</f>
        <v>24245</v>
      </c>
      <c r="E38" s="43">
        <f>+D38-K4-K5-K6</f>
        <v>24245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218205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218205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56</v>
      </c>
      <c r="D2" s="268"/>
      <c r="E2" s="267">
        <f>DigitaPRIMERA!E2</f>
        <v>22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6300</v>
      </c>
      <c r="D4" s="78">
        <f>IF(Vendedor1!$E$19="",0,Vendedor1!$E$19)</f>
        <v>0</v>
      </c>
      <c r="E4" s="189">
        <f>IF(Vendedor1!$C$20="",0,Vendedor1!$C$20)</f>
        <v>1400</v>
      </c>
      <c r="F4" s="78">
        <f>IF(Vendedor1!$E$20="",0,Vendedor1!$E$20)</f>
        <v>0</v>
      </c>
      <c r="H4" s="42">
        <f>+C4+E4</f>
        <v>7700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3400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10050</v>
      </c>
      <c r="D8" s="30">
        <f>IF(Vendedor5!$E$19="",0,Vendedor5!$E$19)</f>
        <v>0</v>
      </c>
      <c r="E8" s="180">
        <f>IF(Vendedor5!$C$20="",0,Vendedor5!$C$20)</f>
        <v>5050</v>
      </c>
      <c r="F8" s="30">
        <f>IF(Vendedor5!$E$20="",0,Vendedor5!$E$20)</f>
        <v>0</v>
      </c>
      <c r="H8" s="133">
        <f t="shared" si="1"/>
        <v>15100</v>
      </c>
      <c r="I8" s="148">
        <f>MROUND(H8*Vendedor5!J$11,50)</f>
        <v>1800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13300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28350</v>
      </c>
      <c r="D10" s="30">
        <f>IF(Vendedor7!$E$19="",0,Vendedor7!$E$19)</f>
        <v>0</v>
      </c>
      <c r="E10" s="180">
        <f>IF(Vendedor7!$C$20="",0,Vendedor7!$C$20)</f>
        <v>30550</v>
      </c>
      <c r="F10" s="30">
        <f>IF(Vendedor7!$E$20="",0,Vendedor7!$E$20)</f>
        <v>0</v>
      </c>
      <c r="H10" s="42">
        <f t="shared" si="1"/>
        <v>58900</v>
      </c>
      <c r="I10" s="41">
        <f>MROUND(H10*Vendedor7!J$14,50)</f>
        <v>7050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51850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33500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33500</v>
      </c>
      <c r="I12" s="148">
        <f>MROUND(H12*Vendedor9!J$11,50)</f>
        <v>4000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29500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63000</v>
      </c>
      <c r="D17" s="30">
        <f>IF(Vendedor14!$E$19="",0,Vendedor14!$E$19)</f>
        <v>0</v>
      </c>
      <c r="E17" s="180">
        <f>IF(Vendedor14!$C$20="",0,Vendedor14!$C$20)</f>
        <v>28550</v>
      </c>
      <c r="F17" s="30">
        <f>IF(Vendedor14!$E$20="",0,Vendedor14!$E$20)</f>
        <v>100</v>
      </c>
      <c r="H17" s="42">
        <f t="shared" si="1"/>
        <v>91550</v>
      </c>
      <c r="I17" s="41">
        <f>MROUND(H17*Vendedor14!J$15,50)</f>
        <v>11000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72050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47100</v>
      </c>
      <c r="D18" s="30">
        <f>IF(Vendedor15!$E$19="",0,Vendedor15!$E$19)</f>
        <v>600</v>
      </c>
      <c r="E18" s="180">
        <f>IF(Vendedor15!$C$20="",0,Vendedor15!$C$20)</f>
        <v>12400</v>
      </c>
      <c r="F18" s="30">
        <f>IF(Vendedor15!$E$20="",0,Vendedor15!$E$20)</f>
        <v>4800</v>
      </c>
      <c r="H18" s="42">
        <f t="shared" si="1"/>
        <v>59500</v>
      </c>
      <c r="I18" s="41">
        <f>MROUND(H18*Vendedor15!J$15,50)</f>
        <v>7150</v>
      </c>
      <c r="J18" s="42">
        <f t="shared" si="2"/>
        <v>5400</v>
      </c>
      <c r="K18" s="42">
        <f t="shared" si="3"/>
        <v>459000</v>
      </c>
      <c r="L18" s="42">
        <f>Vendedor15!$F$19+Vendedor15!$F$20</f>
        <v>459000</v>
      </c>
      <c r="N18" s="42">
        <f t="shared" si="0"/>
        <v>-406650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191700</v>
      </c>
      <c r="D32" s="44">
        <f>SUM(D4:D31)</f>
        <v>600</v>
      </c>
      <c r="E32" s="43">
        <f>SUM(E4:E31)</f>
        <v>77950</v>
      </c>
      <c r="F32" s="44">
        <f>SUM(F4:F31)</f>
        <v>4900</v>
      </c>
      <c r="H32" s="95">
        <f>SUM(H4:H31)</f>
        <v>269650</v>
      </c>
      <c r="I32" s="45">
        <f>SUM(I7:I31)</f>
        <v>31000</v>
      </c>
      <c r="J32" s="95"/>
      <c r="K32" s="95">
        <f>SUM(K4:K31)</f>
        <v>467500</v>
      </c>
      <c r="L32" s="95">
        <f>SUM(L4:L31)</f>
        <v>467500</v>
      </c>
      <c r="N32" s="79">
        <f>SUM(N4:N31)</f>
        <v>-230300</v>
      </c>
    </row>
    <row r="33" spans="3:6" x14ac:dyDescent="0.35">
      <c r="D33" s="99">
        <f>+D32*85</f>
        <v>51000</v>
      </c>
      <c r="F33" s="99">
        <f>+F32*85</f>
        <v>416500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269650</v>
      </c>
      <c r="E36" s="43">
        <f>+D36-H4-H5-H6</f>
        <v>258550</v>
      </c>
    </row>
    <row r="37" spans="3:6" x14ac:dyDescent="0.35">
      <c r="C37" s="47" t="s">
        <v>33</v>
      </c>
      <c r="D37" s="48">
        <f>D36*13%</f>
        <v>35054.5</v>
      </c>
      <c r="E37">
        <f>+D37-I4-I5-I6</f>
        <v>33604.5</v>
      </c>
    </row>
    <row r="38" spans="3:6" ht="15" thickBot="1" x14ac:dyDescent="0.4">
      <c r="C38" s="47" t="s">
        <v>30</v>
      </c>
      <c r="D38" s="30">
        <f>SUM(K4:K27)</f>
        <v>467500</v>
      </c>
    </row>
    <row r="39" spans="3:6" ht="15" thickBot="1" x14ac:dyDescent="0.4">
      <c r="C39" s="49" t="s">
        <v>4</v>
      </c>
      <c r="D39" s="80">
        <f>+D36-D37-D38</f>
        <v>-232904.5</v>
      </c>
      <c r="F39" s="98">
        <f>+N32-D39</f>
        <v>2604.5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-232904.5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99</v>
      </c>
      <c r="D2" s="268"/>
      <c r="E2" s="267">
        <f>DigitaHONDURAS!E2</f>
        <v>29</v>
      </c>
      <c r="F2" s="268"/>
      <c r="G2" s="267">
        <f>DigitaHONDURAS!G2</f>
        <v>53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12350</v>
      </c>
      <c r="D10" s="30">
        <f>IF(Vendedor7!$E$21="",0,Vendedor7!$E$21)</f>
        <v>150</v>
      </c>
      <c r="E10" s="180">
        <f>IF(Vendedor7!$C$22="",0,Vendedor7!$C$22)</f>
        <v>6300</v>
      </c>
      <c r="F10" s="30">
        <f>IF(Vendedor7!$E$22="",0,Vendedor7!$E$22)</f>
        <v>0</v>
      </c>
      <c r="G10" s="180">
        <f>IF(Vendedor7!$C$23="",0,Vendedor7!$C$23)</f>
        <v>7800</v>
      </c>
      <c r="H10" s="30">
        <f>IF(Vendedor7!$E$23="",0,Vendedor7!$E$23)</f>
        <v>0</v>
      </c>
      <c r="J10" s="42">
        <f t="shared" si="0"/>
        <v>26450</v>
      </c>
      <c r="K10" s="41">
        <f>MROUND(J10*Vendedor7!J$14,50)</f>
        <v>3150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10550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8200</v>
      </c>
      <c r="K12" s="41">
        <f>MROUND(J12*Vendedor9!J$14,50)</f>
        <v>1000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7200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37300</v>
      </c>
      <c r="D17" s="30">
        <f>IF(Vendedor14!$E$21="",0,Vendedor14!$E$21)</f>
        <v>0</v>
      </c>
      <c r="E17" s="180">
        <f>IF(Vendedor14!$C$22="",0,Vendedor14!$C$22)</f>
        <v>4000</v>
      </c>
      <c r="F17" s="30">
        <f>IF(Vendedor14!$E$22="",0,Vendedor14!$E$22)</f>
        <v>0</v>
      </c>
      <c r="G17" s="180">
        <f>IF(Vendedor14!$C$23="",0,Vendedor14!$C$23)</f>
        <v>17700</v>
      </c>
      <c r="H17" s="30">
        <f>IF(Vendedor14!$E$23="",0,Vendedor14!$E$23)</f>
        <v>350</v>
      </c>
      <c r="J17" s="42">
        <f t="shared" si="0"/>
        <v>59000</v>
      </c>
      <c r="K17" s="41">
        <f>MROUND(J17*Vendedor14!J$15,50)</f>
        <v>7100</v>
      </c>
      <c r="L17" s="42">
        <f t="shared" si="1"/>
        <v>350</v>
      </c>
      <c r="M17" s="42">
        <f t="shared" si="3"/>
        <v>29750</v>
      </c>
      <c r="N17" s="42">
        <f>Vendedor14!$F$21+Vendedor14!$F$22+Vendedor14!$F$23</f>
        <v>29750</v>
      </c>
      <c r="P17" s="42">
        <f t="shared" si="2"/>
        <v>22150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21600</v>
      </c>
      <c r="D18" s="30">
        <f>IF(Vendedor15!$E$21="",0,Vendedor15!$E$21)</f>
        <v>0</v>
      </c>
      <c r="E18" s="180">
        <f>IF(Vendedor15!$C$22="",0,Vendedor15!$C$22)</f>
        <v>10750</v>
      </c>
      <c r="F18" s="30">
        <f>IF(Vendedor15!$E$22="",0,Vendedor15!$E$22)</f>
        <v>0</v>
      </c>
      <c r="G18" s="180">
        <f>IF(Vendedor15!$C$23="",0,Vendedor15!$C$23)</f>
        <v>7600</v>
      </c>
      <c r="H18" s="30">
        <f>IF(Vendedor15!$E$23="",0,Vendedor15!$E$23)</f>
        <v>200</v>
      </c>
      <c r="J18" s="42">
        <f t="shared" si="0"/>
        <v>39950</v>
      </c>
      <c r="K18" s="41">
        <f>MROUND(J18*Vendedor15!J$15,50)</f>
        <v>4800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18150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79450</v>
      </c>
      <c r="D32" s="44">
        <f t="shared" si="8"/>
        <v>150</v>
      </c>
      <c r="E32" s="43">
        <f t="shared" si="8"/>
        <v>21050</v>
      </c>
      <c r="F32" s="44">
        <f t="shared" si="8"/>
        <v>0</v>
      </c>
      <c r="G32" s="43">
        <f t="shared" si="8"/>
        <v>33100</v>
      </c>
      <c r="H32" s="44">
        <f t="shared" si="8"/>
        <v>550</v>
      </c>
      <c r="J32" s="95">
        <f>SUM(J4:J31)</f>
        <v>133600</v>
      </c>
      <c r="K32" s="45">
        <f>SUM(K7:K31)</f>
        <v>16050</v>
      </c>
      <c r="L32" s="95"/>
      <c r="M32" s="95">
        <f>SUM(M4:M31)</f>
        <v>59500</v>
      </c>
      <c r="N32" s="95">
        <f>SUM(N4:N31)</f>
        <v>59500</v>
      </c>
      <c r="P32" s="79">
        <f>SUM(P4:P31)</f>
        <v>58050</v>
      </c>
    </row>
    <row r="33" spans="3:8" x14ac:dyDescent="0.35">
      <c r="D33" s="99">
        <f>+D32*85</f>
        <v>12750</v>
      </c>
      <c r="F33" s="99">
        <f>+F32*85</f>
        <v>0</v>
      </c>
      <c r="H33" s="99">
        <f>+H32*85</f>
        <v>46750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133600</v>
      </c>
      <c r="E36" s="43">
        <f>+D36-J4-J5-J6</f>
        <v>133600</v>
      </c>
    </row>
    <row r="37" spans="3:8" x14ac:dyDescent="0.35">
      <c r="C37" s="47" t="s">
        <v>33</v>
      </c>
      <c r="D37" s="48">
        <f>D36*13%</f>
        <v>17368</v>
      </c>
      <c r="E37">
        <f>+D37-K4-K5-K6</f>
        <v>17368</v>
      </c>
    </row>
    <row r="38" spans="3:8" ht="15" thickBot="1" x14ac:dyDescent="0.4">
      <c r="C38" s="47" t="s">
        <v>30</v>
      </c>
      <c r="D38" s="30">
        <f>SUM(M4:M27)</f>
        <v>59500</v>
      </c>
      <c r="G38" s="100"/>
    </row>
    <row r="39" spans="3:8" ht="15" thickBot="1" x14ac:dyDescent="0.4">
      <c r="C39" s="49" t="s">
        <v>4</v>
      </c>
      <c r="D39" s="80">
        <f>+D36-D37-D38</f>
        <v>56732</v>
      </c>
      <c r="F39" s="98">
        <f>+P32-D39</f>
        <v>1318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56732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92</v>
      </c>
      <c r="D2" s="268"/>
      <c r="E2" s="267">
        <f>DigitaDOMINICANA!E2</f>
        <v>67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33500</v>
      </c>
      <c r="D10" s="30">
        <f>IF(Vendedor7!$E$24="",0,Vendedor7!$E$24)</f>
        <v>0</v>
      </c>
      <c r="E10" s="180">
        <f>IF(Vendedor7!$C$25="",0,Vendedor7!$C$25)</f>
        <v>40250</v>
      </c>
      <c r="F10" s="30">
        <f>IF(Vendedor7!$E$25="",0,Vendedor7!$E$25)</f>
        <v>1000</v>
      </c>
      <c r="H10" s="42">
        <f t="shared" si="1"/>
        <v>73750</v>
      </c>
      <c r="I10" s="41">
        <f>MROUND(H10*Vendedor7!J$14,50)</f>
        <v>8850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-20100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33500</v>
      </c>
      <c r="D32" s="44">
        <f>SUM(D4:D31)</f>
        <v>0</v>
      </c>
      <c r="E32" s="43">
        <f>SUM(E4:E31)</f>
        <v>40250</v>
      </c>
      <c r="F32" s="44">
        <f>SUM(F4:F31)</f>
        <v>1000</v>
      </c>
      <c r="H32" s="95">
        <f>SUM(H4:H31)</f>
        <v>73750</v>
      </c>
      <c r="I32" s="45">
        <f>SUM(I7:I31)</f>
        <v>8850</v>
      </c>
      <c r="J32" s="95"/>
      <c r="K32" s="95">
        <f>SUM(K4:K31)</f>
        <v>85000</v>
      </c>
      <c r="L32" s="95">
        <f>SUM(L4:L31)</f>
        <v>85000</v>
      </c>
      <c r="N32" s="79">
        <f>SUM(N4:N31)</f>
        <v>-20100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73750</v>
      </c>
      <c r="E36" s="43">
        <f>+D36-H4-H5-H6</f>
        <v>73750</v>
      </c>
    </row>
    <row r="37" spans="3:6" x14ac:dyDescent="0.35">
      <c r="C37" s="47" t="s">
        <v>33</v>
      </c>
      <c r="D37" s="48">
        <f>D36*13%</f>
        <v>9587.5</v>
      </c>
      <c r="E37">
        <f>+D37-I4-I5-I6</f>
        <v>9587.5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-20837.5</v>
      </c>
      <c r="F39" s="98">
        <f>+N32-D39</f>
        <v>737.5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-20837.5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1214250</v>
      </c>
      <c r="C4" s="157">
        <f>HojaNICA!M32</f>
        <v>145700</v>
      </c>
      <c r="D4" s="150">
        <f>HojaNICA!E37</f>
        <v>157838</v>
      </c>
      <c r="E4" s="150">
        <f>HojaNICA!P32</f>
        <v>816750</v>
      </c>
      <c r="F4" s="150">
        <f>HojaNICA!O32</f>
        <v>824500</v>
      </c>
      <c r="G4" s="151">
        <f t="shared" ref="G4:G10" si="0">+D4-C4+F4-E4</f>
        <v>19888</v>
      </c>
      <c r="H4" s="21"/>
      <c r="I4" s="182"/>
    </row>
    <row r="5" spans="1:9" x14ac:dyDescent="0.35">
      <c r="A5" s="28" t="s">
        <v>19</v>
      </c>
      <c r="B5" s="156">
        <f>HojaTICA!$E$36</f>
        <v>1496800</v>
      </c>
      <c r="C5" s="157">
        <f>HojaTICA!K32</f>
        <v>181250</v>
      </c>
      <c r="D5" s="150">
        <f>HojaTICA!E37</f>
        <v>194577</v>
      </c>
      <c r="E5" s="150">
        <f>HojaTICA!N32</f>
        <v>786250</v>
      </c>
      <c r="F5" s="150">
        <f>HojaTICA!D38</f>
        <v>786250</v>
      </c>
      <c r="G5" s="151">
        <f t="shared" si="0"/>
        <v>13327</v>
      </c>
      <c r="H5" s="21"/>
      <c r="I5" s="182"/>
    </row>
    <row r="6" spans="1:9" x14ac:dyDescent="0.35">
      <c r="A6" s="28" t="s">
        <v>125</v>
      </c>
      <c r="B6" s="156">
        <f>HojaREVENTADO!$E$37</f>
        <v>242450</v>
      </c>
      <c r="C6" s="157">
        <f>HojaREVENTADO!K33</f>
        <v>24245</v>
      </c>
      <c r="D6" s="150">
        <f>HojaREVENTADO!E38</f>
        <v>24245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258550</v>
      </c>
      <c r="C7" s="157">
        <f>HojaPrimera!I32</f>
        <v>31000</v>
      </c>
      <c r="D7" s="150">
        <f>HojaPrimera!E37</f>
        <v>33604.5</v>
      </c>
      <c r="E7" s="150">
        <f>HojaPrimera!L32</f>
        <v>467500</v>
      </c>
      <c r="F7" s="150">
        <f>HojaPrimera!K32</f>
        <v>467500</v>
      </c>
      <c r="G7" s="151">
        <f t="shared" si="0"/>
        <v>2604.5</v>
      </c>
      <c r="H7" s="21"/>
      <c r="I7" s="21"/>
    </row>
    <row r="8" spans="1:9" x14ac:dyDescent="0.35">
      <c r="A8" s="28" t="s">
        <v>104</v>
      </c>
      <c r="B8" s="156">
        <f>HojaHonduras!$E$36</f>
        <v>133600</v>
      </c>
      <c r="C8" s="157">
        <f>HojaHonduras!K32</f>
        <v>16050</v>
      </c>
      <c r="D8" s="150">
        <f>HojaHonduras!E37</f>
        <v>17368</v>
      </c>
      <c r="E8" s="150">
        <f>HojaHonduras!N32</f>
        <v>59500</v>
      </c>
      <c r="F8" s="150">
        <f>HojaHonduras!M32</f>
        <v>59500</v>
      </c>
      <c r="G8" s="151">
        <f t="shared" si="0"/>
        <v>1318</v>
      </c>
      <c r="H8" s="21"/>
      <c r="I8" s="21"/>
    </row>
    <row r="9" spans="1:9" x14ac:dyDescent="0.35">
      <c r="A9" s="28" t="s">
        <v>20</v>
      </c>
      <c r="B9" s="156">
        <f>HojaDominicana!$E$36</f>
        <v>73750</v>
      </c>
      <c r="C9" s="157">
        <f>HojaDominicana!I32</f>
        <v>8850</v>
      </c>
      <c r="D9" s="150">
        <f>HojaDominicana!E37</f>
        <v>9587.5</v>
      </c>
      <c r="E9" s="150">
        <f>HojaDominicana!L32</f>
        <v>85000</v>
      </c>
      <c r="F9" s="150">
        <f>HojaDominicana!K32</f>
        <v>85000</v>
      </c>
      <c r="G9" s="151">
        <f t="shared" si="0"/>
        <v>737.5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3419400</v>
      </c>
      <c r="C11" s="175">
        <f>SUM(C4:C10)</f>
        <v>407095</v>
      </c>
      <c r="D11" s="175">
        <f t="shared" ref="D11:F11" si="1">SUM(D4:D10)</f>
        <v>437220</v>
      </c>
      <c r="E11" s="175">
        <f t="shared" si="1"/>
        <v>2215000</v>
      </c>
      <c r="F11" s="175">
        <f t="shared" si="1"/>
        <v>2222750</v>
      </c>
      <c r="G11" s="176">
        <f>SUM(G4:G10)</f>
        <v>37875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17875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220900</v>
      </c>
      <c r="E16" s="157">
        <f>+Vendedor1!D21</f>
        <v>28717</v>
      </c>
      <c r="F16" s="158">
        <f>IF(D16&lt;&gt;0,15000,0)</f>
        <v>15000</v>
      </c>
      <c r="G16" s="151">
        <f>+E16-F16</f>
        <v>13717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184650</v>
      </c>
      <c r="E17" s="157">
        <f>+Vendedor2!D21</f>
        <v>24004.5</v>
      </c>
      <c r="F17" s="158">
        <f>IF(D17&lt;&gt;0,15000,0)</f>
        <v>15000</v>
      </c>
      <c r="G17" s="151">
        <f>+E17-F17</f>
        <v>9004.5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405550</v>
      </c>
      <c r="E19" s="159">
        <f>SUM(E16:E18)</f>
        <v>52721.5</v>
      </c>
      <c r="F19" s="160">
        <f>SUM(F16:F18)</f>
        <v>30000</v>
      </c>
      <c r="G19" s="161">
        <f>SUM(G16:G18)</f>
        <v>22721.5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40596.5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1272600</v>
      </c>
      <c r="C5" s="150">
        <f>HojaNICA!D37</f>
        <v>165438</v>
      </c>
      <c r="D5" s="150">
        <f>HojaNICA!D38</f>
        <v>824500</v>
      </c>
      <c r="E5" s="150"/>
      <c r="F5" s="151">
        <f>+B5-C5-D5+E5</f>
        <v>282662</v>
      </c>
      <c r="H5" s="249" t="s">
        <v>105</v>
      </c>
      <c r="I5" s="243">
        <f ca="1">TODAY()-2</f>
        <v>46137</v>
      </c>
      <c r="O5" s="119"/>
    </row>
    <row r="6" spans="1:15" ht="15" thickBot="1" x14ac:dyDescent="0.4">
      <c r="A6" s="47" t="s">
        <v>36</v>
      </c>
      <c r="B6" s="150">
        <f>HojaTICA!D36</f>
        <v>1832900</v>
      </c>
      <c r="C6" s="150">
        <f>HojaTICA!D37</f>
        <v>238277</v>
      </c>
      <c r="D6" s="150">
        <f>HojaTICA!D38</f>
        <v>786250</v>
      </c>
      <c r="E6" s="150"/>
      <c r="F6" s="151">
        <f t="shared" ref="F6:F11" si="0">+B6-C6-D6+E6</f>
        <v>808373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242450</v>
      </c>
      <c r="C7" s="150">
        <f>HojaREVENTADO!D38</f>
        <v>24245</v>
      </c>
      <c r="D7" s="150">
        <f>HojaREVENTADO!D39</f>
        <v>0</v>
      </c>
      <c r="E7" s="150"/>
      <c r="F7" s="151">
        <f t="shared" si="0"/>
        <v>218205</v>
      </c>
    </row>
    <row r="8" spans="1:15" x14ac:dyDescent="0.35">
      <c r="A8" s="47" t="s">
        <v>96</v>
      </c>
      <c r="B8" s="150">
        <f>HojaPrimera!$D36</f>
        <v>269650</v>
      </c>
      <c r="C8" s="150">
        <f>HojaPrimera!$D37</f>
        <v>35054.5</v>
      </c>
      <c r="D8" s="150">
        <f>HojaPrimera!$D38</f>
        <v>467500</v>
      </c>
      <c r="E8" s="150"/>
      <c r="F8" s="151">
        <f t="shared" si="0"/>
        <v>-232904.5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133600</v>
      </c>
      <c r="C9" s="150">
        <f>HojaHonduras!$D37</f>
        <v>17368</v>
      </c>
      <c r="D9" s="150">
        <f>HojaHonduras!$D38</f>
        <v>59500</v>
      </c>
      <c r="E9" s="150"/>
      <c r="F9" s="151">
        <f t="shared" si="0"/>
        <v>56732</v>
      </c>
      <c r="H9" s="250">
        <f>+K12-K10-H6</f>
        <v>1112230</v>
      </c>
    </row>
    <row r="10" spans="1:15" ht="15" thickBot="1" x14ac:dyDescent="0.4">
      <c r="A10" s="47" t="s">
        <v>20</v>
      </c>
      <c r="B10" s="150">
        <f>HojaDominicana!$D36</f>
        <v>73750</v>
      </c>
      <c r="C10" s="150">
        <f>HojaDominicana!$D37</f>
        <v>9587.5</v>
      </c>
      <c r="D10" s="150">
        <f>HojaDominicana!$D38</f>
        <v>85000</v>
      </c>
      <c r="E10" s="150"/>
      <c r="F10" s="151">
        <f t="shared" si="0"/>
        <v>-20837.5</v>
      </c>
      <c r="H10" s="154"/>
      <c r="J10" t="s">
        <v>148</v>
      </c>
      <c r="K10" s="252">
        <v>6586811.4100000001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7699041.4100000001</v>
      </c>
    </row>
    <row r="12" spans="1:15" ht="16" thickBot="1" x14ac:dyDescent="0.4">
      <c r="A12" s="144" t="s">
        <v>5</v>
      </c>
      <c r="B12" s="152">
        <f>SUM(B5:B11)</f>
        <v>3824950</v>
      </c>
      <c r="C12" s="152">
        <f>SUM(C5:C11)</f>
        <v>489970</v>
      </c>
      <c r="D12" s="152">
        <f>SUM(D5:D11)</f>
        <v>2222750</v>
      </c>
      <c r="E12" s="152"/>
      <c r="F12" s="255">
        <f>SUM(F5:F11)</f>
        <v>1112230</v>
      </c>
      <c r="H12" s="251">
        <f>K12</f>
        <v>7699041.4100000001</v>
      </c>
      <c r="J12" t="s">
        <v>140</v>
      </c>
      <c r="K12" s="254">
        <f>1307488.89+4418339.74+786134.8+1187077.98</f>
        <v>7699041.4100000001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183750</v>
      </c>
      <c r="K4" s="231">
        <f t="shared" ref="K4" si="0">D7+D11+D15</f>
        <v>23887.5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IF(DigitaNICA!C4&lt;&gt;"",DigitaNICA!C4,"")</f>
        <v>15550</v>
      </c>
      <c r="D5" s="42">
        <f>IF(C5="",0,C5*J$10)</f>
        <v>2021.5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5528.5</v>
      </c>
      <c r="I5" s="241" t="s">
        <v>37</v>
      </c>
      <c r="J5" s="221">
        <f>SUM(IF(C5="",0,C5),IF(C9="",0,C9),IF(C13="",0,C13),IF(C17="",0,C17))</f>
        <v>29450</v>
      </c>
      <c r="K5" s="225">
        <f t="shared" ref="K5" si="2">D5+D9+D13+D17</f>
        <v>3828.5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7700</v>
      </c>
      <c r="K6" s="228">
        <f>D19+D20</f>
        <v>1001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IF(DigitaTICA!C4&lt;&gt;"",DigitaTICA!C4,"")</f>
        <v>73900</v>
      </c>
      <c r="D7" s="42">
        <f>IF(C7="",0,C7*J$9)</f>
        <v>9607</v>
      </c>
      <c r="E7" s="29">
        <f>IF(DigitaTICA!D4&lt;&gt;"",DigitaTICA!D4,"")</f>
        <v>1000</v>
      </c>
      <c r="F7" s="42">
        <f>IF(E7="",0,E7*PREMIOS!F7)</f>
        <v>85000</v>
      </c>
      <c r="G7" s="30">
        <f t="shared" si="1"/>
        <v>-20707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IF(DigitaNICA!E4&lt;&gt;"",DigitaNICA!E4,"")</f>
        <v>11100</v>
      </c>
      <c r="D9" s="42">
        <f>IF(C9="",0,C9*J$10)</f>
        <v>1443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9657</v>
      </c>
      <c r="I9" s="76" t="s">
        <v>36</v>
      </c>
      <c r="J9" s="77">
        <v>0.13</v>
      </c>
      <c r="K9" s="78">
        <f>MROUND(D7+D11+D15,50)</f>
        <v>23900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3850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IF(DigitaTICA!E4&lt;&gt;"",DigitaTICA!E4,"")</f>
        <v>33700</v>
      </c>
      <c r="D11" s="42">
        <f>IF(C11="",0,C11*J$9)</f>
        <v>4381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29319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>
        <f>IF(DigitaNICA!G2&lt;&gt;"",DigitaNICA!G2,"")</f>
        <v>75</v>
      </c>
      <c r="C13" s="29">
        <f>IF(DigitaNICA!G4&lt;&gt;"",DigitaNICA!G4,"")</f>
        <v>1600</v>
      </c>
      <c r="D13" s="42">
        <f>IF(C13="",0,C13*J$10)</f>
        <v>208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1392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IF(DigitaTICA!G4&lt;&gt;"",DigitaTICA!G4,"")</f>
        <v>76150</v>
      </c>
      <c r="D15" s="42">
        <f>IF(C15="",0,C15*J$9)</f>
        <v>9899.5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66250.5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IF(DigitaNICA!I4&lt;&gt;"",DigitaNICA!I4,"")</f>
        <v>1200</v>
      </c>
      <c r="D17" s="42">
        <f>IF(C17="",0,C17*J$10)</f>
        <v>156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IF(DigitaPRIMERA!C4&lt;&gt;"",DigitaPRIMERA!C4,"")</f>
        <v>6300</v>
      </c>
      <c r="D19" s="42">
        <f>IF(C19="",0,C19*J$12)</f>
        <v>819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5481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1" t="s">
        <v>5</v>
      </c>
      <c r="B21" s="128"/>
      <c r="C21" s="122">
        <f>SUM(C5:C20)</f>
        <v>220900</v>
      </c>
      <c r="D21" s="122">
        <f t="shared" ref="D21:G21" si="6">SUM(D5:D20)</f>
        <v>28717</v>
      </c>
      <c r="E21" s="122">
        <f t="shared" si="6"/>
        <v>1100</v>
      </c>
      <c r="F21" s="122">
        <f t="shared" si="6"/>
        <v>93000</v>
      </c>
      <c r="G21" s="123">
        <f t="shared" si="6"/>
        <v>99183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152350</v>
      </c>
      <c r="K4" s="231">
        <f t="shared" ref="K4" si="0">D7+D11+D15</f>
        <v>19805.5</v>
      </c>
      <c r="L4" s="220">
        <f>F7+F11+F15</f>
        <v>259250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IF(DigitaNICA!C5&lt;&gt;"",DigitaNICA!C5,"")</f>
        <v>15500</v>
      </c>
      <c r="D5" s="42">
        <f>IF(C5="",0,C5*J$10)</f>
        <v>2015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13485</v>
      </c>
      <c r="I5" s="241" t="s">
        <v>37</v>
      </c>
      <c r="J5" s="221">
        <f>SUM(IF(C5="",0,C5),IF(C9="",0,C9),IF(C13="",0,C13),IF(C17="",0,C17))</f>
        <v>28900</v>
      </c>
      <c r="K5" s="225">
        <f t="shared" ref="K5" si="2">D5+D9+D13+D17</f>
        <v>3757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3400</v>
      </c>
      <c r="K6" s="228">
        <f>D19+D20</f>
        <v>442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IF(DigitaTICA!C5&lt;&gt;"",DigitaTICA!C5,"")</f>
        <v>41500</v>
      </c>
      <c r="D7" s="42">
        <f>IF(C7="",0,C7*J$9)</f>
        <v>5395</v>
      </c>
      <c r="E7" s="29">
        <f>IF(DigitaTICA!D5&lt;&gt;"",DigitaTICA!D5,"")</f>
        <v>800</v>
      </c>
      <c r="F7" s="42">
        <f>IF(E7="",0,E7*PREMIOS!F7)</f>
        <v>68000</v>
      </c>
      <c r="G7" s="30">
        <f t="shared" si="1"/>
        <v>-31895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IF(DigitaNICA!E5&lt;&gt;"",DigitaNICA!E5,"")</f>
        <v>7050</v>
      </c>
      <c r="D9" s="42">
        <f>IF(C9="",0,C9*J$10)</f>
        <v>916.5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6133.5</v>
      </c>
      <c r="I9" s="60" t="s">
        <v>36</v>
      </c>
      <c r="J9" s="61">
        <v>0.13</v>
      </c>
      <c r="K9" s="62">
        <f>MROUND(D7+D11+D15,50)</f>
        <v>19800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3750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IF(DigitaTICA!E5&lt;&gt;"",DigitaTICA!E5,"")</f>
        <v>41300</v>
      </c>
      <c r="D11" s="42">
        <f>IF(C11="",0,C11*J$9)</f>
        <v>5369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35931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75</v>
      </c>
      <c r="C13" s="29">
        <f>IF(DigitaNICA!G5&lt;&gt;"",DigitaNICA!G5,"")</f>
        <v>6350</v>
      </c>
      <c r="D13" s="42">
        <f>IF(C13="",0,C13*J$10)</f>
        <v>825.5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5524.5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IF(DigitaTICA!G5&lt;&gt;"",DigitaTICA!G5,"")</f>
        <v>69550</v>
      </c>
      <c r="D15" s="42">
        <f>IF(C15="",0,C15*J$9)</f>
        <v>9041.5</v>
      </c>
      <c r="E15" s="29">
        <f>IF(DigitaTICA!H5&lt;&gt;"",DigitaTICA!H5,"")</f>
        <v>2250</v>
      </c>
      <c r="F15" s="42">
        <f>IF(E15="",0,E15*PREMIOS!F15)</f>
        <v>191250</v>
      </c>
      <c r="G15" s="30">
        <f t="shared" si="3"/>
        <v>-130741.5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2958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184650</v>
      </c>
      <c r="D21" s="68">
        <f t="shared" ref="D21:G21" si="4">SUM(D5:D20)</f>
        <v>24004.5</v>
      </c>
      <c r="E21" s="68">
        <f t="shared" si="4"/>
        <v>3050</v>
      </c>
      <c r="F21" s="68">
        <f t="shared" si="4"/>
        <v>259250</v>
      </c>
      <c r="G21" s="88">
        <f t="shared" si="4"/>
        <v>-98604.5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152850</v>
      </c>
      <c r="K4" s="231">
        <f t="shared" ref="K4" si="0">D7+D11+D15</f>
        <v>18342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IF(DigitaNICA!C8&lt;&gt;"",DigitaNICA!C8,"")</f>
        <v>51550</v>
      </c>
      <c r="D5" s="42">
        <f>IF(C5="",0,C5*J$12)</f>
        <v>6186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45364</v>
      </c>
      <c r="I5" s="241" t="s">
        <v>37</v>
      </c>
      <c r="J5" s="221">
        <f>SUM(IF(C5="",0,C5),IF(C9="",0,C9),IF(C13="",0,C13),IF(C17="",0,C17))</f>
        <v>108950</v>
      </c>
      <c r="K5" s="225">
        <f t="shared" ref="K5" si="2">D5+D9+D13+D17</f>
        <v>13074</v>
      </c>
      <c r="L5" s="222">
        <f>F5+F9+F13+F17</f>
        <v>60000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IF(DigitaTICA!C8&lt;&gt;"",DigitaTICA!C8,"")</f>
        <v>63400</v>
      </c>
      <c r="D7" s="42">
        <f>IF(C7="",0,C7*J$11)</f>
        <v>7608</v>
      </c>
      <c r="E7" s="29">
        <f>IF(DigitaTICA!D8&lt;&gt;"",DigitaTICA!D8,"")</f>
        <v>100</v>
      </c>
      <c r="F7" s="42">
        <f>IF(E7="",0,E7*PREMIOS!F7)</f>
        <v>8500</v>
      </c>
      <c r="G7" s="30">
        <f t="shared" si="1"/>
        <v>47292</v>
      </c>
      <c r="I7" s="242" t="s">
        <v>96</v>
      </c>
      <c r="J7" s="224">
        <f>SUM(IF(C19="",0,C19),IF(C20="",0,C20))</f>
        <v>15100</v>
      </c>
      <c r="K7" s="228">
        <f>+D19+D20</f>
        <v>1812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IF(DigitaNICA!E8&lt;&gt;"",DigitaNICA!E8,"")</f>
        <v>35650</v>
      </c>
      <c r="D9" s="42">
        <f>IF(C9="",0,C9*J$12)</f>
        <v>4278</v>
      </c>
      <c r="E9" s="29">
        <f>IF(DigitaNICA!F8&lt;&gt;"",DigitaNICA!F8,"")</f>
        <v>750</v>
      </c>
      <c r="F9" s="42">
        <f>IF(E9="",0,E9*PREMIOS!E9)</f>
        <v>60000</v>
      </c>
      <c r="G9" s="30">
        <f t="shared" si="1"/>
        <v>-28628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IF(DigitaTICA!E8&lt;&gt;"",DigitaTICA!E8,"")</f>
        <v>33600</v>
      </c>
      <c r="D11" s="42">
        <f>IF(C11="",0,C11*J$11)</f>
        <v>4032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21068</v>
      </c>
      <c r="I11" s="60" t="s">
        <v>36</v>
      </c>
      <c r="J11" s="61">
        <v>0.12</v>
      </c>
      <c r="K11" s="62">
        <f>MROUND(D7+D11+D15,50)</f>
        <v>18350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13050</v>
      </c>
    </row>
    <row r="13" spans="1:12" x14ac:dyDescent="0.35">
      <c r="A13" s="28" t="s">
        <v>50</v>
      </c>
      <c r="B13" s="132">
        <f>IF(DigitaNICA!G2&lt;&gt;"",DigitaNICA!G2,"")</f>
        <v>75</v>
      </c>
      <c r="C13" s="29">
        <f>IF(DigitaNICA!G8&lt;&gt;"",DigitaNICA!G8,"")</f>
        <v>16450</v>
      </c>
      <c r="D13" s="42">
        <f>IF(C13="",0,C13*J$12)</f>
        <v>1974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14476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1800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IF(DigitaTICA!G8&lt;&gt;"",DigitaTICA!G8,"")</f>
        <v>55850</v>
      </c>
      <c r="D15" s="42">
        <f>IF(C15="",0,C15*J$11)</f>
        <v>6702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49148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IF(DigitaNICA!I8&lt;&gt;"",DigitaNICA!I8,"")</f>
        <v>5300</v>
      </c>
      <c r="D17" s="42">
        <f>IF(C17="",0,C17*J$12)</f>
        <v>636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4664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IF(DigitaPRIMERA!C8&lt;&gt;"",DigitaPRIMERA!C8,"")</f>
        <v>10050</v>
      </c>
      <c r="D19" s="42">
        <f>IF(C19="",0,C19*J$14)</f>
        <v>1206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8844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>
        <f>IF(DigitaPRIMERA!E8&lt;&gt;"",DigitaPRIMERA!E8,"")</f>
        <v>5050</v>
      </c>
      <c r="D20" s="42">
        <f>IF(C20="",0,C20*J$14)</f>
        <v>606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4444</v>
      </c>
    </row>
    <row r="21" spans="1:7" ht="15" thickBot="1" x14ac:dyDescent="0.4">
      <c r="A21" s="121" t="s">
        <v>5</v>
      </c>
      <c r="B21" s="128"/>
      <c r="C21" s="122">
        <f>SUM(C5:C20)</f>
        <v>276900</v>
      </c>
      <c r="D21" s="122">
        <f t="shared" ref="D21:G21" si="5">SUM(D5:D20)</f>
        <v>33228</v>
      </c>
      <c r="E21" s="122">
        <f t="shared" si="5"/>
        <v>950</v>
      </c>
      <c r="F21" s="122">
        <f t="shared" si="5"/>
        <v>77000</v>
      </c>
      <c r="G21" s="123">
        <f t="shared" si="5"/>
        <v>166672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495000</v>
      </c>
      <c r="K4" s="231">
        <f t="shared" ref="K4" si="0">D7+D11+D15</f>
        <v>59400</v>
      </c>
      <c r="L4" s="220">
        <f>F7+F11+F15</f>
        <v>93500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IF(DigitaNICA!C10&lt;&gt;"",DigitaNICA!C10,"")</f>
        <v>109000</v>
      </c>
      <c r="D5" s="42">
        <f>IF(C5="",0,C5*J$15)</f>
        <v>13080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95920</v>
      </c>
      <c r="I5" s="217" t="s">
        <v>37</v>
      </c>
      <c r="J5" s="221">
        <f>SUM(IF(C5="",0,C5),IF(C9="",0,C9),IF(C13="",0,C13),IF(C17="",0,C17))</f>
        <v>508950</v>
      </c>
      <c r="K5" s="225">
        <f t="shared" ref="K5" si="2">D5+D9+D13+D17</f>
        <v>61074</v>
      </c>
      <c r="L5" s="222">
        <f>F5+F9+F13+F17</f>
        <v>531250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105900</v>
      </c>
      <c r="K6" s="226">
        <f t="shared" ref="K6" si="3">+D8+D12+D16</f>
        <v>10590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29">
        <f>IF(DigitaTICA!C10&lt;&gt;"",DigitaTICA!C10,"")</f>
        <v>150500</v>
      </c>
      <c r="D7" s="42">
        <f>IF(C7="",0,C7*J$14)</f>
        <v>18060</v>
      </c>
      <c r="E7" s="29">
        <f>IF(DigitaTICA!D10&lt;&gt;"",DigitaTICA!D10,"")</f>
        <v>500</v>
      </c>
      <c r="F7" s="42">
        <f>IF(E7="",0,E7*PREMIOS!F7)</f>
        <v>42500</v>
      </c>
      <c r="G7" s="30">
        <f t="shared" si="1"/>
        <v>89940</v>
      </c>
      <c r="I7" s="217" t="s">
        <v>96</v>
      </c>
      <c r="J7" s="223">
        <f>SUM(IF(C19="",0,C19),IF(C20="",0,C20))</f>
        <v>58900</v>
      </c>
      <c r="K7" s="226">
        <f>+D19+D20</f>
        <v>7068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26250</v>
      </c>
      <c r="D8" s="42">
        <f>IF(C8="",0,C8*J$16)</f>
        <v>2625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23625</v>
      </c>
      <c r="I8" s="217" t="s">
        <v>104</v>
      </c>
      <c r="J8" s="223">
        <f>SUM(IF(C21="",0,C21),IF(C22="",0,C22),IF(C23="",0,C23))</f>
        <v>26450</v>
      </c>
      <c r="K8" s="226">
        <f t="shared" ref="K8" si="4">D21+D22+D23</f>
        <v>3174</v>
      </c>
      <c r="L8" s="227">
        <f>F21+F22+F23</f>
        <v>12750</v>
      </c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IF(DigitaNICA!E10&lt;&gt;"",DigitaNICA!E10,"")</f>
        <v>138750</v>
      </c>
      <c r="D9" s="42">
        <f>IF(C9="",0,C9*J$15)</f>
        <v>16650</v>
      </c>
      <c r="E9" s="29">
        <f>IF(DigitaNICA!F10&lt;&gt;"",DigitaNICA!F10,"")</f>
        <v>2000</v>
      </c>
      <c r="F9" s="42">
        <f>IF(E9="",0,E9*PREMIOS!F9)</f>
        <v>170000</v>
      </c>
      <c r="G9" s="30">
        <f t="shared" si="1"/>
        <v>-47900</v>
      </c>
      <c r="I9" s="217" t="s">
        <v>20</v>
      </c>
      <c r="J9" s="223">
        <f>SUM(IF(C24="",0,C24),IF(C25="",0,C25))</f>
        <v>73750</v>
      </c>
      <c r="K9" s="226">
        <f t="shared" ref="K9" si="5">+D24+D25</f>
        <v>8850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IF(DigitaTICA!E10&lt;&gt;"",DigitaTICA!E10,"")</f>
        <v>170200</v>
      </c>
      <c r="D11" s="42">
        <f>IF(C11="",0,C11*J$14)</f>
        <v>20424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132776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30450</v>
      </c>
      <c r="D12" s="42">
        <f>IF(C12="",0,C12*J$16)</f>
        <v>3045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27405</v>
      </c>
    </row>
    <row r="13" spans="1:12" ht="15" thickBot="1" x14ac:dyDescent="0.4">
      <c r="A13" s="28" t="s">
        <v>50</v>
      </c>
      <c r="B13" s="132">
        <f>IF(DigitaNICA!G2&lt;&gt;"",DigitaNICA!G2,"")</f>
        <v>75</v>
      </c>
      <c r="C13" s="29">
        <f>IF(DigitaNICA!G10&lt;&gt;"",DigitaNICA!G10,"")</f>
        <v>124300</v>
      </c>
      <c r="D13" s="42">
        <f>IF(C13="",0,C13*J$15)</f>
        <v>14916</v>
      </c>
      <c r="E13" s="29">
        <f>IF(DigitaNICA!H10&lt;&gt;"",DigitaNICA!H10,"")</f>
        <v>3750</v>
      </c>
      <c r="F13" s="42">
        <f>IF(E13="",0,E13*PREMIOS!F13)</f>
        <v>318750</v>
      </c>
      <c r="G13" s="30">
        <f>IF(OR(C13="",E13=""),0,C13-D13-F13)</f>
        <v>-209366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59400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IF(DigitaTICA!G10&lt;&gt;"",DigitaTICA!G10,"")</f>
        <v>174300</v>
      </c>
      <c r="D15" s="42">
        <f>IF(C15="",0,C15*J$14)</f>
        <v>20916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119384</v>
      </c>
      <c r="I15" s="63" t="s">
        <v>37</v>
      </c>
      <c r="J15" s="64">
        <v>0.12</v>
      </c>
      <c r="K15" s="30">
        <f>MROUND(D5+D9+D13+D17,50)</f>
        <v>61050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49200</v>
      </c>
      <c r="D16" s="42">
        <f>IF(C16="",0,C16*J$16)</f>
        <v>4920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44280</v>
      </c>
      <c r="I16" s="63" t="s">
        <v>38</v>
      </c>
      <c r="J16" s="64">
        <v>0.1</v>
      </c>
      <c r="K16" s="30">
        <f>MROUND(D6+D8+D10+D12+D14+D16+D18,50)</f>
        <v>10600</v>
      </c>
    </row>
    <row r="17" spans="1:11" x14ac:dyDescent="0.35">
      <c r="A17" s="28" t="s">
        <v>52</v>
      </c>
      <c r="B17" s="132">
        <f>IF(DigitaNICA!I2&lt;&gt;"",DigitaNICA!I2,"")</f>
        <v>39</v>
      </c>
      <c r="C17" s="29">
        <f>IF(DigitaNICA!I10&lt;&gt;"",DigitaNICA!I10,"")</f>
        <v>136900</v>
      </c>
      <c r="D17" s="42">
        <f>IF(C17="",0,C17*J$15)</f>
        <v>16428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77972</v>
      </c>
      <c r="I17" s="63" t="s">
        <v>96</v>
      </c>
      <c r="J17" s="64">
        <v>0.12</v>
      </c>
      <c r="K17" s="30">
        <f>MROUND(D19+D20,50)</f>
        <v>7050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3150</v>
      </c>
    </row>
    <row r="19" spans="1:11" x14ac:dyDescent="0.35">
      <c r="A19" s="28" t="s">
        <v>97</v>
      </c>
      <c r="B19" s="132">
        <f>IF(DigitaPRIMERA!C2&lt;&gt;"",DigitaPRIMERA!C2,"")</f>
        <v>56</v>
      </c>
      <c r="C19" s="29">
        <f>IF(DigitaPRIMERA!$C$10&lt;&gt;"",DigitaPRIMERA!$C$10,"")</f>
        <v>28350</v>
      </c>
      <c r="D19" s="42">
        <f>IF(C19="",0,C19*J$17)</f>
        <v>3402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24948</v>
      </c>
      <c r="I19" s="63" t="s">
        <v>20</v>
      </c>
      <c r="J19" s="64">
        <v>0.12</v>
      </c>
      <c r="K19" s="30">
        <f>MROUND(D24+D25,50)</f>
        <v>8850</v>
      </c>
    </row>
    <row r="20" spans="1:11" ht="15" thickBot="1" x14ac:dyDescent="0.4">
      <c r="A20" s="28" t="s">
        <v>98</v>
      </c>
      <c r="B20" s="132">
        <f>IF(DigitaPRIMERA!E2&lt;&gt;"",DigitaPRIMERA!E2,"")</f>
        <v>22</v>
      </c>
      <c r="C20" s="29">
        <f>IF(DigitaPRIMERA!$E$10&lt;&gt;"",DigitaPRIMERA!$E$10,"")</f>
        <v>30550</v>
      </c>
      <c r="D20" s="42">
        <f>IF(C20="",0,C20*J$17)</f>
        <v>3666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26884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99</v>
      </c>
      <c r="C21" s="29">
        <f>IF(DigitaHONDURAS!$C$10&lt;&gt;"",DigitaHONDURAS!$C$10,"")</f>
        <v>12350</v>
      </c>
      <c r="D21" s="42">
        <f>IF(C21="",0,C21*J$18)</f>
        <v>1482</v>
      </c>
      <c r="E21" s="29">
        <f>IF(DigitaHONDURAS!$D$10&lt;&gt;"",DigitaHONDURAS!$D$10,"")</f>
        <v>150</v>
      </c>
      <c r="F21" s="42">
        <f>IF(E21="",0,E21*PREMIOS!F20)</f>
        <v>12750</v>
      </c>
      <c r="G21" s="30">
        <f t="shared" si="7"/>
        <v>-1882</v>
      </c>
    </row>
    <row r="22" spans="1:11" x14ac:dyDescent="0.35">
      <c r="A22" s="28" t="s">
        <v>100</v>
      </c>
      <c r="B22" s="132">
        <f>IF(DigitaHONDURAS!E2&lt;&gt;"",DigitaHONDURAS!E2,"")</f>
        <v>29</v>
      </c>
      <c r="C22" s="29">
        <f>IF(DigitaHONDURAS!$E$10&lt;&gt;"",DigitaHONDURAS!$E$10,"")</f>
        <v>6300</v>
      </c>
      <c r="D22" s="42">
        <f>IF(C22="",0,C22*J$18)</f>
        <v>756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5544</v>
      </c>
    </row>
    <row r="23" spans="1:11" x14ac:dyDescent="0.35">
      <c r="A23" s="28" t="s">
        <v>101</v>
      </c>
      <c r="B23" s="132">
        <f>IF(DigitaHONDURAS!G2&lt;&gt;"",DigitaHONDURAS!G2,"")</f>
        <v>53</v>
      </c>
      <c r="C23" s="29">
        <f>IF(DigitaHONDURAS!$G$10&lt;&gt;"",DigitaHONDURAS!$G$10,"")</f>
        <v>7800</v>
      </c>
      <c r="D23" s="42">
        <f>IF(C23="",0,C23*J$18)</f>
        <v>936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6864</v>
      </c>
    </row>
    <row r="24" spans="1:11" x14ac:dyDescent="0.35">
      <c r="A24" s="28" t="s">
        <v>107</v>
      </c>
      <c r="B24" s="132">
        <f>IF(DigitaDOMINICANA!C2&lt;&gt;"",DigitaDOMINICANA!C2,"")</f>
        <v>92</v>
      </c>
      <c r="C24" s="29">
        <f>IF(DigitaDOMINICANA!$C$10&lt;&gt;"",DigitaDOMINICANA!$C$10,"")</f>
        <v>33500</v>
      </c>
      <c r="D24" s="42">
        <f>IF(C24="",0,C24*J$19)</f>
        <v>4020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29480</v>
      </c>
    </row>
    <row r="25" spans="1:11" x14ac:dyDescent="0.35">
      <c r="A25" s="28" t="s">
        <v>108</v>
      </c>
      <c r="B25" s="132">
        <f>IF(DigitaDOMINICANA!E2&lt;&gt;"",DigitaDOMINICANA!E2,"")</f>
        <v>67</v>
      </c>
      <c r="C25" s="29">
        <f>IF(DigitaDOMINICANA!$E$10&lt;&gt;"",DigitaDOMINICANA!$E$10,"")</f>
        <v>40250</v>
      </c>
      <c r="D25" s="42">
        <f>IF(C25="",0,C25*J$19)</f>
        <v>4830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-49580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1268950</v>
      </c>
      <c r="D27" s="68">
        <f t="shared" ref="D27:F27" si="9">SUM(D5:D26)</f>
        <v>150156</v>
      </c>
      <c r="E27" s="68">
        <f t="shared" si="9"/>
        <v>8500</v>
      </c>
      <c r="F27" s="68">
        <f t="shared" si="9"/>
        <v>722500</v>
      </c>
      <c r="G27" s="88">
        <f>SUM(G5:G26)</f>
        <v>396294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20800</v>
      </c>
      <c r="K4" s="231">
        <f t="shared" ref="K4" si="0">D7+D11+D15</f>
        <v>2496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IF(DigitaTICA!C11&lt;&gt;"",DigitaTICA!C11,"")</f>
        <v>10000</v>
      </c>
      <c r="D7" s="42">
        <f>IF(C7="",0,C7*J$11)</f>
        <v>1200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8800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IF(DigitaTICA!G11&lt;&gt;"",DigitaTICA!G11,"")</f>
        <v>10800</v>
      </c>
      <c r="D15" s="42">
        <f>IF(C15="",0,C15*J$11)</f>
        <v>1296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9504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20800</v>
      </c>
      <c r="D21" s="122">
        <f t="shared" ref="D21:G21" si="5">SUM(D5:D20)</f>
        <v>2496</v>
      </c>
      <c r="E21" s="122">
        <f t="shared" si="5"/>
        <v>0</v>
      </c>
      <c r="F21" s="122">
        <f t="shared" si="5"/>
        <v>0</v>
      </c>
      <c r="G21" s="123">
        <f t="shared" si="5"/>
        <v>18304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56850</v>
      </c>
      <c r="K4" s="231">
        <f>D7+D11+D15</f>
        <v>6822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IF(DigitaNICA!C12&lt;&gt;"",DigitaNICA!C12,"")</f>
        <v>26200</v>
      </c>
      <c r="D5" s="42">
        <f>IF(C5="",0,C5*J$12)</f>
        <v>3144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6056</v>
      </c>
      <c r="I5" s="217" t="s">
        <v>37</v>
      </c>
      <c r="J5" s="221">
        <f>SUM(IF(C5="",0,C5),IF(C9="",0,C9),IF(C13="",0,C13),IF(C17="",0,C17))</f>
        <v>39000</v>
      </c>
      <c r="K5" s="225">
        <f t="shared" ref="K5" si="1">D5+D9+D13+D17</f>
        <v>4680</v>
      </c>
      <c r="L5" s="222">
        <f>F5+F9+F13+F17</f>
        <v>17000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4950</v>
      </c>
      <c r="K6" s="226">
        <f t="shared" ref="K6" si="2">+D8+D12+D16</f>
        <v>495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29">
        <f>IF(DigitaTICA!C12&lt;&gt;"",DigitaTICA!C12,"")</f>
        <v>35850</v>
      </c>
      <c r="D7" s="42">
        <f>IF(C7="",0,C7*J$11)</f>
        <v>4302</v>
      </c>
      <c r="E7" s="29">
        <f>IF(DigitaTICA!D12&lt;&gt;"",DigitaTICA!D12,"")</f>
        <v>700</v>
      </c>
      <c r="F7" s="42">
        <f>IF(E7="",0,E7*PREMIOS!F7)</f>
        <v>59500</v>
      </c>
      <c r="G7" s="30">
        <f t="shared" si="0"/>
        <v>-27952</v>
      </c>
      <c r="I7" s="217" t="s">
        <v>96</v>
      </c>
      <c r="J7" s="223">
        <f>SUM(IF(C19="",0,C19),IF(C20="",0,C20))</f>
        <v>33500</v>
      </c>
      <c r="K7" s="226">
        <f>+D19+D20</f>
        <v>4020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4950</v>
      </c>
      <c r="D8" s="42">
        <f>IF(C8="",0,C8*J$13)</f>
        <v>495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4455</v>
      </c>
      <c r="I8" s="218" t="s">
        <v>104</v>
      </c>
      <c r="J8" s="224">
        <f>SUM(IF(C21="",0,C21),IF(C22="",0,C22),IF(C23="",0,C23))</f>
        <v>8200</v>
      </c>
      <c r="K8" s="228">
        <f>+D21+D22+D23</f>
        <v>984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IF(DigitaNICA!E12&lt;&gt;"",DigitaNICA!E12,"")</f>
        <v>12800</v>
      </c>
      <c r="D9" s="42">
        <f>IF(C9="",0,C9*J$12)</f>
        <v>1536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11264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IF(DigitaTICA!E12&lt;&gt;"",DigitaTICA!E12,"")</f>
        <v>21000</v>
      </c>
      <c r="D11" s="42">
        <f>IF(C11="",0,C11*J$11)</f>
        <v>2520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18480</v>
      </c>
      <c r="I11" s="60" t="s">
        <v>36</v>
      </c>
      <c r="J11" s="61">
        <v>0.12</v>
      </c>
      <c r="K11" s="62">
        <f>MROUND(D7+D11+D15,50)</f>
        <v>6800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4700</v>
      </c>
    </row>
    <row r="13" spans="1:12" x14ac:dyDescent="0.35">
      <c r="A13" s="28" t="s">
        <v>50</v>
      </c>
      <c r="B13" s="132">
        <f>IF(DigitaNICA!G2&lt;&gt;"",DigitaNICA!G2,"")</f>
        <v>75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4000</v>
      </c>
    </row>
    <row r="15" spans="1:12" ht="15" thickBot="1" x14ac:dyDescent="0.4">
      <c r="A15" s="28" t="s">
        <v>61</v>
      </c>
      <c r="B15" s="132">
        <f>IF(DigitaTICA!G2&lt;&gt;"",DigitaTICA!G2,"")</f>
        <v>24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1000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IF(DigitaPRIMERA!$C$12&lt;&gt;"",DigitaPRIMERA!$C$12,"")</f>
        <v>33500</v>
      </c>
      <c r="D19" s="42">
        <f>IF(C19="",0,C19*J$14)</f>
        <v>4020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29480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99</v>
      </c>
      <c r="C21" s="29">
        <f>IF(DigitaHONDURAS!$C$12&lt;&gt;"",DigitaHONDURAS!$C$12,"")</f>
        <v>8200</v>
      </c>
      <c r="D21" s="42">
        <f>IF(C21="",0,C21*J$15)</f>
        <v>984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7216</v>
      </c>
    </row>
    <row r="22" spans="1:7" x14ac:dyDescent="0.35">
      <c r="A22" s="28" t="s">
        <v>100</v>
      </c>
      <c r="B22" s="132">
        <f>IF(DigitaHONDURAS!E2&lt;&gt;"",DigitaHONDURAS!E2,"")</f>
        <v>29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142500</v>
      </c>
      <c r="D24" s="68">
        <f t="shared" ref="D24:G24" si="4">SUM(D5:D23)</f>
        <v>17001</v>
      </c>
      <c r="E24" s="68">
        <f t="shared" si="4"/>
        <v>900</v>
      </c>
      <c r="F24" s="68">
        <f t="shared" si="4"/>
        <v>76500</v>
      </c>
      <c r="G24" s="88">
        <f t="shared" si="4"/>
        <v>48999</v>
      </c>
    </row>
    <row r="27" spans="1:7" x14ac:dyDescent="0.35">
      <c r="G27" s="21">
        <v>180945</v>
      </c>
    </row>
    <row r="28" spans="1:7" x14ac:dyDescent="0.35">
      <c r="G28" s="141">
        <f>+G24+G27</f>
        <v>229944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74650</v>
      </c>
      <c r="K4" s="231">
        <f t="shared" ref="K4" si="0">D7+D11+D15</f>
        <v>8958</v>
      </c>
      <c r="L4" s="220">
        <f>F7+F11+F15</f>
        <v>42500</v>
      </c>
    </row>
    <row r="5" spans="1:12" ht="15" thickBot="1" x14ac:dyDescent="0.4">
      <c r="A5" s="28" t="s">
        <v>43</v>
      </c>
      <c r="B5" s="132">
        <f>IF(DigitaNICA!C2&lt;&gt;"",DigitaNICA!C2,"")</f>
        <v>68</v>
      </c>
      <c r="C5" s="29">
        <f>IF(DigitaNICA!C13&lt;&gt;"",DigitaNICA!C13,"")</f>
        <v>25250</v>
      </c>
      <c r="D5" s="42">
        <f>IF(C5="",0,C5*J$10)</f>
        <v>3030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22220</v>
      </c>
      <c r="I5" s="218" t="s">
        <v>37</v>
      </c>
      <c r="J5" s="232">
        <f>SUM(IF(C5="",0,C5),IF(C9="",0,C9),IF(C13="",0,C13),IF(C17="",0,C17))</f>
        <v>50750</v>
      </c>
      <c r="K5" s="233">
        <f t="shared" ref="K5" si="2">D5+D9+D13+D17</f>
        <v>6090</v>
      </c>
      <c r="L5" s="234">
        <f>F5+F9+F13+F17</f>
        <v>56000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IF(DigitaTICA!C13&lt;&gt;"",DigitaTICA!C13,"")</f>
        <v>35600</v>
      </c>
      <c r="D7" s="42">
        <f>IF(C7="",0,C7*J$9)</f>
        <v>4272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-11172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>
        <f>IF(DigitaNICA!E13&lt;&gt;"",DigitaNICA!E13,"")</f>
        <v>11100</v>
      </c>
      <c r="D9" s="42">
        <f>IF(C9="",0,C9*J$10)</f>
        <v>1332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-38232</v>
      </c>
      <c r="I9" s="60" t="s">
        <v>36</v>
      </c>
      <c r="J9" s="61">
        <v>0.12</v>
      </c>
      <c r="K9" s="62">
        <f>MROUND(D7+D11+D15,50)</f>
        <v>8950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6100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IF(DigitaTICA!E13&lt;&gt;"",DigitaTICA!E13,"")</f>
        <v>19550</v>
      </c>
      <c r="D11" s="42">
        <f>IF(C11="",0,C11*J$9)</f>
        <v>2346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17204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29">
        <f>IF(DigitaNICA!G13&lt;&gt;"",DigitaNICA!G13,"")</f>
        <v>10000</v>
      </c>
      <c r="D13" s="42">
        <f>IF(C13="",0,C13*J$10)</f>
        <v>1200</v>
      </c>
      <c r="E13" s="29">
        <f>IF(DigitaNICA!H13&lt;&gt;"",DigitaNICA!H13,"")</f>
        <v>100</v>
      </c>
      <c r="F13" s="133">
        <f>IF(E13="",0,E13*PREMIOS!E13)</f>
        <v>8000</v>
      </c>
      <c r="G13" s="30">
        <f>IF(OR(C13="",E13=""),0,C13-D13-F13)</f>
        <v>800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IF(DigitaTICA!G13&lt;&gt;"",DigitaTICA!G13,"")</f>
        <v>19500</v>
      </c>
      <c r="D15" s="42">
        <f>IF(C15="",0,C15*J$9)</f>
        <v>2340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17160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IF(DigitaNICA!I13&lt;&gt;"",DigitaNICA!I13,"")</f>
        <v>4400</v>
      </c>
      <c r="D17" s="42">
        <f>IF(C17="",0,C17*J$10)</f>
        <v>528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3872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125400</v>
      </c>
      <c r="D19" s="68">
        <f>MROUND(SUM(D5:D18),50)</f>
        <v>15050</v>
      </c>
      <c r="E19" s="68">
        <f>SUM(E5:E18)</f>
        <v>1200</v>
      </c>
      <c r="F19" s="68">
        <f>SUM(F5:F18)</f>
        <v>98500</v>
      </c>
      <c r="G19" s="88">
        <f>SUM(G5:G18)</f>
        <v>11852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55450</v>
      </c>
      <c r="K4" s="236">
        <f t="shared" ref="K4" si="0">D7+D11+D15</f>
        <v>8317.5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>
        <f>IF(DigitaTICA!C14&lt;&gt;"",DigitaTICA!C14,"")</f>
        <v>27800</v>
      </c>
      <c r="D7" s="42">
        <f>IF(C7="",0,C7*J$9)</f>
        <v>4170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23630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8300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IF(DigitaTICA!E14&lt;&gt;"",DigitaTICA!E14,"")</f>
        <v>8650</v>
      </c>
      <c r="D11" s="42">
        <f>IF(C11="",0,C11*J$9)</f>
        <v>1297.5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7352.5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IF(DigitaTICA!G14&lt;&gt;"",DigitaTICA!G14,"")</f>
        <v>19000</v>
      </c>
      <c r="D15" s="42">
        <f>IF(C15="",0,C15*J$9)</f>
        <v>2850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16150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55450</v>
      </c>
      <c r="D19" s="68">
        <f>MROUND(SUM(D5:D18),50)</f>
        <v>8300</v>
      </c>
      <c r="E19" s="68">
        <f>SUM(E5:E18)</f>
        <v>0</v>
      </c>
      <c r="F19" s="68">
        <f>SUM(F5:F18)</f>
        <v>0</v>
      </c>
      <c r="G19" s="88">
        <f>SUM(G5:G18)</f>
        <v>47132.5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45000</v>
      </c>
      <c r="K4" s="231">
        <f>D7+D11+D15</f>
        <v>5400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IF(DigitaNICA!C16&lt;&gt;"",DigitaNICA!C16,"")</f>
        <v>2800</v>
      </c>
      <c r="D5" s="42">
        <f>IF(C5="",0,C5*J$12)</f>
        <v>336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2464</v>
      </c>
      <c r="I5" s="63" t="s">
        <v>37</v>
      </c>
      <c r="J5" s="225">
        <f>SUM(IF(C5="",0,C5),IF(C9="",0,C9),IF(C13="",0,C13),IF(C17="",0,C17))</f>
        <v>15400</v>
      </c>
      <c r="K5" s="225">
        <f t="shared" ref="K5" si="1">D5+D9+D13+D17</f>
        <v>1848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29">
        <f>IF(DigitaTICA!C16&lt;&gt;"",DigitaTICA!C16,"")</f>
        <v>9050</v>
      </c>
      <c r="D7" s="42">
        <f>IF(C7="",0,C7*J$11)</f>
        <v>1086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7964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57</v>
      </c>
      <c r="C9" s="29">
        <f>IF(DigitaNICA!E16&lt;&gt;"",DigitaNICA!E16,"")</f>
        <v>400</v>
      </c>
      <c r="D9" s="42">
        <f>IF(C9="",0,C9*J$12)</f>
        <v>48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352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IF(DigitaTICA!E16&lt;&gt;"",DigitaTICA!E16,"")</f>
        <v>5000</v>
      </c>
      <c r="D11" s="42">
        <f>IF(C11="",0,C11*J$11)</f>
        <v>600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4400</v>
      </c>
      <c r="I11" s="76" t="s">
        <v>36</v>
      </c>
      <c r="J11" s="77">
        <v>0.12</v>
      </c>
      <c r="K11" s="78">
        <f>MROUND(D7+D11+D15,50)</f>
        <v>5400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1850</v>
      </c>
    </row>
    <row r="13" spans="1:12" x14ac:dyDescent="0.35">
      <c r="A13" s="28" t="s">
        <v>50</v>
      </c>
      <c r="B13" s="132">
        <f>IF(DigitaNICA!G2&lt;&gt;"",DigitaNICA!G2,"")</f>
        <v>75</v>
      </c>
      <c r="C13" s="29">
        <f>IF(DigitaNICA!G16&lt;&gt;"",DigitaNICA!G16,"")</f>
        <v>2000</v>
      </c>
      <c r="D13" s="42">
        <f>IF(C13="",0,C13*J$12)</f>
        <v>240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1760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24</v>
      </c>
      <c r="C15" s="29">
        <f>IF(DigitaTICA!G16&lt;&gt;"",DigitaTICA!G16,"")</f>
        <v>30950</v>
      </c>
      <c r="D15" s="42">
        <f>IF(C15="",0,C15*J$11)</f>
        <v>3714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27236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500</v>
      </c>
      <c r="D16" s="42">
        <f>IF(C16="",0,C16*J$13)</f>
        <v>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IF(DigitaNICA!I16&lt;&gt;"",DigitaNICA!I16,"")</f>
        <v>10200</v>
      </c>
      <c r="D17" s="42">
        <f>IF(C17="",0,C17*J$12)</f>
        <v>1224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8976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60900</v>
      </c>
      <c r="D24" s="122">
        <f t="shared" ref="D24:G24" si="5">SUM(D5:D23)</f>
        <v>7298</v>
      </c>
      <c r="E24" s="122">
        <f t="shared" si="5"/>
        <v>0</v>
      </c>
      <c r="F24" s="122">
        <f t="shared" si="5"/>
        <v>0</v>
      </c>
      <c r="G24" s="123">
        <f t="shared" si="5"/>
        <v>53602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421150</v>
      </c>
      <c r="K4" s="231">
        <f t="shared" ref="K4" si="0">D7+D11+D15</f>
        <v>50538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68</v>
      </c>
      <c r="C5" s="89">
        <f>IF(DigitaNICA!C17&lt;&gt;"",DigitaNICA!C17,"")</f>
        <v>89850</v>
      </c>
      <c r="D5" s="42">
        <f>IF(C5="",0,C5*J$16)</f>
        <v>10782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79068</v>
      </c>
      <c r="I5" s="217" t="s">
        <v>37</v>
      </c>
      <c r="J5" s="221">
        <f>SUM(IF(C5="",0,C5),IF(C9="",0,C9),IF(C13="",0,C13),IF(C17="",0,C17))</f>
        <v>346950</v>
      </c>
      <c r="K5" s="225">
        <f t="shared" ref="K5" si="2">D5+D9+D13+D17</f>
        <v>41634</v>
      </c>
      <c r="L5" s="222">
        <f>F5+F9+F13+F17</f>
        <v>93500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79250</v>
      </c>
      <c r="K6" s="226">
        <f t="shared" ref="K6" si="3">+D8+D12+D16</f>
        <v>7925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73</v>
      </c>
      <c r="C7" s="89">
        <f>IF(DigitaTICA!C17&lt;&gt;"",DigitaTICA!C17,"")</f>
        <v>139650</v>
      </c>
      <c r="D7" s="42">
        <f>IF(C7="",0,C7*J$15)</f>
        <v>16758</v>
      </c>
      <c r="E7" s="89">
        <f>IF(DigitaTICA!D17&lt;&gt;"",DigitaTICA!D17,"")</f>
        <v>100</v>
      </c>
      <c r="F7" s="42">
        <f>IF(E7="",0,E7*PREMIOS!F7)</f>
        <v>8500</v>
      </c>
      <c r="G7" s="90">
        <f t="shared" si="1"/>
        <v>114392</v>
      </c>
      <c r="I7" s="217" t="s">
        <v>96</v>
      </c>
      <c r="J7" s="223">
        <f>SUM(IF(C19="",0,C19),IF(C20="",0,C20))</f>
        <v>91550</v>
      </c>
      <c r="K7" s="226">
        <f>+D19+D20</f>
        <v>10986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22600</v>
      </c>
      <c r="D8" s="42">
        <f>IF(C8="",0,C8*J$17)</f>
        <v>2260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20340</v>
      </c>
      <c r="I8" s="217" t="s">
        <v>104</v>
      </c>
      <c r="J8" s="223">
        <f>SUM(IF(C21="",0,C21),IF(C22="",0,C22),IF(C23="",0,C23))</f>
        <v>59000</v>
      </c>
      <c r="K8" s="226">
        <f t="shared" ref="K8" si="4">D21+D22+D23</f>
        <v>7080</v>
      </c>
      <c r="L8" s="227">
        <f>F21+F22+F23</f>
        <v>29750</v>
      </c>
    </row>
    <row r="9" spans="1:12" x14ac:dyDescent="0.35">
      <c r="A9" s="28" t="s">
        <v>48</v>
      </c>
      <c r="B9" s="132">
        <f>IF(DigitaNICA!E2&lt;&gt;"",DigitaNICA!E2,"")</f>
        <v>57</v>
      </c>
      <c r="C9" s="89">
        <f>IF(DigitaNICA!E17&lt;&gt;"",DigitaNICA!E17,"")</f>
        <v>83950</v>
      </c>
      <c r="D9" s="42">
        <f>IF(C9="",0,C9*J$16)</f>
        <v>10074</v>
      </c>
      <c r="E9" s="89">
        <f>IF(DigitaNICA!F17&lt;&gt;"",DigitaNICA!F17,"")</f>
        <v>600</v>
      </c>
      <c r="F9" s="42">
        <f>IF(E9="",0,E9*PREMIOS!F9)</f>
        <v>51000</v>
      </c>
      <c r="G9" s="90">
        <f t="shared" si="1"/>
        <v>22876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89">
        <f>IF(DigitaTICA!E17&lt;&gt;"",DigitaTICA!E17,"")</f>
        <v>90400</v>
      </c>
      <c r="D11" s="42">
        <f>IF(C11="",0,C11*J$15)</f>
        <v>10848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79552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17800</v>
      </c>
      <c r="D12" s="42">
        <f>IF(C12="",0,C12*J$17)</f>
        <v>1780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16020</v>
      </c>
    </row>
    <row r="13" spans="1:12" ht="15" thickBot="1" x14ac:dyDescent="0.4">
      <c r="A13" s="28" t="s">
        <v>50</v>
      </c>
      <c r="B13" s="132">
        <f>IF(DigitaNICA!G2&lt;&gt;"",DigitaNICA!G2,"")</f>
        <v>75</v>
      </c>
      <c r="C13" s="89">
        <f>IF(DigitaNICA!G17&lt;&gt;"",DigitaNICA!G17,"")</f>
        <v>44300</v>
      </c>
      <c r="D13" s="42">
        <f>IF(C13="",0,C13*J$16)</f>
        <v>5316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-3516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24</v>
      </c>
      <c r="C15" s="89">
        <f>IF(DigitaTICA!G17&lt;&gt;"",DigitaTICA!G17,"")</f>
        <v>191100</v>
      </c>
      <c r="D15" s="42">
        <f>IF(C15="",0,C15*J$15)</f>
        <v>22932</v>
      </c>
      <c r="E15" s="89">
        <f>IF(DigitaTICA!H17&lt;&gt;"",DigitaTICA!H17,"")</f>
        <v>2150</v>
      </c>
      <c r="F15" s="42">
        <f>IF(E15="",0,E15*PREMIOS!F15)</f>
        <v>182750</v>
      </c>
      <c r="G15" s="90">
        <f t="shared" si="6"/>
        <v>-14582</v>
      </c>
      <c r="I15" s="76" t="s">
        <v>36</v>
      </c>
      <c r="J15" s="77">
        <v>0.12</v>
      </c>
      <c r="K15" s="78">
        <f>MROUND(D7+D11+D15,50)</f>
        <v>50550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38850</v>
      </c>
      <c r="D16" s="42">
        <f>IF(C16="",0,C16*J$17)</f>
        <v>3885</v>
      </c>
      <c r="E16" s="89">
        <f>IF(DigitaREVENTADO!H17&lt;&gt;"",DigitaREVENTADO!H17,"")</f>
        <v>200</v>
      </c>
      <c r="F16" s="42">
        <f>IF(E16="",0,E16*PREMIOS!F16)</f>
        <v>0</v>
      </c>
      <c r="G16" s="90">
        <f t="shared" si="6"/>
        <v>34965</v>
      </c>
      <c r="I16" s="63" t="s">
        <v>37</v>
      </c>
      <c r="J16" s="64">
        <v>0.12</v>
      </c>
      <c r="K16" s="30">
        <f>MROUND(D5+D9+D13+D17,50)</f>
        <v>41650</v>
      </c>
    </row>
    <row r="17" spans="1:11" x14ac:dyDescent="0.35">
      <c r="A17" s="28" t="s">
        <v>52</v>
      </c>
      <c r="B17" s="132">
        <f>IF(DigitaNICA!I2&lt;&gt;"",DigitaNICA!I2,"")</f>
        <v>39</v>
      </c>
      <c r="C17" s="89">
        <f>IF(DigitaNICA!I17&lt;&gt;"",DigitaNICA!I17,"")</f>
        <v>128850</v>
      </c>
      <c r="D17" s="42">
        <f>IF(C17="",0,C17*J$16)</f>
        <v>15462</v>
      </c>
      <c r="E17" s="89">
        <f>IF(DigitaNICA!J17&lt;&gt;"",DigitaNICA!J17,"")</f>
        <v>0</v>
      </c>
      <c r="F17" s="42">
        <f>IF(E17="",0,E17*PREMIOS!F17)</f>
        <v>0</v>
      </c>
      <c r="G17" s="90">
        <f t="shared" si="6"/>
        <v>113388</v>
      </c>
      <c r="I17" s="63" t="s">
        <v>38</v>
      </c>
      <c r="J17" s="64">
        <v>0.1</v>
      </c>
      <c r="K17" s="30">
        <f>MROUND(D6+D8+D10+D12+D14+D16+D18,50)</f>
        <v>7950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11000</v>
      </c>
    </row>
    <row r="19" spans="1:11" x14ac:dyDescent="0.35">
      <c r="A19" s="28" t="s">
        <v>97</v>
      </c>
      <c r="B19" s="132">
        <f>IF(DigitaPRIMERA!C2&lt;&gt;"",DigitaPRIMERA!C2,"")</f>
        <v>56</v>
      </c>
      <c r="C19" s="29">
        <f>IF(DigitaPRIMERA!$C$17&lt;&gt;"",DigitaPRIMERA!$C$17,"")</f>
        <v>63000</v>
      </c>
      <c r="D19" s="42">
        <f>IF(C19="",0,C19*J$18)</f>
        <v>7560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55440</v>
      </c>
      <c r="I19" s="63" t="s">
        <v>104</v>
      </c>
      <c r="J19" s="64">
        <v>0.12</v>
      </c>
      <c r="K19" s="30">
        <f>MROUND(D21+D22+D23,50)</f>
        <v>7100</v>
      </c>
    </row>
    <row r="20" spans="1:11" x14ac:dyDescent="0.35">
      <c r="A20" s="28" t="s">
        <v>98</v>
      </c>
      <c r="B20" s="132">
        <f>IF(DigitaPRIMERA!E2&lt;&gt;"",DigitaPRIMERA!E2,"")</f>
        <v>22</v>
      </c>
      <c r="C20" s="29">
        <f>IF(DigitaPRIMERA!$E$17&lt;&gt;"",DigitaPRIMERA!$E$17,"")</f>
        <v>28550</v>
      </c>
      <c r="D20" s="42">
        <f>IF(C20="",0,C20*J$18)</f>
        <v>3426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16624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99</v>
      </c>
      <c r="C21" s="29">
        <f>IF(DigitaHONDURAS!$C$17&lt;&gt;"",DigitaHONDURAS!$C$17,"")</f>
        <v>37300</v>
      </c>
      <c r="D21" s="42">
        <f>IF(C21="",0,C21*J$19)</f>
        <v>4476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32824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29</v>
      </c>
      <c r="C22" s="29">
        <f>IF(DigitaHONDURAS!$E$17&lt;&gt;"",DigitaHONDURAS!$E$17,"")</f>
        <v>4000</v>
      </c>
      <c r="D22" s="42">
        <f>IF(C22="",0,C22*J$19)</f>
        <v>480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3520</v>
      </c>
    </row>
    <row r="23" spans="1:11" x14ac:dyDescent="0.35">
      <c r="A23" s="28" t="s">
        <v>101</v>
      </c>
      <c r="B23" s="132">
        <f>IF(DigitaHONDURAS!G2&lt;&gt;"",DigitaHONDURAS!G2,"")</f>
        <v>53</v>
      </c>
      <c r="C23" s="29">
        <f>IF(DigitaHONDURAS!$G$17&lt;&gt;"",DigitaHONDURAS!$G$17,"")</f>
        <v>17700</v>
      </c>
      <c r="D23" s="42">
        <f>IF(C23="",0,C23*J$19)</f>
        <v>2124</v>
      </c>
      <c r="E23" s="29">
        <f>IF(DigitaHONDURAS!$H$17&lt;&gt;"",DigitaHONDURAS!$H$17,"")</f>
        <v>350</v>
      </c>
      <c r="F23" s="42">
        <f>IF(E23="",0,E23*PREMIOS!F20)</f>
        <v>29750</v>
      </c>
      <c r="G23" s="30">
        <f t="shared" si="6"/>
        <v>-14174</v>
      </c>
    </row>
    <row r="24" spans="1:11" x14ac:dyDescent="0.35">
      <c r="A24" s="28" t="s">
        <v>102</v>
      </c>
      <c r="B24" s="132">
        <f>IF(DigitaDOMINICANA!C2&lt;&gt;"",DigitaDOMINICANA!C2,"")</f>
        <v>92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997900</v>
      </c>
      <c r="D27" s="68">
        <f t="shared" ref="D27:G27" si="7">SUM(D5:D26)</f>
        <v>118163</v>
      </c>
      <c r="E27" s="68">
        <f t="shared" si="7"/>
        <v>4000</v>
      </c>
      <c r="F27" s="68">
        <f t="shared" si="7"/>
        <v>323000</v>
      </c>
      <c r="G27" s="88">
        <f t="shared" si="7"/>
        <v>556737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175050</v>
      </c>
      <c r="K4" s="231">
        <f t="shared" ref="K4" si="0">D7+D11+D15</f>
        <v>21006</v>
      </c>
      <c r="L4" s="220">
        <f>F7+F11+F15</f>
        <v>38250</v>
      </c>
    </row>
    <row r="5" spans="1:12" x14ac:dyDescent="0.35">
      <c r="A5" s="28" t="str">
        <f>+Vendedor1!A5</f>
        <v>Nica 11am</v>
      </c>
      <c r="B5" s="132">
        <f>IF(DigitaNICA!C2&lt;&gt;"",DigitaNICA!C2,"")</f>
        <v>68</v>
      </c>
      <c r="C5" s="29">
        <f>IF(DigitaNICA!C18&lt;&gt;"",DigitaNICA!C18,"")</f>
        <v>55150</v>
      </c>
      <c r="D5" s="42">
        <f>IF(C5="",0,C5*J$16)</f>
        <v>6618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14532</v>
      </c>
      <c r="I5" s="217" t="s">
        <v>37</v>
      </c>
      <c r="J5" s="221">
        <f>SUM(IF(C5="",0,C5),IF(C9="",0,C9),IF(C13="",0,C13),IF(C17="",0,C17))</f>
        <v>144250</v>
      </c>
      <c r="K5" s="225">
        <f t="shared" ref="K5" si="2">D5+D9+D13+D17</f>
        <v>17310</v>
      </c>
      <c r="L5" s="222">
        <f>F5+F9+F13+F17</f>
        <v>51000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51850</v>
      </c>
      <c r="K6" s="226">
        <f t="shared" ref="K6" si="3">+D8+D12+D16</f>
        <v>5185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73</v>
      </c>
      <c r="C7" s="29">
        <f>IF(DigitaTICA!C18&lt;&gt;"",DigitaTICA!C18,"")</f>
        <v>63850</v>
      </c>
      <c r="D7" s="42">
        <f>IF(C7="",0,C7*J$15)</f>
        <v>7662</v>
      </c>
      <c r="E7" s="29">
        <f>IF(DigitaTICA!D18&lt;&gt;"",DigitaTICA!D18,"")</f>
        <v>350</v>
      </c>
      <c r="F7" s="42">
        <f>IF(E7="",0,E7*PREMIOS!F7)</f>
        <v>29750</v>
      </c>
      <c r="G7" s="30">
        <f t="shared" si="1"/>
        <v>26438</v>
      </c>
      <c r="I7" s="217" t="s">
        <v>96</v>
      </c>
      <c r="J7" s="223">
        <f>SUM(IF(C19="",0,C19),IF(C20="",0,C20))</f>
        <v>59500</v>
      </c>
      <c r="K7" s="226">
        <f>+D19+D20</f>
        <v>7140</v>
      </c>
      <c r="L7" s="227">
        <f>+F19+F20</f>
        <v>459000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15950</v>
      </c>
      <c r="D8" s="42">
        <f>IF(C8="",0,C8*J$17)</f>
        <v>1595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14355</v>
      </c>
      <c r="I8" s="217" t="s">
        <v>104</v>
      </c>
      <c r="J8" s="223">
        <f>SUM(IF(C21="",0,C21),IF(C22="",0,C22),IF(C23="",0,C23))</f>
        <v>39950</v>
      </c>
      <c r="K8" s="226">
        <f t="shared" ref="K8" si="4">D21+D22+D23</f>
        <v>4794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57</v>
      </c>
      <c r="C9" s="29">
        <f>IF(DigitaNICA!E18&lt;&gt;"",DigitaNICA!E18,"")</f>
        <v>54050</v>
      </c>
      <c r="D9" s="42">
        <f>IF(C9="",0,C9*J$16)</f>
        <v>6486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47564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IF(DigitaTICA!E18&lt;&gt;"",DigitaTICA!E18,"")</f>
        <v>34200</v>
      </c>
      <c r="D11" s="42">
        <f>IF(C11="",0,C11*J$15)</f>
        <v>4104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30096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6650</v>
      </c>
      <c r="D12" s="42">
        <f>IF(C12="",0,C12*J$17)</f>
        <v>665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5985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75</v>
      </c>
      <c r="C13" s="29">
        <f>IF(DigitaNICA!G18&lt;&gt;"",DigitaNICA!G18,"")</f>
        <v>25450</v>
      </c>
      <c r="D13" s="42">
        <f>IF(C13="",0,C13*J$16)</f>
        <v>3054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22396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24</v>
      </c>
      <c r="C15" s="29">
        <f>IF(DigitaTICA!G18&lt;&gt;"",DigitaTICA!G18,"")</f>
        <v>77000</v>
      </c>
      <c r="D15" s="42">
        <f>IF(C15="",0,C15*J$15)</f>
        <v>9240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59260</v>
      </c>
      <c r="I15" s="76" t="s">
        <v>36</v>
      </c>
      <c r="J15" s="77">
        <v>0.12</v>
      </c>
      <c r="K15" s="78">
        <f>MROUND(D7+D11+D15,50)</f>
        <v>21000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29250</v>
      </c>
      <c r="D16" s="42">
        <f>IF(C16="",0,C16*J$17)</f>
        <v>2925</v>
      </c>
      <c r="E16" s="29">
        <f>IF(DigitaREVENTADO!H18&lt;&gt;"",DigitaREVENTADO!H18,"")</f>
        <v>50</v>
      </c>
      <c r="F16" s="42">
        <f>IF(E16="",0,E16*PREMIOS!F16)</f>
        <v>0</v>
      </c>
      <c r="G16" s="30">
        <f t="shared" si="6"/>
        <v>26325</v>
      </c>
      <c r="I16" s="63" t="s">
        <v>37</v>
      </c>
      <c r="J16" s="64">
        <v>0.12</v>
      </c>
      <c r="K16" s="30">
        <f>MROUND(D5+D9+D13+D17,50)</f>
        <v>17300</v>
      </c>
    </row>
    <row r="17" spans="1:11" x14ac:dyDescent="0.35">
      <c r="A17" s="28" t="str">
        <f>+Vendedor1!A17</f>
        <v>Nica 9pm</v>
      </c>
      <c r="B17" s="132">
        <f>IF(DigitaNICA!I2&lt;&gt;"",DigitaNICA!I2,"")</f>
        <v>39</v>
      </c>
      <c r="C17" s="29">
        <f>IF(DigitaNICA!I18&lt;&gt;"",DigitaNICA!I18,"")</f>
        <v>9600</v>
      </c>
      <c r="D17" s="42">
        <f>IF(C17="",0,C17*J$16)</f>
        <v>1152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-8552</v>
      </c>
      <c r="I17" s="63" t="s">
        <v>38</v>
      </c>
      <c r="J17" s="64">
        <v>0.1</v>
      </c>
      <c r="K17" s="30">
        <f>MROUND(D6+D8+D10+D12+D14+D16+D18,50)</f>
        <v>5200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7150</v>
      </c>
    </row>
    <row r="19" spans="1:11" x14ac:dyDescent="0.35">
      <c r="A19" s="28" t="s">
        <v>97</v>
      </c>
      <c r="B19" s="132">
        <f>IF(DigitaPRIMERA!C2&lt;&gt;"",DigitaPRIMERA!C2,"")</f>
        <v>56</v>
      </c>
      <c r="C19" s="29">
        <f>IF(DigitaPRIMERA!$C$18&lt;&gt;"",DigitaPRIMERA!$C$18,"")</f>
        <v>47100</v>
      </c>
      <c r="D19" s="42">
        <f>IF(C19="",0,C19*J$18)</f>
        <v>5652</v>
      </c>
      <c r="E19" s="29">
        <f>IF(DigitaPRIMERA!$D$18&lt;&gt;"",DigitaPRIMERA!$D$18,"")</f>
        <v>600</v>
      </c>
      <c r="F19" s="42">
        <f>IF(E19="",0,E19*PREMIOS!F19)</f>
        <v>51000</v>
      </c>
      <c r="G19" s="30">
        <f t="shared" si="6"/>
        <v>-9552</v>
      </c>
      <c r="I19" s="63" t="s">
        <v>104</v>
      </c>
      <c r="J19" s="64">
        <v>0.12</v>
      </c>
      <c r="K19" s="30">
        <f>MROUND(D21+D22+D23,50)</f>
        <v>4800</v>
      </c>
    </row>
    <row r="20" spans="1:11" x14ac:dyDescent="0.35">
      <c r="A20" s="28" t="s">
        <v>98</v>
      </c>
      <c r="B20" s="132">
        <f>IF(DigitaPRIMERA!E2&lt;&gt;"",DigitaPRIMERA!E2,"")</f>
        <v>22</v>
      </c>
      <c r="C20" s="29">
        <f>IF(DigitaPRIMERA!$E$18&lt;&gt;"",DigitaPRIMERA!$E$18,"")</f>
        <v>12400</v>
      </c>
      <c r="D20" s="42">
        <f>IF(C20="",0,C20*J$18)</f>
        <v>1488</v>
      </c>
      <c r="E20" s="29">
        <f>IF(DigitaPRIMERA!$F$18&lt;&gt;"",DigitaPRIMERA!$F$18,"")</f>
        <v>4800</v>
      </c>
      <c r="F20" s="42">
        <f>IF(E20="",0,E20*PREMIOS!F19)</f>
        <v>408000</v>
      </c>
      <c r="G20" s="30">
        <f t="shared" si="6"/>
        <v>-397088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99</v>
      </c>
      <c r="C21" s="29">
        <f>IF(DigitaHONDURAS!$C$18&lt;&gt;"",DigitaHONDURAS!$C$18,"")</f>
        <v>21600</v>
      </c>
      <c r="D21" s="42">
        <f>IF(C21="",0,C21*J$19)</f>
        <v>2592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19008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29</v>
      </c>
      <c r="C22" s="29">
        <f>IF(DigitaHONDURAS!$E$18&lt;&gt;"",DigitaHONDURAS!$E$18,"")</f>
        <v>10750</v>
      </c>
      <c r="D22" s="42">
        <f>IF(C22="",0,C22*J$19)</f>
        <v>1290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9460</v>
      </c>
    </row>
    <row r="23" spans="1:11" x14ac:dyDescent="0.35">
      <c r="A23" s="28" t="s">
        <v>101</v>
      </c>
      <c r="B23" s="132">
        <f>IF(DigitaHONDURAS!G2&lt;&gt;"",DigitaHONDURAS!G2,"")</f>
        <v>53</v>
      </c>
      <c r="C23" s="29">
        <f>IF(DigitaHONDURAS!$G$18&lt;&gt;"",DigitaHONDURAS!$G$18,"")</f>
        <v>7600</v>
      </c>
      <c r="D23" s="42">
        <f>IF(C23="",0,C23*J$19)</f>
        <v>912</v>
      </c>
      <c r="E23" s="29">
        <f>IF(DigitaHONDURAS!$H$18&lt;&gt;"",DigitaHONDURAS!$H$18,"")</f>
        <v>200</v>
      </c>
      <c r="F23" s="42">
        <f>IF(E23="",0,E23*PREMIOS!F20)</f>
        <v>17000</v>
      </c>
      <c r="G23" s="30">
        <f t="shared" si="6"/>
        <v>-10312</v>
      </c>
    </row>
    <row r="24" spans="1:11" x14ac:dyDescent="0.35">
      <c r="A24" s="28" t="s">
        <v>102</v>
      </c>
      <c r="B24" s="132">
        <f>IF(DigitaDOMINICANA!C2&lt;&gt;"",DigitaDOMINICANA!C2,"")</f>
        <v>92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470600</v>
      </c>
      <c r="D27" s="68">
        <f t="shared" ref="D27:G27" si="7">SUM(D5:D26)</f>
        <v>55435</v>
      </c>
      <c r="E27" s="68">
        <f t="shared" si="7"/>
        <v>6700</v>
      </c>
      <c r="F27" s="68">
        <f t="shared" si="7"/>
        <v>565250</v>
      </c>
      <c r="G27" s="88">
        <f t="shared" si="7"/>
        <v>-150085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73</v>
      </c>
      <c r="D2" s="268"/>
      <c r="E2" s="267">
        <f>IF(PREMIOS!$B11="","",PREMIOS!$B11)</f>
        <v>92</v>
      </c>
      <c r="F2" s="268"/>
      <c r="G2" s="267">
        <f>IF(PREMIOS!$B15="","",PREMIOS!$B15)</f>
        <v>24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73900</v>
      </c>
      <c r="D4" s="78">
        <v>1000</v>
      </c>
      <c r="E4" s="189">
        <v>33700</v>
      </c>
      <c r="F4" s="78">
        <f t="shared" ref="D4:H27" si="0">IF(E4="","",0)</f>
        <v>0</v>
      </c>
      <c r="G4" s="189">
        <v>76150</v>
      </c>
      <c r="H4" s="78">
        <f t="shared" si="0"/>
        <v>0</v>
      </c>
      <c r="J4" s="42">
        <f t="shared" ref="J4:J8" si="1">+C4+E4+G4</f>
        <v>183750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41500</v>
      </c>
      <c r="D5" s="30">
        <v>800</v>
      </c>
      <c r="E5" s="180">
        <v>41300</v>
      </c>
      <c r="F5" s="30">
        <f t="shared" si="0"/>
        <v>0</v>
      </c>
      <c r="G5" s="180">
        <v>69550</v>
      </c>
      <c r="H5" s="30">
        <v>2250</v>
      </c>
      <c r="J5" s="42">
        <f t="shared" si="1"/>
        <v>152350</v>
      </c>
      <c r="K5" s="42">
        <f t="shared" ref="K5:K27" si="2">IF(D5="",0,IF(F5="",D5,IF(H5="",D5+F5,D5+F5+H5)))</f>
        <v>3050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63400</v>
      </c>
      <c r="D8" s="30">
        <v>100</v>
      </c>
      <c r="E8" s="180">
        <v>33600</v>
      </c>
      <c r="F8" s="30">
        <v>100</v>
      </c>
      <c r="G8" s="180">
        <v>55850</v>
      </c>
      <c r="H8" s="30">
        <f t="shared" si="0"/>
        <v>0</v>
      </c>
      <c r="J8" s="42">
        <f t="shared" si="1"/>
        <v>152850</v>
      </c>
      <c r="K8" s="42">
        <f t="shared" si="2"/>
        <v>200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69400+81100</f>
        <v>150500</v>
      </c>
      <c r="D10" s="30">
        <v>500</v>
      </c>
      <c r="E10" s="180">
        <f>60900+109300</f>
        <v>170200</v>
      </c>
      <c r="F10" s="30">
        <v>200</v>
      </c>
      <c r="G10" s="180">
        <f>68600+105700</f>
        <v>174300</v>
      </c>
      <c r="H10" s="30">
        <f>400+0</f>
        <v>400</v>
      </c>
      <c r="J10" s="42">
        <f t="shared" si="3"/>
        <v>495000</v>
      </c>
      <c r="K10" s="42">
        <f t="shared" si="2"/>
        <v>1100</v>
      </c>
    </row>
    <row r="11" spans="1:11" x14ac:dyDescent="0.35">
      <c r="A11" s="47">
        <v>8</v>
      </c>
      <c r="B11" s="178" t="str">
        <f>Vendedor8!$B$2</f>
        <v>ISA</v>
      </c>
      <c r="C11" s="180">
        <v>10000</v>
      </c>
      <c r="D11" s="30">
        <f t="shared" si="0"/>
        <v>0</v>
      </c>
      <c r="E11" s="180"/>
      <c r="F11" s="30" t="str">
        <f t="shared" si="0"/>
        <v/>
      </c>
      <c r="G11" s="180">
        <v>10800</v>
      </c>
      <c r="H11" s="30">
        <f t="shared" si="0"/>
        <v>0</v>
      </c>
      <c r="J11" s="42">
        <f t="shared" si="3"/>
        <v>20800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35850</v>
      </c>
      <c r="D12" s="30">
        <v>700</v>
      </c>
      <c r="E12" s="180">
        <v>21000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56850</v>
      </c>
      <c r="K12" s="42">
        <f t="shared" si="2"/>
        <v>700</v>
      </c>
    </row>
    <row r="13" spans="1:11" x14ac:dyDescent="0.35">
      <c r="A13" s="47">
        <v>10</v>
      </c>
      <c r="B13" s="178" t="str">
        <f>Vendedor10!$B$2</f>
        <v>MARIALIZ</v>
      </c>
      <c r="C13" s="180">
        <v>35600</v>
      </c>
      <c r="D13" s="30">
        <v>500</v>
      </c>
      <c r="E13" s="180">
        <v>19550</v>
      </c>
      <c r="F13" s="30">
        <f t="shared" si="0"/>
        <v>0</v>
      </c>
      <c r="G13" s="180">
        <v>19500</v>
      </c>
      <c r="H13" s="30">
        <f t="shared" si="0"/>
        <v>0</v>
      </c>
      <c r="J13" s="42">
        <f t="shared" si="3"/>
        <v>74650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27800</v>
      </c>
      <c r="D14" s="30">
        <f t="shared" si="0"/>
        <v>0</v>
      </c>
      <c r="E14" s="180">
        <v>8650</v>
      </c>
      <c r="F14" s="30">
        <f t="shared" si="0"/>
        <v>0</v>
      </c>
      <c r="G14" s="180">
        <v>19000</v>
      </c>
      <c r="H14" s="30">
        <f t="shared" si="0"/>
        <v>0</v>
      </c>
      <c r="J14" s="42">
        <f t="shared" si="3"/>
        <v>55450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9050</v>
      </c>
      <c r="D16" s="30">
        <f t="shared" si="0"/>
        <v>0</v>
      </c>
      <c r="E16" s="180">
        <v>5000</v>
      </c>
      <c r="F16" s="30">
        <f t="shared" si="0"/>
        <v>0</v>
      </c>
      <c r="G16" s="180">
        <v>30950</v>
      </c>
      <c r="H16" s="30">
        <f t="shared" si="0"/>
        <v>0</v>
      </c>
      <c r="J16" s="42">
        <f t="shared" si="3"/>
        <v>45000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111250+28400</f>
        <v>139650</v>
      </c>
      <c r="D17" s="30">
        <f>100+0</f>
        <v>100</v>
      </c>
      <c r="E17" s="180">
        <f>71500+18900</f>
        <v>90400</v>
      </c>
      <c r="F17" s="30">
        <f t="shared" si="0"/>
        <v>0</v>
      </c>
      <c r="G17" s="180">
        <f>140950+50150</f>
        <v>191100</v>
      </c>
      <c r="H17" s="30">
        <f>1900+250</f>
        <v>2150</v>
      </c>
      <c r="J17" s="42">
        <f t="shared" si="3"/>
        <v>421150</v>
      </c>
      <c r="K17" s="42">
        <f t="shared" si="2"/>
        <v>2250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47400+16450</f>
        <v>63850</v>
      </c>
      <c r="D18" s="30">
        <f>350+0</f>
        <v>350</v>
      </c>
      <c r="E18" s="180">
        <f>24550+9650</f>
        <v>34200</v>
      </c>
      <c r="F18" s="30">
        <f t="shared" si="0"/>
        <v>0</v>
      </c>
      <c r="G18" s="180">
        <f>40450+36550</f>
        <v>77000</v>
      </c>
      <c r="H18" s="30">
        <v>100</v>
      </c>
      <c r="J18" s="42">
        <f t="shared" si="3"/>
        <v>175050</v>
      </c>
      <c r="K18" s="42">
        <f t="shared" si="2"/>
        <v>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651100</v>
      </c>
      <c r="D32" s="44">
        <f t="shared" si="6"/>
        <v>4050</v>
      </c>
      <c r="E32" s="43">
        <f t="shared" si="6"/>
        <v>457600</v>
      </c>
      <c r="F32" s="44">
        <f t="shared" si="6"/>
        <v>300</v>
      </c>
      <c r="G32" s="43">
        <f t="shared" si="6"/>
        <v>724200</v>
      </c>
      <c r="H32" s="44">
        <f t="shared" si="6"/>
        <v>4900</v>
      </c>
      <c r="J32" s="95">
        <f>SUM(J4:J31)</f>
        <v>1832900</v>
      </c>
      <c r="K32" s="95"/>
    </row>
    <row r="33" spans="2:8" x14ac:dyDescent="0.35">
      <c r="D33" s="99">
        <f>+D32*85</f>
        <v>344250</v>
      </c>
      <c r="F33" s="99">
        <f>+F32*85</f>
        <v>25500</v>
      </c>
      <c r="H33" s="99">
        <f>+H32*85</f>
        <v>416500</v>
      </c>
    </row>
    <row r="34" spans="2:8" x14ac:dyDescent="0.35">
      <c r="B34" s="247" t="s">
        <v>149</v>
      </c>
      <c r="C34" s="43">
        <f t="shared" ref="C34:H34" si="7">+C4+C5+C6+C8+C13</f>
        <v>214400</v>
      </c>
      <c r="D34" s="43" t="e">
        <f t="shared" si="7"/>
        <v>#VALUE!</v>
      </c>
      <c r="E34" s="43">
        <f t="shared" si="7"/>
        <v>128150</v>
      </c>
      <c r="F34" s="43" t="e">
        <f t="shared" si="7"/>
        <v>#VALUE!</v>
      </c>
      <c r="G34" s="43">
        <f t="shared" si="7"/>
        <v>221050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241300</v>
      </c>
      <c r="D35" s="43" t="e">
        <f t="shared" ref="D35:H35" si="8">+D11+D14+D15+D17+D18</f>
        <v>#VALUE!</v>
      </c>
      <c r="E35" s="43">
        <f t="shared" si="8"/>
        <v>133250</v>
      </c>
      <c r="F35" s="43" t="e">
        <f t="shared" si="8"/>
        <v>#VALUE!</v>
      </c>
      <c r="G35" s="43">
        <f t="shared" si="8"/>
        <v>297900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186350</v>
      </c>
      <c r="D36" s="43" t="e">
        <f t="shared" ref="D36:H36" si="9">+D10+D12+D27</f>
        <v>#VALUE!</v>
      </c>
      <c r="E36" s="43">
        <f t="shared" si="9"/>
        <v>191200</v>
      </c>
      <c r="F36" s="43" t="e">
        <f t="shared" si="9"/>
        <v>#VALUE!</v>
      </c>
      <c r="G36" s="43">
        <f t="shared" si="9"/>
        <v>174300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68</v>
      </c>
      <c r="D2" s="268"/>
      <c r="E2" s="267">
        <f>IF(PREMIOS!$B9="","",PREMIOS!$B9)</f>
        <v>57</v>
      </c>
      <c r="F2" s="268"/>
      <c r="G2" s="267">
        <f>IF(PREMIOS!$B13="","",PREMIOS!$B13)</f>
        <v>75</v>
      </c>
      <c r="H2" s="268"/>
      <c r="I2" s="267">
        <f>IF(PREMIOS!$B17="","",PREMIOS!$B17)</f>
        <v>39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15550</v>
      </c>
      <c r="D4" s="78">
        <v>100</v>
      </c>
      <c r="E4" s="206">
        <v>11100</v>
      </c>
      <c r="F4" s="78">
        <f t="shared" ref="D4:J27" si="0">IF(E4="","",0)</f>
        <v>0</v>
      </c>
      <c r="G4" s="189">
        <v>1600</v>
      </c>
      <c r="H4" s="78">
        <f t="shared" ref="H4:H27" si="1">IF(G4="","",0)</f>
        <v>0</v>
      </c>
      <c r="I4" s="189">
        <v>1200</v>
      </c>
      <c r="J4" s="78">
        <f t="shared" si="0"/>
        <v>0</v>
      </c>
      <c r="L4" s="42">
        <f t="shared" ref="L4:L8" si="2">+C4+E4+G4+I4</f>
        <v>29450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15500</v>
      </c>
      <c r="D5" s="30">
        <f t="shared" si="0"/>
        <v>0</v>
      </c>
      <c r="E5" s="207">
        <v>7050</v>
      </c>
      <c r="F5" s="30">
        <f t="shared" si="0"/>
        <v>0</v>
      </c>
      <c r="G5" s="180">
        <v>6350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28900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51550</v>
      </c>
      <c r="D8" s="30">
        <f t="shared" si="0"/>
        <v>0</v>
      </c>
      <c r="E8" s="207">
        <v>35650</v>
      </c>
      <c r="F8" s="30">
        <v>750</v>
      </c>
      <c r="G8" s="180">
        <v>16450</v>
      </c>
      <c r="H8" s="30">
        <f t="shared" si="1"/>
        <v>0</v>
      </c>
      <c r="I8" s="180">
        <v>5300</v>
      </c>
      <c r="J8" s="30">
        <f t="shared" si="0"/>
        <v>0</v>
      </c>
      <c r="L8" s="42">
        <f t="shared" si="2"/>
        <v>108950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30500+78500</f>
        <v>109000</v>
      </c>
      <c r="D10" s="30">
        <f t="shared" si="0"/>
        <v>0</v>
      </c>
      <c r="E10" s="207">
        <f>39700+99050</f>
        <v>138750</v>
      </c>
      <c r="F10" s="30">
        <v>2000</v>
      </c>
      <c r="G10" s="180">
        <f>33500+90800</f>
        <v>124300</v>
      </c>
      <c r="H10" s="30">
        <f>1500+2250</f>
        <v>3750</v>
      </c>
      <c r="I10" s="180">
        <f>58000+78900</f>
        <v>136900</v>
      </c>
      <c r="J10" s="30">
        <v>500</v>
      </c>
      <c r="L10" s="42">
        <f t="shared" si="5"/>
        <v>508950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26200</v>
      </c>
      <c r="D12" s="30">
        <v>200</v>
      </c>
      <c r="E12" s="207">
        <v>12800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39000</v>
      </c>
      <c r="M12" s="42">
        <f t="shared" si="4"/>
        <v>200</v>
      </c>
    </row>
    <row r="13" spans="1:13" x14ac:dyDescent="0.35">
      <c r="A13" s="47">
        <v>10</v>
      </c>
      <c r="B13" s="178" t="str">
        <f>Vendedor10!$B$2</f>
        <v>MARIALIZ</v>
      </c>
      <c r="C13" s="180">
        <v>25250</v>
      </c>
      <c r="D13" s="30">
        <f t="shared" si="0"/>
        <v>0</v>
      </c>
      <c r="E13" s="207">
        <v>11100</v>
      </c>
      <c r="F13" s="30">
        <v>600</v>
      </c>
      <c r="G13" s="180">
        <v>10000</v>
      </c>
      <c r="H13" s="30">
        <v>100</v>
      </c>
      <c r="I13" s="180">
        <v>4400</v>
      </c>
      <c r="J13" s="30">
        <f t="shared" si="0"/>
        <v>0</v>
      </c>
      <c r="L13" s="42">
        <f t="shared" si="5"/>
        <v>50750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2800</v>
      </c>
      <c r="D16" s="30">
        <f t="shared" si="0"/>
        <v>0</v>
      </c>
      <c r="E16" s="207">
        <v>400</v>
      </c>
      <c r="F16" s="30">
        <f t="shared" si="0"/>
        <v>0</v>
      </c>
      <c r="G16" s="180">
        <v>2000</v>
      </c>
      <c r="H16" s="30">
        <f t="shared" si="0"/>
        <v>0</v>
      </c>
      <c r="I16" s="180">
        <v>10200</v>
      </c>
      <c r="J16" s="30">
        <f t="shared" si="0"/>
        <v>0</v>
      </c>
      <c r="L16" s="42">
        <f t="shared" si="5"/>
        <v>15400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89850</v>
      </c>
      <c r="D17" s="30">
        <f t="shared" si="0"/>
        <v>0</v>
      </c>
      <c r="E17" s="207">
        <v>83950</v>
      </c>
      <c r="F17" s="30">
        <v>600</v>
      </c>
      <c r="G17" s="180">
        <v>44300</v>
      </c>
      <c r="H17" s="30">
        <v>500</v>
      </c>
      <c r="I17" s="180">
        <v>128850</v>
      </c>
      <c r="J17" s="30">
        <f t="shared" si="0"/>
        <v>0</v>
      </c>
      <c r="L17" s="42">
        <f t="shared" si="5"/>
        <v>346950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55150</v>
      </c>
      <c r="D18" s="30">
        <v>400</v>
      </c>
      <c r="E18" s="207">
        <v>54050</v>
      </c>
      <c r="F18" s="30">
        <f t="shared" si="0"/>
        <v>0</v>
      </c>
      <c r="G18" s="180">
        <v>25450</v>
      </c>
      <c r="H18" s="30">
        <f t="shared" si="0"/>
        <v>0</v>
      </c>
      <c r="I18" s="180">
        <v>9600</v>
      </c>
      <c r="J18" s="30">
        <v>200</v>
      </c>
      <c r="L18" s="42">
        <f t="shared" si="5"/>
        <v>144250</v>
      </c>
      <c r="M18" s="42">
        <f t="shared" si="4"/>
        <v>600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390850</v>
      </c>
      <c r="D32" s="44">
        <f t="shared" si="7"/>
        <v>700</v>
      </c>
      <c r="E32" s="43">
        <f t="shared" si="7"/>
        <v>354850</v>
      </c>
      <c r="F32" s="44">
        <f t="shared" si="7"/>
        <v>3950</v>
      </c>
      <c r="G32" s="43">
        <f t="shared" si="7"/>
        <v>230450</v>
      </c>
      <c r="H32" s="44">
        <f t="shared" si="7"/>
        <v>4350</v>
      </c>
      <c r="I32" s="43">
        <f t="shared" si="7"/>
        <v>296450</v>
      </c>
      <c r="J32" s="44">
        <f t="shared" si="7"/>
        <v>700</v>
      </c>
      <c r="L32" s="95">
        <f>SUM(L9:L31)</f>
        <v>1105300</v>
      </c>
      <c r="M32" s="95">
        <f>SUM(M9:M31)</f>
        <v>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73 Roja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>24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23500+2750</f>
        <v>26250</v>
      </c>
      <c r="D10" s="30">
        <f t="shared" si="0"/>
        <v>0</v>
      </c>
      <c r="E10" s="180">
        <f>26200+4250</f>
        <v>30450</v>
      </c>
      <c r="F10" s="30">
        <f t="shared" si="0"/>
        <v>0</v>
      </c>
      <c r="G10" s="180">
        <f>36500+12700</f>
        <v>49200</v>
      </c>
      <c r="H10" s="30">
        <f t="shared" si="0"/>
        <v>0</v>
      </c>
      <c r="J10" s="42">
        <f t="shared" si="3"/>
        <v>105900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4950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4950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500</v>
      </c>
      <c r="H16" s="195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22600</v>
      </c>
      <c r="D17" s="30">
        <f t="shared" si="0"/>
        <v>0</v>
      </c>
      <c r="E17" s="180">
        <v>17800</v>
      </c>
      <c r="F17" s="30">
        <f t="shared" si="0"/>
        <v>0</v>
      </c>
      <c r="G17" s="180">
        <v>38850</v>
      </c>
      <c r="H17" s="30">
        <v>200</v>
      </c>
      <c r="J17" s="42">
        <f t="shared" si="3"/>
        <v>79250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15950</v>
      </c>
      <c r="D18" s="30">
        <f t="shared" si="0"/>
        <v>0</v>
      </c>
      <c r="E18" s="180">
        <v>6650</v>
      </c>
      <c r="F18" s="30">
        <f t="shared" si="0"/>
        <v>0</v>
      </c>
      <c r="G18" s="180">
        <v>29250</v>
      </c>
      <c r="H18" s="30">
        <v>50</v>
      </c>
      <c r="J18" s="42">
        <f t="shared" si="3"/>
        <v>51850</v>
      </c>
      <c r="K18" s="42">
        <f t="shared" si="4"/>
        <v>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69750</v>
      </c>
      <c r="D33" s="44">
        <f t="shared" si="7"/>
        <v>0</v>
      </c>
      <c r="E33" s="43">
        <f t="shared" si="7"/>
        <v>54900</v>
      </c>
      <c r="F33" s="44">
        <f t="shared" si="7"/>
        <v>0</v>
      </c>
      <c r="G33" s="43">
        <f t="shared" si="7"/>
        <v>117800</v>
      </c>
      <c r="H33" s="44">
        <f t="shared" si="7"/>
        <v>250</v>
      </c>
      <c r="J33" s="45">
        <f>SUM(J4:J32)</f>
        <v>242450</v>
      </c>
      <c r="K33" s="95">
        <f>SUM(K4:K32)</f>
        <v>250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56</v>
      </c>
      <c r="D2" s="268"/>
      <c r="E2" s="267">
        <f>IF(PREMIOS!$C19="","",PREMIOS!$C19)</f>
        <v>22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6300</v>
      </c>
      <c r="D4" s="78">
        <f t="shared" ref="D4:F27" si="0">IF(C4="","",0)</f>
        <v>0</v>
      </c>
      <c r="E4" s="189">
        <v>1400</v>
      </c>
      <c r="F4" s="78">
        <f t="shared" si="0"/>
        <v>0</v>
      </c>
      <c r="H4" s="42">
        <f>+C4+E4</f>
        <v>7700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10050</v>
      </c>
      <c r="D8" s="30">
        <f t="shared" si="0"/>
        <v>0</v>
      </c>
      <c r="E8" s="194">
        <v>5050</v>
      </c>
      <c r="F8" s="195">
        <f t="shared" si="1"/>
        <v>0</v>
      </c>
      <c r="H8" s="42">
        <f t="shared" si="2"/>
        <v>15100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8000+20350</f>
        <v>28350</v>
      </c>
      <c r="D10" s="30">
        <f t="shared" si="0"/>
        <v>0</v>
      </c>
      <c r="E10" s="180">
        <f>10450+20100</f>
        <v>30550</v>
      </c>
      <c r="F10" s="195">
        <f t="shared" si="1"/>
        <v>0</v>
      </c>
      <c r="H10" s="42">
        <f t="shared" si="2"/>
        <v>58900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33500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33500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63000</v>
      </c>
      <c r="D17" s="195">
        <f t="shared" si="0"/>
        <v>0</v>
      </c>
      <c r="E17" s="180">
        <v>28550</v>
      </c>
      <c r="F17" s="30">
        <v>100</v>
      </c>
      <c r="H17" s="42">
        <f t="shared" si="2"/>
        <v>91550</v>
      </c>
      <c r="I17" s="42">
        <f t="shared" si="3"/>
        <v>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47100</v>
      </c>
      <c r="D18" s="195">
        <v>600</v>
      </c>
      <c r="E18" s="180">
        <v>12400</v>
      </c>
      <c r="F18" s="30">
        <v>4800</v>
      </c>
      <c r="H18" s="42">
        <f t="shared" si="2"/>
        <v>59500</v>
      </c>
      <c r="I18" s="42">
        <f t="shared" si="3"/>
        <v>5400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191700</v>
      </c>
      <c r="D33" s="44">
        <f>SUM(D4:D32)</f>
        <v>600</v>
      </c>
      <c r="E33" s="43">
        <f>SUM(E4:E32)</f>
        <v>77950</v>
      </c>
      <c r="F33" s="44">
        <f>SUM(F4:F32)</f>
        <v>4900</v>
      </c>
      <c r="H33" s="95">
        <f>SUM(H4:H32)</f>
        <v>269650</v>
      </c>
      <c r="I33" s="95">
        <f>SUM(I4:I32)</f>
        <v>5500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99</v>
      </c>
      <c r="D2" s="268"/>
      <c r="E2" s="267">
        <f>IF(PREMIOS!$C20="","",PREMIOS!$C20)</f>
        <v>29</v>
      </c>
      <c r="F2" s="268"/>
      <c r="G2" s="267">
        <f>IF(PREMIOS!$D20="","",PREMIOS!$D20)</f>
        <v>53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12350</v>
      </c>
      <c r="D10" s="195">
        <v>150</v>
      </c>
      <c r="E10" s="180">
        <v>6300</v>
      </c>
      <c r="F10" s="30">
        <f t="shared" si="0"/>
        <v>0</v>
      </c>
      <c r="G10" s="180">
        <v>7800</v>
      </c>
      <c r="H10" s="195">
        <f t="shared" si="0"/>
        <v>0</v>
      </c>
      <c r="J10" s="42">
        <f t="shared" si="3"/>
        <v>26450</v>
      </c>
      <c r="K10" s="42">
        <f t="shared" si="4"/>
        <v>150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37300</v>
      </c>
      <c r="D17" s="195">
        <f t="shared" si="0"/>
        <v>0</v>
      </c>
      <c r="E17" s="194">
        <v>4000</v>
      </c>
      <c r="F17" s="195">
        <f t="shared" si="0"/>
        <v>0</v>
      </c>
      <c r="G17" s="194">
        <v>17700</v>
      </c>
      <c r="H17" s="195">
        <v>350</v>
      </c>
      <c r="J17" s="42">
        <f t="shared" si="3"/>
        <v>59000</v>
      </c>
      <c r="K17" s="42">
        <f t="shared" si="4"/>
        <v>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21600</v>
      </c>
      <c r="D18" s="195">
        <f t="shared" si="0"/>
        <v>0</v>
      </c>
      <c r="E18" s="180">
        <v>10750</v>
      </c>
      <c r="F18" s="30">
        <f t="shared" si="1"/>
        <v>0</v>
      </c>
      <c r="G18" s="180">
        <v>7600</v>
      </c>
      <c r="H18" s="30">
        <v>200</v>
      </c>
      <c r="J18" s="42">
        <f t="shared" si="3"/>
        <v>39950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79450</v>
      </c>
      <c r="D33" s="44">
        <f t="shared" si="6"/>
        <v>150</v>
      </c>
      <c r="E33" s="43">
        <f t="shared" si="6"/>
        <v>21050</v>
      </c>
      <c r="F33" s="44">
        <f t="shared" si="6"/>
        <v>0</v>
      </c>
      <c r="G33" s="43">
        <f t="shared" si="6"/>
        <v>33100</v>
      </c>
      <c r="H33" s="44">
        <f t="shared" si="6"/>
        <v>550</v>
      </c>
      <c r="J33" s="45">
        <f>SUM(J4:J32)</f>
        <v>133600</v>
      </c>
      <c r="K33" s="95">
        <f>SUM(K4:K32)</f>
        <v>700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1" sqref="E11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92</v>
      </c>
      <c r="D2" s="268"/>
      <c r="E2" s="267">
        <f>IF(PREMIOS!$C21="","",PREMIOS!$C21)</f>
        <v>67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33500</v>
      </c>
      <c r="D10" s="30">
        <f t="shared" si="0"/>
        <v>0</v>
      </c>
      <c r="E10" s="180">
        <v>40250</v>
      </c>
      <c r="F10" s="30">
        <v>1000</v>
      </c>
      <c r="H10" s="42">
        <f t="shared" si="2"/>
        <v>73750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33500</v>
      </c>
      <c r="D33" s="44">
        <f>SUM(D4:D32)</f>
        <v>0</v>
      </c>
      <c r="E33" s="43">
        <f>SUM(E4:E32)</f>
        <v>40250</v>
      </c>
      <c r="F33" s="44">
        <f>SUM(F4:F32)</f>
        <v>1000</v>
      </c>
      <c r="H33" s="45">
        <f>SUM(H4:H32)</f>
        <v>73750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2026-04-27T18:26:13Z</dcterms:modified>
  <dc:language>es-CR</dc:language>
</cp:coreProperties>
</file>
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51" documentId="11_4A77777753CF58AA8345F6A26B37B8016E1508DE" xr6:coauthVersionLast="47" xr6:coauthVersionMax="47" xr10:uidLastSave="{F393E8A6-7BE5-417E-987C-56257E23BA9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2" i="69" l="1"/>
  <c r="D27" i="66" l="1"/>
  <c r="B2" i="7"/>
  <c r="B2" i="6"/>
  <c r="B2" i="15"/>
  <c r="B2" i="14"/>
  <c r="B2" i="16"/>
  <c r="B2" i="21"/>
  <c r="B2" i="22"/>
  <c r="I5" i="69"/>
  <c r="G10" i="62"/>
  <c r="J10" i="61"/>
  <c r="I10" i="61"/>
  <c r="G10" i="60"/>
  <c r="H17" i="60"/>
  <c r="G17" i="60"/>
  <c r="H18" i="60"/>
  <c r="G18" i="60"/>
  <c r="E10" i="62"/>
  <c r="C10" i="62"/>
  <c r="H10" i="61"/>
  <c r="G10" i="61"/>
  <c r="E10" i="61"/>
  <c r="E10" i="60"/>
  <c r="D10" i="60"/>
  <c r="C10" i="60"/>
  <c r="F17" i="60"/>
  <c r="E17" i="60"/>
  <c r="F18" i="60"/>
  <c r="E18" i="60"/>
  <c r="D17" i="60"/>
  <c r="C17" i="60"/>
  <c r="D18" i="60"/>
  <c r="C18" i="60"/>
  <c r="C10" i="61" l="1"/>
  <c r="C10" i="65"/>
  <c r="D12" i="65" l="1"/>
  <c r="D11" i="65"/>
  <c r="D10" i="65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G23" i="15" s="1"/>
  <c r="H16" i="71"/>
  <c r="E16" i="71"/>
  <c r="G16" i="71"/>
  <c r="F21" i="15"/>
  <c r="D16" i="71"/>
  <c r="D21" i="15"/>
  <c r="K8" i="15" s="1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2" i="60"/>
  <c r="D11" i="60"/>
  <c r="D35" i="60" s="1"/>
  <c r="D9" i="60"/>
  <c r="D7" i="60"/>
  <c r="D5" i="60"/>
  <c r="F18" i="23"/>
  <c r="F14" i="23"/>
  <c r="F10" i="23"/>
  <c r="F6" i="23"/>
  <c r="F6" i="14"/>
  <c r="F10" i="14"/>
  <c r="F14" i="14"/>
  <c r="F18" i="14"/>
  <c r="H10" i="64"/>
  <c r="F17" i="65"/>
  <c r="F8" i="65"/>
  <c r="F18" i="62"/>
  <c r="F10" i="62"/>
  <c r="D5" i="61"/>
  <c r="F18" i="61"/>
  <c r="F16" i="61"/>
  <c r="D6" i="60"/>
  <c r="F16" i="60"/>
  <c r="F15" i="60"/>
  <c r="F13" i="60"/>
  <c r="F11" i="60"/>
  <c r="F35" i="60" s="1"/>
  <c r="F10" i="60"/>
  <c r="F9" i="60"/>
  <c r="F7" i="60"/>
  <c r="F6" i="60"/>
  <c r="F4" i="60"/>
  <c r="H16" i="60"/>
  <c r="H15" i="60"/>
  <c r="H12" i="60"/>
  <c r="H9" i="60"/>
  <c r="H8" i="60"/>
  <c r="H7" i="60"/>
  <c r="H6" i="60"/>
  <c r="H5" i="60"/>
  <c r="H4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D36" i="60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30" i="73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B4" i="73"/>
  <c r="E27" i="72"/>
  <c r="D18" i="72"/>
  <c r="H18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J21" i="72" s="1"/>
  <c r="K21" i="72" s="1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I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J29" i="71" s="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28" i="70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E24" i="29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I12" i="66" s="1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5" i="66"/>
  <c r="I14" i="66"/>
  <c r="I13" i="66"/>
  <c r="I7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K20" i="19"/>
  <c r="K9" i="19"/>
  <c r="C17" i="73"/>
  <c r="F17" i="73" s="1"/>
  <c r="J10" i="8"/>
  <c r="J29" i="64"/>
  <c r="I18" i="66"/>
  <c r="H24" i="70"/>
  <c r="F25" i="19"/>
  <c r="L9" i="19" s="1"/>
  <c r="F18" i="72"/>
  <c r="J26" i="71"/>
  <c r="L29" i="71"/>
  <c r="M29" i="71" s="1"/>
  <c r="N15" i="72"/>
  <c r="H21" i="72"/>
  <c r="E33" i="66"/>
  <c r="L28" i="71"/>
  <c r="M28" i="71" s="1"/>
  <c r="D26" i="21"/>
  <c r="J10" i="2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D26" i="19"/>
  <c r="J10" i="19"/>
  <c r="H32" i="66"/>
  <c r="H23" i="70"/>
  <c r="I23" i="70" s="1"/>
  <c r="J26" i="70"/>
  <c r="K26" i="70" s="1"/>
  <c r="K28" i="70"/>
  <c r="H28" i="72"/>
  <c r="D17" i="72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D38" i="66" s="1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G24" i="29" l="1"/>
  <c r="D35" i="66"/>
  <c r="D36" i="66" s="1"/>
  <c r="C36" i="66" s="1"/>
  <c r="C37" i="66" s="1"/>
  <c r="L18" i="72"/>
  <c r="N27" i="71"/>
  <c r="N27" i="72"/>
  <c r="K21" i="19"/>
  <c r="K10" i="19"/>
  <c r="K20" i="21"/>
  <c r="K10" i="21"/>
  <c r="N29" i="71"/>
  <c r="P29" i="71" s="1"/>
  <c r="K12" i="17"/>
  <c r="K21" i="8"/>
  <c r="K10" i="8"/>
  <c r="I33" i="66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l="1"/>
  <c r="N18" i="71"/>
  <c r="P18" i="71" s="1"/>
  <c r="J6" i="23"/>
  <c r="L5" i="23"/>
  <c r="M25" i="52"/>
  <c r="J4" i="23"/>
  <c r="M20" i="52"/>
  <c r="L4" i="23"/>
  <c r="M22" i="52"/>
  <c r="F17" i="52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5" l="1"/>
  <c r="G32" i="60"/>
  <c r="H32" i="61"/>
  <c r="F32" i="60"/>
  <c r="K6" i="23"/>
  <c r="M27" i="52"/>
  <c r="L19" i="59"/>
  <c r="H32" i="60"/>
  <c r="H33" i="60" s="1"/>
  <c r="K5" i="23"/>
  <c r="L5" i="15"/>
  <c r="F32" i="61"/>
  <c r="E32" i="60"/>
  <c r="J32" i="61"/>
  <c r="M19" i="52"/>
  <c r="K5" i="8"/>
  <c r="K5" i="19"/>
  <c r="D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6" i="52"/>
  <c r="M5" i="52"/>
  <c r="M4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3" i="58" l="1"/>
  <c r="P20" i="58"/>
  <c r="P25" i="58"/>
  <c r="P24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3" i="52"/>
  <c r="C22" i="1" s="1"/>
  <c r="B22" i="1"/>
  <c r="K4" i="52"/>
  <c r="C3" i="1" s="1"/>
  <c r="B3" i="1"/>
  <c r="F12" i="19"/>
  <c r="G12" i="19" s="1"/>
  <c r="F12" i="8"/>
  <c r="F12" i="15"/>
  <c r="K20" i="52"/>
  <c r="C19" i="1" s="1"/>
  <c r="B19" i="1"/>
  <c r="K6" i="52"/>
  <c r="C5" i="1" s="1"/>
  <c r="B5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<sst xmlns="http://schemas.openxmlformats.org/spreadsheetml/2006/main" count="1296" uniqueCount="163">
  <si>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</si>
  <si>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</si>
  <si>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</si>
  <si>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</si>
  <si>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</si>
  <si>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</si>
  <si>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</si>
  <si>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</si>
  <si>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</si>
  <si>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</si>
  <si>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</si>
  <si>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</si>
  <si>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</si>
  <si>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</si>
  <si>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</si>
  <si>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</si>
  <si>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</si>
  <si>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</si>
  <si>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</si>
  <si>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</si>
  <si>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</si>
  <si>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</si>
  <si>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</si>
  <si>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</si>
  <si>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</si>
  <si>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</si>
  <si>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</si>
  <si>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</si>
  <si>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</si>
  <si>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</si>
  <si>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</si>
  <si>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</si>
  <si>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</si>
  <si>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</si>
  <si>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</si>
  <si>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</si>
  <si>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</si>
  <si>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</si>
  <si>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</si>
  <si>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</si>
  <si>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</si>
  <si>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</si>
  <si>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</si>
  <si>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</si>
  <si>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</si>
  <si>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</si>
  <si>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</si>
  <si>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</si>
  <si>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</si>
  <si>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</si>
  <si>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</si>
  <si>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</si>
  <si>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</si>
  <si>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</si>
  <si>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</si>
  <si>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</si>
  <si>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</si>
  <si>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</si>
  <si>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</si>
  <si>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</si>
  <si>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</si>
  <si>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</si>
  <si>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</si>
  <si>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</si>
  <si>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</si>
  <si>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</si>
  <si>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</si>
  <si>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</si>
  <si>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</si>
  <si>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</si>
  <si>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</si>
  <si>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</si>
  <si>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</si>
  <si>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</si>
  <si>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</si>
  <si>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</si>
  <si>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</si>
  <si>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</si>
  <si>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</si>
  <si>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</si>
  <si>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</si>
  <si>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</si>
  <si>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</si>
  <si>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</si>
  <si>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</si>
  <si>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</si>
  <si>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</si>
  <si>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</si>
  <si>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</si>
  <si>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</si>
  <si>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</si>
  <si>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</si>
  <si>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</si>
  <si>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</si>
  <si>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</si>
  <si>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</si>
  <si>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</si>
  <si>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</si>
  <si>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</si>
  <si>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</si>
  <si>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</si>
  <si>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</si>
  <si>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</si>
  <si>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</si>
  <si>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</si>
  <si>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</si>
  <si>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</si>
  <si>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</si>
  <si>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</si>
  <si>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</si>
  <si>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</si>
  <si>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</si>
  <si>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</si>
  <si>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</si>
  <si>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</si>
  <si>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</si>
  <si>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</si>
  <si>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</si>
  <si>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</si>
  <si>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</si>
  <si>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</si>
  <si>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</si>
  <si>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</si>
  <si>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</si>
  <si>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</si>
  <si>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</si>
  <si>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</si>
  <si>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</si>
  <si>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</si>
  <si>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</si>
  <si>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</si>
  <si>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</si>
  <si>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</si>
  <si>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</si>
  <si>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</si>
  <si>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</si>
  <si>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</si>
  <si>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</si>
  <si>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</si>
  <si>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</si>
  <si>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</si>
  <si>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</si>
  <si>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</si>
  <si>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</si>
  <si>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</si>
  <si>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</si>
  <si>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</si>
  <si>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</si>
  <si>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</si>
  <si>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</si>
  <si>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</si>
  <si>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</si>
  <si>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</si>
  <si>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</si>
  <si>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</si>
  <si>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</si>
  <si>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</si>
  <si>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</si>
  <si>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</si>
  <si>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</si>
  <si>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09</t>
  </si>
  <si>
    <t>08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</si>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</sst>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278250</v>
      </c>
      <c r="C3" s="9">
        <f>+HojaTICA!K4+HojaNICA!M4+HojaREVENTADO!K4+HojaPrimera!I4+HojaHonduras!K4+HojaDominicana!I4+HojaPANA!G4</f>
        <v>36200</v>
      </c>
      <c r="D3" s="9">
        <f>+HojaTICA!N4+HojaNICA!P4+HojaREVENTADO!O4+HojaPrimera!L4+HojaHonduras!N4+HojaDominicana!L4+HojaPANA!J4</f>
        <v>63750</v>
      </c>
      <c r="F3" s="10">
        <f t="shared" ref="F3:F27" si="0">+B3-C3-D3</f>
        <v>178300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164350</v>
      </c>
      <c r="C4" s="9">
        <f>+HojaTICA!K5+HojaNICA!M5+HojaREVENTADO!K5+HojaPrimera!I5+HojaHonduras!K5+HojaDominicana!I5+HojaPANA!G5</f>
        <v>21350</v>
      </c>
      <c r="D4" s="9">
        <f>+HojaTICA!N5+HojaNICA!P5+HojaREVENTADO!O5+HojaPrimera!L5+HojaHonduras!N5+HojaDominicana!L5+HojaPANA!J5</f>
        <v>65500</v>
      </c>
      <c r="F4" s="14">
        <f t="shared" si="0"/>
        <v>77500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378450</v>
      </c>
      <c r="C7" s="9">
        <f>+HojaTICA!K8+HojaNICA!M8+HojaREVENTADO!K8+HojaPrimera!I8+HojaHonduras!K8+HojaDominicana!I8+HojaPANA!G8</f>
        <v>45400</v>
      </c>
      <c r="D7" s="9">
        <f>+HojaTICA!N8+HojaNICA!P8+HojaREVENTADO!O8+HojaPrimera!L8+HojaHonduras!N8+HojaDominicana!L8+HojaPANA!J8</f>
        <v>290000</v>
      </c>
      <c r="F7" s="14">
        <f t="shared" si="0"/>
        <v>43050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1033450</v>
      </c>
      <c r="C9" s="9">
        <f>+HojaTICA!K10+HojaNICA!M10+HojaREVENTADO!K10+HojaPrimera!I10+HojaHonduras!K10+HojaDominicana!I10+HojaPANA!G10</f>
        <v>122245</v>
      </c>
      <c r="D9" s="9">
        <f>+HojaTICA!N10+HojaNICA!P10+HojaREVENTADO!O10+HojaPrimera!L10+HojaHonduras!N10+HojaDominicana!L10+HojaPANA!J10</f>
        <v>1190000</v>
      </c>
      <c r="F9" s="14">
        <f t="shared" si="0"/>
        <v>-278795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40600</v>
      </c>
      <c r="C10" s="9">
        <f>+HojaTICA!K11+HojaNICA!M11+HojaREVENTADO!K11+HojaPrimera!I11+HojaHonduras!K11+HojaDominicana!I11+HojaPANA!G11</f>
        <v>4850</v>
      </c>
      <c r="D10" s="9">
        <f>+HojaTICA!N11+HojaNICA!P11+HojaREVENTADO!O11+HojaPrimera!L11+HojaHonduras!N11+HojaDominicana!L11+HojaPANA!J11</f>
        <v>46750</v>
      </c>
      <c r="F10" s="14">
        <f t="shared" si="0"/>
        <v>-11000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156550</v>
      </c>
      <c r="C11" s="9">
        <f>+HojaTICA!K12+HojaNICA!M12+HojaREVENTADO!K12+HojaPrimera!I12+HojaHonduras!K12+HojaDominicana!I12+HojaPANA!G12</f>
        <v>18800</v>
      </c>
      <c r="D11" s="9">
        <f>+HojaTICA!N12+HojaNICA!P12+HojaREVENTADO!O12+HojaPrimera!L12+HojaHonduras!N12+HojaDominicana!L12+HojaPANA!J12</f>
        <v>63750</v>
      </c>
      <c r="F11" s="14">
        <f t="shared" si="0"/>
        <v>74000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155900</v>
      </c>
      <c r="C12" s="9">
        <f>+HojaTICA!K13+HojaNICA!M13+HojaREVENTADO!K13+HojaPrimera!I13+HojaHonduras!K13+HojaDominicana!I13+HojaPANA!G13</f>
        <v>18750</v>
      </c>
      <c r="D12" s="9">
        <f>+HojaTICA!N13+HojaNICA!P13+HojaREVENTADO!O13+HojaPrimera!L13+HojaHonduras!N13+HojaDominicana!L13+HojaPANA!J13</f>
        <v>127500</v>
      </c>
      <c r="F12" s="14">
        <f t="shared" si="0"/>
        <v>9650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97150</v>
      </c>
      <c r="C13" s="9">
        <f>+HojaTICA!K14+HojaNICA!M14+HojaREVENTADO!K14+HojaPrimera!I14+HojaHonduras!K14+HojaDominicana!I14+HojaPANA!G14</f>
        <v>14550</v>
      </c>
      <c r="D13" s="9">
        <f>+HojaTICA!N14+HojaNICA!P14+HojaREVENTADO!O14+HojaPrimera!L14+HojaHonduras!N14+HojaDominicana!L14+HojaPANA!J14</f>
        <v>88000</v>
      </c>
      <c r="F13" s="14">
        <f t="shared" si="0"/>
        <v>-5400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48100</v>
      </c>
      <c r="C15" s="9">
        <f>+HojaTICA!K16+HojaNICA!M16+HojaREVENTADO!K16+HojaPrimera!I16+HojaHonduras!K16+HojaDominicana!I16+HojaPANA!G16</f>
        <v>5700</v>
      </c>
      <c r="D15" s="9">
        <f>+HojaTICA!N16+HojaNICA!P16+HojaREVENTADO!O16+HojaPrimera!L16+HojaHonduras!N16+HojaDominicana!L16+HojaPANA!J16</f>
        <v>0</v>
      </c>
      <c r="F15" s="14">
        <f t="shared" si="0"/>
        <v>42400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1009650</v>
      </c>
      <c r="C16" s="9">
        <f>+HojaTICA!K17+HojaNICA!M17+HojaREVENTADO!K17+HojaPrimera!I17+HojaHonduras!K17+HojaDominicana!I17+HojaPANA!G17</f>
        <v>119775</v>
      </c>
      <c r="D16" s="9">
        <f>+HojaTICA!N17+HojaNICA!P17+HojaREVENTADO!O17+HojaPrimera!L17+HojaHonduras!N17+HojaDominicana!L17+HojaPANA!J17</f>
        <v>777750</v>
      </c>
      <c r="F16" s="14">
        <f t="shared" si="0"/>
        <v>112125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490650</v>
      </c>
      <c r="C17" s="9">
        <f>+HojaTICA!K18+HojaNICA!M18+HojaREVENTADO!K18+HojaPrimera!I18+HojaHonduras!K18+HojaDominicana!I18+HojaPANA!G18</f>
        <v>58050</v>
      </c>
      <c r="D17" s="9">
        <f>+HojaTICA!N18+HojaNICA!P18+HojaREVENTADO!O18+HojaPrimera!L18+HojaHonduras!N18+HojaDominicana!L18+HojaPANA!J18</f>
        <v>327250</v>
      </c>
      <c r="F17" s="14">
        <f t="shared" si="0"/>
        <v>105350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3853100</v>
      </c>
      <c r="C28" s="17">
        <f t="shared" si="1"/>
        <v>465670</v>
      </c>
      <c r="D28" s="18">
        <f t="shared" si="1"/>
        <v>3040250</v>
      </c>
      <c r="F28" s="20">
        <f>SUM(F3:F27)</f>
        <v>347180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>
        <v>41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 t="s">
        <v>161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Blanca</v>
      </c>
      <c r="C8" s="135"/>
      <c r="D8" s="136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78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96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2" t="s">
        <v>162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>
        <v>27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40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29</v>
      </c>
      <c r="C19" s="132">
        <v>93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91</v>
      </c>
      <c r="C20" s="162">
        <v>45</v>
      </c>
      <c r="D20" s="165">
        <v>16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160</v>
      </c>
      <c r="C21" s="163">
        <v>82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 t="str">
        <f>DigitaTICA!C2</f>
        <v>08</v>
      </c>
      <c r="D2" s="267"/>
      <c r="E2" s="266">
        <f>DigitaTICA!E2</f>
        <v>96</v>
      </c>
      <c r="F2" s="267"/>
      <c r="G2" s="266">
        <f>DigitaTICA!G2</f>
        <v>27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64250</v>
      </c>
      <c r="D4" s="30">
        <f>IF(Vendedor1!$E$7="",0,Vendedor1!$E$7)</f>
        <v>750</v>
      </c>
      <c r="E4" s="179">
        <f>IF(Vendedor1!$C$11="",0,Vendedor1!$C$11)</f>
        <v>34800</v>
      </c>
      <c r="F4" s="30">
        <f>IF(Vendedor1!$E$11="",0,Vendedor1!$E$11)</f>
        <v>0</v>
      </c>
      <c r="G4" s="179">
        <f>IF(Vendedor1!$C$15="",0,Vendedor1!$C$15)</f>
        <v>79250</v>
      </c>
      <c r="H4" s="30">
        <f>IF(Vendedor1!$E$15="",0,Vendedor1!$E$15)</f>
        <v>0</v>
      </c>
      <c r="J4" s="42">
        <f t="shared" ref="J4:J7" si="0">+C4+E4+G4</f>
        <v>178300</v>
      </c>
      <c r="K4" s="41">
        <f>MROUND(J4*Vendedor1!J$9,50)</f>
        <v>23200</v>
      </c>
      <c r="L4" s="42">
        <f t="shared" ref="L4:L7" si="1">+D4+F4+H4</f>
        <v>750</v>
      </c>
      <c r="M4" s="42">
        <f t="shared" ref="M4:M7" si="2">+L4*85</f>
        <v>63750</v>
      </c>
      <c r="N4" s="42">
        <f>Vendedor1!$F$7+Vendedor1!$F$11+Vendedor1!$F$15</f>
        <v>63750</v>
      </c>
      <c r="P4" s="42">
        <f t="shared" ref="P4:P7" si="3">+J4-K4-N4</f>
        <v>91350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42400</v>
      </c>
      <c r="D5" s="30">
        <f>IF(Vendedor2!$E$7="",0,Vendedor2!$E$7)</f>
        <v>0</v>
      </c>
      <c r="E5" s="179">
        <f>IF(Vendedor2!$C$11="",0,Vendedor2!$C$11)</f>
        <v>48250</v>
      </c>
      <c r="F5" s="30">
        <f>IF(Vendedor2!$E$11="",0,Vendedor2!$E$11)</f>
        <v>300</v>
      </c>
      <c r="G5" s="179">
        <f>IF(Vendedor2!$C$15="",0,Vendedor2!$C$15)</f>
        <v>53200</v>
      </c>
      <c r="H5" s="30">
        <f>IF(Vendedor2!$E$15="",0,Vendedor2!$E$15)</f>
        <v>0</v>
      </c>
      <c r="J5" s="42">
        <f t="shared" si="0"/>
        <v>143850</v>
      </c>
      <c r="K5" s="41">
        <f>MROUND(J5*Vendedor2!J$9,50)</f>
        <v>18700</v>
      </c>
      <c r="L5" s="42">
        <f t="shared" si="1"/>
        <v>300</v>
      </c>
      <c r="M5" s="42">
        <f t="shared" si="2"/>
        <v>25500</v>
      </c>
      <c r="N5" s="42">
        <f>Vendedor2!$F$7+Vendedor2!$F$11+Vendedor2!$F$15</f>
        <v>25500</v>
      </c>
      <c r="P5" s="42">
        <f t="shared" si="3"/>
        <v>99650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56750</v>
      </c>
      <c r="D8" s="30">
        <f>IF(Vendedor5!$E$7="",0,Vendedor5!$E$7)</f>
        <v>500</v>
      </c>
      <c r="E8" s="179">
        <f>IF(Vendedor5!$C$11="",0,Vendedor5!$C$11)</f>
        <v>42950</v>
      </c>
      <c r="F8" s="30">
        <f>IF(Vendedor5!$E$11="",0,Vendedor5!$E$11)</f>
        <v>1500</v>
      </c>
      <c r="G8" s="179">
        <f>IF(Vendedor5!$C$15="",0,Vendedor5!$C$15)</f>
        <v>46000</v>
      </c>
      <c r="H8" s="30">
        <f>IF(Vendedor5!$E$15="",0,Vendedor5!$E$15)</f>
        <v>0</v>
      </c>
      <c r="J8" s="42">
        <f t="shared" ref="J8" si="4">+C8+E8+G8</f>
        <v>145700</v>
      </c>
      <c r="K8" s="41">
        <f>MROUND(J8*Vendedor5!J$11,50)</f>
        <v>17500</v>
      </c>
      <c r="L8" s="42">
        <f t="shared" ref="L8" si="5">+D8+F8+H8</f>
        <v>2000</v>
      </c>
      <c r="M8" s="42">
        <f t="shared" ref="M8" si="6">+L8*85</f>
        <v>170000</v>
      </c>
      <c r="N8" s="42">
        <f>Vendedor5!$F$7+Vendedor5!$F$11+Vendedor5!$F$15</f>
        <v>170000</v>
      </c>
      <c r="P8" s="42">
        <f t="shared" ref="P8" si="7">+J8-K8-N8</f>
        <v>-41800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174650</v>
      </c>
      <c r="D10" s="30">
        <f>IF(Vendedor7!$E$7="",0,Vendedor7!$E$7)</f>
        <v>850</v>
      </c>
      <c r="E10" s="179">
        <f>IF(Vendedor7!$C$11="",0,Vendedor7!$C$11)</f>
        <v>116950</v>
      </c>
      <c r="F10" s="30">
        <f>IF(Vendedor7!$E$11="",0,Vendedor7!$E$11)</f>
        <v>0</v>
      </c>
      <c r="G10" s="179">
        <f>IF(Vendedor7!$C$15="",0,Vendedor7!$C$15)</f>
        <v>151000</v>
      </c>
      <c r="H10" s="30">
        <f>IF(Vendedor7!$E$15="",0,Vendedor7!$E$15)</f>
        <v>2500</v>
      </c>
      <c r="J10" s="42">
        <f t="shared" si="8"/>
        <v>442600</v>
      </c>
      <c r="K10" s="41">
        <f>MROUND(J10*Vendedor7!J$14,50)</f>
        <v>53100</v>
      </c>
      <c r="L10" s="42">
        <f t="shared" si="9"/>
        <v>3350</v>
      </c>
      <c r="M10" s="42">
        <f t="shared" si="10"/>
        <v>284750</v>
      </c>
      <c r="N10" s="42">
        <f>Vendedor7!$F$7+Vendedor7!$F$11+Vendedor7!$F$15</f>
        <v>284750</v>
      </c>
      <c r="P10" s="42">
        <f t="shared" si="11"/>
        <v>104750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17500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23100</v>
      </c>
      <c r="H11" s="30">
        <f>IF(Vendedor8!$E$15="",0,Vendedor8!$E$15)</f>
        <v>550</v>
      </c>
      <c r="J11" s="42">
        <f t="shared" si="8"/>
        <v>40600</v>
      </c>
      <c r="K11" s="41">
        <f>MROUND(J11*Vendedor8!J$11,50)</f>
        <v>4850</v>
      </c>
      <c r="L11" s="42">
        <f t="shared" si="9"/>
        <v>550</v>
      </c>
      <c r="M11" s="42">
        <f t="shared" si="10"/>
        <v>46750</v>
      </c>
      <c r="N11" s="42">
        <f>Vendedor8!$F$7+Vendedor8!$F$11+Vendedor8!$F$15</f>
        <v>46750</v>
      </c>
      <c r="P11" s="42">
        <f t="shared" si="11"/>
        <v>-11000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35300</v>
      </c>
      <c r="D12" s="30">
        <f>IF(Vendedor9!$E$7="",0,Vendedor9!$E$7)</f>
        <v>0</v>
      </c>
      <c r="E12" s="179">
        <f>IF(Vendedor9!$C$11="",0,Vendedor9!$C$11)</f>
        <v>15400</v>
      </c>
      <c r="F12" s="30">
        <f>IF(Vendedor9!$E$11="",0,Vendedor9!$E$11)</f>
        <v>250</v>
      </c>
      <c r="G12" s="179">
        <f>IF(Vendedor9!$C$15="",0,Vendedor9!$C$15)</f>
        <v>25900</v>
      </c>
      <c r="H12" s="30">
        <f>IF(Vendedor9!$E$15="",0,Vendedor9!$E$15)</f>
        <v>0</v>
      </c>
      <c r="J12" s="42">
        <f t="shared" si="8"/>
        <v>76600</v>
      </c>
      <c r="K12" s="41">
        <f>MROUND(J12*Vendedor9!J$11,50)</f>
        <v>9200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46150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29400</v>
      </c>
      <c r="D13" s="30">
        <f>IF(Vendedor10!$E$7="",0,Vendedor10!$E$7)</f>
        <v>1200</v>
      </c>
      <c r="E13" s="179">
        <f>IF(Vendedor10!$C$11="",0,Vendedor10!$C$11)</f>
        <v>23700</v>
      </c>
      <c r="F13" s="30">
        <f>IF(Vendedor10!$E$11="",0,Vendedor10!$E$11)</f>
        <v>0</v>
      </c>
      <c r="G13" s="179">
        <f>IF(Vendedor10!$C$15="",0,Vendedor10!$C$15)</f>
        <v>63000</v>
      </c>
      <c r="H13" s="30">
        <f>IF(Vendedor10!$E$15="",0,Vendedor10!$E$15)</f>
        <v>300</v>
      </c>
      <c r="J13" s="42">
        <f t="shared" si="8"/>
        <v>116100</v>
      </c>
      <c r="K13" s="41">
        <f>MROUND(J13*Vendedor10!J$9,50)</f>
        <v>13950</v>
      </c>
      <c r="L13" s="42">
        <f t="shared" si="9"/>
        <v>1500</v>
      </c>
      <c r="M13" s="42">
        <f t="shared" si="10"/>
        <v>127500</v>
      </c>
      <c r="N13" s="42">
        <f>Vendedor10!$F$7+Vendedor10!$F$11+Vendedor10!$F$15</f>
        <v>127500</v>
      </c>
      <c r="P13" s="42">
        <f t="shared" si="11"/>
        <v>-25350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47250</v>
      </c>
      <c r="D14" s="30">
        <f>IF(Vendedor11!$E$7="",0,Vendedor11!$E$7)</f>
        <v>500</v>
      </c>
      <c r="E14" s="179">
        <f>IF(Vendedor11!$C$11="",0,Vendedor11!$C$11)</f>
        <v>17400</v>
      </c>
      <c r="F14" s="30">
        <f>IF(Vendedor11!$E$11="",0,Vendedor11!$E$11)</f>
        <v>300</v>
      </c>
      <c r="G14" s="179">
        <f>IF(Vendedor11!$C$15="",0,Vendedor11!$C$15)</f>
        <v>32500</v>
      </c>
      <c r="H14" s="30">
        <f>IF(Vendedor11!$E$15="",0,Vendedor11!$E$15)</f>
        <v>300</v>
      </c>
      <c r="J14" s="42">
        <f t="shared" si="8"/>
        <v>97150</v>
      </c>
      <c r="K14" s="41">
        <f>MROUND(J14*Vendedor11!J$9,50)</f>
        <v>14550</v>
      </c>
      <c r="L14" s="42">
        <f t="shared" si="9"/>
        <v>1100</v>
      </c>
      <c r="M14" s="42">
        <f t="shared" si="10"/>
        <v>93500</v>
      </c>
      <c r="N14" s="42">
        <f>Vendedor11!$F$7+Vendedor11!$F$11+Vendedor11!$F$15</f>
        <v>88000</v>
      </c>
      <c r="P14" s="42">
        <f t="shared" si="11"/>
        <v>-5400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13100</v>
      </c>
      <c r="D16" s="30">
        <f>IF(Vendedor13!$E$7="",0,Vendedor13!$E$7)</f>
        <v>0</v>
      </c>
      <c r="E16" s="179">
        <f>IF(Vendedor13!$C$11="",0,Vendedor13!$C$11)</f>
        <v>6700</v>
      </c>
      <c r="F16" s="30">
        <f>IF(Vendedor13!$E$11="",0,Vendedor13!$E$11)</f>
        <v>0</v>
      </c>
      <c r="G16" s="179">
        <f>IF(Vendedor13!$C$15="",0,Vendedor13!$C$15)</f>
        <v>13200</v>
      </c>
      <c r="H16" s="30">
        <f>IF(Vendedor13!$E$15="",0,Vendedor13!$E$15)</f>
        <v>0</v>
      </c>
      <c r="J16" s="42">
        <f t="shared" si="8"/>
        <v>33000</v>
      </c>
      <c r="K16" s="41">
        <f>MROUND(J16*Vendedor13!J$11,50)</f>
        <v>3950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29050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127800</v>
      </c>
      <c r="D17" s="30">
        <f>IF(Vendedor14!$E$7="",0,Vendedor14!$E$7)</f>
        <v>650</v>
      </c>
      <c r="E17" s="179">
        <f>IF(Vendedor14!$C$11="",0,Vendedor14!$C$11)</f>
        <v>81250</v>
      </c>
      <c r="F17" s="30">
        <f>IF(Vendedor14!$E$11="",0,Vendedor14!$E$11)</f>
        <v>500</v>
      </c>
      <c r="G17" s="179">
        <f>IF(Vendedor14!$C$15="",0,Vendedor14!$C$15)</f>
        <v>193550</v>
      </c>
      <c r="H17" s="30">
        <f>IF(Vendedor14!$E$15="",0,Vendedor14!$E$15)</f>
        <v>3200</v>
      </c>
      <c r="J17" s="42">
        <f t="shared" si="8"/>
        <v>402600</v>
      </c>
      <c r="K17" s="41">
        <f>MROUND(J17*Vendedor14!J$15,50)</f>
        <v>48300</v>
      </c>
      <c r="L17" s="42">
        <f t="shared" si="9"/>
        <v>4350</v>
      </c>
      <c r="M17" s="42">
        <f t="shared" si="10"/>
        <v>369750</v>
      </c>
      <c r="N17" s="42">
        <f>Vendedor14!$F$7+Vendedor14!$F$11+Vendedor14!$F$15</f>
        <v>369750</v>
      </c>
      <c r="P17" s="42">
        <f t="shared" si="11"/>
        <v>-15450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55150</v>
      </c>
      <c r="D18" s="30">
        <f>IF(Vendedor15!$E$7="",0,Vendedor15!$E$7)</f>
        <v>500</v>
      </c>
      <c r="E18" s="179">
        <f>IF(Vendedor15!$C$11="",0,Vendedor15!$C$11)</f>
        <v>43500</v>
      </c>
      <c r="F18" s="30">
        <f>IF(Vendedor15!$E$11="",0,Vendedor15!$E$11)</f>
        <v>200</v>
      </c>
      <c r="G18" s="179">
        <f>IF(Vendedor15!$C$15="",0,Vendedor15!$C$15)</f>
        <v>92750</v>
      </c>
      <c r="H18" s="30">
        <f>IF(Vendedor15!$E$15="",0,Vendedor15!$E$15)</f>
        <v>1300</v>
      </c>
      <c r="J18" s="42">
        <f t="shared" ref="J18" si="12">+C18+E18+G18</f>
        <v>191400</v>
      </c>
      <c r="K18" s="41">
        <f>MROUND(J18*Vendedor15!J$15,50)</f>
        <v>22950</v>
      </c>
      <c r="L18" s="42">
        <f t="shared" ref="L18" si="13">+D18+F18+H18</f>
        <v>2000</v>
      </c>
      <c r="M18" s="42">
        <f t="shared" ref="M18" si="14">+L18*85</f>
        <v>170000</v>
      </c>
      <c r="N18" s="42">
        <f>Vendedor15!$F$7+Vendedor15!$F$11+Vendedor15!$F$15</f>
        <v>170000</v>
      </c>
      <c r="P18" s="42">
        <f t="shared" ref="P18" si="15">+J18-K18-N18</f>
        <v>-1550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663550</v>
      </c>
      <c r="D32" s="44">
        <f t="shared" si="16"/>
        <v>4950</v>
      </c>
      <c r="E32" s="43">
        <f t="shared" si="16"/>
        <v>430900</v>
      </c>
      <c r="F32" s="44">
        <f t="shared" si="16"/>
        <v>3050</v>
      </c>
      <c r="G32" s="43">
        <f t="shared" si="16"/>
        <v>773450</v>
      </c>
      <c r="H32" s="44">
        <f t="shared" si="16"/>
        <v>8150</v>
      </c>
      <c r="J32" s="95">
        <f>SUM(J4:J31)</f>
        <v>1867900</v>
      </c>
      <c r="K32" s="45">
        <f>SUM(K7:K31)</f>
        <v>188350</v>
      </c>
      <c r="L32" s="95">
        <f>SUM(L4:L31)</f>
        <v>16150</v>
      </c>
      <c r="M32" s="95">
        <f>SUM(M4:M31)</f>
        <v>1372750</v>
      </c>
      <c r="N32" s="95">
        <f>SUM(N4:N31)</f>
        <v>1367250</v>
      </c>
      <c r="P32" s="79">
        <f>SUM(P4:P31)</f>
        <v>270400</v>
      </c>
    </row>
    <row r="33" spans="3:13" x14ac:dyDescent="0.35">
      <c r="D33" s="99">
        <f>+D32*85</f>
        <v>420750</v>
      </c>
      <c r="F33" s="99">
        <f>+F32*85</f>
        <v>259250</v>
      </c>
      <c r="H33" s="99">
        <f>+H32*85</f>
        <v>692750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1867900</v>
      </c>
      <c r="E36" s="43">
        <f>+D36-J4-J5-J6</f>
        <v>1545750</v>
      </c>
      <c r="G36" s="101"/>
    </row>
    <row r="37" spans="3:13" x14ac:dyDescent="0.35">
      <c r="C37" s="47" t="s">
        <v>33</v>
      </c>
      <c r="D37" s="48">
        <f>D36*13%</f>
        <v>242827</v>
      </c>
      <c r="E37">
        <f>+D37-K4-K5-K6</f>
        <v>200927</v>
      </c>
      <c r="G37" s="100"/>
      <c r="H37" s="100"/>
    </row>
    <row r="38" spans="3:13" ht="15" thickBot="1" x14ac:dyDescent="0.4">
      <c r="C38" s="47" t="s">
        <v>30</v>
      </c>
      <c r="D38" s="30">
        <f>M32</f>
        <v>1372750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252323</v>
      </c>
      <c r="F39" s="98">
        <f>+P32-D39</f>
        <v>18077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252323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>
        <f>DigitaNICA!C2</f>
        <v>41</v>
      </c>
      <c r="D2" s="267"/>
      <c r="E2" s="266">
        <f>DigitaNICA!E2</f>
        <v>78</v>
      </c>
      <c r="F2" s="267"/>
      <c r="G2" s="266" t="str">
        <f>DigitaNICA!G2</f>
        <v>04</v>
      </c>
      <c r="H2" s="267"/>
      <c r="I2" s="266">
        <f>DigitaNICA!I2</f>
        <v>40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59950</v>
      </c>
      <c r="D4" s="78">
        <f>IF(Vendedor1!$E$5="",0,Vendedor1!$E$5)</f>
        <v>0</v>
      </c>
      <c r="E4" s="188">
        <f>IF(Vendedor1!$C$9="",0,Vendedor1!$C$9)</f>
        <v>21450</v>
      </c>
      <c r="F4" s="78">
        <f>IF(Vendedor1!$E$9="",0,Vendedor1!$E$9)</f>
        <v>0</v>
      </c>
      <c r="G4" s="188">
        <f>IF(Vendedor1!$C$13="",0,Vendedor1!$C$13)</f>
        <v>5700</v>
      </c>
      <c r="H4" s="78">
        <f>IF(Vendedor1!$E$13="",0,Vendedor1!$E$13)</f>
        <v>0</v>
      </c>
      <c r="I4" s="188">
        <f>IF(Vendedor1!$C$17="",0,Vendedor1!$C$17)</f>
        <v>1300</v>
      </c>
      <c r="J4" s="78">
        <f>IF(Vendedor1!$E$17="",0,Vendedor1!$E$17)</f>
        <v>0</v>
      </c>
      <c r="L4" s="42">
        <f t="shared" ref="L4:L7" si="0">C4+E4+G4+I4</f>
        <v>88400</v>
      </c>
      <c r="M4" s="41">
        <f>MROUND(L4*Vendedor1!J$10,50)</f>
        <v>11500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76900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10000</v>
      </c>
      <c r="D5" s="30">
        <f>IF(Vendedor2!$E$5="",0,Vendedor2!$E$5)</f>
        <v>0</v>
      </c>
      <c r="E5" s="179">
        <f>IF(Vendedor2!$C$9="",0,Vendedor2!$C$9)</f>
        <v>7300</v>
      </c>
      <c r="F5" s="30">
        <f>IF(Vendedor2!$E$9="",0,Vendedor2!$E$9)</f>
        <v>0</v>
      </c>
      <c r="G5" s="179">
        <f>IF(Vendedor2!$C$13="",0,Vendedor2!$C$13)</f>
        <v>0</v>
      </c>
      <c r="H5" s="30">
        <f>IF(Vendedor2!$E$13="",0,Vendedor2!$E$13)</f>
        <v>0</v>
      </c>
      <c r="I5" s="179">
        <f>IF(Vendedor2!$C$17="",0,Vendedor2!$C$17)</f>
        <v>1500</v>
      </c>
      <c r="J5" s="30">
        <f>IF(Vendedor2!$E$17="",0,Vendedor2!$E$17)</f>
        <v>500</v>
      </c>
      <c r="L5" s="42">
        <f t="shared" si="0"/>
        <v>18800</v>
      </c>
      <c r="M5" s="41">
        <f>MROUND(L5*Vendedor2!J$10,50)</f>
        <v>2450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-26150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68550</v>
      </c>
      <c r="D8" s="30">
        <f>IF(Vendedor5!$E$5="",0,Vendedor5!$E$5)</f>
        <v>800</v>
      </c>
      <c r="E8" s="179">
        <f>IF(Vendedor5!$C$9="",0,Vendedor5!$C$9)</f>
        <v>55300</v>
      </c>
      <c r="F8" s="30">
        <f>IF(Vendedor5!$E$9="",0,Vendedor5!$E$9)</f>
        <v>0</v>
      </c>
      <c r="G8" s="179">
        <f>IF(Vendedor5!$C$13="",0,Vendedor5!$C$13)</f>
        <v>5400</v>
      </c>
      <c r="H8" s="30">
        <f>IF(Vendedor5!$E$13="",0,Vendedor5!$E$13)</f>
        <v>0</v>
      </c>
      <c r="I8" s="179">
        <f>IF(Vendedor5!$C$17="",0,Vendedor5!$C$17)</f>
        <v>22950</v>
      </c>
      <c r="J8" s="30">
        <f>IF(Vendedor5!$E$17="",0,Vendedor5!$E$17)</f>
        <v>700</v>
      </c>
      <c r="L8" s="42">
        <f t="shared" ref="L8" si="4">C8+E8+G8+I8</f>
        <v>152200</v>
      </c>
      <c r="M8" s="41">
        <f>MROUND(L8*Vendedor5!J$12,50)</f>
        <v>18250</v>
      </c>
      <c r="N8" s="42">
        <f t="shared" ref="N8" si="5">D8+F8+H8+J8</f>
        <v>1500</v>
      </c>
      <c r="O8" s="41">
        <f t="shared" si="3"/>
        <v>127500</v>
      </c>
      <c r="P8" s="42">
        <f>Vendedor5!$F$5+Vendedor5!$F$9+Vendedor5!$F$13+Vendedor5!$F$17</f>
        <v>120000</v>
      </c>
      <c r="Q8">
        <v>17</v>
      </c>
      <c r="R8" s="41">
        <f t="shared" ref="R8" si="6">+L8-M8-O8</f>
        <v>6450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114350</v>
      </c>
      <c r="D10" s="30">
        <f>IF(Vendedor7!$E$5="",0,Vendedor7!$E$5)</f>
        <v>400</v>
      </c>
      <c r="E10" s="179">
        <f>IF(Vendedor7!$C$9="",0,Vendedor7!$C$9)</f>
        <v>79000</v>
      </c>
      <c r="F10" s="30">
        <f>IF(Vendedor7!$E$9="",0,Vendedor7!$E$9)</f>
        <v>0</v>
      </c>
      <c r="G10" s="179">
        <f>IF(Vendedor7!$C$13="",0,Vendedor7!$C$13)</f>
        <v>54250</v>
      </c>
      <c r="H10" s="30">
        <f>IF(Vendedor7!$E$13="",0,Vendedor7!$E$13)</f>
        <v>750</v>
      </c>
      <c r="I10" s="179">
        <f>IF(Vendedor7!$C$17="",0,Vendedor7!$C$17)</f>
        <v>115100</v>
      </c>
      <c r="J10" s="30">
        <f>IF(Vendedor7!$E$17="",0,Vendedor7!$E$17)</f>
        <v>1200</v>
      </c>
      <c r="L10" s="42">
        <f t="shared" si="7"/>
        <v>362700</v>
      </c>
      <c r="M10" s="41">
        <f>MROUND(L10*Vendedor7!J$15,50)</f>
        <v>43500</v>
      </c>
      <c r="N10" s="42">
        <f t="shared" ref="N10:N27" si="9">D10+F10+H10+J10</f>
        <v>2350</v>
      </c>
      <c r="O10" s="41">
        <f t="shared" si="3"/>
        <v>199750</v>
      </c>
      <c r="P10" s="42">
        <f>Vendedor7!$F$5+Vendedor7!$F$9+Vendedor7!$F$13+Vendedor7!$F$17</f>
        <v>199750</v>
      </c>
      <c r="R10" s="41">
        <f t="shared" si="8"/>
        <v>119450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25250</v>
      </c>
      <c r="D12" s="30">
        <f>IF(Vendedor9!$E$5="",0,Vendedor9!$E$5)</f>
        <v>0</v>
      </c>
      <c r="E12" s="179">
        <f>IF(Vendedor9!$C$9="",0,Vendedor9!$C$9)</f>
        <v>25650</v>
      </c>
      <c r="F12" s="30">
        <f>IF(Vendedor9!$E$9="",0,Vendedor9!$E$9)</f>
        <v>500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50900</v>
      </c>
      <c r="M12" s="41">
        <f>MROUND(L12*Vendedor9!J$12,50)</f>
        <v>6100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2300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20600</v>
      </c>
      <c r="D13" s="30">
        <f>IF(Vendedor10!$E$5="",0,Vendedor10!$E$5)</f>
        <v>0</v>
      </c>
      <c r="E13" s="179">
        <f>IF(Vendedor10!$C$9="",0,Vendedor10!$C$9)</f>
        <v>6800</v>
      </c>
      <c r="F13" s="30">
        <f>IF(Vendedor10!$E$9="",0,Vendedor10!$E$9)</f>
        <v>0</v>
      </c>
      <c r="G13" s="179">
        <f>IF(Vendedor10!$C$13="",0,Vendedor10!$C$13)</f>
        <v>12400</v>
      </c>
      <c r="H13" s="30">
        <f>IF(Vendedor10!$E$13="",0,Vendedor10!$E$13)</f>
        <v>0</v>
      </c>
      <c r="I13" s="179">
        <f>IF(Vendedor10!$C$17="",0,Vendedor10!$C$17)</f>
        <v>0</v>
      </c>
      <c r="J13" s="30">
        <f>IF(Vendedor10!$E$17="",0,Vendedor10!$E$17)</f>
        <v>0</v>
      </c>
      <c r="L13" s="42">
        <f t="shared" si="7"/>
        <v>39800</v>
      </c>
      <c r="M13" s="41">
        <f>MROUND(L13*Vendedor10!J$10,50)</f>
        <v>4800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35000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0</v>
      </c>
      <c r="D16" s="30">
        <f>IF(Vendedor13!$E$5="",0,Vendedor13!$E$5)</f>
        <v>0</v>
      </c>
      <c r="E16" s="179">
        <f>IF(Vendedor13!$C$9="",0,Vendedor13!$C$9)</f>
        <v>1900</v>
      </c>
      <c r="F16" s="30">
        <f>IF(Vendedor13!$E$9="",0,Vendedor13!$E$9)</f>
        <v>0</v>
      </c>
      <c r="G16" s="179">
        <f>IF(Vendedor13!$C$13="",0,Vendedor13!$C$13)</f>
        <v>2800</v>
      </c>
      <c r="H16" s="30">
        <f>IF(Vendedor13!$E$13="",0,Vendedor13!$E$13)</f>
        <v>0</v>
      </c>
      <c r="I16" s="179">
        <f>IF(Vendedor13!$C$17="",0,Vendedor13!$C$17)</f>
        <v>3700</v>
      </c>
      <c r="J16" s="30">
        <f>IF(Vendedor13!$E$17="",0,Vendedor13!$E$17)</f>
        <v>0</v>
      </c>
      <c r="L16" s="42">
        <f t="shared" si="7"/>
        <v>8400</v>
      </c>
      <c r="M16" s="41">
        <f>MROUND(L16*Vendedor13!J$12,50)</f>
        <v>1000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7400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64150</v>
      </c>
      <c r="D17" s="30">
        <f>IF(Vendedor14!$E$5="",0,Vendedor14!$E$5)</f>
        <v>550</v>
      </c>
      <c r="E17" s="179">
        <f>IF(Vendedor14!$C$9="",0,Vendedor14!$C$9)</f>
        <v>76350</v>
      </c>
      <c r="F17" s="30">
        <f>IF(Vendedor14!$E$9="",0,Vendedor14!$E$9)</f>
        <v>200</v>
      </c>
      <c r="G17" s="179">
        <f>IF(Vendedor14!$C$13="",0,Vendedor14!$C$13)</f>
        <v>50250</v>
      </c>
      <c r="H17" s="30">
        <f>IF(Vendedor14!$E$13="",0,Vendedor14!$E$13)</f>
        <v>650</v>
      </c>
      <c r="I17" s="179">
        <f>IF(Vendedor14!$C$17="",0,Vendedor14!$C$17)</f>
        <v>131950</v>
      </c>
      <c r="J17" s="30">
        <f>IF(Vendedor14!$E$17="",0,Vendedor14!$E$17)</f>
        <v>2350</v>
      </c>
      <c r="L17" s="42">
        <f>C17+E17+G17+I17</f>
        <v>322700</v>
      </c>
      <c r="M17" s="41">
        <f>MROUND(L17*Vendedor14!J$16,50)</f>
        <v>38700</v>
      </c>
      <c r="N17" s="42">
        <f t="shared" si="9"/>
        <v>3750</v>
      </c>
      <c r="O17" s="41">
        <f t="shared" si="3"/>
        <v>318750</v>
      </c>
      <c r="P17" s="42">
        <f>Vendedor14!$F$5+Vendedor14!$F$9+Vendedor14!$F$13+Vendedor14!$F$17</f>
        <v>318750</v>
      </c>
      <c r="R17" s="41">
        <f t="shared" si="8"/>
        <v>-34750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60100</v>
      </c>
      <c r="D18" s="30">
        <f>IF(Vendedor15!$E$5="",0,Vendedor15!$E$5)</f>
        <v>150</v>
      </c>
      <c r="E18" s="179">
        <f>IF(Vendedor15!$C$9="",0,Vendedor15!$C$9)</f>
        <v>37850</v>
      </c>
      <c r="F18" s="30">
        <f>IF(Vendedor15!$E$9="",0,Vendedor15!$E$9)</f>
        <v>0</v>
      </c>
      <c r="G18" s="179">
        <f>IF(Vendedor15!$C$13="",0,Vendedor15!$C$13)</f>
        <v>29800</v>
      </c>
      <c r="H18" s="30">
        <f>IF(Vendedor15!$E$13="",0,Vendedor15!$E$13)</f>
        <v>0</v>
      </c>
      <c r="I18" s="179">
        <f>IF(Vendedor15!$C$17="",0,Vendedor15!$C$17)</f>
        <v>11200</v>
      </c>
      <c r="J18" s="30">
        <f>IF(Vendedor15!$E$17="",0,Vendedor15!$E$17)</f>
        <v>250</v>
      </c>
      <c r="L18" s="42">
        <f t="shared" ref="L18:L27" si="10">C18+E18+G18+I18</f>
        <v>138950</v>
      </c>
      <c r="M18" s="41">
        <f>MROUND(L18*Vendedor15!J$16,50)</f>
        <v>16650</v>
      </c>
      <c r="N18" s="42">
        <f t="shared" si="9"/>
        <v>400</v>
      </c>
      <c r="O18" s="41">
        <f t="shared" si="3"/>
        <v>34000</v>
      </c>
      <c r="P18" s="42">
        <f>Vendedor15!$F$5+Vendedor15!$F$9+Vendedor15!$F$13+Vendedor15!$F$17</f>
        <v>34000</v>
      </c>
      <c r="R18" s="41">
        <f t="shared" si="8"/>
        <v>88300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422950</v>
      </c>
      <c r="D32" s="44">
        <f t="shared" si="14"/>
        <v>1900</v>
      </c>
      <c r="E32" s="43">
        <f t="shared" si="14"/>
        <v>311600</v>
      </c>
      <c r="F32" s="44">
        <f t="shared" si="14"/>
        <v>700</v>
      </c>
      <c r="G32" s="43">
        <f t="shared" si="14"/>
        <v>160600</v>
      </c>
      <c r="H32" s="44">
        <f t="shared" si="14"/>
        <v>1400</v>
      </c>
      <c r="I32" s="43">
        <f t="shared" si="14"/>
        <v>287700</v>
      </c>
      <c r="J32" s="44">
        <f t="shared" si="14"/>
        <v>5000</v>
      </c>
      <c r="L32" s="45">
        <f>SUM(L4:L31)</f>
        <v>1182850</v>
      </c>
      <c r="M32" s="45">
        <f>SUM(M7:M31)</f>
        <v>129000</v>
      </c>
      <c r="N32" s="95">
        <f>SUM(N4:N31)</f>
        <v>9000</v>
      </c>
      <c r="O32" s="46">
        <f>SUM(O4:O31)</f>
        <v>765000</v>
      </c>
      <c r="P32" s="139">
        <f>SUM(P4:P31)</f>
        <v>755000</v>
      </c>
      <c r="R32" s="79">
        <f>SUM(R4:R31)</f>
        <v>274900</v>
      </c>
    </row>
    <row r="33" spans="3:15" x14ac:dyDescent="0.35">
      <c r="D33" s="120">
        <f>+D32*85</f>
        <v>161500</v>
      </c>
      <c r="F33" s="120">
        <f>+F32*85</f>
        <v>59500</v>
      </c>
      <c r="H33" s="120">
        <f>+H32*85</f>
        <v>119000</v>
      </c>
      <c r="J33" s="120">
        <f>+J32*85</f>
        <v>425000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1182850</v>
      </c>
      <c r="E36" s="43">
        <f>+D36-L4-L5-L6</f>
        <v>1075650</v>
      </c>
    </row>
    <row r="37" spans="3:15" x14ac:dyDescent="0.35">
      <c r="C37" s="47" t="s">
        <v>33</v>
      </c>
      <c r="D37" s="48">
        <f>D36*13%</f>
        <v>153770.5</v>
      </c>
      <c r="E37">
        <f>+D37-M4-M5-M6</f>
        <v>139820.5</v>
      </c>
    </row>
    <row r="38" spans="3:15" x14ac:dyDescent="0.35">
      <c r="C38" s="47" t="s">
        <v>30</v>
      </c>
      <c r="D38" s="30">
        <f>SUM(O4:O27)</f>
        <v>765000</v>
      </c>
      <c r="G38" s="100"/>
    </row>
    <row r="39" spans="3:15" ht="15" thickBot="1" x14ac:dyDescent="0.4">
      <c r="C39" s="49" t="s">
        <v>4</v>
      </c>
      <c r="D39" s="80">
        <f>+D36-D37-D38</f>
        <v>264079.5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264079.5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08 Blanca</v>
      </c>
      <c r="D2" s="267"/>
      <c r="E2" s="266" t="str">
        <f>IF(E33=0,"",CONCATENATE(PREMIOS!$B11," ",PREMIOS!$B12))</f>
        <v>96 Blanca</v>
      </c>
      <c r="F2" s="267"/>
      <c r="G2" s="266" t="str">
        <f>IF(G33=0,"",CONCATENATE(PREMIOS!$B15," ",PREMIOS!$B16))</f>
        <v>27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32000</v>
      </c>
      <c r="D10" s="30">
        <f>IF(Vendedor7!$E$8="",0,Vendedor7!$E$8)</f>
        <v>0</v>
      </c>
      <c r="E10" s="179">
        <f>IF(Vendedor7!$C$12="",0,Vendedor7!$C$12)</f>
        <v>24450</v>
      </c>
      <c r="F10" s="30">
        <f>IF(Vendedor7!$E$12="",0,Vendedor7!$E$12)</f>
        <v>0</v>
      </c>
      <c r="G10" s="179">
        <f>IF(Vendedor7!$C$16="",0,Vendedor7!$C$16)</f>
        <v>32500</v>
      </c>
      <c r="H10" s="30">
        <f>IF(Vendedor7!$E$16="",0,Vendedor7!$E$16)</f>
        <v>0</v>
      </c>
      <c r="J10" s="42">
        <f t="shared" si="1"/>
        <v>88950</v>
      </c>
      <c r="K10" s="41">
        <f>J10*Vendedor7!J$16</f>
        <v>8895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80055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0</v>
      </c>
      <c r="D12" s="30">
        <f>IF(Vendedor9!$E$8="",0,Vendedor9!$E$8)</f>
        <v>0</v>
      </c>
      <c r="E12" s="179">
        <f>IF(Vendedor9!$C$12="",0,Vendedor9!$C$12)</f>
        <v>0</v>
      </c>
      <c r="F12" s="30">
        <f>IF(Vendedor9!$E$12="",0,Vendedor9!$E$12)</f>
        <v>0</v>
      </c>
      <c r="G12" s="179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1000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25100</v>
      </c>
      <c r="D17" s="30">
        <f>IF(Vendedor14!$E$8="",0,Vendedor14!$E$8)</f>
        <v>500</v>
      </c>
      <c r="E17" s="179">
        <f>IF(Vendedor14!$C$12="",0,Vendedor14!$C$12)</f>
        <v>18000</v>
      </c>
      <c r="F17" s="30">
        <f>IF(Vendedor14!$E$12="",0,Vendedor14!$E$12)</f>
        <v>0</v>
      </c>
      <c r="G17" s="179">
        <f>IF(Vendedor14!$C$16="",0,Vendedor14!$C$16)</f>
        <v>23150</v>
      </c>
      <c r="H17" s="30">
        <f>IF(Vendedor14!$E$16="",0,Vendedor14!$E$16)</f>
        <v>800</v>
      </c>
      <c r="J17" s="42">
        <f t="shared" si="1"/>
        <v>66250</v>
      </c>
      <c r="K17" s="41">
        <f>J17*Vendedor14!J$17</f>
        <v>6625</v>
      </c>
      <c r="L17" s="42">
        <f t="shared" si="2"/>
        <v>0</v>
      </c>
      <c r="M17" s="42">
        <f t="shared" si="3"/>
        <v>1300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59625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12400</v>
      </c>
      <c r="D18" s="30">
        <f>IF(Vendedor15!$E$8="",0,Vendedor15!$E$8)</f>
        <v>150</v>
      </c>
      <c r="E18" s="179">
        <f>IF(Vendedor15!$C$12="",0,Vendedor15!$C$12)</f>
        <v>12300</v>
      </c>
      <c r="F18" s="30">
        <f>IF(Vendedor15!$E$12="",0,Vendedor15!$E$12)</f>
        <v>0</v>
      </c>
      <c r="G18" s="179">
        <f>IF(Vendedor15!$C$16="",0,Vendedor15!$C$16)</f>
        <v>15800</v>
      </c>
      <c r="H18" s="30">
        <f>IF(Vendedor15!$E$16="",0,Vendedor15!$E$16)</f>
        <v>1000</v>
      </c>
      <c r="J18" s="42">
        <f t="shared" ref="J18" si="5">+C18+E18+G18</f>
        <v>40500</v>
      </c>
      <c r="K18" s="41">
        <f>J18*Vendedor15!J$17</f>
        <v>4050</v>
      </c>
      <c r="L18" s="42">
        <f t="shared" si="2"/>
        <v>0</v>
      </c>
      <c r="M18" s="42">
        <f t="shared" si="3"/>
        <v>1150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36450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70500</v>
      </c>
      <c r="D33" s="44">
        <f>IF(PREMIOS!E8&lt;&gt;0,SUM(D4:D32),0)</f>
        <v>0</v>
      </c>
      <c r="E33" s="43">
        <f>SUM(E4:E32)</f>
        <v>54750</v>
      </c>
      <c r="F33" s="44">
        <f>IF(PREMIOS!E12&lt;&gt;0,SUM(F4:F32),0)</f>
        <v>0</v>
      </c>
      <c r="G33" s="43">
        <f>SUM(G4:G32)</f>
        <v>71450</v>
      </c>
      <c r="H33" s="44">
        <f>IF(PREMIOS!E16&lt;&gt;0,SUM(H4:H32),0)</f>
        <v>0</v>
      </c>
      <c r="J33" s="45">
        <f>SUM(J4:J32)</f>
        <v>196700</v>
      </c>
      <c r="K33" s="45">
        <f>SUM(K7:K32)</f>
        <v>19670</v>
      </c>
      <c r="L33" s="95">
        <f>SUM(L7:L32)</f>
        <v>0</v>
      </c>
      <c r="M33" s="95">
        <f>SUM(M7:M32)</f>
        <v>2450</v>
      </c>
      <c r="N33" s="95">
        <f>SUM(N4:N27)</f>
        <v>0</v>
      </c>
      <c r="O33" s="95">
        <f>SUM(O4:O27)</f>
        <v>0</v>
      </c>
      <c r="Q33" s="79">
        <f>SUM(Q4:Q32)</f>
        <v>177030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196700</v>
      </c>
      <c r="E37" s="43">
        <f>+D37-J4-J5-J6</f>
        <v>196700</v>
      </c>
      <c r="F37" s="274"/>
      <c r="G37" s="274"/>
    </row>
    <row r="38" spans="3:17" ht="15" thickBot="1" x14ac:dyDescent="0.4">
      <c r="C38" s="47" t="s">
        <v>33</v>
      </c>
      <c r="D38" s="30">
        <f>D37*10%</f>
        <v>19670</v>
      </c>
      <c r="E38" s="43">
        <f>+D38-K4-K5-K6</f>
        <v>19670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177030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177030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29</v>
      </c>
      <c r="D2" s="267"/>
      <c r="E2" s="266">
        <f>DigitaPRIMERA!E2</f>
        <v>93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11150</v>
      </c>
      <c r="D4" s="78">
        <f>IF(Vendedor1!$E$19="",0,Vendedor1!$E$19)</f>
        <v>0</v>
      </c>
      <c r="E4" s="188">
        <f>IF(Vendedor1!$C$20="",0,Vendedor1!$C$20)</f>
        <v>400</v>
      </c>
      <c r="F4" s="78">
        <f>IF(Vendedor1!$E$20="",0,Vendedor1!$E$20)</f>
        <v>0</v>
      </c>
      <c r="H4" s="42">
        <f>+C4+E4</f>
        <v>11550</v>
      </c>
      <c r="I4" s="41">
        <f>MROUND(H4*Vendedor1!J$9,50)</f>
        <v>1500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10050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1700</v>
      </c>
      <c r="D5" s="30">
        <f>IF(Vendedor2!$E$19="",0,Vendedor2!$E$19)</f>
        <v>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1700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1500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59050</v>
      </c>
      <c r="D8" s="30">
        <f>IF(Vendedor5!$E$19="",0,Vendedor5!$E$19)</f>
        <v>0</v>
      </c>
      <c r="E8" s="179">
        <f>IF(Vendedor5!$C$20="",0,Vendedor5!$C$20)</f>
        <v>21500</v>
      </c>
      <c r="F8" s="30">
        <f>IF(Vendedor5!$E$20="",0,Vendedor5!$E$20)</f>
        <v>0</v>
      </c>
      <c r="H8" s="133">
        <f t="shared" si="1"/>
        <v>80550</v>
      </c>
      <c r="I8" s="147">
        <f>MROUND(H8*Vendedor5!J$11,50)</f>
        <v>9650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70900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34250</v>
      </c>
      <c r="D10" s="30">
        <f>IF(Vendedor7!$E$19="",0,Vendedor7!$E$19)</f>
        <v>0</v>
      </c>
      <c r="E10" s="179">
        <f>IF(Vendedor7!$C$20="",0,Vendedor7!$C$20)</f>
        <v>23100</v>
      </c>
      <c r="F10" s="30">
        <f>IF(Vendedor7!$E$20="",0,Vendedor7!$E$20)</f>
        <v>0</v>
      </c>
      <c r="H10" s="42">
        <f t="shared" si="1"/>
        <v>57350</v>
      </c>
      <c r="I10" s="41">
        <f>MROUND(H10*Vendedor7!J$14,50)</f>
        <v>6900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50450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29050</v>
      </c>
      <c r="D12" s="30">
        <f>IF(Vendedor9!$E$19="",0,Vendedor9!$E$19)</f>
        <v>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29050</v>
      </c>
      <c r="I12" s="147">
        <f>MROUND(H12*Vendedor9!J$11,50)</f>
        <v>3500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4"/>
      <c r="N12" s="133">
        <f t="shared" si="0"/>
        <v>25550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3900</v>
      </c>
      <c r="D16" s="30">
        <f>IF(Vendedor13!$E$19="",0,Vendedor13!$E$19)</f>
        <v>0</v>
      </c>
      <c r="E16" s="179">
        <f>IF(Vendedor13!$C$20="",0,Vendedor13!$C$20)</f>
        <v>800</v>
      </c>
      <c r="F16" s="30">
        <f>IF(Vendedor13!$E$20="",0,Vendedor13!$E$20)</f>
        <v>0</v>
      </c>
      <c r="H16" s="133">
        <f t="shared" si="1"/>
        <v>4700</v>
      </c>
      <c r="I16" s="147">
        <f>MROUND(H16*Vendedor13!J$11,50)</f>
        <v>550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4150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92200</v>
      </c>
      <c r="D17" s="30">
        <f>IF(Vendedor14!$E$19="",0,Vendedor14!$E$19)</f>
        <v>100</v>
      </c>
      <c r="E17" s="179">
        <f>IF(Vendedor14!$C$20="",0,Vendedor14!$C$20)</f>
        <v>34150</v>
      </c>
      <c r="F17" s="30">
        <f>IF(Vendedor14!$E$20="",0,Vendedor14!$E$20)</f>
        <v>0</v>
      </c>
      <c r="H17" s="42">
        <f t="shared" si="1"/>
        <v>126350</v>
      </c>
      <c r="I17" s="41">
        <f>MROUND(H17*Vendedor14!J$15,50)</f>
        <v>15150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102700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46750</v>
      </c>
      <c r="D18" s="30">
        <f>IF(Vendedor15!$E$19="",0,Vendedor15!$E$19)</f>
        <v>400</v>
      </c>
      <c r="E18" s="179">
        <f>IF(Vendedor15!$C$20="",0,Vendedor15!$C$20)</f>
        <v>28600</v>
      </c>
      <c r="F18" s="30">
        <f>IF(Vendedor15!$E$20="",0,Vendedor15!$E$20)</f>
        <v>200</v>
      </c>
      <c r="H18" s="42">
        <f t="shared" si="1"/>
        <v>75350</v>
      </c>
      <c r="I18" s="41">
        <f>MROUND(H18*Vendedor15!J$15,50)</f>
        <v>9050</v>
      </c>
      <c r="J18" s="42">
        <f t="shared" si="2"/>
        <v>600</v>
      </c>
      <c r="K18" s="42">
        <f t="shared" si="3"/>
        <v>51000</v>
      </c>
      <c r="L18" s="42">
        <f>Vendedor15!$F$19+Vendedor15!$F$20</f>
        <v>51000</v>
      </c>
      <c r="N18" s="42">
        <f t="shared" si="0"/>
        <v>15300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278050</v>
      </c>
      <c r="D32" s="44">
        <f>SUM(D4:D31)</f>
        <v>500</v>
      </c>
      <c r="E32" s="43">
        <f>SUM(E4:E31)</f>
        <v>108550</v>
      </c>
      <c r="F32" s="44">
        <f>SUM(F4:F31)</f>
        <v>200</v>
      </c>
      <c r="H32" s="95">
        <f>SUM(H4:H31)</f>
        <v>386600</v>
      </c>
      <c r="I32" s="45">
        <f>SUM(I7:I31)</f>
        <v>44800</v>
      </c>
      <c r="J32" s="95"/>
      <c r="K32" s="95">
        <f>SUM(K4:K31)</f>
        <v>59500</v>
      </c>
      <c r="L32" s="95">
        <f>SUM(L4:L31)</f>
        <v>59500</v>
      </c>
      <c r="N32" s="79">
        <f>SUM(N4:N31)</f>
        <v>280600</v>
      </c>
    </row>
    <row r="33" spans="3:6" x14ac:dyDescent="0.35">
      <c r="D33" s="99">
        <f>+D32*85</f>
        <v>42500</v>
      </c>
      <c r="F33" s="99">
        <f>+F32*85</f>
        <v>17000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386600</v>
      </c>
      <c r="E36" s="43">
        <f>+D36-H4-H5-H6</f>
        <v>373350</v>
      </c>
    </row>
    <row r="37" spans="3:6" x14ac:dyDescent="0.35">
      <c r="C37" s="47" t="s">
        <v>33</v>
      </c>
      <c r="D37" s="48">
        <f>D36*13%</f>
        <v>50258</v>
      </c>
      <c r="E37">
        <f>+D37-I4-I5-I6</f>
        <v>48558</v>
      </c>
    </row>
    <row r="38" spans="3:6" ht="15" thickBot="1" x14ac:dyDescent="0.4">
      <c r="C38" s="47" t="s">
        <v>30</v>
      </c>
      <c r="D38" s="30">
        <f>SUM(K4:K27)</f>
        <v>59500</v>
      </c>
    </row>
    <row r="39" spans="3:6" ht="15" thickBot="1" x14ac:dyDescent="0.4">
      <c r="C39" s="49" t="s">
        <v>4</v>
      </c>
      <c r="D39" s="80">
        <f>+D36-D37-D38</f>
        <v>276842</v>
      </c>
      <c r="F39" s="98">
        <f>+N32-D39</f>
        <v>3758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276842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91</v>
      </c>
      <c r="D2" s="267"/>
      <c r="E2" s="266">
        <f>DigitaHONDURAS!E2</f>
        <v>45</v>
      </c>
      <c r="F2" s="267"/>
      <c r="G2" s="266">
        <f>DigitaHONDURAS!G2</f>
        <v>16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6200</v>
      </c>
      <c r="D10" s="30">
        <f>IF(Vendedor7!$E$21="",0,Vendedor7!$E$21)</f>
        <v>300</v>
      </c>
      <c r="E10" s="179">
        <f>IF(Vendedor7!$C$22="",0,Vendedor7!$C$22)</f>
        <v>400</v>
      </c>
      <c r="F10" s="30">
        <f>IF(Vendedor7!$E$22="",0,Vendedor7!$E$22)</f>
        <v>0</v>
      </c>
      <c r="G10" s="179">
        <f>IF(Vendedor7!$C$23="",0,Vendedor7!$C$23)</f>
        <v>3750</v>
      </c>
      <c r="H10" s="30">
        <f>IF(Vendedor7!$E$23="",0,Vendedor7!$E$23)</f>
        <v>0</v>
      </c>
      <c r="J10" s="42">
        <f t="shared" si="0"/>
        <v>10350</v>
      </c>
      <c r="K10" s="41">
        <f>MROUND(J10*Vendedor7!J$14,50)</f>
        <v>1250</v>
      </c>
      <c r="L10" s="42">
        <f t="shared" si="1"/>
        <v>300</v>
      </c>
      <c r="M10" s="42">
        <f t="shared" si="3"/>
        <v>25500</v>
      </c>
      <c r="N10" s="42">
        <f>Vendedor7!$F$21+Vendedor7!$F$22+Vendedor7!$F$23</f>
        <v>25500</v>
      </c>
      <c r="P10" s="42">
        <f t="shared" si="2"/>
        <v>-16400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1000</v>
      </c>
      <c r="H16" s="30">
        <f>IF(Vendedor13!$E$23="",0,Vendedor13!$E$23)</f>
        <v>0</v>
      </c>
      <c r="J16" s="133">
        <f t="shared" si="0"/>
        <v>1000</v>
      </c>
      <c r="K16" s="147">
        <f>MROUND(J16*Vendedor13!J$11,50)</f>
        <v>100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900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63850</v>
      </c>
      <c r="D17" s="30">
        <f>IF(Vendedor14!$E$21="",0,Vendedor14!$E$21)</f>
        <v>450</v>
      </c>
      <c r="E17" s="179">
        <f>IF(Vendedor14!$C$22="",0,Vendedor14!$C$22)</f>
        <v>11600</v>
      </c>
      <c r="F17" s="30">
        <f>IF(Vendedor14!$E$22="",0,Vendedor14!$E$22)</f>
        <v>500</v>
      </c>
      <c r="G17" s="179">
        <f>IF(Vendedor14!$C$23="",0,Vendedor14!$C$23)</f>
        <v>16300</v>
      </c>
      <c r="H17" s="30">
        <f>IF(Vendedor14!$E$23="",0,Vendedor14!$E$23)</f>
        <v>0</v>
      </c>
      <c r="J17" s="42">
        <f t="shared" si="0"/>
        <v>91750</v>
      </c>
      <c r="K17" s="41">
        <f>MROUND(J17*Vendedor14!J$15,50)</f>
        <v>11000</v>
      </c>
      <c r="L17" s="42">
        <f t="shared" si="1"/>
        <v>950</v>
      </c>
      <c r="M17" s="42">
        <f t="shared" si="3"/>
        <v>80750</v>
      </c>
      <c r="N17" s="42">
        <f>Vendedor14!$F$21+Vendedor14!$F$22+Vendedor14!$F$23</f>
        <v>80750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26050</v>
      </c>
      <c r="D18" s="30">
        <f>IF(Vendedor15!$E$21="",0,Vendedor15!$E$21)</f>
        <v>700</v>
      </c>
      <c r="E18" s="179">
        <f>IF(Vendedor15!$C$22="",0,Vendedor15!$C$22)</f>
        <v>11600</v>
      </c>
      <c r="F18" s="30">
        <f>IF(Vendedor15!$E$22="",0,Vendedor15!$E$22)</f>
        <v>0</v>
      </c>
      <c r="G18" s="179">
        <f>IF(Vendedor15!$C$23="",0,Vendedor15!$C$23)</f>
        <v>6800</v>
      </c>
      <c r="H18" s="30">
        <f>IF(Vendedor15!$E$23="",0,Vendedor15!$E$23)</f>
        <v>150</v>
      </c>
      <c r="J18" s="42">
        <f t="shared" si="0"/>
        <v>44450</v>
      </c>
      <c r="K18" s="41">
        <f>MROUND(J18*Vendedor15!J$15,50)</f>
        <v>5350</v>
      </c>
      <c r="L18" s="42">
        <f t="shared" si="1"/>
        <v>850</v>
      </c>
      <c r="M18" s="42">
        <f t="shared" si="3"/>
        <v>72250</v>
      </c>
      <c r="N18" s="42">
        <f>Vendedor15!$F$21+Vendedor15!$F$22+Vendedor15!$F$23</f>
        <v>72250</v>
      </c>
      <c r="P18" s="42">
        <f t="shared" si="2"/>
        <v>-33150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96100</v>
      </c>
      <c r="D32" s="44">
        <f t="shared" si="8"/>
        <v>1450</v>
      </c>
      <c r="E32" s="43">
        <f t="shared" si="8"/>
        <v>23600</v>
      </c>
      <c r="F32" s="44">
        <f t="shared" si="8"/>
        <v>500</v>
      </c>
      <c r="G32" s="43">
        <f t="shared" si="8"/>
        <v>27850</v>
      </c>
      <c r="H32" s="44">
        <f t="shared" si="8"/>
        <v>150</v>
      </c>
      <c r="J32" s="95">
        <f>SUM(J4:J31)</f>
        <v>147550</v>
      </c>
      <c r="K32" s="45">
        <f>SUM(K7:K31)</f>
        <v>17700</v>
      </c>
      <c r="L32" s="95"/>
      <c r="M32" s="95">
        <f>SUM(M4:M31)</f>
        <v>178500</v>
      </c>
      <c r="N32" s="95">
        <f>SUM(N4:N31)</f>
        <v>178500</v>
      </c>
      <c r="P32" s="79">
        <f>SUM(P4:P31)</f>
        <v>-48650</v>
      </c>
    </row>
    <row r="33" spans="3:8" x14ac:dyDescent="0.35">
      <c r="D33" s="99">
        <f>+D32*85</f>
        <v>123250</v>
      </c>
      <c r="F33" s="99">
        <f>+F32*85</f>
        <v>42500</v>
      </c>
      <c r="H33" s="99">
        <f>+H32*85</f>
        <v>12750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147550</v>
      </c>
      <c r="E36" s="43">
        <f>+D36-J4-J5-J6</f>
        <v>147550</v>
      </c>
    </row>
    <row r="37" spans="3:8" x14ac:dyDescent="0.35">
      <c r="C37" s="47" t="s">
        <v>33</v>
      </c>
      <c r="D37" s="48">
        <f>D36*13%</f>
        <v>19181.5</v>
      </c>
      <c r="E37">
        <f>+D37-K4-K5-K6</f>
        <v>19181.5</v>
      </c>
    </row>
    <row r="38" spans="3:8" ht="15" thickBot="1" x14ac:dyDescent="0.4">
      <c r="C38" s="47" t="s">
        <v>30</v>
      </c>
      <c r="D38" s="30">
        <f>SUM(M4:M27)</f>
        <v>178500</v>
      </c>
      <c r="G38" s="100"/>
    </row>
    <row r="39" spans="3:8" ht="15" thickBot="1" x14ac:dyDescent="0.4">
      <c r="C39" s="49" t="s">
        <v>4</v>
      </c>
      <c r="D39" s="80">
        <f>+D36-D37-D38</f>
        <v>-50131.5</v>
      </c>
      <c r="F39" s="98">
        <f>+P32-D39</f>
        <v>1481.5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-50131.5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09</v>
      </c>
      <c r="D2" s="267"/>
      <c r="E2" s="266">
        <f>DigitaDOMINICANA!E2</f>
        <v>82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47750</v>
      </c>
      <c r="D10" s="30">
        <f>IF(Vendedor7!$E$24="",0,Vendedor7!$E$24)</f>
        <v>6000</v>
      </c>
      <c r="E10" s="179">
        <f>IF(Vendedor7!$C$25="",0,Vendedor7!$C$25)</f>
        <v>23750</v>
      </c>
      <c r="F10" s="30">
        <f>IF(Vendedor7!$E$25="",0,Vendedor7!$E$25)</f>
        <v>2000</v>
      </c>
      <c r="H10" s="42">
        <f t="shared" si="1"/>
        <v>71500</v>
      </c>
      <c r="I10" s="41">
        <f>MROUND(H10*Vendedor7!J$14,50)</f>
        <v>8600</v>
      </c>
      <c r="J10" s="42">
        <f t="shared" si="2"/>
        <v>8000</v>
      </c>
      <c r="K10" s="42">
        <f t="shared" si="3"/>
        <v>680000</v>
      </c>
      <c r="L10" s="42">
        <f>Vendedor7!$F$24+Vendedor7!$F$25</f>
        <v>680000</v>
      </c>
      <c r="N10" s="42">
        <f t="shared" si="0"/>
        <v>-617100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47750</v>
      </c>
      <c r="D32" s="44">
        <f>SUM(D4:D31)</f>
        <v>6000</v>
      </c>
      <c r="E32" s="43">
        <f>SUM(E4:E31)</f>
        <v>23750</v>
      </c>
      <c r="F32" s="44">
        <f>SUM(F4:F31)</f>
        <v>2000</v>
      </c>
      <c r="H32" s="95">
        <f>SUM(H4:H31)</f>
        <v>71500</v>
      </c>
      <c r="I32" s="45">
        <f>SUM(I7:I31)</f>
        <v>8600</v>
      </c>
      <c r="J32" s="95"/>
      <c r="K32" s="95">
        <f>SUM(K4:K31)</f>
        <v>680000</v>
      </c>
      <c r="L32" s="95">
        <f>SUM(L4:L31)</f>
        <v>680000</v>
      </c>
      <c r="N32" s="79">
        <f>SUM(N4:N31)</f>
        <v>-617100</v>
      </c>
    </row>
    <row r="33" spans="3:6" x14ac:dyDescent="0.35">
      <c r="D33" s="99">
        <f>+D32*85</f>
        <v>510000</v>
      </c>
      <c r="F33" s="99">
        <f>+F32*85</f>
        <v>170000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71500</v>
      </c>
      <c r="E36" s="43">
        <f>+D36-H4-H5-H6</f>
        <v>71500</v>
      </c>
    </row>
    <row r="37" spans="3:6" x14ac:dyDescent="0.35">
      <c r="C37" s="47" t="s">
        <v>33</v>
      </c>
      <c r="D37" s="48">
        <f>D36*13%</f>
        <v>9295</v>
      </c>
      <c r="E37">
        <f>+D37-I4-I5-I6</f>
        <v>9295</v>
      </c>
    </row>
    <row r="38" spans="3:6" ht="15" thickBot="1" x14ac:dyDescent="0.4">
      <c r="C38" s="47" t="s">
        <v>30</v>
      </c>
      <c r="D38" s="30">
        <f>SUM(K4:K27)</f>
        <v>680000</v>
      </c>
    </row>
    <row r="39" spans="3:6" ht="15" thickBot="1" x14ac:dyDescent="0.4">
      <c r="C39" s="49" t="s">
        <v>4</v>
      </c>
      <c r="D39" s="80">
        <f>+D36-D37-D38</f>
        <v>-617795</v>
      </c>
      <c r="F39" s="98">
        <f>+N32-D39</f>
        <v>695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-617795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16-04-2026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1075650</v>
      </c>
      <c r="C4" s="156">
        <f>HojaNICA!M32</f>
        <v>129000</v>
      </c>
      <c r="D4" s="149">
        <f>HojaNICA!E37</f>
        <v>139820.5</v>
      </c>
      <c r="E4" s="149">
        <f>HojaNICA!P32</f>
        <v>755000</v>
      </c>
      <c r="F4" s="149">
        <f>HojaNICA!O32</f>
        <v>765000</v>
      </c>
      <c r="G4" s="150">
        <f t="shared" ref="G4:G10" si="0">+D4-C4+F4-E4</f>
        <v>20820.5</v>
      </c>
      <c r="H4" s="21"/>
      <c r="I4" s="181"/>
    </row>
    <row r="5" spans="1:9" x14ac:dyDescent="0.35">
      <c r="A5" s="28" t="s">
        <v>19</v>
      </c>
      <c r="B5" s="155">
        <f>HojaTICA!$E$36</f>
        <v>1545750</v>
      </c>
      <c r="C5" s="156">
        <f>HojaTICA!K32</f>
        <v>188350</v>
      </c>
      <c r="D5" s="149">
        <f>HojaTICA!E37</f>
        <v>200927</v>
      </c>
      <c r="E5" s="149">
        <f>HojaTICA!N32</f>
        <v>1367250</v>
      </c>
      <c r="F5" s="149">
        <f>HojaTICA!D38</f>
        <v>1372750</v>
      </c>
      <c r="G5" s="150">
        <f t="shared" si="0"/>
        <v>18077</v>
      </c>
      <c r="H5" s="21"/>
      <c r="I5" s="181"/>
    </row>
    <row r="6" spans="1:9" x14ac:dyDescent="0.35">
      <c r="A6" s="28" t="s">
        <v>125</v>
      </c>
      <c r="B6" s="155">
        <f>HojaREVENTADO!$E$37</f>
        <v>196700</v>
      </c>
      <c r="C6" s="156">
        <f>HojaREVENTADO!K33</f>
        <v>19670</v>
      </c>
      <c r="D6" s="149">
        <f>HojaREVENTADO!E38</f>
        <v>19670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373350</v>
      </c>
      <c r="C7" s="156">
        <f>HojaPrimera!I32</f>
        <v>44800</v>
      </c>
      <c r="D7" s="149">
        <f>HojaPrimera!E37</f>
        <v>48558</v>
      </c>
      <c r="E7" s="149">
        <f>HojaPrimera!L32</f>
        <v>59500</v>
      </c>
      <c r="F7" s="149">
        <f>HojaPrimera!K32</f>
        <v>59500</v>
      </c>
      <c r="G7" s="150">
        <f t="shared" si="0"/>
        <v>3758</v>
      </c>
      <c r="H7" s="21"/>
      <c r="I7" s="21"/>
    </row>
    <row r="8" spans="1:9" x14ac:dyDescent="0.35">
      <c r="A8" s="28" t="s">
        <v>104</v>
      </c>
      <c r="B8" s="155">
        <f>HojaHonduras!$E$36</f>
        <v>147550</v>
      </c>
      <c r="C8" s="156">
        <f>HojaHonduras!K32</f>
        <v>17700</v>
      </c>
      <c r="D8" s="149">
        <f>HojaHonduras!E37</f>
        <v>19181.5</v>
      </c>
      <c r="E8" s="149">
        <f>HojaHonduras!N32</f>
        <v>178500</v>
      </c>
      <c r="F8" s="149">
        <f>HojaHonduras!M32</f>
        <v>178500</v>
      </c>
      <c r="G8" s="150">
        <f t="shared" si="0"/>
        <v>1481.5</v>
      </c>
      <c r="H8" s="21"/>
      <c r="I8" s="21"/>
    </row>
    <row r="9" spans="1:9" x14ac:dyDescent="0.35">
      <c r="A9" s="28" t="s">
        <v>20</v>
      </c>
      <c r="B9" s="155">
        <f>HojaDominicana!$E$36</f>
        <v>71500</v>
      </c>
      <c r="C9" s="156">
        <f>HojaDominicana!I32</f>
        <v>8600</v>
      </c>
      <c r="D9" s="149">
        <f>HojaDominicana!E37</f>
        <v>9295</v>
      </c>
      <c r="E9" s="149">
        <f>HojaDominicana!L32</f>
        <v>680000</v>
      </c>
      <c r="F9" s="149">
        <f>HojaDominicana!K32</f>
        <v>680000</v>
      </c>
      <c r="G9" s="150">
        <f t="shared" si="0"/>
        <v>695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3410500</v>
      </c>
      <c r="C11" s="174">
        <f>SUM(C4:C10)</f>
        <v>408120</v>
      </c>
      <c r="D11" s="174">
        <f t="shared" ref="D11:F11" si="1">SUM(D4:D10)</f>
        <v>437452</v>
      </c>
      <c r="E11" s="174">
        <f t="shared" si="1"/>
        <v>3040250</v>
      </c>
      <c r="F11" s="174">
        <f t="shared" si="1"/>
        <v>3055750</v>
      </c>
      <c r="G11" s="175">
        <f>SUM(G4:G10)</f>
        <v>44832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9832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278250</v>
      </c>
      <c r="E16" s="156">
        <f>+Vendedor1!D21</f>
        <v>36172.5</v>
      </c>
      <c r="F16" s="157">
        <f>IF(D16&lt;&gt;0,15000,0)</f>
        <v>15000</v>
      </c>
      <c r="G16" s="150">
        <f>+E16-F16</f>
        <v>21172.5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164350</v>
      </c>
      <c r="E17" s="156">
        <f>+Vendedor2!D21</f>
        <v>21365.5</v>
      </c>
      <c r="F17" s="157">
        <f>IF(D17&lt;&gt;0,15000,0)</f>
        <v>15000</v>
      </c>
      <c r="G17" s="150">
        <f>+E17-F17</f>
        <v>6365.5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442600</v>
      </c>
      <c r="E19" s="158">
        <f>SUM(E16:E18)</f>
        <v>57538</v>
      </c>
      <c r="F19" s="159">
        <f>SUM(F16:F18)</f>
        <v>30000</v>
      </c>
      <c r="G19" s="160">
        <f>SUM(G16:G18)</f>
        <v>27538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37370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7" t="str">
        <f ca="1">CONCATENATE("Tiempos Pana ",TEXT(I5,"dd-mm-yyyy"))</f>
        <v>Tiempos Pana 16-04-2026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1182850</v>
      </c>
      <c r="C5" s="149">
        <f>HojaNICA!D37</f>
        <v>153770.5</v>
      </c>
      <c r="D5" s="149">
        <f>HojaNICA!D38</f>
        <v>765000</v>
      </c>
      <c r="E5" s="149"/>
      <c r="F5" s="150">
        <f>+B5-C5-D5+E5</f>
        <v>264079.5</v>
      </c>
      <c r="H5" s="248" t="s">
        <v>105</v>
      </c>
      <c r="I5" s="242">
        <f ca="1">TODAY()-1</f>
        <v>46128</v>
      </c>
      <c r="O5" s="119"/>
    </row>
    <row r="6" spans="1:15" ht="15" thickBot="1" x14ac:dyDescent="0.4">
      <c r="A6" s="47" t="s">
        <v>36</v>
      </c>
      <c r="B6" s="149">
        <f>HojaTICA!D36</f>
        <v>1867900</v>
      </c>
      <c r="C6" s="149">
        <f>HojaTICA!D37</f>
        <v>242827</v>
      </c>
      <c r="D6" s="149">
        <f>HojaTICA!D38</f>
        <v>1372750</v>
      </c>
      <c r="E6" s="149"/>
      <c r="F6" s="150">
        <f t="shared" ref="F6:F11" si="0">+B6-C6-D6+E6</f>
        <v>252323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196700</v>
      </c>
      <c r="C7" s="149">
        <f>HojaREVENTADO!D38</f>
        <v>19670</v>
      </c>
      <c r="D7" s="149">
        <f>HojaREVENTADO!D39</f>
        <v>0</v>
      </c>
      <c r="E7" s="149"/>
      <c r="F7" s="150">
        <f t="shared" si="0"/>
        <v>177030</v>
      </c>
    </row>
    <row r="8" spans="1:15" x14ac:dyDescent="0.35">
      <c r="A8" s="47" t="s">
        <v>96</v>
      </c>
      <c r="B8" s="149">
        <f>HojaPrimera!$D36</f>
        <v>386600</v>
      </c>
      <c r="C8" s="149">
        <f>HojaPrimera!$D37</f>
        <v>50258</v>
      </c>
      <c r="D8" s="149">
        <f>HojaPrimera!$D38</f>
        <v>59500</v>
      </c>
      <c r="E8" s="149"/>
      <c r="F8" s="150">
        <f t="shared" si="0"/>
        <v>276842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147550</v>
      </c>
      <c r="C9" s="149">
        <f>HojaHonduras!$D37</f>
        <v>19181.5</v>
      </c>
      <c r="D9" s="149">
        <f>HojaHonduras!$D38</f>
        <v>178500</v>
      </c>
      <c r="E9" s="149"/>
      <c r="F9" s="150">
        <f t="shared" si="0"/>
        <v>-50131.5</v>
      </c>
      <c r="H9" s="249">
        <f>+K12-K10-H6</f>
        <v>302348</v>
      </c>
    </row>
    <row r="10" spans="1:15" ht="15" thickBot="1" x14ac:dyDescent="0.4">
      <c r="A10" s="47" t="s">
        <v>20</v>
      </c>
      <c r="B10" s="149">
        <f>HojaDominicana!$D36</f>
        <v>71500</v>
      </c>
      <c r="C10" s="149">
        <f>HojaDominicana!$D37</f>
        <v>9295</v>
      </c>
      <c r="D10" s="149">
        <f>HojaDominicana!$D38</f>
        <v>680000</v>
      </c>
      <c r="E10" s="149"/>
      <c r="F10" s="150">
        <f t="shared" si="0"/>
        <v>-617795</v>
      </c>
      <c r="H10" s="153"/>
      <c r="J10" t="s">
        <v>148</v>
      </c>
      <c r="K10" s="251">
        <v>6372697.9100000001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2">
        <f>+K10+F12+H6</f>
        <v>6675045.9100000001</v>
      </c>
    </row>
    <row r="12" spans="1:15" ht="16" thickBot="1" x14ac:dyDescent="0.4">
      <c r="A12" s="143" t="s">
        <v>5</v>
      </c>
      <c r="B12" s="151">
        <f>SUM(B5:B11)</f>
        <v>3853100</v>
      </c>
      <c r="C12" s="151">
        <f>SUM(C5:C11)</f>
        <v>495002</v>
      </c>
      <c r="D12" s="151">
        <f>SUM(D5:D11)</f>
        <v>3055750</v>
      </c>
      <c r="E12" s="151"/>
      <c r="F12" s="254">
        <f>SUM(F5:F11)</f>
        <v>302348</v>
      </c>
      <c r="H12" s="250">
        <f>K12</f>
        <v>6675045.9100000001</v>
      </c>
      <c r="J12" t="s">
        <v>140</v>
      </c>
      <c r="K12" s="253">
        <f>898451.39+4026939.24+390599.8+1359055.48</f>
        <v>6675045.9100000001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178300</v>
      </c>
      <c r="K4" s="230">
        <f t="shared" ref="K4" si="0">D7+D11+D15</f>
        <v>23179</v>
      </c>
      <c r="L4" s="219">
        <f>F7+F11+F15</f>
        <v>63750</v>
      </c>
    </row>
    <row r="5" spans="1:12" x14ac:dyDescent="0.35">
      <c r="A5" s="28" t="s">
        <v>43</v>
      </c>
      <c r="B5" s="132">
        <f>IF(DigitaNICA!C2&lt;&gt;"",DigitaNICA!C2,"")</f>
        <v>41</v>
      </c>
      <c r="C5" s="29">
        <f>IF(DigitaNICA!C4&lt;&gt;"",DigitaNICA!C4,"")</f>
        <v>59950</v>
      </c>
      <c r="D5" s="42">
        <f>IF(C5="",0,C5*J$10)</f>
        <v>7793.5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52156.5</v>
      </c>
      <c r="I5" s="240" t="s">
        <v>37</v>
      </c>
      <c r="J5" s="220">
        <f>SUM(IF(C5="",0,C5),IF(C9="",0,C9),IF(C13="",0,C13),IF(C17="",0,C17))</f>
        <v>88400</v>
      </c>
      <c r="K5" s="224">
        <f t="shared" ref="K5" si="2">D5+D9+D13+D17</f>
        <v>11492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11550</v>
      </c>
      <c r="K6" s="227">
        <f>D19+D20</f>
        <v>1501.5</v>
      </c>
      <c r="L6" s="228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08</v>
      </c>
      <c r="C7" s="29">
        <f>IF(DigitaTICA!C4&lt;&gt;"",DigitaTICA!C4,"")</f>
        <v>64250</v>
      </c>
      <c r="D7" s="42">
        <f>IF(C7="",0,C7*J$9)</f>
        <v>8352.5</v>
      </c>
      <c r="E7" s="29">
        <f>IF(DigitaTICA!D4&lt;&gt;"",DigitaTICA!D4,"")</f>
        <v>750</v>
      </c>
      <c r="F7" s="42">
        <f>IF(E7="",0,E7*PREMIOS!F7)</f>
        <v>63750</v>
      </c>
      <c r="G7" s="30">
        <f t="shared" si="1"/>
        <v>-7852.5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78</v>
      </c>
      <c r="C9" s="29">
        <f>IF(DigitaNICA!E4&lt;&gt;"",DigitaNICA!E4,"")</f>
        <v>21450</v>
      </c>
      <c r="D9" s="42">
        <f>IF(C9="",0,C9*J$10)</f>
        <v>2788.5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18661.5</v>
      </c>
      <c r="I9" s="76" t="s">
        <v>36</v>
      </c>
      <c r="J9" s="77">
        <v>0.13</v>
      </c>
      <c r="K9" s="78">
        <f>MROUND(D7+D11+D15,50)</f>
        <v>23200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11500</v>
      </c>
    </row>
    <row r="11" spans="1:12" x14ac:dyDescent="0.35">
      <c r="A11" s="28" t="s">
        <v>59</v>
      </c>
      <c r="B11" s="132">
        <f>IF(DigitaTICA!E2&lt;&gt;"",DigitaTICA!E2,"")</f>
        <v>96</v>
      </c>
      <c r="C11" s="29">
        <f>IF(DigitaTICA!E4&lt;&gt;"",DigitaTICA!E4,"")</f>
        <v>34800</v>
      </c>
      <c r="D11" s="42">
        <f>IF(C11="",0,C11*J$9)</f>
        <v>4524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30276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>
        <f>IF(DigitaNICA!G4&lt;&gt;"",DigitaNICA!G4,"")</f>
        <v>5700</v>
      </c>
      <c r="D13" s="42">
        <f>IF(C13="",0,C13*J$10)</f>
        <v>741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4959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27</v>
      </c>
      <c r="C15" s="29">
        <f>IF(DigitaTICA!G4&lt;&gt;"",DigitaTICA!G4,"")</f>
        <v>79250</v>
      </c>
      <c r="D15" s="42">
        <f>IF(C15="",0,C15*J$9)</f>
        <v>10302.5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68947.5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>
        <f>IF(DigitaNICA!I4&lt;&gt;"",DigitaNICA!I4,"")</f>
        <v>1300</v>
      </c>
      <c r="D17" s="42">
        <f>IF(C17="",0,C17*J$10)</f>
        <v>169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1131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IF(DigitaPRIMERA!C4&lt;&gt;"",DigitaPRIMERA!C4,"")</f>
        <v>11150</v>
      </c>
      <c r="D19" s="42">
        <f>IF(C19="",0,C19*J$12)</f>
        <v>1449.5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9700.5</v>
      </c>
    </row>
    <row r="20" spans="1:7" x14ac:dyDescent="0.35">
      <c r="A20" s="28" t="s">
        <v>98</v>
      </c>
      <c r="B20" s="132">
        <f>IF(DigitaPRIMERA!E2&lt;&gt;"",DigitaPRIMERA!E2,"")</f>
        <v>93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1" t="s">
        <v>5</v>
      </c>
      <c r="B21" s="128"/>
      <c r="C21" s="122">
        <f>SUM(C5:C20)</f>
        <v>278250</v>
      </c>
      <c r="D21" s="122">
        <f t="shared" ref="D21:G21" si="6">SUM(D5:D20)</f>
        <v>36172.5</v>
      </c>
      <c r="E21" s="122">
        <f t="shared" si="6"/>
        <v>750</v>
      </c>
      <c r="F21" s="122">
        <f t="shared" si="6"/>
        <v>63750</v>
      </c>
      <c r="G21" s="123">
        <f t="shared" si="6"/>
        <v>178327.5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143850</v>
      </c>
      <c r="K4" s="230">
        <f t="shared" ref="K4" si="0">D7+D11+D15</f>
        <v>18700.5</v>
      </c>
      <c r="L4" s="219">
        <f>F7+F11+F15</f>
        <v>25500</v>
      </c>
    </row>
    <row r="5" spans="1:12" x14ac:dyDescent="0.35">
      <c r="A5" s="28" t="s">
        <v>43</v>
      </c>
      <c r="B5" s="132">
        <f>IF(DigitaNICA!C2&lt;&gt;"",DigitaNICA!C2,"")</f>
        <v>41</v>
      </c>
      <c r="C5" s="29">
        <f>IF(DigitaNICA!C5&lt;&gt;"",DigitaNICA!C5,"")</f>
        <v>10000</v>
      </c>
      <c r="D5" s="42">
        <f>IF(C5="",0,C5*J$10)</f>
        <v>1300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8700</v>
      </c>
      <c r="I5" s="240" t="s">
        <v>37</v>
      </c>
      <c r="J5" s="220">
        <f>SUM(IF(C5="",0,C5),IF(C9="",0,C9),IF(C13="",0,C13),IF(C17="",0,C17))</f>
        <v>18800</v>
      </c>
      <c r="K5" s="224">
        <f t="shared" ref="K5" si="2">D5+D9+D13+D17</f>
        <v>2444</v>
      </c>
      <c r="L5" s="221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1700</v>
      </c>
      <c r="K6" s="227">
        <f>D19+D20</f>
        <v>221</v>
      </c>
      <c r="L6" s="228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08</v>
      </c>
      <c r="C7" s="29">
        <f>IF(DigitaTICA!C5&lt;&gt;"",DigitaTICA!C5,"")</f>
        <v>42400</v>
      </c>
      <c r="D7" s="42">
        <f>IF(C7="",0,C7*J$9)</f>
        <v>5512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36888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78</v>
      </c>
      <c r="C9" s="29">
        <f>IF(DigitaNICA!E5&lt;&gt;"",DigitaNICA!E5,"")</f>
        <v>7300</v>
      </c>
      <c r="D9" s="42">
        <f>IF(C9="",0,C9*J$10)</f>
        <v>949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6351</v>
      </c>
      <c r="I9" s="60" t="s">
        <v>36</v>
      </c>
      <c r="J9" s="61">
        <v>0.13</v>
      </c>
      <c r="K9" s="62">
        <f>MROUND(D7+D11+D15,50)</f>
        <v>18700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2450</v>
      </c>
    </row>
    <row r="11" spans="1:12" x14ac:dyDescent="0.35">
      <c r="A11" s="28" t="s">
        <v>59</v>
      </c>
      <c r="B11" s="132">
        <f>IF(DigitaTICA!E2&lt;&gt;"",DigitaTICA!E2,"")</f>
        <v>96</v>
      </c>
      <c r="C11" s="29">
        <f>IF(DigitaTICA!E5&lt;&gt;"",DigitaTICA!E5,"")</f>
        <v>48250</v>
      </c>
      <c r="D11" s="42">
        <f>IF(C11="",0,C11*J$9)</f>
        <v>6272.5</v>
      </c>
      <c r="E11" s="29">
        <f>IF(DigitaTICA!F5&lt;&gt;"",DigitaTICA!F5,"")</f>
        <v>300</v>
      </c>
      <c r="F11" s="42">
        <f>IF(E11="",0,E11*PREMIOS!F11)</f>
        <v>25500</v>
      </c>
      <c r="G11" s="30">
        <f t="shared" si="1"/>
        <v>16477.5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27</v>
      </c>
      <c r="C15" s="29">
        <f>IF(DigitaTICA!G5&lt;&gt;"",DigitaTICA!G5,"")</f>
        <v>53200</v>
      </c>
      <c r="D15" s="42">
        <f>IF(C15="",0,C15*J$9)</f>
        <v>6916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46284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>
        <f>IF(DigitaNICA!I5&lt;&gt;"",DigitaNICA!I5,"")</f>
        <v>1500</v>
      </c>
      <c r="D17" s="42">
        <f>IF(C17="",0,C17*J$10)</f>
        <v>195</v>
      </c>
      <c r="E17" s="29">
        <f>IF(DigitaNICA!J5&lt;&gt;"",DigitaNICA!J5,"")</f>
        <v>500</v>
      </c>
      <c r="F17" s="42">
        <f>IF(E17="",0,E17*PREMIOS!E17)</f>
        <v>40000</v>
      </c>
      <c r="G17" s="30">
        <f t="shared" si="3"/>
        <v>-38695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IF(DigitaPRIMERA!C5&lt;&gt;"",DigitaPRIMERA!C5,"")</f>
        <v>1700</v>
      </c>
      <c r="D19" s="42">
        <f>IF(C19="",0,C19*J$12)</f>
        <v>221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1479</v>
      </c>
    </row>
    <row r="20" spans="1:7" x14ac:dyDescent="0.35">
      <c r="A20" s="28" t="s">
        <v>98</v>
      </c>
      <c r="B20" s="132">
        <f>IF(DigitaPRIMERA!E2&lt;&gt;"",DigitaPRIMERA!E2,"")</f>
        <v>93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164350</v>
      </c>
      <c r="D21" s="68">
        <f t="shared" ref="D21:G21" si="4">SUM(D5:D20)</f>
        <v>21365.5</v>
      </c>
      <c r="E21" s="68">
        <f t="shared" si="4"/>
        <v>800</v>
      </c>
      <c r="F21" s="68">
        <f t="shared" si="4"/>
        <v>65500</v>
      </c>
      <c r="G21" s="88">
        <f t="shared" si="4"/>
        <v>77484.5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41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78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41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08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27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145700</v>
      </c>
      <c r="K4" s="230">
        <f t="shared" ref="K4" si="0">D7+D11+D15</f>
        <v>17484</v>
      </c>
      <c r="L4" s="219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41</v>
      </c>
      <c r="C5" s="29">
        <f>IF(DigitaNICA!C8&lt;&gt;"",DigitaNICA!C8,"")</f>
        <v>68550</v>
      </c>
      <c r="D5" s="42">
        <f>IF(C5="",0,C5*J$12)</f>
        <v>8226</v>
      </c>
      <c r="E5" s="29">
        <f>IF(DigitaNICA!D8&lt;&gt;"",DigitaNICA!D8,"")</f>
        <v>800</v>
      </c>
      <c r="F5" s="42">
        <f>IF(E5="",0,E5*PREMIOS!E5)</f>
        <v>64000</v>
      </c>
      <c r="G5" s="30">
        <f t="shared" ref="G5:G12" si="1">IF(OR(C5="",E5=""),0,C5-D5-F5)</f>
        <v>-3676</v>
      </c>
      <c r="I5" s="240" t="s">
        <v>37</v>
      </c>
      <c r="J5" s="220">
        <f>SUM(IF(C5="",0,C5),IF(C9="",0,C9),IF(C13="",0,C13),IF(C17="",0,C17))</f>
        <v>152200</v>
      </c>
      <c r="K5" s="224">
        <f t="shared" ref="K5" si="2">D5+D9+D13+D17</f>
        <v>18264</v>
      </c>
      <c r="L5" s="221">
        <f>F5+F9+F13+F17</f>
        <v>120000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08</v>
      </c>
      <c r="C7" s="29">
        <f>IF(DigitaTICA!C8&lt;&gt;"",DigitaTICA!C8,"")</f>
        <v>56750</v>
      </c>
      <c r="D7" s="42">
        <f>IF(C7="",0,C7*J$11)</f>
        <v>6810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7440</v>
      </c>
      <c r="I7" s="241" t="s">
        <v>96</v>
      </c>
      <c r="J7" s="223">
        <f>SUM(IF(C19="",0,C19),IF(C20="",0,C20))</f>
        <v>80550</v>
      </c>
      <c r="K7" s="227">
        <f>+D19+D20</f>
        <v>9666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78</v>
      </c>
      <c r="C9" s="29">
        <f>IF(DigitaNICA!E8&lt;&gt;"",DigitaNICA!E8,"")</f>
        <v>55300</v>
      </c>
      <c r="D9" s="42">
        <f>IF(C9="",0,C9*J$12)</f>
        <v>6636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48664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96</v>
      </c>
      <c r="C11" s="29">
        <f>IF(DigitaTICA!E8&lt;&gt;"",DigitaTICA!E8,"")</f>
        <v>42950</v>
      </c>
      <c r="D11" s="42">
        <f>IF(C11="",0,C11*J$11)</f>
        <v>5154</v>
      </c>
      <c r="E11" s="29">
        <f>IF(DigitaTICA!F8&lt;&gt;"",DigitaTICA!F8,"")</f>
        <v>1500</v>
      </c>
      <c r="F11" s="42">
        <f>IF(E11="",0,E11*PREMIOS!F11)</f>
        <v>127500</v>
      </c>
      <c r="G11" s="30">
        <f t="shared" si="1"/>
        <v>-89704</v>
      </c>
      <c r="I11" s="60" t="s">
        <v>36</v>
      </c>
      <c r="J11" s="61">
        <v>0.12</v>
      </c>
      <c r="K11" s="62">
        <f>MROUND(D7+D11+D15,50)</f>
        <v>17500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18250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>
        <f>IF(DigitaNICA!G8&lt;&gt;"",DigitaNICA!G8,"")</f>
        <v>5400</v>
      </c>
      <c r="D13" s="42">
        <f>IF(C13="",0,C13*J$12)</f>
        <v>648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4752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9650</v>
      </c>
    </row>
    <row r="15" spans="1:12" x14ac:dyDescent="0.35">
      <c r="A15" s="28" t="s">
        <v>61</v>
      </c>
      <c r="B15" s="132">
        <f>IF(DigitaTICA!G2&lt;&gt;"",DigitaTICA!G2,"")</f>
        <v>27</v>
      </c>
      <c r="C15" s="29">
        <f>IF(DigitaTICA!G8&lt;&gt;"",DigitaTICA!G8,"")</f>
        <v>46000</v>
      </c>
      <c r="D15" s="42">
        <f>IF(C15="",0,C15*J$11)</f>
        <v>5520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40480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>
        <f>IF(DigitaNICA!I8&lt;&gt;"",DigitaNICA!I8,"")</f>
        <v>22950</v>
      </c>
      <c r="D17" s="42">
        <f>IF(C17="",0,C17*J$12)</f>
        <v>2754</v>
      </c>
      <c r="E17" s="29">
        <f>IF(DigitaNICA!J8&lt;&gt;"",DigitaNICA!J8,"")</f>
        <v>700</v>
      </c>
      <c r="F17" s="42">
        <f>IF(E17="",0,E17*PREMIOS!E17)</f>
        <v>56000</v>
      </c>
      <c r="G17" s="30">
        <f t="shared" si="4"/>
        <v>-35804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IF(DigitaPRIMERA!C8&lt;&gt;"",DigitaPRIMERA!C8,"")</f>
        <v>59050</v>
      </c>
      <c r="D19" s="42">
        <f>IF(C19="",0,C19*J$14)</f>
        <v>7086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51964</v>
      </c>
    </row>
    <row r="20" spans="1:7" x14ac:dyDescent="0.35">
      <c r="A20" s="28" t="s">
        <v>98</v>
      </c>
      <c r="B20" s="132">
        <f>IF(DigitaPRIMERA!E2&lt;&gt;"",DigitaPRIMERA!E2,"")</f>
        <v>93</v>
      </c>
      <c r="C20" s="29">
        <f>IF(DigitaPRIMERA!E8&lt;&gt;"",DigitaPRIMERA!E8,"")</f>
        <v>21500</v>
      </c>
      <c r="D20" s="42">
        <f>IF(C20="",0,C20*J$14)</f>
        <v>2580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18920</v>
      </c>
    </row>
    <row r="21" spans="1:7" ht="15" thickBot="1" x14ac:dyDescent="0.4">
      <c r="A21" s="121" t="s">
        <v>5</v>
      </c>
      <c r="B21" s="128"/>
      <c r="C21" s="122">
        <f>SUM(C5:C20)</f>
        <v>378450</v>
      </c>
      <c r="D21" s="122">
        <f t="shared" ref="D21:G21" si="5">SUM(D5:D20)</f>
        <v>45414</v>
      </c>
      <c r="E21" s="122">
        <f t="shared" si="5"/>
        <v>3500</v>
      </c>
      <c r="F21" s="122">
        <f t="shared" si="5"/>
        <v>290000</v>
      </c>
      <c r="G21" s="123">
        <f t="shared" si="5"/>
        <v>43036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159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>
        <f>IF(DigitaNICA!C2&lt;&gt;"",DigitaNICA!C2,"")</f>
        <v>41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96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442600</v>
      </c>
      <c r="K4" s="230">
        <f t="shared" ref="K4" si="0">D7+D11+D15</f>
        <v>53112</v>
      </c>
      <c r="L4" s="219">
        <f>F7+F11+F15</f>
        <v>284750</v>
      </c>
    </row>
    <row r="5" spans="1:12" x14ac:dyDescent="0.35">
      <c r="A5" s="28" t="s">
        <v>43</v>
      </c>
      <c r="B5" s="132">
        <f>IF(DigitaNICA!C2&lt;&gt;"",DigitaNICA!C2,"")</f>
        <v>41</v>
      </c>
      <c r="C5" s="29">
        <f>IF(DigitaNICA!C10&lt;&gt;"",DigitaNICA!C10,"")</f>
        <v>114350</v>
      </c>
      <c r="D5" s="42">
        <f>IF(C5="",0,C5*J$15)</f>
        <v>13722</v>
      </c>
      <c r="E5" s="29">
        <f>IF(DigitaNICA!D10&lt;&gt;"",DigitaNICA!D10,"")</f>
        <v>400</v>
      </c>
      <c r="F5" s="42">
        <f>IF(E5="",0,E5*PREMIOS!F5)</f>
        <v>34000</v>
      </c>
      <c r="G5" s="30">
        <f t="shared" ref="G5:G12" si="1">IF(OR(C5="",E5=""),0,C5-D5-F5)</f>
        <v>66628</v>
      </c>
      <c r="I5" s="216" t="s">
        <v>37</v>
      </c>
      <c r="J5" s="220">
        <f>SUM(IF(C5="",0,C5),IF(C9="",0,C9),IF(C13="",0,C13),IF(C17="",0,C17))</f>
        <v>362700</v>
      </c>
      <c r="K5" s="224">
        <f t="shared" ref="K5" si="2">D5+D9+D13+D17</f>
        <v>43524</v>
      </c>
      <c r="L5" s="221">
        <f>F5+F9+F13+F17</f>
        <v>199750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88950</v>
      </c>
      <c r="K6" s="225">
        <f t="shared" ref="K6" si="3">+D8+D12+D16</f>
        <v>8895</v>
      </c>
      <c r="L6" s="226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08</v>
      </c>
      <c r="C7" s="29">
        <f>IF(DigitaTICA!C10&lt;&gt;"",DigitaTICA!C10,"")</f>
        <v>174650</v>
      </c>
      <c r="D7" s="42">
        <f>IF(C7="",0,C7*J$14)</f>
        <v>20958</v>
      </c>
      <c r="E7" s="29">
        <f>IF(DigitaTICA!D10&lt;&gt;"",DigitaTICA!D10,"")</f>
        <v>850</v>
      </c>
      <c r="F7" s="42">
        <f>IF(E7="",0,E7*PREMIOS!F7)</f>
        <v>72250</v>
      </c>
      <c r="G7" s="30">
        <f t="shared" si="1"/>
        <v>81442</v>
      </c>
      <c r="I7" s="216" t="s">
        <v>96</v>
      </c>
      <c r="J7" s="222">
        <f>SUM(IF(C19="",0,C19),IF(C20="",0,C20))</f>
        <v>57350</v>
      </c>
      <c r="K7" s="225">
        <f>+D19+D20</f>
        <v>6882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32000</v>
      </c>
      <c r="D8" s="42">
        <f>IF(C8="",0,C8*J$16)</f>
        <v>3200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28800</v>
      </c>
      <c r="I8" s="216" t="s">
        <v>104</v>
      </c>
      <c r="J8" s="222">
        <f>SUM(IF(C21="",0,C21),IF(C22="",0,C22),IF(C23="",0,C23))</f>
        <v>10350</v>
      </c>
      <c r="K8" s="225">
        <f t="shared" ref="K8" si="4">D21+D22+D23</f>
        <v>1242</v>
      </c>
      <c r="L8" s="226">
        <f>F21+F22+F23</f>
        <v>25500</v>
      </c>
    </row>
    <row r="9" spans="1:12" x14ac:dyDescent="0.35">
      <c r="A9" s="28" t="s">
        <v>48</v>
      </c>
      <c r="B9" s="132">
        <f>IF(DigitaNICA!E2&lt;&gt;"",DigitaNICA!E2,"")</f>
        <v>78</v>
      </c>
      <c r="C9" s="29">
        <f>IF(DigitaNICA!E10&lt;&gt;"",DigitaNICA!E10,"")</f>
        <v>79000</v>
      </c>
      <c r="D9" s="42">
        <f>IF(C9="",0,C9*J$15)</f>
        <v>9480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69520</v>
      </c>
      <c r="I9" s="216" t="s">
        <v>20</v>
      </c>
      <c r="J9" s="222">
        <f>SUM(IF(C24="",0,C24),IF(C25="",0,C25))</f>
        <v>71500</v>
      </c>
      <c r="K9" s="225">
        <f t="shared" ref="K9" si="5">+D24+D25</f>
        <v>8580</v>
      </c>
      <c r="L9" s="226">
        <f>F24+F25</f>
        <v>680000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96</v>
      </c>
      <c r="C11" s="29">
        <f>IF(DigitaTICA!E10&lt;&gt;"",DigitaTICA!E10,"")</f>
        <v>116950</v>
      </c>
      <c r="D11" s="42">
        <f>IF(C11="",0,C11*J$14)</f>
        <v>14034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102916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24450</v>
      </c>
      <c r="D12" s="42">
        <f>IF(C12="",0,C12*J$16)</f>
        <v>2445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22005</v>
      </c>
    </row>
    <row r="13" spans="1:12" ht="15" thickBot="1" x14ac:dyDescent="0.4">
      <c r="A13" s="28" t="s">
        <v>50</v>
      </c>
      <c r="B13" s="132" t="str">
        <f>IF(DigitaNICA!G2&lt;&gt;"",DigitaNICA!G2,"")</f>
        <v>04</v>
      </c>
      <c r="C13" s="29">
        <f>IF(DigitaNICA!G10&lt;&gt;"",DigitaNICA!G10,"")</f>
        <v>54250</v>
      </c>
      <c r="D13" s="42">
        <f>IF(C13="",0,C13*J$15)</f>
        <v>6510</v>
      </c>
      <c r="E13" s="29">
        <f>IF(DigitaNICA!H10&lt;&gt;"",DigitaNICA!H10,"")</f>
        <v>750</v>
      </c>
      <c r="F13" s="42">
        <f>IF(E13="",0,E13*PREMIOS!F13)</f>
        <v>63750</v>
      </c>
      <c r="G13" s="30">
        <f>IF(OR(C13="",E13=""),0,C13-D13-F13)</f>
        <v>-16010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53100</v>
      </c>
    </row>
    <row r="15" spans="1:12" x14ac:dyDescent="0.35">
      <c r="A15" s="28" t="s">
        <v>61</v>
      </c>
      <c r="B15" s="132">
        <f>IF(DigitaTICA!G2&lt;&gt;"",DigitaTICA!G2,"")</f>
        <v>27</v>
      </c>
      <c r="C15" s="29">
        <f>IF(DigitaTICA!G10&lt;&gt;"",DigitaTICA!G10,"")</f>
        <v>151000</v>
      </c>
      <c r="D15" s="42">
        <f>IF(C15="",0,C15*J$14)</f>
        <v>18120</v>
      </c>
      <c r="E15" s="29">
        <f>IF(DigitaTICA!H10&lt;&gt;"",DigitaTICA!H10,"")</f>
        <v>2500</v>
      </c>
      <c r="F15" s="42">
        <f>IF(E15="",0,E15*PREMIOS!F15)</f>
        <v>212500</v>
      </c>
      <c r="G15" s="30">
        <f t="shared" si="6"/>
        <v>-79620</v>
      </c>
      <c r="I15" s="63" t="s">
        <v>37</v>
      </c>
      <c r="J15" s="64">
        <v>0.12</v>
      </c>
      <c r="K15" s="30">
        <f>MROUND(D5+D9+D13+D17,50)</f>
        <v>43500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32500</v>
      </c>
      <c r="D16" s="42">
        <f>IF(C16="",0,C16*J$16)</f>
        <v>3250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29250</v>
      </c>
      <c r="I16" s="63" t="s">
        <v>38</v>
      </c>
      <c r="J16" s="64">
        <v>0.1</v>
      </c>
      <c r="K16" s="30">
        <f>MROUND(D6+D8+D10+D12+D14+D16+D18,50)</f>
        <v>8900</v>
      </c>
    </row>
    <row r="17" spans="1:11" x14ac:dyDescent="0.35">
      <c r="A17" s="28" t="s">
        <v>52</v>
      </c>
      <c r="B17" s="132">
        <f>IF(DigitaNICA!I2&lt;&gt;"",DigitaNICA!I2,"")</f>
        <v>40</v>
      </c>
      <c r="C17" s="29">
        <f>IF(DigitaNICA!I10&lt;&gt;"",DigitaNICA!I10,"")</f>
        <v>115100</v>
      </c>
      <c r="D17" s="42">
        <f>IF(C17="",0,C17*J$15)</f>
        <v>13812</v>
      </c>
      <c r="E17" s="29">
        <f>IF(DigitaNICA!J10&lt;&gt;"",DigitaNICA!J10,"")</f>
        <v>1200</v>
      </c>
      <c r="F17" s="42">
        <f>IF(E17="",0,E17*PREMIOS!F17)</f>
        <v>102000</v>
      </c>
      <c r="G17" s="30">
        <f t="shared" si="6"/>
        <v>-712</v>
      </c>
      <c r="I17" s="63" t="s">
        <v>96</v>
      </c>
      <c r="J17" s="64">
        <v>0.12</v>
      </c>
      <c r="K17" s="30">
        <f>MROUND(D19+D20,50)</f>
        <v>6900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1250</v>
      </c>
    </row>
    <row r="19" spans="1:11" x14ac:dyDescent="0.35">
      <c r="A19" s="28" t="s">
        <v>97</v>
      </c>
      <c r="B19" s="132">
        <f>IF(DigitaPRIMERA!C2&lt;&gt;"",DigitaPRIMERA!C2,"")</f>
        <v>29</v>
      </c>
      <c r="C19" s="29">
        <f>IF(DigitaPRIMERA!$C$10&lt;&gt;"",DigitaPRIMERA!$C$10,"")</f>
        <v>34250</v>
      </c>
      <c r="D19" s="42">
        <f>IF(C19="",0,C19*J$17)</f>
        <v>4110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30140</v>
      </c>
      <c r="I19" s="63" t="s">
        <v>20</v>
      </c>
      <c r="J19" s="64">
        <v>0.12</v>
      </c>
      <c r="K19" s="30">
        <f>MROUND(D24+D25,50)</f>
        <v>8600</v>
      </c>
    </row>
    <row r="20" spans="1:11" ht="15" thickBot="1" x14ac:dyDescent="0.4">
      <c r="A20" s="28" t="s">
        <v>98</v>
      </c>
      <c r="B20" s="132">
        <f>IF(DigitaPRIMERA!E2&lt;&gt;"",DigitaPRIMERA!E2,"")</f>
        <v>93</v>
      </c>
      <c r="C20" s="29">
        <f>IF(DigitaPRIMERA!$E$10&lt;&gt;"",DigitaPRIMERA!$E$10,"")</f>
        <v>23100</v>
      </c>
      <c r="D20" s="42">
        <f>IF(C20="",0,C20*J$17)</f>
        <v>2772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20328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91</v>
      </c>
      <c r="C21" s="29">
        <f>IF(DigitaHONDURAS!$C$10&lt;&gt;"",DigitaHONDURAS!$C$10,"")</f>
        <v>6200</v>
      </c>
      <c r="D21" s="42">
        <f>IF(C21="",0,C21*J$18)</f>
        <v>744</v>
      </c>
      <c r="E21" s="29">
        <f>IF(DigitaHONDURAS!$D$10&lt;&gt;"",DigitaHONDURAS!$D$10,"")</f>
        <v>300</v>
      </c>
      <c r="F21" s="42">
        <f>IF(E21="",0,E21*PREMIOS!F20)</f>
        <v>25500</v>
      </c>
      <c r="G21" s="30">
        <f t="shared" si="7"/>
        <v>-20044</v>
      </c>
    </row>
    <row r="22" spans="1:11" x14ac:dyDescent="0.35">
      <c r="A22" s="28" t="s">
        <v>100</v>
      </c>
      <c r="B22" s="132">
        <f>IF(DigitaHONDURAS!E2&lt;&gt;"",DigitaHONDURAS!E2,"")</f>
        <v>45</v>
      </c>
      <c r="C22" s="29">
        <f>IF(DigitaHONDURAS!$E$10&lt;&gt;"",DigitaHONDURAS!$E$10,"")</f>
        <v>400</v>
      </c>
      <c r="D22" s="42">
        <f>IF(C22="",0,C22*J$18)</f>
        <v>48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352</v>
      </c>
    </row>
    <row r="23" spans="1:11" x14ac:dyDescent="0.35">
      <c r="A23" s="28" t="s">
        <v>101</v>
      </c>
      <c r="B23" s="132">
        <f>IF(DigitaHONDURAS!G2&lt;&gt;"",DigitaHONDURAS!G2,"")</f>
        <v>16</v>
      </c>
      <c r="C23" s="29">
        <f>IF(DigitaHONDURAS!$G$10&lt;&gt;"",DigitaHONDURAS!$G$10,"")</f>
        <v>3750</v>
      </c>
      <c r="D23" s="42">
        <f>IF(C23="",0,C23*J$18)</f>
        <v>450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3300</v>
      </c>
    </row>
    <row r="24" spans="1:11" x14ac:dyDescent="0.35">
      <c r="A24" s="28" t="s">
        <v>107</v>
      </c>
      <c r="B24" s="132" t="str">
        <f>IF(DigitaDOMINICANA!C2&lt;&gt;"",DigitaDOMINICANA!C2,"")</f>
        <v>09</v>
      </c>
      <c r="C24" s="29">
        <f>IF(DigitaDOMINICANA!$C$10&lt;&gt;"",DigitaDOMINICANA!$C$10,"")</f>
        <v>47750</v>
      </c>
      <c r="D24" s="42">
        <f>IF(C24="",0,C24*J$19)</f>
        <v>5730</v>
      </c>
      <c r="E24" s="29">
        <f>IF(DigitaDOMINICANA!$D$10&lt;&gt;"",DigitaDOMINICANA!$D$10,"")</f>
        <v>6000</v>
      </c>
      <c r="F24" s="42">
        <f>IF(E24="",0,E24*PREMIOS!F21)</f>
        <v>510000</v>
      </c>
      <c r="G24" s="30">
        <f t="shared" si="8"/>
        <v>-467980</v>
      </c>
    </row>
    <row r="25" spans="1:11" x14ac:dyDescent="0.35">
      <c r="A25" s="28" t="s">
        <v>108</v>
      </c>
      <c r="B25" s="132">
        <f>IF(DigitaDOMINICANA!E2&lt;&gt;"",DigitaDOMINICANA!E2,"")</f>
        <v>82</v>
      </c>
      <c r="C25" s="29">
        <f>IF(DigitaDOMINICANA!$E$10&lt;&gt;"",DigitaDOMINICANA!$E$10,"")</f>
        <v>23750</v>
      </c>
      <c r="D25" s="42">
        <f>IF(C25="",0,C25*J$19)</f>
        <v>2850</v>
      </c>
      <c r="E25" s="29">
        <f>IF(DigitaDOMINICANA!$F$10&lt;&gt;"",DigitaDOMINICANA!$F$10,"")</f>
        <v>2000</v>
      </c>
      <c r="F25" s="42">
        <f>IF(E25="",0,E25*PREMIOS!F21)</f>
        <v>170000</v>
      </c>
      <c r="G25" s="30">
        <f t="shared" si="8"/>
        <v>-149100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1033450</v>
      </c>
      <c r="D27" s="68">
        <f t="shared" ref="D27:F27" si="9">SUM(D5:D26)</f>
        <v>122235</v>
      </c>
      <c r="E27" s="68">
        <f t="shared" si="9"/>
        <v>14000</v>
      </c>
      <c r="F27" s="68">
        <f t="shared" si="9"/>
        <v>1190000</v>
      </c>
      <c r="G27" s="88">
        <f>SUM(G5:G26)</f>
        <v>-278785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40600</v>
      </c>
      <c r="K4" s="230">
        <f t="shared" ref="K4" si="0">D7+D11+D15</f>
        <v>4872</v>
      </c>
      <c r="L4" s="219">
        <f>F7+F11+F15</f>
        <v>46750</v>
      </c>
    </row>
    <row r="5" spans="1:12" x14ac:dyDescent="0.35">
      <c r="A5" s="28" t="s">
        <v>43</v>
      </c>
      <c r="B5" s="132">
        <f>IF(DigitaNICA!C2&lt;&gt;"",DigitaNICA!C2,"")</f>
        <v>41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08</v>
      </c>
      <c r="C7" s="29">
        <f>IF(DigitaTICA!C11&lt;&gt;"",DigitaTICA!C11,"")</f>
        <v>17500</v>
      </c>
      <c r="D7" s="42">
        <f>IF(C7="",0,C7*J$11)</f>
        <v>2100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15400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96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4850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27</v>
      </c>
      <c r="C15" s="29">
        <f>IF(DigitaTICA!G11&lt;&gt;"",DigitaTICA!G11,"")</f>
        <v>23100</v>
      </c>
      <c r="D15" s="42">
        <f>IF(C15="",0,C15*J$11)</f>
        <v>2772</v>
      </c>
      <c r="E15" s="29">
        <f>IF(DigitaTICA!H11&lt;&gt;"",DigitaTICA!H11,"")</f>
        <v>550</v>
      </c>
      <c r="F15" s="133">
        <f>IF(E15="",0,E15*PREMIOS!F15)</f>
        <v>46750</v>
      </c>
      <c r="G15" s="30">
        <f t="shared" si="4"/>
        <v>-26422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93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40600</v>
      </c>
      <c r="D21" s="122">
        <f t="shared" ref="D21:G21" si="5">SUM(D5:D20)</f>
        <v>4872</v>
      </c>
      <c r="E21" s="122">
        <f t="shared" si="5"/>
        <v>550</v>
      </c>
      <c r="F21" s="122">
        <f t="shared" si="5"/>
        <v>46750</v>
      </c>
      <c r="G21" s="123">
        <f t="shared" si="5"/>
        <v>-11022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76600</v>
      </c>
      <c r="K4" s="230">
        <f>D7+D11+D15</f>
        <v>9192</v>
      </c>
      <c r="L4" s="219">
        <f>F7+F11+F15</f>
        <v>21250</v>
      </c>
    </row>
    <row r="5" spans="1:12" x14ac:dyDescent="0.35">
      <c r="A5" s="28" t="s">
        <v>43</v>
      </c>
      <c r="B5" s="132">
        <f>IF(DigitaNICA!C2&lt;&gt;"",DigitaNICA!C2,"")</f>
        <v>41</v>
      </c>
      <c r="C5" s="29">
        <f>IF(DigitaNICA!C12&lt;&gt;"",DigitaNICA!C12,"")</f>
        <v>25250</v>
      </c>
      <c r="D5" s="42">
        <f>IF(C5="",0,C5*J$12)</f>
        <v>3030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22220</v>
      </c>
      <c r="I5" s="216" t="s">
        <v>37</v>
      </c>
      <c r="J5" s="220">
        <f>SUM(IF(C5="",0,C5),IF(C9="",0,C9),IF(C13="",0,C13),IF(C17="",0,C17))</f>
        <v>50900</v>
      </c>
      <c r="K5" s="224">
        <f t="shared" ref="K5" si="1">D5+D9+D13+D17</f>
        <v>6108</v>
      </c>
      <c r="L5" s="221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0</v>
      </c>
      <c r="K6" s="225">
        <f t="shared" ref="K6" si="2">+D8+D12+D16</f>
        <v>0</v>
      </c>
      <c r="L6" s="226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08</v>
      </c>
      <c r="C7" s="29">
        <f>IF(DigitaTICA!C12&lt;&gt;"",DigitaTICA!C12,"")</f>
        <v>35300</v>
      </c>
      <c r="D7" s="42">
        <f>IF(C7="",0,C7*J$11)</f>
        <v>4236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31064</v>
      </c>
      <c r="I7" s="216" t="s">
        <v>96</v>
      </c>
      <c r="J7" s="222">
        <f>SUM(IF(C19="",0,C19),IF(C20="",0,C20))</f>
        <v>29050</v>
      </c>
      <c r="K7" s="225">
        <f>+D19+D20</f>
        <v>3486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78</v>
      </c>
      <c r="C9" s="29">
        <f>IF(DigitaNICA!E12&lt;&gt;"",DigitaNICA!E12,"")</f>
        <v>25650</v>
      </c>
      <c r="D9" s="42">
        <f>IF(C9="",0,C9*J$12)</f>
        <v>3078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-19928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96</v>
      </c>
      <c r="C11" s="29">
        <f>IF(DigitaTICA!E12&lt;&gt;"",DigitaTICA!E12,"")</f>
        <v>15400</v>
      </c>
      <c r="D11" s="42">
        <f>IF(C11="",0,C11*J$11)</f>
        <v>1848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-7698</v>
      </c>
      <c r="I11" s="60" t="s">
        <v>36</v>
      </c>
      <c r="J11" s="61">
        <v>0.12</v>
      </c>
      <c r="K11" s="62">
        <f>MROUND(D7+D11+D15,50)</f>
        <v>9200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6100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3500</v>
      </c>
    </row>
    <row r="15" spans="1:12" ht="15" thickBot="1" x14ac:dyDescent="0.4">
      <c r="A15" s="28" t="s">
        <v>61</v>
      </c>
      <c r="B15" s="132">
        <f>IF(DigitaTICA!G2&lt;&gt;"",DigitaTICA!G2,"")</f>
        <v>27</v>
      </c>
      <c r="C15" s="29">
        <f>IF(DigitaTICA!G12&lt;&gt;"",DigitaTICA!G12,"")</f>
        <v>25900</v>
      </c>
      <c r="D15" s="42">
        <f>IF(C15="",0,C15*J$11)</f>
        <v>3108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22792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IF(DigitaPRIMERA!$C$12&lt;&gt;"",DigitaPRIMERA!$C$12,"")</f>
        <v>29050</v>
      </c>
      <c r="D19" s="42">
        <f>IF(C19="",0,C19*J$14)</f>
        <v>3486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25564</v>
      </c>
    </row>
    <row r="20" spans="1:7" x14ac:dyDescent="0.35">
      <c r="A20" s="28" t="s">
        <v>98</v>
      </c>
      <c r="B20" s="132">
        <f>IF(DigitaPRIMERA!E2&lt;&gt;"",DigitaPRIMERA!E2,"")</f>
        <v>93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156550</v>
      </c>
      <c r="D24" s="68">
        <f t="shared" ref="D24:G24" si="4">SUM(D5:D23)</f>
        <v>18786</v>
      </c>
      <c r="E24" s="68">
        <f t="shared" si="4"/>
        <v>750</v>
      </c>
      <c r="F24" s="68">
        <f t="shared" si="4"/>
        <v>63750</v>
      </c>
      <c r="G24" s="88">
        <f t="shared" si="4"/>
        <v>74014</v>
      </c>
    </row>
    <row r="27" spans="1:7" x14ac:dyDescent="0.35">
      <c r="G27" s="21">
        <v>50209</v>
      </c>
    </row>
    <row r="28" spans="1:7" x14ac:dyDescent="0.35">
      <c r="G28" s="140">
        <f>+G24+G27</f>
        <v>124223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116100</v>
      </c>
      <c r="K4" s="230">
        <f t="shared" ref="K4" si="0">D7+D11+D15</f>
        <v>13932</v>
      </c>
      <c r="L4" s="219">
        <f>F7+F11+F15</f>
        <v>127500</v>
      </c>
    </row>
    <row r="5" spans="1:12" ht="15" thickBot="1" x14ac:dyDescent="0.4">
      <c r="A5" s="28" t="s">
        <v>43</v>
      </c>
      <c r="B5" s="132">
        <f>IF(DigitaNICA!C2&lt;&gt;"",DigitaNICA!C2,"")</f>
        <v>41</v>
      </c>
      <c r="C5" s="29">
        <f>IF(DigitaNICA!C13&lt;&gt;"",DigitaNICA!C13,"")</f>
        <v>20600</v>
      </c>
      <c r="D5" s="42">
        <f>IF(C5="",0,C5*J$10)</f>
        <v>2472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18128</v>
      </c>
      <c r="I5" s="217" t="s">
        <v>37</v>
      </c>
      <c r="J5" s="231">
        <f>SUM(IF(C5="",0,C5),IF(C9="",0,C9),IF(C13="",0,C13),IF(C17="",0,C17))</f>
        <v>39800</v>
      </c>
      <c r="K5" s="232">
        <f t="shared" ref="K5" si="2">D5+D9+D13+D17</f>
        <v>4776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08</v>
      </c>
      <c r="C7" s="29">
        <f>IF(DigitaTICA!C13&lt;&gt;"",DigitaTICA!C13,"")</f>
        <v>29400</v>
      </c>
      <c r="D7" s="42">
        <f>IF(C7="",0,C7*J$9)</f>
        <v>3528</v>
      </c>
      <c r="E7" s="29">
        <f>IF(DigitaTICA!D13&lt;&gt;"",DigitaTICA!D13,"")</f>
        <v>1200</v>
      </c>
      <c r="F7" s="133">
        <f>IF(E7="",0,E7*PREMIOS!F7)</f>
        <v>102000</v>
      </c>
      <c r="G7" s="30">
        <f t="shared" si="1"/>
        <v>-76128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78</v>
      </c>
      <c r="C9" s="29">
        <f>IF(DigitaNICA!E13&lt;&gt;"",DigitaNICA!E13,"")</f>
        <v>6800</v>
      </c>
      <c r="D9" s="42">
        <f>IF(C9="",0,C9*J$10)</f>
        <v>816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5984</v>
      </c>
      <c r="I9" s="60" t="s">
        <v>36</v>
      </c>
      <c r="J9" s="61">
        <v>0.12</v>
      </c>
      <c r="K9" s="62">
        <f>MROUND(D7+D11+D15,50)</f>
        <v>13950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4800</v>
      </c>
    </row>
    <row r="11" spans="1:12" ht="15" thickBot="1" x14ac:dyDescent="0.4">
      <c r="A11" s="28" t="s">
        <v>59</v>
      </c>
      <c r="B11" s="132">
        <f>IF(DigitaTICA!E2&lt;&gt;"",DigitaTICA!E2,"")</f>
        <v>96</v>
      </c>
      <c r="C11" s="29">
        <f>IF(DigitaTICA!E13&lt;&gt;"",DigitaTICA!E13,"")</f>
        <v>23700</v>
      </c>
      <c r="D11" s="42">
        <f>IF(C11="",0,C11*J$9)</f>
        <v>2844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20856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>
        <f>IF(DigitaNICA!G13&lt;&gt;"",DigitaNICA!G13,"")</f>
        <v>12400</v>
      </c>
      <c r="D13" s="42">
        <f>IF(C13="",0,C13*J$10)</f>
        <v>1488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10912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27</v>
      </c>
      <c r="C15" s="29">
        <f>IF(DigitaTICA!G13&lt;&gt;"",DigitaTICA!G13,"")</f>
        <v>63000</v>
      </c>
      <c r="D15" s="42">
        <f>IF(C15="",0,C15*J$9)</f>
        <v>7560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29940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155900</v>
      </c>
      <c r="D19" s="68">
        <f>MROUND(SUM(D5:D18),50)</f>
        <v>18700</v>
      </c>
      <c r="E19" s="68">
        <f>SUM(E5:E18)</f>
        <v>1500</v>
      </c>
      <c r="F19" s="68">
        <f>SUM(F5:F18)</f>
        <v>127500</v>
      </c>
      <c r="G19" s="88">
        <f>SUM(G5:G18)</f>
        <v>9692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97150</v>
      </c>
      <c r="K4" s="235">
        <f t="shared" ref="K4" si="0">D7+D11+D15</f>
        <v>14572.5</v>
      </c>
      <c r="L4" s="236">
        <f>F7+F11+F15</f>
        <v>88000</v>
      </c>
    </row>
    <row r="5" spans="1:12" x14ac:dyDescent="0.35">
      <c r="A5" s="28" t="s">
        <v>43</v>
      </c>
      <c r="B5" s="132">
        <f>IF(DigitaNICA!C2&lt;&gt;"",DigitaNICA!C2,"")</f>
        <v>41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08</v>
      </c>
      <c r="C7" s="29">
        <f>IF(DigitaTICA!C14&lt;&gt;"",DigitaTICA!C14,"")</f>
        <v>47250</v>
      </c>
      <c r="D7" s="42">
        <f>IF(C7="",0,C7*J$9)</f>
        <v>7087.5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162.5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78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14550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96</v>
      </c>
      <c r="C11" s="29">
        <f>IF(DigitaTICA!E14&lt;&gt;"",DigitaTICA!E14,"")</f>
        <v>17400</v>
      </c>
      <c r="D11" s="42">
        <f>IF(C11="",0,C11*J$9)</f>
        <v>2610</v>
      </c>
      <c r="E11" s="29">
        <f>IF(DigitaTICA!F14&lt;&gt;"",DigitaTICA!F14,"")</f>
        <v>300</v>
      </c>
      <c r="F11" s="42">
        <f>IF(E11="",0,E11*PREMIOS!E11)</f>
        <v>24000</v>
      </c>
      <c r="G11" s="30">
        <f t="shared" si="1"/>
        <v>-9210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27</v>
      </c>
      <c r="C15" s="29">
        <f>IF(DigitaTICA!G14&lt;&gt;"",DigitaTICA!G14,"")</f>
        <v>32500</v>
      </c>
      <c r="D15" s="42">
        <f>IF(C15="",0,C15*J$9)</f>
        <v>4875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3625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97150</v>
      </c>
      <c r="D19" s="68">
        <f>MROUND(SUM(D5:D18),50)</f>
        <v>14550</v>
      </c>
      <c r="E19" s="68">
        <f>SUM(E5:E18)</f>
        <v>1100</v>
      </c>
      <c r="F19" s="68">
        <f>SUM(F5:F18)</f>
        <v>88000</v>
      </c>
      <c r="G19" s="88">
        <f>SUM(G5:G18)</f>
        <v>-5422.5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33000</v>
      </c>
      <c r="K4" s="230">
        <f>D7+D11+D15</f>
        <v>3960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41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4">
        <f>SUM(IF(C5="",0,C5),IF(C9="",0,C9),IF(C13="",0,C13),IF(C17="",0,C17))</f>
        <v>8400</v>
      </c>
      <c r="K5" s="224">
        <f t="shared" ref="K5" si="1">D5+D9+D13+D17</f>
        <v>1008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1000</v>
      </c>
      <c r="K6" s="225">
        <f t="shared" ref="K6" si="2">+D8+D12+D16</f>
        <v>100</v>
      </c>
      <c r="L6" s="226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08</v>
      </c>
      <c r="C7" s="29">
        <f>IF(DigitaTICA!C16&lt;&gt;"",DigitaTICA!C16,"")</f>
        <v>13100</v>
      </c>
      <c r="D7" s="42">
        <f>IF(C7="",0,C7*J$11)</f>
        <v>1572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11528</v>
      </c>
      <c r="I7" s="63" t="s">
        <v>96</v>
      </c>
      <c r="J7" s="225">
        <f>SUM(IF(C19="",0,C19),IF(C20="",0,C20))</f>
        <v>4700</v>
      </c>
      <c r="K7" s="225">
        <f>+D19+D20</f>
        <v>564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7">
        <f>SUM(IF(C21="",0,C21),IF(C22="",0,C22),IF(C23="",0,C23))</f>
        <v>1000</v>
      </c>
      <c r="K8" s="227">
        <f>D21+D22+D23</f>
        <v>120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78</v>
      </c>
      <c r="C9" s="29">
        <f>IF(DigitaNICA!E16&lt;&gt;"",DigitaNICA!E16,"")</f>
        <v>1900</v>
      </c>
      <c r="D9" s="42">
        <f>IF(C9="",0,C9*J$12)</f>
        <v>228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1672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96</v>
      </c>
      <c r="C11" s="29">
        <f>IF(DigitaTICA!E16&lt;&gt;"",DigitaTICA!E16,"")</f>
        <v>6700</v>
      </c>
      <c r="D11" s="42">
        <f>IF(C11="",0,C11*J$11)</f>
        <v>804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5896</v>
      </c>
      <c r="I11" s="76" t="s">
        <v>36</v>
      </c>
      <c r="J11" s="77">
        <v>0.12</v>
      </c>
      <c r="K11" s="78">
        <f>MROUND(D7+D11+D15,50)</f>
        <v>3950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1000</v>
      </c>
    </row>
    <row r="13" spans="1:12" x14ac:dyDescent="0.35">
      <c r="A13" s="28" t="s">
        <v>50</v>
      </c>
      <c r="B13" s="132" t="str">
        <f>IF(DigitaNICA!G2&lt;&gt;"",DigitaNICA!G2,"")</f>
        <v>04</v>
      </c>
      <c r="C13" s="29">
        <f>IF(DigitaNICA!G16&lt;&gt;"",DigitaNICA!G16,"")</f>
        <v>2800</v>
      </c>
      <c r="D13" s="42">
        <f>IF(C13="",0,C13*J$12)</f>
        <v>336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2464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550</v>
      </c>
    </row>
    <row r="15" spans="1:12" ht="15" thickBot="1" x14ac:dyDescent="0.4">
      <c r="A15" s="28" t="s">
        <v>61</v>
      </c>
      <c r="B15" s="132">
        <f>IF(DigitaTICA!G2&lt;&gt;"",DigitaTICA!G2,"")</f>
        <v>27</v>
      </c>
      <c r="C15" s="29">
        <f>IF(DigitaTICA!G16&lt;&gt;"",DigitaTICA!G16,"")</f>
        <v>13200</v>
      </c>
      <c r="D15" s="42">
        <f>IF(C15="",0,C15*J$11)</f>
        <v>1584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11616</v>
      </c>
      <c r="I15" s="65" t="s">
        <v>104</v>
      </c>
      <c r="J15" s="66">
        <v>0.12</v>
      </c>
      <c r="K15" s="50">
        <f>MROUND(D21+D22+D23,50)</f>
        <v>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>
        <f>IF(DigitaNICA!I16&lt;&gt;"",DigitaNICA!I16,"")</f>
        <v>3700</v>
      </c>
      <c r="D17" s="42">
        <f>IF(C17="",0,C17*J$12)</f>
        <v>444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3256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IF(DigitaPRIMERA!C16&lt;&gt;"",DigitaPRIMERA!C16,"")</f>
        <v>3900</v>
      </c>
      <c r="D19" s="42">
        <f>IF(C19="",0,C19*J$14)</f>
        <v>468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3432</v>
      </c>
    </row>
    <row r="20" spans="1:7" x14ac:dyDescent="0.35">
      <c r="A20" s="28" t="s">
        <v>98</v>
      </c>
      <c r="B20" s="132">
        <f>IF(DigitaPRIMERA!E2&lt;&gt;"",DigitaPRIMERA!E2,"")</f>
        <v>93</v>
      </c>
      <c r="C20" s="29">
        <f>IF(DigitaPRIMERA!E16&lt;&gt;"",DigitaPRIMERA!E16,"")</f>
        <v>800</v>
      </c>
      <c r="D20" s="42">
        <f>IF(C20="",0,C20*J$14)</f>
        <v>96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704</v>
      </c>
    </row>
    <row r="21" spans="1:7" x14ac:dyDescent="0.35">
      <c r="A21" s="28" t="s">
        <v>99</v>
      </c>
      <c r="B21" s="132">
        <f>IF(DigitaHONDURAS!C2&lt;&gt;"",DigitaHONDURAS!C2,"")</f>
        <v>91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16</v>
      </c>
      <c r="C23" s="29">
        <f>IF(DigitaHONDURAS!$G$16&lt;&gt;"",DigitaHONDURAS!$G$16,"")</f>
        <v>1000</v>
      </c>
      <c r="D23" s="42">
        <f t="shared" si="4"/>
        <v>120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880</v>
      </c>
    </row>
    <row r="24" spans="1:7" ht="15" thickBot="1" x14ac:dyDescent="0.4">
      <c r="A24" s="121" t="s">
        <v>5</v>
      </c>
      <c r="B24" s="128"/>
      <c r="C24" s="122">
        <f>SUM(C5:C23)</f>
        <v>48100</v>
      </c>
      <c r="D24" s="122">
        <f t="shared" ref="D24:G24" si="5">SUM(D5:D23)</f>
        <v>5752</v>
      </c>
      <c r="E24" s="122">
        <f t="shared" si="5"/>
        <v>0</v>
      </c>
      <c r="F24" s="122">
        <f t="shared" si="5"/>
        <v>0</v>
      </c>
      <c r="G24" s="123">
        <f t="shared" si="5"/>
        <v>42348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402600</v>
      </c>
      <c r="K4" s="230">
        <f t="shared" ref="K4" si="0">D7+D11+D15</f>
        <v>48312</v>
      </c>
      <c r="L4" s="219">
        <f>F7+F11+F15</f>
        <v>369750</v>
      </c>
    </row>
    <row r="5" spans="1:12" x14ac:dyDescent="0.35">
      <c r="A5" s="28" t="s">
        <v>43</v>
      </c>
      <c r="B5" s="132">
        <f>IF(DigitaNICA!C2&lt;&gt;"",DigitaNICA!C2,"")</f>
        <v>41</v>
      </c>
      <c r="C5" s="89">
        <f>IF(DigitaNICA!C17&lt;&gt;"",DigitaNICA!C17,"")</f>
        <v>64150</v>
      </c>
      <c r="D5" s="42">
        <f>IF(C5="",0,C5*J$16)</f>
        <v>7698</v>
      </c>
      <c r="E5" s="89">
        <f>IF(DigitaNICA!D17&lt;&gt;"",DigitaNICA!D17,"")</f>
        <v>550</v>
      </c>
      <c r="F5" s="42">
        <f>IF(E5="",0,E5*PREMIOS!F5)</f>
        <v>46750</v>
      </c>
      <c r="G5" s="90">
        <f t="shared" ref="G5:G12" si="1">IF(OR(C5="",E5=""),0,C5-D5-F5)</f>
        <v>9702</v>
      </c>
      <c r="I5" s="216" t="s">
        <v>37</v>
      </c>
      <c r="J5" s="220">
        <f>SUM(IF(C5="",0,C5),IF(C9="",0,C9),IF(C13="",0,C13),IF(C17="",0,C17))</f>
        <v>322700</v>
      </c>
      <c r="K5" s="224">
        <f t="shared" ref="K5" si="2">D5+D9+D13+D17</f>
        <v>38724</v>
      </c>
      <c r="L5" s="221">
        <f>F5+F9+F13+F17</f>
        <v>318750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66250</v>
      </c>
      <c r="K6" s="225">
        <f t="shared" ref="K6" si="3">+D8+D12+D16</f>
        <v>6625</v>
      </c>
      <c r="L6" s="226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08</v>
      </c>
      <c r="C7" s="89">
        <f>IF(DigitaTICA!C17&lt;&gt;"",DigitaTICA!C17,"")</f>
        <v>127800</v>
      </c>
      <c r="D7" s="42">
        <f>IF(C7="",0,C7*J$15)</f>
        <v>15336</v>
      </c>
      <c r="E7" s="89">
        <f>IF(DigitaTICA!D17&lt;&gt;"",DigitaTICA!D17,"")</f>
        <v>650</v>
      </c>
      <c r="F7" s="42">
        <f>IF(E7="",0,E7*PREMIOS!F7)</f>
        <v>55250</v>
      </c>
      <c r="G7" s="90">
        <f t="shared" si="1"/>
        <v>57214</v>
      </c>
      <c r="I7" s="216" t="s">
        <v>96</v>
      </c>
      <c r="J7" s="222">
        <f>SUM(IF(C19="",0,C19),IF(C20="",0,C20))</f>
        <v>126350</v>
      </c>
      <c r="K7" s="225">
        <f>+D19+D20</f>
        <v>15162</v>
      </c>
      <c r="L7" s="226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25100</v>
      </c>
      <c r="D8" s="42">
        <f>IF(C8="",0,C8*J$17)</f>
        <v>2510</v>
      </c>
      <c r="E8" s="89">
        <f>IF(DigitaREVENTADO!D17&lt;&gt;"",DigitaREVENTADO!D17,"")</f>
        <v>500</v>
      </c>
      <c r="F8" s="42">
        <f>IF(E8="",0,E8*PREMIOS!F8)</f>
        <v>0</v>
      </c>
      <c r="G8" s="90">
        <f t="shared" si="1"/>
        <v>22590</v>
      </c>
      <c r="I8" s="216" t="s">
        <v>104</v>
      </c>
      <c r="J8" s="222">
        <f>SUM(IF(C21="",0,C21),IF(C22="",0,C22),IF(C23="",0,C23))</f>
        <v>91750</v>
      </c>
      <c r="K8" s="225">
        <f t="shared" ref="K8" si="4">D21+D22+D23</f>
        <v>11010</v>
      </c>
      <c r="L8" s="226">
        <f>F21+F22+F23</f>
        <v>80750</v>
      </c>
    </row>
    <row r="9" spans="1:12" x14ac:dyDescent="0.35">
      <c r="A9" s="28" t="s">
        <v>48</v>
      </c>
      <c r="B9" s="132">
        <f>IF(DigitaNICA!E2&lt;&gt;"",DigitaNICA!E2,"")</f>
        <v>78</v>
      </c>
      <c r="C9" s="89">
        <f>IF(DigitaNICA!E17&lt;&gt;"",DigitaNICA!E17,"")</f>
        <v>76350</v>
      </c>
      <c r="D9" s="42">
        <f>IF(C9="",0,C9*J$16)</f>
        <v>9162</v>
      </c>
      <c r="E9" s="89">
        <f>IF(DigitaNICA!F17&lt;&gt;"",DigitaNICA!F17,"")</f>
        <v>200</v>
      </c>
      <c r="F9" s="42">
        <f>IF(E9="",0,E9*PREMIOS!F9)</f>
        <v>17000</v>
      </c>
      <c r="G9" s="90">
        <f t="shared" si="1"/>
        <v>50188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96</v>
      </c>
      <c r="C11" s="89">
        <f>IF(DigitaTICA!E17&lt;&gt;"",DigitaTICA!E17,"")</f>
        <v>81250</v>
      </c>
      <c r="D11" s="42">
        <f>IF(C11="",0,C11*J$15)</f>
        <v>9750</v>
      </c>
      <c r="E11" s="89">
        <f>IF(DigitaTICA!F17&lt;&gt;"",DigitaTICA!F17,"")</f>
        <v>500</v>
      </c>
      <c r="F11" s="42">
        <f>IF(E11="",0,E11*PREMIOS!F11)</f>
        <v>42500</v>
      </c>
      <c r="G11" s="90">
        <f t="shared" si="1"/>
        <v>29000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18000</v>
      </c>
      <c r="D12" s="42">
        <f>IF(C12="",0,C12*J$17)</f>
        <v>1800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16200</v>
      </c>
    </row>
    <row r="13" spans="1:12" ht="15" thickBot="1" x14ac:dyDescent="0.4">
      <c r="A13" s="28" t="s">
        <v>50</v>
      </c>
      <c r="B13" s="132" t="str">
        <f>IF(DigitaNICA!G2&lt;&gt;"",DigitaNICA!G2,"")</f>
        <v>04</v>
      </c>
      <c r="C13" s="89">
        <f>IF(DigitaNICA!G17&lt;&gt;"",DigitaNICA!G17,"")</f>
        <v>50250</v>
      </c>
      <c r="D13" s="42">
        <f>IF(C13="",0,C13*J$16)</f>
        <v>6030</v>
      </c>
      <c r="E13" s="89">
        <f>IF(DigitaNICA!H17&lt;&gt;"",DigitaNICA!H17,"")</f>
        <v>650</v>
      </c>
      <c r="F13" s="42">
        <f>IF(E13="",0,E13*PREMIOS!F13)</f>
        <v>55250</v>
      </c>
      <c r="G13" s="90">
        <f>IF(OR(C13="",E13=""),0,C13-D13-F13)</f>
        <v>-11030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27</v>
      </c>
      <c r="C15" s="89">
        <f>IF(DigitaTICA!G17&lt;&gt;"",DigitaTICA!G17,"")</f>
        <v>193550</v>
      </c>
      <c r="D15" s="42">
        <f>IF(C15="",0,C15*J$15)</f>
        <v>23226</v>
      </c>
      <c r="E15" s="89">
        <f>IF(DigitaTICA!H17&lt;&gt;"",DigitaTICA!H17,"")</f>
        <v>3200</v>
      </c>
      <c r="F15" s="42">
        <f>IF(E15="",0,E15*PREMIOS!F15)</f>
        <v>272000</v>
      </c>
      <c r="G15" s="90">
        <f t="shared" si="6"/>
        <v>-101676</v>
      </c>
      <c r="I15" s="76" t="s">
        <v>36</v>
      </c>
      <c r="J15" s="77">
        <v>0.12</v>
      </c>
      <c r="K15" s="78">
        <f>MROUND(D7+D11+D15,50)</f>
        <v>48300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23150</v>
      </c>
      <c r="D16" s="42">
        <f>IF(C16="",0,C16*J$17)</f>
        <v>2315</v>
      </c>
      <c r="E16" s="89">
        <f>IF(DigitaREVENTADO!H17&lt;&gt;"",DigitaREVENTADO!H17,"")</f>
        <v>800</v>
      </c>
      <c r="F16" s="42">
        <f>IF(E16="",0,E16*PREMIOS!F16)</f>
        <v>0</v>
      </c>
      <c r="G16" s="90">
        <f t="shared" si="6"/>
        <v>20835</v>
      </c>
      <c r="I16" s="63" t="s">
        <v>37</v>
      </c>
      <c r="J16" s="64">
        <v>0.12</v>
      </c>
      <c r="K16" s="30">
        <f>MROUND(D5+D9+D13+D17,50)</f>
        <v>38700</v>
      </c>
    </row>
    <row r="17" spans="1:11" x14ac:dyDescent="0.35">
      <c r="A17" s="28" t="s">
        <v>52</v>
      </c>
      <c r="B17" s="132">
        <f>IF(DigitaNICA!I2&lt;&gt;"",DigitaNICA!I2,"")</f>
        <v>40</v>
      </c>
      <c r="C17" s="89">
        <f>IF(DigitaNICA!I17&lt;&gt;"",DigitaNICA!I17,"")</f>
        <v>131950</v>
      </c>
      <c r="D17" s="42">
        <f>IF(C17="",0,C17*J$16)</f>
        <v>15834</v>
      </c>
      <c r="E17" s="89">
        <f>IF(DigitaNICA!J17&lt;&gt;"",DigitaNICA!J17,"")</f>
        <v>2350</v>
      </c>
      <c r="F17" s="42">
        <f>IF(E17="",0,E17*PREMIOS!F17)</f>
        <v>199750</v>
      </c>
      <c r="G17" s="90">
        <f t="shared" si="6"/>
        <v>-83634</v>
      </c>
      <c r="I17" s="63" t="s">
        <v>38</v>
      </c>
      <c r="J17" s="64">
        <v>0.1</v>
      </c>
      <c r="K17" s="30">
        <f>MROUND(D6+D8+D10+D12+D14+D16+D18,50)</f>
        <v>6650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15150</v>
      </c>
    </row>
    <row r="19" spans="1:11" x14ac:dyDescent="0.35">
      <c r="A19" s="28" t="s">
        <v>97</v>
      </c>
      <c r="B19" s="132">
        <f>IF(DigitaPRIMERA!C2&lt;&gt;"",DigitaPRIMERA!C2,"")</f>
        <v>29</v>
      </c>
      <c r="C19" s="29">
        <f>IF(DigitaPRIMERA!$C$17&lt;&gt;"",DigitaPRIMERA!$C$17,"")</f>
        <v>92200</v>
      </c>
      <c r="D19" s="42">
        <f>IF(C19="",0,C19*J$18)</f>
        <v>11064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72636</v>
      </c>
      <c r="I19" s="63" t="s">
        <v>104</v>
      </c>
      <c r="J19" s="64">
        <v>0.12</v>
      </c>
      <c r="K19" s="30">
        <f>MROUND(D21+D22+D23,50)</f>
        <v>11000</v>
      </c>
    </row>
    <row r="20" spans="1:11" x14ac:dyDescent="0.35">
      <c r="A20" s="28" t="s">
        <v>98</v>
      </c>
      <c r="B20" s="132">
        <f>IF(DigitaPRIMERA!E2&lt;&gt;"",DigitaPRIMERA!E2,"")</f>
        <v>93</v>
      </c>
      <c r="C20" s="29">
        <f>IF(DigitaPRIMERA!$E$17&lt;&gt;"",DigitaPRIMERA!$E$17,"")</f>
        <v>34150</v>
      </c>
      <c r="D20" s="42">
        <f>IF(C20="",0,C20*J$18)</f>
        <v>4098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30052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91</v>
      </c>
      <c r="C21" s="29">
        <f>IF(DigitaHONDURAS!$C$17&lt;&gt;"",DigitaHONDURAS!$C$17,"")</f>
        <v>63850</v>
      </c>
      <c r="D21" s="42">
        <f>IF(C21="",0,C21*J$19)</f>
        <v>7662</v>
      </c>
      <c r="E21" s="29">
        <f>IF(DigitaHONDURAS!$D$17&lt;&gt;"",DigitaHONDURAS!$D$17,"")</f>
        <v>450</v>
      </c>
      <c r="F21" s="42">
        <f>IF(E21="",0,E21*PREMIOS!F20)</f>
        <v>38250</v>
      </c>
      <c r="G21" s="30">
        <f t="shared" si="6"/>
        <v>17938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45</v>
      </c>
      <c r="C22" s="29">
        <f>IF(DigitaHONDURAS!$E$17&lt;&gt;"",DigitaHONDURAS!$E$17,"")</f>
        <v>11600</v>
      </c>
      <c r="D22" s="42">
        <f>IF(C22="",0,C22*J$19)</f>
        <v>1392</v>
      </c>
      <c r="E22" s="29">
        <f>IF(DigitaHONDURAS!$F$17&lt;&gt;"",DigitaHONDURAS!$F$17,"")</f>
        <v>500</v>
      </c>
      <c r="F22" s="42">
        <f>IF(E22="",0,E22*PREMIOS!F20)</f>
        <v>42500</v>
      </c>
      <c r="G22" s="30">
        <f t="shared" si="6"/>
        <v>-32292</v>
      </c>
    </row>
    <row r="23" spans="1:11" x14ac:dyDescent="0.35">
      <c r="A23" s="28" t="s">
        <v>101</v>
      </c>
      <c r="B23" s="132">
        <f>IF(DigitaHONDURAS!G2&lt;&gt;"",DigitaHONDURAS!G2,"")</f>
        <v>16</v>
      </c>
      <c r="C23" s="29">
        <f>IF(DigitaHONDURAS!$G$17&lt;&gt;"",DigitaHONDURAS!$G$17,"")</f>
        <v>16300</v>
      </c>
      <c r="D23" s="42">
        <f>IF(C23="",0,C23*J$19)</f>
        <v>1956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14344</v>
      </c>
    </row>
    <row r="24" spans="1:11" x14ac:dyDescent="0.35">
      <c r="A24" s="28" t="s">
        <v>102</v>
      </c>
      <c r="B24" s="132" t="str">
        <f>IF(DigitaDOMINICANA!C2&lt;&gt;"",DigitaDOMINICANA!C2,"")</f>
        <v>09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1009650</v>
      </c>
      <c r="D27" s="68">
        <f t="shared" ref="D27:G27" si="7">SUM(D5:D26)</f>
        <v>119833</v>
      </c>
      <c r="E27" s="68">
        <f t="shared" si="7"/>
        <v>10450</v>
      </c>
      <c r="F27" s="68">
        <f t="shared" si="7"/>
        <v>777750</v>
      </c>
      <c r="G27" s="88">
        <f t="shared" si="7"/>
        <v>112067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191400</v>
      </c>
      <c r="K4" s="230">
        <f t="shared" ref="K4" si="0">D7+D11+D15</f>
        <v>22968</v>
      </c>
      <c r="L4" s="219">
        <f>F7+F11+F15</f>
        <v>170000</v>
      </c>
    </row>
    <row r="5" spans="1:12" x14ac:dyDescent="0.35">
      <c r="A5" s="28" t="str">
        <f>+Vendedor1!A5</f>
        <v>Nica 11am</v>
      </c>
      <c r="B5" s="132">
        <f>IF(DigitaNICA!C2&lt;&gt;"",DigitaNICA!C2,"")</f>
        <v>41</v>
      </c>
      <c r="C5" s="29">
        <f>IF(DigitaNICA!C18&lt;&gt;"",DigitaNICA!C18,"")</f>
        <v>60100</v>
      </c>
      <c r="D5" s="42">
        <f>IF(C5="",0,C5*J$16)</f>
        <v>7212</v>
      </c>
      <c r="E5" s="29">
        <f>IF(DigitaNICA!D18&lt;&gt;"",DigitaNICA!D18,"")</f>
        <v>150</v>
      </c>
      <c r="F5" s="42">
        <f>IF(E5="",0,E5*PREMIOS!F5)</f>
        <v>12750</v>
      </c>
      <c r="G5" s="30">
        <f t="shared" ref="G5:G12" si="1">IF(OR(C5="",E5=""),0,C5-D5-F5)</f>
        <v>40138</v>
      </c>
      <c r="I5" s="216" t="s">
        <v>37</v>
      </c>
      <c r="J5" s="220">
        <f>SUM(IF(C5="",0,C5),IF(C9="",0,C9),IF(C13="",0,C13),IF(C17="",0,C17))</f>
        <v>138950</v>
      </c>
      <c r="K5" s="224">
        <f t="shared" ref="K5" si="2">D5+D9+D13+D17</f>
        <v>16674</v>
      </c>
      <c r="L5" s="221">
        <f>F5+F9+F13+F17</f>
        <v>34000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40500</v>
      </c>
      <c r="K6" s="225">
        <f t="shared" ref="K6" si="3">+D8+D12+D16</f>
        <v>4050</v>
      </c>
      <c r="L6" s="226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08</v>
      </c>
      <c r="C7" s="29">
        <f>IF(DigitaTICA!C18&lt;&gt;"",DigitaTICA!C18,"")</f>
        <v>55150</v>
      </c>
      <c r="D7" s="42">
        <f>IF(C7="",0,C7*J$15)</f>
        <v>6618</v>
      </c>
      <c r="E7" s="29">
        <f>IF(DigitaTICA!D18&lt;&gt;"",DigitaTICA!D18,"")</f>
        <v>500</v>
      </c>
      <c r="F7" s="42">
        <f>IF(E7="",0,E7*PREMIOS!F7)</f>
        <v>42500</v>
      </c>
      <c r="G7" s="30">
        <f t="shared" si="1"/>
        <v>6032</v>
      </c>
      <c r="I7" s="216" t="s">
        <v>96</v>
      </c>
      <c r="J7" s="222">
        <f>SUM(IF(C19="",0,C19),IF(C20="",0,C20))</f>
        <v>75350</v>
      </c>
      <c r="K7" s="225">
        <f>+D19+D20</f>
        <v>9042</v>
      </c>
      <c r="L7" s="226">
        <f>+F19+F20</f>
        <v>51000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12400</v>
      </c>
      <c r="D8" s="42">
        <f>IF(C8="",0,C8*J$17)</f>
        <v>1240</v>
      </c>
      <c r="E8" s="29">
        <f>IF(DigitaREVENTADO!D18&lt;&gt;"",DigitaREVENTADO!D18,"")</f>
        <v>150</v>
      </c>
      <c r="F8" s="42">
        <f>IF(E8="",0,E8*PREMIOS!F8)</f>
        <v>0</v>
      </c>
      <c r="G8" s="30">
        <f t="shared" si="1"/>
        <v>11160</v>
      </c>
      <c r="I8" s="216" t="s">
        <v>104</v>
      </c>
      <c r="J8" s="222">
        <f>SUM(IF(C21="",0,C21),IF(C22="",0,C22),IF(C23="",0,C23))</f>
        <v>44450</v>
      </c>
      <c r="K8" s="225">
        <f t="shared" ref="K8" si="4">D21+D22+D23</f>
        <v>5334</v>
      </c>
      <c r="L8" s="226">
        <f>F21+F22+F23</f>
        <v>72250</v>
      </c>
    </row>
    <row r="9" spans="1:12" x14ac:dyDescent="0.35">
      <c r="A9" s="28" t="str">
        <f>+Vendedor1!A9</f>
        <v>Nica 3pm</v>
      </c>
      <c r="B9" s="132">
        <f>IF(DigitaNICA!E2&lt;&gt;"",DigitaNICA!E2,"")</f>
        <v>78</v>
      </c>
      <c r="C9" s="29">
        <f>IF(DigitaNICA!E18&lt;&gt;"",DigitaNICA!E18,"")</f>
        <v>37850</v>
      </c>
      <c r="D9" s="42">
        <f>IF(C9="",0,C9*J$16)</f>
        <v>4542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33308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96</v>
      </c>
      <c r="C11" s="29">
        <f>IF(DigitaTICA!E18&lt;&gt;"",DigitaTICA!E18,"")</f>
        <v>43500</v>
      </c>
      <c r="D11" s="42">
        <f>IF(C11="",0,C11*J$15)</f>
        <v>5220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21280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12300</v>
      </c>
      <c r="D12" s="42">
        <f>IF(C12="",0,C12*J$17)</f>
        <v>1230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11070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>04</v>
      </c>
      <c r="C13" s="29">
        <f>IF(DigitaNICA!G18&lt;&gt;"",DigitaNICA!G18,"")</f>
        <v>29800</v>
      </c>
      <c r="D13" s="42">
        <f>IF(C13="",0,C13*J$16)</f>
        <v>3576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26224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27</v>
      </c>
      <c r="C15" s="29">
        <f>IF(DigitaTICA!G18&lt;&gt;"",DigitaTICA!G18,"")</f>
        <v>92750</v>
      </c>
      <c r="D15" s="42">
        <f>IF(C15="",0,C15*J$15)</f>
        <v>11130</v>
      </c>
      <c r="E15" s="29">
        <f>IF(DigitaTICA!H18&lt;&gt;"",DigitaTICA!H18,"")</f>
        <v>1300</v>
      </c>
      <c r="F15" s="42">
        <f>IF(E15="",0,E15*PREMIOS!F15)</f>
        <v>110500</v>
      </c>
      <c r="G15" s="30">
        <f t="shared" si="6"/>
        <v>-28880</v>
      </c>
      <c r="I15" s="76" t="s">
        <v>36</v>
      </c>
      <c r="J15" s="77">
        <v>0.12</v>
      </c>
      <c r="K15" s="78">
        <f>MROUND(D7+D11+D15,50)</f>
        <v>22950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15800</v>
      </c>
      <c r="D16" s="42">
        <f>IF(C16="",0,C16*J$17)</f>
        <v>1580</v>
      </c>
      <c r="E16" s="29">
        <f>IF(DigitaREVENTADO!H18&lt;&gt;"",DigitaREVENTADO!H18,"")</f>
        <v>1000</v>
      </c>
      <c r="F16" s="42">
        <f>IF(E16="",0,E16*PREMIOS!F16)</f>
        <v>0</v>
      </c>
      <c r="G16" s="30">
        <f t="shared" si="6"/>
        <v>14220</v>
      </c>
      <c r="I16" s="63" t="s">
        <v>37</v>
      </c>
      <c r="J16" s="64">
        <v>0.12</v>
      </c>
      <c r="K16" s="30">
        <f>MROUND(D5+D9+D13+D17,50)</f>
        <v>16650</v>
      </c>
    </row>
    <row r="17" spans="1:11" x14ac:dyDescent="0.35">
      <c r="A17" s="28" t="str">
        <f>+Vendedor1!A17</f>
        <v>Nica 9pm</v>
      </c>
      <c r="B17" s="132">
        <f>IF(DigitaNICA!I2&lt;&gt;"",DigitaNICA!I2,"")</f>
        <v>40</v>
      </c>
      <c r="C17" s="29">
        <f>IF(DigitaNICA!I18&lt;&gt;"",DigitaNICA!I18,"")</f>
        <v>11200</v>
      </c>
      <c r="D17" s="42">
        <f>IF(C17="",0,C17*J$16)</f>
        <v>1344</v>
      </c>
      <c r="E17" s="29">
        <f>IF(DigitaNICA!J18&lt;&gt;"",DigitaNICA!J18,"")</f>
        <v>250</v>
      </c>
      <c r="F17" s="42">
        <f>IF(E17="",0,E17*PREMIOS!F17)</f>
        <v>21250</v>
      </c>
      <c r="G17" s="30">
        <f t="shared" si="6"/>
        <v>-11394</v>
      </c>
      <c r="I17" s="63" t="s">
        <v>38</v>
      </c>
      <c r="J17" s="64">
        <v>0.1</v>
      </c>
      <c r="K17" s="30">
        <f>MROUND(D6+D8+D10+D12+D14+D16+D18,50)</f>
        <v>4050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9050</v>
      </c>
    </row>
    <row r="19" spans="1:11" x14ac:dyDescent="0.35">
      <c r="A19" s="28" t="s">
        <v>97</v>
      </c>
      <c r="B19" s="132">
        <f>IF(DigitaPRIMERA!C2&lt;&gt;"",DigitaPRIMERA!C2,"")</f>
        <v>29</v>
      </c>
      <c r="C19" s="29">
        <f>IF(DigitaPRIMERA!$C$18&lt;&gt;"",DigitaPRIMERA!$C$18,"")</f>
        <v>46750</v>
      </c>
      <c r="D19" s="42">
        <f>IF(C19="",0,C19*J$18)</f>
        <v>5610</v>
      </c>
      <c r="E19" s="29">
        <f>IF(DigitaPRIMERA!$D$18&lt;&gt;"",DigitaPRIMERA!$D$18,"")</f>
        <v>400</v>
      </c>
      <c r="F19" s="42">
        <f>IF(E19="",0,E19*PREMIOS!F19)</f>
        <v>34000</v>
      </c>
      <c r="G19" s="30">
        <f t="shared" si="6"/>
        <v>7140</v>
      </c>
      <c r="I19" s="63" t="s">
        <v>104</v>
      </c>
      <c r="J19" s="64">
        <v>0.12</v>
      </c>
      <c r="K19" s="30">
        <f>MROUND(D21+D22+D23,50)</f>
        <v>5350</v>
      </c>
    </row>
    <row r="20" spans="1:11" x14ac:dyDescent="0.35">
      <c r="A20" s="28" t="s">
        <v>98</v>
      </c>
      <c r="B20" s="132">
        <f>IF(DigitaPRIMERA!E2&lt;&gt;"",DigitaPRIMERA!E2,"")</f>
        <v>93</v>
      </c>
      <c r="C20" s="29">
        <f>IF(DigitaPRIMERA!$E$18&lt;&gt;"",DigitaPRIMERA!$E$18,"")</f>
        <v>28600</v>
      </c>
      <c r="D20" s="42">
        <f>IF(C20="",0,C20*J$18)</f>
        <v>3432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8168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91</v>
      </c>
      <c r="C21" s="29">
        <f>IF(DigitaHONDURAS!$C$18&lt;&gt;"",DigitaHONDURAS!$C$18,"")</f>
        <v>26050</v>
      </c>
      <c r="D21" s="42">
        <f>IF(C21="",0,C21*J$19)</f>
        <v>3126</v>
      </c>
      <c r="E21" s="29">
        <f>IF(DigitaHONDURAS!$D$18&lt;&gt;"",DigitaHONDURAS!$D$18,"")</f>
        <v>700</v>
      </c>
      <c r="F21" s="42">
        <f>IF(E21="",0,E21*PREMIOS!F20)</f>
        <v>59500</v>
      </c>
      <c r="G21" s="30">
        <f t="shared" si="6"/>
        <v>-36576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45</v>
      </c>
      <c r="C22" s="29">
        <f>IF(DigitaHONDURAS!$E$18&lt;&gt;"",DigitaHONDURAS!$E$18,"")</f>
        <v>11600</v>
      </c>
      <c r="D22" s="42">
        <f>IF(C22="",0,C22*J$19)</f>
        <v>1392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10208</v>
      </c>
    </row>
    <row r="23" spans="1:11" x14ac:dyDescent="0.35">
      <c r="A23" s="28" t="s">
        <v>101</v>
      </c>
      <c r="B23" s="132">
        <f>IF(DigitaHONDURAS!G2&lt;&gt;"",DigitaHONDURAS!G2,"")</f>
        <v>16</v>
      </c>
      <c r="C23" s="29">
        <f>IF(DigitaHONDURAS!$G$18&lt;&gt;"",DigitaHONDURAS!$G$18,"")</f>
        <v>6800</v>
      </c>
      <c r="D23" s="42">
        <f>IF(C23="",0,C23*J$19)</f>
        <v>816</v>
      </c>
      <c r="E23" s="29">
        <f>IF(DigitaHONDURAS!$H$18&lt;&gt;"",DigitaHONDURAS!$H$18,"")</f>
        <v>150</v>
      </c>
      <c r="F23" s="42">
        <f>IF(E23="",0,E23*PREMIOS!F20)</f>
        <v>12750</v>
      </c>
      <c r="G23" s="30">
        <f t="shared" si="6"/>
        <v>-6766</v>
      </c>
    </row>
    <row r="24" spans="1:11" x14ac:dyDescent="0.35">
      <c r="A24" s="28" t="s">
        <v>102</v>
      </c>
      <c r="B24" s="132" t="str">
        <f>IF(DigitaDOMINICANA!C2&lt;&gt;"",DigitaDOMINICANA!C2,"")</f>
        <v>09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490650</v>
      </c>
      <c r="D27" s="68">
        <f t="shared" ref="D27:G27" si="7">SUM(D5:D26)</f>
        <v>58068</v>
      </c>
      <c r="E27" s="68">
        <f t="shared" si="7"/>
        <v>5000</v>
      </c>
      <c r="F27" s="68">
        <f t="shared" si="7"/>
        <v>327250</v>
      </c>
      <c r="G27" s="88">
        <f t="shared" si="7"/>
        <v>105332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78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>04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IF(PREMIOS!$B7="","",PREMIOS!$B7)</f>
        <v>08</v>
      </c>
      <c r="D2" s="267"/>
      <c r="E2" s="266">
        <f>IF(PREMIOS!$B11="","",PREMIOS!$B11)</f>
        <v>96</v>
      </c>
      <c r="F2" s="267"/>
      <c r="G2" s="266">
        <f>IF(PREMIOS!$B15="","",PREMIOS!$B15)</f>
        <v>27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64250</v>
      </c>
      <c r="D4" s="78">
        <v>750</v>
      </c>
      <c r="E4" s="188">
        <v>34800</v>
      </c>
      <c r="F4" s="78">
        <f t="shared" ref="D4:H27" si="0">IF(E4="","",0)</f>
        <v>0</v>
      </c>
      <c r="G4" s="188">
        <v>79250</v>
      </c>
      <c r="H4" s="78">
        <f t="shared" si="0"/>
        <v>0</v>
      </c>
      <c r="J4" s="42">
        <f t="shared" ref="J4:J8" si="1">+C4+E4+G4</f>
        <v>178300</v>
      </c>
      <c r="K4" s="42">
        <f>IF(D4="",0,IF(F4="",D4,IF(H4="",D4+F4,D4+F4+H4)))</f>
        <v>750</v>
      </c>
    </row>
    <row r="5" spans="1:11" x14ac:dyDescent="0.35">
      <c r="A5" s="47">
        <v>2</v>
      </c>
      <c r="B5" s="177" t="str">
        <f>Vendedor2!$B$2</f>
        <v>PUESTO 2</v>
      </c>
      <c r="C5" s="179">
        <v>42400</v>
      </c>
      <c r="D5" s="30">
        <f t="shared" si="0"/>
        <v>0</v>
      </c>
      <c r="E5" s="179">
        <v>48250</v>
      </c>
      <c r="F5" s="30">
        <v>300</v>
      </c>
      <c r="G5" s="179">
        <v>53200</v>
      </c>
      <c r="H5" s="30">
        <f t="shared" si="0"/>
        <v>0</v>
      </c>
      <c r="J5" s="42">
        <f t="shared" si="1"/>
        <v>143850</v>
      </c>
      <c r="K5" s="42">
        <f t="shared" ref="K5:K27" si="2">IF(D5="",0,IF(F5="",D5,IF(H5="",D5+F5,D5+F5+H5)))</f>
        <v>300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56750</v>
      </c>
      <c r="D8" s="30">
        <v>500</v>
      </c>
      <c r="E8" s="179">
        <v>42950</v>
      </c>
      <c r="F8" s="30">
        <v>1500</v>
      </c>
      <c r="G8" s="179">
        <v>46000</v>
      </c>
      <c r="H8" s="30">
        <f t="shared" si="0"/>
        <v>0</v>
      </c>
      <c r="J8" s="42">
        <f t="shared" si="1"/>
        <v>145700</v>
      </c>
      <c r="K8" s="42">
        <f t="shared" si="2"/>
        <v>2000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64450+110200</f>
        <v>174650</v>
      </c>
      <c r="D10" s="30">
        <f>750+100</f>
        <v>850</v>
      </c>
      <c r="E10" s="179">
        <f>36500+80450</f>
        <v>116950</v>
      </c>
      <c r="F10" s="30">
        <f t="shared" si="0"/>
        <v>0</v>
      </c>
      <c r="G10" s="179">
        <f>49000+102000</f>
        <v>151000</v>
      </c>
      <c r="H10" s="30">
        <v>2500</v>
      </c>
      <c r="J10" s="42">
        <f t="shared" si="3"/>
        <v>442600</v>
      </c>
      <c r="K10" s="42">
        <f t="shared" si="2"/>
        <v>3350</v>
      </c>
    </row>
    <row r="11" spans="1:11" x14ac:dyDescent="0.35">
      <c r="A11" s="47">
        <v>8</v>
      </c>
      <c r="B11" s="177" t="str">
        <f>Vendedor8!$B$2</f>
        <v>ISA</v>
      </c>
      <c r="C11" s="179">
        <v>17500</v>
      </c>
      <c r="D11" s="30">
        <f t="shared" si="0"/>
        <v>0</v>
      </c>
      <c r="E11" s="179"/>
      <c r="F11" s="30" t="str">
        <f t="shared" si="0"/>
        <v/>
      </c>
      <c r="G11" s="179">
        <v>23100</v>
      </c>
      <c r="H11" s="30">
        <v>550</v>
      </c>
      <c r="J11" s="42">
        <f t="shared" si="3"/>
        <v>40600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35300</v>
      </c>
      <c r="D12" s="30">
        <f t="shared" si="0"/>
        <v>0</v>
      </c>
      <c r="E12" s="179">
        <v>15400</v>
      </c>
      <c r="F12" s="30">
        <v>250</v>
      </c>
      <c r="G12" s="179">
        <v>25900</v>
      </c>
      <c r="H12" s="30">
        <f t="shared" si="0"/>
        <v>0</v>
      </c>
      <c r="J12" s="42">
        <f t="shared" si="3"/>
        <v>76600</v>
      </c>
      <c r="K12" s="42">
        <f t="shared" si="2"/>
        <v>250</v>
      </c>
    </row>
    <row r="13" spans="1:11" x14ac:dyDescent="0.35">
      <c r="A13" s="47">
        <v>10</v>
      </c>
      <c r="B13" s="177" t="str">
        <f>Vendedor10!$B$2</f>
        <v>MARIALIZ</v>
      </c>
      <c r="C13" s="179">
        <v>29400</v>
      </c>
      <c r="D13" s="30">
        <v>1200</v>
      </c>
      <c r="E13" s="179">
        <v>23700</v>
      </c>
      <c r="F13" s="30">
        <f t="shared" si="0"/>
        <v>0</v>
      </c>
      <c r="G13" s="179">
        <v>63000</v>
      </c>
      <c r="H13" s="30">
        <v>300</v>
      </c>
      <c r="J13" s="42">
        <f t="shared" si="3"/>
        <v>116100</v>
      </c>
      <c r="K13" s="42">
        <f t="shared" si="2"/>
        <v>1500</v>
      </c>
    </row>
    <row r="14" spans="1:11" x14ac:dyDescent="0.35">
      <c r="A14" s="47">
        <v>11</v>
      </c>
      <c r="B14" s="177" t="str">
        <f>Vendedor11!$B$2</f>
        <v>CHARLY</v>
      </c>
      <c r="C14" s="179">
        <v>47250</v>
      </c>
      <c r="D14" s="30">
        <v>500</v>
      </c>
      <c r="E14" s="179">
        <v>17400</v>
      </c>
      <c r="F14" s="30">
        <v>300</v>
      </c>
      <c r="G14" s="179">
        <v>32500</v>
      </c>
      <c r="H14" s="30">
        <v>300</v>
      </c>
      <c r="J14" s="42">
        <f t="shared" si="3"/>
        <v>97150</v>
      </c>
      <c r="K14" s="42">
        <f t="shared" si="2"/>
        <v>1100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13100</v>
      </c>
      <c r="D16" s="30">
        <f t="shared" si="0"/>
        <v>0</v>
      </c>
      <c r="E16" s="179">
        <v>6700</v>
      </c>
      <c r="F16" s="30">
        <f t="shared" si="0"/>
        <v>0</v>
      </c>
      <c r="G16" s="179">
        <v>13200</v>
      </c>
      <c r="H16" s="30">
        <f t="shared" si="0"/>
        <v>0</v>
      </c>
      <c r="J16" s="42">
        <f t="shared" si="3"/>
        <v>33000</v>
      </c>
      <c r="K16" s="42">
        <f t="shared" si="2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>
        <f>99900+27900</f>
        <v>127800</v>
      </c>
      <c r="D17" s="30">
        <f>150+500</f>
        <v>650</v>
      </c>
      <c r="E17" s="179">
        <f>62550+18700</f>
        <v>81250</v>
      </c>
      <c r="F17" s="30">
        <f>500+0</f>
        <v>500</v>
      </c>
      <c r="G17" s="179">
        <f>167800+25750</f>
        <v>193550</v>
      </c>
      <c r="H17" s="30">
        <f>2400+800</f>
        <v>3200</v>
      </c>
      <c r="J17" s="42">
        <f t="shared" si="3"/>
        <v>402600</v>
      </c>
      <c r="K17" s="42">
        <f t="shared" si="2"/>
        <v>4350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f>13700+41450</f>
        <v>55150</v>
      </c>
      <c r="D18" s="30">
        <f>200+300</f>
        <v>500</v>
      </c>
      <c r="E18" s="179">
        <f>31200+12300</f>
        <v>43500</v>
      </c>
      <c r="F18" s="30">
        <f>200+0</f>
        <v>200</v>
      </c>
      <c r="G18" s="179">
        <f>74350+18400</f>
        <v>92750</v>
      </c>
      <c r="H18" s="30">
        <f>300+1000</f>
        <v>1300</v>
      </c>
      <c r="J18" s="42">
        <f t="shared" si="3"/>
        <v>191400</v>
      </c>
      <c r="K18" s="42">
        <f t="shared" si="2"/>
        <v>2000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663550</v>
      </c>
      <c r="D32" s="44">
        <f t="shared" si="6"/>
        <v>4950</v>
      </c>
      <c r="E32" s="43">
        <f t="shared" si="6"/>
        <v>430900</v>
      </c>
      <c r="F32" s="44">
        <f t="shared" si="6"/>
        <v>3050</v>
      </c>
      <c r="G32" s="43">
        <f t="shared" si="6"/>
        <v>773450</v>
      </c>
      <c r="H32" s="44">
        <f t="shared" si="6"/>
        <v>8150</v>
      </c>
      <c r="J32" s="95">
        <f>SUM(J4:J31)</f>
        <v>1867900</v>
      </c>
      <c r="K32" s="95"/>
    </row>
    <row r="33" spans="2:8" x14ac:dyDescent="0.35">
      <c r="D33" s="99">
        <f>+D32*85</f>
        <v>420750</v>
      </c>
      <c r="F33" s="99">
        <f>+F32*85</f>
        <v>259250</v>
      </c>
      <c r="H33" s="99">
        <f>+H32*85</f>
        <v>692750</v>
      </c>
    </row>
    <row r="34" spans="2:8" x14ac:dyDescent="0.35">
      <c r="B34" s="246" t="s">
        <v>149</v>
      </c>
      <c r="C34" s="43">
        <f t="shared" ref="C34:H34" si="7">+C4+C5+C6+C8+C13</f>
        <v>192800</v>
      </c>
      <c r="D34" s="43" t="e">
        <f t="shared" si="7"/>
        <v>#VALUE!</v>
      </c>
      <c r="E34" s="43">
        <f t="shared" si="7"/>
        <v>149700</v>
      </c>
      <c r="F34" s="43" t="e">
        <f t="shared" si="7"/>
        <v>#VALUE!</v>
      </c>
      <c r="G34" s="43">
        <f t="shared" si="7"/>
        <v>241450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247700</v>
      </c>
      <c r="D35" s="43" t="e">
        <f t="shared" ref="D35:H35" si="8">+D11+D14+D15+D17+D18</f>
        <v>#VALUE!</v>
      </c>
      <c r="E35" s="43">
        <f t="shared" si="8"/>
        <v>142150</v>
      </c>
      <c r="F35" s="43" t="e">
        <f t="shared" si="8"/>
        <v>#VALUE!</v>
      </c>
      <c r="G35" s="43">
        <f t="shared" si="8"/>
        <v>341900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209950</v>
      </c>
      <c r="D36" s="43" t="e">
        <f t="shared" ref="D36:H36" si="9">+D10+D12+D27</f>
        <v>#VALUE!</v>
      </c>
      <c r="E36" s="43">
        <f t="shared" si="9"/>
        <v>132350</v>
      </c>
      <c r="F36" s="43" t="e">
        <f t="shared" si="9"/>
        <v>#VALUE!</v>
      </c>
      <c r="G36" s="43">
        <f t="shared" si="9"/>
        <v>176900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>
        <f>IF(PREMIOS!$B5="","",PREMIOS!$B5)</f>
        <v>41</v>
      </c>
      <c r="D2" s="267"/>
      <c r="E2" s="266">
        <f>IF(PREMIOS!$B9="","",PREMIOS!$B9)</f>
        <v>78</v>
      </c>
      <c r="F2" s="267"/>
      <c r="G2" s="266" t="str">
        <f>IF(PREMIOS!$B13="","",PREMIOS!$B13)</f>
        <v>04</v>
      </c>
      <c r="H2" s="267"/>
      <c r="I2" s="266">
        <f>IF(PREMIOS!$B17="","",PREMIOS!$B17)</f>
        <v>40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59950</v>
      </c>
      <c r="D4" s="78">
        <f t="shared" ref="D4:J27" si="0">IF(C4="","",0)</f>
        <v>0</v>
      </c>
      <c r="E4" s="205">
        <v>21450</v>
      </c>
      <c r="F4" s="78">
        <f t="shared" si="0"/>
        <v>0</v>
      </c>
      <c r="G4" s="188">
        <v>5700</v>
      </c>
      <c r="H4" s="78">
        <f t="shared" ref="H4:H27" si="1">IF(G4="","",0)</f>
        <v>0</v>
      </c>
      <c r="I4" s="188">
        <v>1300</v>
      </c>
      <c r="J4" s="78">
        <f t="shared" si="0"/>
        <v>0</v>
      </c>
      <c r="L4" s="42">
        <f t="shared" ref="L4:L8" si="2">+C4+E4+G4+I4</f>
        <v>88400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10000</v>
      </c>
      <c r="D5" s="30">
        <f t="shared" si="0"/>
        <v>0</v>
      </c>
      <c r="E5" s="206">
        <v>7300</v>
      </c>
      <c r="F5" s="30">
        <f t="shared" si="0"/>
        <v>0</v>
      </c>
      <c r="G5" s="179"/>
      <c r="H5" s="30" t="str">
        <f t="shared" si="1"/>
        <v/>
      </c>
      <c r="I5" s="179">
        <v>1500</v>
      </c>
      <c r="J5" s="30">
        <v>500</v>
      </c>
      <c r="L5" s="42">
        <f t="shared" si="2"/>
        <v>18800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7" t="str">
        <f>Vendedor5!$B$2</f>
        <v>YOYO</v>
      </c>
      <c r="C8" s="179">
        <v>68550</v>
      </c>
      <c r="D8" s="30">
        <v>800</v>
      </c>
      <c r="E8" s="206">
        <v>55300</v>
      </c>
      <c r="F8" s="30">
        <f t="shared" si="0"/>
        <v>0</v>
      </c>
      <c r="G8" s="179">
        <v>5400</v>
      </c>
      <c r="H8" s="30">
        <f t="shared" si="1"/>
        <v>0</v>
      </c>
      <c r="I8" s="179">
        <v>22950</v>
      </c>
      <c r="J8" s="30">
        <v>700</v>
      </c>
      <c r="L8" s="42">
        <f t="shared" si="2"/>
        <v>152200</v>
      </c>
      <c r="M8" s="42">
        <f t="shared" si="3"/>
        <v>1500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7" t="str">
        <f>Vendedor7!$B$2</f>
        <v>PIKIS</v>
      </c>
      <c r="C10" s="179">
        <f>38950+75400</f>
        <v>114350</v>
      </c>
      <c r="D10" s="30">
        <v>400</v>
      </c>
      <c r="E10" s="206">
        <f>32750+46250</f>
        <v>79000</v>
      </c>
      <c r="F10" s="30">
        <f t="shared" si="0"/>
        <v>0</v>
      </c>
      <c r="G10" s="179">
        <f>15000+39250</f>
        <v>54250</v>
      </c>
      <c r="H10" s="30">
        <f>500+250</f>
        <v>750</v>
      </c>
      <c r="I10" s="179">
        <f>58150+56950</f>
        <v>115100</v>
      </c>
      <c r="J10" s="30">
        <f>750+450</f>
        <v>1200</v>
      </c>
      <c r="L10" s="42">
        <f t="shared" si="5"/>
        <v>362700</v>
      </c>
      <c r="M10" s="42">
        <f t="shared" si="3"/>
        <v>2350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25250</v>
      </c>
      <c r="D12" s="30">
        <f t="shared" si="0"/>
        <v>0</v>
      </c>
      <c r="E12" s="206">
        <v>25650</v>
      </c>
      <c r="F12" s="30">
        <v>500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50900</v>
      </c>
      <c r="M12" s="42">
        <f t="shared" si="3"/>
        <v>0</v>
      </c>
    </row>
    <row r="13" spans="1:13" x14ac:dyDescent="0.35">
      <c r="A13" s="47">
        <v>10</v>
      </c>
      <c r="B13" s="177" t="str">
        <f>Vendedor10!$B$2</f>
        <v>MARIALIZ</v>
      </c>
      <c r="C13" s="179">
        <v>20600</v>
      </c>
      <c r="D13" s="30">
        <f t="shared" si="0"/>
        <v>0</v>
      </c>
      <c r="E13" s="206">
        <v>6800</v>
      </c>
      <c r="F13" s="30">
        <f t="shared" si="0"/>
        <v>0</v>
      </c>
      <c r="G13" s="179">
        <v>12400</v>
      </c>
      <c r="H13" s="30">
        <f t="shared" si="0"/>
        <v>0</v>
      </c>
      <c r="I13" s="179"/>
      <c r="J13" s="30" t="str">
        <f t="shared" si="0"/>
        <v/>
      </c>
      <c r="L13" s="42">
        <f t="shared" si="5"/>
        <v>39800</v>
      </c>
      <c r="M13" s="42">
        <f t="shared" si="3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3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7" t="str">
        <f>Vendedor13!$B$2</f>
        <v>MINERO</v>
      </c>
      <c r="C16" s="179"/>
      <c r="D16" s="30" t="str">
        <f t="shared" si="0"/>
        <v/>
      </c>
      <c r="E16" s="206">
        <v>1900</v>
      </c>
      <c r="F16" s="30">
        <f t="shared" si="0"/>
        <v>0</v>
      </c>
      <c r="G16" s="179">
        <v>2800</v>
      </c>
      <c r="H16" s="30">
        <f t="shared" si="0"/>
        <v>0</v>
      </c>
      <c r="I16" s="179">
        <v>3700</v>
      </c>
      <c r="J16" s="30">
        <f t="shared" si="0"/>
        <v>0</v>
      </c>
      <c r="L16" s="42">
        <f t="shared" si="5"/>
        <v>8400</v>
      </c>
      <c r="M16" s="42" t="e">
        <f t="shared" si="3"/>
        <v>#VALUE!</v>
      </c>
    </row>
    <row r="17" spans="1:13" x14ac:dyDescent="0.35">
      <c r="A17" s="47">
        <v>14</v>
      </c>
      <c r="B17" s="177" t="str">
        <f>Vendedor14!$B$2</f>
        <v>EDUARDO TIEMPOS LICORERA</v>
      </c>
      <c r="C17" s="179">
        <v>64150</v>
      </c>
      <c r="D17" s="30">
        <v>550</v>
      </c>
      <c r="E17" s="206">
        <v>76350</v>
      </c>
      <c r="F17" s="30">
        <v>200</v>
      </c>
      <c r="G17" s="179">
        <v>50250</v>
      </c>
      <c r="H17" s="30">
        <v>650</v>
      </c>
      <c r="I17" s="179">
        <v>131950</v>
      </c>
      <c r="J17" s="30">
        <v>2350</v>
      </c>
      <c r="L17" s="42">
        <f t="shared" si="5"/>
        <v>322700</v>
      </c>
      <c r="M17" s="42">
        <f t="shared" si="3"/>
        <v>3750</v>
      </c>
    </row>
    <row r="18" spans="1:13" x14ac:dyDescent="0.35">
      <c r="A18" s="47">
        <v>15</v>
      </c>
      <c r="B18" s="177" t="str">
        <f>Vendedor15!$B$2</f>
        <v>EDUARDO PUESTO CENTRO</v>
      </c>
      <c r="C18" s="179">
        <v>60100</v>
      </c>
      <c r="D18" s="30">
        <v>150</v>
      </c>
      <c r="E18" s="206">
        <v>37850</v>
      </c>
      <c r="F18" s="30">
        <f t="shared" si="0"/>
        <v>0</v>
      </c>
      <c r="G18" s="179">
        <v>29800</v>
      </c>
      <c r="H18" s="30">
        <f t="shared" si="0"/>
        <v>0</v>
      </c>
      <c r="I18" s="179">
        <v>11200</v>
      </c>
      <c r="J18" s="30">
        <v>250</v>
      </c>
      <c r="L18" s="42">
        <f t="shared" si="5"/>
        <v>138950</v>
      </c>
      <c r="M18" s="42">
        <f t="shared" si="3"/>
        <v>400</v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422950</v>
      </c>
      <c r="D32" s="44">
        <f t="shared" si="7"/>
        <v>1900</v>
      </c>
      <c r="E32" s="43">
        <f t="shared" si="7"/>
        <v>311600</v>
      </c>
      <c r="F32" s="44">
        <f t="shared" si="7"/>
        <v>700</v>
      </c>
      <c r="G32" s="43">
        <f t="shared" si="7"/>
        <v>160600</v>
      </c>
      <c r="H32" s="44">
        <f t="shared" si="7"/>
        <v>1400</v>
      </c>
      <c r="I32" s="43">
        <f t="shared" si="7"/>
        <v>287700</v>
      </c>
      <c r="J32" s="44">
        <f t="shared" si="7"/>
        <v>5000</v>
      </c>
      <c r="L32" s="95">
        <f>SUM(L9:L31)</f>
        <v>923450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08 Blanca</v>
      </c>
      <c r="D2" s="267"/>
      <c r="E2" s="266" t="str">
        <f>IF(E33=0,"",CONCATENATE(PREMIOS!$B11," ",PREMIOS!$B12))</f>
        <v>96 Blanca</v>
      </c>
      <c r="F2" s="267"/>
      <c r="G2" s="266" t="str">
        <f>IF(G33=0,"",CONCATENATE(PREMIOS!$B15," ",PREMIOS!$B16))</f>
        <v>27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26900+5100</f>
        <v>32000</v>
      </c>
      <c r="D10" s="30">
        <f t="shared" si="0"/>
        <v>0</v>
      </c>
      <c r="E10" s="179">
        <f>19200+5250</f>
        <v>24450</v>
      </c>
      <c r="F10" s="30">
        <f t="shared" si="0"/>
        <v>0</v>
      </c>
      <c r="G10" s="179">
        <f>24550+7950</f>
        <v>32500</v>
      </c>
      <c r="H10" s="30">
        <f t="shared" si="0"/>
        <v>0</v>
      </c>
      <c r="J10" s="42">
        <f t="shared" si="3"/>
        <v>88950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/>
      <c r="D12" s="30" t="str">
        <f t="shared" si="0"/>
        <v/>
      </c>
      <c r="E12" s="179"/>
      <c r="F12" s="30" t="str">
        <f t="shared" si="1"/>
        <v/>
      </c>
      <c r="G12" s="179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1000</v>
      </c>
      <c r="D16" s="194">
        <f t="shared" si="0"/>
        <v>0</v>
      </c>
      <c r="E16" s="193">
        <v>0</v>
      </c>
      <c r="F16" s="194">
        <f t="shared" si="1"/>
        <v>0</v>
      </c>
      <c r="G16" s="193">
        <v>0</v>
      </c>
      <c r="H16" s="194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>
        <v>25100</v>
      </c>
      <c r="D17" s="30">
        <v>500</v>
      </c>
      <c r="E17" s="179">
        <v>18000</v>
      </c>
      <c r="F17" s="30">
        <f t="shared" si="0"/>
        <v>0</v>
      </c>
      <c r="G17" s="179">
        <v>23150</v>
      </c>
      <c r="H17" s="30">
        <v>800</v>
      </c>
      <c r="J17" s="42">
        <f t="shared" si="3"/>
        <v>66250</v>
      </c>
      <c r="K17" s="42">
        <f t="shared" si="4"/>
        <v>1300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12400</v>
      </c>
      <c r="D18" s="30">
        <v>150</v>
      </c>
      <c r="E18" s="179">
        <v>12300</v>
      </c>
      <c r="F18" s="30">
        <f t="shared" si="0"/>
        <v>0</v>
      </c>
      <c r="G18" s="179">
        <v>15800</v>
      </c>
      <c r="H18" s="30">
        <v>1000</v>
      </c>
      <c r="J18" s="42">
        <f t="shared" si="3"/>
        <v>40500</v>
      </c>
      <c r="K18" s="42">
        <f t="shared" si="4"/>
        <v>1150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70500</v>
      </c>
      <c r="D33" s="44">
        <f t="shared" si="7"/>
        <v>650</v>
      </c>
      <c r="E33" s="43">
        <f t="shared" si="7"/>
        <v>54750</v>
      </c>
      <c r="F33" s="44">
        <f t="shared" si="7"/>
        <v>0</v>
      </c>
      <c r="G33" s="43">
        <f t="shared" si="7"/>
        <v>71450</v>
      </c>
      <c r="H33" s="44">
        <f t="shared" si="7"/>
        <v>1800</v>
      </c>
      <c r="J33" s="45">
        <f>SUM(J4:J32)</f>
        <v>196700</v>
      </c>
      <c r="K33" s="95">
        <f>SUM(K4:K32)</f>
        <v>2450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29</v>
      </c>
      <c r="D2" s="267"/>
      <c r="E2" s="266">
        <f>IF(PREMIOS!$C19="","",PREMIOS!$C19)</f>
        <v>93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11150</v>
      </c>
      <c r="D4" s="78">
        <f t="shared" ref="D4:F27" si="0">IF(C4="","",0)</f>
        <v>0</v>
      </c>
      <c r="E4" s="188">
        <v>400</v>
      </c>
      <c r="F4" s="78">
        <f t="shared" si="0"/>
        <v>0</v>
      </c>
      <c r="H4" s="42">
        <f>+C4+E4</f>
        <v>11550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1700</v>
      </c>
      <c r="D5" s="30">
        <f t="shared" si="0"/>
        <v>0</v>
      </c>
      <c r="E5" s="179"/>
      <c r="F5" s="30" t="str">
        <f t="shared" ref="F5:F27" si="1">IF(E5="","",0)</f>
        <v/>
      </c>
      <c r="H5" s="42">
        <f t="shared" ref="H5:H32" si="2">+C5+E5</f>
        <v>1700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59050</v>
      </c>
      <c r="D8" s="30">
        <f t="shared" si="0"/>
        <v>0</v>
      </c>
      <c r="E8" s="193">
        <v>21500</v>
      </c>
      <c r="F8" s="194">
        <f t="shared" si="1"/>
        <v>0</v>
      </c>
      <c r="H8" s="42">
        <f t="shared" si="2"/>
        <v>80550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f>12600+21650</f>
        <v>34250</v>
      </c>
      <c r="D10" s="30">
        <f t="shared" si="0"/>
        <v>0</v>
      </c>
      <c r="E10" s="179">
        <v>23100</v>
      </c>
      <c r="F10" s="194">
        <f t="shared" si="1"/>
        <v>0</v>
      </c>
      <c r="H10" s="42">
        <f t="shared" si="2"/>
        <v>57350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29050</v>
      </c>
      <c r="D12" s="30">
        <f t="shared" si="0"/>
        <v>0</v>
      </c>
      <c r="E12" s="193"/>
      <c r="F12" s="30" t="str">
        <f t="shared" si="0"/>
        <v/>
      </c>
      <c r="H12" s="42">
        <f t="shared" si="2"/>
        <v>29050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3900</v>
      </c>
      <c r="D16" s="194">
        <f t="shared" si="0"/>
        <v>0</v>
      </c>
      <c r="E16" s="193">
        <v>800</v>
      </c>
      <c r="F16" s="194">
        <f t="shared" si="0"/>
        <v>0</v>
      </c>
      <c r="H16" s="42">
        <f t="shared" si="2"/>
        <v>4700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>
        <v>92200</v>
      </c>
      <c r="D17" s="194">
        <v>100</v>
      </c>
      <c r="E17" s="179">
        <v>34150</v>
      </c>
      <c r="F17" s="30">
        <f t="shared" si="0"/>
        <v>0</v>
      </c>
      <c r="H17" s="42">
        <f t="shared" si="2"/>
        <v>126350</v>
      </c>
      <c r="I17" s="42">
        <f t="shared" si="3"/>
        <v>100</v>
      </c>
    </row>
    <row r="18" spans="1:9" x14ac:dyDescent="0.35">
      <c r="A18" s="47">
        <v>15</v>
      </c>
      <c r="B18" s="177" t="str">
        <f>Vendedor15!$B$2</f>
        <v>EDUARDO PUESTO CENTRO</v>
      </c>
      <c r="C18" s="179">
        <v>46750</v>
      </c>
      <c r="D18" s="194">
        <v>400</v>
      </c>
      <c r="E18" s="179">
        <v>28600</v>
      </c>
      <c r="F18" s="30">
        <v>200</v>
      </c>
      <c r="H18" s="42">
        <f t="shared" si="2"/>
        <v>75350</v>
      </c>
      <c r="I18" s="42">
        <f t="shared" si="3"/>
        <v>600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278050</v>
      </c>
      <c r="D33" s="44">
        <f>SUM(D4:D32)</f>
        <v>500</v>
      </c>
      <c r="E33" s="43">
        <f>SUM(E4:E32)</f>
        <v>108550</v>
      </c>
      <c r="F33" s="44">
        <f>SUM(F4:F32)</f>
        <v>200</v>
      </c>
      <c r="H33" s="95">
        <f>SUM(H4:H32)</f>
        <v>386600</v>
      </c>
      <c r="I33" s="95">
        <f>SUM(I4:I32)</f>
        <v>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91</v>
      </c>
      <c r="D2" s="267"/>
      <c r="E2" s="266">
        <f>IF(PREMIOS!$C20="","",PREMIOS!$C20)</f>
        <v>45</v>
      </c>
      <c r="F2" s="267"/>
      <c r="G2" s="266">
        <f>IF(PREMIOS!$D20="","",PREMIOS!$D20)</f>
        <v>16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6200</v>
      </c>
      <c r="D10" s="194">
        <v>300</v>
      </c>
      <c r="E10" s="179">
        <v>400</v>
      </c>
      <c r="F10" s="30">
        <f t="shared" si="0"/>
        <v>0</v>
      </c>
      <c r="G10" s="179">
        <v>3750</v>
      </c>
      <c r="H10" s="194">
        <f t="shared" si="0"/>
        <v>0</v>
      </c>
      <c r="J10" s="42">
        <f t="shared" si="3"/>
        <v>10350</v>
      </c>
      <c r="K10" s="42">
        <f t="shared" si="4"/>
        <v>300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>
        <v>1000</v>
      </c>
      <c r="H16" s="194">
        <f>IF(G16="","",0)</f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>
        <v>63850</v>
      </c>
      <c r="D17" s="194">
        <v>450</v>
      </c>
      <c r="E17" s="193">
        <v>11600</v>
      </c>
      <c r="F17" s="194">
        <v>500</v>
      </c>
      <c r="G17" s="193">
        <v>16300</v>
      </c>
      <c r="H17" s="194">
        <f t="shared" si="2"/>
        <v>0</v>
      </c>
      <c r="J17" s="42">
        <f t="shared" si="3"/>
        <v>91750</v>
      </c>
      <c r="K17" s="42">
        <f t="shared" si="4"/>
        <v>950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26050</v>
      </c>
      <c r="D18" s="194">
        <v>700</v>
      </c>
      <c r="E18" s="179">
        <v>11600</v>
      </c>
      <c r="F18" s="30">
        <f t="shared" si="1"/>
        <v>0</v>
      </c>
      <c r="G18" s="179">
        <v>6800</v>
      </c>
      <c r="H18" s="30">
        <v>150</v>
      </c>
      <c r="J18" s="42">
        <f t="shared" si="3"/>
        <v>44450</v>
      </c>
      <c r="K18" s="42">
        <f t="shared" si="4"/>
        <v>850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96100</v>
      </c>
      <c r="D33" s="44">
        <f t="shared" si="6"/>
        <v>1450</v>
      </c>
      <c r="E33" s="43">
        <f t="shared" si="6"/>
        <v>23600</v>
      </c>
      <c r="F33" s="44">
        <f t="shared" si="6"/>
        <v>500</v>
      </c>
      <c r="G33" s="43">
        <f t="shared" si="6"/>
        <v>27850</v>
      </c>
      <c r="H33" s="44">
        <f t="shared" si="6"/>
        <v>150</v>
      </c>
      <c r="J33" s="45">
        <f>SUM(J4:J32)</f>
        <v>147550</v>
      </c>
      <c r="K33" s="95">
        <f>SUM(K4:K32)</f>
        <v>2100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8"/>
  <sheetViews>
    <sheetView showGridLines="0" topLeftCell="A4" zoomScale="90" zoomScaleNormal="90" workbookViewId="0">
      <selection activeCell="C18" sqref="C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09</v>
      </c>
      <c r="D2" s="267"/>
      <c r="E2" s="266">
        <f>IF(PREMIOS!$C21="","",PREMIOS!$C21)</f>
        <v>82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47750</v>
      </c>
      <c r="D10" s="30">
        <v>6000</v>
      </c>
      <c r="E10" s="179">
        <v>23750</v>
      </c>
      <c r="F10" s="30">
        <v>2000</v>
      </c>
      <c r="H10" s="42">
        <f t="shared" si="2"/>
        <v>71500</v>
      </c>
      <c r="I10" s="42">
        <f t="shared" si="3"/>
        <v>8000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47750</v>
      </c>
      <c r="D33" s="44">
        <f>SUM(D4:D32)</f>
        <v>6000</v>
      </c>
      <c r="E33" s="43">
        <f>SUM(E4:E32)</f>
        <v>23750</v>
      </c>
      <c r="F33" s="44">
        <f>SUM(F4:F32)</f>
        <v>2000</v>
      </c>
      <c r="H33" s="45">
        <f>SUM(H4:H32)</f>
        <v>71500</v>
      </c>
      <c r="I33" s="95">
        <f>SUM(I4:I32)</f>
        <v>8000</v>
      </c>
    </row>
    <row r="34" spans="3:9" ht="15" customHeight="1" x14ac:dyDescent="0.35"/>
    <row r="35" spans="3:9" x14ac:dyDescent="0.35">
      <c r="D35">
        <f>+C33*3.5%</f>
        <v>1671.2500000000002</v>
      </c>
    </row>
    <row r="36" spans="3:9" x14ac:dyDescent="0.35">
      <c r="C36" s="43">
        <f>+C33-D36</f>
        <v>43421.25</v>
      </c>
      <c r="D36" s="43">
        <f>+D33-D35</f>
        <v>4328.75</v>
      </c>
    </row>
    <row r="37" spans="3:9" x14ac:dyDescent="0.35">
      <c r="C37" s="43">
        <f>+C33-C36</f>
        <v>4328.75</v>
      </c>
      <c r="D37">
        <v>1671</v>
      </c>
    </row>
    <row r="38" spans="3:9" x14ac:dyDescent="0.35">
      <c r="D38" s="43">
        <f>+D33-D37</f>
        <v>4329</v>
      </c>
    </row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2026-04-17T16:33:06Z</dcterms:modified>
  <dc:language>es-CR</dc:language>
</cp:coreProperties>
</file>
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154" documentId="13_ncr:1_{EB1C27A7-1EBD-4619-B18B-0BCA469E8746}" xr6:coauthVersionLast="47" xr6:coauthVersionMax="47" xr10:uidLastSave="{E652636E-358B-4C77-857C-735C3B65F88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I5" i="69"/>
  <c r="B2" i="15"/>
  <c r="B2" i="14"/>
  <c r="B2" i="16"/>
  <c r="B2" i="21"/>
  <c r="B2" i="22"/>
  <c r="K12" i="69"/>
  <c r="H10" i="64"/>
  <c r="G10" i="64"/>
  <c r="E10" i="65"/>
  <c r="H10" i="62"/>
  <c r="G10" i="62"/>
  <c r="E10" i="62"/>
  <c r="C10" i="62"/>
  <c r="J10" i="61"/>
  <c r="I10" i="61"/>
  <c r="G10" i="61"/>
  <c r="E10" i="61"/>
  <c r="D10" i="61"/>
  <c r="C10" i="61"/>
  <c r="H10" i="60"/>
  <c r="G10" i="60"/>
  <c r="H17" i="60"/>
  <c r="G17" i="60"/>
  <c r="H18" i="60"/>
  <c r="G18" i="60"/>
  <c r="E17" i="60"/>
  <c r="E10" i="60"/>
  <c r="E18" i="60"/>
  <c r="C10" i="60"/>
  <c r="C17" i="60"/>
  <c r="C18" i="60"/>
  <c r="D18" i="64" l="1"/>
  <c r="D12" i="65"/>
  <c r="D11" i="65"/>
  <c r="D10" i="65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4" i="23"/>
  <c r="K4" i="23"/>
  <c r="J4" i="23"/>
  <c r="F26" i="19"/>
  <c r="L10" i="19" s="1"/>
  <c r="F25" i="19"/>
  <c r="F24" i="19"/>
  <c r="F23" i="19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9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D10" i="64"/>
  <c r="F17" i="64"/>
  <c r="F18" i="62"/>
  <c r="F10" i="62"/>
  <c r="D5" i="61"/>
  <c r="F16" i="61"/>
  <c r="D6" i="60"/>
  <c r="F18" i="60"/>
  <c r="F16" i="60"/>
  <c r="F15" i="60"/>
  <c r="F14" i="60"/>
  <c r="F35" i="60" s="1"/>
  <c r="F13" i="60"/>
  <c r="F12" i="60"/>
  <c r="F11" i="60"/>
  <c r="F10" i="60"/>
  <c r="F9" i="60"/>
  <c r="F8" i="60"/>
  <c r="F7" i="60"/>
  <c r="F6" i="60"/>
  <c r="F5" i="60"/>
  <c r="F4" i="60"/>
  <c r="H16" i="60"/>
  <c r="H15" i="60"/>
  <c r="H14" i="60"/>
  <c r="H12" i="60"/>
  <c r="H11" i="60"/>
  <c r="H9" i="60"/>
  <c r="H8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5" i="60" l="1"/>
  <c r="H36" i="60"/>
  <c r="F36" i="60"/>
  <c r="D36" i="60"/>
  <c r="D35" i="60"/>
  <c r="E7" i="16"/>
  <c r="H34" i="60"/>
  <c r="F34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E11" i="16"/>
  <c r="L6" i="25"/>
  <c r="K6" i="25"/>
  <c r="L6" i="22"/>
  <c r="K6" i="22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10" i="61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C17" i="73"/>
  <c r="F17" i="73" s="1"/>
  <c r="J10" i="8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19" l="1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<sst xmlns="http://schemas.openxmlformats.org/spreadsheetml/2006/main" count="1293" uniqueCount="160">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</sst>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195250</v>
      </c>
      <c r="C3" s="9">
        <f>+HojaTICA!K4+HojaNICA!M4+HojaREVENTADO!K4+HojaPrimera!I4+HojaHonduras!K4+HojaDominicana!I4+HojaPANA!G4</f>
        <v>25400</v>
      </c>
      <c r="D3" s="9">
        <f>+HojaTICA!N4+HojaNICA!P4+HojaREVENTADO!O4+HojaPrimera!L4+HojaHonduras!N4+HojaDominicana!L4+HojaPANA!J4</f>
        <v>99500</v>
      </c>
      <c r="F3" s="10">
        <f t="shared" ref="F3:F27" si="0">+B3-C3-D3</f>
        <v>70350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156550</v>
      </c>
      <c r="C4" s="9">
        <f>+HojaTICA!K5+HojaNICA!M5+HojaREVENTADO!K5+HojaPrimera!I5+HojaHonduras!K5+HojaDominicana!I5+HojaPANA!G5</f>
        <v>20350</v>
      </c>
      <c r="D4" s="9">
        <f>+HojaTICA!N5+HojaNICA!P5+HojaREVENTADO!O5+HojaPrimera!L5+HojaHonduras!N5+HojaDominicana!L5+HojaPANA!J5</f>
        <v>187000</v>
      </c>
      <c r="F4" s="14">
        <f t="shared" si="0"/>
        <v>-50800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255900</v>
      </c>
      <c r="C7" s="9">
        <f>+HojaTICA!K8+HojaNICA!M8+HojaREVENTADO!K8+HojaPrimera!I8+HojaHonduras!K8+HojaDominicana!I8+HojaPANA!G8</f>
        <v>30700</v>
      </c>
      <c r="D7" s="9">
        <f>+HojaTICA!N8+HojaNICA!P8+HojaREVENTADO!O8+HojaPrimera!L8+HojaHonduras!N8+HojaDominicana!L8+HojaPANA!J8</f>
        <v>141000</v>
      </c>
      <c r="F7" s="14">
        <f t="shared" si="0"/>
        <v>84200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1087050</v>
      </c>
      <c r="C9" s="9">
        <f>+HojaTICA!K10+HojaNICA!M10+HojaREVENTADO!K10+HojaPrimera!I10+HojaHonduras!K10+HojaDominicana!I10+HojaPANA!G10</f>
        <v>128640</v>
      </c>
      <c r="D9" s="9">
        <f>+HojaTICA!N10+HojaNICA!P10+HojaREVENTADO!O10+HojaPrimera!L10+HojaHonduras!N10+HojaDominicana!L10+HojaPANA!J10</f>
        <v>535500</v>
      </c>
      <c r="F9" s="14">
        <f t="shared" si="0"/>
        <v>422910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27300</v>
      </c>
      <c r="C10" s="9">
        <f>+HojaTICA!K11+HojaNICA!M11+HojaREVENTADO!K11+HojaPrimera!I11+HojaHonduras!K11+HojaDominicana!I11+HojaPANA!G11</f>
        <v>3300</v>
      </c>
      <c r="D10" s="9">
        <f>+HojaTICA!N11+HojaNICA!P11+HojaREVENTADO!O11+HojaPrimera!L11+HojaHonduras!N11+HojaDominicana!L11+HojaPANA!J11</f>
        <v>0</v>
      </c>
      <c r="F10" s="14">
        <f t="shared" si="0"/>
        <v>24000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88900</v>
      </c>
      <c r="C11" s="9">
        <f>+HojaTICA!K12+HojaNICA!M12+HojaREVENTADO!K12+HojaPrimera!I12+HojaHonduras!K12+HojaDominicana!I12+HojaPANA!G12</f>
        <v>10620</v>
      </c>
      <c r="D11" s="9">
        <f>+HojaTICA!N12+HojaNICA!P12+HojaREVENTADO!O12+HojaPrimera!L12+HojaHonduras!N12+HojaDominicana!L12+HojaPANA!J12</f>
        <v>29750</v>
      </c>
      <c r="F11" s="14">
        <f t="shared" si="0"/>
        <v>48530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161550</v>
      </c>
      <c r="C12" s="9">
        <f>+HojaTICA!K13+HojaNICA!M13+HojaREVENTADO!K13+HojaPrimera!I13+HojaHonduras!K13+HojaDominicana!I13+HojaPANA!G13</f>
        <v>19400</v>
      </c>
      <c r="D12" s="9">
        <f>+HojaTICA!N13+HojaNICA!P13+HojaREVENTADO!O13+HojaPrimera!L13+HojaHonduras!N13+HojaDominicana!L13+HojaPANA!J13</f>
        <v>121000</v>
      </c>
      <c r="F12" s="14">
        <f t="shared" si="0"/>
        <v>21150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75400</v>
      </c>
      <c r="C13" s="9">
        <f>+HojaTICA!K14+HojaNICA!M14+HojaREVENTADO!K14+HojaPrimera!I14+HojaHonduras!K14+HojaDominicana!I14+HojaPANA!G14</f>
        <v>11300</v>
      </c>
      <c r="D13" s="9">
        <f>+HojaTICA!N14+HojaNICA!P14+HojaREVENTADO!O14+HojaPrimera!L14+HojaHonduras!N14+HojaDominicana!L14+HojaPANA!J14</f>
        <v>0</v>
      </c>
      <c r="F13" s="14">
        <f t="shared" si="0"/>
        <v>64100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126500</v>
      </c>
      <c r="C15" s="9">
        <f>+HojaTICA!K16+HojaNICA!M16+HojaREVENTADO!K16+HojaPrimera!I16+HojaHonduras!K16+HojaDominicana!I16+HojaPANA!G16</f>
        <v>14950</v>
      </c>
      <c r="D15" s="9">
        <f>+HojaTICA!N16+HojaNICA!P16+HojaREVENTADO!O16+HojaPrimera!L16+HojaHonduras!N16+HojaDominicana!L16+HojaPANA!J16</f>
        <v>0</v>
      </c>
      <c r="F15" s="14">
        <f t="shared" si="0"/>
        <v>111550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1029900</v>
      </c>
      <c r="C16" s="9">
        <f>+HojaTICA!K17+HojaNICA!M17+HojaREVENTADO!K17+HojaPrimera!I17+HojaHonduras!K17+HojaDominicana!I17+HojaPANA!G17</f>
        <v>122230</v>
      </c>
      <c r="D16" s="9">
        <f>+HojaTICA!N17+HojaNICA!P17+HojaREVENTADO!O17+HojaPrimera!L17+HojaHonduras!N17+HojaDominicana!L17+HojaPANA!J17</f>
        <v>828750</v>
      </c>
      <c r="F16" s="14">
        <f t="shared" si="0"/>
        <v>78920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502150</v>
      </c>
      <c r="C17" s="9">
        <f>+HojaTICA!K18+HojaNICA!M18+HojaREVENTADO!K18+HojaPrimera!I18+HojaHonduras!K18+HojaDominicana!I18+HojaPANA!G18</f>
        <v>59205</v>
      </c>
      <c r="D17" s="9">
        <f>+HojaTICA!N18+HojaNICA!P18+HojaREVENTADO!O18+HojaPrimera!L18+HojaHonduras!N18+HojaDominicana!L18+HojaPANA!J18</f>
        <v>335750</v>
      </c>
      <c r="F17" s="14">
        <f t="shared" si="0"/>
        <v>107195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3706450</v>
      </c>
      <c r="C28" s="17">
        <f t="shared" si="1"/>
        <v>446095</v>
      </c>
      <c r="D28" s="18">
        <f t="shared" si="1"/>
        <v>2278250</v>
      </c>
      <c r="F28" s="20">
        <f>SUM(F3:F27)</f>
        <v>982105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31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85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87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47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77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82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13</v>
      </c>
      <c r="C19" s="132">
        <v>21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95</v>
      </c>
      <c r="C20" s="163">
        <v>19</v>
      </c>
      <c r="D20" s="166">
        <v>28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50</v>
      </c>
      <c r="C21" s="164">
        <v>74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12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85</v>
      </c>
      <c r="D2" s="268"/>
      <c r="E2" s="267">
        <f>DigitaTICA!E2</f>
        <v>47</v>
      </c>
      <c r="F2" s="268"/>
      <c r="G2" s="267">
        <f>DigitaTICA!G2</f>
        <v>77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46550</v>
      </c>
      <c r="D4" s="30">
        <f>IF(Vendedor1!$E$7="",0,Vendedor1!$E$7)</f>
        <v>200</v>
      </c>
      <c r="E4" s="180">
        <f>IF(Vendedor1!$C$11="",0,Vendedor1!$C$11)</f>
        <v>19350</v>
      </c>
      <c r="F4" s="30">
        <f>IF(Vendedor1!$E$11="",0,Vendedor1!$E$11)</f>
        <v>0</v>
      </c>
      <c r="G4" s="180">
        <f>IF(Vendedor1!$C$15="",0,Vendedor1!$C$15)</f>
        <v>80500</v>
      </c>
      <c r="H4" s="30">
        <f>IF(Vendedor1!$E$15="",0,Vendedor1!$E$15)</f>
        <v>500</v>
      </c>
      <c r="J4" s="42">
        <f t="shared" ref="J4:J7" si="0">+C4+E4+G4</f>
        <v>146400</v>
      </c>
      <c r="K4" s="41">
        <f>MROUND(J4*Vendedor1!J$9,50)</f>
        <v>19050</v>
      </c>
      <c r="L4" s="42">
        <f t="shared" ref="L4:L7" si="1">+D4+F4+H4</f>
        <v>700</v>
      </c>
      <c r="M4" s="42">
        <f t="shared" ref="M4:M7" si="2">+L4*85</f>
        <v>59500</v>
      </c>
      <c r="N4" s="42">
        <f>Vendedor1!$F$7+Vendedor1!$F$11+Vendedor1!$F$15</f>
        <v>59500</v>
      </c>
      <c r="P4" s="42">
        <f t="shared" ref="P4:P7" si="3">+J4-K4-N4</f>
        <v>67850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41550</v>
      </c>
      <c r="D5" s="30">
        <f>IF(Vendedor2!$E$7="",0,Vendedor2!$E$7)</f>
        <v>0</v>
      </c>
      <c r="E5" s="180">
        <f>IF(Vendedor2!$C$11="",0,Vendedor2!$C$11)</f>
        <v>27000</v>
      </c>
      <c r="F5" s="30">
        <f>IF(Vendedor2!$E$11="",0,Vendedor2!$E$11)</f>
        <v>0</v>
      </c>
      <c r="G5" s="180">
        <f>IF(Vendedor2!$C$15="",0,Vendedor2!$C$15)</f>
        <v>71350</v>
      </c>
      <c r="H5" s="30">
        <f>IF(Vendedor2!$E$15="",0,Vendedor2!$E$15)</f>
        <v>2200</v>
      </c>
      <c r="J5" s="42">
        <f t="shared" si="0"/>
        <v>139900</v>
      </c>
      <c r="K5" s="41">
        <f>MROUND(J5*Vendedor2!J$9,50)</f>
        <v>18200</v>
      </c>
      <c r="L5" s="42">
        <f t="shared" si="1"/>
        <v>2200</v>
      </c>
      <c r="M5" s="42">
        <f t="shared" si="2"/>
        <v>187000</v>
      </c>
      <c r="N5" s="42">
        <f>Vendedor2!$F$7+Vendedor2!$F$11+Vendedor2!$F$15</f>
        <v>187000</v>
      </c>
      <c r="P5" s="42">
        <f t="shared" si="3"/>
        <v>-65300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48950</v>
      </c>
      <c r="D8" s="30">
        <f>IF(Vendedor5!$E$7="",0,Vendedor5!$E$7)</f>
        <v>1000</v>
      </c>
      <c r="E8" s="180">
        <f>IF(Vendedor5!$C$11="",0,Vendedor5!$C$11)</f>
        <v>32900</v>
      </c>
      <c r="F8" s="30">
        <f>IF(Vendedor5!$E$11="",0,Vendedor5!$E$11)</f>
        <v>0</v>
      </c>
      <c r="G8" s="180">
        <f>IF(Vendedor5!$C$15="",0,Vendedor5!$C$15)</f>
        <v>56350</v>
      </c>
      <c r="H8" s="30">
        <f>IF(Vendedor5!$E$15="",0,Vendedor5!$E$15)</f>
        <v>0</v>
      </c>
      <c r="J8" s="42">
        <f t="shared" ref="J8" si="4">+C8+E8+G8</f>
        <v>138200</v>
      </c>
      <c r="K8" s="41">
        <f>MROUND(J8*Vendedor5!J$11,50)</f>
        <v>16600</v>
      </c>
      <c r="L8" s="42">
        <f t="shared" ref="L8" si="5">+D8+F8+H8</f>
        <v>1000</v>
      </c>
      <c r="M8" s="42">
        <f t="shared" ref="M8" si="6">+L8*85</f>
        <v>85000</v>
      </c>
      <c r="N8" s="42">
        <f>Vendedor5!$F$7+Vendedor5!$F$11+Vendedor5!$F$15</f>
        <v>85000</v>
      </c>
      <c r="P8" s="42">
        <f t="shared" ref="P8" si="7">+J8-K8-N8</f>
        <v>36600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168750</v>
      </c>
      <c r="D10" s="30">
        <f>IF(Vendedor7!$E$7="",0,Vendedor7!$E$7)</f>
        <v>200</v>
      </c>
      <c r="E10" s="180">
        <f>IF(Vendedor7!$C$11="",0,Vendedor7!$C$11)</f>
        <v>134800</v>
      </c>
      <c r="F10" s="30">
        <f>IF(Vendedor7!$E$11="",0,Vendedor7!$E$11)</f>
        <v>0</v>
      </c>
      <c r="G10" s="180">
        <f>IF(Vendedor7!$C$15="",0,Vendedor7!$C$15)</f>
        <v>182550</v>
      </c>
      <c r="H10" s="30">
        <f>IF(Vendedor7!$E$15="",0,Vendedor7!$E$15)</f>
        <v>3950</v>
      </c>
      <c r="J10" s="42">
        <f t="shared" si="8"/>
        <v>486100</v>
      </c>
      <c r="K10" s="41">
        <f>MROUND(J10*Vendedor7!J$14,50)</f>
        <v>58350</v>
      </c>
      <c r="L10" s="42">
        <f t="shared" si="9"/>
        <v>4150</v>
      </c>
      <c r="M10" s="42">
        <f t="shared" si="10"/>
        <v>352750</v>
      </c>
      <c r="N10" s="42">
        <f>Vendedor7!$F$7+Vendedor7!$F$11+Vendedor7!$F$15</f>
        <v>352750</v>
      </c>
      <c r="P10" s="42">
        <f t="shared" si="11"/>
        <v>75000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5000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22300</v>
      </c>
      <c r="H11" s="30">
        <f>IF(Vendedor8!$E$15="",0,Vendedor8!$E$15)</f>
        <v>0</v>
      </c>
      <c r="J11" s="42">
        <f t="shared" si="8"/>
        <v>27300</v>
      </c>
      <c r="K11" s="41">
        <f>MROUND(J11*Vendedor8!J$11,50)</f>
        <v>3300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24000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5900</v>
      </c>
      <c r="D12" s="30">
        <f>IF(Vendedor9!$E$7="",0,Vendedor9!$E$7)</f>
        <v>0</v>
      </c>
      <c r="E12" s="180">
        <f>IF(Vendedor9!$C$11="",0,Vendedor9!$C$11)</f>
        <v>6600</v>
      </c>
      <c r="F12" s="30">
        <f>IF(Vendedor9!$E$11="",0,Vendedor9!$E$11)</f>
        <v>0</v>
      </c>
      <c r="G12" s="180">
        <f>IF(Vendedor9!$C$15="",0,Vendedor9!$C$15)</f>
        <v>23400</v>
      </c>
      <c r="H12" s="30">
        <f>IF(Vendedor9!$E$15="",0,Vendedor9!$E$15)</f>
        <v>0</v>
      </c>
      <c r="J12" s="42">
        <f t="shared" si="8"/>
        <v>35900</v>
      </c>
      <c r="K12" s="41">
        <f>MROUND(J12*Vendedor9!J$11,50)</f>
        <v>4300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31600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30450</v>
      </c>
      <c r="D13" s="30">
        <f>IF(Vendedor10!$E$7="",0,Vendedor10!$E$7)</f>
        <v>0</v>
      </c>
      <c r="E13" s="180">
        <f>IF(Vendedor10!$C$11="",0,Vendedor10!$C$11)</f>
        <v>25450</v>
      </c>
      <c r="F13" s="30">
        <f>IF(Vendedor10!$E$11="",0,Vendedor10!$E$11)</f>
        <v>0</v>
      </c>
      <c r="G13" s="180">
        <f>IF(Vendedor10!$C$15="",0,Vendedor10!$C$15)</f>
        <v>48250</v>
      </c>
      <c r="H13" s="30">
        <f>IF(Vendedor10!$E$15="",0,Vendedor10!$E$15)</f>
        <v>1000</v>
      </c>
      <c r="J13" s="42">
        <f t="shared" si="8"/>
        <v>104150</v>
      </c>
      <c r="K13" s="41">
        <f>MROUND(J13*Vendedor10!J$9,50)</f>
        <v>12500</v>
      </c>
      <c r="L13" s="42">
        <f t="shared" si="9"/>
        <v>1000</v>
      </c>
      <c r="M13" s="42">
        <f t="shared" si="10"/>
        <v>85000</v>
      </c>
      <c r="N13" s="42">
        <f>Vendedor10!$F$7+Vendedor10!$F$11+Vendedor10!$F$15</f>
        <v>85000</v>
      </c>
      <c r="P13" s="42">
        <f t="shared" si="11"/>
        <v>6650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35700</v>
      </c>
      <c r="D14" s="30">
        <f>IF(Vendedor11!$E$7="",0,Vendedor11!$E$7)</f>
        <v>0</v>
      </c>
      <c r="E14" s="180">
        <f>IF(Vendedor11!$C$11="",0,Vendedor11!$C$11)</f>
        <v>10900</v>
      </c>
      <c r="F14" s="30">
        <f>IF(Vendedor11!$E$11="",0,Vendedor11!$E$11)</f>
        <v>0</v>
      </c>
      <c r="G14" s="180">
        <f>IF(Vendedor11!$C$15="",0,Vendedor11!$C$15)</f>
        <v>28800</v>
      </c>
      <c r="H14" s="30">
        <f>IF(Vendedor11!$E$15="",0,Vendedor11!$E$15)</f>
        <v>0</v>
      </c>
      <c r="J14" s="42">
        <f t="shared" si="8"/>
        <v>75400</v>
      </c>
      <c r="K14" s="41">
        <f>MROUND(J14*Vendedor11!J$9,50)</f>
        <v>11300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64100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11750</v>
      </c>
      <c r="D16" s="30">
        <f>IF(Vendedor13!$E$7="",0,Vendedor13!$E$7)</f>
        <v>0</v>
      </c>
      <c r="E16" s="180">
        <f>IF(Vendedor13!$C$11="",0,Vendedor13!$C$11)</f>
        <v>19150</v>
      </c>
      <c r="F16" s="30">
        <f>IF(Vendedor13!$E$11="",0,Vendedor13!$E$11)</f>
        <v>0</v>
      </c>
      <c r="G16" s="180">
        <f>IF(Vendedor13!$C$15="",0,Vendedor13!$C$15)</f>
        <v>48950</v>
      </c>
      <c r="H16" s="30">
        <f>IF(Vendedor13!$E$15="",0,Vendedor13!$E$15)</f>
        <v>0</v>
      </c>
      <c r="J16" s="42">
        <f t="shared" si="8"/>
        <v>79850</v>
      </c>
      <c r="K16" s="41">
        <f>MROUND(J16*Vendedor13!J$11,50)</f>
        <v>9600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70250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119050</v>
      </c>
      <c r="D17" s="30">
        <f>IF(Vendedor14!$E$7="",0,Vendedor14!$E$7)</f>
        <v>0</v>
      </c>
      <c r="E17" s="180">
        <f>IF(Vendedor14!$C$11="",0,Vendedor14!$C$11)</f>
        <v>104450</v>
      </c>
      <c r="F17" s="30">
        <f>IF(Vendedor14!$E$11="",0,Vendedor14!$E$11)</f>
        <v>100</v>
      </c>
      <c r="G17" s="180">
        <f>IF(Vendedor14!$C$15="",0,Vendedor14!$C$15)</f>
        <v>192600</v>
      </c>
      <c r="H17" s="30">
        <f>IF(Vendedor14!$E$15="",0,Vendedor14!$E$15)</f>
        <v>550</v>
      </c>
      <c r="J17" s="42">
        <f t="shared" si="8"/>
        <v>416100</v>
      </c>
      <c r="K17" s="41">
        <f>MROUND(J17*Vendedor14!J$15,50)</f>
        <v>49950</v>
      </c>
      <c r="L17" s="42">
        <f t="shared" si="9"/>
        <v>650</v>
      </c>
      <c r="M17" s="42">
        <f t="shared" si="10"/>
        <v>55250</v>
      </c>
      <c r="N17" s="42">
        <f>Vendedor14!$F$7+Vendedor14!$F$11+Vendedor14!$F$15</f>
        <v>55250</v>
      </c>
      <c r="P17" s="42">
        <f t="shared" si="11"/>
        <v>310900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55600</v>
      </c>
      <c r="D18" s="30">
        <f>IF(Vendedor15!$E$7="",0,Vendedor15!$E$7)</f>
        <v>0</v>
      </c>
      <c r="E18" s="180">
        <f>IF(Vendedor15!$C$11="",0,Vendedor15!$C$11)</f>
        <v>51550</v>
      </c>
      <c r="F18" s="30">
        <f>IF(Vendedor15!$E$11="",0,Vendedor15!$E$11)</f>
        <v>0</v>
      </c>
      <c r="G18" s="180">
        <f>IF(Vendedor15!$C$15="",0,Vendedor15!$C$15)</f>
        <v>58050</v>
      </c>
      <c r="H18" s="30">
        <f>IF(Vendedor15!$E$15="",0,Vendedor15!$E$15)</f>
        <v>1250</v>
      </c>
      <c r="J18" s="42">
        <f t="shared" ref="J18" si="12">+C18+E18+G18</f>
        <v>165200</v>
      </c>
      <c r="K18" s="41">
        <f>MROUND(J18*Vendedor15!J$15,50)</f>
        <v>19800</v>
      </c>
      <c r="L18" s="42">
        <f t="shared" ref="L18" si="13">+D18+F18+H18</f>
        <v>1250</v>
      </c>
      <c r="M18" s="42">
        <f t="shared" ref="M18" si="14">+L18*85</f>
        <v>106250</v>
      </c>
      <c r="N18" s="42">
        <f>Vendedor15!$F$7+Vendedor15!$F$11+Vendedor15!$F$15</f>
        <v>106250</v>
      </c>
      <c r="P18" s="42">
        <f t="shared" ref="P18" si="15">+J18-K18-N18</f>
        <v>39150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569250</v>
      </c>
      <c r="D32" s="44">
        <f t="shared" si="16"/>
        <v>1400</v>
      </c>
      <c r="E32" s="43">
        <f t="shared" si="16"/>
        <v>432150</v>
      </c>
      <c r="F32" s="44">
        <f t="shared" si="16"/>
        <v>100</v>
      </c>
      <c r="G32" s="43">
        <f t="shared" si="16"/>
        <v>813100</v>
      </c>
      <c r="H32" s="44">
        <f t="shared" si="16"/>
        <v>9450</v>
      </c>
      <c r="J32" s="95">
        <f>SUM(J4:J31)</f>
        <v>1814500</v>
      </c>
      <c r="K32" s="45">
        <f>SUM(K7:K31)</f>
        <v>185700</v>
      </c>
      <c r="L32" s="95">
        <f>SUM(L4:L31)</f>
        <v>10950</v>
      </c>
      <c r="M32" s="95">
        <f>SUM(M4:M31)</f>
        <v>930750</v>
      </c>
      <c r="N32" s="95">
        <f>SUM(N4:N31)</f>
        <v>930750</v>
      </c>
      <c r="P32" s="79">
        <f>SUM(P4:P31)</f>
        <v>660800</v>
      </c>
    </row>
    <row r="33" spans="3:13" x14ac:dyDescent="0.35">
      <c r="D33" s="99">
        <f>+D32*85</f>
        <v>119000</v>
      </c>
      <c r="F33" s="99">
        <f>+F32*85</f>
        <v>8500</v>
      </c>
      <c r="H33" s="99">
        <f>+H32*85</f>
        <v>803250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1814500</v>
      </c>
      <c r="E36" s="43">
        <f>+D36-J4-J5-J6</f>
        <v>1528200</v>
      </c>
      <c r="G36" s="101"/>
    </row>
    <row r="37" spans="3:13" x14ac:dyDescent="0.35">
      <c r="C37" s="47" t="s">
        <v>33</v>
      </c>
      <c r="D37" s="48">
        <f>D36*13%</f>
        <v>235885</v>
      </c>
      <c r="E37">
        <f>+D37-K4-K5-K6</f>
        <v>198635</v>
      </c>
      <c r="G37" s="100"/>
      <c r="H37" s="100"/>
    </row>
    <row r="38" spans="3:13" ht="15" thickBot="1" x14ac:dyDescent="0.4">
      <c r="C38" s="47" t="s">
        <v>30</v>
      </c>
      <c r="D38" s="30">
        <f>M32</f>
        <v>930750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647865</v>
      </c>
      <c r="F39" s="98">
        <f>+P32-D39</f>
        <v>12935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647865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31</v>
      </c>
      <c r="D2" s="268"/>
      <c r="E2" s="267">
        <f>DigitaNICA!E2</f>
        <v>87</v>
      </c>
      <c r="F2" s="268"/>
      <c r="G2" s="267">
        <f>DigitaNICA!G2</f>
        <v>31</v>
      </c>
      <c r="H2" s="268"/>
      <c r="I2" s="267">
        <f>DigitaNICA!I2</f>
        <v>82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22200</v>
      </c>
      <c r="D4" s="78">
        <f>IF(Vendedor1!$E$5="",0,Vendedor1!$E$5)</f>
        <v>500</v>
      </c>
      <c r="E4" s="189">
        <f>IF(Vendedor1!$C$9="",0,Vendedor1!$C$9)</f>
        <v>6700</v>
      </c>
      <c r="F4" s="78">
        <f>IF(Vendedor1!$E$9="",0,Vendedor1!$E$9)</f>
        <v>0</v>
      </c>
      <c r="G4" s="189">
        <f>IF(Vendedor1!$C$13="",0,Vendedor1!$C$13)</f>
        <v>4350</v>
      </c>
      <c r="H4" s="78">
        <f>IF(Vendedor1!$E$13="",0,Vendedor1!$E$13)</f>
        <v>0</v>
      </c>
      <c r="I4" s="189">
        <f>IF(Vendedor1!$C$17="",0,Vendedor1!$C$17)</f>
        <v>5500</v>
      </c>
      <c r="J4" s="78">
        <f>IF(Vendedor1!$E$17="",0,Vendedor1!$E$17)</f>
        <v>0</v>
      </c>
      <c r="L4" s="42">
        <f t="shared" ref="L4:L7" si="0">C4+E4+G4+I4</f>
        <v>38750</v>
      </c>
      <c r="M4" s="41">
        <f>MROUND(L4*Vendedor1!J$10,50)</f>
        <v>5050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-8800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10150</v>
      </c>
      <c r="D5" s="30">
        <f>IF(Vendedor2!$E$5="",0,Vendedor2!$E$5)</f>
        <v>0</v>
      </c>
      <c r="E5" s="180">
        <f>IF(Vendedor2!$C$9="",0,Vendedor2!$C$9)</f>
        <v>2000</v>
      </c>
      <c r="F5" s="30">
        <f>IF(Vendedor2!$E$9="",0,Vendedor2!$E$9)</f>
        <v>0</v>
      </c>
      <c r="G5" s="180">
        <f>IF(Vendedor2!$C$13="",0,Vendedor2!$C$13)</f>
        <v>2000</v>
      </c>
      <c r="H5" s="30">
        <f>IF(Vendedor2!$E$13="",0,Vendedor2!$E$13)</f>
        <v>0</v>
      </c>
      <c r="I5" s="180">
        <f>IF(Vendedor2!$C$17="",0,Vendedor2!$C$17)</f>
        <v>1000</v>
      </c>
      <c r="J5" s="30">
        <f>IF(Vendedor2!$E$17="",0,Vendedor2!$E$17)</f>
        <v>0</v>
      </c>
      <c r="L5" s="42">
        <f t="shared" si="0"/>
        <v>15150</v>
      </c>
      <c r="M5" s="41">
        <f>MROUND(L5*Vendedor2!J$10,50)</f>
        <v>1950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13200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51100</v>
      </c>
      <c r="D8" s="30">
        <f>IF(Vendedor5!$E$5="",0,Vendedor5!$E$5)</f>
        <v>500</v>
      </c>
      <c r="E8" s="180">
        <f>IF(Vendedor5!$C$9="",0,Vendedor5!$C$9)</f>
        <v>28450</v>
      </c>
      <c r="F8" s="30">
        <f>IF(Vendedor5!$E$9="",0,Vendedor5!$E$9)</f>
        <v>0</v>
      </c>
      <c r="G8" s="180">
        <f>IF(Vendedor5!$C$13="",0,Vendedor5!$C$13)</f>
        <v>7800</v>
      </c>
      <c r="H8" s="30">
        <f>IF(Vendedor5!$E$13="",0,Vendedor5!$E$13)</f>
        <v>0</v>
      </c>
      <c r="I8" s="180">
        <f>IF(Vendedor5!$C$17="",0,Vendedor5!$C$17)</f>
        <v>10650</v>
      </c>
      <c r="J8" s="30">
        <f>IF(Vendedor5!$E$17="",0,Vendedor5!$E$17)</f>
        <v>0</v>
      </c>
      <c r="L8" s="42">
        <f t="shared" ref="L8" si="4">C8+E8+G8+I8</f>
        <v>98000</v>
      </c>
      <c r="M8" s="41">
        <f>MROUND(L8*Vendedor5!J$12,50)</f>
        <v>11750</v>
      </c>
      <c r="N8" s="42">
        <f t="shared" ref="N8" si="5">D8+F8+H8+J8</f>
        <v>500</v>
      </c>
      <c r="O8" s="41">
        <f t="shared" si="3"/>
        <v>42500</v>
      </c>
      <c r="P8" s="42">
        <f>Vendedor5!$F$5+Vendedor5!$F$9+Vendedor5!$F$13+Vendedor5!$F$17</f>
        <v>40000</v>
      </c>
      <c r="Q8">
        <v>17</v>
      </c>
      <c r="R8" s="41">
        <f t="shared" ref="R8" si="6">+L8-M8-O8</f>
        <v>43750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112100</v>
      </c>
      <c r="D10" s="30">
        <f>IF(Vendedor7!$E$5="",0,Vendedor7!$E$5)</f>
        <v>750</v>
      </c>
      <c r="E10" s="180">
        <f>IF(Vendedor7!$C$9="",0,Vendedor7!$C$9)</f>
        <v>59750</v>
      </c>
      <c r="F10" s="30">
        <f>IF(Vendedor7!$E$9="",0,Vendedor7!$E$9)</f>
        <v>0</v>
      </c>
      <c r="G10" s="180">
        <f>IF(Vendedor7!$C$13="",0,Vendedor7!$C$13)</f>
        <v>74500</v>
      </c>
      <c r="H10" s="30">
        <f>IF(Vendedor7!$E$13="",0,Vendedor7!$E$13)</f>
        <v>0</v>
      </c>
      <c r="I10" s="180">
        <f>IF(Vendedor7!$C$17="",0,Vendedor7!$C$17)</f>
        <v>138050</v>
      </c>
      <c r="J10" s="30">
        <f>IF(Vendedor7!$E$17="",0,Vendedor7!$E$17)</f>
        <v>700</v>
      </c>
      <c r="L10" s="42">
        <f t="shared" si="7"/>
        <v>384400</v>
      </c>
      <c r="M10" s="41">
        <f>MROUND(L10*Vendedor7!J$15,50)</f>
        <v>46150</v>
      </c>
      <c r="N10" s="42">
        <f t="shared" ref="N10:N27" si="9">D10+F10+H10+J10</f>
        <v>1450</v>
      </c>
      <c r="O10" s="41">
        <f t="shared" si="3"/>
        <v>123250</v>
      </c>
      <c r="P10" s="42">
        <f>Vendedor7!$F$5+Vendedor7!$F$9+Vendedor7!$F$13+Vendedor7!$F$17</f>
        <v>123250</v>
      </c>
      <c r="R10" s="41">
        <f t="shared" si="8"/>
        <v>215000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17200</v>
      </c>
      <c r="D12" s="30">
        <f>IF(Vendedor9!$E$5="",0,Vendedor9!$E$5)</f>
        <v>350</v>
      </c>
      <c r="E12" s="180">
        <f>IF(Vendedor9!$C$9="",0,Vendedor9!$C$9)</f>
        <v>10000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27200</v>
      </c>
      <c r="M12" s="41">
        <f>MROUND(L12*Vendedor9!J$12,50)</f>
        <v>3250</v>
      </c>
      <c r="N12" s="42">
        <f t="shared" si="9"/>
        <v>350</v>
      </c>
      <c r="O12" s="41">
        <f t="shared" si="3"/>
        <v>29750</v>
      </c>
      <c r="P12" s="42">
        <f>Vendedor9!$F$5+Vendedor9!$F$9+Vendedor9!$F$13+Vendedor9!$F$17</f>
        <v>29750</v>
      </c>
      <c r="R12" s="41">
        <f t="shared" si="8"/>
        <v>-5800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31750</v>
      </c>
      <c r="D13" s="30">
        <f>IF(Vendedor10!$E$5="",0,Vendedor10!$E$5)</f>
        <v>450</v>
      </c>
      <c r="E13" s="180">
        <f>IF(Vendedor10!$C$9="",0,Vendedor10!$C$9)</f>
        <v>22850</v>
      </c>
      <c r="F13" s="30">
        <f>IF(Vendedor10!$E$9="",0,Vendedor10!$E$9)</f>
        <v>0</v>
      </c>
      <c r="G13" s="180">
        <f>IF(Vendedor10!$C$13="",0,Vendedor10!$C$13)</f>
        <v>2300</v>
      </c>
      <c r="H13" s="30">
        <f>IF(Vendedor10!$E$13="",0,Vendedor10!$E$13)</f>
        <v>0</v>
      </c>
      <c r="I13" s="180">
        <f>IF(Vendedor10!$C$17="",0,Vendedor10!$C$17)</f>
        <v>500</v>
      </c>
      <c r="J13" s="30">
        <f>IF(Vendedor10!$E$17="",0,Vendedor10!$E$17)</f>
        <v>0</v>
      </c>
      <c r="L13" s="42">
        <f t="shared" si="7"/>
        <v>57400</v>
      </c>
      <c r="M13" s="41">
        <f>MROUND(L13*Vendedor10!J$10,50)</f>
        <v>6900</v>
      </c>
      <c r="N13" s="42">
        <f t="shared" si="9"/>
        <v>450</v>
      </c>
      <c r="O13" s="41">
        <f t="shared" si="3"/>
        <v>38250</v>
      </c>
      <c r="P13" s="42">
        <f>Vendedor10!$F$5+Vendedor10!$F$9+Vendedor10!$F$13+Vendedor10!$F$17</f>
        <v>36000</v>
      </c>
      <c r="R13" s="41">
        <f t="shared" si="8"/>
        <v>12250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7050</v>
      </c>
      <c r="D16" s="30">
        <f>IF(Vendedor13!$E$5="",0,Vendedor13!$E$5)</f>
        <v>0</v>
      </c>
      <c r="E16" s="180">
        <f>IF(Vendedor13!$C$9="",0,Vendedor13!$C$9)</f>
        <v>7900</v>
      </c>
      <c r="F16" s="30">
        <f>IF(Vendedor13!$E$9="",0,Vendedor13!$E$9)</f>
        <v>0</v>
      </c>
      <c r="G16" s="180">
        <f>IF(Vendedor13!$C$13="",0,Vendedor13!$C$13)</f>
        <v>1250</v>
      </c>
      <c r="H16" s="30">
        <f>IF(Vendedor13!$E$13="",0,Vendedor13!$E$13)</f>
        <v>0</v>
      </c>
      <c r="I16" s="180">
        <f>IF(Vendedor13!$C$17="",0,Vendedor13!$C$17)</f>
        <v>11450</v>
      </c>
      <c r="J16" s="30">
        <f>IF(Vendedor13!$E$17="",0,Vendedor13!$E$17)</f>
        <v>0</v>
      </c>
      <c r="L16" s="42">
        <f t="shared" si="7"/>
        <v>27650</v>
      </c>
      <c r="M16" s="41">
        <f>MROUND(L16*Vendedor13!J$12,50)</f>
        <v>3300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24350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94100</v>
      </c>
      <c r="D17" s="30">
        <f>IF(Vendedor14!$E$5="",0,Vendedor14!$E$5)</f>
        <v>1950</v>
      </c>
      <c r="E17" s="180">
        <f>IF(Vendedor14!$C$9="",0,Vendedor14!$C$9)</f>
        <v>46050</v>
      </c>
      <c r="F17" s="30">
        <f>IF(Vendedor14!$E$9="",0,Vendedor14!$E$9)</f>
        <v>350</v>
      </c>
      <c r="G17" s="180">
        <f>IF(Vendedor14!$C$13="",0,Vendedor14!$C$13)</f>
        <v>46100</v>
      </c>
      <c r="H17" s="30">
        <f>IF(Vendedor14!$E$13="",0,Vendedor14!$E$13)</f>
        <v>600</v>
      </c>
      <c r="I17" s="180">
        <f>IF(Vendedor14!$C$17="",0,Vendedor14!$C$17)</f>
        <v>143950</v>
      </c>
      <c r="J17" s="30">
        <f>IF(Vendedor14!$E$17="",0,Vendedor14!$E$17)</f>
        <v>1300</v>
      </c>
      <c r="L17" s="42">
        <f>C17+E17+G17+I17</f>
        <v>330200</v>
      </c>
      <c r="M17" s="41">
        <f>MROUND(L17*Vendedor14!J$16,50)</f>
        <v>39600</v>
      </c>
      <c r="N17" s="42">
        <f t="shared" si="9"/>
        <v>4200</v>
      </c>
      <c r="O17" s="41">
        <f t="shared" si="3"/>
        <v>357000</v>
      </c>
      <c r="P17" s="42">
        <f>Vendedor14!$F$5+Vendedor14!$F$9+Vendedor14!$F$13+Vendedor14!$F$17</f>
        <v>357000</v>
      </c>
      <c r="R17" s="41">
        <f t="shared" si="8"/>
        <v>-66400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57800</v>
      </c>
      <c r="D18" s="30">
        <f>IF(Vendedor15!$E$5="",0,Vendedor15!$E$5)</f>
        <v>600</v>
      </c>
      <c r="E18" s="180">
        <f>IF(Vendedor15!$C$9="",0,Vendedor15!$C$9)</f>
        <v>43200</v>
      </c>
      <c r="F18" s="30">
        <f>IF(Vendedor15!$E$9="",0,Vendedor15!$E$9)</f>
        <v>400</v>
      </c>
      <c r="G18" s="180">
        <f>IF(Vendedor15!$C$13="",0,Vendedor15!$C$13)</f>
        <v>37800</v>
      </c>
      <c r="H18" s="30">
        <f>IF(Vendedor15!$E$13="",0,Vendedor15!$E$13)</f>
        <v>300</v>
      </c>
      <c r="I18" s="180">
        <f>IF(Vendedor15!$C$17="",0,Vendedor15!$C$17)</f>
        <v>18800</v>
      </c>
      <c r="J18" s="30">
        <f>IF(Vendedor15!$E$17="",0,Vendedor15!$E$17)</f>
        <v>0</v>
      </c>
      <c r="L18" s="42">
        <f t="shared" ref="L18:L27" si="10">C18+E18+G18+I18</f>
        <v>157600</v>
      </c>
      <c r="M18" s="41">
        <f>MROUND(L18*Vendedor15!J$16,50)</f>
        <v>18900</v>
      </c>
      <c r="N18" s="42">
        <f t="shared" si="9"/>
        <v>1300</v>
      </c>
      <c r="O18" s="41">
        <f t="shared" si="3"/>
        <v>110500</v>
      </c>
      <c r="P18" s="42">
        <f>Vendedor15!$F$5+Vendedor15!$F$9+Vendedor15!$F$13+Vendedor15!$F$17</f>
        <v>110500</v>
      </c>
      <c r="R18" s="41">
        <f t="shared" si="8"/>
        <v>28200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403450</v>
      </c>
      <c r="D32" s="44">
        <f t="shared" si="14"/>
        <v>5100</v>
      </c>
      <c r="E32" s="43">
        <f t="shared" si="14"/>
        <v>226900</v>
      </c>
      <c r="F32" s="44">
        <f t="shared" si="14"/>
        <v>750</v>
      </c>
      <c r="G32" s="43">
        <f t="shared" si="14"/>
        <v>176100</v>
      </c>
      <c r="H32" s="44">
        <f t="shared" si="14"/>
        <v>900</v>
      </c>
      <c r="I32" s="43">
        <f t="shared" si="14"/>
        <v>329900</v>
      </c>
      <c r="J32" s="44">
        <f t="shared" si="14"/>
        <v>2000</v>
      </c>
      <c r="L32" s="45">
        <f>SUM(L4:L31)</f>
        <v>1136350</v>
      </c>
      <c r="M32" s="45">
        <f>SUM(M7:M31)</f>
        <v>129850</v>
      </c>
      <c r="N32" s="95">
        <f>SUM(N4:N31)</f>
        <v>8750</v>
      </c>
      <c r="O32" s="46">
        <f>SUM(O4:O31)</f>
        <v>743750</v>
      </c>
      <c r="P32" s="140">
        <f>SUM(P4:P31)</f>
        <v>736500</v>
      </c>
      <c r="R32" s="79">
        <f>SUM(R4:R31)</f>
        <v>255750</v>
      </c>
    </row>
    <row r="33" spans="3:15" x14ac:dyDescent="0.35">
      <c r="D33" s="120">
        <f>+D32*85</f>
        <v>433500</v>
      </c>
      <c r="F33" s="120">
        <f>+F32*85</f>
        <v>63750</v>
      </c>
      <c r="H33" s="120">
        <f>+H32*85</f>
        <v>76500</v>
      </c>
      <c r="J33" s="120">
        <f>+J32*85</f>
        <v>170000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1136350</v>
      </c>
      <c r="E36" s="43">
        <f>+D36-L4-L5-L6</f>
        <v>1082450</v>
      </c>
    </row>
    <row r="37" spans="3:15" x14ac:dyDescent="0.35">
      <c r="C37" s="47" t="s">
        <v>33</v>
      </c>
      <c r="D37" s="48">
        <f>D36*13%</f>
        <v>147725.5</v>
      </c>
      <c r="E37">
        <f>+D37-M4-M5-M6</f>
        <v>140725.5</v>
      </c>
    </row>
    <row r="38" spans="3:15" x14ac:dyDescent="0.35">
      <c r="C38" s="47" t="s">
        <v>30</v>
      </c>
      <c r="D38" s="30">
        <f>SUM(O4:O27)</f>
        <v>743750</v>
      </c>
      <c r="G38" s="100"/>
    </row>
    <row r="39" spans="3:15" ht="15" thickBot="1" x14ac:dyDescent="0.4">
      <c r="C39" s="49" t="s">
        <v>4</v>
      </c>
      <c r="D39" s="80">
        <f>+D36-D37-D38</f>
        <v>244874.5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244874.5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85 Blanca</v>
      </c>
      <c r="D2" s="268"/>
      <c r="E2" s="267" t="str">
        <f>IF(E33=0,"",CONCATENATE(PREMIOS!$B11," ",PREMIOS!$B12))</f>
        <v>47 Blanca</v>
      </c>
      <c r="F2" s="268"/>
      <c r="G2" s="267" t="str">
        <f>IF(G33=0,"",CONCATENATE(PREMIOS!$B15," ",PREMIOS!$B16))</f>
        <v>77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33450</v>
      </c>
      <c r="D10" s="30">
        <f>IF(Vendedor7!$E$8="",0,Vendedor7!$E$8)</f>
        <v>0</v>
      </c>
      <c r="E10" s="180">
        <f>IF(Vendedor7!$C$12="",0,Vendedor7!$C$12)</f>
        <v>29450</v>
      </c>
      <c r="F10" s="30">
        <f>IF(Vendedor7!$E$12="",0,Vendedor7!$E$12)</f>
        <v>0</v>
      </c>
      <c r="G10" s="180">
        <f>IF(Vendedor7!$C$16="",0,Vendedor7!$C$16)</f>
        <v>30000</v>
      </c>
      <c r="H10" s="30">
        <f>IF(Vendedor7!$E$16="",0,Vendedor7!$E$16)</f>
        <v>700</v>
      </c>
      <c r="J10" s="42">
        <f t="shared" si="1"/>
        <v>92900</v>
      </c>
      <c r="K10" s="41">
        <f>J10*Vendedor7!J$16</f>
        <v>9290</v>
      </c>
      <c r="L10" s="42">
        <f t="shared" si="2"/>
        <v>0</v>
      </c>
      <c r="M10" s="42">
        <f t="shared" si="3"/>
        <v>700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83610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200</v>
      </c>
      <c r="K12" s="41">
        <f>J12*Vendedor9!J$13</f>
        <v>20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3000</v>
      </c>
      <c r="D16" s="30">
        <f>IF(Vendedor13!$E$8="",0,Vendedor13!$E$8)</f>
        <v>0</v>
      </c>
      <c r="E16" s="180">
        <f>IF(Vendedor13!$C$12="",0,Vendedor13!$C$12)</f>
        <v>3000</v>
      </c>
      <c r="F16" s="30">
        <f>IF(Vendedor13!$E$12="",0,Vendedor13!$E$12)</f>
        <v>0</v>
      </c>
      <c r="G16" s="180">
        <f>IF(Vendedor13!$C$16="",0,Vendedor13!$C$16)</f>
        <v>5000</v>
      </c>
      <c r="H16" s="30">
        <f>IF(Vendedor13!$E$16="",0,Vendedor13!$E$16)</f>
        <v>0</v>
      </c>
      <c r="J16" s="42">
        <f t="shared" si="1"/>
        <v>11000</v>
      </c>
      <c r="K16" s="41">
        <f>J16*Vendedor13!J$13</f>
        <v>1100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24400</v>
      </c>
      <c r="D17" s="30">
        <f>IF(Vendedor14!$E$8="",0,Vendedor14!$E$8)</f>
        <v>0</v>
      </c>
      <c r="E17" s="180">
        <f>IF(Vendedor14!$C$12="",0,Vendedor14!$C$12)</f>
        <v>15150</v>
      </c>
      <c r="F17" s="30">
        <f>IF(Vendedor14!$E$12="",0,Vendedor14!$E$12)</f>
        <v>50</v>
      </c>
      <c r="G17" s="180">
        <f>IF(Vendedor14!$C$16="",0,Vendedor14!$C$16)</f>
        <v>26750</v>
      </c>
      <c r="H17" s="30">
        <f>IF(Vendedor14!$E$16="",0,Vendedor14!$E$16)</f>
        <v>300</v>
      </c>
      <c r="J17" s="42">
        <f t="shared" si="1"/>
        <v>66300</v>
      </c>
      <c r="K17" s="41">
        <f>J17*Vendedor14!J$17</f>
        <v>6630</v>
      </c>
      <c r="L17" s="42">
        <f t="shared" si="2"/>
        <v>0</v>
      </c>
      <c r="M17" s="42">
        <f t="shared" si="3"/>
        <v>350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59670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19800</v>
      </c>
      <c r="D18" s="30">
        <f>IF(Vendedor15!$E$8="",0,Vendedor15!$E$8)</f>
        <v>0</v>
      </c>
      <c r="E18" s="180">
        <f>IF(Vendedor15!$C$12="",0,Vendedor15!$C$12)</f>
        <v>11500</v>
      </c>
      <c r="F18" s="30">
        <f>IF(Vendedor15!$E$12="",0,Vendedor15!$E$12)</f>
        <v>0</v>
      </c>
      <c r="G18" s="180">
        <f>IF(Vendedor15!$C$16="",0,Vendedor15!$C$16)</f>
        <v>19250</v>
      </c>
      <c r="H18" s="30">
        <f>IF(Vendedor15!$E$16="",0,Vendedor15!$E$16)</f>
        <v>0</v>
      </c>
      <c r="J18" s="42">
        <f t="shared" ref="J18" si="5">+C18+E18+G18</f>
        <v>50550</v>
      </c>
      <c r="K18" s="41">
        <f>J18*Vendedor15!J$17</f>
        <v>5055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45495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80850</v>
      </c>
      <c r="D33" s="44">
        <f>IF(PREMIOS!E8&lt;&gt;0,SUM(D4:D32),0)</f>
        <v>0</v>
      </c>
      <c r="E33" s="43">
        <f>SUM(E4:E32)</f>
        <v>59100</v>
      </c>
      <c r="F33" s="44">
        <f>IF(PREMIOS!E12&lt;&gt;0,SUM(F4:F32),0)</f>
        <v>0</v>
      </c>
      <c r="G33" s="43">
        <f>SUM(G4:G32)</f>
        <v>81000</v>
      </c>
      <c r="H33" s="44">
        <f>IF(PREMIOS!E16&lt;&gt;0,SUM(H4:H32),0)</f>
        <v>0</v>
      </c>
      <c r="J33" s="45">
        <f>SUM(J4:J32)</f>
        <v>220950</v>
      </c>
      <c r="K33" s="45">
        <f>SUM(K7:K32)</f>
        <v>22095</v>
      </c>
      <c r="L33" s="95">
        <f>SUM(L7:L32)</f>
        <v>0</v>
      </c>
      <c r="M33" s="95">
        <f>SUM(M7:M32)</f>
        <v>1050</v>
      </c>
      <c r="N33" s="95">
        <f>SUM(N4:N27)</f>
        <v>0</v>
      </c>
      <c r="O33" s="95">
        <f>SUM(O4:O27)</f>
        <v>0</v>
      </c>
      <c r="Q33" s="79">
        <f>SUM(Q4:Q32)</f>
        <v>198855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220950</v>
      </c>
      <c r="E37" s="43">
        <f>+D37-J4-J5-J6</f>
        <v>220950</v>
      </c>
      <c r="F37" s="275"/>
      <c r="G37" s="275"/>
    </row>
    <row r="38" spans="3:17" ht="15" thickBot="1" x14ac:dyDescent="0.4">
      <c r="C38" s="47" t="s">
        <v>33</v>
      </c>
      <c r="D38" s="30">
        <f>D37*10%</f>
        <v>22095</v>
      </c>
      <c r="E38" s="43">
        <f>+D38-K4-K5-K6</f>
        <v>22095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198855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198855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13</v>
      </c>
      <c r="D2" s="268"/>
      <c r="E2" s="267">
        <f>DigitaPRIMERA!E2</f>
        <v>21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8250</v>
      </c>
      <c r="D4" s="78">
        <f>IF(Vendedor1!$E$19="",0,Vendedor1!$E$19)</f>
        <v>0</v>
      </c>
      <c r="E4" s="189">
        <f>IF(Vendedor1!$C$20="",0,Vendedor1!$C$20)</f>
        <v>1850</v>
      </c>
      <c r="F4" s="78">
        <f>IF(Vendedor1!$E$20="",0,Vendedor1!$E$20)</f>
        <v>0</v>
      </c>
      <c r="H4" s="42">
        <f>+C4+E4</f>
        <v>10100</v>
      </c>
      <c r="I4" s="41">
        <f>MROUND(H4*Vendedor1!J$9,50)</f>
        <v>1300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8800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1500</v>
      </c>
      <c r="F5" s="30">
        <f>IF(Vendedor2!$E$20="",0,Vendedor2!$E$20)</f>
        <v>0</v>
      </c>
      <c r="H5" s="42">
        <f t="shared" ref="H5:H31" si="1">+C5+E5</f>
        <v>1500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1300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12350</v>
      </c>
      <c r="D8" s="30">
        <f>IF(Vendedor5!$E$19="",0,Vendedor5!$E$19)</f>
        <v>0</v>
      </c>
      <c r="E8" s="180">
        <f>IF(Vendedor5!$C$20="",0,Vendedor5!$C$20)</f>
        <v>7350</v>
      </c>
      <c r="F8" s="30">
        <f>IF(Vendedor5!$E$20="",0,Vendedor5!$E$20)</f>
        <v>200</v>
      </c>
      <c r="H8" s="133">
        <f t="shared" si="1"/>
        <v>19700</v>
      </c>
      <c r="I8" s="148">
        <f>MROUND(H8*Vendedor5!J$11,50)</f>
        <v>2350</v>
      </c>
      <c r="J8" s="133">
        <f t="shared" si="2"/>
        <v>200</v>
      </c>
      <c r="K8" s="133">
        <f t="shared" si="3"/>
        <v>17000</v>
      </c>
      <c r="L8" s="133">
        <f>Vendedor5!$F$19+Vendedor5!$F$20</f>
        <v>16000</v>
      </c>
      <c r="M8" s="155"/>
      <c r="N8" s="133">
        <f t="shared" si="0"/>
        <v>1350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21900</v>
      </c>
      <c r="D10" s="30">
        <f>IF(Vendedor7!$E$19="",0,Vendedor7!$E$19)</f>
        <v>0</v>
      </c>
      <c r="E10" s="180">
        <f>IF(Vendedor7!$C$20="",0,Vendedor7!$C$20)</f>
        <v>15100</v>
      </c>
      <c r="F10" s="30">
        <f>IF(Vendedor7!$E$20="",0,Vendedor7!$E$20)</f>
        <v>0</v>
      </c>
      <c r="H10" s="42">
        <f t="shared" si="1"/>
        <v>37000</v>
      </c>
      <c r="I10" s="41">
        <f>MROUND(H10*Vendedor7!J$14,50)</f>
        <v>4450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32550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25600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25600</v>
      </c>
      <c r="I12" s="148">
        <f>MROUND(H12*Vendedor9!J$11,50)</f>
        <v>3050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22550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8000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8000</v>
      </c>
      <c r="I16" s="148">
        <f>MROUND(H16*Vendedor13!J$11,50)</f>
        <v>950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7050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67850</v>
      </c>
      <c r="D17" s="30">
        <f>IF(Vendedor14!$E$19="",0,Vendedor14!$E$19)</f>
        <v>2800</v>
      </c>
      <c r="E17" s="180">
        <f>IF(Vendedor14!$C$20="",0,Vendedor14!$C$20)</f>
        <v>47350</v>
      </c>
      <c r="F17" s="30">
        <f>IF(Vendedor14!$E$20="",0,Vendedor14!$E$20)</f>
        <v>1200</v>
      </c>
      <c r="H17" s="42">
        <f t="shared" si="1"/>
        <v>115200</v>
      </c>
      <c r="I17" s="41">
        <f>MROUND(H17*Vendedor14!J$15,50)</f>
        <v>13800</v>
      </c>
      <c r="J17" s="42">
        <f t="shared" si="2"/>
        <v>4000</v>
      </c>
      <c r="K17" s="42">
        <f t="shared" si="3"/>
        <v>340000</v>
      </c>
      <c r="L17" s="42">
        <f>Vendedor14!$F$19+Vendedor14!$F$20</f>
        <v>340000</v>
      </c>
      <c r="N17" s="42">
        <f t="shared" si="0"/>
        <v>-238600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69700</v>
      </c>
      <c r="D18" s="30">
        <f>IF(Vendedor15!$E$19="",0,Vendedor15!$E$19)</f>
        <v>400</v>
      </c>
      <c r="E18" s="180">
        <f>IF(Vendedor15!$C$20="",0,Vendedor15!$C$20)</f>
        <v>30900</v>
      </c>
      <c r="F18" s="30">
        <f>IF(Vendedor15!$E$20="",0,Vendedor15!$E$20)</f>
        <v>800</v>
      </c>
      <c r="H18" s="42">
        <f t="shared" si="1"/>
        <v>100600</v>
      </c>
      <c r="I18" s="41">
        <f>MROUND(H18*Vendedor15!J$15,50)</f>
        <v>12050</v>
      </c>
      <c r="J18" s="42">
        <f t="shared" si="2"/>
        <v>1200</v>
      </c>
      <c r="K18" s="42">
        <f t="shared" si="3"/>
        <v>102000</v>
      </c>
      <c r="L18" s="42">
        <f>Vendedor15!$F$19+Vendedor15!$F$20</f>
        <v>102000</v>
      </c>
      <c r="N18" s="42">
        <f t="shared" si="0"/>
        <v>-13450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213650</v>
      </c>
      <c r="D32" s="44">
        <f>SUM(D4:D31)</f>
        <v>3200</v>
      </c>
      <c r="E32" s="43">
        <f>SUM(E4:E31)</f>
        <v>104050</v>
      </c>
      <c r="F32" s="44">
        <f>SUM(F4:F31)</f>
        <v>2200</v>
      </c>
      <c r="H32" s="95">
        <f>SUM(H4:H31)</f>
        <v>317700</v>
      </c>
      <c r="I32" s="45">
        <f>SUM(I7:I31)</f>
        <v>36650</v>
      </c>
      <c r="J32" s="95"/>
      <c r="K32" s="95">
        <f>SUM(K4:K31)</f>
        <v>459000</v>
      </c>
      <c r="L32" s="95">
        <f>SUM(L4:L31)</f>
        <v>458000</v>
      </c>
      <c r="N32" s="79">
        <f>SUM(N4:N31)</f>
        <v>-178450</v>
      </c>
    </row>
    <row r="33" spans="3:6" x14ac:dyDescent="0.35">
      <c r="D33" s="99">
        <f>+D32*85</f>
        <v>272000</v>
      </c>
      <c r="F33" s="99">
        <f>+F32*85</f>
        <v>187000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317700</v>
      </c>
      <c r="E36" s="43">
        <f>+D36-H4-H5-H6</f>
        <v>306100</v>
      </c>
    </row>
    <row r="37" spans="3:6" x14ac:dyDescent="0.35">
      <c r="C37" s="47" t="s">
        <v>33</v>
      </c>
      <c r="D37" s="48">
        <f>D36*13%</f>
        <v>41301</v>
      </c>
      <c r="E37">
        <f>+D37-I4-I5-I6</f>
        <v>39801</v>
      </c>
    </row>
    <row r="38" spans="3:6" ht="15" thickBot="1" x14ac:dyDescent="0.4">
      <c r="C38" s="47" t="s">
        <v>30</v>
      </c>
      <c r="D38" s="30">
        <f>SUM(K4:K27)</f>
        <v>459000</v>
      </c>
    </row>
    <row r="39" spans="3:6" ht="15" thickBot="1" x14ac:dyDescent="0.4">
      <c r="C39" s="49" t="s">
        <v>4</v>
      </c>
      <c r="D39" s="80">
        <f>+D36-D37-D38</f>
        <v>-182601</v>
      </c>
      <c r="F39" s="98">
        <f>+N32-D39</f>
        <v>4151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-182601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95</v>
      </c>
      <c r="D2" s="268"/>
      <c r="E2" s="267">
        <f>DigitaHONDURAS!E2</f>
        <v>19</v>
      </c>
      <c r="F2" s="268"/>
      <c r="G2" s="267">
        <f>DigitaHONDURAS!G2</f>
        <v>28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15600</v>
      </c>
      <c r="D10" s="30">
        <f>IF(Vendedor7!$E$21="",0,Vendedor7!$E$21)</f>
        <v>0</v>
      </c>
      <c r="E10" s="180">
        <f>IF(Vendedor7!$C$22="",0,Vendedor7!$C$22)</f>
        <v>4200</v>
      </c>
      <c r="F10" s="30">
        <f>IF(Vendedor7!$E$22="",0,Vendedor7!$E$22)</f>
        <v>0</v>
      </c>
      <c r="G10" s="180">
        <f>IF(Vendedor7!$C$23="",0,Vendedor7!$C$23)</f>
        <v>8100</v>
      </c>
      <c r="H10" s="30">
        <f>IF(Vendedor7!$E$23="",0,Vendedor7!$E$23)</f>
        <v>700</v>
      </c>
      <c r="J10" s="42">
        <f t="shared" si="0"/>
        <v>27900</v>
      </c>
      <c r="K10" s="41">
        <f>MROUND(J10*Vendedor7!J$14,50)</f>
        <v>3350</v>
      </c>
      <c r="L10" s="42">
        <f t="shared" si="1"/>
        <v>700</v>
      </c>
      <c r="M10" s="42">
        <f t="shared" si="3"/>
        <v>59500</v>
      </c>
      <c r="N10" s="42">
        <f>Vendedor7!$F$21+Vendedor7!$F$22+Vendedor7!$F$23</f>
        <v>59500</v>
      </c>
      <c r="P10" s="42">
        <f t="shared" si="2"/>
        <v>-34950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54350</v>
      </c>
      <c r="D17" s="30">
        <f>IF(Vendedor14!$E$21="",0,Vendedor14!$E$21)</f>
        <v>100</v>
      </c>
      <c r="E17" s="180">
        <f>IF(Vendedor14!$C$22="",0,Vendedor14!$C$22)</f>
        <v>15200</v>
      </c>
      <c r="F17" s="30">
        <f>IF(Vendedor14!$E$22="",0,Vendedor14!$E$22)</f>
        <v>0</v>
      </c>
      <c r="G17" s="180">
        <f>IF(Vendedor14!$C$23="",0,Vendedor14!$C$23)</f>
        <v>27450</v>
      </c>
      <c r="H17" s="30">
        <f>IF(Vendedor14!$E$23="",0,Vendedor14!$E$23)</f>
        <v>300</v>
      </c>
      <c r="J17" s="42">
        <f t="shared" si="0"/>
        <v>97000</v>
      </c>
      <c r="K17" s="41">
        <f>MROUND(J17*Vendedor14!J$15,50)</f>
        <v>11650</v>
      </c>
      <c r="L17" s="42">
        <f t="shared" si="1"/>
        <v>400</v>
      </c>
      <c r="M17" s="42">
        <f t="shared" si="3"/>
        <v>34000</v>
      </c>
      <c r="N17" s="42">
        <f>Vendedor14!$F$21+Vendedor14!$F$22+Vendedor14!$F$23</f>
        <v>34000</v>
      </c>
      <c r="P17" s="42">
        <f t="shared" si="2"/>
        <v>51350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23300</v>
      </c>
      <c r="D18" s="30">
        <f>IF(Vendedor15!$E$21="",0,Vendedor15!$E$21)</f>
        <v>0</v>
      </c>
      <c r="E18" s="180">
        <f>IF(Vendedor15!$C$22="",0,Vendedor15!$C$22)</f>
        <v>4900</v>
      </c>
      <c r="F18" s="30">
        <f>IF(Vendedor15!$E$22="",0,Vendedor15!$E$22)</f>
        <v>200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28200</v>
      </c>
      <c r="K18" s="41">
        <f>MROUND(J18*Vendedor15!J$15,50)</f>
        <v>3400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7800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93250</v>
      </c>
      <c r="D32" s="44">
        <f t="shared" si="8"/>
        <v>100</v>
      </c>
      <c r="E32" s="43">
        <f t="shared" si="8"/>
        <v>24300</v>
      </c>
      <c r="F32" s="44">
        <f t="shared" si="8"/>
        <v>200</v>
      </c>
      <c r="G32" s="43">
        <f t="shared" si="8"/>
        <v>35550</v>
      </c>
      <c r="H32" s="44">
        <f t="shared" si="8"/>
        <v>1000</v>
      </c>
      <c r="J32" s="95">
        <f>SUM(J4:J31)</f>
        <v>153100</v>
      </c>
      <c r="K32" s="45">
        <f>SUM(K7:K31)</f>
        <v>18400</v>
      </c>
      <c r="L32" s="95"/>
      <c r="M32" s="95">
        <f>SUM(M4:M31)</f>
        <v>110500</v>
      </c>
      <c r="N32" s="95">
        <f>SUM(N4:N31)</f>
        <v>110500</v>
      </c>
      <c r="P32" s="79">
        <f>SUM(P4:P31)</f>
        <v>24200</v>
      </c>
    </row>
    <row r="33" spans="3:8" x14ac:dyDescent="0.35">
      <c r="D33" s="99">
        <f>+D32*85</f>
        <v>8500</v>
      </c>
      <c r="F33" s="99">
        <f>+F32*85</f>
        <v>17000</v>
      </c>
      <c r="H33" s="99">
        <f>+H32*85</f>
        <v>85000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153100</v>
      </c>
      <c r="E36" s="43">
        <f>+D36-J4-J5-J6</f>
        <v>153100</v>
      </c>
    </row>
    <row r="37" spans="3:8" x14ac:dyDescent="0.35">
      <c r="C37" s="47" t="s">
        <v>33</v>
      </c>
      <c r="D37" s="48">
        <f>D36*13%</f>
        <v>19903</v>
      </c>
      <c r="E37">
        <f>+D37-K4-K5-K6</f>
        <v>19903</v>
      </c>
    </row>
    <row r="38" spans="3:8" ht="15" thickBot="1" x14ac:dyDescent="0.4">
      <c r="C38" s="47" t="s">
        <v>30</v>
      </c>
      <c r="D38" s="30">
        <f>SUM(M4:M27)</f>
        <v>110500</v>
      </c>
      <c r="G38" s="100"/>
    </row>
    <row r="39" spans="3:8" ht="15" thickBot="1" x14ac:dyDescent="0.4">
      <c r="C39" s="49" t="s">
        <v>4</v>
      </c>
      <c r="D39" s="80">
        <f>+D36-D37-D38</f>
        <v>22697</v>
      </c>
      <c r="F39" s="98">
        <f>+P32-D39</f>
        <v>1503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22697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50</v>
      </c>
      <c r="D2" s="268"/>
      <c r="E2" s="267">
        <f>DigitaDOMINICANA!E2</f>
        <v>74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27500</v>
      </c>
      <c r="D10" s="30">
        <f>IF(Vendedor7!$E$24="",0,Vendedor7!$E$24)</f>
        <v>0</v>
      </c>
      <c r="E10" s="180">
        <f>IF(Vendedor7!$C$25="",0,Vendedor7!$C$25)</f>
        <v>31250</v>
      </c>
      <c r="F10" s="30">
        <f>IF(Vendedor7!$E$25="",0,Vendedor7!$E$25)</f>
        <v>0</v>
      </c>
      <c r="H10" s="42">
        <f t="shared" si="1"/>
        <v>58750</v>
      </c>
      <c r="I10" s="41">
        <f>MROUND(H10*Vendedor7!J$14,50)</f>
        <v>7050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51700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27500</v>
      </c>
      <c r="D32" s="44">
        <f>SUM(D4:D31)</f>
        <v>0</v>
      </c>
      <c r="E32" s="43">
        <f>SUM(E4:E31)</f>
        <v>31250</v>
      </c>
      <c r="F32" s="44">
        <f>SUM(F4:F31)</f>
        <v>0</v>
      </c>
      <c r="H32" s="95">
        <f>SUM(H4:H31)</f>
        <v>58750</v>
      </c>
      <c r="I32" s="45">
        <f>SUM(I7:I31)</f>
        <v>7050</v>
      </c>
      <c r="J32" s="95"/>
      <c r="K32" s="95">
        <f>SUM(K4:K31)</f>
        <v>0</v>
      </c>
      <c r="L32" s="95">
        <f>SUM(L4:L31)</f>
        <v>0</v>
      </c>
      <c r="N32" s="79">
        <f>SUM(N4:N31)</f>
        <v>51700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58750</v>
      </c>
      <c r="E36" s="43">
        <f>+D36-H4-H5-H6</f>
        <v>58750</v>
      </c>
    </row>
    <row r="37" spans="3:6" x14ac:dyDescent="0.35">
      <c r="C37" s="47" t="s">
        <v>33</v>
      </c>
      <c r="D37" s="48">
        <f>D36*13%</f>
        <v>7637.5</v>
      </c>
      <c r="E37">
        <f>+D37-I4-I5-I6</f>
        <v>7637.5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51112.5</v>
      </c>
      <c r="F39" s="98">
        <f>+N32-D39</f>
        <v>587.5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51112.5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12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5100</v>
      </c>
      <c r="D17" s="30">
        <f>IF(Vendedor14!$E$26="",0,Vendedor14!$E$26)</f>
        <v>500</v>
      </c>
      <c r="F17" s="42">
        <f t="shared" si="1"/>
        <v>5100</v>
      </c>
      <c r="G17" s="41">
        <f>MROUND(F17*Vendedor14!J$15,50)</f>
        <v>600</v>
      </c>
      <c r="H17" s="42">
        <f t="shared" si="2"/>
        <v>500</v>
      </c>
      <c r="I17" s="42">
        <f t="shared" si="3"/>
        <v>42500</v>
      </c>
      <c r="J17" s="42">
        <f>Vendedor14!$F$26</f>
        <v>42500</v>
      </c>
      <c r="L17" s="42">
        <f t="shared" si="0"/>
        <v>-38000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5100</v>
      </c>
      <c r="D32" s="44">
        <f>SUM(D4:D31)</f>
        <v>500</v>
      </c>
      <c r="F32" s="95">
        <f>SUM(F4:F31)</f>
        <v>5100</v>
      </c>
      <c r="G32" s="95">
        <f>SUM(G7:G31)</f>
        <v>600</v>
      </c>
      <c r="H32" s="95"/>
      <c r="I32" s="95">
        <f>SUM(I4:I31)</f>
        <v>42500</v>
      </c>
      <c r="J32" s="95">
        <f>SUM(J4:J31)</f>
        <v>42500</v>
      </c>
      <c r="L32" s="91">
        <f>SUM(L4:L31)</f>
        <v>-38000</v>
      </c>
    </row>
    <row r="33" spans="3:6" ht="16" customHeight="1" x14ac:dyDescent="0.35">
      <c r="D33" s="99">
        <f>+D32*85</f>
        <v>42500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5100</v>
      </c>
      <c r="F36" s="43">
        <f>+D36-F4-F5-F6</f>
        <v>5100</v>
      </c>
    </row>
    <row r="37" spans="3:6" x14ac:dyDescent="0.35">
      <c r="C37" s="47" t="s">
        <v>33</v>
      </c>
      <c r="D37" s="30">
        <f>D36*14%</f>
        <v>714.00000000000011</v>
      </c>
      <c r="E37" s="43"/>
      <c r="F37" s="43">
        <f>+D37-G4-G5-G6</f>
        <v>714.00000000000011</v>
      </c>
    </row>
    <row r="38" spans="3:6" x14ac:dyDescent="0.35">
      <c r="C38" s="47" t="s">
        <v>30</v>
      </c>
      <c r="D38" s="30">
        <f>SUM(I4:I27)</f>
        <v>42500</v>
      </c>
    </row>
    <row r="39" spans="3:6" ht="15" thickBot="1" x14ac:dyDescent="0.4">
      <c r="C39" s="49" t="s">
        <v>4</v>
      </c>
      <c r="D39" s="80">
        <f>+D36-D37-D38</f>
        <v>-38114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-38114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25-04-2026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1082450</v>
      </c>
      <c r="C4" s="157">
        <f>HojaNICA!M32</f>
        <v>129850</v>
      </c>
      <c r="D4" s="150">
        <f>HojaNICA!E37</f>
        <v>140725.5</v>
      </c>
      <c r="E4" s="150">
        <f>HojaNICA!P32</f>
        <v>736500</v>
      </c>
      <c r="F4" s="150">
        <f>HojaNICA!O32</f>
        <v>743750</v>
      </c>
      <c r="G4" s="151">
        <f t="shared" ref="G4:G10" si="0">+D4-C4+F4-E4</f>
        <v>18125.5</v>
      </c>
      <c r="H4" s="21"/>
      <c r="I4" s="182"/>
    </row>
    <row r="5" spans="1:9" x14ac:dyDescent="0.35">
      <c r="A5" s="28" t="s">
        <v>19</v>
      </c>
      <c r="B5" s="156">
        <f>HojaTICA!$E$36</f>
        <v>1528200</v>
      </c>
      <c r="C5" s="157">
        <f>HojaTICA!K32</f>
        <v>185700</v>
      </c>
      <c r="D5" s="150">
        <f>HojaTICA!E37</f>
        <v>198635</v>
      </c>
      <c r="E5" s="150">
        <f>HojaTICA!N32</f>
        <v>930750</v>
      </c>
      <c r="F5" s="150">
        <f>HojaTICA!D38</f>
        <v>930750</v>
      </c>
      <c r="G5" s="151">
        <f t="shared" si="0"/>
        <v>12935</v>
      </c>
      <c r="H5" s="21"/>
      <c r="I5" s="182"/>
    </row>
    <row r="6" spans="1:9" x14ac:dyDescent="0.35">
      <c r="A6" s="28" t="s">
        <v>125</v>
      </c>
      <c r="B6" s="156">
        <f>HojaREVENTADO!$E$37</f>
        <v>220950</v>
      </c>
      <c r="C6" s="157">
        <f>HojaREVENTADO!K33</f>
        <v>22095</v>
      </c>
      <c r="D6" s="150">
        <f>HojaREVENTADO!E38</f>
        <v>22095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306100</v>
      </c>
      <c r="C7" s="157">
        <f>HojaPrimera!I32</f>
        <v>36650</v>
      </c>
      <c r="D7" s="150">
        <f>HojaPrimera!E37</f>
        <v>39801</v>
      </c>
      <c r="E7" s="150">
        <f>HojaPrimera!L32</f>
        <v>458000</v>
      </c>
      <c r="F7" s="150">
        <f>HojaPrimera!K32</f>
        <v>459000</v>
      </c>
      <c r="G7" s="151">
        <f t="shared" si="0"/>
        <v>4151</v>
      </c>
      <c r="H7" s="21"/>
      <c r="I7" s="21"/>
    </row>
    <row r="8" spans="1:9" x14ac:dyDescent="0.35">
      <c r="A8" s="28" t="s">
        <v>104</v>
      </c>
      <c r="B8" s="156">
        <f>HojaHonduras!$E$36</f>
        <v>153100</v>
      </c>
      <c r="C8" s="157">
        <f>HojaHonduras!K32</f>
        <v>18400</v>
      </c>
      <c r="D8" s="150">
        <f>HojaHonduras!E37</f>
        <v>19903</v>
      </c>
      <c r="E8" s="150">
        <f>HojaHonduras!N32</f>
        <v>110500</v>
      </c>
      <c r="F8" s="150">
        <f>HojaHonduras!M32</f>
        <v>110500</v>
      </c>
      <c r="G8" s="151">
        <f t="shared" si="0"/>
        <v>1503</v>
      </c>
      <c r="H8" s="21"/>
      <c r="I8" s="21"/>
    </row>
    <row r="9" spans="1:9" x14ac:dyDescent="0.35">
      <c r="A9" s="28" t="s">
        <v>20</v>
      </c>
      <c r="B9" s="156">
        <f>HojaDominicana!$E$36</f>
        <v>58750</v>
      </c>
      <c r="C9" s="157">
        <f>HojaDominicana!I32</f>
        <v>7050</v>
      </c>
      <c r="D9" s="150">
        <f>HojaDominicana!E37</f>
        <v>7637.5</v>
      </c>
      <c r="E9" s="150">
        <f>HojaDominicana!L32</f>
        <v>0</v>
      </c>
      <c r="F9" s="150">
        <f>HojaDominicana!K32</f>
        <v>0</v>
      </c>
      <c r="G9" s="151">
        <f t="shared" si="0"/>
        <v>587.5</v>
      </c>
      <c r="H9" s="21"/>
      <c r="I9" s="21"/>
    </row>
    <row r="10" spans="1:9" ht="15" thickBot="1" x14ac:dyDescent="0.4">
      <c r="A10" s="167" t="s">
        <v>21</v>
      </c>
      <c r="B10" s="168">
        <f>HojaPANA!F36</f>
        <v>5100</v>
      </c>
      <c r="C10" s="169">
        <f>HojaPANA!G32</f>
        <v>600</v>
      </c>
      <c r="D10" s="170">
        <f>HojaPANA!F37</f>
        <v>714.00000000000011</v>
      </c>
      <c r="E10" s="170">
        <f>HojaPANA!J32</f>
        <v>42500</v>
      </c>
      <c r="F10" s="170">
        <f>HojaPANA!I32</f>
        <v>42500</v>
      </c>
      <c r="G10" s="171">
        <f t="shared" si="0"/>
        <v>114</v>
      </c>
      <c r="H10" s="21"/>
      <c r="I10" s="21"/>
    </row>
    <row r="11" spans="1:9" ht="19" thickBot="1" x14ac:dyDescent="0.5">
      <c r="A11" s="174" t="s">
        <v>32</v>
      </c>
      <c r="B11" s="175">
        <f>SUM(B4:B10)</f>
        <v>3354650</v>
      </c>
      <c r="C11" s="175">
        <f>SUM(C4:C10)</f>
        <v>400345</v>
      </c>
      <c r="D11" s="175">
        <f t="shared" ref="D11:F11" si="1">SUM(D4:D10)</f>
        <v>429511</v>
      </c>
      <c r="E11" s="175">
        <f t="shared" si="1"/>
        <v>2278250</v>
      </c>
      <c r="F11" s="175">
        <f t="shared" si="1"/>
        <v>2286500</v>
      </c>
      <c r="G11" s="176">
        <f>SUM(G4:G10)</f>
        <v>37416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22416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195250</v>
      </c>
      <c r="E16" s="157">
        <f>+Vendedor1!D21</f>
        <v>25382.5</v>
      </c>
      <c r="F16" s="158">
        <f>IF(D16&lt;&gt;0,15000,0)</f>
        <v>15000</v>
      </c>
      <c r="G16" s="151">
        <f>+E16-F16</f>
        <v>10382.5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156550</v>
      </c>
      <c r="E17" s="157">
        <f>+Vendedor2!D21</f>
        <v>20351.5</v>
      </c>
      <c r="F17" s="158">
        <f>IF(D17&lt;&gt;0,15000,0)</f>
        <v>15000</v>
      </c>
      <c r="G17" s="151">
        <f>+E17-F17</f>
        <v>5351.5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351800</v>
      </c>
      <c r="E19" s="159">
        <f>SUM(E16:E18)</f>
        <v>45734</v>
      </c>
      <c r="F19" s="160">
        <f>SUM(F16:F18)</f>
        <v>30000</v>
      </c>
      <c r="G19" s="161">
        <f>SUM(G16:G18)</f>
        <v>15734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38150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25-04-2026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1136350</v>
      </c>
      <c r="C5" s="150">
        <f>HojaNICA!D37</f>
        <v>147725.5</v>
      </c>
      <c r="D5" s="150">
        <f>HojaNICA!D38</f>
        <v>743750</v>
      </c>
      <c r="E5" s="150"/>
      <c r="F5" s="151">
        <f>+B5-C5-D5+E5</f>
        <v>244874.5</v>
      </c>
      <c r="H5" s="249" t="s">
        <v>105</v>
      </c>
      <c r="I5" s="243">
        <f ca="1">TODAY()-2</f>
        <v>46137</v>
      </c>
      <c r="O5" s="119"/>
    </row>
    <row r="6" spans="1:15" ht="15" thickBot="1" x14ac:dyDescent="0.4">
      <c r="A6" s="47" t="s">
        <v>36</v>
      </c>
      <c r="B6" s="150">
        <f>HojaTICA!D36</f>
        <v>1814500</v>
      </c>
      <c r="C6" s="150">
        <f>HojaTICA!D37</f>
        <v>235885</v>
      </c>
      <c r="D6" s="150">
        <f>HojaTICA!D38</f>
        <v>930750</v>
      </c>
      <c r="E6" s="150"/>
      <c r="F6" s="151">
        <f t="shared" ref="F6:F11" si="0">+B6-C6-D6+E6</f>
        <v>647865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220950</v>
      </c>
      <c r="C7" s="150">
        <f>HojaREVENTADO!D38</f>
        <v>22095</v>
      </c>
      <c r="D7" s="150">
        <f>HojaREVENTADO!D39</f>
        <v>0</v>
      </c>
      <c r="E7" s="150"/>
      <c r="F7" s="151">
        <f t="shared" si="0"/>
        <v>198855</v>
      </c>
    </row>
    <row r="8" spans="1:15" x14ac:dyDescent="0.35">
      <c r="A8" s="47" t="s">
        <v>96</v>
      </c>
      <c r="B8" s="150">
        <f>HojaPrimera!$D36</f>
        <v>317700</v>
      </c>
      <c r="C8" s="150">
        <f>HojaPrimera!$D37</f>
        <v>41301</v>
      </c>
      <c r="D8" s="150">
        <f>HojaPrimera!$D38</f>
        <v>459000</v>
      </c>
      <c r="E8" s="150"/>
      <c r="F8" s="151">
        <f t="shared" si="0"/>
        <v>-182601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153100</v>
      </c>
      <c r="C9" s="150">
        <f>HojaHonduras!$D37</f>
        <v>19903</v>
      </c>
      <c r="D9" s="150">
        <f>HojaHonduras!$D38</f>
        <v>110500</v>
      </c>
      <c r="E9" s="150"/>
      <c r="F9" s="151">
        <f t="shared" si="0"/>
        <v>22697</v>
      </c>
      <c r="H9" s="250">
        <f>+K12-K10-H6</f>
        <v>944689</v>
      </c>
    </row>
    <row r="10" spans="1:15" ht="15" thickBot="1" x14ac:dyDescent="0.4">
      <c r="A10" s="47" t="s">
        <v>20</v>
      </c>
      <c r="B10" s="150">
        <f>HojaDominicana!$D36</f>
        <v>58750</v>
      </c>
      <c r="C10" s="150">
        <f>HojaDominicana!$D37</f>
        <v>7637.5</v>
      </c>
      <c r="D10" s="150">
        <f>HojaDominicana!$D38</f>
        <v>0</v>
      </c>
      <c r="E10" s="150"/>
      <c r="F10" s="151">
        <f t="shared" si="0"/>
        <v>51112.5</v>
      </c>
      <c r="H10" s="154"/>
      <c r="J10" t="s">
        <v>148</v>
      </c>
      <c r="K10" s="252">
        <v>7699041.4100000001</v>
      </c>
    </row>
    <row r="11" spans="1:15" ht="15" thickBot="1" x14ac:dyDescent="0.4">
      <c r="A11" s="47" t="s">
        <v>21</v>
      </c>
      <c r="B11" s="150">
        <f>HojaPANA!$D36</f>
        <v>5100</v>
      </c>
      <c r="C11" s="150">
        <f>HojaPANA!$D37</f>
        <v>714.00000000000011</v>
      </c>
      <c r="D11" s="165">
        <f>HojaPANA!$D38</f>
        <v>42500</v>
      </c>
      <c r="E11" s="150"/>
      <c r="F11" s="151">
        <f t="shared" si="0"/>
        <v>-38114</v>
      </c>
      <c r="H11" s="214" t="s">
        <v>154</v>
      </c>
      <c r="J11" t="s">
        <v>158</v>
      </c>
      <c r="K11" s="253">
        <f>+K10+F12+H6</f>
        <v>8643730.4100000001</v>
      </c>
    </row>
    <row r="12" spans="1:15" ht="16" thickBot="1" x14ac:dyDescent="0.4">
      <c r="A12" s="144" t="s">
        <v>5</v>
      </c>
      <c r="B12" s="152">
        <f>SUM(B5:B11)</f>
        <v>3706450</v>
      </c>
      <c r="C12" s="152">
        <f>SUM(C5:C11)</f>
        <v>475261</v>
      </c>
      <c r="D12" s="152">
        <f>SUM(D5:D11)</f>
        <v>2286500</v>
      </c>
      <c r="E12" s="152"/>
      <c r="F12" s="255">
        <f>SUM(F5:F11)</f>
        <v>944689</v>
      </c>
      <c r="H12" s="251">
        <f>K12</f>
        <v>8643730.4100000001</v>
      </c>
      <c r="J12" t="s">
        <v>140</v>
      </c>
      <c r="K12" s="254">
        <f>1955353.89+4663214.24+984989.8+1040172.48</f>
        <v>8643730.4100000001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146400</v>
      </c>
      <c r="K4" s="231">
        <f t="shared" ref="K4" si="0">D7+D11+D15</f>
        <v>19032</v>
      </c>
      <c r="L4" s="220">
        <f>F7+F11+F15</f>
        <v>59500</v>
      </c>
    </row>
    <row r="5" spans="1:12" x14ac:dyDescent="0.35">
      <c r="A5" s="28" t="s">
        <v>43</v>
      </c>
      <c r="B5" s="132">
        <f>IF(DigitaNICA!C2&lt;&gt;"",DigitaNICA!C2,"")</f>
        <v>31</v>
      </c>
      <c r="C5" s="29">
        <f>IF(DigitaNICA!C4&lt;&gt;"",DigitaNICA!C4,"")</f>
        <v>22200</v>
      </c>
      <c r="D5" s="42">
        <f>IF(C5="",0,C5*J$10)</f>
        <v>2886</v>
      </c>
      <c r="E5" s="29">
        <f>IF(DigitaNICA!D4&lt;&gt;"",DigitaNICA!D4,"")</f>
        <v>500</v>
      </c>
      <c r="F5" s="42">
        <f>IF(E5="",0,E5*PREMIOS!E5)</f>
        <v>40000</v>
      </c>
      <c r="G5" s="30">
        <f t="shared" ref="G5:G12" si="1">IF(OR(C5="",E5=""),0,C5-D5-F5)</f>
        <v>-20686</v>
      </c>
      <c r="I5" s="241" t="s">
        <v>37</v>
      </c>
      <c r="J5" s="221">
        <f>SUM(IF(C5="",0,C5),IF(C9="",0,C9),IF(C13="",0,C13),IF(C17="",0,C17))</f>
        <v>38750</v>
      </c>
      <c r="K5" s="225">
        <f t="shared" ref="K5" si="2">D5+D9+D13+D17</f>
        <v>5037.5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10100</v>
      </c>
      <c r="K6" s="228">
        <f>D19+D20</f>
        <v>1313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IF(DigitaTICA!C4&lt;&gt;"",DigitaTICA!C4,"")</f>
        <v>46550</v>
      </c>
      <c r="D7" s="42">
        <f>IF(C7="",0,C7*J$9)</f>
        <v>6051.5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23498.5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87</v>
      </c>
      <c r="C9" s="29">
        <f>IF(DigitaNICA!E4&lt;&gt;"",DigitaNICA!E4,"")</f>
        <v>6700</v>
      </c>
      <c r="D9" s="42">
        <f>IF(C9="",0,C9*J$10)</f>
        <v>871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5829</v>
      </c>
      <c r="I9" s="76" t="s">
        <v>36</v>
      </c>
      <c r="J9" s="77">
        <v>0.13</v>
      </c>
      <c r="K9" s="78">
        <f>MROUND(D7+D11+D15,50)</f>
        <v>19050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5050</v>
      </c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IF(DigitaTICA!E4&lt;&gt;"",DigitaTICA!E4,"")</f>
        <v>19350</v>
      </c>
      <c r="D11" s="42">
        <f>IF(C11="",0,C11*J$9)</f>
        <v>2515.5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16834.5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1300</v>
      </c>
    </row>
    <row r="13" spans="1:12" x14ac:dyDescent="0.35">
      <c r="A13" s="28" t="s">
        <v>50</v>
      </c>
      <c r="B13" s="132">
        <f>IF(DigitaNICA!G2&lt;&gt;"",DigitaNICA!G2,"")</f>
        <v>31</v>
      </c>
      <c r="C13" s="29">
        <f>IF(DigitaNICA!G4&lt;&gt;"",DigitaNICA!G4,"")</f>
        <v>4350</v>
      </c>
      <c r="D13" s="42">
        <f>IF(C13="",0,C13*J$10)</f>
        <v>565.5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3784.5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IF(DigitaTICA!G4&lt;&gt;"",DigitaTICA!G4,"")</f>
        <v>80500</v>
      </c>
      <c r="D15" s="42">
        <f>IF(C15="",0,C15*J$9)</f>
        <v>10465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27535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IF(DigitaNICA!I4&lt;&gt;"",DigitaNICA!I4,"")</f>
        <v>5500</v>
      </c>
      <c r="D17" s="42">
        <f>IF(C17="",0,C17*J$10)</f>
        <v>715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4785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IF(DigitaPRIMERA!C4&lt;&gt;"",DigitaPRIMERA!C4,"")</f>
        <v>8250</v>
      </c>
      <c r="D19" s="42">
        <f>IF(C19="",0,C19*J$12)</f>
        <v>1072.5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7177.5</v>
      </c>
    </row>
    <row r="20" spans="1:7" x14ac:dyDescent="0.35">
      <c r="A20" s="28" t="s">
        <v>98</v>
      </c>
      <c r="B20" s="132">
        <f>IF(DigitaPRIMERA!E2&lt;&gt;"",DigitaPRIMERA!E2,"")</f>
        <v>21</v>
      </c>
      <c r="C20" s="29">
        <f>IF(DigitaPRIMERA!E4&lt;&gt;"",DigitaPRIMERA!E4,"")</f>
        <v>1850</v>
      </c>
      <c r="D20" s="42">
        <f>IF(C20="",0,C20*J$12)</f>
        <v>240.5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1609.5</v>
      </c>
    </row>
    <row r="21" spans="1:7" ht="15" thickBot="1" x14ac:dyDescent="0.4">
      <c r="A21" s="121" t="s">
        <v>5</v>
      </c>
      <c r="B21" s="128"/>
      <c r="C21" s="122">
        <f>SUM(C5:C20)</f>
        <v>195250</v>
      </c>
      <c r="D21" s="122">
        <f t="shared" ref="D21:G21" si="6">SUM(D5:D20)</f>
        <v>25382.5</v>
      </c>
      <c r="E21" s="122">
        <f t="shared" si="6"/>
        <v>1200</v>
      </c>
      <c r="F21" s="122">
        <f t="shared" si="6"/>
        <v>99500</v>
      </c>
      <c r="G21" s="123">
        <f t="shared" si="6"/>
        <v>70367.5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139900</v>
      </c>
      <c r="K4" s="231">
        <f t="shared" ref="K4" si="0">D7+D11+D15</f>
        <v>18187</v>
      </c>
      <c r="L4" s="220">
        <f>F7+F11+F15</f>
        <v>187000</v>
      </c>
    </row>
    <row r="5" spans="1:12" x14ac:dyDescent="0.35">
      <c r="A5" s="28" t="s">
        <v>43</v>
      </c>
      <c r="B5" s="132">
        <f>IF(DigitaNICA!C2&lt;&gt;"",DigitaNICA!C2,"")</f>
        <v>31</v>
      </c>
      <c r="C5" s="29">
        <f>IF(DigitaNICA!C5&lt;&gt;"",DigitaNICA!C5,"")</f>
        <v>10150</v>
      </c>
      <c r="D5" s="42">
        <f>IF(C5="",0,C5*J$10)</f>
        <v>1319.5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8830.5</v>
      </c>
      <c r="I5" s="241" t="s">
        <v>37</v>
      </c>
      <c r="J5" s="221">
        <f>SUM(IF(C5="",0,C5),IF(C9="",0,C9),IF(C13="",0,C13),IF(C17="",0,C17))</f>
        <v>15150</v>
      </c>
      <c r="K5" s="225">
        <f t="shared" ref="K5" si="2">D5+D9+D13+D17</f>
        <v>1969.5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1500</v>
      </c>
      <c r="K6" s="228">
        <f>D19+D20</f>
        <v>195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IF(DigitaTICA!C5&lt;&gt;"",DigitaTICA!C5,"")</f>
        <v>41550</v>
      </c>
      <c r="D7" s="42">
        <f>IF(C7="",0,C7*J$9)</f>
        <v>5401.5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36148.5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87</v>
      </c>
      <c r="C9" s="29">
        <f>IF(DigitaNICA!E5&lt;&gt;"",DigitaNICA!E5,"")</f>
        <v>2000</v>
      </c>
      <c r="D9" s="42">
        <f>IF(C9="",0,C9*J$10)</f>
        <v>260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1740</v>
      </c>
      <c r="I9" s="60" t="s">
        <v>36</v>
      </c>
      <c r="J9" s="61">
        <v>0.13</v>
      </c>
      <c r="K9" s="62">
        <f>MROUND(D7+D11+D15,50)</f>
        <v>18200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1950</v>
      </c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IF(DigitaTICA!E5&lt;&gt;"",DigitaTICA!E5,"")</f>
        <v>27000</v>
      </c>
      <c r="D11" s="42">
        <f>IF(C11="",0,C11*J$9)</f>
        <v>3510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23490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>
        <f>IF(DigitaNICA!G2&lt;&gt;"",DigitaNICA!G2,"")</f>
        <v>31</v>
      </c>
      <c r="C13" s="29">
        <f>IF(DigitaNICA!G5&lt;&gt;"",DigitaNICA!G5,"")</f>
        <v>2000</v>
      </c>
      <c r="D13" s="42">
        <f>IF(C13="",0,C13*J$10)</f>
        <v>260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1740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IF(DigitaTICA!G5&lt;&gt;"",DigitaTICA!G5,"")</f>
        <v>71350</v>
      </c>
      <c r="D15" s="42">
        <f>IF(C15="",0,C15*J$9)</f>
        <v>9275.5</v>
      </c>
      <c r="E15" s="29">
        <f>IF(DigitaTICA!H5&lt;&gt;"",DigitaTICA!H5,"")</f>
        <v>2200</v>
      </c>
      <c r="F15" s="42">
        <f>IF(E15="",0,E15*PREMIOS!F15)</f>
        <v>187000</v>
      </c>
      <c r="G15" s="30">
        <f t="shared" si="3"/>
        <v>-124925.5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21</v>
      </c>
      <c r="C20" s="29">
        <f>IF(DigitaPRIMERA!E5&lt;&gt;"",DigitaPRIMERA!E5,"")</f>
        <v>1500</v>
      </c>
      <c r="D20" s="42">
        <f>IF(C20="",0,C20*J$12)</f>
        <v>195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1305</v>
      </c>
    </row>
    <row r="21" spans="1:7" ht="15" thickBot="1" x14ac:dyDescent="0.4">
      <c r="A21" s="67" t="s">
        <v>5</v>
      </c>
      <c r="B21" s="127"/>
      <c r="C21" s="68">
        <f>SUM(C5:C20)</f>
        <v>156550</v>
      </c>
      <c r="D21" s="68">
        <f t="shared" ref="D21:G21" si="4">SUM(D5:D20)</f>
        <v>20351.5</v>
      </c>
      <c r="E21" s="68">
        <f t="shared" si="4"/>
        <v>2200</v>
      </c>
      <c r="F21" s="68">
        <f t="shared" si="4"/>
        <v>187000</v>
      </c>
      <c r="G21" s="88">
        <f t="shared" si="4"/>
        <v>-50801.5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138200</v>
      </c>
      <c r="K4" s="231">
        <f t="shared" ref="K4" si="0">D7+D11+D15</f>
        <v>16584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31</v>
      </c>
      <c r="C5" s="29">
        <f>IF(DigitaNICA!C8&lt;&gt;"",DigitaNICA!C8,"")</f>
        <v>51100</v>
      </c>
      <c r="D5" s="42">
        <f>IF(C5="",0,C5*J$12)</f>
        <v>6132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4968</v>
      </c>
      <c r="I5" s="241" t="s">
        <v>37</v>
      </c>
      <c r="J5" s="221">
        <f>SUM(IF(C5="",0,C5),IF(C9="",0,C9),IF(C13="",0,C13),IF(C17="",0,C17))</f>
        <v>98000</v>
      </c>
      <c r="K5" s="225">
        <f t="shared" ref="K5" si="2">D5+D9+D13+D17</f>
        <v>11760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IF(DigitaTICA!C8&lt;&gt;"",DigitaTICA!C8,"")</f>
        <v>48950</v>
      </c>
      <c r="D7" s="42">
        <f>IF(C7="",0,C7*J$11)</f>
        <v>5874</v>
      </c>
      <c r="E7" s="29">
        <f>IF(DigitaTICA!D8&lt;&gt;"",DigitaTICA!D8,"")</f>
        <v>1000</v>
      </c>
      <c r="F7" s="42">
        <f>IF(E7="",0,E7*PREMIOS!F7)</f>
        <v>85000</v>
      </c>
      <c r="G7" s="30">
        <f t="shared" si="1"/>
        <v>-41924</v>
      </c>
      <c r="I7" s="242" t="s">
        <v>96</v>
      </c>
      <c r="J7" s="224">
        <f>SUM(IF(C19="",0,C19),IF(C20="",0,C20))</f>
        <v>19700</v>
      </c>
      <c r="K7" s="228">
        <f>+D19+D20</f>
        <v>2364</v>
      </c>
      <c r="L7" s="229">
        <f>+F19+F20</f>
        <v>16000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87</v>
      </c>
      <c r="C9" s="29">
        <f>IF(DigitaNICA!E8&lt;&gt;"",DigitaNICA!E8,"")</f>
        <v>28450</v>
      </c>
      <c r="D9" s="42">
        <f>IF(C9="",0,C9*J$12)</f>
        <v>3414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25036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IF(DigitaTICA!E8&lt;&gt;"",DigitaTICA!E8,"")</f>
        <v>32900</v>
      </c>
      <c r="D11" s="42">
        <f>IF(C11="",0,C11*J$11)</f>
        <v>3948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28952</v>
      </c>
      <c r="I11" s="60" t="s">
        <v>36</v>
      </c>
      <c r="J11" s="61">
        <v>0.12</v>
      </c>
      <c r="K11" s="62">
        <f>MROUND(D7+D11+D15,50)</f>
        <v>16600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11750</v>
      </c>
    </row>
    <row r="13" spans="1:12" x14ac:dyDescent="0.35">
      <c r="A13" s="28" t="s">
        <v>50</v>
      </c>
      <c r="B13" s="132">
        <f>IF(DigitaNICA!G2&lt;&gt;"",DigitaNICA!G2,"")</f>
        <v>31</v>
      </c>
      <c r="C13" s="29">
        <f>IF(DigitaNICA!G8&lt;&gt;"",DigitaNICA!G8,"")</f>
        <v>7800</v>
      </c>
      <c r="D13" s="42">
        <f>IF(C13="",0,C13*J$12)</f>
        <v>936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6864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2350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IF(DigitaTICA!G8&lt;&gt;"",DigitaTICA!G8,"")</f>
        <v>56350</v>
      </c>
      <c r="D15" s="42">
        <f>IF(C15="",0,C15*J$11)</f>
        <v>6762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49588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IF(DigitaNICA!I8&lt;&gt;"",DigitaNICA!I8,"")</f>
        <v>10650</v>
      </c>
      <c r="D17" s="42">
        <f>IF(C17="",0,C17*J$12)</f>
        <v>1278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9372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IF(DigitaPRIMERA!C8&lt;&gt;"",DigitaPRIMERA!C8,"")</f>
        <v>12350</v>
      </c>
      <c r="D19" s="42">
        <f>IF(C19="",0,C19*J$14)</f>
        <v>1482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10868</v>
      </c>
    </row>
    <row r="20" spans="1:7" x14ac:dyDescent="0.35">
      <c r="A20" s="28" t="s">
        <v>98</v>
      </c>
      <c r="B20" s="132">
        <f>IF(DigitaPRIMERA!E2&lt;&gt;"",DigitaPRIMERA!E2,"")</f>
        <v>21</v>
      </c>
      <c r="C20" s="29">
        <f>IF(DigitaPRIMERA!E8&lt;&gt;"",DigitaPRIMERA!E8,"")</f>
        <v>7350</v>
      </c>
      <c r="D20" s="42">
        <f>IF(C20="",0,C20*J$14)</f>
        <v>882</v>
      </c>
      <c r="E20" s="29">
        <f>IF(DigitaPRIMERA!F8&lt;&gt;"",DigitaPRIMERA!F8,"")</f>
        <v>200</v>
      </c>
      <c r="F20" s="42">
        <f>IF(E20="",0,E20*PREMIOS!E19)</f>
        <v>16000</v>
      </c>
      <c r="G20" s="30">
        <f t="shared" si="4"/>
        <v>-9532</v>
      </c>
    </row>
    <row r="21" spans="1:7" ht="15" thickBot="1" x14ac:dyDescent="0.4">
      <c r="A21" s="121" t="s">
        <v>5</v>
      </c>
      <c r="B21" s="128"/>
      <c r="C21" s="122">
        <f>SUM(C5:C20)</f>
        <v>255900</v>
      </c>
      <c r="D21" s="122">
        <f t="shared" ref="D21:G21" si="5">SUM(D5:D20)</f>
        <v>30708</v>
      </c>
      <c r="E21" s="122">
        <f t="shared" si="5"/>
        <v>1700</v>
      </c>
      <c r="F21" s="122">
        <f t="shared" si="5"/>
        <v>141000</v>
      </c>
      <c r="G21" s="123">
        <f t="shared" si="5"/>
        <v>84192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486100</v>
      </c>
      <c r="K4" s="231">
        <f t="shared" ref="K4" si="0">D7+D11+D15</f>
        <v>58332</v>
      </c>
      <c r="L4" s="220">
        <f>F7+F11+F15</f>
        <v>352750</v>
      </c>
    </row>
    <row r="5" spans="1:12" x14ac:dyDescent="0.35">
      <c r="A5" s="28" t="s">
        <v>43</v>
      </c>
      <c r="B5" s="132">
        <f>IF(DigitaNICA!C2&lt;&gt;"",DigitaNICA!C2,"")</f>
        <v>31</v>
      </c>
      <c r="C5" s="29">
        <f>IF(DigitaNICA!C10&lt;&gt;"",DigitaNICA!C10,"")</f>
        <v>112100</v>
      </c>
      <c r="D5" s="42">
        <f>IF(C5="",0,C5*J$15)</f>
        <v>13452</v>
      </c>
      <c r="E5" s="29">
        <f>IF(DigitaNICA!D10&lt;&gt;"",DigitaNICA!D10,"")</f>
        <v>750</v>
      </c>
      <c r="F5" s="42">
        <f>IF(E5="",0,E5*PREMIOS!F5)</f>
        <v>63750</v>
      </c>
      <c r="G5" s="30">
        <f t="shared" ref="G5:G12" si="1">IF(OR(C5="",E5=""),0,C5-D5-F5)</f>
        <v>34898</v>
      </c>
      <c r="I5" s="217" t="s">
        <v>37</v>
      </c>
      <c r="J5" s="221">
        <f>SUM(IF(C5="",0,C5),IF(C9="",0,C9),IF(C13="",0,C13),IF(C17="",0,C17))</f>
        <v>384400</v>
      </c>
      <c r="K5" s="225">
        <f t="shared" ref="K5" si="2">D5+D9+D13+D17</f>
        <v>46128</v>
      </c>
      <c r="L5" s="222">
        <f>F5+F9+F13+F17</f>
        <v>123250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92900</v>
      </c>
      <c r="K6" s="226">
        <f t="shared" ref="K6" si="3">+D8+D12+D16</f>
        <v>9290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29">
        <f>IF(DigitaTICA!C10&lt;&gt;"",DigitaTICA!C10,"")</f>
        <v>168750</v>
      </c>
      <c r="D7" s="42">
        <f>IF(C7="",0,C7*J$14)</f>
        <v>20250</v>
      </c>
      <c r="E7" s="29">
        <f>IF(DigitaTICA!D10&lt;&gt;"",DigitaTICA!D10,"")</f>
        <v>200</v>
      </c>
      <c r="F7" s="42">
        <f>IF(E7="",0,E7*PREMIOS!F7)</f>
        <v>17000</v>
      </c>
      <c r="G7" s="30">
        <f t="shared" si="1"/>
        <v>131500</v>
      </c>
      <c r="I7" s="217" t="s">
        <v>96</v>
      </c>
      <c r="J7" s="223">
        <f>SUM(IF(C19="",0,C19),IF(C20="",0,C20))</f>
        <v>37000</v>
      </c>
      <c r="K7" s="226">
        <f>+D19+D20</f>
        <v>4440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33450</v>
      </c>
      <c r="D8" s="42">
        <f>IF(C8="",0,C8*J$16)</f>
        <v>3345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30105</v>
      </c>
      <c r="I8" s="217" t="s">
        <v>104</v>
      </c>
      <c r="J8" s="223">
        <f>SUM(IF(C21="",0,C21),IF(C22="",0,C22),IF(C23="",0,C23))</f>
        <v>27900</v>
      </c>
      <c r="K8" s="226">
        <f t="shared" ref="K8" si="4">D21+D22+D23</f>
        <v>3348</v>
      </c>
      <c r="L8" s="227">
        <f>F21+F22+F23</f>
        <v>59500</v>
      </c>
    </row>
    <row r="9" spans="1:12" x14ac:dyDescent="0.35">
      <c r="A9" s="28" t="s">
        <v>48</v>
      </c>
      <c r="B9" s="132">
        <f>IF(DigitaNICA!E2&lt;&gt;"",DigitaNICA!E2,"")</f>
        <v>87</v>
      </c>
      <c r="C9" s="29">
        <f>IF(DigitaNICA!E10&lt;&gt;"",DigitaNICA!E10,"")</f>
        <v>59750</v>
      </c>
      <c r="D9" s="42">
        <f>IF(C9="",0,C9*J$15)</f>
        <v>7170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52580</v>
      </c>
      <c r="I9" s="217" t="s">
        <v>20</v>
      </c>
      <c r="J9" s="223">
        <f>SUM(IF(C24="",0,C24),IF(C25="",0,C25))</f>
        <v>58750</v>
      </c>
      <c r="K9" s="226">
        <f t="shared" ref="K9" si="5">+D24+D25</f>
        <v>7050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IF(DigitaTICA!E10&lt;&gt;"",DigitaTICA!E10,"")</f>
        <v>134800</v>
      </c>
      <c r="D11" s="42">
        <f>IF(C11="",0,C11*J$14)</f>
        <v>16176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118624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29450</v>
      </c>
      <c r="D12" s="42">
        <f>IF(C12="",0,C12*J$16)</f>
        <v>2945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26505</v>
      </c>
    </row>
    <row r="13" spans="1:12" ht="15" thickBot="1" x14ac:dyDescent="0.4">
      <c r="A13" s="28" t="s">
        <v>50</v>
      </c>
      <c r="B13" s="132">
        <f>IF(DigitaNICA!G2&lt;&gt;"",DigitaNICA!G2,"")</f>
        <v>31</v>
      </c>
      <c r="C13" s="29">
        <f>IF(DigitaNICA!G10&lt;&gt;"",DigitaNICA!G10,"")</f>
        <v>74500</v>
      </c>
      <c r="D13" s="42">
        <f>IF(C13="",0,C13*J$15)</f>
        <v>8940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65560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58350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IF(DigitaTICA!G10&lt;&gt;"",DigitaTICA!G10,"")</f>
        <v>182550</v>
      </c>
      <c r="D15" s="42">
        <f>IF(C15="",0,C15*J$14)</f>
        <v>21906</v>
      </c>
      <c r="E15" s="29">
        <f>IF(DigitaTICA!H10&lt;&gt;"",DigitaTICA!H10,"")</f>
        <v>3950</v>
      </c>
      <c r="F15" s="42">
        <f>IF(E15="",0,E15*PREMIOS!F15)</f>
        <v>335750</v>
      </c>
      <c r="G15" s="30">
        <f t="shared" si="6"/>
        <v>-175106</v>
      </c>
      <c r="I15" s="63" t="s">
        <v>37</v>
      </c>
      <c r="J15" s="64">
        <v>0.12</v>
      </c>
      <c r="K15" s="30">
        <f>MROUND(D5+D9+D13+D17,50)</f>
        <v>46150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30000</v>
      </c>
      <c r="D16" s="42">
        <f>IF(C16="",0,C16*J$16)</f>
        <v>3000</v>
      </c>
      <c r="E16" s="29">
        <f>IF(DigitaREVENTADO!H10&lt;&gt;"",DigitaREVENTADO!H10,"")</f>
        <v>700</v>
      </c>
      <c r="F16" s="42">
        <f>IF(E16="",0,E16*PREMIOS!F16)</f>
        <v>0</v>
      </c>
      <c r="G16" s="30">
        <f t="shared" si="6"/>
        <v>27000</v>
      </c>
      <c r="I16" s="63" t="s">
        <v>38</v>
      </c>
      <c r="J16" s="64">
        <v>0.1</v>
      </c>
      <c r="K16" s="30">
        <f>MROUND(D6+D8+D10+D12+D14+D16+D18,50)</f>
        <v>9300</v>
      </c>
    </row>
    <row r="17" spans="1:11" x14ac:dyDescent="0.35">
      <c r="A17" s="28" t="s">
        <v>52</v>
      </c>
      <c r="B17" s="132">
        <f>IF(DigitaNICA!I2&lt;&gt;"",DigitaNICA!I2,"")</f>
        <v>82</v>
      </c>
      <c r="C17" s="29">
        <f>IF(DigitaNICA!I10&lt;&gt;"",DigitaNICA!I10,"")</f>
        <v>138050</v>
      </c>
      <c r="D17" s="42">
        <f>IF(C17="",0,C17*J$15)</f>
        <v>16566</v>
      </c>
      <c r="E17" s="29">
        <f>IF(DigitaNICA!J10&lt;&gt;"",DigitaNICA!J10,"")</f>
        <v>700</v>
      </c>
      <c r="F17" s="42">
        <f>IF(E17="",0,E17*PREMIOS!F17)</f>
        <v>59500</v>
      </c>
      <c r="G17" s="30">
        <f t="shared" si="6"/>
        <v>61984</v>
      </c>
      <c r="I17" s="63" t="s">
        <v>96</v>
      </c>
      <c r="J17" s="64">
        <v>0.12</v>
      </c>
      <c r="K17" s="30">
        <f>MROUND(D19+D20,50)</f>
        <v>4450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3350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>
        <f>IF(DigitaPRIMERA!$C$10&lt;&gt;"",DigitaPRIMERA!$C$10,"")</f>
        <v>21900</v>
      </c>
      <c r="D19" s="42">
        <f>IF(C19="",0,C19*J$17)</f>
        <v>2628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19272</v>
      </c>
      <c r="I19" s="63" t="s">
        <v>20</v>
      </c>
      <c r="J19" s="64">
        <v>0.12</v>
      </c>
      <c r="K19" s="30">
        <f>MROUND(D24+D25,50)</f>
        <v>7050</v>
      </c>
    </row>
    <row r="20" spans="1:11" ht="15" thickBot="1" x14ac:dyDescent="0.4">
      <c r="A20" s="28" t="s">
        <v>98</v>
      </c>
      <c r="B20" s="132">
        <f>IF(DigitaPRIMERA!E2&lt;&gt;"",DigitaPRIMERA!E2,"")</f>
        <v>21</v>
      </c>
      <c r="C20" s="29">
        <f>IF(DigitaPRIMERA!$E$10&lt;&gt;"",DigitaPRIMERA!$E$10,"")</f>
        <v>15100</v>
      </c>
      <c r="D20" s="42">
        <f>IF(C20="",0,C20*J$17)</f>
        <v>1812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13288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95</v>
      </c>
      <c r="C21" s="29">
        <f>IF(DigitaHONDURAS!$C$10&lt;&gt;"",DigitaHONDURAS!$C$10,"")</f>
        <v>15600</v>
      </c>
      <c r="D21" s="42">
        <f>IF(C21="",0,C21*J$18)</f>
        <v>1872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13728</v>
      </c>
    </row>
    <row r="22" spans="1:11" x14ac:dyDescent="0.35">
      <c r="A22" s="28" t="s">
        <v>100</v>
      </c>
      <c r="B22" s="132">
        <f>IF(DigitaHONDURAS!E2&lt;&gt;"",DigitaHONDURAS!E2,"")</f>
        <v>19</v>
      </c>
      <c r="C22" s="29">
        <f>IF(DigitaHONDURAS!$E$10&lt;&gt;"",DigitaHONDURAS!$E$10,"")</f>
        <v>4200</v>
      </c>
      <c r="D22" s="42">
        <f>IF(C22="",0,C22*J$18)</f>
        <v>504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3696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>
        <f>IF(DigitaHONDURAS!$G$10&lt;&gt;"",DigitaHONDURAS!$G$10,"")</f>
        <v>8100</v>
      </c>
      <c r="D23" s="42">
        <f>IF(C23="",0,C23*J$18)</f>
        <v>972</v>
      </c>
      <c r="E23" s="29">
        <f>IF(DigitaHONDURAS!$H$10&lt;&gt;"",DigitaHONDURAS!$H$10,"")</f>
        <v>700</v>
      </c>
      <c r="F23" s="42">
        <f>IF(E23="",0,E23*PREMIOS!F20)</f>
        <v>59500</v>
      </c>
      <c r="G23" s="30">
        <f t="shared" ref="G23:G26" si="8">IF(OR(C23="",E23=""),0,C23-D23-F23)</f>
        <v>-52372</v>
      </c>
    </row>
    <row r="24" spans="1:11" x14ac:dyDescent="0.35">
      <c r="A24" s="28" t="s">
        <v>107</v>
      </c>
      <c r="B24" s="132">
        <f>IF(DigitaDOMINICANA!C2&lt;&gt;"",DigitaDOMINICANA!C2,"")</f>
        <v>50</v>
      </c>
      <c r="C24" s="29">
        <f>IF(DigitaDOMINICANA!$C$10&lt;&gt;"",DigitaDOMINICANA!$C$10,"")</f>
        <v>27500</v>
      </c>
      <c r="D24" s="42">
        <f>IF(C24="",0,C24*J$19)</f>
        <v>3300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24200</v>
      </c>
    </row>
    <row r="25" spans="1:11" x14ac:dyDescent="0.35">
      <c r="A25" s="28" t="s">
        <v>108</v>
      </c>
      <c r="B25" s="132">
        <f>IF(DigitaDOMINICANA!E2&lt;&gt;"",DigitaDOMINICANA!E2,"")</f>
        <v>74</v>
      </c>
      <c r="C25" s="29">
        <f>IF(DigitaDOMINICANA!$E$10&lt;&gt;"",DigitaDOMINICANA!$E$10,"")</f>
        <v>31250</v>
      </c>
      <c r="D25" s="42">
        <f>IF(C25="",0,C25*J$19)</f>
        <v>3750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27500</v>
      </c>
    </row>
    <row r="26" spans="1:11" x14ac:dyDescent="0.35">
      <c r="A26" s="28" t="s">
        <v>21</v>
      </c>
      <c r="B26" s="132">
        <f>IF(DigitaPANAMENA!C2&lt;&gt;"",DigitaPANAMENA!C2,"")</f>
        <v>12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1087050</v>
      </c>
      <c r="D27" s="68">
        <f t="shared" ref="D27:F27" si="9">SUM(D5:D26)</f>
        <v>128588</v>
      </c>
      <c r="E27" s="68">
        <f t="shared" si="9"/>
        <v>7000</v>
      </c>
      <c r="F27" s="68">
        <f t="shared" si="9"/>
        <v>535500</v>
      </c>
      <c r="G27" s="88">
        <f>SUM(G5:G26)</f>
        <v>422962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27300</v>
      </c>
      <c r="K4" s="231">
        <f t="shared" ref="K4" si="0">D7+D11+D15</f>
        <v>3276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IF(DigitaTICA!C11&lt;&gt;"",DigitaTICA!C11,"")</f>
        <v>5000</v>
      </c>
      <c r="D7" s="42">
        <f>IF(C7="",0,C7*J$11)</f>
        <v>600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4400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IF(DigitaTICA!G11&lt;&gt;"",DigitaTICA!G11,"")</f>
        <v>22300</v>
      </c>
      <c r="D15" s="42">
        <f>IF(C15="",0,C15*J$11)</f>
        <v>2676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19624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21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27300</v>
      </c>
      <c r="D21" s="122">
        <f t="shared" ref="D21:G21" si="5">SUM(D5:D20)</f>
        <v>3276</v>
      </c>
      <c r="E21" s="122">
        <f t="shared" si="5"/>
        <v>0</v>
      </c>
      <c r="F21" s="122">
        <f t="shared" si="5"/>
        <v>0</v>
      </c>
      <c r="G21" s="123">
        <f t="shared" si="5"/>
        <v>24024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35900</v>
      </c>
      <c r="K4" s="231">
        <f>D7+D11+D15</f>
        <v>4308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>
        <f>IF(DigitaNICA!C12&lt;&gt;"",DigitaNICA!C12,"")</f>
        <v>17200</v>
      </c>
      <c r="D5" s="42">
        <f>IF(C5="",0,C5*J$12)</f>
        <v>2064</v>
      </c>
      <c r="E5" s="29">
        <f>IF(DigitaNICA!D12&lt;&gt;"",DigitaNICA!D12,"")</f>
        <v>350</v>
      </c>
      <c r="F5" s="42">
        <f>IF(E5="",0,E5*PREMIOS!F5)</f>
        <v>29750</v>
      </c>
      <c r="G5" s="30">
        <f t="shared" ref="G5:G12" si="0">IF(OR(C5="",E5=""),0,C5-D5-F5)</f>
        <v>-14614</v>
      </c>
      <c r="I5" s="217" t="s">
        <v>37</v>
      </c>
      <c r="J5" s="221">
        <f>SUM(IF(C5="",0,C5),IF(C9="",0,C9),IF(C13="",0,C13),IF(C17="",0,C17))</f>
        <v>27200</v>
      </c>
      <c r="K5" s="225">
        <f t="shared" ref="K5" si="1">D5+D9+D13+D17</f>
        <v>3264</v>
      </c>
      <c r="L5" s="222">
        <f>F5+F9+F13+F17</f>
        <v>29750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200</v>
      </c>
      <c r="K6" s="226">
        <f t="shared" ref="K6" si="2">+D8+D12+D16</f>
        <v>20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29">
        <f>IF(DigitaTICA!C12&lt;&gt;"",DigitaTICA!C12,"")</f>
        <v>5900</v>
      </c>
      <c r="D7" s="42">
        <f>IF(C7="",0,C7*J$11)</f>
        <v>708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5192</v>
      </c>
      <c r="I7" s="217" t="s">
        <v>96</v>
      </c>
      <c r="J7" s="223">
        <f>SUM(IF(C19="",0,C19),IF(C20="",0,C20))</f>
        <v>25600</v>
      </c>
      <c r="K7" s="226">
        <f>+D19+D20</f>
        <v>3072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200</v>
      </c>
      <c r="D8" s="42">
        <f>IF(C8="",0,C8*J$13)</f>
        <v>20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87</v>
      </c>
      <c r="C9" s="29">
        <f>IF(DigitaNICA!E12&lt;&gt;"",DigitaNICA!E12,"")</f>
        <v>10000</v>
      </c>
      <c r="D9" s="42">
        <f>IF(C9="",0,C9*J$12)</f>
        <v>1200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8800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IF(DigitaTICA!E12&lt;&gt;"",DigitaTICA!E12,"")</f>
        <v>6600</v>
      </c>
      <c r="D11" s="42">
        <f>IF(C11="",0,C11*J$11)</f>
        <v>792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5808</v>
      </c>
      <c r="I11" s="60" t="s">
        <v>36</v>
      </c>
      <c r="J11" s="61">
        <v>0.12</v>
      </c>
      <c r="K11" s="62">
        <f>MROUND(D7+D11+D15,50)</f>
        <v>4300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3250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3050</v>
      </c>
    </row>
    <row r="15" spans="1:12" ht="15" thickBot="1" x14ac:dyDescent="0.4">
      <c r="A15" s="28" t="s">
        <v>61</v>
      </c>
      <c r="B15" s="132">
        <f>IF(DigitaTICA!G2&lt;&gt;"",DigitaTICA!G2,"")</f>
        <v>77</v>
      </c>
      <c r="C15" s="29">
        <f>IF(DigitaTICA!G12&lt;&gt;"",DigitaTICA!G12,"")</f>
        <v>23400</v>
      </c>
      <c r="D15" s="42">
        <f>IF(C15="",0,C15*J$11)</f>
        <v>2808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20592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IF(DigitaPRIMERA!$C$12&lt;&gt;"",DigitaPRIMERA!$C$12,"")</f>
        <v>25600</v>
      </c>
      <c r="D19" s="42">
        <f>IF(C19="",0,C19*J$14)</f>
        <v>3072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22528</v>
      </c>
    </row>
    <row r="20" spans="1:7" x14ac:dyDescent="0.35">
      <c r="A20" s="28" t="s">
        <v>98</v>
      </c>
      <c r="B20" s="132">
        <f>IF(DigitaPRIMERA!E2&lt;&gt;"",DigitaPRIMERA!E2,"")</f>
        <v>21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88900</v>
      </c>
      <c r="D24" s="68">
        <f t="shared" ref="D24:G24" si="4">SUM(D5:D23)</f>
        <v>10664</v>
      </c>
      <c r="E24" s="68">
        <f t="shared" si="4"/>
        <v>350</v>
      </c>
      <c r="F24" s="68">
        <f t="shared" si="4"/>
        <v>29750</v>
      </c>
      <c r="G24" s="88">
        <f t="shared" si="4"/>
        <v>48486</v>
      </c>
    </row>
    <row r="27" spans="1:7" x14ac:dyDescent="0.35">
      <c r="G27" s="21">
        <v>229944</v>
      </c>
    </row>
    <row r="28" spans="1:7" x14ac:dyDescent="0.35">
      <c r="G28" s="141">
        <f>+G24+G27</f>
        <v>278430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104150</v>
      </c>
      <c r="K4" s="231">
        <f t="shared" ref="K4" si="0">D7+D11+D15</f>
        <v>12498</v>
      </c>
      <c r="L4" s="220">
        <f>F7+F11+F15</f>
        <v>85000</v>
      </c>
    </row>
    <row r="5" spans="1:12" ht="15" thickBot="1" x14ac:dyDescent="0.4">
      <c r="A5" s="28" t="s">
        <v>43</v>
      </c>
      <c r="B5" s="132">
        <f>IF(DigitaNICA!C2&lt;&gt;"",DigitaNICA!C2,"")</f>
        <v>31</v>
      </c>
      <c r="C5" s="29">
        <f>IF(DigitaNICA!C13&lt;&gt;"",DigitaNICA!C13,"")</f>
        <v>31750</v>
      </c>
      <c r="D5" s="42">
        <f>IF(C5="",0,C5*J$10)</f>
        <v>3810</v>
      </c>
      <c r="E5" s="29">
        <f>IF(DigitaNICA!D13&lt;&gt;"",DigitaNICA!D13,"")</f>
        <v>450</v>
      </c>
      <c r="F5" s="42">
        <f>IF(E5="",0,E5*PREMIOS!E5)</f>
        <v>36000</v>
      </c>
      <c r="G5" s="30">
        <f t="shared" ref="G5:G12" si="1">IF(OR(C5="",E5=""),0,C5-D5-F5)</f>
        <v>-8060</v>
      </c>
      <c r="I5" s="218" t="s">
        <v>37</v>
      </c>
      <c r="J5" s="232">
        <f>SUM(IF(C5="",0,C5),IF(C9="",0,C9),IF(C13="",0,C13),IF(C17="",0,C17))</f>
        <v>57400</v>
      </c>
      <c r="K5" s="233">
        <f t="shared" ref="K5" si="2">D5+D9+D13+D17</f>
        <v>6888</v>
      </c>
      <c r="L5" s="234">
        <f>F5+F9+F13+F17</f>
        <v>36000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IF(DigitaTICA!C13&lt;&gt;"",DigitaTICA!C13,"")</f>
        <v>30450</v>
      </c>
      <c r="D7" s="42">
        <f>IF(C7="",0,C7*J$9)</f>
        <v>3654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26796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87</v>
      </c>
      <c r="C9" s="29">
        <f>IF(DigitaNICA!E13&lt;&gt;"",DigitaNICA!E13,"")</f>
        <v>22850</v>
      </c>
      <c r="D9" s="42">
        <f>IF(C9="",0,C9*J$10)</f>
        <v>2742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20108</v>
      </c>
      <c r="I9" s="60" t="s">
        <v>36</v>
      </c>
      <c r="J9" s="61">
        <v>0.12</v>
      </c>
      <c r="K9" s="62">
        <f>MROUND(D7+D11+D15,50)</f>
        <v>12500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6900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29">
        <f>IF(DigitaTICA!E13&lt;&gt;"",DigitaTICA!E13,"")</f>
        <v>25450</v>
      </c>
      <c r="D11" s="42">
        <f>IF(C11="",0,C11*J$9)</f>
        <v>3054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22396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>
        <f>IF(DigitaNICA!G13&lt;&gt;"",DigitaNICA!G13,"")</f>
        <v>2300</v>
      </c>
      <c r="D13" s="42">
        <f>IF(C13="",0,C13*J$10)</f>
        <v>276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2024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IF(DigitaTICA!G13&lt;&gt;"",DigitaTICA!G13,"")</f>
        <v>48250</v>
      </c>
      <c r="D15" s="42">
        <f>IF(C15="",0,C15*J$9)</f>
        <v>5790</v>
      </c>
      <c r="E15" s="29">
        <f>IF(DigitaTICA!H13&lt;&gt;"",DigitaTICA!H13,"")</f>
        <v>1000</v>
      </c>
      <c r="F15" s="133">
        <f>IF(E15="",0,E15*PREMIOS!F15)</f>
        <v>85000</v>
      </c>
      <c r="G15" s="30">
        <f t="shared" si="3"/>
        <v>-42540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IF(DigitaNICA!I13&lt;&gt;"",DigitaNICA!I13,"")</f>
        <v>500</v>
      </c>
      <c r="D17" s="42">
        <f>IF(C17="",0,C17*J$10)</f>
        <v>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161550</v>
      </c>
      <c r="D19" s="68">
        <f>MROUND(SUM(D5:D18),50)</f>
        <v>19400</v>
      </c>
      <c r="E19" s="68">
        <f>SUM(E5:E18)</f>
        <v>1450</v>
      </c>
      <c r="F19" s="68">
        <f>SUM(F5:F18)</f>
        <v>121000</v>
      </c>
      <c r="G19" s="88">
        <f>SUM(G5:G18)</f>
        <v>21164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75400</v>
      </c>
      <c r="K4" s="236">
        <f t="shared" ref="K4" si="0">D7+D11+D15</f>
        <v>11310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IF(DigitaTICA!C14&lt;&gt;"",DigitaTICA!C14,"")</f>
        <v>35700</v>
      </c>
      <c r="D7" s="42">
        <f>IF(C7="",0,C7*J$9)</f>
        <v>5355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30345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11300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29">
        <f>IF(DigitaTICA!E14&lt;&gt;"",DigitaTICA!E14,"")</f>
        <v>10900</v>
      </c>
      <c r="D11" s="42">
        <f>IF(C11="",0,C11*J$9)</f>
        <v>1635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9265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IF(DigitaTICA!G14&lt;&gt;"",DigitaTICA!G14,"")</f>
        <v>28800</v>
      </c>
      <c r="D15" s="42">
        <f>IF(C15="",0,C15*J$9)</f>
        <v>4320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24480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75400</v>
      </c>
      <c r="D19" s="68">
        <f>MROUND(SUM(D5:D18),50)</f>
        <v>11300</v>
      </c>
      <c r="E19" s="68">
        <f>SUM(E5:E18)</f>
        <v>0</v>
      </c>
      <c r="F19" s="68">
        <f>SUM(F5:F18)</f>
        <v>0</v>
      </c>
      <c r="G19" s="88">
        <f>SUM(G5:G18)</f>
        <v>64090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79850</v>
      </c>
      <c r="K4" s="231">
        <f>D7+D11+D15</f>
        <v>9582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31</v>
      </c>
      <c r="C5" s="29">
        <f>IF(DigitaNICA!C16&lt;&gt;"",DigitaNICA!C16,"")</f>
        <v>7050</v>
      </c>
      <c r="D5" s="42">
        <f>IF(C5="",0,C5*J$12)</f>
        <v>846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6204</v>
      </c>
      <c r="I5" s="63" t="s">
        <v>37</v>
      </c>
      <c r="J5" s="225">
        <f>SUM(IF(C5="",0,C5),IF(C9="",0,C9),IF(C13="",0,C13),IF(C17="",0,C17))</f>
        <v>27650</v>
      </c>
      <c r="K5" s="225">
        <f t="shared" ref="K5" si="1">D5+D9+D13+D17</f>
        <v>3318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11000</v>
      </c>
      <c r="K6" s="226">
        <f t="shared" ref="K6" si="2">+D8+D12+D16</f>
        <v>1100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29">
        <f>IF(DigitaTICA!C16&lt;&gt;"",DigitaTICA!C16,"")</f>
        <v>11750</v>
      </c>
      <c r="D7" s="42">
        <f>IF(C7="",0,C7*J$11)</f>
        <v>1410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10340</v>
      </c>
      <c r="I7" s="63" t="s">
        <v>96</v>
      </c>
      <c r="J7" s="226">
        <f>SUM(IF(C19="",0,C19),IF(C20="",0,C20))</f>
        <v>8000</v>
      </c>
      <c r="K7" s="226">
        <f>+D19+D20</f>
        <v>960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3000</v>
      </c>
      <c r="D8" s="42">
        <f>IF(C8="",0,C8*J$13)</f>
        <v>300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2700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87</v>
      </c>
      <c r="C9" s="29">
        <f>IF(DigitaNICA!E16&lt;&gt;"",DigitaNICA!E16,"")</f>
        <v>7900</v>
      </c>
      <c r="D9" s="42">
        <f>IF(C9="",0,C9*J$12)</f>
        <v>948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6952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IF(DigitaTICA!E16&lt;&gt;"",DigitaTICA!E16,"")</f>
        <v>19150</v>
      </c>
      <c r="D11" s="42">
        <f>IF(C11="",0,C11*J$11)</f>
        <v>2298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16852</v>
      </c>
      <c r="I11" s="76" t="s">
        <v>36</v>
      </c>
      <c r="J11" s="77">
        <v>0.12</v>
      </c>
      <c r="K11" s="78">
        <f>MROUND(D7+D11+D15,50)</f>
        <v>9600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3000</v>
      </c>
      <c r="D12" s="42">
        <f>IF(C12="",0,C12*J$13)</f>
        <v>300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2700</v>
      </c>
      <c r="I12" s="63" t="s">
        <v>37</v>
      </c>
      <c r="J12" s="64">
        <v>0.12</v>
      </c>
      <c r="K12" s="30">
        <f>MROUND(D5+D9+D13+D17,50)</f>
        <v>3300</v>
      </c>
    </row>
    <row r="13" spans="1:12" x14ac:dyDescent="0.35">
      <c r="A13" s="28" t="s">
        <v>50</v>
      </c>
      <c r="B13" s="132">
        <f>IF(DigitaNICA!G2&lt;&gt;"",DigitaNICA!G2,"")</f>
        <v>31</v>
      </c>
      <c r="C13" s="29">
        <f>IF(DigitaNICA!G16&lt;&gt;"",DigitaNICA!G16,"")</f>
        <v>1250</v>
      </c>
      <c r="D13" s="42">
        <f>IF(C13="",0,C13*J$12)</f>
        <v>150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1100</v>
      </c>
      <c r="I13" s="63" t="s">
        <v>38</v>
      </c>
      <c r="J13" s="64">
        <v>0.1</v>
      </c>
      <c r="K13" s="30">
        <f>MROUND(D6+D8+D10+D12+D14+D16+D18,50)</f>
        <v>1100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950</v>
      </c>
    </row>
    <row r="15" spans="1:12" ht="15" thickBot="1" x14ac:dyDescent="0.4">
      <c r="A15" s="28" t="s">
        <v>61</v>
      </c>
      <c r="B15" s="132">
        <f>IF(DigitaTICA!G2&lt;&gt;"",DigitaTICA!G2,"")</f>
        <v>77</v>
      </c>
      <c r="C15" s="29">
        <f>IF(DigitaTICA!G16&lt;&gt;"",DigitaTICA!G16,"")</f>
        <v>48950</v>
      </c>
      <c r="D15" s="42">
        <f>IF(C15="",0,C15*J$11)</f>
        <v>5874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43076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5000</v>
      </c>
      <c r="D16" s="42">
        <f>IF(C16="",0,C16*J$13)</f>
        <v>500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4500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IF(DigitaNICA!I16&lt;&gt;"",DigitaNICA!I16,"")</f>
        <v>11450</v>
      </c>
      <c r="D17" s="42">
        <f>IF(C17="",0,C17*J$12)</f>
        <v>1374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10076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IF(DigitaPRIMERA!C16&lt;&gt;"",DigitaPRIMERA!C16,"")</f>
        <v>8000</v>
      </c>
      <c r="D19" s="42">
        <f>IF(C19="",0,C19*J$14)</f>
        <v>960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7040</v>
      </c>
    </row>
    <row r="20" spans="1:7" x14ac:dyDescent="0.35">
      <c r="A20" s="28" t="s">
        <v>98</v>
      </c>
      <c r="B20" s="132">
        <f>IF(DigitaPRIMERA!E2&lt;&gt;"",DigitaPRIMERA!E2,"")</f>
        <v>21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95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126500</v>
      </c>
      <c r="D24" s="122">
        <f t="shared" ref="D24:G24" si="5">SUM(D5:D23)</f>
        <v>14960</v>
      </c>
      <c r="E24" s="122">
        <f t="shared" si="5"/>
        <v>0</v>
      </c>
      <c r="F24" s="122">
        <f t="shared" si="5"/>
        <v>0</v>
      </c>
      <c r="G24" s="123">
        <f t="shared" si="5"/>
        <v>111540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416100</v>
      </c>
      <c r="K4" s="231">
        <f t="shared" ref="K4" si="0">D7+D11+D15</f>
        <v>49932</v>
      </c>
      <c r="L4" s="220">
        <f>F7+F11+F15</f>
        <v>55250</v>
      </c>
    </row>
    <row r="5" spans="1:12" x14ac:dyDescent="0.35">
      <c r="A5" s="28" t="s">
        <v>43</v>
      </c>
      <c r="B5" s="132">
        <f>IF(DigitaNICA!C2&lt;&gt;"",DigitaNICA!C2,"")</f>
        <v>31</v>
      </c>
      <c r="C5" s="89">
        <f>IF(DigitaNICA!C17&lt;&gt;"",DigitaNICA!C17,"")</f>
        <v>94100</v>
      </c>
      <c r="D5" s="42">
        <f>IF(C5="",0,C5*J$16)</f>
        <v>11292</v>
      </c>
      <c r="E5" s="89">
        <f>IF(DigitaNICA!D17&lt;&gt;"",DigitaNICA!D17,"")</f>
        <v>1950</v>
      </c>
      <c r="F5" s="42">
        <f>IF(E5="",0,E5*PREMIOS!F5)</f>
        <v>165750</v>
      </c>
      <c r="G5" s="90">
        <f t="shared" ref="G5:G12" si="1">IF(OR(C5="",E5=""),0,C5-D5-F5)</f>
        <v>-82942</v>
      </c>
      <c r="I5" s="217" t="s">
        <v>37</v>
      </c>
      <c r="J5" s="221">
        <f>SUM(IF(C5="",0,C5),IF(C9="",0,C9),IF(C13="",0,C13),IF(C17="",0,C17))</f>
        <v>330200</v>
      </c>
      <c r="K5" s="225">
        <f t="shared" ref="K5" si="2">D5+D9+D13+D17</f>
        <v>39624</v>
      </c>
      <c r="L5" s="222">
        <f>F5+F9+F13+F17</f>
        <v>357000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66300</v>
      </c>
      <c r="K6" s="226">
        <f t="shared" ref="K6" si="3">+D8+D12+D16</f>
        <v>6630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89">
        <f>IF(DigitaTICA!C17&lt;&gt;"",DigitaTICA!C17,"")</f>
        <v>119050</v>
      </c>
      <c r="D7" s="42">
        <f>IF(C7="",0,C7*J$15)</f>
        <v>14286</v>
      </c>
      <c r="E7" s="89">
        <f>IF(DigitaTICA!D17&lt;&gt;"",DigitaTICA!D17,"")</f>
        <v>0</v>
      </c>
      <c r="F7" s="42">
        <f>IF(E7="",0,E7*PREMIOS!F7)</f>
        <v>0</v>
      </c>
      <c r="G7" s="90">
        <f t="shared" si="1"/>
        <v>104764</v>
      </c>
      <c r="I7" s="217" t="s">
        <v>96</v>
      </c>
      <c r="J7" s="223">
        <f>SUM(IF(C19="",0,C19),IF(C20="",0,C20))</f>
        <v>115200</v>
      </c>
      <c r="K7" s="226">
        <f>+D19+D20</f>
        <v>13824</v>
      </c>
      <c r="L7" s="227">
        <f>+F19+F20</f>
        <v>340000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24400</v>
      </c>
      <c r="D8" s="42">
        <f>IF(C8="",0,C8*J$17)</f>
        <v>2440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21960</v>
      </c>
      <c r="I8" s="217" t="s">
        <v>104</v>
      </c>
      <c r="J8" s="223">
        <f>SUM(IF(C21="",0,C21),IF(C22="",0,C22),IF(C23="",0,C23))</f>
        <v>97000</v>
      </c>
      <c r="K8" s="226">
        <f t="shared" ref="K8" si="4">D21+D22+D23</f>
        <v>11640</v>
      </c>
      <c r="L8" s="227">
        <f>F21+F22+F23</f>
        <v>34000</v>
      </c>
    </row>
    <row r="9" spans="1:12" x14ac:dyDescent="0.35">
      <c r="A9" s="28" t="s">
        <v>48</v>
      </c>
      <c r="B9" s="132">
        <f>IF(DigitaNICA!E2&lt;&gt;"",DigitaNICA!E2,"")</f>
        <v>87</v>
      </c>
      <c r="C9" s="89">
        <f>IF(DigitaNICA!E17&lt;&gt;"",DigitaNICA!E17,"")</f>
        <v>46050</v>
      </c>
      <c r="D9" s="42">
        <f>IF(C9="",0,C9*J$16)</f>
        <v>5526</v>
      </c>
      <c r="E9" s="89">
        <f>IF(DigitaNICA!F17&lt;&gt;"",DigitaNICA!F17,"")</f>
        <v>350</v>
      </c>
      <c r="F9" s="42">
        <f>IF(E9="",0,E9*PREMIOS!F9)</f>
        <v>29750</v>
      </c>
      <c r="G9" s="90">
        <f t="shared" si="1"/>
        <v>10774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5100</v>
      </c>
      <c r="K10" s="228">
        <f>+D26</f>
        <v>612</v>
      </c>
      <c r="L10" s="229">
        <f>F26</f>
        <v>42500</v>
      </c>
    </row>
    <row r="11" spans="1:12" x14ac:dyDescent="0.35">
      <c r="A11" s="28" t="s">
        <v>59</v>
      </c>
      <c r="B11" s="132">
        <f>IF(DigitaTICA!E2&lt;&gt;"",DigitaTICA!E2,"")</f>
        <v>47</v>
      </c>
      <c r="C11" s="89">
        <f>IF(DigitaTICA!E17&lt;&gt;"",DigitaTICA!E17,"")</f>
        <v>104450</v>
      </c>
      <c r="D11" s="42">
        <f>IF(C11="",0,C11*J$15)</f>
        <v>12534</v>
      </c>
      <c r="E11" s="89">
        <f>IF(DigitaTICA!F17&lt;&gt;"",DigitaTICA!F17,"")</f>
        <v>100</v>
      </c>
      <c r="F11" s="42">
        <f>IF(E11="",0,E11*PREMIOS!F11)</f>
        <v>8500</v>
      </c>
      <c r="G11" s="90">
        <f t="shared" si="1"/>
        <v>83416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15150</v>
      </c>
      <c r="D12" s="42">
        <f>IF(C12="",0,C12*J$17)</f>
        <v>1515</v>
      </c>
      <c r="E12" s="89">
        <f>IF(DigitaREVENTADO!F17&lt;&gt;"",DigitaREVENTADO!F17,"")</f>
        <v>50</v>
      </c>
      <c r="F12" s="42">
        <f>IF(E12="",0,E12*PREMIOS!F12)</f>
        <v>0</v>
      </c>
      <c r="G12" s="90">
        <f t="shared" si="1"/>
        <v>13635</v>
      </c>
    </row>
    <row r="13" spans="1:12" ht="15" thickBot="1" x14ac:dyDescent="0.4">
      <c r="A13" s="28" t="s">
        <v>50</v>
      </c>
      <c r="B13" s="132">
        <f>IF(DigitaNICA!G2&lt;&gt;"",DigitaNICA!G2,"")</f>
        <v>31</v>
      </c>
      <c r="C13" s="89">
        <f>IF(DigitaNICA!G17&lt;&gt;"",DigitaNICA!G17,"")</f>
        <v>46100</v>
      </c>
      <c r="D13" s="42">
        <f>IF(C13="",0,C13*J$16)</f>
        <v>5532</v>
      </c>
      <c r="E13" s="89">
        <f>IF(DigitaNICA!H17&lt;&gt;"",DigitaNICA!H17,"")</f>
        <v>600</v>
      </c>
      <c r="F13" s="42">
        <f>IF(E13="",0,E13*PREMIOS!F13)</f>
        <v>51000</v>
      </c>
      <c r="G13" s="90">
        <f>IF(OR(C13="",E13=""),0,C13-D13-F13)</f>
        <v>-10432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77</v>
      </c>
      <c r="C15" s="89">
        <f>IF(DigitaTICA!G17&lt;&gt;"",DigitaTICA!G17,"")</f>
        <v>192600</v>
      </c>
      <c r="D15" s="42">
        <f>IF(C15="",0,C15*J$15)</f>
        <v>23112</v>
      </c>
      <c r="E15" s="89">
        <f>IF(DigitaTICA!H17&lt;&gt;"",DigitaTICA!H17,"")</f>
        <v>550</v>
      </c>
      <c r="F15" s="42">
        <f>IF(E15="",0,E15*PREMIOS!F15)</f>
        <v>46750</v>
      </c>
      <c r="G15" s="90">
        <f t="shared" si="6"/>
        <v>122738</v>
      </c>
      <c r="I15" s="76" t="s">
        <v>36</v>
      </c>
      <c r="J15" s="77">
        <v>0.12</v>
      </c>
      <c r="K15" s="78">
        <f>MROUND(D7+D11+D15,50)</f>
        <v>49950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26750</v>
      </c>
      <c r="D16" s="42">
        <f>IF(C16="",0,C16*J$17)</f>
        <v>2675</v>
      </c>
      <c r="E16" s="89">
        <f>IF(DigitaREVENTADO!H17&lt;&gt;"",DigitaREVENTADO!H17,"")</f>
        <v>300</v>
      </c>
      <c r="F16" s="42">
        <f>IF(E16="",0,E16*PREMIOS!F16)</f>
        <v>0</v>
      </c>
      <c r="G16" s="90">
        <f t="shared" si="6"/>
        <v>24075</v>
      </c>
      <c r="I16" s="63" t="s">
        <v>37</v>
      </c>
      <c r="J16" s="64">
        <v>0.12</v>
      </c>
      <c r="K16" s="30">
        <f>MROUND(D5+D9+D13+D17,50)</f>
        <v>39600</v>
      </c>
    </row>
    <row r="17" spans="1:11" x14ac:dyDescent="0.35">
      <c r="A17" s="28" t="s">
        <v>52</v>
      </c>
      <c r="B17" s="132">
        <f>IF(DigitaNICA!I2&lt;&gt;"",DigitaNICA!I2,"")</f>
        <v>82</v>
      </c>
      <c r="C17" s="89">
        <f>IF(DigitaNICA!I17&lt;&gt;"",DigitaNICA!I17,"")</f>
        <v>143950</v>
      </c>
      <c r="D17" s="42">
        <f>IF(C17="",0,C17*J$16)</f>
        <v>17274</v>
      </c>
      <c r="E17" s="89">
        <f>IF(DigitaNICA!J17&lt;&gt;"",DigitaNICA!J17,"")</f>
        <v>1300</v>
      </c>
      <c r="F17" s="42">
        <f>IF(E17="",0,E17*PREMIOS!F17)</f>
        <v>110500</v>
      </c>
      <c r="G17" s="90">
        <f t="shared" si="6"/>
        <v>16176</v>
      </c>
      <c r="I17" s="63" t="s">
        <v>38</v>
      </c>
      <c r="J17" s="64">
        <v>0.1</v>
      </c>
      <c r="K17" s="30">
        <f>MROUND(D6+D8+D10+D12+D14+D16+D18,50)</f>
        <v>6650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13800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>
        <f>IF(DigitaPRIMERA!$C$17&lt;&gt;"",DigitaPRIMERA!$C$17,"")</f>
        <v>67850</v>
      </c>
      <c r="D19" s="42">
        <f>IF(C19="",0,C19*J$18)</f>
        <v>8142</v>
      </c>
      <c r="E19" s="29">
        <f>IF(DigitaPRIMERA!$D$17&lt;&gt;"",DigitaPRIMERA!$D$17,"")</f>
        <v>2800</v>
      </c>
      <c r="F19" s="42">
        <f>IF(E19="",0,E19*PREMIOS!F19)</f>
        <v>238000</v>
      </c>
      <c r="G19" s="30">
        <f t="shared" si="6"/>
        <v>-178292</v>
      </c>
      <c r="I19" s="63" t="s">
        <v>104</v>
      </c>
      <c r="J19" s="64">
        <v>0.12</v>
      </c>
      <c r="K19" s="30">
        <f>MROUND(D21+D22+D23,50)</f>
        <v>11650</v>
      </c>
    </row>
    <row r="20" spans="1:11" x14ac:dyDescent="0.35">
      <c r="A20" s="28" t="s">
        <v>98</v>
      </c>
      <c r="B20" s="132">
        <f>IF(DigitaPRIMERA!E2&lt;&gt;"",DigitaPRIMERA!E2,"")</f>
        <v>21</v>
      </c>
      <c r="C20" s="29">
        <f>IF(DigitaPRIMERA!$E$17&lt;&gt;"",DigitaPRIMERA!$E$17,"")</f>
        <v>47350</v>
      </c>
      <c r="D20" s="42">
        <f>IF(C20="",0,C20*J$18)</f>
        <v>5682</v>
      </c>
      <c r="E20" s="29">
        <f>IF(DigitaPRIMERA!$F$17&lt;&gt;"",DigitaPRIMERA!$F$17,"")</f>
        <v>1200</v>
      </c>
      <c r="F20" s="42">
        <f>IF(E20="",0,E20*PREMIOS!F19)</f>
        <v>102000</v>
      </c>
      <c r="G20" s="30">
        <f t="shared" si="6"/>
        <v>-60332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95</v>
      </c>
      <c r="C21" s="29">
        <f>IF(DigitaHONDURAS!$C$17&lt;&gt;"",DigitaHONDURAS!$C$17,"")</f>
        <v>54350</v>
      </c>
      <c r="D21" s="42">
        <f>IF(C21="",0,C21*J$19)</f>
        <v>6522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39328</v>
      </c>
      <c r="I21" s="65" t="s">
        <v>21</v>
      </c>
      <c r="J21" s="66">
        <v>0.12</v>
      </c>
      <c r="K21" s="50">
        <f>MROUND(D26,50)</f>
        <v>600</v>
      </c>
    </row>
    <row r="22" spans="1:11" x14ac:dyDescent="0.35">
      <c r="A22" s="28" t="s">
        <v>100</v>
      </c>
      <c r="B22" s="132">
        <f>IF(DigitaHONDURAS!E2&lt;&gt;"",DigitaHONDURAS!E2,"")</f>
        <v>19</v>
      </c>
      <c r="C22" s="29">
        <f>IF(DigitaHONDURAS!$E$17&lt;&gt;"",DigitaHONDURAS!$E$17,"")</f>
        <v>15200</v>
      </c>
      <c r="D22" s="42">
        <f>IF(C22="",0,C22*J$19)</f>
        <v>1824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13376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>
        <f>IF(DigitaHONDURAS!$G$17&lt;&gt;"",DigitaHONDURAS!$G$17,"")</f>
        <v>27450</v>
      </c>
      <c r="D23" s="42">
        <f>IF(C23="",0,C23*J$19)</f>
        <v>3294</v>
      </c>
      <c r="E23" s="29">
        <f>IF(DigitaHONDURAS!$H$17&lt;&gt;"",DigitaHONDURAS!$H$17,"")</f>
        <v>300</v>
      </c>
      <c r="F23" s="42">
        <f>IF(E23="",0,E23*PREMIOS!F20)</f>
        <v>25500</v>
      </c>
      <c r="G23" s="30">
        <f t="shared" si="6"/>
        <v>-1344</v>
      </c>
    </row>
    <row r="24" spans="1:11" x14ac:dyDescent="0.35">
      <c r="A24" s="28" t="s">
        <v>102</v>
      </c>
      <c r="B24" s="132">
        <f>IF(DigitaDOMINICANA!C2&lt;&gt;"",DigitaDOMINICANA!C2,"")</f>
        <v>50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12</v>
      </c>
      <c r="C26" s="29">
        <f>IF(DigitaPANAMENA!$C$17&lt;&gt;"",DigitaPANAMENA!$C$17,"")</f>
        <v>5100</v>
      </c>
      <c r="D26" s="42">
        <f>IF(C26="",0,C26*J$21)</f>
        <v>612</v>
      </c>
      <c r="E26" s="29">
        <f>IF(DigitaPANAMENA!$D$17&lt;&gt;"",DigitaPANAMENA!$D$17,"")</f>
        <v>500</v>
      </c>
      <c r="F26" s="42">
        <f>IF(E26="",0,E26*PREMIOS!F22)</f>
        <v>42500</v>
      </c>
      <c r="G26" s="30">
        <f t="shared" si="6"/>
        <v>-38012</v>
      </c>
    </row>
    <row r="27" spans="1:11" ht="15" thickBot="1" x14ac:dyDescent="0.4">
      <c r="A27" s="67" t="s">
        <v>5</v>
      </c>
      <c r="B27" s="127"/>
      <c r="C27" s="68">
        <f>SUM(C5:C26)</f>
        <v>1029900</v>
      </c>
      <c r="D27" s="68">
        <f t="shared" ref="D27:G27" si="7">SUM(D5:D26)</f>
        <v>122262</v>
      </c>
      <c r="E27" s="68">
        <f t="shared" si="7"/>
        <v>10100</v>
      </c>
      <c r="F27" s="68">
        <f t="shared" si="7"/>
        <v>828750</v>
      </c>
      <c r="G27" s="88">
        <f t="shared" si="7"/>
        <v>78888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165200</v>
      </c>
      <c r="K4" s="231">
        <f t="shared" ref="K4" si="0">D7+D11+D15</f>
        <v>19824</v>
      </c>
      <c r="L4" s="220">
        <f>F7+F11+F15</f>
        <v>106250</v>
      </c>
    </row>
    <row r="5" spans="1:12" x14ac:dyDescent="0.35">
      <c r="A5" s="28" t="str">
        <f>+Vendedor1!A5</f>
        <v>Nica 11am</v>
      </c>
      <c r="B5" s="132">
        <f>IF(DigitaNICA!C2&lt;&gt;"",DigitaNICA!C2,"")</f>
        <v>31</v>
      </c>
      <c r="C5" s="29">
        <f>IF(DigitaNICA!C18&lt;&gt;"",DigitaNICA!C18,"")</f>
        <v>57800</v>
      </c>
      <c r="D5" s="42">
        <f>IF(C5="",0,C5*J$16)</f>
        <v>6936</v>
      </c>
      <c r="E5" s="29">
        <f>IF(DigitaNICA!D18&lt;&gt;"",DigitaNICA!D18,"")</f>
        <v>600</v>
      </c>
      <c r="F5" s="42">
        <f>IF(E5="",0,E5*PREMIOS!F5)</f>
        <v>51000</v>
      </c>
      <c r="G5" s="30">
        <f t="shared" ref="G5:G12" si="1">IF(OR(C5="",E5=""),0,C5-D5-F5)</f>
        <v>-136</v>
      </c>
      <c r="I5" s="217" t="s">
        <v>37</v>
      </c>
      <c r="J5" s="221">
        <f>SUM(IF(C5="",0,C5),IF(C9="",0,C9),IF(C13="",0,C13),IF(C17="",0,C17))</f>
        <v>157600</v>
      </c>
      <c r="K5" s="225">
        <f t="shared" ref="K5" si="2">D5+D9+D13+D17</f>
        <v>18912</v>
      </c>
      <c r="L5" s="222">
        <f>F5+F9+F13+F17</f>
        <v>110500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50550</v>
      </c>
      <c r="K6" s="226">
        <f t="shared" ref="K6" si="3">+D8+D12+D16</f>
        <v>5055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85</v>
      </c>
      <c r="C7" s="29">
        <f>IF(DigitaTICA!C18&lt;&gt;"",DigitaTICA!C18,"")</f>
        <v>55600</v>
      </c>
      <c r="D7" s="42">
        <f>IF(C7="",0,C7*J$15)</f>
        <v>6672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48928</v>
      </c>
      <c r="I7" s="217" t="s">
        <v>96</v>
      </c>
      <c r="J7" s="223">
        <f>SUM(IF(C19="",0,C19),IF(C20="",0,C20))</f>
        <v>100600</v>
      </c>
      <c r="K7" s="226">
        <f>+D19+D20</f>
        <v>12072</v>
      </c>
      <c r="L7" s="227">
        <f>+F19+F20</f>
        <v>102000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19800</v>
      </c>
      <c r="D8" s="42">
        <f>IF(C8="",0,C8*J$17)</f>
        <v>1980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17820</v>
      </c>
      <c r="I8" s="217" t="s">
        <v>104</v>
      </c>
      <c r="J8" s="223">
        <f>SUM(IF(C21="",0,C21),IF(C22="",0,C22),IF(C23="",0,C23))</f>
        <v>28200</v>
      </c>
      <c r="K8" s="226">
        <f t="shared" ref="K8" si="4">D21+D22+D23</f>
        <v>3384</v>
      </c>
      <c r="L8" s="227">
        <f>F21+F22+F23</f>
        <v>17000</v>
      </c>
    </row>
    <row r="9" spans="1:12" x14ac:dyDescent="0.35">
      <c r="A9" s="28" t="str">
        <f>+Vendedor1!A9</f>
        <v>Nica 3pm</v>
      </c>
      <c r="B9" s="132">
        <f>IF(DigitaNICA!E2&lt;&gt;"",DigitaNICA!E2,"")</f>
        <v>87</v>
      </c>
      <c r="C9" s="29">
        <f>IF(DigitaNICA!E18&lt;&gt;"",DigitaNICA!E18,"")</f>
        <v>43200</v>
      </c>
      <c r="D9" s="42">
        <f>IF(C9="",0,C9*J$16)</f>
        <v>5184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4016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IF(DigitaTICA!E18&lt;&gt;"",DigitaTICA!E18,"")</f>
        <v>51550</v>
      </c>
      <c r="D11" s="42">
        <f>IF(C11="",0,C11*J$15)</f>
        <v>6186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45364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11500</v>
      </c>
      <c r="D12" s="42">
        <f>IF(C12="",0,C12*J$17)</f>
        <v>1150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10350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31</v>
      </c>
      <c r="C13" s="29">
        <f>IF(DigitaNICA!G18&lt;&gt;"",DigitaNICA!G18,"")</f>
        <v>37800</v>
      </c>
      <c r="D13" s="42">
        <f>IF(C13="",0,C13*J$16)</f>
        <v>4536</v>
      </c>
      <c r="E13" s="29">
        <f>IF(DigitaNICA!H18&lt;&gt;"",DigitaNICA!H18,"")</f>
        <v>300</v>
      </c>
      <c r="F13" s="42">
        <f>IF(E13="",0,E13*PREMIOS!F13)</f>
        <v>25500</v>
      </c>
      <c r="G13" s="30">
        <f>IF(OR(C13="",E13=""),0,C13-D13-F13)</f>
        <v>7764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77</v>
      </c>
      <c r="C15" s="29">
        <f>IF(DigitaTICA!G18&lt;&gt;"",DigitaTICA!G18,"")</f>
        <v>58050</v>
      </c>
      <c r="D15" s="42">
        <f>IF(C15="",0,C15*J$15)</f>
        <v>6966</v>
      </c>
      <c r="E15" s="29">
        <f>IF(DigitaTICA!H18&lt;&gt;"",DigitaTICA!H18,"")</f>
        <v>1250</v>
      </c>
      <c r="F15" s="42">
        <f>IF(E15="",0,E15*PREMIOS!F15)</f>
        <v>106250</v>
      </c>
      <c r="G15" s="30">
        <f t="shared" si="6"/>
        <v>-55166</v>
      </c>
      <c r="I15" s="76" t="s">
        <v>36</v>
      </c>
      <c r="J15" s="77">
        <v>0.12</v>
      </c>
      <c r="K15" s="78">
        <f>MROUND(D7+D11+D15,50)</f>
        <v>19800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19250</v>
      </c>
      <c r="D16" s="42">
        <f>IF(C16="",0,C16*J$17)</f>
        <v>1925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17325</v>
      </c>
      <c r="I16" s="63" t="s">
        <v>37</v>
      </c>
      <c r="J16" s="64">
        <v>0.12</v>
      </c>
      <c r="K16" s="30">
        <f>MROUND(D5+D9+D13+D17,50)</f>
        <v>18900</v>
      </c>
    </row>
    <row r="17" spans="1:11" x14ac:dyDescent="0.35">
      <c r="A17" s="28" t="str">
        <f>+Vendedor1!A17</f>
        <v>Nica 9pm</v>
      </c>
      <c r="B17" s="132">
        <f>IF(DigitaNICA!I2&lt;&gt;"",DigitaNICA!I2,"")</f>
        <v>82</v>
      </c>
      <c r="C17" s="29">
        <f>IF(DigitaNICA!I18&lt;&gt;"",DigitaNICA!I18,"")</f>
        <v>18800</v>
      </c>
      <c r="D17" s="42">
        <f>IF(C17="",0,C17*J$16)</f>
        <v>2256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16544</v>
      </c>
      <c r="I17" s="63" t="s">
        <v>38</v>
      </c>
      <c r="J17" s="64">
        <v>0.1</v>
      </c>
      <c r="K17" s="30">
        <f>MROUND(D6+D8+D10+D12+D14+D16+D18,50)</f>
        <v>5050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12050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>
        <f>IF(DigitaPRIMERA!$C$18&lt;&gt;"",DigitaPRIMERA!$C$18,"")</f>
        <v>69700</v>
      </c>
      <c r="D19" s="42">
        <f>IF(C19="",0,C19*J$18)</f>
        <v>8364</v>
      </c>
      <c r="E19" s="29">
        <f>IF(DigitaPRIMERA!$D$18&lt;&gt;"",DigitaPRIMERA!$D$18,"")</f>
        <v>400</v>
      </c>
      <c r="F19" s="42">
        <f>IF(E19="",0,E19*PREMIOS!F19)</f>
        <v>34000</v>
      </c>
      <c r="G19" s="30">
        <f t="shared" si="6"/>
        <v>27336</v>
      </c>
      <c r="I19" s="63" t="s">
        <v>104</v>
      </c>
      <c r="J19" s="64">
        <v>0.12</v>
      </c>
      <c r="K19" s="30">
        <f>MROUND(D21+D22+D23,50)</f>
        <v>3400</v>
      </c>
    </row>
    <row r="20" spans="1:11" x14ac:dyDescent="0.35">
      <c r="A20" s="28" t="s">
        <v>98</v>
      </c>
      <c r="B20" s="132">
        <f>IF(DigitaPRIMERA!E2&lt;&gt;"",DigitaPRIMERA!E2,"")</f>
        <v>21</v>
      </c>
      <c r="C20" s="29">
        <f>IF(DigitaPRIMERA!$E$18&lt;&gt;"",DigitaPRIMERA!$E$18,"")</f>
        <v>30900</v>
      </c>
      <c r="D20" s="42">
        <f>IF(C20="",0,C20*J$18)</f>
        <v>3708</v>
      </c>
      <c r="E20" s="29">
        <f>IF(DigitaPRIMERA!$F$18&lt;&gt;"",DigitaPRIMERA!$F$18,"")</f>
        <v>800</v>
      </c>
      <c r="F20" s="42">
        <f>IF(E20="",0,E20*PREMIOS!F19)</f>
        <v>68000</v>
      </c>
      <c r="G20" s="30">
        <f t="shared" si="6"/>
        <v>-40808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95</v>
      </c>
      <c r="C21" s="29">
        <f>IF(DigitaHONDURAS!$C$18&lt;&gt;"",DigitaHONDURAS!$C$18,"")</f>
        <v>23300</v>
      </c>
      <c r="D21" s="42">
        <f>IF(C21="",0,C21*J$19)</f>
        <v>2796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20504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19</v>
      </c>
      <c r="C22" s="29">
        <f>IF(DigitaHONDURAS!$E$18&lt;&gt;"",DigitaHONDURAS!$E$18,"")</f>
        <v>4900</v>
      </c>
      <c r="D22" s="42">
        <f>IF(C22="",0,C22*J$19)</f>
        <v>588</v>
      </c>
      <c r="E22" s="29">
        <f>IF(DigitaHONDURAS!$F$18&lt;&gt;"",DigitaHONDURAS!$F$18,"")</f>
        <v>200</v>
      </c>
      <c r="F22" s="42">
        <f>IF(E22="",0,E22*PREMIOS!F20)</f>
        <v>17000</v>
      </c>
      <c r="G22" s="30">
        <f t="shared" si="6"/>
        <v>-12688</v>
      </c>
    </row>
    <row r="23" spans="1:11" x14ac:dyDescent="0.35">
      <c r="A23" s="28" t="s">
        <v>101</v>
      </c>
      <c r="B23" s="132">
        <f>IF(DigitaHONDURAS!G2&lt;&gt;"",DigitaHONDURAS!G2,"")</f>
        <v>28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12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502150</v>
      </c>
      <c r="D27" s="68">
        <f t="shared" ref="D27:G27" si="7">SUM(D5:D26)</f>
        <v>59247</v>
      </c>
      <c r="E27" s="68">
        <f t="shared" si="7"/>
        <v>3950</v>
      </c>
      <c r="F27" s="68">
        <f t="shared" si="7"/>
        <v>335750</v>
      </c>
      <c r="G27" s="88">
        <f t="shared" si="7"/>
        <v>107153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87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85</v>
      </c>
      <c r="D2" s="268"/>
      <c r="E2" s="267">
        <f>IF(PREMIOS!$B11="","",PREMIOS!$B11)</f>
        <v>47</v>
      </c>
      <c r="F2" s="268"/>
      <c r="G2" s="267">
        <f>IF(PREMIOS!$B15="","",PREMIOS!$B15)</f>
        <v>77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46550</v>
      </c>
      <c r="D4" s="78">
        <v>200</v>
      </c>
      <c r="E4" s="189">
        <v>19350</v>
      </c>
      <c r="F4" s="78">
        <f t="shared" ref="D4:H27" si="0">IF(E4="","",0)</f>
        <v>0</v>
      </c>
      <c r="G4" s="189">
        <v>80500</v>
      </c>
      <c r="H4" s="78">
        <v>500</v>
      </c>
      <c r="J4" s="42">
        <f t="shared" ref="J4:J8" si="1">+C4+E4+G4</f>
        <v>146400</v>
      </c>
      <c r="K4" s="42">
        <f>IF(D4="",0,IF(F4="",D4,IF(H4="",D4+F4,D4+F4+H4)))</f>
        <v>700</v>
      </c>
    </row>
    <row r="5" spans="1:11" x14ac:dyDescent="0.35">
      <c r="A5" s="47">
        <v>2</v>
      </c>
      <c r="B5" s="178" t="str">
        <f>Vendedor2!$B$2</f>
        <v>PUESTO 2</v>
      </c>
      <c r="C5" s="180">
        <v>41550</v>
      </c>
      <c r="D5" s="30">
        <f t="shared" si="0"/>
        <v>0</v>
      </c>
      <c r="E5" s="180">
        <v>27000</v>
      </c>
      <c r="F5" s="30">
        <f t="shared" si="0"/>
        <v>0</v>
      </c>
      <c r="G5" s="180">
        <v>71350</v>
      </c>
      <c r="H5" s="30">
        <v>2200</v>
      </c>
      <c r="J5" s="42">
        <f t="shared" si="1"/>
        <v>139900</v>
      </c>
      <c r="K5" s="42">
        <f t="shared" ref="K5:K27" si="2">IF(D5="",0,IF(F5="",D5,IF(H5="",D5+F5,D5+F5+H5)))</f>
        <v>2200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48950</v>
      </c>
      <c r="D8" s="30">
        <v>1000</v>
      </c>
      <c r="E8" s="180">
        <v>32900</v>
      </c>
      <c r="F8" s="30">
        <f t="shared" si="0"/>
        <v>0</v>
      </c>
      <c r="G8" s="180">
        <v>56350</v>
      </c>
      <c r="H8" s="30">
        <f t="shared" si="0"/>
        <v>0</v>
      </c>
      <c r="J8" s="42">
        <f t="shared" si="1"/>
        <v>138200</v>
      </c>
      <c r="K8" s="42">
        <f t="shared" si="2"/>
        <v>1000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67700+101050</f>
        <v>168750</v>
      </c>
      <c r="D10" s="30">
        <v>200</v>
      </c>
      <c r="E10" s="180">
        <f>40550+94250</f>
        <v>134800</v>
      </c>
      <c r="F10" s="30">
        <f t="shared" si="0"/>
        <v>0</v>
      </c>
      <c r="G10" s="180">
        <f>106000+76550</f>
        <v>182550</v>
      </c>
      <c r="H10" s="30">
        <f>2200+1750</f>
        <v>3950</v>
      </c>
      <c r="J10" s="42">
        <f t="shared" si="3"/>
        <v>486100</v>
      </c>
      <c r="K10" s="42">
        <f t="shared" si="2"/>
        <v>4150</v>
      </c>
    </row>
    <row r="11" spans="1:11" x14ac:dyDescent="0.35">
      <c r="A11" s="47">
        <v>8</v>
      </c>
      <c r="B11" s="178" t="str">
        <f>Vendedor8!$B$2</f>
        <v>ISA</v>
      </c>
      <c r="C11" s="180">
        <v>5000</v>
      </c>
      <c r="D11" s="30">
        <f t="shared" si="0"/>
        <v>0</v>
      </c>
      <c r="E11" s="180"/>
      <c r="F11" s="30" t="str">
        <f t="shared" si="0"/>
        <v/>
      </c>
      <c r="G11" s="180">
        <v>22300</v>
      </c>
      <c r="H11" s="30">
        <f t="shared" si="0"/>
        <v>0</v>
      </c>
      <c r="J11" s="42">
        <f t="shared" si="3"/>
        <v>27300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5900</v>
      </c>
      <c r="D12" s="30">
        <f t="shared" si="0"/>
        <v>0</v>
      </c>
      <c r="E12" s="180">
        <v>6600</v>
      </c>
      <c r="F12" s="30">
        <f t="shared" si="0"/>
        <v>0</v>
      </c>
      <c r="G12" s="180">
        <v>23400</v>
      </c>
      <c r="H12" s="30">
        <f t="shared" si="0"/>
        <v>0</v>
      </c>
      <c r="J12" s="42">
        <f t="shared" si="3"/>
        <v>35900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30450</v>
      </c>
      <c r="D13" s="30">
        <f t="shared" si="0"/>
        <v>0</v>
      </c>
      <c r="E13" s="180">
        <v>25450</v>
      </c>
      <c r="F13" s="30">
        <f t="shared" si="0"/>
        <v>0</v>
      </c>
      <c r="G13" s="180">
        <v>48250</v>
      </c>
      <c r="H13" s="30">
        <v>1000</v>
      </c>
      <c r="J13" s="42">
        <f t="shared" si="3"/>
        <v>104150</v>
      </c>
      <c r="K13" s="42">
        <f t="shared" si="2"/>
        <v>1000</v>
      </c>
    </row>
    <row r="14" spans="1:11" x14ac:dyDescent="0.35">
      <c r="A14" s="47">
        <v>11</v>
      </c>
      <c r="B14" s="178" t="str">
        <f>Vendedor11!$B$2</f>
        <v>CHARLY</v>
      </c>
      <c r="C14" s="180">
        <v>35700</v>
      </c>
      <c r="D14" s="30">
        <f t="shared" si="0"/>
        <v>0</v>
      </c>
      <c r="E14" s="180">
        <v>10900</v>
      </c>
      <c r="F14" s="30">
        <f t="shared" si="0"/>
        <v>0</v>
      </c>
      <c r="G14" s="180">
        <v>28800</v>
      </c>
      <c r="H14" s="30">
        <f t="shared" si="0"/>
        <v>0</v>
      </c>
      <c r="J14" s="42">
        <f t="shared" si="3"/>
        <v>75400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11750</v>
      </c>
      <c r="D16" s="30">
        <f t="shared" si="0"/>
        <v>0</v>
      </c>
      <c r="E16" s="180">
        <v>19150</v>
      </c>
      <c r="F16" s="30">
        <f t="shared" si="0"/>
        <v>0</v>
      </c>
      <c r="G16" s="180">
        <v>48950</v>
      </c>
      <c r="H16" s="30">
        <f t="shared" si="0"/>
        <v>0</v>
      </c>
      <c r="J16" s="42">
        <f t="shared" si="3"/>
        <v>79850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90350+28700</f>
        <v>119050</v>
      </c>
      <c r="D17" s="30">
        <f t="shared" si="0"/>
        <v>0</v>
      </c>
      <c r="E17" s="180">
        <f>82500+21950</f>
        <v>104450</v>
      </c>
      <c r="F17" s="30">
        <v>100</v>
      </c>
      <c r="G17" s="180">
        <f>159450+33150</f>
        <v>192600</v>
      </c>
      <c r="H17" s="30">
        <f>250+300</f>
        <v>550</v>
      </c>
      <c r="J17" s="42">
        <f t="shared" si="3"/>
        <v>416100</v>
      </c>
      <c r="K17" s="42">
        <f t="shared" si="2"/>
        <v>650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29800+25800</f>
        <v>55600</v>
      </c>
      <c r="D18" s="30">
        <f t="shared" si="0"/>
        <v>0</v>
      </c>
      <c r="E18" s="180">
        <f>40050+11500</f>
        <v>51550</v>
      </c>
      <c r="F18" s="30">
        <f t="shared" si="0"/>
        <v>0</v>
      </c>
      <c r="G18" s="180">
        <f>37800+20250</f>
        <v>58050</v>
      </c>
      <c r="H18" s="30">
        <f>1250+0</f>
        <v>1250</v>
      </c>
      <c r="J18" s="42">
        <f t="shared" si="3"/>
        <v>165200</v>
      </c>
      <c r="K18" s="42">
        <f t="shared" si="2"/>
        <v>1250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569250</v>
      </c>
      <c r="D32" s="44">
        <f t="shared" si="6"/>
        <v>1400</v>
      </c>
      <c r="E32" s="43">
        <f t="shared" si="6"/>
        <v>432150</v>
      </c>
      <c r="F32" s="44">
        <f t="shared" si="6"/>
        <v>100</v>
      </c>
      <c r="G32" s="43">
        <f t="shared" si="6"/>
        <v>813100</v>
      </c>
      <c r="H32" s="44">
        <f t="shared" si="6"/>
        <v>9450</v>
      </c>
      <c r="J32" s="95">
        <f>SUM(J4:J31)</f>
        <v>1814500</v>
      </c>
      <c r="K32" s="95"/>
    </row>
    <row r="33" spans="2:8" x14ac:dyDescent="0.35">
      <c r="D33" s="99">
        <f>+D32*85</f>
        <v>119000</v>
      </c>
      <c r="F33" s="99">
        <f>+F32*85</f>
        <v>8500</v>
      </c>
      <c r="H33" s="99">
        <f>+H32*85</f>
        <v>803250</v>
      </c>
    </row>
    <row r="34" spans="2:8" x14ac:dyDescent="0.35">
      <c r="B34" s="247" t="s">
        <v>149</v>
      </c>
      <c r="C34" s="43">
        <f t="shared" ref="C34:H34" si="7">+C4+C5+C6+C8+C13</f>
        <v>167500</v>
      </c>
      <c r="D34" s="43" t="e">
        <f t="shared" si="7"/>
        <v>#VALUE!</v>
      </c>
      <c r="E34" s="43">
        <f t="shared" si="7"/>
        <v>104700</v>
      </c>
      <c r="F34" s="43" t="e">
        <f t="shared" si="7"/>
        <v>#VALUE!</v>
      </c>
      <c r="G34" s="43">
        <f t="shared" si="7"/>
        <v>256450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215350</v>
      </c>
      <c r="D35" s="43" t="e">
        <f t="shared" ref="D35:H35" si="8">+D11+D14+D15+D17+D18</f>
        <v>#VALUE!</v>
      </c>
      <c r="E35" s="43">
        <f t="shared" si="8"/>
        <v>166900</v>
      </c>
      <c r="F35" s="43" t="e">
        <f t="shared" si="8"/>
        <v>#VALUE!</v>
      </c>
      <c r="G35" s="43">
        <f t="shared" si="8"/>
        <v>301750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174650</v>
      </c>
      <c r="D36" s="43" t="e">
        <f t="shared" ref="D36:H36" si="9">+D10+D12+D27</f>
        <v>#VALUE!</v>
      </c>
      <c r="E36" s="43">
        <f t="shared" si="9"/>
        <v>141400</v>
      </c>
      <c r="F36" s="43" t="e">
        <f t="shared" si="9"/>
        <v>#VALUE!</v>
      </c>
      <c r="G36" s="43">
        <f t="shared" si="9"/>
        <v>205950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31</v>
      </c>
      <c r="D2" s="268"/>
      <c r="E2" s="267">
        <f>IF(PREMIOS!$B9="","",PREMIOS!$B9)</f>
        <v>87</v>
      </c>
      <c r="F2" s="268"/>
      <c r="G2" s="267">
        <f>IF(PREMIOS!$B13="","",PREMIOS!$B13)</f>
        <v>31</v>
      </c>
      <c r="H2" s="268"/>
      <c r="I2" s="267">
        <f>IF(PREMIOS!$B17="","",PREMIOS!$B17)</f>
        <v>82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22200</v>
      </c>
      <c r="D4" s="78">
        <v>500</v>
      </c>
      <c r="E4" s="206">
        <v>6700</v>
      </c>
      <c r="F4" s="78">
        <f t="shared" ref="D4:J27" si="0">IF(E4="","",0)</f>
        <v>0</v>
      </c>
      <c r="G4" s="189">
        <v>4350</v>
      </c>
      <c r="H4" s="78">
        <f t="shared" ref="H4:H27" si="1">IF(G4="","",0)</f>
        <v>0</v>
      </c>
      <c r="I4" s="189">
        <v>5500</v>
      </c>
      <c r="J4" s="78">
        <f t="shared" si="0"/>
        <v>0</v>
      </c>
      <c r="L4" s="42">
        <f t="shared" ref="L4:L8" si="2">+C4+E4+G4+I4</f>
        <v>38750</v>
      </c>
      <c r="M4" s="42">
        <f>IF(D4=0,0,IF(F4="",D4,IF(H4="",D4+F4,IF(J4="",D4+F4+H4,D4+F4+H4+J4))))</f>
        <v>500</v>
      </c>
    </row>
    <row r="5" spans="1:13" x14ac:dyDescent="0.35">
      <c r="A5" s="47">
        <v>2</v>
      </c>
      <c r="B5" s="178" t="str">
        <f>Vendedor2!$B$2</f>
        <v>PUESTO 2</v>
      </c>
      <c r="C5" s="180">
        <v>10150</v>
      </c>
      <c r="D5" s="30">
        <f t="shared" si="0"/>
        <v>0</v>
      </c>
      <c r="E5" s="207">
        <v>2000</v>
      </c>
      <c r="F5" s="30">
        <f t="shared" si="0"/>
        <v>0</v>
      </c>
      <c r="G5" s="180">
        <v>2000</v>
      </c>
      <c r="H5" s="30">
        <f t="shared" si="1"/>
        <v>0</v>
      </c>
      <c r="I5" s="180">
        <v>1000</v>
      </c>
      <c r="J5" s="30">
        <f t="shared" ref="J5:J27" si="3">IF(I5="","",0)</f>
        <v>0</v>
      </c>
      <c r="L5" s="42">
        <f t="shared" si="2"/>
        <v>15150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51100</v>
      </c>
      <c r="D8" s="30">
        <v>500</v>
      </c>
      <c r="E8" s="207">
        <v>28450</v>
      </c>
      <c r="F8" s="30">
        <f t="shared" si="0"/>
        <v>0</v>
      </c>
      <c r="G8" s="180">
        <v>7800</v>
      </c>
      <c r="H8" s="30">
        <f t="shared" si="1"/>
        <v>0</v>
      </c>
      <c r="I8" s="180">
        <v>10650</v>
      </c>
      <c r="J8" s="30">
        <f t="shared" si="0"/>
        <v>0</v>
      </c>
      <c r="L8" s="42">
        <f t="shared" si="2"/>
        <v>98000</v>
      </c>
      <c r="M8" s="42">
        <f t="shared" si="4"/>
        <v>500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27000+85100</f>
        <v>112100</v>
      </c>
      <c r="D10" s="30">
        <f>200+550</f>
        <v>750</v>
      </c>
      <c r="E10" s="207">
        <f>23100+36650</f>
        <v>59750</v>
      </c>
      <c r="F10" s="30">
        <f t="shared" si="0"/>
        <v>0</v>
      </c>
      <c r="G10" s="180">
        <f>25500+49000</f>
        <v>74500</v>
      </c>
      <c r="H10" s="30">
        <f t="shared" si="0"/>
        <v>0</v>
      </c>
      <c r="I10" s="180">
        <f>64500+73550</f>
        <v>138050</v>
      </c>
      <c r="J10" s="30">
        <f>700+0</f>
        <v>700</v>
      </c>
      <c r="L10" s="42">
        <f t="shared" si="5"/>
        <v>384400</v>
      </c>
      <c r="M10" s="42">
        <f t="shared" si="4"/>
        <v>1450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17200</v>
      </c>
      <c r="D12" s="30">
        <v>350</v>
      </c>
      <c r="E12" s="207">
        <v>10000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27200</v>
      </c>
      <c r="M12" s="42">
        <f t="shared" si="4"/>
        <v>350</v>
      </c>
    </row>
    <row r="13" spans="1:13" x14ac:dyDescent="0.35">
      <c r="A13" s="47">
        <v>10</v>
      </c>
      <c r="B13" s="178" t="str">
        <f>Vendedor10!$B$2</f>
        <v>MARIALIZ</v>
      </c>
      <c r="C13" s="180">
        <v>31750</v>
      </c>
      <c r="D13" s="30">
        <v>450</v>
      </c>
      <c r="E13" s="207">
        <v>22850</v>
      </c>
      <c r="F13" s="30">
        <f t="shared" si="0"/>
        <v>0</v>
      </c>
      <c r="G13" s="180">
        <v>2300</v>
      </c>
      <c r="H13" s="30">
        <f t="shared" si="0"/>
        <v>0</v>
      </c>
      <c r="I13" s="180">
        <v>500</v>
      </c>
      <c r="J13" s="30">
        <f t="shared" si="0"/>
        <v>0</v>
      </c>
      <c r="L13" s="42">
        <f t="shared" si="5"/>
        <v>57400</v>
      </c>
      <c r="M13" s="42">
        <f t="shared" si="4"/>
        <v>450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7050</v>
      </c>
      <c r="D16" s="30">
        <f t="shared" si="0"/>
        <v>0</v>
      </c>
      <c r="E16" s="207">
        <v>7900</v>
      </c>
      <c r="F16" s="30">
        <f t="shared" si="0"/>
        <v>0</v>
      </c>
      <c r="G16" s="180">
        <v>1250</v>
      </c>
      <c r="H16" s="30">
        <f t="shared" si="0"/>
        <v>0</v>
      </c>
      <c r="I16" s="180">
        <v>11450</v>
      </c>
      <c r="J16" s="30">
        <f t="shared" si="0"/>
        <v>0</v>
      </c>
      <c r="L16" s="42">
        <f t="shared" si="5"/>
        <v>27650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94100</v>
      </c>
      <c r="D17" s="30">
        <v>1950</v>
      </c>
      <c r="E17" s="207">
        <v>46050</v>
      </c>
      <c r="F17" s="30">
        <v>350</v>
      </c>
      <c r="G17" s="180">
        <v>46100</v>
      </c>
      <c r="H17" s="30">
        <v>600</v>
      </c>
      <c r="I17" s="180">
        <v>143950</v>
      </c>
      <c r="J17" s="30">
        <v>1300</v>
      </c>
      <c r="L17" s="42">
        <f t="shared" si="5"/>
        <v>330200</v>
      </c>
      <c r="M17" s="42">
        <f t="shared" si="4"/>
        <v>4200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57800</v>
      </c>
      <c r="D18" s="30">
        <v>600</v>
      </c>
      <c r="E18" s="207">
        <v>43200</v>
      </c>
      <c r="F18" s="30">
        <v>400</v>
      </c>
      <c r="G18" s="180">
        <v>37800</v>
      </c>
      <c r="H18" s="30">
        <v>300</v>
      </c>
      <c r="I18" s="180">
        <v>18800</v>
      </c>
      <c r="J18" s="30">
        <f t="shared" si="3"/>
        <v>0</v>
      </c>
      <c r="L18" s="42">
        <f t="shared" si="5"/>
        <v>157600</v>
      </c>
      <c r="M18" s="42">
        <f t="shared" si="4"/>
        <v>1300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403450</v>
      </c>
      <c r="D32" s="44">
        <f t="shared" si="7"/>
        <v>5100</v>
      </c>
      <c r="E32" s="43">
        <f t="shared" si="7"/>
        <v>226900</v>
      </c>
      <c r="F32" s="44">
        <f t="shared" si="7"/>
        <v>750</v>
      </c>
      <c r="G32" s="43">
        <f t="shared" si="7"/>
        <v>176100</v>
      </c>
      <c r="H32" s="44">
        <f t="shared" si="7"/>
        <v>900</v>
      </c>
      <c r="I32" s="43">
        <f t="shared" si="7"/>
        <v>329900</v>
      </c>
      <c r="J32" s="44">
        <f t="shared" si="7"/>
        <v>2000</v>
      </c>
      <c r="L32" s="95">
        <f>SUM(L9:L31)</f>
        <v>984450</v>
      </c>
      <c r="M32" s="95">
        <f>SUM(M9:M31)</f>
        <v>7750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85 Blanca</v>
      </c>
      <c r="D2" s="268"/>
      <c r="E2" s="267" t="str">
        <f>IF(E33=0,"",CONCATENATE(PREMIOS!$B11," ",PREMIOS!$B12))</f>
        <v>47 Blanca</v>
      </c>
      <c r="F2" s="268"/>
      <c r="G2" s="267" t="str">
        <f>IF(G33=0,"",CONCATENATE(PREMIOS!$B15," ",PREMIOS!$B16))</f>
        <v>77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26750+6700</f>
        <v>33450</v>
      </c>
      <c r="D10" s="30">
        <f t="shared" si="0"/>
        <v>0</v>
      </c>
      <c r="E10" s="180">
        <f>21000+8450</f>
        <v>29450</v>
      </c>
      <c r="F10" s="30">
        <f t="shared" si="0"/>
        <v>0</v>
      </c>
      <c r="G10" s="180">
        <f>28250+1750</f>
        <v>30000</v>
      </c>
      <c r="H10" s="30">
        <f>200+500</f>
        <v>700</v>
      </c>
      <c r="J10" s="42">
        <f t="shared" si="3"/>
        <v>92900</v>
      </c>
      <c r="K10" s="42">
        <f t="shared" si="4"/>
        <v>700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200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3000</v>
      </c>
      <c r="D16" s="195">
        <f t="shared" si="0"/>
        <v>0</v>
      </c>
      <c r="E16" s="194">
        <v>3000</v>
      </c>
      <c r="F16" s="195">
        <f t="shared" si="1"/>
        <v>0</v>
      </c>
      <c r="G16" s="194">
        <v>5000</v>
      </c>
      <c r="H16" s="195">
        <f t="shared" si="0"/>
        <v>0</v>
      </c>
      <c r="J16" s="42">
        <f t="shared" si="3"/>
        <v>11000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24400</v>
      </c>
      <c r="D17" s="30">
        <f t="shared" si="0"/>
        <v>0</v>
      </c>
      <c r="E17" s="180">
        <v>15150</v>
      </c>
      <c r="F17" s="30">
        <v>50</v>
      </c>
      <c r="G17" s="180">
        <v>26750</v>
      </c>
      <c r="H17" s="30">
        <v>300</v>
      </c>
      <c r="J17" s="42">
        <f t="shared" si="3"/>
        <v>66300</v>
      </c>
      <c r="K17" s="42">
        <f t="shared" si="4"/>
        <v>350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19800</v>
      </c>
      <c r="D18" s="30">
        <f t="shared" si="0"/>
        <v>0</v>
      </c>
      <c r="E18" s="180">
        <v>11500</v>
      </c>
      <c r="F18" s="30">
        <f t="shared" si="0"/>
        <v>0</v>
      </c>
      <c r="G18" s="180">
        <v>19250</v>
      </c>
      <c r="H18" s="30">
        <f t="shared" si="0"/>
        <v>0</v>
      </c>
      <c r="J18" s="42">
        <f t="shared" si="3"/>
        <v>50550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80850</v>
      </c>
      <c r="D33" s="44">
        <f t="shared" si="7"/>
        <v>0</v>
      </c>
      <c r="E33" s="43">
        <f t="shared" si="7"/>
        <v>59100</v>
      </c>
      <c r="F33" s="44">
        <f t="shared" si="7"/>
        <v>50</v>
      </c>
      <c r="G33" s="43">
        <f t="shared" si="7"/>
        <v>81000</v>
      </c>
      <c r="H33" s="44">
        <f t="shared" si="7"/>
        <v>1000</v>
      </c>
      <c r="J33" s="45">
        <f>SUM(J4:J32)</f>
        <v>220950</v>
      </c>
      <c r="K33" s="95">
        <f>SUM(K4:K32)</f>
        <v>1050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13</v>
      </c>
      <c r="D2" s="268"/>
      <c r="E2" s="267">
        <f>IF(PREMIOS!$C19="","",PREMIOS!$C19)</f>
        <v>21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8250</v>
      </c>
      <c r="D4" s="78">
        <f t="shared" ref="D4:F27" si="0">IF(C4="","",0)</f>
        <v>0</v>
      </c>
      <c r="E4" s="189">
        <v>1850</v>
      </c>
      <c r="F4" s="78">
        <f t="shared" si="0"/>
        <v>0</v>
      </c>
      <c r="H4" s="42">
        <f>+C4+E4</f>
        <v>10100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>
        <v>1500</v>
      </c>
      <c r="F5" s="30">
        <f t="shared" ref="F5:F27" si="1">IF(E5="","",0)</f>
        <v>0</v>
      </c>
      <c r="H5" s="42">
        <f t="shared" ref="H5:H32" si="2">+C5+E5</f>
        <v>1500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12350</v>
      </c>
      <c r="D8" s="30">
        <f t="shared" si="0"/>
        <v>0</v>
      </c>
      <c r="E8" s="194">
        <v>7350</v>
      </c>
      <c r="F8" s="195">
        <v>200</v>
      </c>
      <c r="H8" s="42">
        <f t="shared" si="2"/>
        <v>19700</v>
      </c>
      <c r="I8" s="42">
        <f t="shared" si="3"/>
        <v>200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21900</v>
      </c>
      <c r="D10" s="30">
        <f t="shared" si="0"/>
        <v>0</v>
      </c>
      <c r="E10" s="180">
        <f>10500+4600</f>
        <v>15100</v>
      </c>
      <c r="F10" s="195">
        <f t="shared" si="1"/>
        <v>0</v>
      </c>
      <c r="H10" s="42">
        <f t="shared" si="2"/>
        <v>37000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25600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25600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8000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8000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67850</v>
      </c>
      <c r="D17" s="195">
        <v>2800</v>
      </c>
      <c r="E17" s="180">
        <v>47350</v>
      </c>
      <c r="F17" s="30">
        <v>1200</v>
      </c>
      <c r="H17" s="42">
        <f t="shared" si="2"/>
        <v>115200</v>
      </c>
      <c r="I17" s="42">
        <f t="shared" si="3"/>
        <v>4000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69700</v>
      </c>
      <c r="D18" s="195">
        <v>400</v>
      </c>
      <c r="E18" s="180">
        <v>30900</v>
      </c>
      <c r="F18" s="30">
        <v>800</v>
      </c>
      <c r="H18" s="42">
        <f t="shared" si="2"/>
        <v>100600</v>
      </c>
      <c r="I18" s="42">
        <f t="shared" si="3"/>
        <v>1200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213650</v>
      </c>
      <c r="D33" s="44">
        <f>SUM(D4:D32)</f>
        <v>3200</v>
      </c>
      <c r="E33" s="43">
        <f>SUM(E4:E32)</f>
        <v>104050</v>
      </c>
      <c r="F33" s="44">
        <f>SUM(F4:F32)</f>
        <v>2200</v>
      </c>
      <c r="H33" s="95">
        <f>SUM(H4:H32)</f>
        <v>317700</v>
      </c>
      <c r="I33" s="95">
        <f>SUM(I4:I32)</f>
        <v>5400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95</v>
      </c>
      <c r="D2" s="268"/>
      <c r="E2" s="267">
        <f>IF(PREMIOS!$C20="","",PREMIOS!$C20)</f>
        <v>19</v>
      </c>
      <c r="F2" s="268"/>
      <c r="G2" s="267">
        <f>IF(PREMIOS!$D20="","",PREMIOS!$D20)</f>
        <v>28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15600</v>
      </c>
      <c r="D10" s="195">
        <f t="shared" si="0"/>
        <v>0</v>
      </c>
      <c r="E10" s="180">
        <v>4200</v>
      </c>
      <c r="F10" s="30">
        <f t="shared" si="0"/>
        <v>0</v>
      </c>
      <c r="G10" s="180">
        <f>1400+6700</f>
        <v>8100</v>
      </c>
      <c r="H10" s="195">
        <f>700+0</f>
        <v>700</v>
      </c>
      <c r="J10" s="42">
        <f t="shared" si="3"/>
        <v>27900</v>
      </c>
      <c r="K10" s="42">
        <f t="shared" si="4"/>
        <v>700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54350</v>
      </c>
      <c r="D17" s="195">
        <v>100</v>
      </c>
      <c r="E17" s="194">
        <v>15200</v>
      </c>
      <c r="F17" s="195">
        <f t="shared" si="0"/>
        <v>0</v>
      </c>
      <c r="G17" s="194">
        <v>27450</v>
      </c>
      <c r="H17" s="195">
        <v>300</v>
      </c>
      <c r="J17" s="42">
        <f t="shared" si="3"/>
        <v>97000</v>
      </c>
      <c r="K17" s="42">
        <f t="shared" si="4"/>
        <v>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23300</v>
      </c>
      <c r="D18" s="195">
        <f t="shared" si="0"/>
        <v>0</v>
      </c>
      <c r="E18" s="180">
        <v>4900</v>
      </c>
      <c r="F18" s="30">
        <v>200</v>
      </c>
      <c r="G18" s="180"/>
      <c r="H18" s="30" t="str">
        <f t="shared" si="2"/>
        <v/>
      </c>
      <c r="J18" s="42">
        <f t="shared" si="3"/>
        <v>28200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93250</v>
      </c>
      <c r="D33" s="44">
        <f t="shared" si="6"/>
        <v>100</v>
      </c>
      <c r="E33" s="43">
        <f t="shared" si="6"/>
        <v>24300</v>
      </c>
      <c r="F33" s="44">
        <f t="shared" si="6"/>
        <v>200</v>
      </c>
      <c r="G33" s="43">
        <f t="shared" si="6"/>
        <v>35550</v>
      </c>
      <c r="H33" s="44">
        <f t="shared" si="6"/>
        <v>1000</v>
      </c>
      <c r="J33" s="45">
        <f>SUM(J4:J32)</f>
        <v>153100</v>
      </c>
      <c r="K33" s="95">
        <f>SUM(K4:K32)</f>
        <v>1300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50</v>
      </c>
      <c r="D2" s="268"/>
      <c r="E2" s="267">
        <f>IF(PREMIOS!$C21="","",PREMIOS!$C21)</f>
        <v>74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27500</v>
      </c>
      <c r="D10" s="30">
        <f t="shared" si="0"/>
        <v>0</v>
      </c>
      <c r="E10" s="180">
        <v>31250</v>
      </c>
      <c r="F10" s="30">
        <f t="shared" si="0"/>
        <v>0</v>
      </c>
      <c r="H10" s="42">
        <f t="shared" si="2"/>
        <v>58750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27500</v>
      </c>
      <c r="D33" s="44">
        <f>SUM(D4:D32)</f>
        <v>0</v>
      </c>
      <c r="E33" s="43">
        <f>SUM(E4:E32)</f>
        <v>31250</v>
      </c>
      <c r="F33" s="44">
        <f>SUM(F4:F32)</f>
        <v>0</v>
      </c>
      <c r="H33" s="45">
        <f>SUM(H4:H32)</f>
        <v>58750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4" sqref="C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12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>
        <v>5100</v>
      </c>
      <c r="D17" s="30">
        <v>500</v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5100</v>
      </c>
      <c r="D33" s="44">
        <f>SUM(D4:D32)</f>
        <v>500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2026-04-27T18:26:46Z</dcterms:modified>
  <dc:language>es-CR</dc:language>
</cp:coreProperties>
</file>
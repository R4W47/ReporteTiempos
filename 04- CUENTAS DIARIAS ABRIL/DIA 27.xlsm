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7" documentId="11_C487D914EF4A2FD806D1279E6C055E72973C18B6" xr6:coauthVersionLast="47" xr6:coauthVersionMax="47" xr10:uidLastSave="{F705C7F4-CCA4-401C-95D6-612D5950BC89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0" i="14" l="1"/>
  <c r="G29" i="14"/>
  <c r="K6" i="69"/>
  <c r="K12" i="69" l="1"/>
  <c r="C39" i="60"/>
  <c r="I5" i="69" l="1"/>
  <c r="B2" i="22"/>
  <c r="G10" i="62" l="1"/>
  <c r="I10" i="61"/>
  <c r="H10" i="61"/>
  <c r="G10" i="61"/>
  <c r="G10" i="60"/>
  <c r="H17" i="60"/>
  <c r="G17" i="60"/>
  <c r="G18" i="60"/>
  <c r="E10" i="62"/>
  <c r="E10" i="61"/>
  <c r="F10" i="60"/>
  <c r="E10" i="60"/>
  <c r="F17" i="60"/>
  <c r="E17" i="60"/>
  <c r="F18" i="60"/>
  <c r="E18" i="60"/>
  <c r="C10" i="62" l="1"/>
  <c r="C10" i="61"/>
  <c r="C10" i="60"/>
  <c r="C17" i="60"/>
  <c r="C18" i="60"/>
  <c r="B2" i="15" l="1"/>
  <c r="D12" i="65" l="1"/>
  <c r="D11" i="65"/>
  <c r="D10" i="65"/>
  <c r="D18" i="61"/>
  <c r="D9" i="61"/>
  <c r="C23" i="15"/>
  <c r="D23" i="15" s="1"/>
  <c r="C22" i="15"/>
  <c r="E16" i="71" s="1"/>
  <c r="C21" i="15"/>
  <c r="C16" i="71" s="1"/>
  <c r="H16" i="64"/>
  <c r="E23" i="15" s="1"/>
  <c r="F23" i="15" s="1"/>
  <c r="D16" i="64"/>
  <c r="E21" i="15" s="1"/>
  <c r="B2" i="7"/>
  <c r="B2" i="6"/>
  <c r="B2" i="25"/>
  <c r="B2" i="14"/>
  <c r="B2" i="21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B2" i="16"/>
  <c r="F14" i="19"/>
  <c r="F10" i="19"/>
  <c r="F6" i="19"/>
  <c r="F14" i="8"/>
  <c r="F10" i="8"/>
  <c r="F6" i="8"/>
  <c r="H9" i="69"/>
  <c r="D22" i="15" l="1"/>
  <c r="G16" i="71"/>
  <c r="H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E5" i="16" s="1"/>
  <c r="D7" i="61"/>
  <c r="D6" i="61"/>
  <c r="D4" i="61"/>
  <c r="D27" i="60"/>
  <c r="D26" i="60"/>
  <c r="D25" i="60"/>
  <c r="D24" i="60"/>
  <c r="D23" i="60"/>
  <c r="D22" i="60"/>
  <c r="D21" i="60"/>
  <c r="D20" i="60"/>
  <c r="D19" i="60"/>
  <c r="D17" i="60"/>
  <c r="D15" i="60"/>
  <c r="D14" i="60"/>
  <c r="D13" i="60"/>
  <c r="D12" i="60"/>
  <c r="D11" i="60"/>
  <c r="D9" i="60"/>
  <c r="D8" i="60"/>
  <c r="D7" i="60"/>
  <c r="D5" i="60"/>
  <c r="F18" i="23"/>
  <c r="F14" i="23"/>
  <c r="F10" i="23"/>
  <c r="F6" i="23"/>
  <c r="F6" i="14"/>
  <c r="F10" i="14"/>
  <c r="F14" i="14"/>
  <c r="F18" i="14"/>
  <c r="D10" i="66"/>
  <c r="H10" i="64"/>
  <c r="F17" i="65"/>
  <c r="F8" i="65"/>
  <c r="F10" i="62"/>
  <c r="D5" i="61"/>
  <c r="F18" i="61"/>
  <c r="F16" i="61"/>
  <c r="D6" i="60"/>
  <c r="F16" i="60"/>
  <c r="F15" i="60"/>
  <c r="F14" i="60"/>
  <c r="F13" i="60"/>
  <c r="F11" i="60"/>
  <c r="F9" i="60"/>
  <c r="F8" i="60"/>
  <c r="F7" i="60"/>
  <c r="F6" i="60"/>
  <c r="F5" i="60"/>
  <c r="H15" i="60"/>
  <c r="H14" i="60"/>
  <c r="H13" i="60"/>
  <c r="H12" i="60"/>
  <c r="H11" i="60"/>
  <c r="H10" i="60"/>
  <c r="H9" i="60"/>
  <c r="H7" i="60"/>
  <c r="H6" i="60"/>
  <c r="H5" i="60"/>
  <c r="H4" i="60"/>
  <c r="F18" i="21"/>
  <c r="F14" i="21"/>
  <c r="F10" i="21"/>
  <c r="F6" i="21"/>
  <c r="F18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H34" i="60" l="1"/>
  <c r="D36" i="60"/>
  <c r="F35" i="60"/>
  <c r="F34" i="60"/>
  <c r="D35" i="60"/>
  <c r="E7" i="16"/>
  <c r="D34" i="60"/>
  <c r="J8" i="14"/>
  <c r="D21" i="14"/>
  <c r="C12" i="71"/>
  <c r="D22" i="14"/>
  <c r="G12" i="71"/>
  <c r="E19" i="16"/>
  <c r="D4" i="65"/>
  <c r="D20" i="16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G20" i="15" l="1"/>
  <c r="K7" i="15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14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M21" i="61" s="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G7" i="73" s="1"/>
  <c r="L7" i="73" s="1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B7" i="73"/>
  <c r="B6" i="73"/>
  <c r="B5" i="73"/>
  <c r="B4" i="73"/>
  <c r="H18" i="72"/>
  <c r="H17" i="72"/>
  <c r="F31" i="72"/>
  <c r="E31" i="72"/>
  <c r="D31" i="72"/>
  <c r="C31" i="72"/>
  <c r="B31" i="72"/>
  <c r="F30" i="72"/>
  <c r="E30" i="72"/>
  <c r="D30" i="72"/>
  <c r="J30" i="72" s="1"/>
  <c r="K30" i="72" s="1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J28" i="72" s="1"/>
  <c r="K28" i="72" s="1"/>
  <c r="E28" i="72"/>
  <c r="D28" i="72"/>
  <c r="C28" i="72"/>
  <c r="B28" i="72"/>
  <c r="B27" i="72"/>
  <c r="F26" i="72"/>
  <c r="E26" i="72"/>
  <c r="D26" i="72"/>
  <c r="J26" i="72" s="1"/>
  <c r="K26" i="72" s="1"/>
  <c r="C26" i="72"/>
  <c r="B26" i="72"/>
  <c r="F25" i="72"/>
  <c r="E25" i="72"/>
  <c r="D25" i="72"/>
  <c r="C25" i="72"/>
  <c r="B25" i="72"/>
  <c r="F24" i="72"/>
  <c r="J24" i="72" s="1"/>
  <c r="K24" i="72" s="1"/>
  <c r="E24" i="72"/>
  <c r="D24" i="72"/>
  <c r="C24" i="72"/>
  <c r="B24" i="72"/>
  <c r="F23" i="72"/>
  <c r="E23" i="72"/>
  <c r="D23" i="72"/>
  <c r="J23" i="72" s="1"/>
  <c r="K23" i="72" s="1"/>
  <c r="C23" i="72"/>
  <c r="H23" i="72" s="1"/>
  <c r="B23" i="72"/>
  <c r="F22" i="72"/>
  <c r="E22" i="72"/>
  <c r="D22" i="72"/>
  <c r="C22" i="72"/>
  <c r="B22" i="72"/>
  <c r="F21" i="72"/>
  <c r="E21" i="72"/>
  <c r="D21" i="72"/>
  <c r="C21" i="72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I16" i="66" s="1"/>
  <c r="D15" i="66"/>
  <c r="I15" i="66" s="1"/>
  <c r="D14" i="66"/>
  <c r="D13" i="66"/>
  <c r="I13" i="66" s="1"/>
  <c r="D12" i="66"/>
  <c r="I12" i="66" s="1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K24" i="64" s="1"/>
  <c r="D23" i="64"/>
  <c r="D22" i="64"/>
  <c r="K22" i="64" s="1"/>
  <c r="D21" i="64"/>
  <c r="K21" i="64" s="1"/>
  <c r="D20" i="64"/>
  <c r="K20" i="64" s="1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E20" i="29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J30" i="70" s="1"/>
  <c r="C30" i="70"/>
  <c r="H30" i="70" s="1"/>
  <c r="B30" i="70"/>
  <c r="F29" i="70"/>
  <c r="E29" i="70"/>
  <c r="D29" i="70"/>
  <c r="C29" i="70"/>
  <c r="B29" i="70"/>
  <c r="F28" i="70"/>
  <c r="E28" i="70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C23" i="70"/>
  <c r="H23" i="70" s="1"/>
  <c r="B23" i="70"/>
  <c r="F22" i="70"/>
  <c r="E22" i="70"/>
  <c r="D22" i="70"/>
  <c r="C22" i="70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B27" i="64"/>
  <c r="J26" i="64"/>
  <c r="B26" i="64"/>
  <c r="K25" i="64"/>
  <c r="J25" i="64"/>
  <c r="B25" i="64"/>
  <c r="J24" i="64"/>
  <c r="B24" i="64"/>
  <c r="J23" i="64"/>
  <c r="K23" i="64"/>
  <c r="B23" i="64"/>
  <c r="J22" i="64"/>
  <c r="B22" i="64"/>
  <c r="J21" i="64"/>
  <c r="B21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K27" i="64" l="1"/>
  <c r="J20" i="70"/>
  <c r="K20" i="70" s="1"/>
  <c r="H29" i="70"/>
  <c r="H31" i="70"/>
  <c r="J31" i="64"/>
  <c r="H28" i="70"/>
  <c r="J31" i="70"/>
  <c r="H30" i="72"/>
  <c r="I30" i="72" s="1"/>
  <c r="N30" i="72" s="1"/>
  <c r="I15" i="72"/>
  <c r="N15" i="72" s="1"/>
  <c r="H26" i="72"/>
  <c r="N26" i="72" s="1"/>
  <c r="H20" i="70"/>
  <c r="I20" i="70" s="1"/>
  <c r="J30" i="71"/>
  <c r="K30" i="71" s="1"/>
  <c r="H22" i="72"/>
  <c r="J25" i="72"/>
  <c r="K25" i="72" s="1"/>
  <c r="E27" i="72"/>
  <c r="G33" i="64"/>
  <c r="L20" i="71"/>
  <c r="M20" i="71" s="1"/>
  <c r="H25" i="72"/>
  <c r="I25" i="72" s="1"/>
  <c r="N25" i="72" s="1"/>
  <c r="E33" i="66"/>
  <c r="H22" i="70"/>
  <c r="J25" i="70"/>
  <c r="K25" i="70" s="1"/>
  <c r="J29" i="70"/>
  <c r="K29" i="70" s="1"/>
  <c r="H24" i="72"/>
  <c r="I24" i="72" s="1"/>
  <c r="N24" i="72" s="1"/>
  <c r="H31" i="72"/>
  <c r="I31" i="72" s="1"/>
  <c r="N31" i="72" s="1"/>
  <c r="L28" i="71"/>
  <c r="M28" i="71" s="1"/>
  <c r="F25" i="29"/>
  <c r="F27" i="72"/>
  <c r="H29" i="66"/>
  <c r="J23" i="70"/>
  <c r="K23" i="70" s="1"/>
  <c r="L22" i="71"/>
  <c r="M22" i="71" s="1"/>
  <c r="J22" i="72"/>
  <c r="K22" i="72" s="1"/>
  <c r="J32" i="64"/>
  <c r="L6" i="6"/>
  <c r="K20" i="19"/>
  <c r="K9" i="19"/>
  <c r="L21" i="71"/>
  <c r="M21" i="71" s="1"/>
  <c r="J22" i="71"/>
  <c r="K22" i="71" s="1"/>
  <c r="J31" i="71"/>
  <c r="K31" i="71" s="1"/>
  <c r="D18" i="72"/>
  <c r="L7" i="23"/>
  <c r="J22" i="70"/>
  <c r="K22" i="70" s="1"/>
  <c r="D26" i="21"/>
  <c r="J10" i="21"/>
  <c r="C17" i="73"/>
  <c r="F17" i="73" s="1"/>
  <c r="J10" i="8"/>
  <c r="D26" i="19"/>
  <c r="J10" i="19"/>
  <c r="J29" i="71"/>
  <c r="K29" i="71" s="1"/>
  <c r="J21" i="72"/>
  <c r="K21" i="72" s="1"/>
  <c r="J31" i="72"/>
  <c r="K31" i="72" s="1"/>
  <c r="J29" i="64"/>
  <c r="I18" i="66"/>
  <c r="H24" i="70"/>
  <c r="J7" i="19"/>
  <c r="F25" i="19"/>
  <c r="L9" i="19" s="1"/>
  <c r="F18" i="72"/>
  <c r="J18" i="72" s="1"/>
  <c r="K18" i="72" s="1"/>
  <c r="J26" i="71"/>
  <c r="L29" i="71"/>
  <c r="M29" i="71" s="1"/>
  <c r="H20" i="72"/>
  <c r="H21" i="72"/>
  <c r="F22" i="15"/>
  <c r="L8" i="15" s="1"/>
  <c r="F16" i="71"/>
  <c r="L16" i="71" s="1"/>
  <c r="M16" i="71" s="1"/>
  <c r="G22" i="15"/>
  <c r="L25" i="71"/>
  <c r="M25" i="71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F24" i="29"/>
  <c r="L27" i="72" s="1"/>
  <c r="D27" i="72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5" i="72"/>
  <c r="N5" i="72" s="1"/>
  <c r="I17" i="72"/>
  <c r="I6" i="72"/>
  <c r="N6" i="72" s="1"/>
  <c r="I13" i="72"/>
  <c r="N13" i="72" s="1"/>
  <c r="I22" i="72"/>
  <c r="N22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6" i="71"/>
  <c r="P6" i="71" s="1"/>
  <c r="K13" i="71"/>
  <c r="P13" i="71" s="1"/>
  <c r="K25" i="71"/>
  <c r="K28" i="71"/>
  <c r="K11" i="71"/>
  <c r="P11" i="71" s="1"/>
  <c r="K15" i="71"/>
  <c r="P15" i="71" s="1"/>
  <c r="K16" i="71"/>
  <c r="P16" i="71" s="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3" i="71" l="1"/>
  <c r="J27" i="72"/>
  <c r="K27" i="72" s="1"/>
  <c r="H27" i="72"/>
  <c r="I27" i="72" s="1"/>
  <c r="P22" i="71"/>
  <c r="N27" i="71"/>
  <c r="P27" i="71" s="1"/>
  <c r="N27" i="72"/>
  <c r="K12" i="17"/>
  <c r="K20" i="21"/>
  <c r="K10" i="21"/>
  <c r="N26" i="71"/>
  <c r="P26" i="71" s="1"/>
  <c r="L27" i="70"/>
  <c r="K21" i="19"/>
  <c r="K10" i="19"/>
  <c r="K21" i="8"/>
  <c r="K10" i="8"/>
  <c r="L27" i="71"/>
  <c r="M27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M26" i="52" l="1"/>
  <c r="L4" i="23"/>
  <c r="J6" i="23"/>
  <c r="L5" i="23"/>
  <c r="L6" i="23"/>
  <c r="M24" i="52"/>
  <c r="J5" i="23"/>
  <c r="M23" i="52"/>
  <c r="J4" i="23"/>
  <c r="J5" i="19"/>
  <c r="M20" i="52"/>
  <c r="M25" i="52"/>
  <c r="M22" i="52"/>
  <c r="F17" i="52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1" l="1"/>
  <c r="K5" i="8"/>
  <c r="K6" i="23"/>
  <c r="M27" i="52"/>
  <c r="J32" i="61"/>
  <c r="L19" i="71"/>
  <c r="M19" i="71" s="1"/>
  <c r="E32" i="60"/>
  <c r="I32" i="61"/>
  <c r="L6" i="22"/>
  <c r="M19" i="52"/>
  <c r="F32" i="60"/>
  <c r="G32" i="60"/>
  <c r="L19" i="59"/>
  <c r="H32" i="60"/>
  <c r="H33" i="60" s="1"/>
  <c r="K5" i="23"/>
  <c r="G32" i="61"/>
  <c r="F32" i="61"/>
  <c r="L6" i="25"/>
  <c r="L5" i="15"/>
  <c r="H32" i="61"/>
  <c r="H19" i="70"/>
  <c r="K5" i="19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7" i="52" l="1"/>
  <c r="K6" i="22"/>
  <c r="M4" i="52"/>
  <c r="R29" i="59"/>
  <c r="M6" i="52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5" i="58"/>
  <c r="P22" i="58"/>
  <c r="P23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5" i="52"/>
  <c r="C24" i="1" s="1"/>
  <c r="B24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6" i="8" l="1"/>
  <c r="F16" i="15"/>
  <c r="F16" i="19"/>
  <c r="K6" i="52"/>
  <c r="C5" i="1" s="1"/>
  <c r="B5" i="1"/>
  <c r="F12" i="14"/>
  <c r="G12" i="14" s="1"/>
  <c r="F12" i="8"/>
  <c r="F12" i="19"/>
  <c r="G12" i="19" s="1"/>
  <c r="F12" i="15"/>
  <c r="G12" i="15" s="1"/>
  <c r="K4" i="52"/>
  <c r="C3" i="1" s="1"/>
  <c r="B3" i="1"/>
  <c r="K20" i="52"/>
  <c r="C19" i="1" s="1"/>
  <c r="B19" i="1"/>
  <c r="K5" i="52"/>
  <c r="C4" i="1" s="1"/>
  <c r="B4" i="1"/>
  <c r="K23" i="52"/>
  <c r="C22" i="1" s="1"/>
  <c r="B22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K27" i="52"/>
  <c r="G16" i="23"/>
  <c r="F16" i="21"/>
  <c r="G16" i="21" s="1"/>
  <c r="G16" i="8"/>
  <c r="G16" i="15"/>
  <c r="G16" i="7"/>
  <c r="F16" i="6"/>
  <c r="G16" i="6" s="1"/>
  <c r="F12" i="6"/>
  <c r="G8" i="17"/>
  <c r="F12" i="21"/>
  <c r="G12" i="21" s="1"/>
  <c r="G8" i="23"/>
  <c r="G8" i="15"/>
  <c r="F8" i="21"/>
  <c r="L6" i="19" l="1"/>
  <c r="L6" i="15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4" i="52" l="1"/>
  <c r="D3" i="1"/>
  <c r="F3" i="1" s="1"/>
  <c r="Q5" i="52"/>
  <c r="D4" i="1"/>
  <c r="F4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H12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<sst xmlns="http://schemas.openxmlformats.org/spreadsheetml/2006/main" count="1295" uniqueCount="162">
  <si>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</si>
  <si>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</si>
  <si>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</si>
  <si>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</si>
  <si>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</si>
  <si>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</si>
  <si>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</si>
  <si>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</si>
  <si>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</si>
  <si>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</si>
  <si>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</si>
  <si>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</si>
  <si>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</si>
  <si>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</si>
  <si>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</si>
  <si>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</si>
  <si>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</si>
  <si>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</si>
  <si>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</si>
  <si>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</si>
  <si>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</si>
  <si>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</si>
  <si>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</si>
  <si>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</si>
  <si>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</si>
  <si>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</si>
  <si>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</si>
  <si>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</si>
  <si>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</si>
  <si>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</si>
  <si>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</si>
  <si>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</si>
  <si>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</si>
  <si>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</si>
  <si>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</si>
  <si>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</si>
  <si>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</si>
  <si>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</si>
  <si>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</si>
  <si>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</si>
  <si>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</si>
  <si>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</si>
  <si>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</si>
  <si>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</si>
  <si>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</si>
  <si>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</si>
  <si>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</si>
  <si>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</si>
  <si>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</si>
  <si>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</si>
  <si>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</si>
  <si>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</si>
  <si>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</si>
  <si>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</si>
  <si>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</si>
  <si>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</si>
  <si>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</si>
  <si>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</si>
  <si>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</si>
  <si>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</si>
  <si>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</si>
  <si>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</si>
  <si>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</si>
  <si>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</si>
  <si>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</si>
  <si>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</si>
  <si>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</si>
  <si>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</si>
  <si>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</si>
  <si>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</si>
  <si>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</si>
  <si>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</si>
  <si>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</si>
  <si>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</si>
  <si>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</si>
  <si>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</si>
  <si>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</si>
  <si>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</si>
  <si>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</si>
  <si>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</si>
  <si>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</si>
  <si>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</si>
  <si>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</si>
  <si>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</si>
  <si>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</si>
  <si>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</si>
  <si>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</si>
  <si>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</si>
  <si>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</si>
  <si>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</si>
  <si>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</si>
  <si>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</si>
  <si>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</si>
  <si>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</si>
  <si>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</si>
  <si>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</si>
  <si>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</si>
  <si>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</si>
  <si>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</si>
  <si>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</si>
  <si>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</si>
  <si>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</si>
  <si>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</si>
  <si>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</si>
  <si>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</si>
  <si>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</si>
  <si>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</si>
  <si>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</si>
  <si>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</si>
  <si>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</si>
  <si>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</si>
  <si>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</si>
  <si>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</si>
  <si>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</si>
  <si>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</si>
  <si>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</si>
  <si>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</si>
  <si>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</si>
  <si>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</si>
  <si>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</si>
  <si>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</si>
  <si>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</si>
  <si>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</si>
  <si>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</si>
  <si>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</si>
  <si>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</si>
  <si>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</si>
  <si>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</si>
  <si>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</si>
  <si>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</si>
  <si>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</si>
  <si>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</si>
  <si>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</si>
  <si>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</si>
  <si>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</si>
  <si>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</si>
  <si>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</si>
  <si>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</si>
  <si>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</si>
  <si>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</si>
  <si>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</si>
  <si>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</si>
  <si>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</si>
  <si>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</si>
  <si>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</si>
  <si>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</si>
  <si>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</si>
  <si>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</si>
  <si>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</si>
  <si>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</si>
  <si>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</si>
  <si>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</si>
  <si>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</si>
  <si>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</si>
  <si>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</si>
  <si>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</si>
  <si>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</si>
  <si>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</si>
  <si>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</si>
  <si>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</si>
  <si>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01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</si>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</sst>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166" fontId="21" fillId="26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5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223250</v>
      </c>
      <c r="C3" s="9">
        <f>+HojaTICA!K4+HojaNICA!M4+HojaREVENTADO!K4+HojaPrimera!I4+HojaHonduras!K4+HojaDominicana!I4+HojaPANA!G4</f>
        <v>29000</v>
      </c>
      <c r="D3" s="9">
        <f>+HojaTICA!N4+HojaNICA!P4+HojaREVENTADO!O4+HojaPrimera!L4+HojaHonduras!N4+HojaDominicana!L4+HojaPANA!J4</f>
        <v>216250</v>
      </c>
      <c r="F3" s="10">
        <f t="shared" ref="F3:F27" si="0">+B3-C3-D3</f>
        <v>-22000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152550</v>
      </c>
      <c r="C4" s="9">
        <f>+HojaTICA!K5+HojaNICA!M5+HojaREVENTADO!K5+HojaPrimera!I5+HojaHonduras!K5+HojaDominicana!I5+HojaPANA!G5</f>
        <v>19850</v>
      </c>
      <c r="D4" s="9">
        <f>+HojaTICA!N5+HojaNICA!P5+HojaREVENTADO!O5+HojaPrimera!L5+HojaHonduras!N5+HojaDominicana!L5+HojaPANA!J5</f>
        <v>0</v>
      </c>
      <c r="F4" s="14">
        <f t="shared" si="0"/>
        <v>132700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258300</v>
      </c>
      <c r="C7" s="9">
        <f>+HojaTICA!K8+HojaNICA!M8+HojaREVENTADO!K8+HojaPrimera!I8+HojaHonduras!K8+HojaDominicana!I8+HojaPANA!G8</f>
        <v>31000</v>
      </c>
      <c r="D7" s="9">
        <f>+HojaTICA!N8+HojaNICA!P8+HojaREVENTADO!O8+HojaPrimera!L8+HojaHonduras!N8+HojaDominicana!L8+HojaPANA!J8</f>
        <v>86000</v>
      </c>
      <c r="F7" s="14">
        <f t="shared" si="0"/>
        <v>141300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868250</v>
      </c>
      <c r="C9" s="9">
        <f>+HojaTICA!K10+HojaNICA!M10+HojaREVENTADO!K10+HojaPrimera!I10+HojaHonduras!K10+HojaDominicana!I10+HojaPANA!G10</f>
        <v>102690</v>
      </c>
      <c r="D9" s="9">
        <f>+HojaTICA!N10+HojaNICA!P10+HojaREVENTADO!O10+HojaPrimera!L10+HojaHonduras!N10+HojaDominicana!L10+HojaPANA!J10</f>
        <v>782000</v>
      </c>
      <c r="F9" s="14">
        <f t="shared" si="0"/>
        <v>-16440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19700</v>
      </c>
      <c r="C10" s="9">
        <f>+HojaTICA!K11+HojaNICA!M11+HojaREVENTADO!K11+HojaPrimera!I11+HojaHonduras!K11+HojaDominicana!I11+HojaPANA!G11</f>
        <v>2350</v>
      </c>
      <c r="D10" s="9">
        <f>+HojaTICA!N11+HojaNICA!P11+HojaREVENTADO!O11+HojaPrimera!L11+HojaHonduras!N11+HojaDominicana!L11+HojaPANA!J11</f>
        <v>0</v>
      </c>
      <c r="F10" s="14">
        <f t="shared" si="0"/>
        <v>17350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114550</v>
      </c>
      <c r="C11" s="9">
        <f>+HojaTICA!K12+HojaNICA!M12+HojaREVENTADO!K12+HojaPrimera!I12+HojaHonduras!K12+HojaDominicana!I12+HojaPANA!G12</f>
        <v>13680</v>
      </c>
      <c r="D11" s="9">
        <f>+HojaTICA!N12+HojaNICA!P12+HojaREVENTADO!O12+HojaPrimera!L12+HojaHonduras!N12+HojaDominicana!L12+HojaPANA!J12</f>
        <v>85000</v>
      </c>
      <c r="F11" s="14">
        <f t="shared" si="0"/>
        <v>15870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82550</v>
      </c>
      <c r="C12" s="9">
        <f>+HojaTICA!K13+HojaNICA!M13+HojaREVENTADO!K13+HojaPrimera!I13+HojaHonduras!K13+HojaDominicana!I13+HojaPANA!G13</f>
        <v>9900</v>
      </c>
      <c r="D12" s="9">
        <f>+HojaTICA!N13+HojaNICA!P13+HojaREVENTADO!O13+HojaPrimera!L13+HojaHonduras!N13+HojaDominicana!L13+HojaPANA!J13</f>
        <v>24000</v>
      </c>
      <c r="F12" s="14">
        <f t="shared" si="0"/>
        <v>48650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53200</v>
      </c>
      <c r="C13" s="9">
        <f>+HojaTICA!K14+HojaNICA!M14+HojaREVENTADO!K14+HojaPrimera!I14+HojaHonduras!K14+HojaDominicana!I14+HojaPANA!G14</f>
        <v>8000</v>
      </c>
      <c r="D13" s="9">
        <f>+HojaTICA!N14+HojaNICA!P14+HojaREVENTADO!O14+HojaPrimera!L14+HojaHonduras!N14+HojaDominicana!L14+HojaPANA!J14</f>
        <v>0</v>
      </c>
      <c r="F13" s="14">
        <f t="shared" si="0"/>
        <v>45200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133600</v>
      </c>
      <c r="C15" s="9">
        <f>+HojaTICA!K16+HojaNICA!M16+HojaREVENTADO!K16+HojaPrimera!I16+HojaHonduras!K16+HojaDominicana!I16+HojaPANA!G16</f>
        <v>15950</v>
      </c>
      <c r="D15" s="9">
        <f>+HojaTICA!N16+HojaNICA!P16+HojaREVENTADO!O16+HojaPrimera!L16+HojaHonduras!N16+HojaDominicana!L16+HojaPANA!J16</f>
        <v>120750</v>
      </c>
      <c r="F15" s="14">
        <f t="shared" si="0"/>
        <v>-3100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982800</v>
      </c>
      <c r="C16" s="9">
        <f>+HojaTICA!K17+HojaNICA!M17+HojaREVENTADO!K17+HojaPrimera!I17+HojaHonduras!K17+HojaDominicana!I17+HojaPANA!G17</f>
        <v>116610</v>
      </c>
      <c r="D16" s="9">
        <f>+HojaTICA!N17+HojaNICA!P17+HojaREVENTADO!O17+HojaPrimera!L17+HojaHonduras!N17+HojaDominicana!L17+HojaPANA!J17</f>
        <v>1377000</v>
      </c>
      <c r="F16" s="14">
        <f t="shared" si="0"/>
        <v>-510810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463350</v>
      </c>
      <c r="C17" s="9">
        <f>+HojaTICA!K18+HojaNICA!M18+HojaREVENTADO!K18+HojaPrimera!I18+HojaHonduras!K18+HojaDominicana!I18+HojaPANA!G18</f>
        <v>54840</v>
      </c>
      <c r="D17" s="9">
        <f>+HojaTICA!N18+HojaNICA!P18+HojaREVENTADO!O18+HojaPrimera!L18+HojaHonduras!N18+HojaDominicana!L18+HojaPANA!J18</f>
        <v>297500</v>
      </c>
      <c r="F17" s="14">
        <f t="shared" si="0"/>
        <v>111010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55250</v>
      </c>
      <c r="F26" s="14">
        <f t="shared" si="0"/>
        <v>-55250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3352100</v>
      </c>
      <c r="C28" s="17">
        <f t="shared" si="1"/>
        <v>403870</v>
      </c>
      <c r="D28" s="18">
        <f t="shared" si="1"/>
        <v>3043750</v>
      </c>
      <c r="F28" s="20">
        <f>SUM(F3:F27)</f>
        <v>-95520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2">
        <v>39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2">
        <v>82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5" t="str">
        <f>D8</f>
        <v>Blanca</v>
      </c>
      <c r="C8" s="135"/>
      <c r="D8" s="136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8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2">
        <v>55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2">
        <v>66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5" t="str">
        <f>D12</f>
        <v>Blanca</v>
      </c>
      <c r="C12" s="135"/>
      <c r="D12" s="136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72</v>
      </c>
      <c r="C13" s="132"/>
      <c r="D13" s="136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2">
        <v>96</v>
      </c>
      <c r="C15" s="132"/>
      <c r="D15" s="136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5" t="str">
        <f>D16</f>
        <v>Blanca</v>
      </c>
      <c r="C16" s="135"/>
      <c r="D16" s="136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2">
        <v>25</v>
      </c>
      <c r="C17" s="132"/>
      <c r="D17" s="136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2">
        <v>44</v>
      </c>
      <c r="C19" s="132">
        <v>69</v>
      </c>
      <c r="D19" s="136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2">
        <v>73</v>
      </c>
      <c r="C20" s="162">
        <v>87</v>
      </c>
      <c r="D20" s="165" t="s">
        <v>161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3" t="s">
        <v>160</v>
      </c>
      <c r="C21" s="163">
        <v>31</v>
      </c>
      <c r="D21" s="137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 x14ac:dyDescent="0.35">
      <c r="C2" s="266">
        <f>DigitaTICA!C2</f>
        <v>82</v>
      </c>
      <c r="D2" s="267"/>
      <c r="E2" s="266">
        <f>DigitaTICA!E2</f>
        <v>66</v>
      </c>
      <c r="F2" s="267"/>
      <c r="G2" s="266">
        <f>DigitaTICA!G2</f>
        <v>96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79">
        <f>IF(Vendedor1!$C$7="",0,Vendedor1!$C$7)</f>
        <v>66950</v>
      </c>
      <c r="D4" s="30">
        <f>IF(Vendedor1!$E$7="",0,Vendedor1!$E$7)</f>
        <v>250</v>
      </c>
      <c r="E4" s="179">
        <f>IF(Vendedor1!$C$11="",0,Vendedor1!$C$11)</f>
        <v>33850</v>
      </c>
      <c r="F4" s="30">
        <f>IF(Vendedor1!$E$11="",0,Vendedor1!$E$11)</f>
        <v>2200</v>
      </c>
      <c r="G4" s="179">
        <f>IF(Vendedor1!$C$15="",0,Vendedor1!$C$15)</f>
        <v>72300</v>
      </c>
      <c r="H4" s="30">
        <f>IF(Vendedor1!$E$15="",0,Vendedor1!$E$15)</f>
        <v>0</v>
      </c>
      <c r="J4" s="42">
        <f t="shared" ref="J4:J7" si="0">+C4+E4+G4</f>
        <v>173100</v>
      </c>
      <c r="K4" s="41">
        <f>MROUND(J4*Vendedor1!J$9,50)</f>
        <v>22500</v>
      </c>
      <c r="L4" s="42">
        <f t="shared" ref="L4:L7" si="1">+D4+F4+H4</f>
        <v>2450</v>
      </c>
      <c r="M4" s="42">
        <f t="shared" ref="M4:M7" si="2">+L4*85</f>
        <v>208250</v>
      </c>
      <c r="N4" s="42">
        <f>Vendedor1!$F$7+Vendedor1!$F$11+Vendedor1!$F$15</f>
        <v>208250</v>
      </c>
      <c r="P4" s="42">
        <f t="shared" ref="P4:P7" si="3">+J4-K4-N4</f>
        <v>-57650</v>
      </c>
    </row>
    <row r="5" spans="1:16" x14ac:dyDescent="0.35">
      <c r="A5" s="41">
        <v>2</v>
      </c>
      <c r="B5" s="176" t="str">
        <f>Vendedor2!$B$2</f>
        <v>PUESTO 2</v>
      </c>
      <c r="C5" s="179">
        <f>IF(Vendedor2!$C$7="",0,Vendedor2!$C$7)</f>
        <v>28450</v>
      </c>
      <c r="D5" s="30">
        <f>IF(Vendedor2!$E$7="",0,Vendedor2!$E$7)</f>
        <v>0</v>
      </c>
      <c r="E5" s="179">
        <f>IF(Vendedor2!$C$11="",0,Vendedor2!$C$11)</f>
        <v>26100</v>
      </c>
      <c r="F5" s="30">
        <f>IF(Vendedor2!$E$11="",0,Vendedor2!$E$11)</f>
        <v>0</v>
      </c>
      <c r="G5" s="179">
        <f>IF(Vendedor2!$C$15="",0,Vendedor2!$C$15)</f>
        <v>77650</v>
      </c>
      <c r="H5" s="30">
        <f>IF(Vendedor2!$E$15="",0,Vendedor2!$E$15)</f>
        <v>0</v>
      </c>
      <c r="J5" s="42">
        <f t="shared" si="0"/>
        <v>132200</v>
      </c>
      <c r="K5" s="41">
        <f>MROUND(J5*Vendedor2!J$9,50)</f>
        <v>17200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115000</v>
      </c>
    </row>
    <row r="6" spans="1:16" x14ac:dyDescent="0.35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6" t="str">
        <f>Vendedor5!$B$2</f>
        <v>YOYO</v>
      </c>
      <c r="C8" s="179">
        <f>IF(Vendedor5!$C$7="",0,Vendedor5!$C$7)</f>
        <v>47100</v>
      </c>
      <c r="D8" s="30">
        <f>IF(Vendedor5!$E$7="",0,Vendedor5!$E$7)</f>
        <v>0</v>
      </c>
      <c r="E8" s="179">
        <f>IF(Vendedor5!$C$11="",0,Vendedor5!$C$11)</f>
        <v>41800</v>
      </c>
      <c r="F8" s="30">
        <f>IF(Vendedor5!$E$11="",0,Vendedor5!$E$11)</f>
        <v>0</v>
      </c>
      <c r="G8" s="179">
        <f>IF(Vendedor5!$C$15="",0,Vendedor5!$C$15)</f>
        <v>36150</v>
      </c>
      <c r="H8" s="30">
        <f>IF(Vendedor5!$E$15="",0,Vendedor5!$E$15)</f>
        <v>400</v>
      </c>
      <c r="J8" s="42">
        <f t="shared" ref="J8" si="4">+C8+E8+G8</f>
        <v>125050</v>
      </c>
      <c r="K8" s="41">
        <f>MROUND(J8*Vendedor5!J$11,50)</f>
        <v>15000</v>
      </c>
      <c r="L8" s="42">
        <f t="shared" ref="L8" si="5">+D8+F8+H8</f>
        <v>400</v>
      </c>
      <c r="M8" s="42">
        <f t="shared" ref="M8" si="6">+L8*85</f>
        <v>34000</v>
      </c>
      <c r="N8" s="42">
        <f>Vendedor5!$F$7+Vendedor5!$F$11+Vendedor5!$F$15</f>
        <v>34000</v>
      </c>
      <c r="P8" s="42">
        <f t="shared" ref="P8" si="7">+J8-K8-N8</f>
        <v>76050</v>
      </c>
    </row>
    <row r="9" spans="1:16" x14ac:dyDescent="0.35">
      <c r="A9" s="41">
        <v>6</v>
      </c>
      <c r="B9" s="177" t="str">
        <f>Vendedor6!$B$2</f>
        <v>vendedor 06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IF(Vendedor7!$C$7="",0,Vendedor7!$C$7)</f>
        <v>154850</v>
      </c>
      <c r="D10" s="30">
        <f>IF(Vendedor7!$E$7="",0,Vendedor7!$E$7)</f>
        <v>100</v>
      </c>
      <c r="E10" s="179">
        <f>IF(Vendedor7!$C$11="",0,Vendedor7!$C$11)</f>
        <v>119200</v>
      </c>
      <c r="F10" s="30">
        <f>IF(Vendedor7!$E$11="",0,Vendedor7!$E$11)</f>
        <v>4100</v>
      </c>
      <c r="G10" s="179">
        <f>IF(Vendedor7!$C$15="",0,Vendedor7!$C$15)</f>
        <v>147800</v>
      </c>
      <c r="H10" s="30">
        <f>IF(Vendedor7!$E$15="",0,Vendedor7!$E$15)</f>
        <v>0</v>
      </c>
      <c r="J10" s="42">
        <f t="shared" si="8"/>
        <v>421850</v>
      </c>
      <c r="K10" s="41">
        <f>MROUND(J10*Vendedor7!J$14,50)</f>
        <v>50600</v>
      </c>
      <c r="L10" s="42">
        <f t="shared" si="9"/>
        <v>4200</v>
      </c>
      <c r="M10" s="42">
        <f t="shared" si="10"/>
        <v>357000</v>
      </c>
      <c r="N10" s="42">
        <f>Vendedor7!$F$7+Vendedor7!$F$11+Vendedor7!$F$15</f>
        <v>357000</v>
      </c>
      <c r="P10" s="42">
        <f t="shared" si="11"/>
        <v>14250</v>
      </c>
    </row>
    <row r="11" spans="1:16" x14ac:dyDescent="0.35">
      <c r="A11" s="41">
        <v>8</v>
      </c>
      <c r="B11" s="177" t="str">
        <f>Vendedor8!$B$2</f>
        <v>ISA</v>
      </c>
      <c r="C11" s="179">
        <f>IF(Vendedor8!$C$7="",0,Vendedor8!$C$7)</f>
        <v>4000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15700</v>
      </c>
      <c r="H11" s="30">
        <f>IF(Vendedor8!$E$15="",0,Vendedor8!$E$15)</f>
        <v>0</v>
      </c>
      <c r="J11" s="42">
        <f t="shared" si="8"/>
        <v>19700</v>
      </c>
      <c r="K11" s="41">
        <f>MROUND(J11*Vendedor8!J$11,50)</f>
        <v>2350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17350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IF(Vendedor9!$C$7="",0,Vendedor9!$C$7)</f>
        <v>24100</v>
      </c>
      <c r="D12" s="30">
        <f>IF(Vendedor9!$E$7="",0,Vendedor9!$E$7)</f>
        <v>0</v>
      </c>
      <c r="E12" s="179">
        <f>IF(Vendedor9!$C$11="",0,Vendedor9!$C$11)</f>
        <v>16700</v>
      </c>
      <c r="F12" s="30">
        <f>IF(Vendedor9!$E$11="",0,Vendedor9!$E$11)</f>
        <v>1000</v>
      </c>
      <c r="G12" s="179">
        <f>IF(Vendedor9!$C$15="",0,Vendedor9!$C$15)</f>
        <v>6450</v>
      </c>
      <c r="H12" s="30">
        <f>IF(Vendedor9!$E$15="",0,Vendedor9!$E$15)</f>
        <v>0</v>
      </c>
      <c r="J12" s="42">
        <f t="shared" si="8"/>
        <v>47250</v>
      </c>
      <c r="K12" s="41">
        <f>MROUND(J12*Vendedor9!J$11,50)</f>
        <v>5650</v>
      </c>
      <c r="L12" s="42">
        <f t="shared" si="9"/>
        <v>1000</v>
      </c>
      <c r="M12" s="42">
        <f t="shared" si="10"/>
        <v>85000</v>
      </c>
      <c r="N12" s="42">
        <f>Vendedor9!$F$7+Vendedor9!$F$11+Vendedor9!$F$15</f>
        <v>85000</v>
      </c>
      <c r="P12" s="42">
        <f t="shared" si="11"/>
        <v>-43400</v>
      </c>
    </row>
    <row r="13" spans="1:16" x14ac:dyDescent="0.35">
      <c r="A13" s="41">
        <v>10</v>
      </c>
      <c r="B13" s="177" t="str">
        <f>Vendedor10!$B$2</f>
        <v>MARIALIZ</v>
      </c>
      <c r="C13" s="179">
        <f>IF(Vendedor10!$C$7="",0,Vendedor10!$C$7)</f>
        <v>18200</v>
      </c>
      <c r="D13" s="30">
        <f>IF(Vendedor10!$E$7="",0,Vendedor10!$E$7)</f>
        <v>0</v>
      </c>
      <c r="E13" s="179">
        <f>IF(Vendedor10!$C$11="",0,Vendedor10!$C$11)</f>
        <v>15300</v>
      </c>
      <c r="F13" s="30">
        <f>IF(Vendedor10!$E$11="",0,Vendedor10!$E$11)</f>
        <v>0</v>
      </c>
      <c r="G13" s="179">
        <f>IF(Vendedor10!$C$15="",0,Vendedor10!$C$15)</f>
        <v>26650</v>
      </c>
      <c r="H13" s="30">
        <f>IF(Vendedor10!$E$15="",0,Vendedor10!$E$15)</f>
        <v>0</v>
      </c>
      <c r="J13" s="42">
        <f t="shared" si="8"/>
        <v>60150</v>
      </c>
      <c r="K13" s="41">
        <f>MROUND(J13*Vendedor10!J$9,50)</f>
        <v>7200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52950</v>
      </c>
    </row>
    <row r="14" spans="1:16" x14ac:dyDescent="0.35">
      <c r="A14" s="41">
        <v>11</v>
      </c>
      <c r="B14" s="177" t="str">
        <f>Vendedor11!$B$2</f>
        <v>CHARLY</v>
      </c>
      <c r="C14" s="179">
        <f>IF(Vendedor11!$C$7="",0,Vendedor11!$C$7)</f>
        <v>22950</v>
      </c>
      <c r="D14" s="30">
        <f>IF(Vendedor11!$E$7="",0,Vendedor11!$E$7)</f>
        <v>0</v>
      </c>
      <c r="E14" s="179">
        <f>IF(Vendedor11!$C$11="",0,Vendedor11!$C$11)</f>
        <v>9350</v>
      </c>
      <c r="F14" s="30">
        <f>IF(Vendedor11!$E$11="",0,Vendedor11!$E$11)</f>
        <v>0</v>
      </c>
      <c r="G14" s="179">
        <f>IF(Vendedor11!$C$15="",0,Vendedor11!$C$15)</f>
        <v>20900</v>
      </c>
      <c r="H14" s="30">
        <f>IF(Vendedor11!$E$15="",0,Vendedor11!$E$15)</f>
        <v>0</v>
      </c>
      <c r="J14" s="42">
        <f t="shared" si="8"/>
        <v>53200</v>
      </c>
      <c r="K14" s="41">
        <f>MROUND(J14*Vendedor11!J$9,50)</f>
        <v>8000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45200</v>
      </c>
    </row>
    <row r="15" spans="1:16" x14ac:dyDescent="0.35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IF(Vendedor13!$C$7="",0,Vendedor13!$C$7)</f>
        <v>23500</v>
      </c>
      <c r="D16" s="30">
        <f>IF(Vendedor13!$E$7="",0,Vendedor13!$E$7)</f>
        <v>450</v>
      </c>
      <c r="E16" s="179">
        <f>IF(Vendedor13!$C$11="",0,Vendedor13!$C$11)</f>
        <v>21200</v>
      </c>
      <c r="F16" s="30">
        <f>IF(Vendedor13!$E$11="",0,Vendedor13!$E$11)</f>
        <v>0</v>
      </c>
      <c r="G16" s="179">
        <f>IF(Vendedor13!$C$15="",0,Vendedor13!$C$15)</f>
        <v>41500</v>
      </c>
      <c r="H16" s="30">
        <f>IF(Vendedor13!$E$15="",0,Vendedor13!$E$15)</f>
        <v>500</v>
      </c>
      <c r="J16" s="42">
        <f t="shared" si="8"/>
        <v>86200</v>
      </c>
      <c r="K16" s="41">
        <f>MROUND(J16*Vendedor13!J$11,50)</f>
        <v>10350</v>
      </c>
      <c r="L16" s="42">
        <f t="shared" si="9"/>
        <v>950</v>
      </c>
      <c r="M16" s="42">
        <f t="shared" si="10"/>
        <v>80750</v>
      </c>
      <c r="N16" s="42">
        <f>Vendedor13!$F$7+Vendedor13!$F$11+Vendedor13!$F$15</f>
        <v>80750</v>
      </c>
      <c r="P16" s="42">
        <f t="shared" si="11"/>
        <v>-4900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IF(Vendedor14!$C$7="",0,Vendedor14!$C$7)</f>
        <v>95050</v>
      </c>
      <c r="D17" s="30">
        <f>IF(Vendedor14!$E$7="",0,Vendedor14!$E$7)</f>
        <v>0</v>
      </c>
      <c r="E17" s="179">
        <f>IF(Vendedor14!$C$11="",0,Vendedor14!$C$11)</f>
        <v>92600</v>
      </c>
      <c r="F17" s="30">
        <f>IF(Vendedor14!$E$11="",0,Vendedor14!$E$11)</f>
        <v>750</v>
      </c>
      <c r="G17" s="179">
        <f>IF(Vendedor14!$C$15="",0,Vendedor14!$C$15)</f>
        <v>186350</v>
      </c>
      <c r="H17" s="30">
        <f>IF(Vendedor14!$E$15="",0,Vendedor14!$E$15)</f>
        <v>1000</v>
      </c>
      <c r="J17" s="42">
        <f t="shared" si="8"/>
        <v>374000</v>
      </c>
      <c r="K17" s="41">
        <f>MROUND(J17*Vendedor14!J$15,50)</f>
        <v>44900</v>
      </c>
      <c r="L17" s="42">
        <f t="shared" si="9"/>
        <v>1750</v>
      </c>
      <c r="M17" s="42">
        <f t="shared" si="10"/>
        <v>148750</v>
      </c>
      <c r="N17" s="42">
        <f>Vendedor14!$F$7+Vendedor14!$F$11+Vendedor14!$F$15</f>
        <v>148750</v>
      </c>
      <c r="P17" s="42">
        <f t="shared" si="11"/>
        <v>180350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IF(Vendedor15!$C$7="",0,Vendedor15!$C$7)</f>
        <v>47500</v>
      </c>
      <c r="D18" s="30">
        <f>IF(Vendedor15!$E$7="",0,Vendedor15!$E$7)</f>
        <v>150</v>
      </c>
      <c r="E18" s="179">
        <f>IF(Vendedor15!$C$11="",0,Vendedor15!$C$11)</f>
        <v>44800</v>
      </c>
      <c r="F18" s="30">
        <f>IF(Vendedor15!$E$11="",0,Vendedor15!$E$11)</f>
        <v>700</v>
      </c>
      <c r="G18" s="179">
        <f>IF(Vendedor15!$C$15="",0,Vendedor15!$C$15)</f>
        <v>73400</v>
      </c>
      <c r="H18" s="30">
        <f>IF(Vendedor15!$E$15="",0,Vendedor15!$E$15)</f>
        <v>350</v>
      </c>
      <c r="J18" s="42">
        <f t="shared" ref="J18" si="12">+C18+E18+G18</f>
        <v>165700</v>
      </c>
      <c r="K18" s="41">
        <f>MROUND(J18*Vendedor15!J$15,50)</f>
        <v>19900</v>
      </c>
      <c r="L18" s="42">
        <f t="shared" ref="L18" si="13">+D18+F18+H18</f>
        <v>1200</v>
      </c>
      <c r="M18" s="42">
        <f t="shared" ref="M18" si="14">+L18*85</f>
        <v>102000</v>
      </c>
      <c r="N18" s="42">
        <f>Vendedor15!$F$7+Vendedor15!$F$11+Vendedor15!$F$15</f>
        <v>102000</v>
      </c>
      <c r="P18" s="42">
        <f t="shared" ref="P18" si="15">+J18-K18-N18</f>
        <v>43800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IF(Vendedor24!$C$7="",0,Vendedor24!$C$7)</f>
        <v>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532650</v>
      </c>
      <c r="D32" s="44">
        <f t="shared" si="16"/>
        <v>950</v>
      </c>
      <c r="E32" s="43">
        <f t="shared" si="16"/>
        <v>420900</v>
      </c>
      <c r="F32" s="44">
        <f t="shared" si="16"/>
        <v>8750</v>
      </c>
      <c r="G32" s="43">
        <f t="shared" si="16"/>
        <v>704850</v>
      </c>
      <c r="H32" s="44">
        <f t="shared" si="16"/>
        <v>2250</v>
      </c>
      <c r="J32" s="95">
        <f>SUM(J4:J31)</f>
        <v>1658400</v>
      </c>
      <c r="K32" s="45">
        <f>SUM(K7:K31)</f>
        <v>163950</v>
      </c>
      <c r="L32" s="95">
        <f>SUM(L4:L31)</f>
        <v>11950</v>
      </c>
      <c r="M32" s="95">
        <f>SUM(M4:M31)</f>
        <v>1015750</v>
      </c>
      <c r="N32" s="95">
        <f>SUM(N4:N31)</f>
        <v>1015750</v>
      </c>
      <c r="P32" s="79">
        <f>SUM(P4:P31)</f>
        <v>439000</v>
      </c>
    </row>
    <row r="33" spans="3:13" x14ac:dyDescent="0.35">
      <c r="D33" s="99">
        <f>+D32*85</f>
        <v>80750</v>
      </c>
      <c r="F33" s="99">
        <f>+F32*85</f>
        <v>743750</v>
      </c>
      <c r="H33" s="99">
        <f>+H32*85</f>
        <v>191250</v>
      </c>
    </row>
    <row r="34" spans="3:13" ht="15" thickBot="1" x14ac:dyDescent="0.4">
      <c r="L34" s="148"/>
      <c r="M34" s="43"/>
    </row>
    <row r="35" spans="3:13" x14ac:dyDescent="0.35">
      <c r="C35" s="265" t="s">
        <v>89</v>
      </c>
      <c r="D35" s="265"/>
    </row>
    <row r="36" spans="3:13" x14ac:dyDescent="0.35">
      <c r="C36" s="47" t="s">
        <v>28</v>
      </c>
      <c r="D36" s="30">
        <f>+C32+E32+G32</f>
        <v>1658400</v>
      </c>
      <c r="E36" s="43">
        <f>+D36-J4-J5-J6</f>
        <v>1353100</v>
      </c>
      <c r="G36" s="101"/>
    </row>
    <row r="37" spans="3:13" x14ac:dyDescent="0.35">
      <c r="C37" s="47" t="s">
        <v>33</v>
      </c>
      <c r="D37" s="48">
        <f>D36*13%</f>
        <v>215592</v>
      </c>
      <c r="E37">
        <f>+D37-K4-K5-K6</f>
        <v>175892</v>
      </c>
      <c r="G37" s="100"/>
      <c r="H37" s="100"/>
    </row>
    <row r="38" spans="3:13" ht="15" thickBot="1" x14ac:dyDescent="0.4">
      <c r="C38" s="47" t="s">
        <v>30</v>
      </c>
      <c r="D38" s="30">
        <f>M32</f>
        <v>1015750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427058</v>
      </c>
      <c r="F39" s="98">
        <f>+P32-D39</f>
        <v>11942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427058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 x14ac:dyDescent="0.35">
      <c r="C2" s="266">
        <f>DigitaNICA!C2</f>
        <v>39</v>
      </c>
      <c r="D2" s="267"/>
      <c r="E2" s="266">
        <f>DigitaNICA!E2</f>
        <v>55</v>
      </c>
      <c r="F2" s="267"/>
      <c r="G2" s="266">
        <f>DigitaNICA!G2</f>
        <v>72</v>
      </c>
      <c r="H2" s="267"/>
      <c r="I2" s="266">
        <f>DigitaNICA!I2</f>
        <v>25</v>
      </c>
      <c r="J2" s="267"/>
    </row>
    <row r="3" spans="1:18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6">
        <v>1</v>
      </c>
      <c r="B4" s="198" t="str">
        <f>Vendedor1!$B$2</f>
        <v>VENTANA</v>
      </c>
      <c r="C4" s="188">
        <f>IF(Vendedor1!$C$5="",0,Vendedor1!$C$5)</f>
        <v>26550</v>
      </c>
      <c r="D4" s="78">
        <f>IF(Vendedor1!$E$5="",0,Vendedor1!$E$5)</f>
        <v>0</v>
      </c>
      <c r="E4" s="188">
        <f>IF(Vendedor1!$C$9="",0,Vendedor1!$C$9)</f>
        <v>5850</v>
      </c>
      <c r="F4" s="78">
        <f>IF(Vendedor1!$E$9="",0,Vendedor1!$E$9)</f>
        <v>100</v>
      </c>
      <c r="G4" s="188">
        <f>IF(Vendedor1!$C$13="",0,Vendedor1!$C$13)</f>
        <v>3950</v>
      </c>
      <c r="H4" s="78">
        <f>IF(Vendedor1!$E$13="",0,Vendedor1!$E$13)</f>
        <v>0</v>
      </c>
      <c r="I4" s="188">
        <f>IF(Vendedor1!$C$17="",0,Vendedor1!$C$17)</f>
        <v>2500</v>
      </c>
      <c r="J4" s="78">
        <f>IF(Vendedor1!$E$17="",0,Vendedor1!$E$17)</f>
        <v>0</v>
      </c>
      <c r="L4" s="42">
        <f t="shared" ref="L4:L7" si="0">C4+E4+G4+I4</f>
        <v>38850</v>
      </c>
      <c r="M4" s="41">
        <f>MROUND(L4*Vendedor1!J$10,50)</f>
        <v>5050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25300</v>
      </c>
    </row>
    <row r="5" spans="1:18" x14ac:dyDescent="0.35">
      <c r="A5" s="47">
        <v>2</v>
      </c>
      <c r="B5" s="176" t="str">
        <f>Vendedor2!$B$2</f>
        <v>PUESTO 2</v>
      </c>
      <c r="C5" s="179">
        <f>IF(Vendedor2!$C$5="",0,Vendedor2!$C$5)</f>
        <v>15300</v>
      </c>
      <c r="D5" s="30">
        <f>IF(Vendedor2!$E$5="",0,Vendedor2!$E$5)</f>
        <v>0</v>
      </c>
      <c r="E5" s="179">
        <f>IF(Vendedor2!$C$9="",0,Vendedor2!$C$9)</f>
        <v>0</v>
      </c>
      <c r="F5" s="30">
        <f>IF(Vendedor2!$E$9="",0,Vendedor2!$E$9)</f>
        <v>0</v>
      </c>
      <c r="G5" s="179">
        <f>IF(Vendedor2!$C$13="",0,Vendedor2!$C$13)</f>
        <v>1250</v>
      </c>
      <c r="H5" s="30">
        <f>IF(Vendedor2!$E$13="",0,Vendedor2!$E$13)</f>
        <v>0</v>
      </c>
      <c r="I5" s="179">
        <f>IF(Vendedor2!$C$17="",0,Vendedor2!$C$17)</f>
        <v>0</v>
      </c>
      <c r="J5" s="30">
        <f>IF(Vendedor2!$E$17="",0,Vendedor2!$E$17)</f>
        <v>0</v>
      </c>
      <c r="L5" s="42">
        <f t="shared" si="0"/>
        <v>16550</v>
      </c>
      <c r="M5" s="41">
        <f>MROUND(L5*Vendedor2!J$10,50)</f>
        <v>2150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14400</v>
      </c>
    </row>
    <row r="6" spans="1:18" x14ac:dyDescent="0.35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6" t="str">
        <f>Vendedor5!$B$2</f>
        <v>YOYO</v>
      </c>
      <c r="C8" s="179">
        <f>IF(Vendedor5!$C$5="",0,Vendedor5!$C$5)</f>
        <v>56250</v>
      </c>
      <c r="D8" s="30">
        <f>IF(Vendedor5!$E$5="",0,Vendedor5!$E$5)</f>
        <v>650</v>
      </c>
      <c r="E8" s="179">
        <f>IF(Vendedor5!$C$9="",0,Vendedor5!$C$9)</f>
        <v>24500</v>
      </c>
      <c r="F8" s="30">
        <f>IF(Vendedor5!$E$9="",0,Vendedor5!$E$9)</f>
        <v>0</v>
      </c>
      <c r="G8" s="179">
        <f>IF(Vendedor5!$C$13="",0,Vendedor5!$C$13)</f>
        <v>8850</v>
      </c>
      <c r="H8" s="30">
        <f>IF(Vendedor5!$E$13="",0,Vendedor5!$E$13)</f>
        <v>0</v>
      </c>
      <c r="I8" s="179">
        <f>IF(Vendedor5!$C$17="",0,Vendedor5!$C$17)</f>
        <v>24950</v>
      </c>
      <c r="J8" s="30">
        <f>IF(Vendedor5!$E$17="",0,Vendedor5!$E$17)</f>
        <v>0</v>
      </c>
      <c r="L8" s="42">
        <f t="shared" ref="L8" si="4">C8+E8+G8+I8</f>
        <v>114550</v>
      </c>
      <c r="M8" s="41">
        <f>MROUND(L8*Vendedor5!J$12,50)</f>
        <v>13750</v>
      </c>
      <c r="N8" s="42">
        <f t="shared" ref="N8" si="5">D8+F8+H8+J8</f>
        <v>650</v>
      </c>
      <c r="O8" s="41">
        <f t="shared" si="3"/>
        <v>55250</v>
      </c>
      <c r="P8" s="42">
        <f>Vendedor5!$F$5+Vendedor5!$F$9+Vendedor5!$F$13+Vendedor5!$F$17</f>
        <v>52000</v>
      </c>
      <c r="Q8">
        <v>17</v>
      </c>
      <c r="R8" s="41">
        <f t="shared" ref="R8" si="6">+L8-M8-O8</f>
        <v>45550</v>
      </c>
    </row>
    <row r="9" spans="1:18" x14ac:dyDescent="0.35">
      <c r="A9" s="47">
        <v>6</v>
      </c>
      <c r="B9" s="177" t="str">
        <f>Vendedor6!$B$2</f>
        <v>vendedor 06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7" t="str">
        <f>Vendedor7!$B$2</f>
        <v>PIKIS</v>
      </c>
      <c r="C10" s="179">
        <f>IF(Vendedor7!$C$5="",0,Vendedor7!$C$5)</f>
        <v>104850</v>
      </c>
      <c r="D10" s="30">
        <f>IF(Vendedor7!$E$5="",0,Vendedor7!$E$5)</f>
        <v>600</v>
      </c>
      <c r="E10" s="179">
        <f>IF(Vendedor7!$C$9="",0,Vendedor7!$C$9)</f>
        <v>65650</v>
      </c>
      <c r="F10" s="30">
        <f>IF(Vendedor7!$E$9="",0,Vendedor7!$E$9)</f>
        <v>650</v>
      </c>
      <c r="G10" s="179">
        <f>IF(Vendedor7!$C$13="",0,Vendedor7!$C$13)</f>
        <v>52700</v>
      </c>
      <c r="H10" s="30">
        <f>IF(Vendedor7!$E$13="",0,Vendedor7!$E$13)</f>
        <v>350</v>
      </c>
      <c r="I10" s="179">
        <f>IF(Vendedor7!$C$17="",0,Vendedor7!$C$17)</f>
        <v>83250</v>
      </c>
      <c r="J10" s="30">
        <f>IF(Vendedor7!$E$17="",0,Vendedor7!$E$17)</f>
        <v>600</v>
      </c>
      <c r="L10" s="42">
        <f t="shared" si="7"/>
        <v>306450</v>
      </c>
      <c r="M10" s="41">
        <f>MROUND(L10*Vendedor7!J$15,50)</f>
        <v>36750</v>
      </c>
      <c r="N10" s="42">
        <f t="shared" ref="N10:N27" si="9">D10+F10+H10+J10</f>
        <v>2200</v>
      </c>
      <c r="O10" s="41">
        <f t="shared" si="3"/>
        <v>187000</v>
      </c>
      <c r="P10" s="42">
        <f>Vendedor7!$F$5+Vendedor7!$F$9+Vendedor7!$F$13+Vendedor7!$F$17</f>
        <v>187000</v>
      </c>
      <c r="R10" s="41">
        <f t="shared" si="8"/>
        <v>82700</v>
      </c>
    </row>
    <row r="11" spans="1:18" x14ac:dyDescent="0.35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7" t="str">
        <f>Vendedor9!$B$2</f>
        <v>JUAN FELIX</v>
      </c>
      <c r="C12" s="179">
        <f>IF(Vendedor9!$C$5="",0,Vendedor9!$C$5)</f>
        <v>13100</v>
      </c>
      <c r="D12" s="30">
        <f>IF(Vendedor9!$E$5="",0,Vendedor9!$E$5)</f>
        <v>0</v>
      </c>
      <c r="E12" s="179">
        <f>IF(Vendedor9!$C$9="",0,Vendedor9!$C$9)</f>
        <v>12400</v>
      </c>
      <c r="F12" s="30">
        <f>IF(Vendedor9!$E$9="",0,Vendedor9!$E$9)</f>
        <v>0</v>
      </c>
      <c r="G12" s="179">
        <f>IF(Vendedor9!$C$13="",0,Vendedor9!$C$13)</f>
        <v>0</v>
      </c>
      <c r="H12" s="30">
        <f>IF(Vendedor9!$E$13="",0,Vendedor9!$E$13)</f>
        <v>0</v>
      </c>
      <c r="I12" s="179">
        <f>IF(Vendedor9!$C$17="",0,Vendedor9!$C$17)</f>
        <v>0</v>
      </c>
      <c r="J12" s="30">
        <f>IF(Vendedor9!$E$17="",0,Vendedor9!$E$17)</f>
        <v>0</v>
      </c>
      <c r="L12" s="42">
        <f t="shared" si="7"/>
        <v>25500</v>
      </c>
      <c r="M12" s="41">
        <f>MROUND(L12*Vendedor9!J$12,50)</f>
        <v>3050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22450</v>
      </c>
    </row>
    <row r="13" spans="1:18" x14ac:dyDescent="0.35">
      <c r="A13" s="47">
        <v>10</v>
      </c>
      <c r="B13" s="177" t="str">
        <f>Vendedor10!$B$2</f>
        <v>MARIALIZ</v>
      </c>
      <c r="C13" s="179">
        <f>IF(Vendedor10!$C$5="",0,Vendedor10!$C$5)</f>
        <v>10100</v>
      </c>
      <c r="D13" s="30">
        <f>IF(Vendedor10!$E$5="",0,Vendedor10!$E$5)</f>
        <v>0</v>
      </c>
      <c r="E13" s="179">
        <f>IF(Vendedor10!$C$9="",0,Vendedor10!$C$9)</f>
        <v>5300</v>
      </c>
      <c r="F13" s="30">
        <f>IF(Vendedor10!$E$9="",0,Vendedor10!$E$9)</f>
        <v>300</v>
      </c>
      <c r="G13" s="179">
        <f>IF(Vendedor10!$C$13="",0,Vendedor10!$C$13)</f>
        <v>4300</v>
      </c>
      <c r="H13" s="30">
        <f>IF(Vendedor10!$E$13="",0,Vendedor10!$E$13)</f>
        <v>0</v>
      </c>
      <c r="I13" s="179">
        <f>IF(Vendedor10!$C$17="",0,Vendedor10!$C$17)</f>
        <v>2700</v>
      </c>
      <c r="J13" s="30">
        <f>IF(Vendedor10!$E$17="",0,Vendedor10!$E$17)</f>
        <v>0</v>
      </c>
      <c r="L13" s="42">
        <f t="shared" si="7"/>
        <v>22400</v>
      </c>
      <c r="M13" s="41">
        <f>MROUND(L13*Vendedor10!J$10,50)</f>
        <v>2700</v>
      </c>
      <c r="N13" s="42">
        <f t="shared" si="9"/>
        <v>300</v>
      </c>
      <c r="O13" s="41">
        <f t="shared" si="3"/>
        <v>25500</v>
      </c>
      <c r="P13" s="42">
        <f>Vendedor10!$F$5+Vendedor10!$F$9+Vendedor10!$F$13+Vendedor10!$F$17</f>
        <v>24000</v>
      </c>
      <c r="R13" s="41">
        <f t="shared" si="8"/>
        <v>-5800</v>
      </c>
    </row>
    <row r="14" spans="1:18" x14ac:dyDescent="0.35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7" t="str">
        <f>Vendedor13!$B$2</f>
        <v>MINERO</v>
      </c>
      <c r="C16" s="179">
        <f>IF(Vendedor13!$C$5="",0,Vendedor13!$C$5)</f>
        <v>13800</v>
      </c>
      <c r="D16" s="30">
        <f>IF(Vendedor13!$E$5="",0,Vendedor13!$E$5)</f>
        <v>0</v>
      </c>
      <c r="E16" s="179">
        <f>IF(Vendedor13!$C$9="",0,Vendedor13!$C$9)</f>
        <v>3700</v>
      </c>
      <c r="F16" s="30">
        <f>IF(Vendedor13!$E$9="",0,Vendedor13!$E$9)</f>
        <v>0</v>
      </c>
      <c r="G16" s="179">
        <f>IF(Vendedor13!$C$13="",0,Vendedor13!$C$13)</f>
        <v>10400</v>
      </c>
      <c r="H16" s="30">
        <f>IF(Vendedor13!$E$13="",0,Vendedor13!$E$13)</f>
        <v>0</v>
      </c>
      <c r="I16" s="179">
        <f>IF(Vendedor13!$C$17="",0,Vendedor13!$C$17)</f>
        <v>2000</v>
      </c>
      <c r="J16" s="30">
        <f>IF(Vendedor13!$E$17="",0,Vendedor13!$E$17)</f>
        <v>0</v>
      </c>
      <c r="L16" s="42">
        <f t="shared" si="7"/>
        <v>29900</v>
      </c>
      <c r="M16" s="41">
        <f>MROUND(L16*Vendedor13!J$12,50)</f>
        <v>3600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26300</v>
      </c>
    </row>
    <row r="17" spans="1:18" x14ac:dyDescent="0.35">
      <c r="A17" s="47">
        <v>14</v>
      </c>
      <c r="B17" s="177" t="str">
        <f>Vendedor14!$B$2</f>
        <v>EDUARDO TIEMPOS LICORERA</v>
      </c>
      <c r="C17" s="179">
        <f>IF(Vendedor14!$C$5="",0,Vendedor14!$C$5)</f>
        <v>101050</v>
      </c>
      <c r="D17" s="30">
        <f>IF(Vendedor14!$E$5="",0,Vendedor14!$E$5)</f>
        <v>100</v>
      </c>
      <c r="E17" s="179">
        <f>IF(Vendedor14!$C$9="",0,Vendedor14!$C$9)</f>
        <v>73350</v>
      </c>
      <c r="F17" s="30">
        <f>IF(Vendedor14!$E$9="",0,Vendedor14!$E$9)</f>
        <v>200</v>
      </c>
      <c r="G17" s="179">
        <f>IF(Vendedor14!$C$13="",0,Vendedor14!$C$13)</f>
        <v>70250</v>
      </c>
      <c r="H17" s="30">
        <f>IF(Vendedor14!$E$13="",0,Vendedor14!$E$13)</f>
        <v>3350</v>
      </c>
      <c r="I17" s="179">
        <f>IF(Vendedor14!$C$17="",0,Vendedor14!$C$17)</f>
        <v>125850</v>
      </c>
      <c r="J17" s="30">
        <f>IF(Vendedor14!$E$17="",0,Vendedor14!$E$17)</f>
        <v>10000</v>
      </c>
      <c r="L17" s="42">
        <f>C17+E17+G17+I17</f>
        <v>370500</v>
      </c>
      <c r="M17" s="41">
        <f>MROUND(L17*Vendedor14!J$16,50)</f>
        <v>44450</v>
      </c>
      <c r="N17" s="42">
        <f t="shared" si="9"/>
        <v>13650</v>
      </c>
      <c r="O17" s="41">
        <f t="shared" si="3"/>
        <v>1160250</v>
      </c>
      <c r="P17" s="42">
        <f>Vendedor14!$F$5+Vendedor14!$F$9+Vendedor14!$F$13+Vendedor14!$F$17</f>
        <v>1160250</v>
      </c>
      <c r="R17" s="41">
        <f t="shared" si="8"/>
        <v>-834200</v>
      </c>
    </row>
    <row r="18" spans="1:18" x14ac:dyDescent="0.35">
      <c r="A18" s="47">
        <v>15</v>
      </c>
      <c r="B18" s="177" t="str">
        <f>Vendedor15!$B$2</f>
        <v>EDUARDO PUESTO CENTRO</v>
      </c>
      <c r="C18" s="179">
        <f>IF(Vendedor15!$C$5="",0,Vendedor15!$C$5)</f>
        <v>58550</v>
      </c>
      <c r="D18" s="30">
        <f>IF(Vendedor15!$E$5="",0,Vendedor15!$E$5)</f>
        <v>0</v>
      </c>
      <c r="E18" s="179">
        <f>IF(Vendedor15!$C$9="",0,Vendedor15!$C$9)</f>
        <v>27850</v>
      </c>
      <c r="F18" s="30">
        <f>IF(Vendedor15!$E$9="",0,Vendedor15!$E$9)</f>
        <v>0</v>
      </c>
      <c r="G18" s="179">
        <f>IF(Vendedor15!$C$13="",0,Vendedor15!$C$13)</f>
        <v>32800</v>
      </c>
      <c r="H18" s="30">
        <f>IF(Vendedor15!$E$13="",0,Vendedor15!$E$13)</f>
        <v>900</v>
      </c>
      <c r="I18" s="179">
        <f>IF(Vendedor15!$C$17="",0,Vendedor15!$C$17)</f>
        <v>22100</v>
      </c>
      <c r="J18" s="30">
        <f>IF(Vendedor15!$E$17="",0,Vendedor15!$E$17)</f>
        <v>550</v>
      </c>
      <c r="L18" s="42">
        <f t="shared" ref="L18:L27" si="10">C18+E18+G18+I18</f>
        <v>141300</v>
      </c>
      <c r="M18" s="41">
        <f>MROUND(L18*Vendedor15!J$16,50)</f>
        <v>16950</v>
      </c>
      <c r="N18" s="42">
        <f t="shared" si="9"/>
        <v>1450</v>
      </c>
      <c r="O18" s="41">
        <f t="shared" si="3"/>
        <v>123250</v>
      </c>
      <c r="P18" s="42">
        <f>Vendedor15!$F$5+Vendedor15!$F$9+Vendedor15!$F$13+Vendedor15!$F$17</f>
        <v>123250</v>
      </c>
      <c r="R18" s="41">
        <f t="shared" si="8"/>
        <v>1100</v>
      </c>
    </row>
    <row r="19" spans="1:18" hidden="1" x14ac:dyDescent="0.35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399550</v>
      </c>
      <c r="D32" s="44">
        <f t="shared" si="14"/>
        <v>1350</v>
      </c>
      <c r="E32" s="43">
        <f t="shared" si="14"/>
        <v>218600</v>
      </c>
      <c r="F32" s="44">
        <f t="shared" si="14"/>
        <v>1250</v>
      </c>
      <c r="G32" s="43">
        <f t="shared" si="14"/>
        <v>184500</v>
      </c>
      <c r="H32" s="44">
        <f t="shared" si="14"/>
        <v>4600</v>
      </c>
      <c r="I32" s="43">
        <f t="shared" si="14"/>
        <v>263350</v>
      </c>
      <c r="J32" s="44">
        <f t="shared" si="14"/>
        <v>11150</v>
      </c>
      <c r="L32" s="45">
        <f>SUM(L4:L31)</f>
        <v>1066000</v>
      </c>
      <c r="M32" s="45">
        <f>SUM(M7:M31)</f>
        <v>121250</v>
      </c>
      <c r="N32" s="95">
        <f>SUM(N4:N31)</f>
        <v>18350</v>
      </c>
      <c r="O32" s="46">
        <f>SUM(O4:O31)</f>
        <v>1559750</v>
      </c>
      <c r="P32" s="139">
        <f>SUM(P4:P31)</f>
        <v>1554500</v>
      </c>
      <c r="R32" s="79">
        <f>SUM(R4:R31)</f>
        <v>-622200</v>
      </c>
    </row>
    <row r="33" spans="3:15" x14ac:dyDescent="0.35">
      <c r="D33" s="120">
        <f>+D32*85</f>
        <v>114750</v>
      </c>
      <c r="F33" s="120">
        <f>+F32*85</f>
        <v>106250</v>
      </c>
      <c r="H33" s="120">
        <f>+H32*85</f>
        <v>391000</v>
      </c>
      <c r="J33" s="120">
        <f>+J32*85</f>
        <v>947750</v>
      </c>
    </row>
    <row r="34" spans="3:15" ht="15" thickBot="1" x14ac:dyDescent="0.4"/>
    <row r="35" spans="3:15" x14ac:dyDescent="0.35">
      <c r="C35" s="265" t="s">
        <v>89</v>
      </c>
      <c r="D35" s="265"/>
      <c r="N35" s="148"/>
      <c r="O35" s="43"/>
    </row>
    <row r="36" spans="3:15" x14ac:dyDescent="0.35">
      <c r="C36" s="47" t="s">
        <v>28</v>
      </c>
      <c r="D36" s="30">
        <f>+C32+E32+G32+I32</f>
        <v>1066000</v>
      </c>
      <c r="E36" s="43">
        <f>+D36-L4-L5-L6</f>
        <v>1010600</v>
      </c>
    </row>
    <row r="37" spans="3:15" x14ac:dyDescent="0.35">
      <c r="C37" s="47" t="s">
        <v>33</v>
      </c>
      <c r="D37" s="48">
        <f>D36*13%</f>
        <v>138580</v>
      </c>
      <c r="E37">
        <f>+D37-M4-M5-M6</f>
        <v>131380</v>
      </c>
    </row>
    <row r="38" spans="3:15" x14ac:dyDescent="0.35">
      <c r="C38" s="47" t="s">
        <v>30</v>
      </c>
      <c r="D38" s="30">
        <f>SUM(O4:O27)</f>
        <v>1559750</v>
      </c>
      <c r="G38" s="100"/>
    </row>
    <row r="39" spans="3:15" ht="15" thickBot="1" x14ac:dyDescent="0.4">
      <c r="C39" s="49" t="s">
        <v>4</v>
      </c>
      <c r="D39" s="80">
        <f>+D36-D37-D38</f>
        <v>-632330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-632330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5" customHeight="1" x14ac:dyDescent="0.35">
      <c r="C2" s="266" t="str">
        <f>IF(C33=0,"",CONCATENATE(PREMIOS!$B7," ",PREMIOS!$B8))</f>
        <v>82 Blanca</v>
      </c>
      <c r="D2" s="267"/>
      <c r="E2" s="266" t="str">
        <f>IF(E33=0,"",CONCATENATE(PREMIOS!$B11," ",PREMIOS!$B12))</f>
        <v>66 Blanca</v>
      </c>
      <c r="F2" s="267"/>
      <c r="G2" s="266" t="str">
        <f>IF(G33=0,"",CONCATENATE(PREMIOS!$B15," ",PREMIOS!$B16))</f>
        <v>96 Blanca</v>
      </c>
      <c r="H2" s="267"/>
    </row>
    <row r="3" spans="1:17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7" t="str">
        <f>Vendedor6!$B$2</f>
        <v>vendedor 06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7" t="str">
        <f>Vendedor7!$B$2</f>
        <v>PIKIS</v>
      </c>
      <c r="C10" s="179">
        <f>IF(Vendedor7!$C$8="",0,Vendedor7!$C$8)</f>
        <v>16300</v>
      </c>
      <c r="D10" s="30">
        <f>IF(Vendedor7!$E$8="",0,Vendedor7!$E$8)</f>
        <v>0</v>
      </c>
      <c r="E10" s="179">
        <f>IF(Vendedor7!$C$12="",0,Vendedor7!$C$12)</f>
        <v>22650</v>
      </c>
      <c r="F10" s="30">
        <f>IF(Vendedor7!$E$12="",0,Vendedor7!$E$12)</f>
        <v>0</v>
      </c>
      <c r="G10" s="179">
        <f>IF(Vendedor7!$C$16="",0,Vendedor7!$C$16)</f>
        <v>33450</v>
      </c>
      <c r="H10" s="30">
        <f>IF(Vendedor7!$E$16="",0,Vendedor7!$E$16)</f>
        <v>0</v>
      </c>
      <c r="J10" s="42">
        <f t="shared" si="1"/>
        <v>72400</v>
      </c>
      <c r="K10" s="41">
        <f>J10*Vendedor7!J$16</f>
        <v>7240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65160</v>
      </c>
    </row>
    <row r="11" spans="1:17" x14ac:dyDescent="0.35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7" t="str">
        <f>Vendedor9!$B$2</f>
        <v>JUAN FELIX</v>
      </c>
      <c r="C12" s="179">
        <f>IF(Vendedor9!$C$8="",0,Vendedor9!$C$8)</f>
        <v>200</v>
      </c>
      <c r="D12" s="30">
        <f>IF(Vendedor9!$E$8="",0,Vendedor9!$E$8)</f>
        <v>0</v>
      </c>
      <c r="E12" s="179">
        <f>IF(Vendedor9!$C$12="",0,Vendedor9!$C$12)</f>
        <v>1100</v>
      </c>
      <c r="F12" s="30">
        <f>IF(Vendedor9!$E$12="",0,Vendedor9!$E$12)</f>
        <v>0</v>
      </c>
      <c r="G12" s="179">
        <f>IF(Vendedor9!$C$16="",0,Vendedor9!$C$16)</f>
        <v>0</v>
      </c>
      <c r="H12" s="30">
        <f>IF(Vendedor9!$E$16="",0,Vendedor9!$E$16)</f>
        <v>0</v>
      </c>
      <c r="J12" s="42">
        <f t="shared" si="1"/>
        <v>1300</v>
      </c>
      <c r="K12" s="41">
        <f>J12*Vendedor9!J$13</f>
        <v>130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1170</v>
      </c>
    </row>
    <row r="13" spans="1:17" x14ac:dyDescent="0.35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7" t="str">
        <f>Vendedor13!$B$2</f>
        <v>MINERO</v>
      </c>
      <c r="C16" s="179">
        <f>IF(Vendedor13!$C$8="",0,Vendedor13!$C$8)</f>
        <v>2000</v>
      </c>
      <c r="D16" s="30">
        <f>IF(Vendedor13!$E$8="",0,Vendedor13!$E$8)</f>
        <v>0</v>
      </c>
      <c r="E16" s="179">
        <f>IF(Vendedor13!$C$12="",0,Vendedor13!$C$12)</f>
        <v>0</v>
      </c>
      <c r="F16" s="30">
        <f>IF(Vendedor13!$E$12="",0,Vendedor13!$E$12)</f>
        <v>0</v>
      </c>
      <c r="G16" s="179">
        <f>IF(Vendedor13!$C$16="",0,Vendedor13!$C$16)</f>
        <v>3500</v>
      </c>
      <c r="H16" s="30">
        <f>IF(Vendedor13!$E$16="",0,Vendedor13!$E$16)</f>
        <v>0</v>
      </c>
      <c r="J16" s="42">
        <f t="shared" si="1"/>
        <v>5500</v>
      </c>
      <c r="K16" s="41">
        <f>J16*Vendedor13!J$13</f>
        <v>550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4950</v>
      </c>
    </row>
    <row r="17" spans="1:17" x14ac:dyDescent="0.35">
      <c r="A17" s="47">
        <v>14</v>
      </c>
      <c r="B17" s="177" t="str">
        <f>Vendedor14!$B$2</f>
        <v>EDUARDO TIEMPOS LICORERA</v>
      </c>
      <c r="C17" s="179">
        <f>IF(Vendedor14!$C$8="",0,Vendedor14!$C$8)</f>
        <v>23050</v>
      </c>
      <c r="D17" s="30">
        <f>IF(Vendedor14!$E$8="",0,Vendedor14!$E$8)</f>
        <v>0</v>
      </c>
      <c r="E17" s="179">
        <f>IF(Vendedor14!$C$12="",0,Vendedor14!$C$12)</f>
        <v>11200</v>
      </c>
      <c r="F17" s="30">
        <f>IF(Vendedor14!$E$12="",0,Vendedor14!$E$12)</f>
        <v>400</v>
      </c>
      <c r="G17" s="179">
        <f>IF(Vendedor14!$C$16="",0,Vendedor14!$C$16)</f>
        <v>32350</v>
      </c>
      <c r="H17" s="30">
        <f>IF(Vendedor14!$E$16="",0,Vendedor14!$E$16)</f>
        <v>500</v>
      </c>
      <c r="J17" s="42">
        <f t="shared" si="1"/>
        <v>66600</v>
      </c>
      <c r="K17" s="41">
        <f>J17*Vendedor14!J$17</f>
        <v>6660</v>
      </c>
      <c r="L17" s="42">
        <f t="shared" si="2"/>
        <v>0</v>
      </c>
      <c r="M17" s="42">
        <f t="shared" si="3"/>
        <v>900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59940</v>
      </c>
    </row>
    <row r="18" spans="1:17" x14ac:dyDescent="0.35">
      <c r="A18" s="47">
        <v>15</v>
      </c>
      <c r="B18" s="177" t="str">
        <f>Vendedor15!$B$2</f>
        <v>EDUARDO PUESTO CENTRO</v>
      </c>
      <c r="C18" s="179">
        <f>IF(Vendedor15!$C$8="",0,Vendedor15!$C$8)</f>
        <v>11050</v>
      </c>
      <c r="D18" s="30">
        <f>IF(Vendedor15!$E$8="",0,Vendedor15!$E$8)</f>
        <v>0</v>
      </c>
      <c r="E18" s="179">
        <f>IF(Vendedor15!$C$12="",0,Vendedor15!$C$12)</f>
        <v>8450</v>
      </c>
      <c r="F18" s="30">
        <f>IF(Vendedor15!$E$12="",0,Vendedor15!$E$12)</f>
        <v>100</v>
      </c>
      <c r="G18" s="179">
        <f>IF(Vendedor15!$C$16="",0,Vendedor15!$C$16)</f>
        <v>18400</v>
      </c>
      <c r="H18" s="30">
        <f>IF(Vendedor15!$E$16="",0,Vendedor15!$E$16)</f>
        <v>0</v>
      </c>
      <c r="J18" s="42">
        <f t="shared" ref="J18" si="5">+C18+E18+G18</f>
        <v>37900</v>
      </c>
      <c r="K18" s="41">
        <f>J18*Vendedor15!J$17</f>
        <v>3790</v>
      </c>
      <c r="L18" s="42">
        <f t="shared" si="2"/>
        <v>0</v>
      </c>
      <c r="M18" s="42">
        <f t="shared" si="3"/>
        <v>100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34110</v>
      </c>
    </row>
    <row r="19" spans="1:17" hidden="1" x14ac:dyDescent="0.35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52600</v>
      </c>
      <c r="D33" s="44">
        <f>IF(PREMIOS!E8&lt;&gt;0,SUM(D4:D32),0)</f>
        <v>0</v>
      </c>
      <c r="E33" s="43">
        <f>SUM(E4:E32)</f>
        <v>43400</v>
      </c>
      <c r="F33" s="44">
        <f>IF(PREMIOS!E12&lt;&gt;0,SUM(F4:F32),0)</f>
        <v>0</v>
      </c>
      <c r="G33" s="43">
        <f>SUM(G4:G32)</f>
        <v>87700</v>
      </c>
      <c r="H33" s="44">
        <f>IF(PREMIOS!E16&lt;&gt;0,SUM(H4:H32),0)</f>
        <v>0</v>
      </c>
      <c r="J33" s="45">
        <f>SUM(J4:J32)</f>
        <v>183700</v>
      </c>
      <c r="K33" s="45">
        <f>SUM(K7:K32)</f>
        <v>18370</v>
      </c>
      <c r="L33" s="95">
        <f>SUM(L7:L32)</f>
        <v>0</v>
      </c>
      <c r="M33" s="95">
        <f>SUM(M7:M32)</f>
        <v>1000</v>
      </c>
      <c r="N33" s="95">
        <f>SUM(N4:N27)</f>
        <v>0</v>
      </c>
      <c r="O33" s="95">
        <f>SUM(O4:O27)</f>
        <v>0</v>
      </c>
      <c r="Q33" s="79">
        <f>SUM(Q4:Q32)</f>
        <v>165330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2" t="s">
        <v>90</v>
      </c>
      <c r="D36" s="272"/>
      <c r="F36" s="273" t="s">
        <v>94</v>
      </c>
      <c r="G36" s="273" t="s">
        <v>95</v>
      </c>
    </row>
    <row r="37" spans="3:17" ht="14.5" customHeight="1" x14ac:dyDescent="0.35">
      <c r="C37" s="47" t="s">
        <v>28</v>
      </c>
      <c r="D37" s="30">
        <f>+C33+E33+G33</f>
        <v>183700</v>
      </c>
      <c r="E37" s="43">
        <f>+D37-J4-J5-J6</f>
        <v>183700</v>
      </c>
      <c r="F37" s="274"/>
      <c r="G37" s="274"/>
    </row>
    <row r="38" spans="3:17" ht="15" thickBot="1" x14ac:dyDescent="0.4">
      <c r="C38" s="47" t="s">
        <v>33</v>
      </c>
      <c r="D38" s="30">
        <f>D37*10%</f>
        <v>18370</v>
      </c>
      <c r="E38" s="43">
        <f>+D38-K4-K5-K6</f>
        <v>18370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165330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2">
        <v>0</v>
      </c>
    </row>
    <row r="44" spans="3:17" ht="15" thickBot="1" x14ac:dyDescent="0.4">
      <c r="C44" s="108" t="s">
        <v>79</v>
      </c>
      <c r="D44" s="109">
        <f>+D42+D40+D43</f>
        <v>165330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5" customHeight="1" x14ac:dyDescent="0.35">
      <c r="C2" s="266">
        <f>DigitaPRIMERA!C2</f>
        <v>44</v>
      </c>
      <c r="D2" s="267"/>
      <c r="E2" s="266">
        <f>DigitaPRIMERA!E2</f>
        <v>69</v>
      </c>
      <c r="F2" s="267"/>
    </row>
    <row r="3" spans="1:14" ht="14.5" customHeight="1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6">
        <v>1</v>
      </c>
      <c r="B4" s="198" t="str">
        <f>Vendedor1!$B$2</f>
        <v>VENTANA</v>
      </c>
      <c r="C4" s="188">
        <f>IF(Vendedor1!$C$19="",0,Vendedor1!$C$19)</f>
        <v>11300</v>
      </c>
      <c r="D4" s="78">
        <f>IF(Vendedor1!$E$19="",0,Vendedor1!$E$19)</f>
        <v>0</v>
      </c>
      <c r="E4" s="188">
        <f>IF(Vendedor1!$C$20="",0,Vendedor1!$C$20)</f>
        <v>0</v>
      </c>
      <c r="F4" s="78">
        <f>IF(Vendedor1!$E$20="",0,Vendedor1!$E$20)</f>
        <v>0</v>
      </c>
      <c r="H4" s="42">
        <f>+C4+E4</f>
        <v>11300</v>
      </c>
      <c r="I4" s="41">
        <f>MROUND(H4*Vendedor1!J$9,50)</f>
        <v>1450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9850</v>
      </c>
    </row>
    <row r="5" spans="1:14" x14ac:dyDescent="0.35">
      <c r="A5" s="47">
        <v>2</v>
      </c>
      <c r="B5" s="176" t="str">
        <f>Vendedor2!$B$2</f>
        <v>PUESTO 2</v>
      </c>
      <c r="C5" s="179">
        <f>IF(Vendedor2!$C$19="",0,Vendedor2!$C$19)</f>
        <v>3800</v>
      </c>
      <c r="D5" s="30">
        <f>IF(Vendedor2!$E$19="",0,Vendedor2!$E$19)</f>
        <v>0</v>
      </c>
      <c r="E5" s="179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3800</v>
      </c>
      <c r="I5" s="41">
        <f>MROUND(H5*Vendedor2!J$9,50)</f>
        <v>500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3300</v>
      </c>
    </row>
    <row r="6" spans="1:14" x14ac:dyDescent="0.35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79">
        <f>IF(Vendedor5!$C$19="",0,Vendedor5!$C$19)</f>
        <v>13800</v>
      </c>
      <c r="D8" s="30">
        <f>IF(Vendedor5!$E$19="",0,Vendedor5!$E$19)</f>
        <v>0</v>
      </c>
      <c r="E8" s="179">
        <f>IF(Vendedor5!$C$20="",0,Vendedor5!$C$20)</f>
        <v>4900</v>
      </c>
      <c r="F8" s="30">
        <f>IF(Vendedor5!$E$20="",0,Vendedor5!$E$20)</f>
        <v>0</v>
      </c>
      <c r="H8" s="133">
        <f t="shared" si="1"/>
        <v>18700</v>
      </c>
      <c r="I8" s="147">
        <f>MROUND(H8*Vendedor5!J$11,50)</f>
        <v>2250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4"/>
      <c r="N8" s="133">
        <f t="shared" si="0"/>
        <v>16450</v>
      </c>
    </row>
    <row r="9" spans="1:14" x14ac:dyDescent="0.35">
      <c r="A9" s="202">
        <v>6</v>
      </c>
      <c r="B9" s="195" t="str">
        <f>Vendedor6!$B$2</f>
        <v>vendedor 06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IF(Vendedor7!$C$19="",0,Vendedor7!$C$19)</f>
        <v>22550</v>
      </c>
      <c r="D10" s="30">
        <f>IF(Vendedor7!$E$19="",0,Vendedor7!$E$19)</f>
        <v>0</v>
      </c>
      <c r="E10" s="179">
        <f>IF(Vendedor7!$C$20="",0,Vendedor7!$C$20)</f>
        <v>20750</v>
      </c>
      <c r="F10" s="30">
        <f>IF(Vendedor7!$E$20="",0,Vendedor7!$E$20)</f>
        <v>0</v>
      </c>
      <c r="H10" s="42">
        <f t="shared" si="1"/>
        <v>43300</v>
      </c>
      <c r="I10" s="41">
        <f>MROUND(H10*Vendedor7!J$14,50)</f>
        <v>5200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38100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5" t="str">
        <f>Vendedor9!$B$2</f>
        <v>JUAN FELIX</v>
      </c>
      <c r="C12" s="179">
        <f>IF(Vendedor9!$C$19="",0,Vendedor9!$C$19)</f>
        <v>36400</v>
      </c>
      <c r="D12" s="30">
        <f>IF(Vendedor9!$E$19="",0,Vendedor9!$E$19)</f>
        <v>0</v>
      </c>
      <c r="E12" s="179">
        <f>IF(Vendedor9!$C$20="",0,Vendedor9!$C$20)</f>
        <v>4100</v>
      </c>
      <c r="F12" s="30">
        <f>IF(Vendedor9!$E$20="",0,Vendedor9!$E$20)</f>
        <v>0</v>
      </c>
      <c r="H12" s="133">
        <f t="shared" si="1"/>
        <v>40500</v>
      </c>
      <c r="I12" s="147">
        <f>MROUND(H12*Vendedor9!J$11,50)</f>
        <v>4850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4"/>
      <c r="N12" s="133">
        <f t="shared" si="0"/>
        <v>35650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5" t="str">
        <f>Vendedor13!$B$2</f>
        <v>MINERO</v>
      </c>
      <c r="C16" s="179">
        <f>IF(Vendedor13!$C$19="",0,Vendedor13!$C$19)</f>
        <v>4400</v>
      </c>
      <c r="D16" s="30">
        <f>IF(Vendedor13!$E$19="",0,Vendedor13!$E$19)</f>
        <v>0</v>
      </c>
      <c r="E16" s="179">
        <f>IF(Vendedor13!$C$20="",0,Vendedor13!$C$20)</f>
        <v>7600</v>
      </c>
      <c r="F16" s="30">
        <f>IF(Vendedor13!$E$20="",0,Vendedor13!$E$20)</f>
        <v>500</v>
      </c>
      <c r="H16" s="133">
        <f t="shared" si="1"/>
        <v>12000</v>
      </c>
      <c r="I16" s="147">
        <f>MROUND(H16*Vendedor13!J$11,50)</f>
        <v>1450</v>
      </c>
      <c r="J16" s="133">
        <f t="shared" si="2"/>
        <v>500</v>
      </c>
      <c r="K16" s="133">
        <f t="shared" si="3"/>
        <v>42500</v>
      </c>
      <c r="L16" s="42">
        <f>Vendedor13!$F$19+Vendedor13!$F$20</f>
        <v>40000</v>
      </c>
      <c r="M16" s="154"/>
      <c r="N16" s="133">
        <f t="shared" si="0"/>
        <v>-29450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IF(Vendedor14!$C$19="",0,Vendedor14!$C$19)</f>
        <v>81150</v>
      </c>
      <c r="D17" s="30">
        <f>IF(Vendedor14!$E$19="",0,Vendedor14!$E$19)</f>
        <v>700</v>
      </c>
      <c r="E17" s="179">
        <f>IF(Vendedor14!$C$20="",0,Vendedor14!$C$20)</f>
        <v>29400</v>
      </c>
      <c r="F17" s="30">
        <f>IF(Vendedor14!$E$20="",0,Vendedor14!$E$20)</f>
        <v>0</v>
      </c>
      <c r="H17" s="42">
        <f t="shared" si="1"/>
        <v>110550</v>
      </c>
      <c r="I17" s="41">
        <f>MROUND(H17*Vendedor14!J$15,50)</f>
        <v>13250</v>
      </c>
      <c r="J17" s="42">
        <f t="shared" si="2"/>
        <v>700</v>
      </c>
      <c r="K17" s="42">
        <f t="shared" si="3"/>
        <v>59500</v>
      </c>
      <c r="L17" s="42">
        <f>Vendedor14!$F$19+Vendedor14!$F$20</f>
        <v>59500</v>
      </c>
      <c r="N17" s="42">
        <f t="shared" si="0"/>
        <v>37800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IF(Vendedor15!$C$19="",0,Vendedor15!$C$19)</f>
        <v>54750</v>
      </c>
      <c r="D18" s="30">
        <f>IF(Vendedor15!$E$19="",0,Vendedor15!$E$19)</f>
        <v>450</v>
      </c>
      <c r="E18" s="179">
        <f>IF(Vendedor15!$C$20="",0,Vendedor15!$C$20)</f>
        <v>23100</v>
      </c>
      <c r="F18" s="30">
        <f>IF(Vendedor15!$E$20="",0,Vendedor15!$E$20)</f>
        <v>0</v>
      </c>
      <c r="H18" s="42">
        <f t="shared" si="1"/>
        <v>77850</v>
      </c>
      <c r="I18" s="41">
        <f>MROUND(H18*Vendedor15!J$15,50)</f>
        <v>9350</v>
      </c>
      <c r="J18" s="42">
        <f t="shared" si="2"/>
        <v>450</v>
      </c>
      <c r="K18" s="42">
        <f t="shared" si="3"/>
        <v>38250</v>
      </c>
      <c r="L18" s="42">
        <f>Vendedor15!$F$19+Vendedor15!$F$20</f>
        <v>38250</v>
      </c>
      <c r="N18" s="42">
        <f t="shared" si="0"/>
        <v>30250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650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650</v>
      </c>
      <c r="K27" s="42">
        <f t="shared" si="3"/>
        <v>55250</v>
      </c>
      <c r="L27" s="42">
        <f>Vendedor24!$F$19+Vendedor24!$F$20</f>
        <v>55250</v>
      </c>
      <c r="N27" s="42">
        <f t="shared" si="0"/>
        <v>-55250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228150</v>
      </c>
      <c r="D32" s="44">
        <f>SUM(D4:D31)</f>
        <v>1150</v>
      </c>
      <c r="E32" s="43">
        <f>SUM(E4:E31)</f>
        <v>89850</v>
      </c>
      <c r="F32" s="44">
        <f>SUM(F4:F31)</f>
        <v>1150</v>
      </c>
      <c r="H32" s="95">
        <f>SUM(H4:H31)</f>
        <v>318000</v>
      </c>
      <c r="I32" s="45">
        <f>SUM(I7:I31)</f>
        <v>36350</v>
      </c>
      <c r="J32" s="95"/>
      <c r="K32" s="95">
        <f>SUM(K4:K31)</f>
        <v>195500</v>
      </c>
      <c r="L32" s="95">
        <f>SUM(L4:L31)</f>
        <v>193000</v>
      </c>
      <c r="N32" s="79">
        <f>SUM(N4:N31)</f>
        <v>86700</v>
      </c>
    </row>
    <row r="33" spans="3:6" x14ac:dyDescent="0.35">
      <c r="D33" s="99">
        <f>+D32*85</f>
        <v>97750</v>
      </c>
      <c r="F33" s="99">
        <f>+F32*85</f>
        <v>97750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318000</v>
      </c>
      <c r="E36" s="43">
        <f>+D36-H4-H5-H6</f>
        <v>302900</v>
      </c>
    </row>
    <row r="37" spans="3:6" x14ac:dyDescent="0.35">
      <c r="C37" s="47" t="s">
        <v>33</v>
      </c>
      <c r="D37" s="48">
        <f>D36*13%</f>
        <v>41340</v>
      </c>
      <c r="E37">
        <f>+D37-I4-I5-I6</f>
        <v>39390</v>
      </c>
    </row>
    <row r="38" spans="3:6" ht="15" thickBot="1" x14ac:dyDescent="0.4">
      <c r="C38" s="47" t="s">
        <v>30</v>
      </c>
      <c r="D38" s="30">
        <f>SUM(K4:K27)</f>
        <v>195500</v>
      </c>
    </row>
    <row r="39" spans="3:6" ht="15" thickBot="1" x14ac:dyDescent="0.4">
      <c r="C39" s="49" t="s">
        <v>4</v>
      </c>
      <c r="D39" s="80">
        <f>+D36-D37-D38</f>
        <v>81160</v>
      </c>
      <c r="F39" s="98">
        <f>+N32-D39</f>
        <v>5540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81160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 x14ac:dyDescent="0.35">
      <c r="C2" s="266">
        <f>DigitaHONDURAS!C2</f>
        <v>73</v>
      </c>
      <c r="D2" s="267"/>
      <c r="E2" s="266">
        <f>DigitaHONDURAS!E2</f>
        <v>87</v>
      </c>
      <c r="F2" s="267"/>
      <c r="G2" s="266" t="str">
        <f>DigitaHONDURAS!G2</f>
        <v>02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7" t="str">
        <f>Vendedor6!$B$2</f>
        <v>vendedor 06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IF(Vendedor7!$C$21="",0,Vendedor7!$C$21)</f>
        <v>2700</v>
      </c>
      <c r="D10" s="30">
        <f>IF(Vendedor7!$E$21="",0,Vendedor7!$E$21)</f>
        <v>300</v>
      </c>
      <c r="E10" s="179">
        <f>IF(Vendedor7!$C$22="",0,Vendedor7!$C$22)</f>
        <v>9300</v>
      </c>
      <c r="F10" s="30">
        <f>IF(Vendedor7!$E$22="",0,Vendedor7!$E$22)</f>
        <v>0</v>
      </c>
      <c r="G10" s="179">
        <f>IF(Vendedor7!$C$23="",0,Vendedor7!$C$23)</f>
        <v>7250</v>
      </c>
      <c r="H10" s="30">
        <f>IF(Vendedor7!$E$23="",0,Vendedor7!$E$23)</f>
        <v>0</v>
      </c>
      <c r="J10" s="42">
        <f t="shared" si="0"/>
        <v>19250</v>
      </c>
      <c r="K10" s="41">
        <f>MROUND(J10*Vendedor7!J$14,50)</f>
        <v>2300</v>
      </c>
      <c r="L10" s="42">
        <f t="shared" si="1"/>
        <v>300</v>
      </c>
      <c r="M10" s="42">
        <f t="shared" si="3"/>
        <v>25500</v>
      </c>
      <c r="N10" s="42">
        <f>Vendedor7!$F$21+Vendedor7!$F$22+Vendedor7!$F$23</f>
        <v>25500</v>
      </c>
      <c r="P10" s="42">
        <f t="shared" si="2"/>
        <v>-8550</v>
      </c>
    </row>
    <row r="11" spans="1:16" x14ac:dyDescent="0.35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IF(Vendedor9!$C$21="",0,Vendedor9!$C$21)</f>
        <v>0</v>
      </c>
      <c r="D12" s="30">
        <f>IF(Vendedor9!$E$21="",0,Vendedor9!$E$21)</f>
        <v>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IF(Vendedor13!$C$21="",0,Vendedor13!$C$21)</f>
        <v>0</v>
      </c>
      <c r="D16" s="30">
        <f>IF(Vendedor13!$E$21="",0,Vendedor13!$E$21)</f>
        <v>0</v>
      </c>
      <c r="E16" s="179">
        <f>IF(Vendedor13!$C$22="",0,Vendedor13!$C$22)</f>
        <v>0</v>
      </c>
      <c r="F16" s="30">
        <f>IF(Vendedor13!$E$22="",0,Vendedor13!$E$22)</f>
        <v>0</v>
      </c>
      <c r="G16" s="179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7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IF(Vendedor14!$C$21="",0,Vendedor14!$C$21)</f>
        <v>33850</v>
      </c>
      <c r="D17" s="30">
        <f>IF(Vendedor14!$E$21="",0,Vendedor14!$E$21)</f>
        <v>50</v>
      </c>
      <c r="E17" s="179">
        <f>IF(Vendedor14!$C$22="",0,Vendedor14!$C$22)</f>
        <v>6550</v>
      </c>
      <c r="F17" s="30">
        <f>IF(Vendedor14!$E$22="",0,Vendedor14!$E$22)</f>
        <v>50</v>
      </c>
      <c r="G17" s="179">
        <f>IF(Vendedor14!$C$23="",0,Vendedor14!$C$23)</f>
        <v>20750</v>
      </c>
      <c r="H17" s="30">
        <f>IF(Vendedor14!$E$23="",0,Vendedor14!$E$23)</f>
        <v>0</v>
      </c>
      <c r="J17" s="42">
        <f t="shared" si="0"/>
        <v>61150</v>
      </c>
      <c r="K17" s="41">
        <f>MROUND(J17*Vendedor14!J$15,50)</f>
        <v>7350</v>
      </c>
      <c r="L17" s="42">
        <f t="shared" si="1"/>
        <v>100</v>
      </c>
      <c r="M17" s="42">
        <f t="shared" si="3"/>
        <v>8500</v>
      </c>
      <c r="N17" s="42">
        <f>Vendedor14!$F$21+Vendedor14!$F$22+Vendedor14!$F$23</f>
        <v>8500</v>
      </c>
      <c r="P17" s="42">
        <f t="shared" si="2"/>
        <v>45300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IF(Vendedor15!$C$21="",0,Vendedor15!$C$21)</f>
        <v>27500</v>
      </c>
      <c r="D18" s="30">
        <f>IF(Vendedor15!$E$21="",0,Vendedor15!$E$21)</f>
        <v>200</v>
      </c>
      <c r="E18" s="179">
        <f>IF(Vendedor15!$C$22="",0,Vendedor15!$C$22)</f>
        <v>10600</v>
      </c>
      <c r="F18" s="30">
        <f>IF(Vendedor15!$E$22="",0,Vendedor15!$E$22)</f>
        <v>200</v>
      </c>
      <c r="G18" s="179">
        <f>IF(Vendedor15!$C$23="",0,Vendedor15!$C$23)</f>
        <v>2500</v>
      </c>
      <c r="H18" s="30">
        <f>IF(Vendedor15!$E$23="",0,Vendedor15!$E$23)</f>
        <v>0</v>
      </c>
      <c r="J18" s="42">
        <f t="shared" si="0"/>
        <v>40600</v>
      </c>
      <c r="K18" s="41">
        <f>MROUND(J18*Vendedor15!J$15,50)</f>
        <v>4850</v>
      </c>
      <c r="L18" s="42">
        <f t="shared" si="1"/>
        <v>400</v>
      </c>
      <c r="M18" s="42">
        <f t="shared" si="3"/>
        <v>34000</v>
      </c>
      <c r="N18" s="42">
        <f>Vendedor15!$F$21+Vendedor15!$F$22+Vendedor15!$F$23</f>
        <v>34000</v>
      </c>
      <c r="P18" s="42">
        <f t="shared" si="2"/>
        <v>1750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0</v>
      </c>
      <c r="F27" s="50">
        <f>IF(Vendedor24!$E$22="",0,Vendedor24!$E$22)</f>
        <v>0</v>
      </c>
      <c r="G27" s="180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64050</v>
      </c>
      <c r="D32" s="44">
        <f t="shared" si="8"/>
        <v>550</v>
      </c>
      <c r="E32" s="43">
        <f t="shared" si="8"/>
        <v>26450</v>
      </c>
      <c r="F32" s="44">
        <f t="shared" si="8"/>
        <v>250</v>
      </c>
      <c r="G32" s="43">
        <f t="shared" si="8"/>
        <v>30500</v>
      </c>
      <c r="H32" s="44">
        <f t="shared" si="8"/>
        <v>0</v>
      </c>
      <c r="J32" s="95">
        <f>SUM(J4:J31)</f>
        <v>121000</v>
      </c>
      <c r="K32" s="45">
        <f>SUM(K7:K31)</f>
        <v>14500</v>
      </c>
      <c r="L32" s="95"/>
      <c r="M32" s="95">
        <f>SUM(M4:M31)</f>
        <v>68000</v>
      </c>
      <c r="N32" s="95">
        <f>SUM(N4:N31)</f>
        <v>68000</v>
      </c>
      <c r="P32" s="79">
        <f>SUM(P4:P31)</f>
        <v>38500</v>
      </c>
    </row>
    <row r="33" spans="3:8" x14ac:dyDescent="0.35">
      <c r="D33" s="99">
        <f>+D32*85</f>
        <v>46750</v>
      </c>
      <c r="F33" s="99">
        <f>+F32*85</f>
        <v>21250</v>
      </c>
      <c r="H33" s="99">
        <f>+H32*85</f>
        <v>0</v>
      </c>
    </row>
    <row r="34" spans="3:8" ht="15" thickBot="1" x14ac:dyDescent="0.4"/>
    <row r="35" spans="3:8" x14ac:dyDescent="0.35">
      <c r="C35" s="265" t="s">
        <v>89</v>
      </c>
      <c r="D35" s="265"/>
    </row>
    <row r="36" spans="3:8" x14ac:dyDescent="0.35">
      <c r="C36" s="47" t="s">
        <v>28</v>
      </c>
      <c r="D36" s="30">
        <f>+C32+E32+G32</f>
        <v>121000</v>
      </c>
      <c r="E36" s="43">
        <f>+D36-J4-J5-J6</f>
        <v>121000</v>
      </c>
    </row>
    <row r="37" spans="3:8" x14ac:dyDescent="0.35">
      <c r="C37" s="47" t="s">
        <v>33</v>
      </c>
      <c r="D37" s="48">
        <f>D36*13%</f>
        <v>15730</v>
      </c>
      <c r="E37">
        <f>+D37-K4-K5-K6</f>
        <v>15730</v>
      </c>
    </row>
    <row r="38" spans="3:8" ht="15" thickBot="1" x14ac:dyDescent="0.4">
      <c r="C38" s="47" t="s">
        <v>30</v>
      </c>
      <c r="D38" s="30">
        <f>SUM(M4:M27)</f>
        <v>68000</v>
      </c>
      <c r="G38" s="100"/>
    </row>
    <row r="39" spans="3:8" ht="15" thickBot="1" x14ac:dyDescent="0.4">
      <c r="C39" s="49" t="s">
        <v>4</v>
      </c>
      <c r="D39" s="80">
        <f>+D36-D37-D38</f>
        <v>37270</v>
      </c>
      <c r="F39" s="98">
        <f>+P32-D39</f>
        <v>1230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37270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 x14ac:dyDescent="0.35">
      <c r="C2" s="266" t="str">
        <f>DigitaDOMINICANA!C2</f>
        <v>01</v>
      </c>
      <c r="D2" s="267"/>
      <c r="E2" s="266">
        <f>DigitaDOMINICANA!E2</f>
        <v>31</v>
      </c>
      <c r="F2" s="267"/>
    </row>
    <row r="3" spans="1:14" ht="15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1">
        <v>6</v>
      </c>
      <c r="B9" s="191" t="str">
        <f>Vendedor6!$B$2</f>
        <v>vendedor 06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IF(Vendedor7!$C$24="",0,Vendedor7!$C$24)</f>
        <v>0</v>
      </c>
      <c r="D10" s="30">
        <f>IF(Vendedor7!$E$24="",0,Vendedor7!$E$24)</f>
        <v>0</v>
      </c>
      <c r="E10" s="179">
        <f>IF(Vendedor7!$C$25="",0,Vendedor7!$C$25)</f>
        <v>5000</v>
      </c>
      <c r="F10" s="30">
        <f>IF(Vendedor7!$E$25="",0,Vendedor7!$E$25)</f>
        <v>2500</v>
      </c>
      <c r="H10" s="42">
        <f t="shared" si="1"/>
        <v>5000</v>
      </c>
      <c r="I10" s="41">
        <f>MROUND(H10*Vendedor7!J$14,50)</f>
        <v>600</v>
      </c>
      <c r="J10" s="42">
        <f t="shared" si="2"/>
        <v>2500</v>
      </c>
      <c r="K10" s="42">
        <f t="shared" si="3"/>
        <v>212500</v>
      </c>
      <c r="L10" s="42">
        <f>Vendedor7!$F$24+Vendedor7!$F$25</f>
        <v>212500</v>
      </c>
      <c r="N10" s="42">
        <f t="shared" si="0"/>
        <v>-208100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5000</v>
      </c>
      <c r="F32" s="44">
        <f>SUM(F4:F31)</f>
        <v>2500</v>
      </c>
      <c r="H32" s="95">
        <f>SUM(H4:H31)</f>
        <v>5000</v>
      </c>
      <c r="I32" s="45">
        <f>SUM(I7:I31)</f>
        <v>600</v>
      </c>
      <c r="J32" s="95"/>
      <c r="K32" s="95">
        <f>SUM(K4:K31)</f>
        <v>212500</v>
      </c>
      <c r="L32" s="95">
        <f>SUM(L4:L31)</f>
        <v>212500</v>
      </c>
      <c r="N32" s="79">
        <f>SUM(N4:N31)</f>
        <v>-208100</v>
      </c>
    </row>
    <row r="33" spans="3:6" x14ac:dyDescent="0.35">
      <c r="D33" s="99">
        <f>+D32*85</f>
        <v>0</v>
      </c>
      <c r="F33" s="99">
        <f>+F32*85</f>
        <v>212500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5000</v>
      </c>
      <c r="E36" s="43">
        <f>+D36-H4-H5-H6</f>
        <v>5000</v>
      </c>
    </row>
    <row r="37" spans="3:6" x14ac:dyDescent="0.35">
      <c r="C37" s="47" t="s">
        <v>33</v>
      </c>
      <c r="D37" s="48">
        <f>D36*13%</f>
        <v>650</v>
      </c>
      <c r="E37">
        <f>+D37-I4-I5-I6</f>
        <v>650</v>
      </c>
    </row>
    <row r="38" spans="3:6" ht="15" thickBot="1" x14ac:dyDescent="0.4">
      <c r="C38" s="47" t="s">
        <v>30</v>
      </c>
      <c r="D38" s="30">
        <f>SUM(K4:K27)</f>
        <v>212500</v>
      </c>
    </row>
    <row r="39" spans="3:6" ht="15" thickBot="1" x14ac:dyDescent="0.4">
      <c r="C39" s="49" t="s">
        <v>4</v>
      </c>
      <c r="D39" s="80">
        <f>+D36-D37-D38</f>
        <v>-208150</v>
      </c>
      <c r="F39" s="98">
        <f>+N32-D39</f>
        <v>50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-208150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0" t="s">
        <v>109</v>
      </c>
      <c r="D1" s="271"/>
    </row>
    <row r="2" spans="1:12" x14ac:dyDescent="0.35">
      <c r="C2" s="266" t="str">
        <f>DigitaPANAMENA!C2</f>
        <v/>
      </c>
      <c r="D2" s="267"/>
    </row>
    <row r="3" spans="1:12" ht="15" thickBot="1" x14ac:dyDescent="0.4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1">
        <v>6</v>
      </c>
      <c r="B9" s="191" t="str">
        <f>Vendedor6!$B$2</f>
        <v>vendedor 06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7" t="str">
        <f>Vendedor7!$B$2</f>
        <v>PIKIS</v>
      </c>
      <c r="C10" s="179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2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activeCell="I24" sqref="I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5" t="str">
        <f ca="1">CONCATENATE("Cuentas ALI ",TEXT('Ctas Banca'!I5,"dd-mm-yyyy"))</f>
        <v>Cuentas ALI 04-05-2026</v>
      </c>
      <c r="B1" s="275"/>
      <c r="C1" s="275"/>
      <c r="D1" s="275"/>
      <c r="E1" s="275"/>
      <c r="F1" s="275"/>
      <c r="G1" s="275"/>
      <c r="H1" s="21"/>
      <c r="I1" s="21"/>
    </row>
    <row r="2" spans="1:9" ht="15" thickBot="1" x14ac:dyDescent="0.4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5">
        <f>HojaNICA!$E$36</f>
        <v>1010600</v>
      </c>
      <c r="C4" s="156">
        <f>HojaNICA!M32</f>
        <v>121250</v>
      </c>
      <c r="D4" s="149">
        <f>HojaNICA!E37</f>
        <v>131380</v>
      </c>
      <c r="E4" s="149">
        <f>HojaNICA!P32</f>
        <v>1554500</v>
      </c>
      <c r="F4" s="149">
        <f>HojaNICA!O32</f>
        <v>1559750</v>
      </c>
      <c r="G4" s="150">
        <f t="shared" ref="G4:G10" si="0">+D4-C4+F4-E4</f>
        <v>15380</v>
      </c>
      <c r="H4" s="21"/>
      <c r="I4" s="181"/>
    </row>
    <row r="5" spans="1:9" x14ac:dyDescent="0.35">
      <c r="A5" s="28" t="s">
        <v>19</v>
      </c>
      <c r="B5" s="155">
        <f>HojaTICA!$E$36</f>
        <v>1353100</v>
      </c>
      <c r="C5" s="156">
        <f>HojaTICA!K32</f>
        <v>163950</v>
      </c>
      <c r="D5" s="149">
        <f>HojaTICA!E37</f>
        <v>175892</v>
      </c>
      <c r="E5" s="149">
        <f>HojaTICA!N32</f>
        <v>1015750</v>
      </c>
      <c r="F5" s="149">
        <f>HojaTICA!D38</f>
        <v>1015750</v>
      </c>
      <c r="G5" s="150">
        <f t="shared" si="0"/>
        <v>11942</v>
      </c>
      <c r="H5" s="21"/>
      <c r="I5" s="181"/>
    </row>
    <row r="6" spans="1:9" x14ac:dyDescent="0.35">
      <c r="A6" s="28" t="s">
        <v>125</v>
      </c>
      <c r="B6" s="155">
        <f>HojaREVENTADO!$E$37</f>
        <v>183700</v>
      </c>
      <c r="C6" s="156">
        <f>HojaREVENTADO!K33</f>
        <v>18370</v>
      </c>
      <c r="D6" s="149">
        <f>HojaREVENTADO!E38</f>
        <v>18370</v>
      </c>
      <c r="E6" s="149">
        <f>HojaREVENTADO!O33</f>
        <v>0</v>
      </c>
      <c r="F6" s="149">
        <f>HojaREVENTADO!N33</f>
        <v>0</v>
      </c>
      <c r="G6" s="150">
        <f t="shared" si="0"/>
        <v>0</v>
      </c>
      <c r="H6" s="21"/>
      <c r="I6" s="181"/>
    </row>
    <row r="7" spans="1:9" x14ac:dyDescent="0.35">
      <c r="A7" s="28" t="s">
        <v>96</v>
      </c>
      <c r="B7" s="155">
        <f>HojaPrimera!$E$36</f>
        <v>302900</v>
      </c>
      <c r="C7" s="156">
        <f>HojaPrimera!I32</f>
        <v>36350</v>
      </c>
      <c r="D7" s="149">
        <f>HojaPrimera!E37</f>
        <v>39390</v>
      </c>
      <c r="E7" s="149">
        <f>HojaPrimera!L32</f>
        <v>193000</v>
      </c>
      <c r="F7" s="149">
        <f>HojaPrimera!K32</f>
        <v>195500</v>
      </c>
      <c r="G7" s="150">
        <f t="shared" si="0"/>
        <v>5540</v>
      </c>
      <c r="H7" s="21"/>
      <c r="I7" s="21"/>
    </row>
    <row r="8" spans="1:9" x14ac:dyDescent="0.35">
      <c r="A8" s="28" t="s">
        <v>104</v>
      </c>
      <c r="B8" s="155">
        <f>HojaHonduras!$E$36</f>
        <v>121000</v>
      </c>
      <c r="C8" s="156">
        <f>HojaHonduras!K32</f>
        <v>14500</v>
      </c>
      <c r="D8" s="149">
        <f>HojaHonduras!E37</f>
        <v>15730</v>
      </c>
      <c r="E8" s="149">
        <f>HojaHonduras!N32</f>
        <v>68000</v>
      </c>
      <c r="F8" s="149">
        <f>HojaHonduras!M32</f>
        <v>68000</v>
      </c>
      <c r="G8" s="150">
        <f t="shared" si="0"/>
        <v>1230</v>
      </c>
      <c r="H8" s="21"/>
      <c r="I8" s="21"/>
    </row>
    <row r="9" spans="1:9" x14ac:dyDescent="0.35">
      <c r="A9" s="28" t="s">
        <v>20</v>
      </c>
      <c r="B9" s="155">
        <f>HojaDominicana!$E$36</f>
        <v>5000</v>
      </c>
      <c r="C9" s="156">
        <f>HojaDominicana!I32</f>
        <v>600</v>
      </c>
      <c r="D9" s="149">
        <f>HojaDominicana!E37</f>
        <v>650</v>
      </c>
      <c r="E9" s="149">
        <f>HojaDominicana!L32</f>
        <v>212500</v>
      </c>
      <c r="F9" s="149">
        <f>HojaDominicana!K32</f>
        <v>212500</v>
      </c>
      <c r="G9" s="150">
        <f t="shared" si="0"/>
        <v>50</v>
      </c>
      <c r="H9" s="21"/>
      <c r="I9" s="21"/>
    </row>
    <row r="10" spans="1:9" ht="15" thickBot="1" x14ac:dyDescent="0.4">
      <c r="A10" s="166" t="s">
        <v>21</v>
      </c>
      <c r="B10" s="167">
        <f>HojaPANA!F36</f>
        <v>0</v>
      </c>
      <c r="C10" s="168">
        <f>HojaPANA!G32</f>
        <v>0</v>
      </c>
      <c r="D10" s="169">
        <f>HojaPANA!F37</f>
        <v>0</v>
      </c>
      <c r="E10" s="169">
        <f>HojaPANA!J32</f>
        <v>0</v>
      </c>
      <c r="F10" s="169">
        <f>HojaPANA!I32</f>
        <v>0</v>
      </c>
      <c r="G10" s="170">
        <f t="shared" si="0"/>
        <v>0</v>
      </c>
      <c r="H10" s="21"/>
      <c r="I10" s="21"/>
    </row>
    <row r="11" spans="1:9" ht="19" thickBot="1" x14ac:dyDescent="0.5">
      <c r="A11" s="173" t="s">
        <v>32</v>
      </c>
      <c r="B11" s="174">
        <f>SUM(B4:B10)</f>
        <v>2976300</v>
      </c>
      <c r="C11" s="174">
        <f>SUM(C4:C10)</f>
        <v>355020</v>
      </c>
      <c r="D11" s="174">
        <f t="shared" ref="D11:F11" si="1">SUM(D4:D10)</f>
        <v>381412</v>
      </c>
      <c r="E11" s="174">
        <f t="shared" si="1"/>
        <v>3043750</v>
      </c>
      <c r="F11" s="174">
        <f t="shared" si="1"/>
        <v>3051500</v>
      </c>
      <c r="G11" s="175">
        <f>SUM(G4:G10)</f>
        <v>34142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1" t="s">
        <v>126</v>
      </c>
      <c r="G12" s="172">
        <f>IF(F16&lt;&gt;0,35000,0)</f>
        <v>35000</v>
      </c>
      <c r="H12" s="140">
        <f>+G11-G12</f>
        <v>-858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6">
        <f>+Vendedor1!C21</f>
        <v>223250</v>
      </c>
      <c r="E16" s="156">
        <f>+Vendedor1!D21</f>
        <v>29022.5</v>
      </c>
      <c r="F16" s="157">
        <f>IF(D16&lt;&gt;0,15000,0)</f>
        <v>15000</v>
      </c>
      <c r="G16" s="150">
        <f>+E16-F16</f>
        <v>14022.5</v>
      </c>
      <c r="H16" s="21"/>
      <c r="I16" s="21"/>
    </row>
    <row r="17" spans="1:9" x14ac:dyDescent="0.35">
      <c r="A17" s="21"/>
      <c r="B17" s="21"/>
      <c r="C17" s="28" t="s">
        <v>130</v>
      </c>
      <c r="D17" s="156">
        <f>+Vendedor2!C21</f>
        <v>152550</v>
      </c>
      <c r="E17" s="156">
        <f>+Vendedor2!D21</f>
        <v>19831.5</v>
      </c>
      <c r="F17" s="157">
        <f>IF(D17&lt;&gt;0,15000,0)</f>
        <v>15000</v>
      </c>
      <c r="G17" s="150">
        <f>+E17-F17</f>
        <v>4831.5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1" t="s">
        <v>32</v>
      </c>
      <c r="D19" s="158">
        <f>SUM(D16:D18)</f>
        <v>375800</v>
      </c>
      <c r="E19" s="158">
        <f>SUM(E16:E18)</f>
        <v>48854</v>
      </c>
      <c r="F19" s="159">
        <f>SUM(F16:F18)</f>
        <v>30000</v>
      </c>
      <c r="G19" s="160">
        <f>SUM(G16:G18)</f>
        <v>18854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6">
        <f>-Vendedor24!C27</f>
        <v>0</v>
      </c>
      <c r="E22" s="156">
        <f>-Vendedor24!D27</f>
        <v>0</v>
      </c>
      <c r="F22" s="157">
        <f>-Vendedor24!F27</f>
        <v>-55250</v>
      </c>
      <c r="G22" s="150">
        <f>+D22-E22-F22</f>
        <v>55250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2" t="s">
        <v>124</v>
      </c>
      <c r="G24" s="161">
        <f>G11+G19-G12+G22</f>
        <v>73246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M8" sqref="M8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0" width="10.81640625" customWidth="1"/>
    <col min="11" max="11" width="11.26953125" bestFit="1" customWidth="1"/>
    <col min="12" max="13" width="10.81640625" customWidth="1"/>
  </cols>
  <sheetData>
    <row r="2" spans="1:15" x14ac:dyDescent="0.35">
      <c r="A2" s="277" t="str">
        <f ca="1">CONCATENATE("Tiempos Pana ",TEXT(I5,"dd-mm-yyyy"))</f>
        <v>Tiempos Pana 04-05-2026</v>
      </c>
      <c r="B2" s="277"/>
      <c r="C2" s="277"/>
      <c r="D2" s="277"/>
      <c r="E2" s="277"/>
      <c r="F2" s="277"/>
    </row>
    <row r="3" spans="1:15" ht="15" thickBot="1" x14ac:dyDescent="0.4"/>
    <row r="4" spans="1:15" ht="16" thickBot="1" x14ac:dyDescent="0.4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 x14ac:dyDescent="0.5">
      <c r="A5" s="47" t="s">
        <v>37</v>
      </c>
      <c r="B5" s="149">
        <f>HojaNICA!D36</f>
        <v>1066000</v>
      </c>
      <c r="C5" s="149">
        <f>HojaNICA!D37</f>
        <v>138580</v>
      </c>
      <c r="D5" s="149">
        <f>HojaNICA!D38</f>
        <v>1559750</v>
      </c>
      <c r="E5" s="149"/>
      <c r="F5" s="150">
        <f>+B5-C5-D5+E5</f>
        <v>-632330</v>
      </c>
      <c r="H5" s="248" t="s">
        <v>105</v>
      </c>
      <c r="I5" s="242">
        <f ca="1">TODAY()-2</f>
        <v>46146</v>
      </c>
      <c r="O5" s="119"/>
    </row>
    <row r="6" spans="1:15" ht="15" thickBot="1" x14ac:dyDescent="0.4">
      <c r="A6" s="47" t="s">
        <v>36</v>
      </c>
      <c r="B6" s="149">
        <f>HojaTICA!D36</f>
        <v>1658400</v>
      </c>
      <c r="C6" s="149">
        <f>HojaTICA!D37</f>
        <v>215592</v>
      </c>
      <c r="D6" s="149">
        <f>HojaTICA!D38</f>
        <v>1015750</v>
      </c>
      <c r="E6" s="149"/>
      <c r="F6" s="150">
        <f t="shared" ref="F6:F11" si="0">+B6-C6-D6+E6</f>
        <v>427058</v>
      </c>
      <c r="H6" s="254">
        <v>0</v>
      </c>
      <c r="K6">
        <f>2652091.63+5037051.24+1063488.6+1143076.98</f>
        <v>9895708.4500000011</v>
      </c>
    </row>
    <row r="7" spans="1:15" ht="15" thickBot="1" x14ac:dyDescent="0.4">
      <c r="A7" s="47" t="s">
        <v>38</v>
      </c>
      <c r="B7" s="149">
        <f>HojaREVENTADO!D37</f>
        <v>183700</v>
      </c>
      <c r="C7" s="149">
        <f>HojaREVENTADO!D38</f>
        <v>18370</v>
      </c>
      <c r="D7" s="149">
        <f>HojaREVENTADO!D39</f>
        <v>0</v>
      </c>
      <c r="E7" s="149"/>
      <c r="F7" s="150">
        <f t="shared" si="0"/>
        <v>165330</v>
      </c>
    </row>
    <row r="8" spans="1:15" x14ac:dyDescent="0.35">
      <c r="A8" s="47" t="s">
        <v>96</v>
      </c>
      <c r="B8" s="149">
        <f>HojaPrimera!$D36</f>
        <v>318000</v>
      </c>
      <c r="C8" s="149">
        <f>HojaPrimera!$D37</f>
        <v>41340</v>
      </c>
      <c r="D8" s="149">
        <f>HojaPrimera!$D38</f>
        <v>195500</v>
      </c>
      <c r="E8" s="149"/>
      <c r="F8" s="150">
        <f t="shared" si="0"/>
        <v>81160</v>
      </c>
      <c r="H8" s="248" t="s">
        <v>153</v>
      </c>
    </row>
    <row r="9" spans="1:15" ht="15" thickBot="1" x14ac:dyDescent="0.4">
      <c r="A9" s="47" t="s">
        <v>104</v>
      </c>
      <c r="B9" s="149">
        <f>HojaHonduras!$D36</f>
        <v>121000</v>
      </c>
      <c r="C9" s="149">
        <f>HojaHonduras!$D37</f>
        <v>15730</v>
      </c>
      <c r="D9" s="149">
        <f>HojaHonduras!$D38</f>
        <v>68000</v>
      </c>
      <c r="E9" s="149"/>
      <c r="F9" s="150">
        <f t="shared" si="0"/>
        <v>37270</v>
      </c>
      <c r="H9" s="256">
        <f>+K12-K10-H6</f>
        <v>-129662</v>
      </c>
    </row>
    <row r="10" spans="1:15" ht="15" thickBot="1" x14ac:dyDescent="0.4">
      <c r="A10" s="47" t="s">
        <v>20</v>
      </c>
      <c r="B10" s="149">
        <f>HojaDominicana!$D36</f>
        <v>5000</v>
      </c>
      <c r="C10" s="149">
        <f>HojaDominicana!$D37</f>
        <v>650</v>
      </c>
      <c r="D10" s="149">
        <f>HojaDominicana!$D38</f>
        <v>212500</v>
      </c>
      <c r="E10" s="149"/>
      <c r="F10" s="150">
        <f t="shared" si="0"/>
        <v>-208150</v>
      </c>
      <c r="H10" s="153"/>
      <c r="J10" t="s">
        <v>148</v>
      </c>
      <c r="K10" s="250">
        <v>9895708.4500000011</v>
      </c>
    </row>
    <row r="11" spans="1:15" ht="15" thickBot="1" x14ac:dyDescent="0.4">
      <c r="A11" s="47" t="s">
        <v>21</v>
      </c>
      <c r="B11" s="149">
        <f>HojaPANA!$D36</f>
        <v>0</v>
      </c>
      <c r="C11" s="149">
        <f>HojaPANA!$D37</f>
        <v>0</v>
      </c>
      <c r="D11" s="164">
        <f>HojaPANA!$D38</f>
        <v>0</v>
      </c>
      <c r="E11" s="149"/>
      <c r="F11" s="150">
        <f t="shared" si="0"/>
        <v>0</v>
      </c>
      <c r="H11" s="213" t="s">
        <v>154</v>
      </c>
      <c r="J11" t="s">
        <v>158</v>
      </c>
      <c r="K11" s="251">
        <f>+K10+F12+H6</f>
        <v>9766046.4500000011</v>
      </c>
    </row>
    <row r="12" spans="1:15" ht="16" thickBot="1" x14ac:dyDescent="0.4">
      <c r="A12" s="143" t="s">
        <v>5</v>
      </c>
      <c r="B12" s="151">
        <f>SUM(B5:B11)</f>
        <v>3352100</v>
      </c>
      <c r="C12" s="151">
        <f>SUM(C5:C11)</f>
        <v>430262</v>
      </c>
      <c r="D12" s="151">
        <f>SUM(D5:D11)</f>
        <v>3051500</v>
      </c>
      <c r="E12" s="151"/>
      <c r="F12" s="253">
        <f>SUM(F5:F11)</f>
        <v>-129662</v>
      </c>
      <c r="H12" s="249">
        <f>K11</f>
        <v>9766046.4500000011</v>
      </c>
      <c r="J12" t="s">
        <v>140</v>
      </c>
      <c r="K12" s="252">
        <f>3079149.63+4404721.24+1228818.6+1053356.98</f>
        <v>9766046.4500000011</v>
      </c>
    </row>
    <row r="13" spans="1:15" x14ac:dyDescent="0.35">
      <c r="M13" s="153"/>
    </row>
    <row r="14" spans="1:15" x14ac:dyDescent="0.35">
      <c r="B14" s="153"/>
      <c r="M14" s="43"/>
    </row>
    <row r="15" spans="1:15" x14ac:dyDescent="0.35">
      <c r="M15" s="43"/>
    </row>
    <row r="16" spans="1:15" x14ac:dyDescent="0.3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173100</v>
      </c>
      <c r="K4" s="230">
        <f t="shared" ref="K4" si="0">D7+D11+D15</f>
        <v>22503</v>
      </c>
      <c r="L4" s="219">
        <f>F7+F11+F15</f>
        <v>208250</v>
      </c>
    </row>
    <row r="5" spans="1:12" x14ac:dyDescent="0.35">
      <c r="A5" s="28" t="s">
        <v>43</v>
      </c>
      <c r="B5" s="132">
        <f>IF(DigitaNICA!C2&lt;&gt;"",DigitaNICA!C2,"")</f>
        <v>39</v>
      </c>
      <c r="C5" s="29">
        <f>IF(DigitaNICA!C4&lt;&gt;"",DigitaNICA!C4,"")</f>
        <v>26550</v>
      </c>
      <c r="D5" s="42">
        <f>IF(C5="",0,C5*J$10)</f>
        <v>3451.5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23098.5</v>
      </c>
      <c r="I5" s="240" t="s">
        <v>37</v>
      </c>
      <c r="J5" s="220">
        <f>SUM(IF(C5="",0,C5),IF(C9="",0,C9),IF(C13="",0,C13),IF(C17="",0,C17))</f>
        <v>38850</v>
      </c>
      <c r="K5" s="224">
        <f t="shared" ref="K5" si="2">D5+D9+D13+D17</f>
        <v>5050.5</v>
      </c>
      <c r="L5" s="221">
        <f>F5+F9+F13+F17</f>
        <v>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11300</v>
      </c>
      <c r="K6" s="227">
        <f>D19+D20</f>
        <v>1469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>
        <f>IF(DigitaTICA!C4&lt;&gt;"",DigitaTICA!C4,"")</f>
        <v>66950</v>
      </c>
      <c r="D7" s="42">
        <f>IF(C7="",0,C7*J$9)</f>
        <v>8703.5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36996.5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55</v>
      </c>
      <c r="C9" s="29">
        <f>IF(DigitaNICA!E4&lt;&gt;"",DigitaNICA!E4,"")</f>
        <v>5850</v>
      </c>
      <c r="D9" s="42">
        <f>IF(C9="",0,C9*J$10)</f>
        <v>760.5</v>
      </c>
      <c r="E9" s="29">
        <f>IF(DigitaNICA!F4&lt;&gt;"",DigitaNICA!F4,"")</f>
        <v>100</v>
      </c>
      <c r="F9" s="42">
        <f>IF(E9="",0,E9*PREMIOS!E9)</f>
        <v>8000</v>
      </c>
      <c r="G9" s="30">
        <f t="shared" si="1"/>
        <v>-2910.5</v>
      </c>
      <c r="I9" s="76" t="s">
        <v>36</v>
      </c>
      <c r="J9" s="77">
        <v>0.13</v>
      </c>
      <c r="K9" s="78">
        <f>MROUND(D7+D11+D15,50)</f>
        <v>22500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5050</v>
      </c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IF(DigitaTICA!E4&lt;&gt;"",DigitaTICA!E4,"")</f>
        <v>33850</v>
      </c>
      <c r="D11" s="42">
        <f>IF(C11="",0,C11*J$9)</f>
        <v>4400.5</v>
      </c>
      <c r="E11" s="29">
        <f>IF(DigitaTICA!F4&lt;&gt;"",DigitaTICA!F4,"")</f>
        <v>2200</v>
      </c>
      <c r="F11" s="42">
        <f>IF(E11="",0,E11*PREMIOS!F11)</f>
        <v>187000</v>
      </c>
      <c r="G11" s="30">
        <f t="shared" si="1"/>
        <v>-157550.5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1450</v>
      </c>
    </row>
    <row r="13" spans="1:12" x14ac:dyDescent="0.35">
      <c r="A13" s="28" t="s">
        <v>50</v>
      </c>
      <c r="B13" s="132">
        <f>IF(DigitaNICA!G2&lt;&gt;"",DigitaNICA!G2,"")</f>
        <v>72</v>
      </c>
      <c r="C13" s="29">
        <f>IF(DigitaNICA!G4&lt;&gt;"",DigitaNICA!G4,"")</f>
        <v>3950</v>
      </c>
      <c r="D13" s="42">
        <f>IF(C13="",0,C13*J$10)</f>
        <v>513.5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3436.5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IF(DigitaTICA!G4&lt;&gt;"",DigitaTICA!G4,"")</f>
        <v>72300</v>
      </c>
      <c r="D15" s="42">
        <f>IF(C15="",0,C15*J$9)</f>
        <v>9399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62901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>
        <f>IF(DigitaNICA!I4&lt;&gt;"",DigitaNICA!I4,"")</f>
        <v>2500</v>
      </c>
      <c r="D17" s="42">
        <f>IF(C17="",0,C17*J$10)</f>
        <v>325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2175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44</v>
      </c>
      <c r="C19" s="29">
        <f>IF(DigitaPRIMERA!C4&lt;&gt;"",DigitaPRIMERA!C4,"")</f>
        <v>11300</v>
      </c>
      <c r="D19" s="42">
        <f>IF(C19="",0,C19*J$12)</f>
        <v>1469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9831</v>
      </c>
    </row>
    <row r="20" spans="1:7" x14ac:dyDescent="0.35">
      <c r="A20" s="28" t="s">
        <v>98</v>
      </c>
      <c r="B20" s="132">
        <f>IF(DigitaPRIMERA!E2&lt;&gt;"",DigitaPRIMERA!E2,"")</f>
        <v>69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223250</v>
      </c>
      <c r="D21" s="122">
        <f t="shared" ref="D21:G21" si="6">SUM(D5:D20)</f>
        <v>29022.5</v>
      </c>
      <c r="E21" s="122">
        <f t="shared" si="6"/>
        <v>2550</v>
      </c>
      <c r="F21" s="122">
        <f t="shared" si="6"/>
        <v>216250</v>
      </c>
      <c r="G21" s="123">
        <f t="shared" si="6"/>
        <v>-22022.5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132200</v>
      </c>
      <c r="K4" s="230">
        <f t="shared" ref="K4" si="0">D7+D11+D15</f>
        <v>17186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39</v>
      </c>
      <c r="C5" s="29">
        <f>IF(DigitaNICA!C5&lt;&gt;"",DigitaNICA!C5,"")</f>
        <v>15300</v>
      </c>
      <c r="D5" s="42">
        <f>IF(C5="",0,C5*J$10)</f>
        <v>1989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13311</v>
      </c>
      <c r="I5" s="240" t="s">
        <v>37</v>
      </c>
      <c r="J5" s="220">
        <f>SUM(IF(C5="",0,C5),IF(C9="",0,C9),IF(C13="",0,C13),IF(C17="",0,C17))</f>
        <v>16550</v>
      </c>
      <c r="K5" s="224">
        <f t="shared" ref="K5" si="2">D5+D9+D13+D17</f>
        <v>2151.5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3800</v>
      </c>
      <c r="K6" s="227">
        <f>D19+D20</f>
        <v>494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>
        <f>IF(DigitaTICA!C5&lt;&gt;"",DigitaTICA!C5,"")</f>
        <v>28450</v>
      </c>
      <c r="D7" s="42">
        <f>IF(C7="",0,C7*J$9)</f>
        <v>3698.5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24751.5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55</v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17200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2150</v>
      </c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IF(DigitaTICA!E5&lt;&gt;"",DigitaTICA!E5,"")</f>
        <v>26100</v>
      </c>
      <c r="D11" s="42">
        <f>IF(C11="",0,C11*J$9)</f>
        <v>3393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22707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500</v>
      </c>
    </row>
    <row r="13" spans="1:12" x14ac:dyDescent="0.35">
      <c r="A13" s="28" t="s">
        <v>50</v>
      </c>
      <c r="B13" s="132">
        <f>IF(DigitaNICA!G2&lt;&gt;"",DigitaNICA!G2,"")</f>
        <v>72</v>
      </c>
      <c r="C13" s="29">
        <f>IF(DigitaNICA!G5&lt;&gt;"",DigitaNICA!G5,"")</f>
        <v>1250</v>
      </c>
      <c r="D13" s="42">
        <f>IF(C13="",0,C13*J$10)</f>
        <v>162.5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1087.5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IF(DigitaTICA!G5&lt;&gt;"",DigitaTICA!G5,"")</f>
        <v>77650</v>
      </c>
      <c r="D15" s="42">
        <f>IF(C15="",0,C15*J$9)</f>
        <v>10094.5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67555.5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44</v>
      </c>
      <c r="C19" s="29">
        <f>IF(DigitaPRIMERA!C5&lt;&gt;"",DigitaPRIMERA!C5,"")</f>
        <v>3800</v>
      </c>
      <c r="D19" s="42">
        <f>IF(C19="",0,C19*J$12)</f>
        <v>494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3306</v>
      </c>
    </row>
    <row r="20" spans="1:7" x14ac:dyDescent="0.35">
      <c r="A20" s="28" t="s">
        <v>98</v>
      </c>
      <c r="B20" s="132">
        <f>IF(DigitaPRIMERA!E2&lt;&gt;"",DigitaPRIMERA!E2,"")</f>
        <v>69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152550</v>
      </c>
      <c r="D21" s="68">
        <f t="shared" ref="D21:G21" si="4">SUM(D5:D20)</f>
        <v>19831.5</v>
      </c>
      <c r="E21" s="68">
        <f t="shared" si="4"/>
        <v>0</v>
      </c>
      <c r="F21" s="68">
        <f t="shared" si="4"/>
        <v>0</v>
      </c>
      <c r="G21" s="88">
        <f t="shared" si="4"/>
        <v>132718.5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152</v>
      </c>
      <c r="C2" s="279"/>
      <c r="D2" s="280"/>
      <c r="J2" s="21" t="s">
        <v>152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55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55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125050</v>
      </c>
      <c r="K4" s="230">
        <f t="shared" ref="K4" si="0">D7+D11+D15</f>
        <v>15006</v>
      </c>
      <c r="L4" s="219">
        <f>F7+F11+F15</f>
        <v>34000</v>
      </c>
    </row>
    <row r="5" spans="1:12" x14ac:dyDescent="0.35">
      <c r="A5" s="28" t="s">
        <v>43</v>
      </c>
      <c r="B5" s="132">
        <f>IF(DigitaNICA!C2&lt;&gt;"",DigitaNICA!C2,"")</f>
        <v>39</v>
      </c>
      <c r="C5" s="29">
        <f>IF(DigitaNICA!C8&lt;&gt;"",DigitaNICA!C8,"")</f>
        <v>56250</v>
      </c>
      <c r="D5" s="42">
        <f>IF(C5="",0,C5*J$12)</f>
        <v>6750</v>
      </c>
      <c r="E5" s="29">
        <f>IF(DigitaNICA!D8&lt;&gt;"",DigitaNICA!D8,"")</f>
        <v>650</v>
      </c>
      <c r="F5" s="42">
        <f>IF(E5="",0,E5*PREMIOS!E5)</f>
        <v>52000</v>
      </c>
      <c r="G5" s="30">
        <f t="shared" ref="G5:G12" si="1">IF(OR(C5="",E5=""),0,C5-D5-F5)</f>
        <v>-2500</v>
      </c>
      <c r="I5" s="240" t="s">
        <v>37</v>
      </c>
      <c r="J5" s="220">
        <f>SUM(IF(C5="",0,C5),IF(C9="",0,C9),IF(C13="",0,C13),IF(C17="",0,C17))</f>
        <v>114550</v>
      </c>
      <c r="K5" s="224">
        <f t="shared" ref="K5" si="2">D5+D9+D13+D17</f>
        <v>13746</v>
      </c>
      <c r="L5" s="221">
        <f>F5+F9+F13+F17</f>
        <v>52000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>
        <f>IF(DigitaTICA!C8&lt;&gt;"",DigitaTICA!C8,"")</f>
        <v>47100</v>
      </c>
      <c r="D7" s="42">
        <f>IF(C7="",0,C7*J$11)</f>
        <v>5652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41448</v>
      </c>
      <c r="I7" s="241" t="s">
        <v>96</v>
      </c>
      <c r="J7" s="223">
        <f>SUM(IF(C19="",0,C19),IF(C20="",0,C20))</f>
        <v>18700</v>
      </c>
      <c r="K7" s="227">
        <f>+D19+D20</f>
        <v>2244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55</v>
      </c>
      <c r="C9" s="29">
        <f>IF(DigitaNICA!E8&lt;&gt;"",DigitaNICA!E8,"")</f>
        <v>24500</v>
      </c>
      <c r="D9" s="42">
        <f>IF(C9="",0,C9*J$12)</f>
        <v>2940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21560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IF(DigitaTICA!E8&lt;&gt;"",DigitaTICA!E8,"")</f>
        <v>41800</v>
      </c>
      <c r="D11" s="42">
        <f>IF(C11="",0,C11*J$11)</f>
        <v>5016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36784</v>
      </c>
      <c r="I11" s="60" t="s">
        <v>36</v>
      </c>
      <c r="J11" s="61">
        <v>0.12</v>
      </c>
      <c r="K11" s="62">
        <f>MROUND(D7+D11+D15,50)</f>
        <v>15000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13750</v>
      </c>
    </row>
    <row r="13" spans="1:12" x14ac:dyDescent="0.35">
      <c r="A13" s="28" t="s">
        <v>50</v>
      </c>
      <c r="B13" s="132">
        <f>IF(DigitaNICA!G2&lt;&gt;"",DigitaNICA!G2,"")</f>
        <v>72</v>
      </c>
      <c r="C13" s="29">
        <f>IF(DigitaNICA!G8&lt;&gt;"",DigitaNICA!G8,"")</f>
        <v>8850</v>
      </c>
      <c r="D13" s="42">
        <f>IF(C13="",0,C13*J$12)</f>
        <v>1062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7788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2250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IF(DigitaTICA!G8&lt;&gt;"",DigitaTICA!G8,"")</f>
        <v>36150</v>
      </c>
      <c r="D15" s="42">
        <f>IF(C15="",0,C15*J$11)</f>
        <v>4338</v>
      </c>
      <c r="E15" s="29">
        <f>IF(DigitaTICA!H8&lt;&gt;"",DigitaTICA!H8,"")</f>
        <v>400</v>
      </c>
      <c r="F15" s="42">
        <f>IF(E15="",0,E15*PREMIOS!F15)</f>
        <v>34000</v>
      </c>
      <c r="G15" s="30">
        <f t="shared" si="4"/>
        <v>-2188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>
        <f>IF(DigitaNICA!I8&lt;&gt;"",DigitaNICA!I8,"")</f>
        <v>24950</v>
      </c>
      <c r="D17" s="42">
        <f>IF(C17="",0,C17*J$12)</f>
        <v>2994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21956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44</v>
      </c>
      <c r="C19" s="29">
        <f>IF(DigitaPRIMERA!C8&lt;&gt;"",DigitaPRIMERA!C8,"")</f>
        <v>13800</v>
      </c>
      <c r="D19" s="42">
        <f>IF(C19="",0,C19*J$14)</f>
        <v>1656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12144</v>
      </c>
    </row>
    <row r="20" spans="1:7" x14ac:dyDescent="0.35">
      <c r="A20" s="28" t="s">
        <v>98</v>
      </c>
      <c r="B20" s="132">
        <f>IF(DigitaPRIMERA!E2&lt;&gt;"",DigitaPRIMERA!E2,"")</f>
        <v>69</v>
      </c>
      <c r="C20" s="29">
        <f>IF(DigitaPRIMERA!E8&lt;&gt;"",DigitaPRIMERA!E8,"")</f>
        <v>4900</v>
      </c>
      <c r="D20" s="42">
        <f>IF(C20="",0,C20*J$14)</f>
        <v>588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4312</v>
      </c>
    </row>
    <row r="21" spans="1:7" ht="15" thickBot="1" x14ac:dyDescent="0.4">
      <c r="A21" s="121" t="s">
        <v>5</v>
      </c>
      <c r="B21" s="128"/>
      <c r="C21" s="122">
        <f>SUM(C5:C20)</f>
        <v>258300</v>
      </c>
      <c r="D21" s="122">
        <f t="shared" ref="D21:G21" si="5">SUM(D5:D20)</f>
        <v>30996</v>
      </c>
      <c r="E21" s="122">
        <f t="shared" si="5"/>
        <v>1050</v>
      </c>
      <c r="F21" s="122">
        <f t="shared" si="5"/>
        <v>86000</v>
      </c>
      <c r="G21" s="123">
        <f t="shared" si="5"/>
        <v>141304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159</v>
      </c>
      <c r="C2" s="279"/>
      <c r="D2" s="280"/>
      <c r="J2" s="21" t="s">
        <v>147</v>
      </c>
    </row>
    <row r="3" spans="1:12" ht="15" thickBot="1" x14ac:dyDescent="0.4">
      <c r="I3" s="237"/>
      <c r="J3" s="243" t="s">
        <v>39</v>
      </c>
      <c r="K3" s="244" t="s">
        <v>141</v>
      </c>
      <c r="L3" s="245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2">
        <f>IF(DigitaNICA!C2&lt;&gt;"",DigitaNICA!C2,"")</f>
        <v>39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66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421850</v>
      </c>
      <c r="K4" s="230">
        <f t="shared" ref="K4" si="0">D7+D11+D15</f>
        <v>50622</v>
      </c>
      <c r="L4" s="219">
        <f>F7+F11+F15</f>
        <v>357000</v>
      </c>
    </row>
    <row r="5" spans="1:12" x14ac:dyDescent="0.35">
      <c r="A5" s="28" t="s">
        <v>43</v>
      </c>
      <c r="B5" s="132">
        <f>IF(DigitaNICA!C2&lt;&gt;"",DigitaNICA!C2,"")</f>
        <v>39</v>
      </c>
      <c r="C5" s="29">
        <f>IF(DigitaNICA!C10&lt;&gt;"",DigitaNICA!C10,"")</f>
        <v>104850</v>
      </c>
      <c r="D5" s="42">
        <f>IF(C5="",0,C5*J$15)</f>
        <v>12582</v>
      </c>
      <c r="E5" s="29">
        <f>IF(DigitaNICA!D10&lt;&gt;"",DigitaNICA!D10,"")</f>
        <v>600</v>
      </c>
      <c r="F5" s="42">
        <f>IF(E5="",0,E5*PREMIOS!F5)</f>
        <v>51000</v>
      </c>
      <c r="G5" s="30">
        <f t="shared" ref="G5:G12" si="1">IF(OR(C5="",E5=""),0,C5-D5-F5)</f>
        <v>41268</v>
      </c>
      <c r="I5" s="216" t="s">
        <v>37</v>
      </c>
      <c r="J5" s="220">
        <f>SUM(IF(C5="",0,C5),IF(C9="",0,C9),IF(C13="",0,C13),IF(C17="",0,C17))</f>
        <v>306450</v>
      </c>
      <c r="K5" s="224">
        <f t="shared" ref="K5" si="2">D5+D9+D13+D17</f>
        <v>36774</v>
      </c>
      <c r="L5" s="221">
        <f>F5+F9+F13+F17</f>
        <v>187000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72400</v>
      </c>
      <c r="K6" s="225">
        <f t="shared" ref="K6" si="3">+D8+D12+D16</f>
        <v>7240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82</v>
      </c>
      <c r="C7" s="29">
        <f>IF(DigitaTICA!C10&lt;&gt;"",DigitaTICA!C10,"")</f>
        <v>154850</v>
      </c>
      <c r="D7" s="42">
        <f>IF(C7="",0,C7*J$14)</f>
        <v>18582</v>
      </c>
      <c r="E7" s="29">
        <f>IF(DigitaTICA!D10&lt;&gt;"",DigitaTICA!D10,"")</f>
        <v>100</v>
      </c>
      <c r="F7" s="42">
        <f>IF(E7="",0,E7*PREMIOS!F7)</f>
        <v>8500</v>
      </c>
      <c r="G7" s="30">
        <f t="shared" si="1"/>
        <v>127768</v>
      </c>
      <c r="I7" s="216" t="s">
        <v>96</v>
      </c>
      <c r="J7" s="222">
        <f>SUM(IF(C19="",0,C19),IF(C20="",0,C20))</f>
        <v>43300</v>
      </c>
      <c r="K7" s="225">
        <f>+D19+D20</f>
        <v>5196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16300</v>
      </c>
      <c r="D8" s="42">
        <f>IF(C8="",0,C8*J$16)</f>
        <v>1630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14670</v>
      </c>
      <c r="I8" s="216" t="s">
        <v>104</v>
      </c>
      <c r="J8" s="222">
        <f>SUM(IF(C21="",0,C21),IF(C22="",0,C22),IF(C23="",0,C23))</f>
        <v>19250</v>
      </c>
      <c r="K8" s="225">
        <f t="shared" ref="K8" si="4">D21+D22+D23</f>
        <v>2310</v>
      </c>
      <c r="L8" s="226">
        <f>F21+F22+F23</f>
        <v>25500</v>
      </c>
    </row>
    <row r="9" spans="1:12" x14ac:dyDescent="0.35">
      <c r="A9" s="28" t="s">
        <v>48</v>
      </c>
      <c r="B9" s="132">
        <f>IF(DigitaNICA!E2&lt;&gt;"",DigitaNICA!E2,"")</f>
        <v>55</v>
      </c>
      <c r="C9" s="29">
        <f>IF(DigitaNICA!E10&lt;&gt;"",DigitaNICA!E10,"")</f>
        <v>65650</v>
      </c>
      <c r="D9" s="42">
        <f>IF(C9="",0,C9*J$15)</f>
        <v>7878</v>
      </c>
      <c r="E9" s="29">
        <f>IF(DigitaNICA!F10&lt;&gt;"",DigitaNICA!F10,"")</f>
        <v>650</v>
      </c>
      <c r="F9" s="42">
        <f>IF(E9="",0,E9*PREMIOS!F9)</f>
        <v>55250</v>
      </c>
      <c r="G9" s="30">
        <f t="shared" si="1"/>
        <v>2522</v>
      </c>
      <c r="I9" s="216" t="s">
        <v>20</v>
      </c>
      <c r="J9" s="222">
        <f>SUM(IF(C24="",0,C24),IF(C25="",0,C25))</f>
        <v>5000</v>
      </c>
      <c r="K9" s="225">
        <f t="shared" ref="K9" si="5">+D24+D25</f>
        <v>600</v>
      </c>
      <c r="L9" s="226">
        <f>F24+F25</f>
        <v>212500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IF(DigitaTICA!E10&lt;&gt;"",DigitaTICA!E10,"")</f>
        <v>119200</v>
      </c>
      <c r="D11" s="42">
        <f>IF(C11="",0,C11*J$14)</f>
        <v>14304</v>
      </c>
      <c r="E11" s="29">
        <f>IF(DigitaTICA!F10&lt;&gt;"",DigitaTICA!F10,"")</f>
        <v>4100</v>
      </c>
      <c r="F11" s="42">
        <f>IF(E11="",0,E11*PREMIOS!F11)</f>
        <v>348500</v>
      </c>
      <c r="G11" s="30">
        <f t="shared" si="1"/>
        <v>-243604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22650</v>
      </c>
      <c r="D12" s="42">
        <f>IF(C12="",0,C12*J$16)</f>
        <v>2265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20385</v>
      </c>
    </row>
    <row r="13" spans="1:12" ht="15" thickBot="1" x14ac:dyDescent="0.4">
      <c r="A13" s="28" t="s">
        <v>50</v>
      </c>
      <c r="B13" s="132">
        <f>IF(DigitaNICA!G2&lt;&gt;"",DigitaNICA!G2,"")</f>
        <v>72</v>
      </c>
      <c r="C13" s="29">
        <f>IF(DigitaNICA!G10&lt;&gt;"",DigitaNICA!G10,"")</f>
        <v>52700</v>
      </c>
      <c r="D13" s="42">
        <f>IF(C13="",0,C13*J$15)</f>
        <v>6324</v>
      </c>
      <c r="E13" s="29">
        <f>IF(DigitaNICA!H10&lt;&gt;"",DigitaNICA!H10,"")</f>
        <v>350</v>
      </c>
      <c r="F13" s="42">
        <f>IF(E13="",0,E13*PREMIOS!F13)</f>
        <v>29750</v>
      </c>
      <c r="G13" s="30">
        <f>IF(OR(C13="",E13=""),0,C13-D13-F13)</f>
        <v>16626</v>
      </c>
      <c r="I13" s="278" t="s">
        <v>34</v>
      </c>
      <c r="J13" s="278"/>
      <c r="K13" s="278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50600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IF(DigitaTICA!G10&lt;&gt;"",DigitaTICA!G10,"")</f>
        <v>147800</v>
      </c>
      <c r="D15" s="42">
        <f>IF(C15="",0,C15*J$14)</f>
        <v>17736</v>
      </c>
      <c r="E15" s="29">
        <f>IF(DigitaTICA!H10&lt;&gt;"",DigitaTICA!H10,"")</f>
        <v>0</v>
      </c>
      <c r="F15" s="42">
        <f>IF(E15="",0,E15*PREMIOS!F15)</f>
        <v>0</v>
      </c>
      <c r="G15" s="30">
        <f t="shared" si="6"/>
        <v>130064</v>
      </c>
      <c r="I15" s="63" t="s">
        <v>37</v>
      </c>
      <c r="J15" s="64">
        <v>0.12</v>
      </c>
      <c r="K15" s="30">
        <f>MROUND(D5+D9+D13+D17,50)</f>
        <v>36750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33450</v>
      </c>
      <c r="D16" s="42">
        <f>IF(C16="",0,C16*J$16)</f>
        <v>3345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30105</v>
      </c>
      <c r="I16" s="63" t="s">
        <v>38</v>
      </c>
      <c r="J16" s="64">
        <v>0.1</v>
      </c>
      <c r="K16" s="30">
        <f>MROUND(D6+D8+D10+D12+D14+D16+D18,50)</f>
        <v>7250</v>
      </c>
    </row>
    <row r="17" spans="1:11" x14ac:dyDescent="0.35">
      <c r="A17" s="28" t="s">
        <v>52</v>
      </c>
      <c r="B17" s="132">
        <f>IF(DigitaNICA!I2&lt;&gt;"",DigitaNICA!I2,"")</f>
        <v>25</v>
      </c>
      <c r="C17" s="29">
        <f>IF(DigitaNICA!I10&lt;&gt;"",DigitaNICA!I10,"")</f>
        <v>83250</v>
      </c>
      <c r="D17" s="42">
        <f>IF(C17="",0,C17*J$15)</f>
        <v>9990</v>
      </c>
      <c r="E17" s="29">
        <f>IF(DigitaNICA!J10&lt;&gt;"",DigitaNICA!J10,"")</f>
        <v>600</v>
      </c>
      <c r="F17" s="42">
        <f>IF(E17="",0,E17*PREMIOS!F17)</f>
        <v>51000</v>
      </c>
      <c r="G17" s="30">
        <f t="shared" si="6"/>
        <v>22260</v>
      </c>
      <c r="I17" s="63" t="s">
        <v>96</v>
      </c>
      <c r="J17" s="64">
        <v>0.12</v>
      </c>
      <c r="K17" s="30">
        <f>MROUND(D19+D20,50)</f>
        <v>5200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2300</v>
      </c>
    </row>
    <row r="19" spans="1:11" x14ac:dyDescent="0.35">
      <c r="A19" s="28" t="s">
        <v>97</v>
      </c>
      <c r="B19" s="132">
        <f>IF(DigitaPRIMERA!C2&lt;&gt;"",DigitaPRIMERA!C2,"")</f>
        <v>44</v>
      </c>
      <c r="C19" s="29">
        <f>IF(DigitaPRIMERA!$C$10&lt;&gt;"",DigitaPRIMERA!$C$10,"")</f>
        <v>22550</v>
      </c>
      <c r="D19" s="42">
        <f>IF(C19="",0,C19*J$17)</f>
        <v>2706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19844</v>
      </c>
      <c r="I19" s="63" t="s">
        <v>20</v>
      </c>
      <c r="J19" s="64">
        <v>0.12</v>
      </c>
      <c r="K19" s="30">
        <f>MROUND(D24+D25,50)</f>
        <v>600</v>
      </c>
    </row>
    <row r="20" spans="1:11" ht="15" thickBot="1" x14ac:dyDescent="0.4">
      <c r="A20" s="28" t="s">
        <v>98</v>
      </c>
      <c r="B20" s="132">
        <f>IF(DigitaPRIMERA!E2&lt;&gt;"",DigitaPRIMERA!E2,"")</f>
        <v>69</v>
      </c>
      <c r="C20" s="29">
        <f>IF(DigitaPRIMERA!$E$10&lt;&gt;"",DigitaPRIMERA!$E$10,"")</f>
        <v>20750</v>
      </c>
      <c r="D20" s="42">
        <f>IF(C20="",0,C20*J$17)</f>
        <v>2490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18260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73</v>
      </c>
      <c r="C21" s="29">
        <f>IF(DigitaHONDURAS!$C$10&lt;&gt;"",DigitaHONDURAS!$C$10,"")</f>
        <v>2700</v>
      </c>
      <c r="D21" s="42">
        <f>IF(C21="",0,C21*J$18)</f>
        <v>324</v>
      </c>
      <c r="E21" s="29">
        <f>IF(DigitaHONDURAS!$D$10&lt;&gt;"",DigitaHONDURAS!$D$10,"")</f>
        <v>300</v>
      </c>
      <c r="F21" s="42">
        <f>IF(E21="",0,E21*PREMIOS!F20)</f>
        <v>25500</v>
      </c>
      <c r="G21" s="30">
        <f t="shared" si="7"/>
        <v>-23124</v>
      </c>
    </row>
    <row r="22" spans="1:11" x14ac:dyDescent="0.35">
      <c r="A22" s="28" t="s">
        <v>100</v>
      </c>
      <c r="B22" s="132">
        <f>IF(DigitaHONDURAS!E2&lt;&gt;"",DigitaHONDURAS!E2,"")</f>
        <v>87</v>
      </c>
      <c r="C22" s="29">
        <f>IF(DigitaHONDURAS!$E$10&lt;&gt;"",DigitaHONDURAS!$E$10,"")</f>
        <v>9300</v>
      </c>
      <c r="D22" s="42">
        <f>IF(C22="",0,C22*J$18)</f>
        <v>1116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8184</v>
      </c>
    </row>
    <row r="23" spans="1:11" x14ac:dyDescent="0.35">
      <c r="A23" s="28" t="s">
        <v>101</v>
      </c>
      <c r="B23" s="132" t="str">
        <f>IF(DigitaHONDURAS!G2&lt;&gt;"",DigitaHONDURAS!G2,"")</f>
        <v>02</v>
      </c>
      <c r="C23" s="29">
        <f>IF(DigitaHONDURAS!$G$10&lt;&gt;"",DigitaHONDURAS!$G$10,"")</f>
        <v>7250</v>
      </c>
      <c r="D23" s="42">
        <f>IF(C23="",0,C23*J$18)</f>
        <v>870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6380</v>
      </c>
    </row>
    <row r="24" spans="1:11" x14ac:dyDescent="0.35">
      <c r="A24" s="28" t="s">
        <v>107</v>
      </c>
      <c r="B24" s="132" t="str">
        <f>IF(DigitaDOMINICANA!C2&lt;&gt;"",DigitaDOMINICANA!C2,"")</f>
        <v>01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>
        <f>IF(DigitaDOMINICANA!E2&lt;&gt;"",DigitaDOMINICANA!E2,"")</f>
        <v>31</v>
      </c>
      <c r="C25" s="29">
        <f>IF(DigitaDOMINICANA!$E$10&lt;&gt;"",DigitaDOMINICANA!$E$10,"")</f>
        <v>5000</v>
      </c>
      <c r="D25" s="42">
        <f>IF(C25="",0,C25*J$19)</f>
        <v>600</v>
      </c>
      <c r="E25" s="29">
        <f>IF(DigitaDOMINICANA!$F$10&lt;&gt;"",DigitaDOMINICANA!$F$10,"")</f>
        <v>2500</v>
      </c>
      <c r="F25" s="42">
        <f>IF(E25="",0,E25*PREMIOS!F21)</f>
        <v>212500</v>
      </c>
      <c r="G25" s="30">
        <f t="shared" si="8"/>
        <v>-208100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868250</v>
      </c>
      <c r="D27" s="68">
        <f t="shared" ref="D27:F27" si="9">SUM(D5:D26)</f>
        <v>102742</v>
      </c>
      <c r="E27" s="68">
        <f t="shared" si="9"/>
        <v>9200</v>
      </c>
      <c r="F27" s="68">
        <f t="shared" si="9"/>
        <v>782000</v>
      </c>
      <c r="G27" s="88">
        <f>SUM(G5:G26)</f>
        <v>-16492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19700</v>
      </c>
      <c r="K4" s="230">
        <f t="shared" ref="K4" si="0">D7+D11+D15</f>
        <v>2364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>
        <f>IF(DigitaTICA!C11&lt;&gt;"",DigitaTICA!C11,"")</f>
        <v>4000</v>
      </c>
      <c r="D7" s="42">
        <f>IF(C7="",0,C7*J$11)</f>
        <v>480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3520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66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2350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IF(DigitaTICA!G11&lt;&gt;"",DigitaTICA!G11,"")</f>
        <v>15700</v>
      </c>
      <c r="D15" s="42">
        <f>IF(C15="",0,C15*J$11)</f>
        <v>1884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13816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19700</v>
      </c>
      <c r="D21" s="122">
        <f t="shared" ref="D21:G21" si="5">SUM(D5:D20)</f>
        <v>2364</v>
      </c>
      <c r="E21" s="122">
        <f t="shared" si="5"/>
        <v>0</v>
      </c>
      <c r="F21" s="122">
        <f t="shared" si="5"/>
        <v>0</v>
      </c>
      <c r="G21" s="123">
        <f t="shared" si="5"/>
        <v>17336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30"/>
  <sheetViews>
    <sheetView showGridLines="0" topLeftCell="A10" zoomScale="90" zoomScaleNormal="90" workbookViewId="0">
      <selection activeCell="G31" sqref="G31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47250</v>
      </c>
      <c r="K4" s="230">
        <f>D7+D11+D15</f>
        <v>5670</v>
      </c>
      <c r="L4" s="219">
        <f>F7+F11+F15</f>
        <v>85000</v>
      </c>
    </row>
    <row r="5" spans="1:12" x14ac:dyDescent="0.35">
      <c r="A5" s="28" t="s">
        <v>43</v>
      </c>
      <c r="B5" s="132">
        <f>IF(DigitaNICA!C2&lt;&gt;"",DigitaNICA!C2,"")</f>
        <v>39</v>
      </c>
      <c r="C5" s="29">
        <f>IF(DigitaNICA!C12&lt;&gt;"",DigitaNICA!C12,"")</f>
        <v>13100</v>
      </c>
      <c r="D5" s="42">
        <f>IF(C5="",0,C5*J$12)</f>
        <v>1572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11528</v>
      </c>
      <c r="I5" s="216" t="s">
        <v>37</v>
      </c>
      <c r="J5" s="220">
        <f>SUM(IF(C5="",0,C5),IF(C9="",0,C9),IF(C13="",0,C13),IF(C17="",0,C17))</f>
        <v>25500</v>
      </c>
      <c r="K5" s="224">
        <f t="shared" ref="K5" si="1">D5+D9+D13+D17</f>
        <v>3060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1300</v>
      </c>
      <c r="K6" s="225">
        <f t="shared" ref="K6" si="2">+D8+D12+D16</f>
        <v>130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82</v>
      </c>
      <c r="C7" s="29">
        <f>IF(DigitaTICA!C12&lt;&gt;"",DigitaTICA!C12,"")</f>
        <v>24100</v>
      </c>
      <c r="D7" s="42">
        <f>IF(C7="",0,C7*J$11)</f>
        <v>2892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21208</v>
      </c>
      <c r="I7" s="216" t="s">
        <v>96</v>
      </c>
      <c r="J7" s="222">
        <f>SUM(IF(C19="",0,C19),IF(C20="",0,C20))</f>
        <v>40500</v>
      </c>
      <c r="K7" s="225">
        <f>+D19+D20</f>
        <v>4860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200</v>
      </c>
      <c r="D8" s="42">
        <f>IF(C8="",0,C8*J$13)</f>
        <v>20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180</v>
      </c>
      <c r="I8" s="217" t="s">
        <v>104</v>
      </c>
      <c r="J8" s="223">
        <f>SUM(IF(C21="",0,C21),IF(C22="",0,C22),IF(C23="",0,C23))</f>
        <v>0</v>
      </c>
      <c r="K8" s="227">
        <f>+D21+D22+D23</f>
        <v>0</v>
      </c>
      <c r="L8" s="228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55</v>
      </c>
      <c r="C9" s="29">
        <f>IF(DigitaNICA!E12&lt;&gt;"",DigitaNICA!E12,"")</f>
        <v>12400</v>
      </c>
      <c r="D9" s="42">
        <f>IF(C9="",0,C9*J$12)</f>
        <v>1488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10912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IF(DigitaTICA!E12&lt;&gt;"",DigitaTICA!E12,"")</f>
        <v>16700</v>
      </c>
      <c r="D11" s="42">
        <f>IF(C11="",0,C11*J$11)</f>
        <v>2004</v>
      </c>
      <c r="E11" s="29">
        <f>IF(DigitaTICA!F12&lt;&gt;"",DigitaTICA!F12,"")</f>
        <v>1000</v>
      </c>
      <c r="F11" s="42">
        <f>IF(E11="",0,E11*PREMIOS!F11)</f>
        <v>85000</v>
      </c>
      <c r="G11" s="30">
        <f t="shared" si="0"/>
        <v>-70304</v>
      </c>
      <c r="I11" s="60" t="s">
        <v>36</v>
      </c>
      <c r="J11" s="61">
        <v>0.12</v>
      </c>
      <c r="K11" s="62">
        <f>MROUND(D7+D11+D15,50)</f>
        <v>5650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1100</v>
      </c>
      <c r="D12" s="42">
        <f>IF(C12="",0,C12*J$13)</f>
        <v>110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990</v>
      </c>
      <c r="I12" s="63" t="s">
        <v>37</v>
      </c>
      <c r="J12" s="64">
        <v>0.12</v>
      </c>
      <c r="K12" s="30">
        <f>MROUND(D5+D9+D13+D17,50)</f>
        <v>3050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4850</v>
      </c>
    </row>
    <row r="15" spans="1:12" ht="15" thickBot="1" x14ac:dyDescent="0.4">
      <c r="A15" s="28" t="s">
        <v>61</v>
      </c>
      <c r="B15" s="132">
        <f>IF(DigitaTICA!G2&lt;&gt;"",DigitaTICA!G2,"")</f>
        <v>96</v>
      </c>
      <c r="C15" s="29">
        <f>IF(DigitaTICA!G12&lt;&gt;"",DigitaTICA!G12,"")</f>
        <v>6450</v>
      </c>
      <c r="D15" s="42">
        <f>IF(C15="",0,C15*J$11)</f>
        <v>774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5676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44</v>
      </c>
      <c r="C19" s="29">
        <f>IF(DigitaPRIMERA!$C$12&lt;&gt;"",DigitaPRIMERA!$C$12,"")</f>
        <v>36400</v>
      </c>
      <c r="D19" s="42">
        <f>IF(C19="",0,C19*J$14)</f>
        <v>4368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32032</v>
      </c>
    </row>
    <row r="20" spans="1:7" x14ac:dyDescent="0.35">
      <c r="A20" s="28" t="s">
        <v>98</v>
      </c>
      <c r="B20" s="132">
        <f>IF(DigitaPRIMERA!E2&lt;&gt;"",DigitaPRIMERA!E2,"")</f>
        <v>69</v>
      </c>
      <c r="C20" s="29">
        <f>IF(DigitaPRIMERA!$E$12&lt;&gt;"",DigitaPRIMERA!$E$12,"")</f>
        <v>4100</v>
      </c>
      <c r="D20" s="42">
        <f>IF(C20="",0,C20*J$14)</f>
        <v>492</v>
      </c>
      <c r="E20" s="29">
        <f>IF(DigitaPRIMERA!$F$12&lt;&gt;"",DigitaPRIMERA!$F$12,"")</f>
        <v>0</v>
      </c>
      <c r="F20" s="42">
        <f>IF(E20="",0,E20*PREMIOS!F19)</f>
        <v>0</v>
      </c>
      <c r="G20" s="30">
        <f t="shared" si="3"/>
        <v>3608</v>
      </c>
    </row>
    <row r="21" spans="1:7" x14ac:dyDescent="0.35">
      <c r="A21" s="28" t="s">
        <v>99</v>
      </c>
      <c r="B21" s="132">
        <f>IF(DigitaHONDURAS!C2&lt;&gt;"",DigitaHONDURAS!C2,"")</f>
        <v>73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87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114550</v>
      </c>
      <c r="D24" s="68">
        <f t="shared" ref="D24:G24" si="4">SUM(D5:D23)</f>
        <v>13720</v>
      </c>
      <c r="E24" s="68">
        <f t="shared" si="4"/>
        <v>1000</v>
      </c>
      <c r="F24" s="68">
        <f t="shared" si="4"/>
        <v>85000</v>
      </c>
      <c r="G24" s="88">
        <f t="shared" si="4"/>
        <v>15830</v>
      </c>
    </row>
    <row r="27" spans="1:7" x14ac:dyDescent="0.35">
      <c r="G27" s="21">
        <v>553324</v>
      </c>
    </row>
    <row r="28" spans="1:7" x14ac:dyDescent="0.35">
      <c r="G28" s="140">
        <f>+G24+G27</f>
        <v>569154</v>
      </c>
    </row>
    <row r="29" spans="1:7" x14ac:dyDescent="0.35">
      <c r="G29" s="21">
        <f>150000+100000</f>
        <v>250000</v>
      </c>
    </row>
    <row r="30" spans="1:7" x14ac:dyDescent="0.35">
      <c r="G30" s="140">
        <f>+G28-G29</f>
        <v>319154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57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60150</v>
      </c>
      <c r="K4" s="230">
        <f t="shared" ref="K4" si="0">D7+D11+D15</f>
        <v>7218</v>
      </c>
      <c r="L4" s="219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39</v>
      </c>
      <c r="C5" s="29">
        <f>IF(DigitaNICA!C13&lt;&gt;"",DigitaNICA!C13,"")</f>
        <v>10100</v>
      </c>
      <c r="D5" s="42">
        <f>IF(C5="",0,C5*J$10)</f>
        <v>1212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8888</v>
      </c>
      <c r="I5" s="217" t="s">
        <v>37</v>
      </c>
      <c r="J5" s="231">
        <f>SUM(IF(C5="",0,C5),IF(C9="",0,C9),IF(C13="",0,C13),IF(C17="",0,C17))</f>
        <v>22400</v>
      </c>
      <c r="K5" s="232">
        <f t="shared" ref="K5" si="2">D5+D9+D13+D17</f>
        <v>2688</v>
      </c>
      <c r="L5" s="233">
        <f>F5+F9+F13+F17</f>
        <v>24000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>
        <f>IF(DigitaTICA!C13&lt;&gt;"",DigitaTICA!C13,"")</f>
        <v>18200</v>
      </c>
      <c r="D7" s="42">
        <f>IF(C7="",0,C7*J$9)</f>
        <v>2184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16016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55</v>
      </c>
      <c r="C9" s="29">
        <f>IF(DigitaNICA!E13&lt;&gt;"",DigitaNICA!E13,"")</f>
        <v>5300</v>
      </c>
      <c r="D9" s="42">
        <f>IF(C9="",0,C9*J$10)</f>
        <v>636</v>
      </c>
      <c r="E9" s="29">
        <f>IF(DigitaNICA!F13&lt;&gt;"",DigitaNICA!F13,"")</f>
        <v>300</v>
      </c>
      <c r="F9" s="133">
        <f>IF(E9="",0,E9*PREMIOS!E9)</f>
        <v>24000</v>
      </c>
      <c r="G9" s="30">
        <f t="shared" si="1"/>
        <v>-19336</v>
      </c>
      <c r="I9" s="60" t="s">
        <v>36</v>
      </c>
      <c r="J9" s="61">
        <v>0.12</v>
      </c>
      <c r="K9" s="62">
        <f>MROUND(D7+D11+D15,50)</f>
        <v>7200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2700</v>
      </c>
    </row>
    <row r="11" spans="1:12" ht="15" thickBot="1" x14ac:dyDescent="0.4">
      <c r="A11" s="28" t="s">
        <v>59</v>
      </c>
      <c r="B11" s="132">
        <f>IF(DigitaTICA!E2&lt;&gt;"",DigitaTICA!E2,"")</f>
        <v>66</v>
      </c>
      <c r="C11" s="29">
        <f>IF(DigitaTICA!E13&lt;&gt;"",DigitaTICA!E13,"")</f>
        <v>15300</v>
      </c>
      <c r="D11" s="42">
        <f>IF(C11="",0,C11*J$9)</f>
        <v>1836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13464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29">
        <f>IF(DigitaNICA!G13&lt;&gt;"",DigitaNICA!G13,"")</f>
        <v>4300</v>
      </c>
      <c r="D13" s="42">
        <f>IF(C13="",0,C13*J$10)</f>
        <v>516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3784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IF(DigitaTICA!G13&lt;&gt;"",DigitaTICA!G13,"")</f>
        <v>26650</v>
      </c>
      <c r="D15" s="42">
        <f>IF(C15="",0,C15*J$9)</f>
        <v>3198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23452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>
        <f>IF(DigitaNICA!I13&lt;&gt;"",DigitaNICA!I13,"")</f>
        <v>2700</v>
      </c>
      <c r="D17" s="42">
        <f>IF(C17="",0,C17*J$10)</f>
        <v>324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2376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82550</v>
      </c>
      <c r="D19" s="68">
        <f>MROUND(SUM(D5:D18),50)</f>
        <v>9900</v>
      </c>
      <c r="E19" s="68">
        <f>SUM(E5:E18)</f>
        <v>300</v>
      </c>
      <c r="F19" s="68">
        <f>SUM(F5:F18)</f>
        <v>24000</v>
      </c>
      <c r="G19" s="88">
        <f>SUM(G5:G18)</f>
        <v>48644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54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53200</v>
      </c>
      <c r="K4" s="235">
        <f t="shared" ref="K4" si="0">D7+D11+D15</f>
        <v>7980</v>
      </c>
      <c r="L4" s="236">
        <f>F7+F11+F15</f>
        <v>0</v>
      </c>
    </row>
    <row r="5" spans="1:12" x14ac:dyDescent="0.35">
      <c r="A5" s="28" t="s">
        <v>43</v>
      </c>
      <c r="B5" s="132">
        <f>IF(DigitaNICA!C2&lt;&gt;"",DigitaNICA!C2,"")</f>
        <v>39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>
        <f>IF(DigitaTICA!C14&lt;&gt;"",DigitaTICA!C14,"")</f>
        <v>22950</v>
      </c>
      <c r="D7" s="42">
        <f>IF(C7="",0,C7*J$9)</f>
        <v>3442.5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19507.5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55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8000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66</v>
      </c>
      <c r="C11" s="29">
        <f>IF(DigitaTICA!E14&lt;&gt;"",DigitaTICA!E14,"")</f>
        <v>9350</v>
      </c>
      <c r="D11" s="42">
        <f>IF(C11="",0,C11*J$9)</f>
        <v>1402.5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7947.5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IF(DigitaTICA!G14&lt;&gt;"",DigitaTICA!G14,"")</f>
        <v>20900</v>
      </c>
      <c r="D15" s="42">
        <f>IF(C15="",0,C15*J$9)</f>
        <v>3135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17765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53200</v>
      </c>
      <c r="D19" s="68">
        <f>MROUND(SUM(D5:D18),50)</f>
        <v>8000</v>
      </c>
      <c r="E19" s="68">
        <f>SUM(E5:E18)</f>
        <v>0</v>
      </c>
      <c r="F19" s="68">
        <f>SUM(F5:F18)</f>
        <v>0</v>
      </c>
      <c r="G19" s="88">
        <f>SUM(G5:G18)</f>
        <v>45220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55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82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55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86200</v>
      </c>
      <c r="K4" s="230">
        <f>D7+D11+D15</f>
        <v>10344</v>
      </c>
      <c r="L4" s="219">
        <f>F7+F11+F15</f>
        <v>80750</v>
      </c>
    </row>
    <row r="5" spans="1:12" x14ac:dyDescent="0.35">
      <c r="A5" s="28" t="s">
        <v>43</v>
      </c>
      <c r="B5" s="132">
        <f>IF(DigitaNICA!C2&lt;&gt;"",DigitaNICA!C2,"")</f>
        <v>39</v>
      </c>
      <c r="C5" s="29">
        <f>IF(DigitaNICA!C16&lt;&gt;"",DigitaNICA!C16,"")</f>
        <v>13800</v>
      </c>
      <c r="D5" s="42">
        <f>IF(C5="",0,C5*J$12)</f>
        <v>1656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12144</v>
      </c>
      <c r="I5" s="63" t="s">
        <v>37</v>
      </c>
      <c r="J5" s="224">
        <f>SUM(IF(C5="",0,C5),IF(C9="",0,C9),IF(C13="",0,C13),IF(C17="",0,C17))</f>
        <v>29900</v>
      </c>
      <c r="K5" s="224">
        <f t="shared" ref="K5" si="1">D5+D9+D13+D17</f>
        <v>3588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5500</v>
      </c>
      <c r="K6" s="225">
        <f t="shared" ref="K6" si="2">+D8+D12+D16</f>
        <v>550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82</v>
      </c>
      <c r="C7" s="29">
        <f>IF(DigitaTICA!C16&lt;&gt;"",DigitaTICA!C16,"")</f>
        <v>23500</v>
      </c>
      <c r="D7" s="42">
        <f>IF(C7="",0,C7*J$11)</f>
        <v>2820</v>
      </c>
      <c r="E7" s="29">
        <f>IF(DigitaTICA!D16&lt;&gt;"",DigitaTICA!D16,"")</f>
        <v>450</v>
      </c>
      <c r="F7" s="133">
        <f>IF(E7="",0,E7*PREMIOS!F7)</f>
        <v>38250</v>
      </c>
      <c r="G7" s="30">
        <f t="shared" si="0"/>
        <v>-17570</v>
      </c>
      <c r="I7" s="63" t="s">
        <v>96</v>
      </c>
      <c r="J7" s="225">
        <f>SUM(IF(C19="",0,C19),IF(C20="",0,C20))</f>
        <v>12000</v>
      </c>
      <c r="K7" s="225">
        <f>+D19+D20</f>
        <v>1440</v>
      </c>
      <c r="L7" s="226">
        <f>+F19+F20</f>
        <v>40000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2000</v>
      </c>
      <c r="D8" s="42">
        <f>IF(C8="",0,C8*J$13)</f>
        <v>200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1800</v>
      </c>
      <c r="I8" s="65" t="s">
        <v>104</v>
      </c>
      <c r="J8" s="227">
        <f>SUM(IF(C21="",0,C21),IF(C22="",0,C22),IF(C23="",0,C23))</f>
        <v>0</v>
      </c>
      <c r="K8" s="227">
        <f>D21+D22+D23</f>
        <v>0</v>
      </c>
      <c r="L8" s="228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55</v>
      </c>
      <c r="C9" s="29">
        <f>IF(DigitaNICA!E16&lt;&gt;"",DigitaNICA!E16,"")</f>
        <v>3700</v>
      </c>
      <c r="D9" s="42">
        <f>IF(C9="",0,C9*J$12)</f>
        <v>444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3256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IF(DigitaTICA!E16&lt;&gt;"",DigitaTICA!E16,"")</f>
        <v>21200</v>
      </c>
      <c r="D11" s="42">
        <f>IF(C11="",0,C11*J$11)</f>
        <v>2544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18656</v>
      </c>
      <c r="I11" s="76" t="s">
        <v>36</v>
      </c>
      <c r="J11" s="77">
        <v>0.12</v>
      </c>
      <c r="K11" s="78">
        <f>MROUND(D7+D11+D15,50)</f>
        <v>10350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3600</v>
      </c>
    </row>
    <row r="13" spans="1:12" x14ac:dyDescent="0.35">
      <c r="A13" s="28" t="s">
        <v>50</v>
      </c>
      <c r="B13" s="132">
        <f>IF(DigitaNICA!G2&lt;&gt;"",DigitaNICA!G2,"")</f>
        <v>72</v>
      </c>
      <c r="C13" s="29">
        <f>IF(DigitaNICA!G16&lt;&gt;"",DigitaNICA!G16,"")</f>
        <v>10400</v>
      </c>
      <c r="D13" s="42">
        <f>IF(C13="",0,C13*J$12)</f>
        <v>1248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9152</v>
      </c>
      <c r="I13" s="63" t="s">
        <v>38</v>
      </c>
      <c r="J13" s="64">
        <v>0.1</v>
      </c>
      <c r="K13" s="30">
        <f>MROUND(D6+D8+D10+D12+D14+D16+D18,50)</f>
        <v>550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1450</v>
      </c>
    </row>
    <row r="15" spans="1:12" ht="15" thickBot="1" x14ac:dyDescent="0.4">
      <c r="A15" s="28" t="s">
        <v>61</v>
      </c>
      <c r="B15" s="132">
        <f>IF(DigitaTICA!G2&lt;&gt;"",DigitaTICA!G2,"")</f>
        <v>96</v>
      </c>
      <c r="C15" s="29">
        <f>IF(DigitaTICA!G16&lt;&gt;"",DigitaTICA!G16,"")</f>
        <v>41500</v>
      </c>
      <c r="D15" s="42">
        <f>IF(C15="",0,C15*J$11)</f>
        <v>4980</v>
      </c>
      <c r="E15" s="29">
        <f>IF(DigitaTICA!H16&lt;&gt;"",DigitaTICA!H16,"")</f>
        <v>500</v>
      </c>
      <c r="F15" s="133">
        <f>IF(E15="",0,E15*PREMIOS!F15)</f>
        <v>42500</v>
      </c>
      <c r="G15" s="30">
        <f t="shared" si="3"/>
        <v>-5980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3500</v>
      </c>
      <c r="D16" s="42">
        <f>IF(C16="",0,C16*J$13)</f>
        <v>350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3150</v>
      </c>
    </row>
    <row r="17" spans="1:7" x14ac:dyDescent="0.35">
      <c r="A17" s="28" t="s">
        <v>52</v>
      </c>
      <c r="B17" s="132">
        <f>IF(DigitaNICA!I2&lt;&gt;"",DigitaNICA!I2,"")</f>
        <v>25</v>
      </c>
      <c r="C17" s="29">
        <f>IF(DigitaNICA!I16&lt;&gt;"",DigitaNICA!I16,"")</f>
        <v>2000</v>
      </c>
      <c r="D17" s="42">
        <f>IF(C17="",0,C17*J$12)</f>
        <v>240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1760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44</v>
      </c>
      <c r="C19" s="29">
        <f>IF(DigitaPRIMERA!C16&lt;&gt;"",DigitaPRIMERA!C16,"")</f>
        <v>4400</v>
      </c>
      <c r="D19" s="42">
        <f>IF(C19="",0,C19*J$14)</f>
        <v>528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3872</v>
      </c>
    </row>
    <row r="20" spans="1:7" x14ac:dyDescent="0.35">
      <c r="A20" s="28" t="s">
        <v>98</v>
      </c>
      <c r="B20" s="132">
        <f>IF(DigitaPRIMERA!E2&lt;&gt;"",DigitaPRIMERA!E2,"")</f>
        <v>69</v>
      </c>
      <c r="C20" s="29">
        <f>IF(DigitaPRIMERA!E16&lt;&gt;"",DigitaPRIMERA!E16,"")</f>
        <v>7600</v>
      </c>
      <c r="D20" s="42">
        <f>IF(C20="",0,C20*J$14)</f>
        <v>912</v>
      </c>
      <c r="E20" s="29">
        <f>IF(DigitaPRIMERA!F16&lt;&gt;"",DigitaPRIMERA!F16,"")</f>
        <v>500</v>
      </c>
      <c r="F20" s="42">
        <f>IF(E20="",0,E20*PREMIOS!E19)</f>
        <v>40000</v>
      </c>
      <c r="G20" s="30">
        <f t="shared" si="3"/>
        <v>-33312</v>
      </c>
    </row>
    <row r="21" spans="1:7" x14ac:dyDescent="0.35">
      <c r="A21" s="28" t="s">
        <v>99</v>
      </c>
      <c r="B21" s="132">
        <f>IF(DigitaHONDURAS!C2&lt;&gt;"",DigitaHONDURAS!C2,"")</f>
        <v>73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87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02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133600</v>
      </c>
      <c r="D24" s="122">
        <f t="shared" ref="D24:G24" si="5">SUM(D5:D23)</f>
        <v>15922</v>
      </c>
      <c r="E24" s="122">
        <f t="shared" si="5"/>
        <v>1450</v>
      </c>
      <c r="F24" s="122">
        <f t="shared" si="5"/>
        <v>120750</v>
      </c>
      <c r="G24" s="123">
        <f t="shared" si="5"/>
        <v>-3072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91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374000</v>
      </c>
      <c r="K4" s="230">
        <f t="shared" ref="K4" si="0">D7+D11+D15</f>
        <v>44880</v>
      </c>
      <c r="L4" s="219">
        <f>F7+F11+F15</f>
        <v>148750</v>
      </c>
    </row>
    <row r="5" spans="1:12" x14ac:dyDescent="0.35">
      <c r="A5" s="28" t="s">
        <v>43</v>
      </c>
      <c r="B5" s="132">
        <f>IF(DigitaNICA!C2&lt;&gt;"",DigitaNICA!C2,"")</f>
        <v>39</v>
      </c>
      <c r="C5" s="89">
        <f>IF(DigitaNICA!C17&lt;&gt;"",DigitaNICA!C17,"")</f>
        <v>101050</v>
      </c>
      <c r="D5" s="42">
        <f>IF(C5="",0,C5*J$16)</f>
        <v>12126</v>
      </c>
      <c r="E5" s="89">
        <f>IF(DigitaNICA!D17&lt;&gt;"",DigitaNICA!D17,"")</f>
        <v>100</v>
      </c>
      <c r="F5" s="42">
        <f>IF(E5="",0,E5*PREMIOS!F5)</f>
        <v>8500</v>
      </c>
      <c r="G5" s="90">
        <f t="shared" ref="G5:G12" si="1">IF(OR(C5="",E5=""),0,C5-D5-F5)</f>
        <v>80424</v>
      </c>
      <c r="I5" s="216" t="s">
        <v>37</v>
      </c>
      <c r="J5" s="220">
        <f>SUM(IF(C5="",0,C5),IF(C9="",0,C9),IF(C13="",0,C13),IF(C17="",0,C17))</f>
        <v>370500</v>
      </c>
      <c r="K5" s="224">
        <f t="shared" ref="K5" si="2">D5+D9+D13+D17</f>
        <v>44460</v>
      </c>
      <c r="L5" s="221">
        <f>F5+F9+F13+F17</f>
        <v>1160250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66600</v>
      </c>
      <c r="K6" s="225">
        <f t="shared" ref="K6" si="3">+D8+D12+D16</f>
        <v>6660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82</v>
      </c>
      <c r="C7" s="89">
        <f>IF(DigitaTICA!C17&lt;&gt;"",DigitaTICA!C17,"")</f>
        <v>95050</v>
      </c>
      <c r="D7" s="42">
        <f>IF(C7="",0,C7*J$15)</f>
        <v>11406</v>
      </c>
      <c r="E7" s="89">
        <f>IF(DigitaTICA!D17&lt;&gt;"",DigitaTICA!D17,"")</f>
        <v>0</v>
      </c>
      <c r="F7" s="42">
        <f>IF(E7="",0,E7*PREMIOS!F7)</f>
        <v>0</v>
      </c>
      <c r="G7" s="90">
        <f t="shared" si="1"/>
        <v>83644</v>
      </c>
      <c r="I7" s="216" t="s">
        <v>96</v>
      </c>
      <c r="J7" s="222">
        <f>SUM(IF(C19="",0,C19),IF(C20="",0,C20))</f>
        <v>110550</v>
      </c>
      <c r="K7" s="225">
        <f>+D19+D20</f>
        <v>13266</v>
      </c>
      <c r="L7" s="226">
        <f>+F19+F20</f>
        <v>59500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23050</v>
      </c>
      <c r="D8" s="42">
        <f>IF(C8="",0,C8*J$17)</f>
        <v>2305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20745</v>
      </c>
      <c r="I8" s="216" t="s">
        <v>104</v>
      </c>
      <c r="J8" s="222">
        <f>SUM(IF(C21="",0,C21),IF(C22="",0,C22),IF(C23="",0,C23))</f>
        <v>61150</v>
      </c>
      <c r="K8" s="225">
        <f t="shared" ref="K8" si="4">D21+D22+D23</f>
        <v>7338</v>
      </c>
      <c r="L8" s="226">
        <f>F21+F22+F23</f>
        <v>8500</v>
      </c>
    </row>
    <row r="9" spans="1:12" x14ac:dyDescent="0.35">
      <c r="A9" s="28" t="s">
        <v>48</v>
      </c>
      <c r="B9" s="132">
        <f>IF(DigitaNICA!E2&lt;&gt;"",DigitaNICA!E2,"")</f>
        <v>55</v>
      </c>
      <c r="C9" s="89">
        <f>IF(DigitaNICA!E17&lt;&gt;"",DigitaNICA!E17,"")</f>
        <v>73350</v>
      </c>
      <c r="D9" s="42">
        <f>IF(C9="",0,C9*J$16)</f>
        <v>8802</v>
      </c>
      <c r="E9" s="89">
        <f>IF(DigitaNICA!F17&lt;&gt;"",DigitaNICA!F17,"")</f>
        <v>200</v>
      </c>
      <c r="F9" s="42">
        <f>IF(E9="",0,E9*PREMIOS!F9)</f>
        <v>17000</v>
      </c>
      <c r="G9" s="90">
        <f t="shared" si="1"/>
        <v>47548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66</v>
      </c>
      <c r="C11" s="89">
        <f>IF(DigitaTICA!E17&lt;&gt;"",DigitaTICA!E17,"")</f>
        <v>92600</v>
      </c>
      <c r="D11" s="42">
        <f>IF(C11="",0,C11*J$15)</f>
        <v>11112</v>
      </c>
      <c r="E11" s="89">
        <f>IF(DigitaTICA!F17&lt;&gt;"",DigitaTICA!F17,"")</f>
        <v>750</v>
      </c>
      <c r="F11" s="42">
        <f>IF(E11="",0,E11*PREMIOS!F11)</f>
        <v>63750</v>
      </c>
      <c r="G11" s="90">
        <f t="shared" si="1"/>
        <v>17738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11200</v>
      </c>
      <c r="D12" s="42">
        <f>IF(C12="",0,C12*J$17)</f>
        <v>1120</v>
      </c>
      <c r="E12" s="89">
        <f>IF(DigitaREVENTADO!F17&lt;&gt;"",DigitaREVENTADO!F17,"")</f>
        <v>400</v>
      </c>
      <c r="F12" s="42">
        <f>IF(E12="",0,E12*PREMIOS!F12)</f>
        <v>0</v>
      </c>
      <c r="G12" s="90">
        <f t="shared" si="1"/>
        <v>10080</v>
      </c>
    </row>
    <row r="13" spans="1:12" ht="15" thickBot="1" x14ac:dyDescent="0.4">
      <c r="A13" s="28" t="s">
        <v>50</v>
      </c>
      <c r="B13" s="132">
        <f>IF(DigitaNICA!G2&lt;&gt;"",DigitaNICA!G2,"")</f>
        <v>72</v>
      </c>
      <c r="C13" s="89">
        <f>IF(DigitaNICA!G17&lt;&gt;"",DigitaNICA!G17,"")</f>
        <v>70250</v>
      </c>
      <c r="D13" s="42">
        <f>IF(C13="",0,C13*J$16)</f>
        <v>8430</v>
      </c>
      <c r="E13" s="89">
        <f>IF(DigitaNICA!H17&lt;&gt;"",DigitaNICA!H17,"")</f>
        <v>3350</v>
      </c>
      <c r="F13" s="42">
        <f>IF(E13="",0,E13*PREMIOS!F13)</f>
        <v>284750</v>
      </c>
      <c r="G13" s="90">
        <f>IF(OR(C13="",E13=""),0,C13-D13-F13)</f>
        <v>-222930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 x14ac:dyDescent="0.35">
      <c r="A15" s="28" t="s">
        <v>61</v>
      </c>
      <c r="B15" s="132">
        <f>IF(DigitaTICA!G2&lt;&gt;"",DigitaTICA!G2,"")</f>
        <v>96</v>
      </c>
      <c r="C15" s="89">
        <f>IF(DigitaTICA!G17&lt;&gt;"",DigitaTICA!G17,"")</f>
        <v>186350</v>
      </c>
      <c r="D15" s="42">
        <f>IF(C15="",0,C15*J$15)</f>
        <v>22362</v>
      </c>
      <c r="E15" s="89">
        <f>IF(DigitaTICA!H17&lt;&gt;"",DigitaTICA!H17,"")</f>
        <v>1000</v>
      </c>
      <c r="F15" s="42">
        <f>IF(E15="",0,E15*PREMIOS!F15)</f>
        <v>85000</v>
      </c>
      <c r="G15" s="90">
        <f t="shared" si="6"/>
        <v>78988</v>
      </c>
      <c r="I15" s="76" t="s">
        <v>36</v>
      </c>
      <c r="J15" s="77">
        <v>0.12</v>
      </c>
      <c r="K15" s="78">
        <f>MROUND(D7+D11+D15,50)</f>
        <v>44900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32350</v>
      </c>
      <c r="D16" s="42">
        <f>IF(C16="",0,C16*J$17)</f>
        <v>3235</v>
      </c>
      <c r="E16" s="89">
        <f>IF(DigitaREVENTADO!H17&lt;&gt;"",DigitaREVENTADO!H17,"")</f>
        <v>500</v>
      </c>
      <c r="F16" s="42">
        <f>IF(E16="",0,E16*PREMIOS!F16)</f>
        <v>0</v>
      </c>
      <c r="G16" s="90">
        <f t="shared" si="6"/>
        <v>29115</v>
      </c>
      <c r="I16" s="63" t="s">
        <v>37</v>
      </c>
      <c r="J16" s="64">
        <v>0.12</v>
      </c>
      <c r="K16" s="30">
        <f>MROUND(D5+D9+D13+D17,50)</f>
        <v>44450</v>
      </c>
    </row>
    <row r="17" spans="1:11" x14ac:dyDescent="0.35">
      <c r="A17" s="28" t="s">
        <v>52</v>
      </c>
      <c r="B17" s="132">
        <f>IF(DigitaNICA!I2&lt;&gt;"",DigitaNICA!I2,"")</f>
        <v>25</v>
      </c>
      <c r="C17" s="89">
        <f>IF(DigitaNICA!I17&lt;&gt;"",DigitaNICA!I17,"")</f>
        <v>125850</v>
      </c>
      <c r="D17" s="42">
        <f>IF(C17="",0,C17*J$16)</f>
        <v>15102</v>
      </c>
      <c r="E17" s="89">
        <f>IF(DigitaNICA!J17&lt;&gt;"",DigitaNICA!J17,"")</f>
        <v>10000</v>
      </c>
      <c r="F17" s="42">
        <f>IF(E17="",0,E17*PREMIOS!F17)</f>
        <v>850000</v>
      </c>
      <c r="G17" s="90">
        <f t="shared" si="6"/>
        <v>-739252</v>
      </c>
      <c r="I17" s="63" t="s">
        <v>38</v>
      </c>
      <c r="J17" s="64">
        <v>0.1</v>
      </c>
      <c r="K17" s="30">
        <f>MROUND(D6+D8+D10+D12+D14+D16+D18,50)</f>
        <v>6650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13250</v>
      </c>
    </row>
    <row r="19" spans="1:11" x14ac:dyDescent="0.35">
      <c r="A19" s="28" t="s">
        <v>97</v>
      </c>
      <c r="B19" s="132">
        <f>IF(DigitaPRIMERA!C2&lt;&gt;"",DigitaPRIMERA!C2,"")</f>
        <v>44</v>
      </c>
      <c r="C19" s="29">
        <f>IF(DigitaPRIMERA!$C$17&lt;&gt;"",DigitaPRIMERA!$C$17,"")</f>
        <v>81150</v>
      </c>
      <c r="D19" s="42">
        <f>IF(C19="",0,C19*J$18)</f>
        <v>9738</v>
      </c>
      <c r="E19" s="29">
        <f>IF(DigitaPRIMERA!$D$17&lt;&gt;"",DigitaPRIMERA!$D$17,"")</f>
        <v>700</v>
      </c>
      <c r="F19" s="42">
        <f>IF(E19="",0,E19*PREMIOS!F19)</f>
        <v>59500</v>
      </c>
      <c r="G19" s="30">
        <f t="shared" si="6"/>
        <v>11912</v>
      </c>
      <c r="I19" s="63" t="s">
        <v>104</v>
      </c>
      <c r="J19" s="64">
        <v>0.12</v>
      </c>
      <c r="K19" s="30">
        <f>MROUND(D21+D22+D23,50)</f>
        <v>7350</v>
      </c>
    </row>
    <row r="20" spans="1:11" x14ac:dyDescent="0.35">
      <c r="A20" s="28" t="s">
        <v>98</v>
      </c>
      <c r="B20" s="132">
        <f>IF(DigitaPRIMERA!E2&lt;&gt;"",DigitaPRIMERA!E2,"")</f>
        <v>69</v>
      </c>
      <c r="C20" s="29">
        <f>IF(DigitaPRIMERA!$E$17&lt;&gt;"",DigitaPRIMERA!$E$17,"")</f>
        <v>29400</v>
      </c>
      <c r="D20" s="42">
        <f>IF(C20="",0,C20*J$18)</f>
        <v>3528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25872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73</v>
      </c>
      <c r="C21" s="29">
        <f>IF(DigitaHONDURAS!$C$17&lt;&gt;"",DigitaHONDURAS!$C$17,"")</f>
        <v>33850</v>
      </c>
      <c r="D21" s="42">
        <f>IF(C21="",0,C21*J$19)</f>
        <v>4062</v>
      </c>
      <c r="E21" s="29">
        <f>IF(DigitaHONDURAS!$D$17&lt;&gt;"",DigitaHONDURAS!$D$17,"")</f>
        <v>50</v>
      </c>
      <c r="F21" s="42">
        <f>IF(E21="",0,E21*PREMIOS!F20)</f>
        <v>4250</v>
      </c>
      <c r="G21" s="30">
        <f t="shared" si="6"/>
        <v>25538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87</v>
      </c>
      <c r="C22" s="29">
        <f>IF(DigitaHONDURAS!$E$17&lt;&gt;"",DigitaHONDURAS!$E$17,"")</f>
        <v>6550</v>
      </c>
      <c r="D22" s="42">
        <f>IF(C22="",0,C22*J$19)</f>
        <v>786</v>
      </c>
      <c r="E22" s="29">
        <f>IF(DigitaHONDURAS!$F$17&lt;&gt;"",DigitaHONDURAS!$F$17,"")</f>
        <v>50</v>
      </c>
      <c r="F22" s="42">
        <f>IF(E22="",0,E22*PREMIOS!F20)</f>
        <v>4250</v>
      </c>
      <c r="G22" s="30">
        <f t="shared" si="6"/>
        <v>1514</v>
      </c>
    </row>
    <row r="23" spans="1:11" x14ac:dyDescent="0.35">
      <c r="A23" s="28" t="s">
        <v>101</v>
      </c>
      <c r="B23" s="132" t="str">
        <f>IF(DigitaHONDURAS!G2&lt;&gt;"",DigitaHONDURAS!G2,"")</f>
        <v>02</v>
      </c>
      <c r="C23" s="29">
        <f>IF(DigitaHONDURAS!$G$17&lt;&gt;"",DigitaHONDURAS!$G$17,"")</f>
        <v>20750</v>
      </c>
      <c r="D23" s="42">
        <f>IF(C23="",0,C23*J$19)</f>
        <v>2490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18260</v>
      </c>
    </row>
    <row r="24" spans="1:11" x14ac:dyDescent="0.35">
      <c r="A24" s="28" t="s">
        <v>102</v>
      </c>
      <c r="B24" s="132" t="str">
        <f>IF(DigitaDOMINICANA!C2&lt;&gt;"",DigitaDOMINICANA!C2,"")</f>
        <v>01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982800</v>
      </c>
      <c r="D27" s="68">
        <f t="shared" ref="D27:G27" si="7">SUM(D5:D26)</f>
        <v>116604</v>
      </c>
      <c r="E27" s="68">
        <f t="shared" si="7"/>
        <v>17100</v>
      </c>
      <c r="F27" s="68">
        <f t="shared" si="7"/>
        <v>1377000</v>
      </c>
      <c r="G27" s="88">
        <f t="shared" si="7"/>
        <v>-510804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92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165700</v>
      </c>
      <c r="K4" s="230">
        <f t="shared" ref="K4" si="0">D7+D11+D15</f>
        <v>19884</v>
      </c>
      <c r="L4" s="219">
        <f>F7+F11+F15</f>
        <v>102000</v>
      </c>
    </row>
    <row r="5" spans="1:12" x14ac:dyDescent="0.35">
      <c r="A5" s="28" t="str">
        <f>+Vendedor1!A5</f>
        <v>Nica 11am</v>
      </c>
      <c r="B5" s="132">
        <f>IF(DigitaNICA!C2&lt;&gt;"",DigitaNICA!C2,"")</f>
        <v>39</v>
      </c>
      <c r="C5" s="29">
        <f>IF(DigitaNICA!C18&lt;&gt;"",DigitaNICA!C18,"")</f>
        <v>58550</v>
      </c>
      <c r="D5" s="42">
        <f>IF(C5="",0,C5*J$16)</f>
        <v>7026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51524</v>
      </c>
      <c r="I5" s="216" t="s">
        <v>37</v>
      </c>
      <c r="J5" s="220">
        <f>SUM(IF(C5="",0,C5),IF(C9="",0,C9),IF(C13="",0,C13),IF(C17="",0,C17))</f>
        <v>141300</v>
      </c>
      <c r="K5" s="224">
        <f t="shared" ref="K5" si="2">D5+D9+D13+D17</f>
        <v>16956</v>
      </c>
      <c r="L5" s="221">
        <f>F5+F9+F13+F17</f>
        <v>123250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37900</v>
      </c>
      <c r="K6" s="225">
        <f t="shared" ref="K6" si="3">+D8+D12+D16</f>
        <v>3790</v>
      </c>
      <c r="L6" s="226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82</v>
      </c>
      <c r="C7" s="29">
        <f>IF(DigitaTICA!C18&lt;&gt;"",DigitaTICA!C18,"")</f>
        <v>47500</v>
      </c>
      <c r="D7" s="42">
        <f>IF(C7="",0,C7*J$15)</f>
        <v>5700</v>
      </c>
      <c r="E7" s="29">
        <f>IF(DigitaTICA!D18&lt;&gt;"",DigitaTICA!D18,"")</f>
        <v>150</v>
      </c>
      <c r="F7" s="42">
        <f>IF(E7="",0,E7*PREMIOS!F7)</f>
        <v>12750</v>
      </c>
      <c r="G7" s="30">
        <f t="shared" si="1"/>
        <v>29050</v>
      </c>
      <c r="I7" s="216" t="s">
        <v>96</v>
      </c>
      <c r="J7" s="222">
        <f>SUM(IF(C19="",0,C19),IF(C20="",0,C20))</f>
        <v>77850</v>
      </c>
      <c r="K7" s="225">
        <f>+D19+D20</f>
        <v>9342</v>
      </c>
      <c r="L7" s="226">
        <f>+F19+F20</f>
        <v>38250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11050</v>
      </c>
      <c r="D8" s="42">
        <f>IF(C8="",0,C8*J$17)</f>
        <v>1105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9945</v>
      </c>
      <c r="I8" s="216" t="s">
        <v>104</v>
      </c>
      <c r="J8" s="222">
        <f>SUM(IF(C21="",0,C21),IF(C22="",0,C22),IF(C23="",0,C23))</f>
        <v>40600</v>
      </c>
      <c r="K8" s="225">
        <f t="shared" ref="K8" si="4">D21+D22+D23</f>
        <v>4872</v>
      </c>
      <c r="L8" s="226">
        <f>F21+F22+F23</f>
        <v>34000</v>
      </c>
    </row>
    <row r="9" spans="1:12" x14ac:dyDescent="0.35">
      <c r="A9" s="28" t="str">
        <f>+Vendedor1!A9</f>
        <v>Nica 3pm</v>
      </c>
      <c r="B9" s="132">
        <f>IF(DigitaNICA!E2&lt;&gt;"",DigitaNICA!E2,"")</f>
        <v>55</v>
      </c>
      <c r="C9" s="29">
        <f>IF(DigitaNICA!E18&lt;&gt;"",DigitaNICA!E18,"")</f>
        <v>27850</v>
      </c>
      <c r="D9" s="42">
        <f>IF(C9="",0,C9*J$16)</f>
        <v>3342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24508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66</v>
      </c>
      <c r="C11" s="29">
        <f>IF(DigitaTICA!E18&lt;&gt;"",DigitaTICA!E18,"")</f>
        <v>44800</v>
      </c>
      <c r="D11" s="42">
        <f>IF(C11="",0,C11*J$15)</f>
        <v>5376</v>
      </c>
      <c r="E11" s="29">
        <f>IF(DigitaTICA!F18&lt;&gt;"",DigitaTICA!F18,"")</f>
        <v>700</v>
      </c>
      <c r="F11" s="42">
        <f>IF(E11="",0,E11*PREMIOS!F11)</f>
        <v>59500</v>
      </c>
      <c r="G11" s="30">
        <f t="shared" si="1"/>
        <v>-20076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8450</v>
      </c>
      <c r="D12" s="42">
        <f>IF(C12="",0,C12*J$17)</f>
        <v>845</v>
      </c>
      <c r="E12" s="29">
        <f>IF(DigitaREVENTADO!F18&lt;&gt;"",DigitaREVENTADO!F18,"")</f>
        <v>100</v>
      </c>
      <c r="F12" s="42">
        <f>IF(E12="",0,E12*PREMIOS!F12)</f>
        <v>0</v>
      </c>
      <c r="G12" s="30">
        <f t="shared" si="1"/>
        <v>7605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72</v>
      </c>
      <c r="C13" s="29">
        <f>IF(DigitaNICA!G18&lt;&gt;"",DigitaNICA!G18,"")</f>
        <v>32800</v>
      </c>
      <c r="D13" s="42">
        <f>IF(C13="",0,C13*J$16)</f>
        <v>3936</v>
      </c>
      <c r="E13" s="29">
        <f>IF(DigitaNICA!H18&lt;&gt;"",DigitaNICA!H18,"")</f>
        <v>900</v>
      </c>
      <c r="F13" s="42">
        <f>IF(E13="",0,E13*PREMIOS!F13)</f>
        <v>76500</v>
      </c>
      <c r="G13" s="30">
        <f>IF(OR(C13="",E13=""),0,C13-D13-F13)</f>
        <v>-47636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 x14ac:dyDescent="0.35">
      <c r="A15" s="28" t="str">
        <f>+Vendedor1!A15</f>
        <v>Tica 7:30pm</v>
      </c>
      <c r="B15" s="132">
        <f>IF(DigitaTICA!G2&lt;&gt;"",DigitaTICA!G2,"")</f>
        <v>96</v>
      </c>
      <c r="C15" s="29">
        <f>IF(DigitaTICA!G18&lt;&gt;"",DigitaTICA!G18,"")</f>
        <v>73400</v>
      </c>
      <c r="D15" s="42">
        <f>IF(C15="",0,C15*J$15)</f>
        <v>8808</v>
      </c>
      <c r="E15" s="29">
        <f>IF(DigitaTICA!H18&lt;&gt;"",DigitaTICA!H18,"")</f>
        <v>350</v>
      </c>
      <c r="F15" s="42">
        <f>IF(E15="",0,E15*PREMIOS!F15)</f>
        <v>29750</v>
      </c>
      <c r="G15" s="30">
        <f t="shared" si="6"/>
        <v>34842</v>
      </c>
      <c r="I15" s="76" t="s">
        <v>36</v>
      </c>
      <c r="J15" s="77">
        <v>0.12</v>
      </c>
      <c r="K15" s="78">
        <f>MROUND(D7+D11+D15,50)</f>
        <v>19900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18400</v>
      </c>
      <c r="D16" s="42">
        <f>IF(C16="",0,C16*J$17)</f>
        <v>1840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16560</v>
      </c>
      <c r="I16" s="63" t="s">
        <v>37</v>
      </c>
      <c r="J16" s="64">
        <v>0.12</v>
      </c>
      <c r="K16" s="30">
        <f>MROUND(D5+D9+D13+D17,50)</f>
        <v>16950</v>
      </c>
    </row>
    <row r="17" spans="1:11" x14ac:dyDescent="0.35">
      <c r="A17" s="28" t="str">
        <f>+Vendedor1!A17</f>
        <v>Nica 9pm</v>
      </c>
      <c r="B17" s="132">
        <f>IF(DigitaNICA!I2&lt;&gt;"",DigitaNICA!I2,"")</f>
        <v>25</v>
      </c>
      <c r="C17" s="29">
        <f>IF(DigitaNICA!I18&lt;&gt;"",DigitaNICA!I18,"")</f>
        <v>22100</v>
      </c>
      <c r="D17" s="42">
        <f>IF(C17="",0,C17*J$16)</f>
        <v>2652</v>
      </c>
      <c r="E17" s="29">
        <f>IF(DigitaNICA!J18&lt;&gt;"",DigitaNICA!J18,"")</f>
        <v>550</v>
      </c>
      <c r="F17" s="42">
        <f>IF(E17="",0,E17*PREMIOS!F17)</f>
        <v>46750</v>
      </c>
      <c r="G17" s="30">
        <f t="shared" si="6"/>
        <v>-27302</v>
      </c>
      <c r="I17" s="63" t="s">
        <v>38</v>
      </c>
      <c r="J17" s="64">
        <v>0.1</v>
      </c>
      <c r="K17" s="30">
        <f>MROUND(D6+D8+D10+D12+D14+D16+D18,50)</f>
        <v>3800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9350</v>
      </c>
    </row>
    <row r="19" spans="1:11" x14ac:dyDescent="0.35">
      <c r="A19" s="28" t="s">
        <v>97</v>
      </c>
      <c r="B19" s="132">
        <f>IF(DigitaPRIMERA!C2&lt;&gt;"",DigitaPRIMERA!C2,"")</f>
        <v>44</v>
      </c>
      <c r="C19" s="29">
        <f>IF(DigitaPRIMERA!$C$18&lt;&gt;"",DigitaPRIMERA!$C$18,"")</f>
        <v>54750</v>
      </c>
      <c r="D19" s="42">
        <f>IF(C19="",0,C19*J$18)</f>
        <v>6570</v>
      </c>
      <c r="E19" s="29">
        <f>IF(DigitaPRIMERA!$D$18&lt;&gt;"",DigitaPRIMERA!$D$18,"")</f>
        <v>450</v>
      </c>
      <c r="F19" s="42">
        <f>IF(E19="",0,E19*PREMIOS!F19)</f>
        <v>38250</v>
      </c>
      <c r="G19" s="30">
        <f t="shared" si="6"/>
        <v>9930</v>
      </c>
      <c r="I19" s="63" t="s">
        <v>104</v>
      </c>
      <c r="J19" s="64">
        <v>0.12</v>
      </c>
      <c r="K19" s="30">
        <f>MROUND(D21+D22+D23,50)</f>
        <v>4850</v>
      </c>
    </row>
    <row r="20" spans="1:11" x14ac:dyDescent="0.35">
      <c r="A20" s="28" t="s">
        <v>98</v>
      </c>
      <c r="B20" s="132">
        <f>IF(DigitaPRIMERA!E2&lt;&gt;"",DigitaPRIMERA!E2,"")</f>
        <v>69</v>
      </c>
      <c r="C20" s="29">
        <f>IF(DigitaPRIMERA!$E$18&lt;&gt;"",DigitaPRIMERA!$E$18,"")</f>
        <v>23100</v>
      </c>
      <c r="D20" s="42">
        <f>IF(C20="",0,C20*J$18)</f>
        <v>2772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20328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73</v>
      </c>
      <c r="C21" s="29">
        <f>IF(DigitaHONDURAS!$C$18&lt;&gt;"",DigitaHONDURAS!$C$18,"")</f>
        <v>27500</v>
      </c>
      <c r="D21" s="42">
        <f>IF(C21="",0,C21*J$19)</f>
        <v>3300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7200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87</v>
      </c>
      <c r="C22" s="29">
        <f>IF(DigitaHONDURAS!$E$18&lt;&gt;"",DigitaHONDURAS!$E$18,"")</f>
        <v>10600</v>
      </c>
      <c r="D22" s="42">
        <f>IF(C22="",0,C22*J$19)</f>
        <v>1272</v>
      </c>
      <c r="E22" s="29">
        <f>IF(DigitaHONDURAS!$F$18&lt;&gt;"",DigitaHONDURAS!$F$18,"")</f>
        <v>200</v>
      </c>
      <c r="F22" s="42">
        <f>IF(E22="",0,E22*PREMIOS!F20)</f>
        <v>17000</v>
      </c>
      <c r="G22" s="30">
        <f t="shared" si="6"/>
        <v>-7672</v>
      </c>
    </row>
    <row r="23" spans="1:11" x14ac:dyDescent="0.35">
      <c r="A23" s="28" t="s">
        <v>101</v>
      </c>
      <c r="B23" s="132" t="str">
        <f>IF(DigitaHONDURAS!G2&lt;&gt;"",DigitaHONDURAS!G2,"")</f>
        <v>02</v>
      </c>
      <c r="C23" s="29">
        <f>IF(DigitaHONDURAS!$G$18&lt;&gt;"",DigitaHONDURAS!$G$18,"")</f>
        <v>2500</v>
      </c>
      <c r="D23" s="42">
        <f>IF(C23="",0,C23*J$19)</f>
        <v>300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2200</v>
      </c>
    </row>
    <row r="24" spans="1:11" x14ac:dyDescent="0.35">
      <c r="A24" s="28" t="s">
        <v>102</v>
      </c>
      <c r="B24" s="132" t="str">
        <f>IF(DigitaDOMINICANA!C2&lt;&gt;"",DigitaDOMINICANA!C2,"")</f>
        <v>01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463350</v>
      </c>
      <c r="D27" s="68">
        <f t="shared" ref="D27:G27" si="7">SUM(D5:D26)</f>
        <v>54844</v>
      </c>
      <c r="E27" s="68">
        <f t="shared" si="7"/>
        <v>3600</v>
      </c>
      <c r="F27" s="68">
        <f t="shared" si="7"/>
        <v>297500</v>
      </c>
      <c r="G27" s="88">
        <f t="shared" si="7"/>
        <v>111006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88</v>
      </c>
      <c r="D2" s="280"/>
      <c r="E2" s="280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39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82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tr">
        <f>+Vendedor1!A9</f>
        <v>Nica 3pm</v>
      </c>
      <c r="B9" s="132">
        <f>IF(DigitaNICA!E2&lt;&gt;"",DigitaNICA!E2,"")</f>
        <v>55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72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96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25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85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55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4"/>
  </cols>
  <sheetData>
    <row r="1" spans="1:11" ht="15" thickBot="1" x14ac:dyDescent="0.4"/>
    <row r="2" spans="1:11" ht="15" thickBot="1" x14ac:dyDescent="0.4">
      <c r="A2" s="51" t="s">
        <v>35</v>
      </c>
      <c r="B2" s="124"/>
      <c r="C2" s="280" t="s">
        <v>84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55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83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55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82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82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55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67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70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81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>
        <f>IF(DigitaPRIMERA!$F$27&lt;&gt;"",DigitaPRIMERA!$F$27,"")</f>
        <v>650</v>
      </c>
      <c r="F20" s="42">
        <f>IF(E20="",0,E20*PREMIOS!F19)</f>
        <v>55250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650</v>
      </c>
      <c r="F27" s="68">
        <f t="shared" si="2"/>
        <v>55250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106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64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69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58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9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>
        <f>IF(PREMIOS!$B7="","",PREMIOS!$B7)</f>
        <v>82</v>
      </c>
      <c r="D2" s="267"/>
      <c r="E2" s="266">
        <f>IF(PREMIOS!$B11="","",PREMIOS!$B11)</f>
        <v>66</v>
      </c>
      <c r="F2" s="267"/>
      <c r="G2" s="266">
        <f>IF(PREMIOS!$B15="","",PREMIOS!$B15)</f>
        <v>96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 x14ac:dyDescent="0.35">
      <c r="A4" s="186">
        <v>1</v>
      </c>
      <c r="B4" s="187" t="str">
        <f>Vendedor1!$B$2</f>
        <v>VENTANA</v>
      </c>
      <c r="C4" s="188">
        <v>66950</v>
      </c>
      <c r="D4" s="78">
        <v>250</v>
      </c>
      <c r="E4" s="188">
        <v>33850</v>
      </c>
      <c r="F4" s="78">
        <v>2200</v>
      </c>
      <c r="G4" s="188">
        <v>72300</v>
      </c>
      <c r="H4" s="78">
        <f t="shared" ref="D4:H27" si="0">IF(G4="","",0)</f>
        <v>0</v>
      </c>
      <c r="J4" s="42">
        <f t="shared" ref="J4:J8" si="1">+C4+E4+G4</f>
        <v>173100</v>
      </c>
      <c r="K4" s="42">
        <f>IF(D4="",0,IF(F4="",D4,IF(H4="",D4+F4,D4+F4+H4)))</f>
        <v>2450</v>
      </c>
    </row>
    <row r="5" spans="1:11" x14ac:dyDescent="0.35">
      <c r="A5" s="47">
        <v>2</v>
      </c>
      <c r="B5" s="177" t="str">
        <f>Vendedor2!$B$2</f>
        <v>PUESTO 2</v>
      </c>
      <c r="C5" s="179">
        <v>28450</v>
      </c>
      <c r="D5" s="30">
        <f t="shared" si="0"/>
        <v>0</v>
      </c>
      <c r="E5" s="179">
        <v>26100</v>
      </c>
      <c r="F5" s="30">
        <f t="shared" si="0"/>
        <v>0</v>
      </c>
      <c r="G5" s="179">
        <v>77650</v>
      </c>
      <c r="H5" s="30">
        <f t="shared" si="0"/>
        <v>0</v>
      </c>
      <c r="J5" s="42">
        <f t="shared" si="1"/>
        <v>132200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0"/>
        <v/>
      </c>
      <c r="G6" s="179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179"/>
      <c r="F7" s="30" t="str">
        <f t="shared" si="0"/>
        <v/>
      </c>
      <c r="G7" s="179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7" t="str">
        <f>Vendedor5!$B$2</f>
        <v>YOYO</v>
      </c>
      <c r="C8" s="179">
        <v>47100</v>
      </c>
      <c r="D8" s="30">
        <f t="shared" si="0"/>
        <v>0</v>
      </c>
      <c r="E8" s="179">
        <v>41800</v>
      </c>
      <c r="F8" s="30">
        <f t="shared" si="0"/>
        <v>0</v>
      </c>
      <c r="G8" s="179">
        <v>36150</v>
      </c>
      <c r="H8" s="30">
        <v>400</v>
      </c>
      <c r="J8" s="42">
        <f t="shared" si="1"/>
        <v>125050</v>
      </c>
      <c r="K8" s="42">
        <f t="shared" si="2"/>
        <v>400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0"/>
        <v/>
      </c>
      <c r="G9" s="179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31100+123750</f>
        <v>154850</v>
      </c>
      <c r="D10" s="30">
        <v>100</v>
      </c>
      <c r="E10" s="179">
        <f>45500+73700</f>
        <v>119200</v>
      </c>
      <c r="F10" s="30">
        <f>500+3600</f>
        <v>4100</v>
      </c>
      <c r="G10" s="179">
        <f>63600+84200</f>
        <v>147800</v>
      </c>
      <c r="H10" s="30">
        <f t="shared" si="0"/>
        <v>0</v>
      </c>
      <c r="J10" s="42">
        <f t="shared" si="3"/>
        <v>421850</v>
      </c>
      <c r="K10" s="42">
        <f t="shared" si="2"/>
        <v>4200</v>
      </c>
    </row>
    <row r="11" spans="1:11" x14ac:dyDescent="0.35">
      <c r="A11" s="47">
        <v>8</v>
      </c>
      <c r="B11" s="177" t="str">
        <f>Vendedor8!$B$2</f>
        <v>ISA</v>
      </c>
      <c r="C11" s="179">
        <v>4000</v>
      </c>
      <c r="D11" s="30">
        <f t="shared" si="0"/>
        <v>0</v>
      </c>
      <c r="E11" s="179"/>
      <c r="F11" s="30" t="str">
        <f t="shared" si="0"/>
        <v/>
      </c>
      <c r="G11" s="179">
        <v>15700</v>
      </c>
      <c r="H11" s="30">
        <f t="shared" si="0"/>
        <v>0</v>
      </c>
      <c r="J11" s="42">
        <f t="shared" si="3"/>
        <v>19700</v>
      </c>
      <c r="K11" s="42">
        <f t="shared" si="2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24100</v>
      </c>
      <c r="D12" s="30">
        <f t="shared" si="0"/>
        <v>0</v>
      </c>
      <c r="E12" s="179">
        <v>16700</v>
      </c>
      <c r="F12" s="30">
        <v>1000</v>
      </c>
      <c r="G12" s="179">
        <v>6450</v>
      </c>
      <c r="H12" s="30">
        <f t="shared" si="0"/>
        <v>0</v>
      </c>
      <c r="J12" s="42">
        <f t="shared" si="3"/>
        <v>47250</v>
      </c>
      <c r="K12" s="42">
        <f t="shared" si="2"/>
        <v>1000</v>
      </c>
    </row>
    <row r="13" spans="1:11" x14ac:dyDescent="0.35">
      <c r="A13" s="47">
        <v>10</v>
      </c>
      <c r="B13" s="177" t="str">
        <f>Vendedor10!$B$2</f>
        <v>MARIALIZ</v>
      </c>
      <c r="C13" s="179">
        <v>18200</v>
      </c>
      <c r="D13" s="30">
        <f t="shared" si="0"/>
        <v>0</v>
      </c>
      <c r="E13" s="179">
        <v>15300</v>
      </c>
      <c r="F13" s="30">
        <f t="shared" si="0"/>
        <v>0</v>
      </c>
      <c r="G13" s="179">
        <v>26650</v>
      </c>
      <c r="H13" s="30">
        <f t="shared" si="0"/>
        <v>0</v>
      </c>
      <c r="J13" s="42">
        <f t="shared" si="3"/>
        <v>60150</v>
      </c>
      <c r="K13" s="42">
        <f t="shared" si="2"/>
        <v>0</v>
      </c>
    </row>
    <row r="14" spans="1:11" x14ac:dyDescent="0.35">
      <c r="A14" s="47">
        <v>11</v>
      </c>
      <c r="B14" s="177" t="str">
        <f>Vendedor11!$B$2</f>
        <v>CHARLY</v>
      </c>
      <c r="C14" s="179">
        <v>22950</v>
      </c>
      <c r="D14" s="30">
        <f t="shared" si="0"/>
        <v>0</v>
      </c>
      <c r="E14" s="179">
        <v>9350</v>
      </c>
      <c r="F14" s="30">
        <f t="shared" si="0"/>
        <v>0</v>
      </c>
      <c r="G14" s="179">
        <v>20900</v>
      </c>
      <c r="H14" s="30">
        <f t="shared" si="0"/>
        <v>0</v>
      </c>
      <c r="J14" s="42">
        <f t="shared" si="3"/>
        <v>53200</v>
      </c>
      <c r="K14" s="42">
        <f t="shared" si="2"/>
        <v>0</v>
      </c>
    </row>
    <row r="15" spans="1:11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179"/>
      <c r="F15" s="30" t="str">
        <f t="shared" si="0"/>
        <v/>
      </c>
      <c r="G15" s="179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7" t="str">
        <f>Vendedor13!$B$2</f>
        <v>MINERO</v>
      </c>
      <c r="C16" s="179">
        <v>23500</v>
      </c>
      <c r="D16" s="30">
        <v>450</v>
      </c>
      <c r="E16" s="179">
        <v>21200</v>
      </c>
      <c r="F16" s="30">
        <f t="shared" si="0"/>
        <v>0</v>
      </c>
      <c r="G16" s="179">
        <v>41500</v>
      </c>
      <c r="H16" s="30">
        <v>500</v>
      </c>
      <c r="J16" s="42">
        <f t="shared" si="3"/>
        <v>86200</v>
      </c>
      <c r="K16" s="42">
        <f t="shared" si="2"/>
        <v>950</v>
      </c>
    </row>
    <row r="17" spans="1:11" x14ac:dyDescent="0.35">
      <c r="A17" s="47">
        <v>14</v>
      </c>
      <c r="B17" s="177" t="str">
        <f>Vendedor14!$B$2</f>
        <v>EDUARDO TIEMPOS LICORERA</v>
      </c>
      <c r="C17" s="179">
        <f>33650+61400</f>
        <v>95050</v>
      </c>
      <c r="D17" s="30">
        <f t="shared" si="0"/>
        <v>0</v>
      </c>
      <c r="E17" s="179">
        <f>76950+15650</f>
        <v>92600</v>
      </c>
      <c r="F17" s="30">
        <f>100+650</f>
        <v>750</v>
      </c>
      <c r="G17" s="179">
        <f>149350+37000</f>
        <v>186350</v>
      </c>
      <c r="H17" s="30">
        <f>400+600</f>
        <v>1000</v>
      </c>
      <c r="J17" s="42">
        <f t="shared" si="3"/>
        <v>374000</v>
      </c>
      <c r="K17" s="42">
        <f t="shared" si="2"/>
        <v>1750</v>
      </c>
    </row>
    <row r="18" spans="1:11" x14ac:dyDescent="0.35">
      <c r="A18" s="47">
        <v>15</v>
      </c>
      <c r="B18" s="177" t="str">
        <f>Vendedor15!$B$2</f>
        <v>EDUARDO PUESTO CENTRO</v>
      </c>
      <c r="C18" s="179">
        <f>11550+35950</f>
        <v>47500</v>
      </c>
      <c r="D18" s="30">
        <v>150</v>
      </c>
      <c r="E18" s="179">
        <f>36350+8450</f>
        <v>44800</v>
      </c>
      <c r="F18" s="30">
        <f>600+100</f>
        <v>700</v>
      </c>
      <c r="G18" s="179">
        <f>18550+54850</f>
        <v>73400</v>
      </c>
      <c r="H18" s="30">
        <v>350</v>
      </c>
      <c r="J18" s="42">
        <f t="shared" si="3"/>
        <v>165700</v>
      </c>
      <c r="K18" s="42">
        <f t="shared" si="2"/>
        <v>1200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0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0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0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0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0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0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0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0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0"/>
        <v/>
      </c>
      <c r="G27" s="180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532650</v>
      </c>
      <c r="D32" s="44">
        <f t="shared" si="6"/>
        <v>950</v>
      </c>
      <c r="E32" s="43">
        <f t="shared" si="6"/>
        <v>420900</v>
      </c>
      <c r="F32" s="44">
        <f t="shared" si="6"/>
        <v>8750</v>
      </c>
      <c r="G32" s="43">
        <f t="shared" si="6"/>
        <v>704850</v>
      </c>
      <c r="H32" s="44">
        <f t="shared" si="6"/>
        <v>2250</v>
      </c>
      <c r="J32" s="95">
        <f>SUM(J4:J31)</f>
        <v>1658400</v>
      </c>
      <c r="K32" s="95"/>
    </row>
    <row r="33" spans="2:8" x14ac:dyDescent="0.35">
      <c r="D33" s="99">
        <f>+D32*85</f>
        <v>80750</v>
      </c>
      <c r="F33" s="99">
        <f>+F32*85</f>
        <v>743750</v>
      </c>
      <c r="H33" s="99">
        <f>+H32*85</f>
        <v>191250</v>
      </c>
    </row>
    <row r="34" spans="2:8" x14ac:dyDescent="0.35">
      <c r="B34" s="246" t="s">
        <v>149</v>
      </c>
      <c r="C34" s="43">
        <f t="shared" ref="C34:H34" si="7">+C4+C5+C6+C8+C13</f>
        <v>160700</v>
      </c>
      <c r="D34" s="43" t="e">
        <f t="shared" si="7"/>
        <v>#VALUE!</v>
      </c>
      <c r="E34" s="43">
        <f t="shared" si="7"/>
        <v>117050</v>
      </c>
      <c r="F34" s="43" t="e">
        <f t="shared" si="7"/>
        <v>#VALUE!</v>
      </c>
      <c r="G34" s="43">
        <f t="shared" si="7"/>
        <v>212750</v>
      </c>
      <c r="H34" s="43" t="e">
        <f t="shared" si="7"/>
        <v>#VALUE!</v>
      </c>
    </row>
    <row r="35" spans="2:8" x14ac:dyDescent="0.35">
      <c r="B35" s="246" t="s">
        <v>150</v>
      </c>
      <c r="C35" s="43">
        <f>+C11+C14+C15+C17+C18</f>
        <v>169500</v>
      </c>
      <c r="D35" s="43" t="e">
        <f t="shared" ref="D35:H35" si="8">+D11+D14+D15+D17+D18</f>
        <v>#VALUE!</v>
      </c>
      <c r="E35" s="43">
        <f t="shared" si="8"/>
        <v>146750</v>
      </c>
      <c r="F35" s="43" t="e">
        <f t="shared" si="8"/>
        <v>#VALUE!</v>
      </c>
      <c r="G35" s="43">
        <f t="shared" si="8"/>
        <v>296350</v>
      </c>
      <c r="H35" s="43" t="e">
        <f t="shared" si="8"/>
        <v>#VALUE!</v>
      </c>
    </row>
    <row r="36" spans="2:8" x14ac:dyDescent="0.35">
      <c r="B36" s="246" t="s">
        <v>151</v>
      </c>
      <c r="C36" s="43">
        <f>+C10+C12+C27</f>
        <v>178950</v>
      </c>
      <c r="D36" s="43" t="e">
        <f t="shared" ref="D36:H36" si="9">+D10+D12+D27</f>
        <v>#VALUE!</v>
      </c>
      <c r="E36" s="43">
        <f t="shared" si="9"/>
        <v>135900</v>
      </c>
      <c r="F36" s="43" t="e">
        <f t="shared" si="9"/>
        <v>#VALUE!</v>
      </c>
      <c r="G36" s="43">
        <f t="shared" si="9"/>
        <v>154250</v>
      </c>
      <c r="H36" s="43" t="e">
        <f t="shared" si="9"/>
        <v>#VALUE!</v>
      </c>
    </row>
    <row r="39" spans="2:8" x14ac:dyDescent="0.35">
      <c r="C39">
        <f>24100+31100+123750+160700+23500+169500+0</f>
        <v>532650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5" sqref="I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 x14ac:dyDescent="0.35">
      <c r="C2" s="266">
        <f>IF(PREMIOS!$B5="","",PREMIOS!$B5)</f>
        <v>39</v>
      </c>
      <c r="D2" s="267"/>
      <c r="E2" s="266">
        <f>IF(PREMIOS!$B9="","",PREMIOS!$B9)</f>
        <v>55</v>
      </c>
      <c r="F2" s="267"/>
      <c r="G2" s="266">
        <f>IF(PREMIOS!$B13="","",PREMIOS!$B13)</f>
        <v>72</v>
      </c>
      <c r="H2" s="267"/>
      <c r="I2" s="266">
        <f>IF(PREMIOS!$B17="","",PREMIOS!$B17)</f>
        <v>25</v>
      </c>
      <c r="J2" s="267"/>
    </row>
    <row r="3" spans="1:13" ht="21" customHeight="1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 x14ac:dyDescent="0.35">
      <c r="A4" s="186">
        <v>1</v>
      </c>
      <c r="B4" s="187" t="str">
        <f>Vendedor1!$B$2</f>
        <v>VENTANA</v>
      </c>
      <c r="C4" s="188">
        <v>26550</v>
      </c>
      <c r="D4" s="78">
        <f t="shared" ref="D4:J27" si="0">IF(C4="","",0)</f>
        <v>0</v>
      </c>
      <c r="E4" s="205">
        <v>5850</v>
      </c>
      <c r="F4" s="78">
        <v>100</v>
      </c>
      <c r="G4" s="188">
        <v>3950</v>
      </c>
      <c r="H4" s="78">
        <f t="shared" ref="H4:H27" si="1">IF(G4="","",0)</f>
        <v>0</v>
      </c>
      <c r="I4" s="188">
        <v>2500</v>
      </c>
      <c r="J4" s="78">
        <f t="shared" si="0"/>
        <v>0</v>
      </c>
      <c r="L4" s="42">
        <f t="shared" ref="L4:L8" si="2">+C4+E4+G4+I4</f>
        <v>38850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7" t="str">
        <f>Vendedor2!$B$2</f>
        <v>PUESTO 2</v>
      </c>
      <c r="C5" s="179">
        <v>15300</v>
      </c>
      <c r="D5" s="30">
        <f t="shared" si="0"/>
        <v>0</v>
      </c>
      <c r="E5" s="206"/>
      <c r="F5" s="30" t="str">
        <f t="shared" si="0"/>
        <v/>
      </c>
      <c r="G5" s="179">
        <v>1250</v>
      </c>
      <c r="H5" s="30">
        <f t="shared" si="1"/>
        <v>0</v>
      </c>
      <c r="I5" s="179"/>
      <c r="J5" s="30" t="str">
        <f t="shared" ref="J5:J27" si="3">IF(I5="","",0)</f>
        <v/>
      </c>
      <c r="L5" s="42">
        <f t="shared" si="2"/>
        <v>16550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206"/>
      <c r="F6" s="30" t="str">
        <f t="shared" si="0"/>
        <v/>
      </c>
      <c r="G6" s="179"/>
      <c r="H6" s="30" t="str">
        <f t="shared" si="1"/>
        <v/>
      </c>
      <c r="I6" s="179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206"/>
      <c r="F7" s="30" t="str">
        <f t="shared" si="0"/>
        <v/>
      </c>
      <c r="G7" s="179"/>
      <c r="H7" s="30" t="str">
        <f t="shared" si="1"/>
        <v/>
      </c>
      <c r="I7" s="179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7" t="str">
        <f>Vendedor5!$B$2</f>
        <v>YOYO</v>
      </c>
      <c r="C8" s="179">
        <v>56250</v>
      </c>
      <c r="D8" s="30">
        <v>650</v>
      </c>
      <c r="E8" s="206">
        <v>24500</v>
      </c>
      <c r="F8" s="30">
        <f t="shared" si="0"/>
        <v>0</v>
      </c>
      <c r="G8" s="179">
        <v>8850</v>
      </c>
      <c r="H8" s="30">
        <f t="shared" si="1"/>
        <v>0</v>
      </c>
      <c r="I8" s="179">
        <v>24950</v>
      </c>
      <c r="J8" s="30">
        <f t="shared" si="0"/>
        <v>0</v>
      </c>
      <c r="L8" s="42">
        <f t="shared" si="2"/>
        <v>114550</v>
      </c>
      <c r="M8" s="42">
        <f t="shared" si="4"/>
        <v>650</v>
      </c>
    </row>
    <row r="9" spans="1:13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206"/>
      <c r="F9" s="30" t="str">
        <f t="shared" si="0"/>
        <v/>
      </c>
      <c r="G9" s="179"/>
      <c r="H9" s="30" t="str">
        <f t="shared" si="1"/>
        <v/>
      </c>
      <c r="I9" s="179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7" t="str">
        <f>Vendedor7!$B$2</f>
        <v>PIKIS</v>
      </c>
      <c r="C10" s="179">
        <f>41500+63350</f>
        <v>104850</v>
      </c>
      <c r="D10" s="30">
        <v>600</v>
      </c>
      <c r="E10" s="206">
        <f>38750+26900</f>
        <v>65650</v>
      </c>
      <c r="F10" s="30">
        <v>650</v>
      </c>
      <c r="G10" s="179">
        <f>32400+20300</f>
        <v>52700</v>
      </c>
      <c r="H10" s="30">
        <f>150+200</f>
        <v>350</v>
      </c>
      <c r="I10" s="179">
        <f>48600+34650</f>
        <v>83250</v>
      </c>
      <c r="J10" s="30">
        <v>600</v>
      </c>
      <c r="L10" s="42">
        <f t="shared" si="5"/>
        <v>306450</v>
      </c>
      <c r="M10" s="42">
        <f t="shared" si="4"/>
        <v>2200</v>
      </c>
    </row>
    <row r="11" spans="1:13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206"/>
      <c r="F11" s="30" t="str">
        <f t="shared" si="0"/>
        <v/>
      </c>
      <c r="G11" s="179"/>
      <c r="H11" s="30" t="str">
        <f t="shared" si="0"/>
        <v/>
      </c>
      <c r="I11" s="179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7" t="str">
        <f>Vendedor9!$B$2</f>
        <v>JUAN FELIX</v>
      </c>
      <c r="C12" s="179">
        <v>13100</v>
      </c>
      <c r="D12" s="30">
        <f t="shared" si="0"/>
        <v>0</v>
      </c>
      <c r="E12" s="206">
        <v>12400</v>
      </c>
      <c r="F12" s="30">
        <f t="shared" si="0"/>
        <v>0</v>
      </c>
      <c r="G12" s="179"/>
      <c r="H12" s="30" t="str">
        <f t="shared" si="0"/>
        <v/>
      </c>
      <c r="I12" s="179"/>
      <c r="J12" s="30" t="str">
        <f t="shared" si="0"/>
        <v/>
      </c>
      <c r="L12" s="42">
        <f t="shared" si="5"/>
        <v>25500</v>
      </c>
      <c r="M12" s="42">
        <f t="shared" si="4"/>
        <v>0</v>
      </c>
    </row>
    <row r="13" spans="1:13" x14ac:dyDescent="0.35">
      <c r="A13" s="47">
        <v>10</v>
      </c>
      <c r="B13" s="177" t="str">
        <f>Vendedor10!$B$2</f>
        <v>MARIALIZ</v>
      </c>
      <c r="C13" s="179">
        <v>10100</v>
      </c>
      <c r="D13" s="30">
        <f t="shared" si="0"/>
        <v>0</v>
      </c>
      <c r="E13" s="206">
        <v>5300</v>
      </c>
      <c r="F13" s="30">
        <v>300</v>
      </c>
      <c r="G13" s="179">
        <v>4300</v>
      </c>
      <c r="H13" s="30">
        <f t="shared" si="0"/>
        <v>0</v>
      </c>
      <c r="I13" s="179">
        <v>2700</v>
      </c>
      <c r="J13" s="30">
        <f t="shared" si="0"/>
        <v>0</v>
      </c>
      <c r="L13" s="42">
        <f t="shared" si="5"/>
        <v>22400</v>
      </c>
      <c r="M13" s="42">
        <f t="shared" si="4"/>
        <v>0</v>
      </c>
    </row>
    <row r="14" spans="1:13" x14ac:dyDescent="0.35">
      <c r="A14" s="189">
        <v>11</v>
      </c>
      <c r="B14" s="182" t="str">
        <f>Vendedor11!$B$2</f>
        <v>CHARLY</v>
      </c>
      <c r="C14" s="183"/>
      <c r="D14" s="184" t="str">
        <f t="shared" si="0"/>
        <v/>
      </c>
      <c r="E14" s="207"/>
      <c r="F14" s="184" t="str">
        <f t="shared" si="0"/>
        <v/>
      </c>
      <c r="G14" s="183"/>
      <c r="H14" s="184" t="str">
        <f t="shared" si="0"/>
        <v/>
      </c>
      <c r="I14" s="183"/>
      <c r="J14" s="184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206"/>
      <c r="F15" s="30" t="str">
        <f t="shared" si="0"/>
        <v/>
      </c>
      <c r="G15" s="179"/>
      <c r="H15" s="30" t="str">
        <f t="shared" si="0"/>
        <v/>
      </c>
      <c r="I15" s="179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7" t="str">
        <f>Vendedor13!$B$2</f>
        <v>MINERO</v>
      </c>
      <c r="C16" s="179">
        <v>13800</v>
      </c>
      <c r="D16" s="30">
        <f t="shared" si="0"/>
        <v>0</v>
      </c>
      <c r="E16" s="206">
        <v>3700</v>
      </c>
      <c r="F16" s="30">
        <f t="shared" si="0"/>
        <v>0</v>
      </c>
      <c r="G16" s="179">
        <v>10400</v>
      </c>
      <c r="H16" s="30">
        <f t="shared" si="0"/>
        <v>0</v>
      </c>
      <c r="I16" s="179">
        <v>2000</v>
      </c>
      <c r="J16" s="30">
        <f t="shared" si="0"/>
        <v>0</v>
      </c>
      <c r="L16" s="42">
        <f t="shared" si="5"/>
        <v>29900</v>
      </c>
      <c r="M16" s="42">
        <f t="shared" si="4"/>
        <v>0</v>
      </c>
    </row>
    <row r="17" spans="1:13" x14ac:dyDescent="0.35">
      <c r="A17" s="47">
        <v>14</v>
      </c>
      <c r="B17" s="177" t="str">
        <f>Vendedor14!$B$2</f>
        <v>EDUARDO TIEMPOS LICORERA</v>
      </c>
      <c r="C17" s="179">
        <v>101050</v>
      </c>
      <c r="D17" s="30">
        <v>100</v>
      </c>
      <c r="E17" s="206">
        <v>73350</v>
      </c>
      <c r="F17" s="30">
        <v>200</v>
      </c>
      <c r="G17" s="179">
        <v>70250</v>
      </c>
      <c r="H17" s="30">
        <v>3350</v>
      </c>
      <c r="I17" s="179">
        <v>125850</v>
      </c>
      <c r="J17" s="30">
        <v>10000</v>
      </c>
      <c r="L17" s="42">
        <f t="shared" si="5"/>
        <v>370500</v>
      </c>
      <c r="M17" s="42">
        <f t="shared" si="4"/>
        <v>13650</v>
      </c>
    </row>
    <row r="18" spans="1:13" x14ac:dyDescent="0.35">
      <c r="A18" s="47">
        <v>15</v>
      </c>
      <c r="B18" s="177" t="str">
        <f>Vendedor15!$B$2</f>
        <v>EDUARDO PUESTO CENTRO</v>
      </c>
      <c r="C18" s="179">
        <v>58550</v>
      </c>
      <c r="D18" s="30">
        <f t="shared" si="0"/>
        <v>0</v>
      </c>
      <c r="E18" s="206">
        <v>27850</v>
      </c>
      <c r="F18" s="30">
        <f t="shared" si="0"/>
        <v>0</v>
      </c>
      <c r="G18" s="179">
        <v>32800</v>
      </c>
      <c r="H18" s="30">
        <v>900</v>
      </c>
      <c r="I18" s="179">
        <v>22100</v>
      </c>
      <c r="J18" s="30">
        <v>550</v>
      </c>
      <c r="L18" s="42">
        <f t="shared" si="5"/>
        <v>141300</v>
      </c>
      <c r="M18" s="42">
        <f t="shared" si="4"/>
        <v>0</v>
      </c>
    </row>
    <row r="19" spans="1:13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206"/>
      <c r="F19" s="30" t="str">
        <f t="shared" si="0"/>
        <v/>
      </c>
      <c r="G19" s="179"/>
      <c r="H19" s="30" t="str">
        <f t="shared" si="1"/>
        <v/>
      </c>
      <c r="I19" s="179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206"/>
      <c r="F20" s="30" t="str">
        <f t="shared" si="0"/>
        <v/>
      </c>
      <c r="G20" s="179"/>
      <c r="H20" s="30" t="str">
        <f t="shared" si="1"/>
        <v/>
      </c>
      <c r="I20" s="179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206"/>
      <c r="F21" s="30" t="str">
        <f t="shared" si="0"/>
        <v/>
      </c>
      <c r="G21" s="179"/>
      <c r="H21" s="30" t="str">
        <f t="shared" si="1"/>
        <v/>
      </c>
      <c r="I21" s="179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206"/>
      <c r="F22" s="30" t="str">
        <f t="shared" si="0"/>
        <v/>
      </c>
      <c r="G22" s="179"/>
      <c r="H22" s="30" t="str">
        <f t="shared" si="1"/>
        <v/>
      </c>
      <c r="I22" s="179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206"/>
      <c r="F23" s="30" t="str">
        <f t="shared" si="0"/>
        <v/>
      </c>
      <c r="G23" s="179"/>
      <c r="H23" s="30" t="str">
        <f t="shared" si="1"/>
        <v/>
      </c>
      <c r="I23" s="179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206"/>
      <c r="F24" s="30" t="str">
        <f t="shared" si="0"/>
        <v/>
      </c>
      <c r="G24" s="179"/>
      <c r="H24" s="30" t="str">
        <f t="shared" si="1"/>
        <v/>
      </c>
      <c r="I24" s="179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206"/>
      <c r="F25" s="30" t="str">
        <f t="shared" si="0"/>
        <v/>
      </c>
      <c r="G25" s="179"/>
      <c r="H25" s="30" t="str">
        <f t="shared" si="1"/>
        <v/>
      </c>
      <c r="I25" s="179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206"/>
      <c r="F26" s="30" t="str">
        <f t="shared" si="0"/>
        <v/>
      </c>
      <c r="G26" s="179"/>
      <c r="H26" s="30" t="str">
        <f t="shared" si="1"/>
        <v/>
      </c>
      <c r="I26" s="179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208"/>
      <c r="F27" s="50"/>
      <c r="G27" s="180"/>
      <c r="H27" s="50" t="str">
        <f t="shared" si="1"/>
        <v/>
      </c>
      <c r="I27" s="180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399550</v>
      </c>
      <c r="D32" s="44">
        <f t="shared" si="7"/>
        <v>1350</v>
      </c>
      <c r="E32" s="43">
        <f t="shared" si="7"/>
        <v>218600</v>
      </c>
      <c r="F32" s="44">
        <f t="shared" si="7"/>
        <v>1250</v>
      </c>
      <c r="G32" s="43">
        <f t="shared" si="7"/>
        <v>184500</v>
      </c>
      <c r="H32" s="44">
        <f t="shared" si="7"/>
        <v>4600</v>
      </c>
      <c r="I32" s="43">
        <f t="shared" si="7"/>
        <v>263350</v>
      </c>
      <c r="J32" s="44">
        <f t="shared" si="7"/>
        <v>11150</v>
      </c>
      <c r="L32" s="95">
        <f>SUM(L9:L31)</f>
        <v>896050</v>
      </c>
      <c r="M32" s="95">
        <f>SUM(M9:M31)</f>
        <v>15850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IF(C33=0,"",CONCATENATE(PREMIOS!$B7," ",PREMIOS!$B8))</f>
        <v>82 Blanca</v>
      </c>
      <c r="D2" s="267"/>
      <c r="E2" s="266" t="str">
        <f>IF(E33=0,"",CONCATENATE(PREMIOS!$B11," ",PREMIOS!$B12))</f>
        <v>66 Blanca</v>
      </c>
      <c r="F2" s="267"/>
      <c r="G2" s="266" t="str">
        <f>IF(G33=0,"",CONCATENATE(PREMIOS!$B15," ",PREMIOS!$B16))</f>
        <v>96 Blanca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14300+2000</f>
        <v>16300</v>
      </c>
      <c r="D10" s="30">
        <f t="shared" si="0"/>
        <v>0</v>
      </c>
      <c r="E10" s="179">
        <f>18350+4300</f>
        <v>22650</v>
      </c>
      <c r="F10" s="30">
        <f t="shared" si="0"/>
        <v>0</v>
      </c>
      <c r="G10" s="179">
        <f>27800+5650</f>
        <v>33450</v>
      </c>
      <c r="H10" s="30">
        <f t="shared" si="0"/>
        <v>0</v>
      </c>
      <c r="J10" s="42">
        <f t="shared" si="3"/>
        <v>72400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200</v>
      </c>
      <c r="D12" s="30">
        <f t="shared" si="0"/>
        <v>0</v>
      </c>
      <c r="E12" s="179">
        <v>1100</v>
      </c>
      <c r="F12" s="30">
        <f t="shared" si="1"/>
        <v>0</v>
      </c>
      <c r="G12" s="179"/>
      <c r="H12" s="30" t="str">
        <f t="shared" si="0"/>
        <v/>
      </c>
      <c r="J12" s="42">
        <f t="shared" si="3"/>
        <v>1300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>
        <v>2000</v>
      </c>
      <c r="D16" s="194">
        <f t="shared" si="0"/>
        <v>0</v>
      </c>
      <c r="E16" s="193">
        <v>0</v>
      </c>
      <c r="F16" s="194">
        <f t="shared" si="1"/>
        <v>0</v>
      </c>
      <c r="G16" s="193">
        <v>3500</v>
      </c>
      <c r="H16" s="194">
        <f t="shared" si="0"/>
        <v>0</v>
      </c>
      <c r="J16" s="42">
        <f t="shared" si="3"/>
        <v>5500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>
        <v>23050</v>
      </c>
      <c r="D17" s="30">
        <f t="shared" si="0"/>
        <v>0</v>
      </c>
      <c r="E17" s="179">
        <v>11200</v>
      </c>
      <c r="F17" s="30">
        <v>400</v>
      </c>
      <c r="G17" s="179">
        <v>32350</v>
      </c>
      <c r="H17" s="30">
        <v>500</v>
      </c>
      <c r="J17" s="42">
        <f t="shared" si="3"/>
        <v>66600</v>
      </c>
      <c r="K17" s="42">
        <f t="shared" si="4"/>
        <v>900</v>
      </c>
    </row>
    <row r="18" spans="1:11" x14ac:dyDescent="0.35">
      <c r="A18" s="47">
        <v>15</v>
      </c>
      <c r="B18" s="177" t="str">
        <f>Vendedor15!$B$2</f>
        <v>EDUARDO PUESTO CENTRO</v>
      </c>
      <c r="C18" s="179">
        <v>11050</v>
      </c>
      <c r="D18" s="30">
        <f t="shared" si="0"/>
        <v>0</v>
      </c>
      <c r="E18" s="179">
        <v>8450</v>
      </c>
      <c r="F18" s="30">
        <v>100</v>
      </c>
      <c r="G18" s="179">
        <v>18400</v>
      </c>
      <c r="H18" s="30">
        <f t="shared" si="0"/>
        <v>0</v>
      </c>
      <c r="J18" s="42">
        <f t="shared" si="3"/>
        <v>37900</v>
      </c>
      <c r="K18" s="42">
        <f t="shared" si="4"/>
        <v>100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52600</v>
      </c>
      <c r="D33" s="44">
        <f t="shared" si="7"/>
        <v>0</v>
      </c>
      <c r="E33" s="43">
        <f t="shared" si="7"/>
        <v>43400</v>
      </c>
      <c r="F33" s="44">
        <f t="shared" si="7"/>
        <v>500</v>
      </c>
      <c r="G33" s="43">
        <f t="shared" si="7"/>
        <v>87700</v>
      </c>
      <c r="H33" s="44">
        <f t="shared" si="7"/>
        <v>500</v>
      </c>
      <c r="J33" s="45">
        <f>SUM(J4:J32)</f>
        <v>183700</v>
      </c>
      <c r="K33" s="95">
        <f>SUM(K4:K32)</f>
        <v>1000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F34" sqref="F3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 x14ac:dyDescent="0.35">
      <c r="C2" s="266">
        <f>IF(PREMIOS!$B19="","",PREMIOS!$B19)</f>
        <v>44</v>
      </c>
      <c r="D2" s="267"/>
      <c r="E2" s="266">
        <f>IF(PREMIOS!$C19="","",PREMIOS!$C19)</f>
        <v>69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88">
        <v>11300</v>
      </c>
      <c r="D4" s="78">
        <f t="shared" ref="D4:F27" si="0">IF(C4="","",0)</f>
        <v>0</v>
      </c>
      <c r="E4" s="188"/>
      <c r="F4" s="78" t="str">
        <f t="shared" si="0"/>
        <v/>
      </c>
      <c r="H4" s="42">
        <f>+C4+E4</f>
        <v>11300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79">
        <v>3800</v>
      </c>
      <c r="D5" s="30">
        <f t="shared" si="0"/>
        <v>0</v>
      </c>
      <c r="E5" s="179"/>
      <c r="F5" s="30" t="str">
        <f t="shared" ref="F5:F26" si="1">IF(E5="","",0)</f>
        <v/>
      </c>
      <c r="H5" s="42">
        <f t="shared" ref="H5:H32" si="2">+C5+E5</f>
        <v>3800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3">
        <v>13800</v>
      </c>
      <c r="D8" s="30">
        <f t="shared" si="0"/>
        <v>0</v>
      </c>
      <c r="E8" s="193">
        <v>4900</v>
      </c>
      <c r="F8" s="194">
        <f t="shared" si="1"/>
        <v>0</v>
      </c>
      <c r="H8" s="42">
        <f t="shared" si="2"/>
        <v>18700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3"/>
      <c r="D9" s="30" t="str">
        <f t="shared" si="0"/>
        <v/>
      </c>
      <c r="E9" s="193"/>
      <c r="F9" s="19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22550</v>
      </c>
      <c r="D10" s="30">
        <f t="shared" si="0"/>
        <v>0</v>
      </c>
      <c r="E10" s="179">
        <v>20750</v>
      </c>
      <c r="F10" s="194">
        <f t="shared" si="1"/>
        <v>0</v>
      </c>
      <c r="H10" s="42">
        <f t="shared" si="2"/>
        <v>43300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3">
        <v>36400</v>
      </c>
      <c r="D12" s="30">
        <f t="shared" si="0"/>
        <v>0</v>
      </c>
      <c r="E12" s="193">
        <v>4100</v>
      </c>
      <c r="F12" s="30">
        <f t="shared" si="0"/>
        <v>0</v>
      </c>
      <c r="H12" s="42">
        <f t="shared" si="2"/>
        <v>40500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3">
        <v>4400</v>
      </c>
      <c r="D16" s="194">
        <f t="shared" si="0"/>
        <v>0</v>
      </c>
      <c r="E16" s="193">
        <v>7600</v>
      </c>
      <c r="F16" s="194">
        <v>500</v>
      </c>
      <c r="H16" s="42">
        <f t="shared" si="2"/>
        <v>12000</v>
      </c>
      <c r="I16" s="42">
        <f t="shared" si="3"/>
        <v>500</v>
      </c>
    </row>
    <row r="17" spans="1:9" x14ac:dyDescent="0.35">
      <c r="A17" s="47">
        <v>14</v>
      </c>
      <c r="B17" s="177" t="str">
        <f>Vendedor14!$B$2</f>
        <v>EDUARDO TIEMPOS LICORERA</v>
      </c>
      <c r="C17" s="179">
        <v>81150</v>
      </c>
      <c r="D17" s="194">
        <v>700</v>
      </c>
      <c r="E17" s="179">
        <v>29400</v>
      </c>
      <c r="F17" s="30">
        <f t="shared" si="0"/>
        <v>0</v>
      </c>
      <c r="H17" s="42">
        <f t="shared" si="2"/>
        <v>110550</v>
      </c>
      <c r="I17" s="42">
        <f t="shared" si="3"/>
        <v>700</v>
      </c>
    </row>
    <row r="18" spans="1:9" x14ac:dyDescent="0.35">
      <c r="A18" s="47">
        <v>15</v>
      </c>
      <c r="B18" s="177" t="str">
        <f>Vendedor15!$B$2</f>
        <v>EDUARDO PUESTO CENTRO</v>
      </c>
      <c r="C18" s="179">
        <v>54750</v>
      </c>
      <c r="D18" s="194">
        <v>450</v>
      </c>
      <c r="E18" s="179">
        <v>23100</v>
      </c>
      <c r="F18" s="30">
        <f t="shared" si="0"/>
        <v>0</v>
      </c>
      <c r="H18" s="42">
        <f t="shared" si="2"/>
        <v>77850</v>
      </c>
      <c r="I18" s="42">
        <f t="shared" si="3"/>
        <v>450</v>
      </c>
    </row>
    <row r="19" spans="1:9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>
        <v>650</v>
      </c>
      <c r="H27" s="42">
        <f t="shared" si="2"/>
        <v>0</v>
      </c>
      <c r="I27" s="42">
        <f t="shared" si="3"/>
        <v>0</v>
      </c>
    </row>
    <row r="28" spans="1:9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228150</v>
      </c>
      <c r="D33" s="44">
        <f>SUM(D4:D32)</f>
        <v>1150</v>
      </c>
      <c r="E33" s="43">
        <f>SUM(E4:E32)</f>
        <v>89850</v>
      </c>
      <c r="F33" s="44">
        <f>SUM(F4:F32)</f>
        <v>1150</v>
      </c>
      <c r="H33" s="95">
        <f>SUM(H4:H32)</f>
        <v>318000</v>
      </c>
      <c r="I33" s="95">
        <f>SUM(I4:I32)</f>
        <v>1650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 x14ac:dyDescent="0.35">
      <c r="C2" s="266">
        <f>IF(PREMIOS!$B20="","",PREMIOS!$B20)</f>
        <v>73</v>
      </c>
      <c r="D2" s="267"/>
      <c r="E2" s="266">
        <f>IF(PREMIOS!$C20="","",PREMIOS!$C20)</f>
        <v>87</v>
      </c>
      <c r="F2" s="267"/>
      <c r="G2" s="266" t="str">
        <f>IF(PREMIOS!$D20="","",PREMIOS!$D20)</f>
        <v>02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v>2700</v>
      </c>
      <c r="D10" s="194">
        <v>300</v>
      </c>
      <c r="E10" s="179">
        <v>9300</v>
      </c>
      <c r="F10" s="30">
        <f t="shared" si="0"/>
        <v>0</v>
      </c>
      <c r="G10" s="179">
        <v>7250</v>
      </c>
      <c r="H10" s="194">
        <f t="shared" si="0"/>
        <v>0</v>
      </c>
      <c r="J10" s="42">
        <f t="shared" si="3"/>
        <v>19250</v>
      </c>
      <c r="K10" s="42">
        <f t="shared" si="4"/>
        <v>300</v>
      </c>
    </row>
    <row r="11" spans="1:11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93"/>
      <c r="D12" s="194" t="str">
        <f t="shared" si="0"/>
        <v/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/>
      <c r="H16" s="194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93">
        <v>33850</v>
      </c>
      <c r="D17" s="194">
        <v>50</v>
      </c>
      <c r="E17" s="193">
        <v>6550</v>
      </c>
      <c r="F17" s="194">
        <v>50</v>
      </c>
      <c r="G17" s="193">
        <v>20750</v>
      </c>
      <c r="H17" s="194">
        <f t="shared" si="2"/>
        <v>0</v>
      </c>
      <c r="J17" s="42">
        <f t="shared" si="3"/>
        <v>61150</v>
      </c>
      <c r="K17" s="42">
        <f t="shared" si="4"/>
        <v>100</v>
      </c>
    </row>
    <row r="18" spans="1:11" x14ac:dyDescent="0.35">
      <c r="A18" s="47">
        <v>15</v>
      </c>
      <c r="B18" s="177" t="str">
        <f>Vendedor15!$B$2</f>
        <v>EDUARDO PUESTO CENTRO</v>
      </c>
      <c r="C18" s="179">
        <v>27500</v>
      </c>
      <c r="D18" s="194">
        <v>200</v>
      </c>
      <c r="E18" s="179">
        <v>10600</v>
      </c>
      <c r="F18" s="30">
        <v>200</v>
      </c>
      <c r="G18" s="179">
        <v>2500</v>
      </c>
      <c r="H18" s="30">
        <f t="shared" si="2"/>
        <v>0</v>
      </c>
      <c r="J18" s="42">
        <f t="shared" si="3"/>
        <v>40600</v>
      </c>
      <c r="K18" s="42">
        <f t="shared" si="4"/>
        <v>400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64050</v>
      </c>
      <c r="D33" s="44">
        <f t="shared" si="6"/>
        <v>550</v>
      </c>
      <c r="E33" s="43">
        <f t="shared" si="6"/>
        <v>26450</v>
      </c>
      <c r="F33" s="44">
        <f t="shared" si="6"/>
        <v>250</v>
      </c>
      <c r="G33" s="43">
        <f t="shared" si="6"/>
        <v>30500</v>
      </c>
      <c r="H33" s="44">
        <f t="shared" si="6"/>
        <v>0</v>
      </c>
      <c r="J33" s="45">
        <f>SUM(J4:J32)</f>
        <v>121000</v>
      </c>
      <c r="K33" s="95">
        <f>SUM(K4:K32)</f>
        <v>800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 x14ac:dyDescent="0.35">
      <c r="C2" s="266" t="str">
        <f>IF(PREMIOS!$B21="","",PREMIOS!$B21)</f>
        <v>01</v>
      </c>
      <c r="D2" s="267"/>
      <c r="E2" s="266">
        <f>IF(PREMIOS!$C21="","",PREMIOS!$C21)</f>
        <v>31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/>
      <c r="D10" s="30" t="str">
        <f t="shared" si="0"/>
        <v/>
      </c>
      <c r="E10" s="179">
        <v>5000</v>
      </c>
      <c r="F10" s="30">
        <v>2500</v>
      </c>
      <c r="H10" s="42">
        <f t="shared" si="2"/>
        <v>5000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5000</v>
      </c>
      <c r="F33" s="44">
        <f>SUM(F4:F32)</f>
        <v>2500</v>
      </c>
      <c r="H33" s="45">
        <f>SUM(H4:H32)</f>
        <v>5000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0" t="s">
        <v>109</v>
      </c>
      <c r="D1" s="271"/>
    </row>
    <row r="2" spans="1:4" ht="21" customHeight="1" x14ac:dyDescent="0.35">
      <c r="C2" s="266" t="str">
        <f>IF(PREMIOS!$B22="","",PREMIOS!$B22)</f>
        <v/>
      </c>
      <c r="D2" s="267"/>
    </row>
    <row r="3" spans="1:4" ht="21" customHeight="1" thickBot="1" x14ac:dyDescent="0.4">
      <c r="C3" s="266"/>
      <c r="D3" s="267"/>
    </row>
    <row r="4" spans="1:4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</row>
    <row r="10" spans="1:4" x14ac:dyDescent="0.35">
      <c r="A10" s="47">
        <v>7</v>
      </c>
      <c r="B10" s="177" t="str">
        <f>Vendedor7!$B$2</f>
        <v>PIKIS</v>
      </c>
      <c r="C10" s="179"/>
      <c r="D10" s="30" t="str">
        <f t="shared" si="0"/>
        <v/>
      </c>
    </row>
    <row r="11" spans="1:4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 x14ac:dyDescent="0.35">
      <c r="A28" s="185">
        <v>25</v>
      </c>
      <c r="B28" s="178" t="str">
        <f>Vendedor25!$B$2</f>
        <v>Vendedor 25</v>
      </c>
      <c r="C28" s="178"/>
      <c r="D28" s="178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2026-05-06T16:50:36Z</dcterms:modified>
  <dc:language>es-CR</dc:language>
</cp:coreProperties>
</file>
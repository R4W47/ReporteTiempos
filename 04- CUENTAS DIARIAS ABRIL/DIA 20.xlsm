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4- CUENTAS DIARIAS ABRIL/"/>
    </mc:Choice>
  </mc:AlternateContent>
  <xr:revisionPtr revIDLastSave="89" documentId="11_CCEA5C4048B217B8426B6FCCABE5D1C30E6253FB" xr6:coauthVersionLast="47" xr6:coauthVersionMax="47" xr10:uidLastSave="{C37FECE3-098E-4458-A4C7-CA2E4CA2122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H38" i="62"/>
  <c r="H37" i="62"/>
  <c r="G37" i="62"/>
  <c r="J34" i="61"/>
  <c r="H10" i="62"/>
  <c r="G10" i="62"/>
  <c r="E10" i="62"/>
  <c r="C10" i="62"/>
  <c r="J10" i="61"/>
  <c r="I10" i="61"/>
  <c r="H10" i="60"/>
  <c r="G10" i="60"/>
  <c r="H17" i="60"/>
  <c r="G17" i="60"/>
  <c r="H18" i="60"/>
  <c r="G18" i="60"/>
  <c r="F18" i="65"/>
  <c r="C10" i="64"/>
  <c r="C10" i="65"/>
  <c r="H10" i="61"/>
  <c r="G10" i="61"/>
  <c r="F10" i="61" l="1"/>
  <c r="E10" i="61"/>
  <c r="C10" i="61"/>
  <c r="E10" i="60"/>
  <c r="C10" i="60"/>
  <c r="E17" i="60"/>
  <c r="E18" i="60"/>
  <c r="C17" i="60"/>
  <c r="D18" i="60"/>
  <c r="C18" i="60"/>
  <c r="D18" i="64" l="1"/>
  <c r="D11" i="65"/>
  <c r="D9" i="61"/>
  <c r="E23" i="15"/>
  <c r="F23" i="15" s="1"/>
  <c r="C23" i="15"/>
  <c r="D23" i="15" s="1"/>
  <c r="C22" i="15"/>
  <c r="D22" i="15" s="1"/>
  <c r="C21" i="15"/>
  <c r="C16" i="71" s="1"/>
  <c r="H16" i="64"/>
  <c r="D16" i="64"/>
  <c r="E21" i="15" s="1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E16" i="71" l="1"/>
  <c r="G16" i="71"/>
  <c r="H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6" i="60"/>
  <c r="D15" i="60"/>
  <c r="D14" i="60"/>
  <c r="D12" i="60"/>
  <c r="D11" i="60"/>
  <c r="D9" i="60"/>
  <c r="D7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8" i="65"/>
  <c r="F18" i="62"/>
  <c r="F10" i="62"/>
  <c r="D5" i="61"/>
  <c r="F16" i="61"/>
  <c r="D6" i="60"/>
  <c r="F18" i="60"/>
  <c r="F15" i="60"/>
  <c r="F14" i="60"/>
  <c r="F13" i="60"/>
  <c r="F12" i="60"/>
  <c r="F11" i="60"/>
  <c r="F9" i="60"/>
  <c r="F8" i="60"/>
  <c r="F7" i="60"/>
  <c r="F6" i="60"/>
  <c r="H15" i="60"/>
  <c r="H11" i="60"/>
  <c r="H9" i="60"/>
  <c r="H7" i="60"/>
  <c r="H6" i="60"/>
  <c r="F18" i="21"/>
  <c r="F14" i="21"/>
  <c r="F10" i="21"/>
  <c r="F6" i="21"/>
  <c r="D17" i="64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3" i="61"/>
  <c r="J12" i="61"/>
  <c r="J11" i="61"/>
  <c r="J9" i="61"/>
  <c r="J7" i="61"/>
  <c r="F15" i="61"/>
  <c r="F14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E5" i="16"/>
  <c r="H34" i="60" l="1"/>
  <c r="F35" i="60"/>
  <c r="D36" i="60"/>
  <c r="D35" i="60"/>
  <c r="E7" i="16"/>
  <c r="F34" i="60"/>
  <c r="D34" i="60"/>
  <c r="J8" i="14"/>
  <c r="D21" i="14"/>
  <c r="C12" i="71"/>
  <c r="D22" i="14"/>
  <c r="K15" i="14" s="1"/>
  <c r="G12" i="71"/>
  <c r="E19" i="16"/>
  <c r="D20" i="16"/>
  <c r="F18" i="64"/>
  <c r="F17" i="62"/>
  <c r="E11" i="16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6" i="61"/>
  <c r="H15" i="61"/>
  <c r="H14" i="61"/>
  <c r="H12" i="61"/>
  <c r="H11" i="61"/>
  <c r="E13" i="16" s="1"/>
  <c r="H35" i="60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H36" i="60" l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29" i="73"/>
  <c r="F28" i="73"/>
  <c r="H20" i="73"/>
  <c r="I20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3" i="73"/>
  <c r="F16" i="73"/>
  <c r="F15" i="73"/>
  <c r="F14" i="73"/>
  <c r="G14" i="73" s="1"/>
  <c r="L14" i="73" s="1"/>
  <c r="F13" i="73"/>
  <c r="F12" i="73"/>
  <c r="F11" i="73"/>
  <c r="G11" i="73" s="1"/>
  <c r="L11" i="73" s="1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B23" i="73"/>
  <c r="D22" i="73"/>
  <c r="H22" i="73" s="1"/>
  <c r="I22" i="73" s="1"/>
  <c r="C22" i="73"/>
  <c r="F22" i="73" s="1"/>
  <c r="B22" i="73"/>
  <c r="D21" i="73"/>
  <c r="H21" i="73" s="1"/>
  <c r="I21" i="73" s="1"/>
  <c r="C21" i="73"/>
  <c r="F21" i="73" s="1"/>
  <c r="B21" i="73"/>
  <c r="D20" i="73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B10" i="73"/>
  <c r="G7" i="73"/>
  <c r="L7" i="73" s="1"/>
  <c r="B7" i="73"/>
  <c r="B6" i="73"/>
  <c r="B5" i="73"/>
  <c r="G4" i="73"/>
  <c r="B4" i="73"/>
  <c r="H18" i="72"/>
  <c r="D17" i="72"/>
  <c r="H17" i="72"/>
  <c r="F31" i="72"/>
  <c r="E31" i="72"/>
  <c r="D31" i="72"/>
  <c r="C31" i="72"/>
  <c r="B31" i="72"/>
  <c r="F30" i="72"/>
  <c r="E30" i="72"/>
  <c r="D30" i="72"/>
  <c r="C30" i="72"/>
  <c r="H30" i="72" s="1"/>
  <c r="B30" i="72"/>
  <c r="F29" i="72"/>
  <c r="E29" i="72"/>
  <c r="D29" i="72"/>
  <c r="J29" i="72" s="1"/>
  <c r="K29" i="72" s="1"/>
  <c r="C29" i="72"/>
  <c r="H29" i="72" s="1"/>
  <c r="I29" i="72" s="1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K26" i="72" s="1"/>
  <c r="C26" i="72"/>
  <c r="B26" i="72"/>
  <c r="I25" i="72"/>
  <c r="H25" i="72"/>
  <c r="F25" i="72"/>
  <c r="E25" i="72"/>
  <c r="D25" i="72"/>
  <c r="J25" i="72" s="1"/>
  <c r="K25" i="72" s="1"/>
  <c r="C25" i="72"/>
  <c r="B25" i="72"/>
  <c r="F24" i="72"/>
  <c r="E24" i="72"/>
  <c r="D24" i="72"/>
  <c r="J24" i="72" s="1"/>
  <c r="K24" i="72" s="1"/>
  <c r="C24" i="72"/>
  <c r="B24" i="72"/>
  <c r="F23" i="72"/>
  <c r="E23" i="72"/>
  <c r="D23" i="72"/>
  <c r="J23" i="72" s="1"/>
  <c r="K23" i="72" s="1"/>
  <c r="C23" i="72"/>
  <c r="B23" i="72"/>
  <c r="F22" i="72"/>
  <c r="E22" i="72"/>
  <c r="D22" i="72"/>
  <c r="J22" i="72" s="1"/>
  <c r="K22" i="72" s="1"/>
  <c r="C22" i="72"/>
  <c r="H22" i="72" s="1"/>
  <c r="B22" i="72"/>
  <c r="F21" i="72"/>
  <c r="E21" i="72"/>
  <c r="H21" i="72" s="1"/>
  <c r="D21" i="72"/>
  <c r="C21" i="72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I12" i="72"/>
  <c r="N12" i="72" s="1"/>
  <c r="H12" i="72"/>
  <c r="B12" i="72"/>
  <c r="J11" i="72"/>
  <c r="K11" i="72" s="1"/>
  <c r="I11" i="72"/>
  <c r="N11" i="72" s="1"/>
  <c r="H11" i="72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I7" i="72"/>
  <c r="H7" i="72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L29" i="71" s="1"/>
  <c r="M29" i="71" s="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M25" i="71" s="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8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I15" i="66" s="1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9" i="64" s="1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4" i="66"/>
  <c r="I13" i="66"/>
  <c r="I12" i="66"/>
  <c r="I11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C24" i="70"/>
  <c r="H24" i="70" s="1"/>
  <c r="B24" i="70"/>
  <c r="F23" i="70"/>
  <c r="E23" i="70"/>
  <c r="D23" i="70"/>
  <c r="C23" i="70"/>
  <c r="H23" i="70" s="1"/>
  <c r="B23" i="70"/>
  <c r="F22" i="70"/>
  <c r="E22" i="70"/>
  <c r="D22" i="70"/>
  <c r="J22" i="70" s="1"/>
  <c r="K22" i="70" s="1"/>
  <c r="C22" i="70"/>
  <c r="H22" i="70" s="1"/>
  <c r="B22" i="70"/>
  <c r="F21" i="70"/>
  <c r="E21" i="70"/>
  <c r="D21" i="70"/>
  <c r="C21" i="70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H29" i="66"/>
  <c r="J23" i="70"/>
  <c r="K23" i="70" s="1"/>
  <c r="L22" i="71"/>
  <c r="M22" i="71" s="1"/>
  <c r="L6" i="6"/>
  <c r="K20" i="19"/>
  <c r="K9" i="19"/>
  <c r="L21" i="71"/>
  <c r="M21" i="71" s="1"/>
  <c r="J22" i="71"/>
  <c r="J31" i="71"/>
  <c r="D18" i="72"/>
  <c r="J31" i="64"/>
  <c r="E33" i="66"/>
  <c r="L9" i="19"/>
  <c r="L20" i="71"/>
  <c r="M20" i="71" s="1"/>
  <c r="J30" i="71"/>
  <c r="K30" i="71" s="1"/>
  <c r="I15" i="72"/>
  <c r="N15" i="72" s="1"/>
  <c r="H24" i="72"/>
  <c r="H31" i="72"/>
  <c r="E27" i="72"/>
  <c r="L7" i="23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K28" i="70"/>
  <c r="F25" i="19"/>
  <c r="F18" i="72"/>
  <c r="N25" i="72"/>
  <c r="H30" i="66"/>
  <c r="H21" i="70"/>
  <c r="J24" i="70"/>
  <c r="K24" i="70" s="1"/>
  <c r="L28" i="71"/>
  <c r="M28" i="71" s="1"/>
  <c r="H23" i="72"/>
  <c r="J30" i="72"/>
  <c r="K30" i="72" s="1"/>
  <c r="K27" i="64"/>
  <c r="J21" i="70"/>
  <c r="K21" i="70" s="1"/>
  <c r="F22" i="15"/>
  <c r="L8" i="15" s="1"/>
  <c r="F16" i="71"/>
  <c r="L16" i="71" s="1"/>
  <c r="M16" i="71" s="1"/>
  <c r="G22" i="15"/>
  <c r="J7" i="19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K28" i="71" s="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0" i="21" l="1"/>
  <c r="K10" i="21"/>
  <c r="L27" i="70"/>
  <c r="K21" i="19"/>
  <c r="K10" i="19"/>
  <c r="K21" i="8"/>
  <c r="K10" i="8"/>
  <c r="L27" i="71"/>
  <c r="M27" i="71" s="1"/>
  <c r="N27" i="7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L6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J4" i="23" s="1"/>
  <c r="C5" i="23"/>
  <c r="L5" i="23" l="1"/>
  <c r="J6" i="23"/>
  <c r="L4" i="23"/>
  <c r="M22" i="52"/>
  <c r="F17" i="52"/>
  <c r="F12" i="8"/>
  <c r="M24" i="52"/>
  <c r="M26" i="52"/>
  <c r="J5" i="23"/>
  <c r="M23" i="52"/>
  <c r="J5" i="19"/>
  <c r="C24" i="15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E32" i="61" s="1"/>
  <c r="D29" i="61"/>
  <c r="C29" i="61"/>
  <c r="B29" i="61"/>
  <c r="J28" i="61"/>
  <c r="I28" i="61"/>
  <c r="H28" i="61"/>
  <c r="G28" i="61"/>
  <c r="F28" i="61"/>
  <c r="E28" i="61"/>
  <c r="D28" i="6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L6" i="22" l="1"/>
  <c r="F32" i="60"/>
  <c r="D32" i="61"/>
  <c r="K4" i="23"/>
  <c r="G32" i="60"/>
  <c r="L19" i="59"/>
  <c r="H32" i="60"/>
  <c r="G32" i="61"/>
  <c r="F32" i="61"/>
  <c r="L6" i="25"/>
  <c r="H32" i="61"/>
  <c r="K6" i="23"/>
  <c r="K5" i="19"/>
  <c r="E32" i="60"/>
  <c r="J32" i="61"/>
  <c r="F24" i="15"/>
  <c r="D24" i="15"/>
  <c r="L5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 s="1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G2" i="62" l="1"/>
  <c r="H35" i="62"/>
  <c r="H36" i="62" s="1"/>
  <c r="J40" i="60"/>
  <c r="H40" i="60"/>
  <c r="H33" i="60"/>
  <c r="H41" i="60"/>
  <c r="G39" i="60" s="1"/>
  <c r="G40" i="60" s="1"/>
  <c r="M7" i="52"/>
  <c r="K6" i="22"/>
  <c r="M4" i="52"/>
  <c r="R29" i="59"/>
  <c r="M6" i="52"/>
  <c r="M5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5" i="58"/>
  <c r="P24" i="58"/>
  <c r="P23" i="58"/>
  <c r="P20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4" i="52"/>
  <c r="C23" i="1" s="1"/>
  <c r="B23" i="1"/>
  <c r="K22" i="52"/>
  <c r="C21" i="1" s="1"/>
  <c r="B21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6" i="52" l="1"/>
  <c r="C5" i="1" s="1"/>
  <c r="B5" i="1"/>
  <c r="K23" i="52"/>
  <c r="C22" i="1" s="1"/>
  <c r="B22" i="1"/>
  <c r="K5" i="52"/>
  <c r="C4" i="1" s="1"/>
  <c r="B4" i="1"/>
  <c r="K4" i="52"/>
  <c r="C3" i="1" s="1"/>
  <c r="B3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D39" i="52" s="1"/>
  <c r="D7" i="69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<sst xmlns="http://schemas.openxmlformats.org/spreadsheetml/2006/main" count="1296" uniqueCount="162">
  <si>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</si>
  <si>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</si>
  <si>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</si>
  <si>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</si>
  <si>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</si>
  <si>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</si>
  <si>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</si>
  <si>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</si>
  <si>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</si>
  <si>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</si>
  <si>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</si>
  <si>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</si>
  <si>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</si>
  <si>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</si>
  <si>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</si>
  <si>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</si>
  <si>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</si>
  <si>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</si>
  <si>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</si>
  <si>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</si>
  <si>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</si>
  <si>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</si>
  <si>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</si>
  <si>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</si>
  <si>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</si>
  <si>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</si>
  <si>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</si>
  <si>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</si>
  <si>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</si>
  <si>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</si>
  <si>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</si>
  <si>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</si>
  <si>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</si>
  <si>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</si>
  <si>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</si>
  <si>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</si>
  <si>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</si>
  <si>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</si>
  <si>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</si>
  <si>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</si>
  <si>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</si>
  <si>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</si>
  <si>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</si>
  <si>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</si>
  <si>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</si>
  <si>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</si>
  <si>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</si>
  <si>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</si>
  <si>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</si>
  <si>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</si>
  <si>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</si>
  <si>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</si>
  <si>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</si>
  <si>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</si>
  <si>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</si>
  <si>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</si>
  <si>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</si>
  <si>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</si>
  <si>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</si>
  <si>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</si>
  <si>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</si>
  <si>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</si>
  <si>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</si>
  <si>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</si>
  <si>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</si>
  <si>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</si>
  <si>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</si>
  <si>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</si>
  <si>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</si>
  <si>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</si>
  <si>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</si>
  <si>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</si>
  <si>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</si>
  <si>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</si>
  <si>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</si>
  <si>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</si>
  <si>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</si>
  <si>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</si>
  <si>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</si>
  <si>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</si>
  <si>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</si>
  <si>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</si>
  <si>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</si>
  <si>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</si>
  <si>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</si>
  <si>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</si>
  <si>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</si>
  <si>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</si>
  <si>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</si>
  <si>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</si>
  <si>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</si>
  <si>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</si>
  <si>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</si>
  <si>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</si>
  <si>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</si>
  <si>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</si>
  <si>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</si>
  <si>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</si>
  <si>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</si>
  <si>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</si>
  <si>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</si>
  <si>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</si>
  <si>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</si>
  <si>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</si>
  <si>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</si>
  <si>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</si>
  <si>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</si>
  <si>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</si>
  <si>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</si>
  <si>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</si>
  <si>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</si>
  <si>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</si>
  <si>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</si>
  <si>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</si>
  <si>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</si>
  <si>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</si>
  <si>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</si>
  <si>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</si>
  <si>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</si>
  <si>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</si>
  <si>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</si>
  <si>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</si>
  <si>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</si>
  <si>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</si>
  <si>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</si>
  <si>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</si>
  <si>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</si>
  <si>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</si>
  <si>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</si>
  <si>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</si>
  <si>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</si>
  <si>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</si>
  <si>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</si>
  <si>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</si>
  <si>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</si>
  <si>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</si>
  <si>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</si>
  <si>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</si>
  <si>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</si>
  <si>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</si>
  <si>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</si>
  <si>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</si>
  <si>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</si>
  <si>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</si>
  <si>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</si>
  <si>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</si>
  <si>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</si>
  <si>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</si>
  <si>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</si>
  <si>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</si>
  <si>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</si>
  <si>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</si>
  <si>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</si>
  <si>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</si>
  <si>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</si>
  <si>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</si>
  <si>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</si>
  <si>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</si>
  <si>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</si>
  <si>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</si>
  <si>
    <t>05</t>
  </si>
  <si>
    <t>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</si>
</sst>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4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</cellStyleXfs>
  <cellXfs count="290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164" fontId="0" fillId="0" borderId="0" xfId="0" applyNumberFormat="1"/>
    <xf numFmtId="10" fontId="0" fillId="0" borderId="0" xfId="3" applyNumberFormat="1" applyFont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4">
    <cellStyle name="Hipervínculo" xfId="1" builtinId="8"/>
    <cellStyle name="Millares" xfId="2" builtinId="3"/>
    <cellStyle name="Normal" xfId="0" builtinId="0"/>
    <cellStyle name="Porcentaje" xfId="3" builtinId="5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3" style="1" bestFit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8" ht="15" thickBot="1" x14ac:dyDescent="0.4"/>
    <row r="2" spans="1:8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8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228700</v>
      </c>
      <c r="C3" s="9">
        <f>+HojaTICA!K4+HojaNICA!M4+HojaREVENTADO!K4+HojaPrimera!I4+HojaHonduras!K4+HojaDominicana!I4+HojaPANA!G4</f>
        <v>29750</v>
      </c>
      <c r="D3" s="9">
        <f>+HojaTICA!N4+HojaNICA!P4+HojaREVENTADO!O4+HojaPrimera!L4+HojaHonduras!N4+HojaDominicana!L4+HojaPANA!J4</f>
        <v>397250</v>
      </c>
      <c r="F3" s="10">
        <f t="shared" ref="F3:F27" si="0">+B3-C3-D3</f>
        <v>-198300</v>
      </c>
      <c r="H3" s="258"/>
    </row>
    <row r="4" spans="1:8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190550</v>
      </c>
      <c r="C4" s="9">
        <f>+HojaTICA!K5+HojaNICA!M5+HojaREVENTADO!K5+HojaPrimera!I5+HojaHonduras!K5+HojaDominicana!I5+HojaPANA!G5</f>
        <v>24750</v>
      </c>
      <c r="D4" s="9">
        <f>+HojaTICA!N5+HojaNICA!P5+HojaREVENTADO!O5+HojaPrimera!L5+HojaHonduras!N5+HojaDominicana!L5+HojaPANA!J5</f>
        <v>381000</v>
      </c>
      <c r="F4" s="14">
        <f t="shared" si="0"/>
        <v>-215200</v>
      </c>
    </row>
    <row r="5" spans="1:8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8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8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251450</v>
      </c>
      <c r="C7" s="9">
        <f>+HojaTICA!K8+HojaNICA!M8+HojaREVENTADO!K8+HojaPrimera!I8+HojaHonduras!K8+HojaDominicana!I8+HojaPANA!G8</f>
        <v>30200</v>
      </c>
      <c r="D7" s="9">
        <f>+HojaTICA!N8+HojaNICA!P8+HojaREVENTADO!O8+HojaPrimera!L8+HojaHonduras!N8+HojaDominicana!L8+HojaPANA!J8</f>
        <v>336500</v>
      </c>
      <c r="F7" s="14">
        <f t="shared" si="0"/>
        <v>-115250</v>
      </c>
    </row>
    <row r="8" spans="1:8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8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1015670</v>
      </c>
      <c r="C9" s="9">
        <f>+HojaTICA!K10+HojaNICA!M10+HojaREVENTADO!K10+HojaPrimera!I10+HojaHonduras!K10+HojaDominicana!I10+HojaPANA!G10</f>
        <v>120265</v>
      </c>
      <c r="D9" s="9">
        <f>+HojaTICA!N10+HojaNICA!P10+HojaREVENTADO!O10+HojaPrimera!L10+HojaHonduras!N10+HojaDominicana!L10+HojaPANA!J10</f>
        <v>1262250</v>
      </c>
      <c r="F9" s="14">
        <f t="shared" si="0"/>
        <v>-366845</v>
      </c>
    </row>
    <row r="10" spans="1:8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13300</v>
      </c>
      <c r="C10" s="9">
        <f>+HojaTICA!K11+HojaNICA!M11+HojaREVENTADO!K11+HojaPrimera!I11+HojaHonduras!K11+HojaDominicana!I11+HojaPANA!G11</f>
        <v>1600</v>
      </c>
      <c r="D10" s="9">
        <f>+HojaTICA!N11+HojaNICA!P11+HojaREVENTADO!O11+HojaPrimera!L11+HojaHonduras!N11+HojaDominicana!L11+HojaPANA!J11</f>
        <v>0</v>
      </c>
      <c r="F10" s="14">
        <f t="shared" si="0"/>
        <v>11700</v>
      </c>
    </row>
    <row r="11" spans="1:8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105350</v>
      </c>
      <c r="C11" s="9">
        <f>+HojaTICA!K12+HojaNICA!M12+HojaREVENTADO!K12+HojaPrimera!I12+HojaHonduras!K12+HojaDominicana!I12+HojaPANA!G12</f>
        <v>12525</v>
      </c>
      <c r="D11" s="9">
        <f>+HojaTICA!N12+HojaNICA!P12+HojaREVENTADO!O12+HojaPrimera!L12+HojaHonduras!N12+HojaDominicana!L12+HojaPANA!J12</f>
        <v>63750</v>
      </c>
      <c r="F11" s="14">
        <f t="shared" si="0"/>
        <v>29075</v>
      </c>
    </row>
    <row r="12" spans="1:8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97650</v>
      </c>
      <c r="C12" s="9">
        <f>+HojaTICA!K13+HojaNICA!M13+HojaREVENTADO!K13+HojaPrimera!I13+HojaHonduras!K13+HojaDominicana!I13+HojaPANA!G13</f>
        <v>11700</v>
      </c>
      <c r="D12" s="9">
        <f>+HojaTICA!N13+HojaNICA!P13+HojaREVENTADO!O13+HojaPrimera!L13+HojaHonduras!N13+HojaDominicana!L13+HojaPANA!J13</f>
        <v>254500</v>
      </c>
      <c r="F12" s="14">
        <f t="shared" si="0"/>
        <v>-168550</v>
      </c>
    </row>
    <row r="13" spans="1:8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60950</v>
      </c>
      <c r="C13" s="9">
        <f>+HojaTICA!K14+HojaNICA!M14+HojaREVENTADO!K14+HojaPrimera!I14+HojaHonduras!K14+HojaDominicana!I14+HojaPANA!G14</f>
        <v>9150</v>
      </c>
      <c r="D13" s="9">
        <f>+HojaTICA!N14+HojaNICA!P14+HojaREVENTADO!O14+HojaPrimera!L14+HojaHonduras!N14+HojaDominicana!L14+HojaPANA!J14</f>
        <v>80000</v>
      </c>
      <c r="F13" s="14">
        <f t="shared" si="0"/>
        <v>-28200</v>
      </c>
    </row>
    <row r="14" spans="1:8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8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56750</v>
      </c>
      <c r="C15" s="9">
        <f>+HojaTICA!K16+HojaNICA!M16+HojaREVENTADO!K16+HojaPrimera!I16+HojaHonduras!K16+HojaDominicana!I16+HojaPANA!G16</f>
        <v>6750</v>
      </c>
      <c r="D15" s="9">
        <f>+HojaTICA!N16+HojaNICA!P16+HojaREVENTADO!O16+HojaPrimera!L16+HojaHonduras!N16+HojaDominicana!L16+HojaPANA!J16</f>
        <v>101000</v>
      </c>
      <c r="F15" s="14">
        <f t="shared" si="0"/>
        <v>-51000</v>
      </c>
    </row>
    <row r="16" spans="1:8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957600</v>
      </c>
      <c r="C16" s="9">
        <f>+HojaTICA!K17+HojaNICA!M17+HojaREVENTADO!K17+HojaPrimera!I17+HojaHonduras!K17+HojaDominicana!I17+HojaPANA!G17</f>
        <v>113950</v>
      </c>
      <c r="D16" s="9">
        <f>+HojaTICA!N17+HojaNICA!P17+HojaREVENTADO!O17+HojaPrimera!L17+HojaHonduras!N17+HojaDominicana!L17+HojaPANA!J17</f>
        <v>1892500</v>
      </c>
      <c r="F16" s="14">
        <f t="shared" si="0"/>
        <v>-1048850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408550</v>
      </c>
      <c r="C17" s="9">
        <f>+HojaTICA!K18+HojaNICA!M18+HojaREVENTADO!K18+HojaPrimera!I18+HojaHonduras!K18+HojaDominicana!I18+HojaPANA!G18</f>
        <v>48345</v>
      </c>
      <c r="D17" s="9">
        <f>+HojaTICA!N18+HojaNICA!P18+HojaREVENTADO!O18+HojaPrimera!L18+HojaHonduras!N18+HojaDominicana!L18+HojaPANA!J18</f>
        <v>962000</v>
      </c>
      <c r="F17" s="14">
        <f t="shared" si="0"/>
        <v>-601795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-8446</v>
      </c>
      <c r="C26" s="9">
        <f>+HojaTICA!K27+HojaNICA!M27+HojaREVENTADO!K27+HojaPrimera!I27+HojaHonduras!K27+HojaDominicana!I27+HojaPANA!G27</f>
        <v>-976.8</v>
      </c>
      <c r="D26" s="9">
        <f>+HojaTICA!N27+HojaNICA!P27+HojaREVENTADO!O27+HojaPrimera!L27+HojaHonduras!N27+HojaDominicana!L27+HojaPANA!J27</f>
        <v>-806230</v>
      </c>
      <c r="F26" s="14">
        <f t="shared" si="0"/>
        <v>798760.8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3378074</v>
      </c>
      <c r="C28" s="17">
        <f t="shared" si="1"/>
        <v>408008.2</v>
      </c>
      <c r="D28" s="18">
        <f t="shared" si="1"/>
        <v>4924520</v>
      </c>
      <c r="F28" s="20">
        <f>SUM(F3:F27)</f>
        <v>-1954454.2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5" t="s">
        <v>6</v>
      </c>
      <c r="B2" s="266"/>
      <c r="C2" s="266"/>
      <c r="D2" s="267"/>
      <c r="E2" s="267"/>
      <c r="F2" s="267"/>
      <c r="G2" s="117"/>
      <c r="I2" s="260" t="s">
        <v>7</v>
      </c>
      <c r="J2" s="260"/>
      <c r="K2" s="260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83</v>
      </c>
      <c r="C5" s="132"/>
      <c r="D5" s="137"/>
      <c r="E5" s="30">
        <v>80</v>
      </c>
      <c r="F5" s="30">
        <v>85</v>
      </c>
      <c r="G5" s="30">
        <v>85</v>
      </c>
      <c r="I5" s="261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1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58</v>
      </c>
      <c r="C7" s="132"/>
      <c r="D7" s="137"/>
      <c r="E7" s="30">
        <v>80</v>
      </c>
      <c r="F7" s="30">
        <v>85</v>
      </c>
      <c r="G7" s="30">
        <v>85</v>
      </c>
      <c r="I7" s="261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61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 t="s">
        <v>160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2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43</v>
      </c>
      <c r="C11" s="132"/>
      <c r="D11" s="137"/>
      <c r="E11" s="30">
        <v>80</v>
      </c>
      <c r="F11" s="30">
        <v>85</v>
      </c>
      <c r="G11" s="30">
        <v>85</v>
      </c>
      <c r="I11" s="263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4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11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 t="s">
        <v>160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>
        <v>21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76</v>
      </c>
      <c r="C19" s="132">
        <v>64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63</v>
      </c>
      <c r="C20" s="163">
        <v>88</v>
      </c>
      <c r="D20" s="166" t="s">
        <v>161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33</v>
      </c>
      <c r="C21" s="164">
        <v>22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4" zoomScale="90" zoomScaleNormal="90" workbookViewId="0">
      <selection activeCell="M13" sqref="M13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3" t="s">
        <v>71</v>
      </c>
      <c r="D1" s="274"/>
      <c r="E1" s="273" t="s">
        <v>72</v>
      </c>
      <c r="F1" s="274"/>
      <c r="G1" s="273" t="s">
        <v>73</v>
      </c>
      <c r="H1" s="274"/>
    </row>
    <row r="2" spans="1:16" x14ac:dyDescent="0.35">
      <c r="C2" s="269">
        <f>DigitaTICA!C2</f>
        <v>58</v>
      </c>
      <c r="D2" s="270"/>
      <c r="E2" s="269">
        <f>DigitaTICA!E2</f>
        <v>43</v>
      </c>
      <c r="F2" s="270"/>
      <c r="G2" s="269" t="str">
        <f>DigitaTICA!G2</f>
        <v>05</v>
      </c>
      <c r="H2" s="270"/>
    </row>
    <row r="3" spans="1:16" x14ac:dyDescent="0.35">
      <c r="C3" s="271"/>
      <c r="D3" s="272"/>
      <c r="E3" s="271"/>
      <c r="F3" s="272"/>
      <c r="G3" s="271"/>
      <c r="H3" s="272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51500</v>
      </c>
      <c r="D4" s="30">
        <f>IF(Vendedor1!$E$7="",0,Vendedor1!$E$7)</f>
        <v>950</v>
      </c>
      <c r="E4" s="180">
        <f>IF(Vendedor1!$C$11="",0,Vendedor1!$C$11)</f>
        <v>36600</v>
      </c>
      <c r="F4" s="30">
        <f>IF(Vendedor1!$E$11="",0,Vendedor1!$E$11)</f>
        <v>250</v>
      </c>
      <c r="G4" s="180">
        <f>IF(Vendedor1!$C$15="",0,Vendedor1!$C$15)</f>
        <v>67000</v>
      </c>
      <c r="H4" s="30">
        <f>IF(Vendedor1!$E$15="",0,Vendedor1!$E$15)</f>
        <v>3050</v>
      </c>
      <c r="J4" s="42">
        <f t="shared" ref="J4:J7" si="0">+C4+E4+G4</f>
        <v>155100</v>
      </c>
      <c r="K4" s="41">
        <f>MROUND(J4*Vendedor1!J$9,50)</f>
        <v>20150</v>
      </c>
      <c r="L4" s="42">
        <f t="shared" ref="L4:L7" si="1">+D4+F4+H4</f>
        <v>4250</v>
      </c>
      <c r="M4" s="42">
        <f t="shared" ref="M4:M7" si="2">+L4*85</f>
        <v>361250</v>
      </c>
      <c r="N4" s="42">
        <f>Vendedor1!$F$7+Vendedor1!$F$11+Vendedor1!$F$15</f>
        <v>361250</v>
      </c>
      <c r="P4" s="42">
        <f t="shared" ref="P4:P7" si="3">+J4-K4-N4</f>
        <v>-226300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58200</v>
      </c>
      <c r="D5" s="30">
        <f>IF(Vendedor2!$E$7="",0,Vendedor2!$E$7)</f>
        <v>200</v>
      </c>
      <c r="E5" s="180">
        <f>IF(Vendedor2!$C$11="",0,Vendedor2!$C$11)</f>
        <v>39000</v>
      </c>
      <c r="F5" s="30">
        <f>IF(Vendedor2!$E$11="",0,Vendedor2!$E$11)</f>
        <v>250</v>
      </c>
      <c r="G5" s="180">
        <f>IF(Vendedor2!$C$15="",0,Vendedor2!$C$15)</f>
        <v>64350</v>
      </c>
      <c r="H5" s="30">
        <f>IF(Vendedor2!$E$15="",0,Vendedor2!$E$15)</f>
        <v>3750</v>
      </c>
      <c r="J5" s="42">
        <f t="shared" si="0"/>
        <v>161550</v>
      </c>
      <c r="K5" s="41">
        <f>MROUND(J5*Vendedor2!J$9,50)</f>
        <v>21000</v>
      </c>
      <c r="L5" s="42">
        <f t="shared" si="1"/>
        <v>4200</v>
      </c>
      <c r="M5" s="42">
        <f t="shared" si="2"/>
        <v>357000</v>
      </c>
      <c r="N5" s="42">
        <f>Vendedor2!$F$7+Vendedor2!$F$11+Vendedor2!$F$15</f>
        <v>357000</v>
      </c>
      <c r="P5" s="42">
        <f t="shared" si="3"/>
        <v>-216450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37650</v>
      </c>
      <c r="D8" s="30">
        <f>IF(Vendedor5!$E$7="",0,Vendedor5!$E$7)</f>
        <v>150</v>
      </c>
      <c r="E8" s="180">
        <f>IF(Vendedor5!$C$11="",0,Vendedor5!$C$11)</f>
        <v>32200</v>
      </c>
      <c r="F8" s="30">
        <f>IF(Vendedor5!$E$11="",0,Vendedor5!$E$11)</f>
        <v>0</v>
      </c>
      <c r="G8" s="180">
        <f>IF(Vendedor5!$C$15="",0,Vendedor5!$C$15)</f>
        <v>49150</v>
      </c>
      <c r="H8" s="30">
        <f>IF(Vendedor5!$E$15="",0,Vendedor5!$E$15)</f>
        <v>1550</v>
      </c>
      <c r="J8" s="42">
        <f t="shared" ref="J8" si="4">+C8+E8+G8</f>
        <v>119000</v>
      </c>
      <c r="K8" s="41">
        <f>MROUND(J8*Vendedor5!J$11,50)</f>
        <v>14300</v>
      </c>
      <c r="L8" s="42">
        <f t="shared" ref="L8" si="5">+D8+F8+H8</f>
        <v>1700</v>
      </c>
      <c r="M8" s="42">
        <f t="shared" ref="M8" si="6">+L8*85</f>
        <v>144500</v>
      </c>
      <c r="N8" s="42">
        <f>Vendedor5!$F$7+Vendedor5!$F$11+Vendedor5!$F$15</f>
        <v>144500</v>
      </c>
      <c r="P8" s="42">
        <f t="shared" ref="P8" si="7">+J8-K8-N8</f>
        <v>-39800</v>
      </c>
    </row>
    <row r="9" spans="1:16" x14ac:dyDescent="0.35">
      <c r="A9" s="41">
        <v>6</v>
      </c>
      <c r="B9" s="178" t="str">
        <f>Vendedor6!$B$2</f>
        <v>vendedor 06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141520</v>
      </c>
      <c r="D10" s="30">
        <f>IF(Vendedor7!$E$7="",0,Vendedor7!$E$7)</f>
        <v>200</v>
      </c>
      <c r="E10" s="180">
        <f>IF(Vendedor7!$C$11="",0,Vendedor7!$C$11)</f>
        <v>103750</v>
      </c>
      <c r="F10" s="30">
        <f>IF(Vendedor7!$E$11="",0,Vendedor7!$E$11)</f>
        <v>300</v>
      </c>
      <c r="G10" s="180">
        <f>IF(Vendedor7!$C$15="",0,Vendedor7!$C$15)</f>
        <v>157800</v>
      </c>
      <c r="H10" s="30">
        <f>IF(Vendedor7!$E$15="",0,Vendedor7!$E$15)</f>
        <v>4050</v>
      </c>
      <c r="J10" s="42">
        <f t="shared" si="8"/>
        <v>403070</v>
      </c>
      <c r="K10" s="41">
        <f>MROUND(J10*Vendedor7!J$14,50)</f>
        <v>48350</v>
      </c>
      <c r="L10" s="42">
        <f t="shared" si="9"/>
        <v>4550</v>
      </c>
      <c r="M10" s="42">
        <f t="shared" si="10"/>
        <v>386750</v>
      </c>
      <c r="N10" s="42">
        <f>Vendedor7!$F$7+Vendedor7!$F$11+Vendedor7!$F$15</f>
        <v>386750</v>
      </c>
      <c r="P10" s="42">
        <f t="shared" si="11"/>
        <v>-32030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2500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10800</v>
      </c>
      <c r="H11" s="30">
        <f>IF(Vendedor8!$E$15="",0,Vendedor8!$E$15)</f>
        <v>0</v>
      </c>
      <c r="J11" s="42">
        <f t="shared" si="8"/>
        <v>13300</v>
      </c>
      <c r="K11" s="41">
        <f>MROUND(J11*Vendedor8!J$11,50)</f>
        <v>1600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11700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14250</v>
      </c>
      <c r="D12" s="30">
        <f>IF(Vendedor9!$E$7="",0,Vendedor9!$E$7)</f>
        <v>0</v>
      </c>
      <c r="E12" s="180">
        <f>IF(Vendedor9!$C$11="",0,Vendedor9!$C$11)</f>
        <v>13900</v>
      </c>
      <c r="F12" s="30">
        <f>IF(Vendedor9!$E$11="",0,Vendedor9!$E$11)</f>
        <v>0</v>
      </c>
      <c r="G12" s="180">
        <f>IF(Vendedor9!$C$15="",0,Vendedor9!$C$15)</f>
        <v>16300</v>
      </c>
      <c r="H12" s="30">
        <f>IF(Vendedor9!$E$15="",0,Vendedor9!$E$15)</f>
        <v>500</v>
      </c>
      <c r="J12" s="42">
        <f t="shared" si="8"/>
        <v>44450</v>
      </c>
      <c r="K12" s="41">
        <f>MROUND(J12*Vendedor9!J$11,50)</f>
        <v>5350</v>
      </c>
      <c r="L12" s="42">
        <f t="shared" si="9"/>
        <v>500</v>
      </c>
      <c r="M12" s="42">
        <f t="shared" si="10"/>
        <v>42500</v>
      </c>
      <c r="N12" s="42">
        <f>Vendedor9!$F$7+Vendedor9!$F$11+Vendedor9!$F$15</f>
        <v>42500</v>
      </c>
      <c r="P12" s="42">
        <f t="shared" si="11"/>
        <v>-3400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19050</v>
      </c>
      <c r="D13" s="30">
        <f>IF(Vendedor10!$E$7="",0,Vendedor10!$E$7)</f>
        <v>500</v>
      </c>
      <c r="E13" s="180">
        <f>IF(Vendedor10!$C$11="",0,Vendedor10!$C$11)</f>
        <v>14750</v>
      </c>
      <c r="F13" s="30">
        <f>IF(Vendedor10!$E$11="",0,Vendedor10!$E$11)</f>
        <v>0</v>
      </c>
      <c r="G13" s="180">
        <f>IF(Vendedor10!$C$15="",0,Vendedor10!$C$15)</f>
        <v>37450</v>
      </c>
      <c r="H13" s="30">
        <f>IF(Vendedor10!$E$15="",0,Vendedor10!$E$15)</f>
        <v>800</v>
      </c>
      <c r="J13" s="42">
        <f t="shared" si="8"/>
        <v>71250</v>
      </c>
      <c r="K13" s="41">
        <f>MROUND(J13*Vendedor10!J$9,50)</f>
        <v>8550</v>
      </c>
      <c r="L13" s="42">
        <f t="shared" si="9"/>
        <v>1300</v>
      </c>
      <c r="M13" s="42">
        <f t="shared" si="10"/>
        <v>110500</v>
      </c>
      <c r="N13" s="42">
        <f>Vendedor10!$F$7+Vendedor10!$F$11+Vendedor10!$F$15</f>
        <v>110500</v>
      </c>
      <c r="P13" s="42">
        <f t="shared" si="11"/>
        <v>-47800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26250</v>
      </c>
      <c r="D14" s="30">
        <f>IF(Vendedor11!$E$7="",0,Vendedor11!$E$7)</f>
        <v>0</v>
      </c>
      <c r="E14" s="180">
        <f>IF(Vendedor11!$C$11="",0,Vendedor11!$C$11)</f>
        <v>11600</v>
      </c>
      <c r="F14" s="30">
        <f>IF(Vendedor11!$E$11="",0,Vendedor11!$E$11)</f>
        <v>0</v>
      </c>
      <c r="G14" s="180">
        <f>IF(Vendedor11!$C$15="",0,Vendedor11!$C$15)</f>
        <v>23100</v>
      </c>
      <c r="H14" s="30">
        <f>IF(Vendedor11!$E$15="",0,Vendedor11!$E$15)</f>
        <v>1000</v>
      </c>
      <c r="J14" s="42">
        <f t="shared" si="8"/>
        <v>60950</v>
      </c>
      <c r="K14" s="41">
        <f>MROUND(J14*Vendedor11!J$9,50)</f>
        <v>9150</v>
      </c>
      <c r="L14" s="42">
        <f t="shared" si="9"/>
        <v>1000</v>
      </c>
      <c r="M14" s="42">
        <f t="shared" si="10"/>
        <v>85000</v>
      </c>
      <c r="N14" s="42">
        <f>Vendedor11!$F$7+Vendedor11!$F$11+Vendedor11!$F$15</f>
        <v>80000</v>
      </c>
      <c r="P14" s="42">
        <f t="shared" si="11"/>
        <v>-28200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9900</v>
      </c>
      <c r="D16" s="30">
        <f>IF(Vendedor13!$E$7="",0,Vendedor13!$E$7)</f>
        <v>0</v>
      </c>
      <c r="E16" s="180">
        <f>IF(Vendedor13!$C$11="",0,Vendedor13!$C$11)</f>
        <v>6000</v>
      </c>
      <c r="F16" s="30">
        <f>IF(Vendedor13!$E$11="",0,Vendedor13!$E$11)</f>
        <v>250</v>
      </c>
      <c r="G16" s="180">
        <f>IF(Vendedor13!$C$15="",0,Vendedor13!$C$15)</f>
        <v>22000</v>
      </c>
      <c r="H16" s="30">
        <f>IF(Vendedor13!$E$15="",0,Vendedor13!$E$15)</f>
        <v>750</v>
      </c>
      <c r="J16" s="42">
        <f t="shared" si="8"/>
        <v>37900</v>
      </c>
      <c r="K16" s="41">
        <f>MROUND(J16*Vendedor13!J$11,50)</f>
        <v>4550</v>
      </c>
      <c r="L16" s="42">
        <f t="shared" si="9"/>
        <v>1000</v>
      </c>
      <c r="M16" s="42">
        <f t="shared" si="10"/>
        <v>85000</v>
      </c>
      <c r="N16" s="42">
        <f>Vendedor13!$F$7+Vendedor13!$F$11+Vendedor13!$F$15</f>
        <v>85000</v>
      </c>
      <c r="P16" s="42">
        <f t="shared" si="11"/>
        <v>-51650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112300</v>
      </c>
      <c r="D17" s="30">
        <f>IF(Vendedor14!$E$7="",0,Vendedor14!$E$7)</f>
        <v>200</v>
      </c>
      <c r="E17" s="180">
        <f>IF(Vendedor14!$C$11="",0,Vendedor14!$C$11)</f>
        <v>104500</v>
      </c>
      <c r="F17" s="30">
        <f>IF(Vendedor14!$E$11="",0,Vendedor14!$E$11)</f>
        <v>200</v>
      </c>
      <c r="G17" s="180">
        <f>IF(Vendedor14!$C$15="",0,Vendedor14!$C$15)</f>
        <v>169600</v>
      </c>
      <c r="H17" s="30">
        <f>IF(Vendedor14!$E$15="",0,Vendedor14!$E$15)</f>
        <v>10000</v>
      </c>
      <c r="J17" s="42">
        <f t="shared" si="8"/>
        <v>386400</v>
      </c>
      <c r="K17" s="41">
        <f>MROUND(J17*Vendedor14!J$15,50)</f>
        <v>46350</v>
      </c>
      <c r="L17" s="42">
        <f t="shared" si="9"/>
        <v>10400</v>
      </c>
      <c r="M17" s="42">
        <f t="shared" si="10"/>
        <v>884000</v>
      </c>
      <c r="N17" s="42">
        <f>Vendedor14!$F$7+Vendedor14!$F$11+Vendedor14!$F$15</f>
        <v>884000</v>
      </c>
      <c r="P17" s="42">
        <f t="shared" si="11"/>
        <v>-543950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42700</v>
      </c>
      <c r="D18" s="30">
        <f>IF(Vendedor15!$E$7="",0,Vendedor15!$E$7)</f>
        <v>500</v>
      </c>
      <c r="E18" s="180">
        <f>IF(Vendedor15!$C$11="",0,Vendedor15!$C$11)</f>
        <v>56050</v>
      </c>
      <c r="F18" s="30">
        <f>IF(Vendedor15!$E$11="",0,Vendedor15!$E$11)</f>
        <v>0</v>
      </c>
      <c r="G18" s="180">
        <f>IF(Vendedor15!$C$15="",0,Vendedor15!$C$15)</f>
        <v>53100</v>
      </c>
      <c r="H18" s="30">
        <f>IF(Vendedor15!$E$15="",0,Vendedor15!$E$15)</f>
        <v>5700</v>
      </c>
      <c r="J18" s="42">
        <f t="shared" ref="J18" si="12">+C18+E18+G18</f>
        <v>151850</v>
      </c>
      <c r="K18" s="41">
        <f>MROUND(J18*Vendedor15!J$15,50)</f>
        <v>18200</v>
      </c>
      <c r="L18" s="42">
        <f t="shared" ref="L18" si="13">+D18+F18+H18</f>
        <v>6200</v>
      </c>
      <c r="M18" s="42">
        <f t="shared" ref="M18" si="14">+L18*85</f>
        <v>527000</v>
      </c>
      <c r="N18" s="42">
        <f>Vendedor15!$F$7+Vendedor15!$F$11+Vendedor15!$F$15</f>
        <v>527000</v>
      </c>
      <c r="P18" s="42">
        <f t="shared" ref="P18" si="15">+J18-K18-N18</f>
        <v>-393350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-7678</v>
      </c>
      <c r="H27" s="50">
        <f>IF(Vendedor24!$E$15="",0,Vendedor24!$E$15)</f>
        <v>-7678</v>
      </c>
      <c r="J27" s="42">
        <f t="shared" si="8"/>
        <v>-7678</v>
      </c>
      <c r="K27" s="41">
        <f>IF(J27*Vendedor24!J$9&gt;0,MROUND(J27*Vendedor24!J$9,50),MROUND(J27*Vendedor24!J$9,-50))</f>
        <v>-900</v>
      </c>
      <c r="L27" s="42">
        <f t="shared" si="9"/>
        <v>-7678</v>
      </c>
      <c r="M27" s="42">
        <f t="shared" si="10"/>
        <v>-652630</v>
      </c>
      <c r="N27" s="42">
        <f>Vendedor24!$F$7+Vendedor24!$F$11+Vendedor24!$F$15</f>
        <v>-652630</v>
      </c>
      <c r="P27" s="42">
        <f t="shared" si="11"/>
        <v>645852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515820</v>
      </c>
      <c r="D32" s="44">
        <f t="shared" si="16"/>
        <v>2700</v>
      </c>
      <c r="E32" s="43">
        <f t="shared" si="16"/>
        <v>418350</v>
      </c>
      <c r="F32" s="44">
        <f t="shared" si="16"/>
        <v>1250</v>
      </c>
      <c r="G32" s="43">
        <f t="shared" si="16"/>
        <v>662972</v>
      </c>
      <c r="H32" s="44">
        <f t="shared" si="16"/>
        <v>23472</v>
      </c>
      <c r="J32" s="95">
        <f>SUM(J4:J31)</f>
        <v>1597142</v>
      </c>
      <c r="K32" s="45">
        <f>SUM(K7:K31)</f>
        <v>155500</v>
      </c>
      <c r="L32" s="95">
        <f>SUM(L4:L31)</f>
        <v>27422</v>
      </c>
      <c r="M32" s="95">
        <f>SUM(M4:M31)</f>
        <v>2330870</v>
      </c>
      <c r="N32" s="95">
        <f>SUM(N4:N31)</f>
        <v>2325870</v>
      </c>
      <c r="P32" s="79">
        <f>SUM(P4:P31)</f>
        <v>-925378</v>
      </c>
    </row>
    <row r="33" spans="3:13" x14ac:dyDescent="0.35">
      <c r="D33" s="99">
        <f>+D32*85</f>
        <v>229500</v>
      </c>
      <c r="F33" s="99">
        <f>+F32*85</f>
        <v>106250</v>
      </c>
      <c r="H33" s="99">
        <f>+H32*85</f>
        <v>1995120</v>
      </c>
    </row>
    <row r="34" spans="3:13" ht="15" thickBot="1" x14ac:dyDescent="0.4">
      <c r="L34" s="149"/>
      <c r="M34" s="43"/>
    </row>
    <row r="35" spans="3:13" x14ac:dyDescent="0.35">
      <c r="C35" s="268" t="s">
        <v>89</v>
      </c>
      <c r="D35" s="268"/>
    </row>
    <row r="36" spans="3:13" x14ac:dyDescent="0.35">
      <c r="C36" s="47" t="s">
        <v>28</v>
      </c>
      <c r="D36" s="30">
        <f>+C32+E32+G32</f>
        <v>1597142</v>
      </c>
      <c r="E36" s="43">
        <f>+D36-J4-J5-J6</f>
        <v>1280492</v>
      </c>
      <c r="G36" s="101"/>
    </row>
    <row r="37" spans="3:13" x14ac:dyDescent="0.35">
      <c r="C37" s="47" t="s">
        <v>33</v>
      </c>
      <c r="D37" s="48">
        <f>D36*13%</f>
        <v>207628.46000000002</v>
      </c>
      <c r="E37">
        <f>+D37-K4-K5-K6</f>
        <v>166478.46000000002</v>
      </c>
      <c r="G37" s="100"/>
      <c r="H37" s="100"/>
    </row>
    <row r="38" spans="3:13" ht="15" thickBot="1" x14ac:dyDescent="0.4">
      <c r="C38" s="47" t="s">
        <v>30</v>
      </c>
      <c r="D38" s="30">
        <f>M32</f>
        <v>2330870</v>
      </c>
      <c r="G38" s="100"/>
      <c r="H38" s="100"/>
    </row>
    <row r="39" spans="3:13" ht="15" thickBot="1" x14ac:dyDescent="0.4">
      <c r="C39" s="49" t="s">
        <v>4</v>
      </c>
      <c r="D39" s="80">
        <f>+D36-D37-D38</f>
        <v>-941356.46</v>
      </c>
      <c r="F39" s="98">
        <f>+P32-D39</f>
        <v>15978.459999999963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-941356.46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3" t="s">
        <v>23</v>
      </c>
      <c r="D1" s="274"/>
      <c r="E1" s="273" t="s">
        <v>24</v>
      </c>
      <c r="F1" s="274"/>
      <c r="G1" s="273" t="s">
        <v>25</v>
      </c>
      <c r="H1" s="274"/>
      <c r="I1" s="273" t="s">
        <v>26</v>
      </c>
      <c r="J1" s="274"/>
    </row>
    <row r="2" spans="1:18" x14ac:dyDescent="0.35">
      <c r="C2" s="269">
        <f>DigitaNICA!C2</f>
        <v>83</v>
      </c>
      <c r="D2" s="270"/>
      <c r="E2" s="269" t="str">
        <f>DigitaNICA!E2</f>
        <v>05</v>
      </c>
      <c r="F2" s="270"/>
      <c r="G2" s="269">
        <f>DigitaNICA!G2</f>
        <v>11</v>
      </c>
      <c r="H2" s="270"/>
      <c r="I2" s="269">
        <f>DigitaNICA!I2</f>
        <v>21</v>
      </c>
      <c r="J2" s="270"/>
    </row>
    <row r="3" spans="1:18" ht="15" thickBot="1" x14ac:dyDescent="0.4">
      <c r="C3" s="269"/>
      <c r="D3" s="270"/>
      <c r="E3" s="269"/>
      <c r="F3" s="270"/>
      <c r="G3" s="269"/>
      <c r="H3" s="270"/>
      <c r="I3" s="269"/>
      <c r="J3" s="270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26550</v>
      </c>
      <c r="D4" s="78">
        <f>IF(Vendedor1!$E$5="",0,Vendedor1!$E$5)</f>
        <v>100</v>
      </c>
      <c r="E4" s="189">
        <f>IF(Vendedor1!$C$9="",0,Vendedor1!$C$9)</f>
        <v>29200</v>
      </c>
      <c r="F4" s="78">
        <f>IF(Vendedor1!$E$9="",0,Vendedor1!$E$9)</f>
        <v>250</v>
      </c>
      <c r="G4" s="189">
        <f>IF(Vendedor1!$C$13="",0,Vendedor1!$C$13)</f>
        <v>3450</v>
      </c>
      <c r="H4" s="78">
        <f>IF(Vendedor1!$E$13="",0,Vendedor1!$E$13)</f>
        <v>0</v>
      </c>
      <c r="I4" s="189">
        <f>IF(Vendedor1!$C$17="",0,Vendedor1!$C$17)</f>
        <v>3050</v>
      </c>
      <c r="J4" s="78">
        <f>IF(Vendedor1!$E$17="",0,Vendedor1!$E$17)</f>
        <v>0</v>
      </c>
      <c r="L4" s="42">
        <f t="shared" ref="L4:L7" si="0">C4+E4+G4+I4</f>
        <v>62250</v>
      </c>
      <c r="M4" s="41">
        <f>MROUND(L4*Vendedor1!J$10,50)</f>
        <v>8100</v>
      </c>
      <c r="N4" s="42">
        <f t="shared" ref="N4:N7" si="1">D4+F4+H4+J4</f>
        <v>350</v>
      </c>
      <c r="O4" s="41">
        <f>IFERROR(N4*85,0)</f>
        <v>29750</v>
      </c>
      <c r="P4" s="42">
        <f>Vendedor1!$F$5+Vendedor1!$F$9+Vendedor1!$F$13+Vendedor1!$F$17</f>
        <v>28000</v>
      </c>
      <c r="R4" s="41">
        <f t="shared" ref="R4:R7" si="2">+L4-M4-O4</f>
        <v>24400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12300</v>
      </c>
      <c r="D5" s="30">
        <f>IF(Vendedor2!$E$5="",0,Vendedor2!$E$5)</f>
        <v>0</v>
      </c>
      <c r="E5" s="180">
        <f>IF(Vendedor2!$C$9="",0,Vendedor2!$C$9)</f>
        <v>2500</v>
      </c>
      <c r="F5" s="30">
        <f>IF(Vendedor2!$E$9="",0,Vendedor2!$E$9)</f>
        <v>300</v>
      </c>
      <c r="G5" s="180">
        <f>IF(Vendedor2!$C$13="",0,Vendedor2!$C$13)</f>
        <v>6000</v>
      </c>
      <c r="H5" s="30">
        <f>IF(Vendedor2!$E$13="",0,Vendedor2!$E$13)</f>
        <v>0</v>
      </c>
      <c r="I5" s="180">
        <f>IF(Vendedor2!$C$17="",0,Vendedor2!$C$17)</f>
        <v>4000</v>
      </c>
      <c r="J5" s="30">
        <f>IF(Vendedor2!$E$17="",0,Vendedor2!$E$17)</f>
        <v>0</v>
      </c>
      <c r="L5" s="42">
        <f t="shared" si="0"/>
        <v>24800</v>
      </c>
      <c r="M5" s="41">
        <f>MROUND(L5*Vendedor2!J$10,50)</f>
        <v>3200</v>
      </c>
      <c r="N5" s="42">
        <f t="shared" si="1"/>
        <v>300</v>
      </c>
      <c r="O5" s="41">
        <f t="shared" ref="O5:O27" si="3">IFERROR(N5*85,0)</f>
        <v>25500</v>
      </c>
      <c r="P5" s="42">
        <f>Vendedor2!$F$5+Vendedor2!$F$9+Vendedor2!$F$13+Vendedor2!$F$17</f>
        <v>24000</v>
      </c>
      <c r="Q5">
        <v>5</v>
      </c>
      <c r="R5" s="41">
        <f t="shared" si="2"/>
        <v>-3900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41100</v>
      </c>
      <c r="D8" s="30">
        <f>IF(Vendedor5!$E$5="",0,Vendedor5!$E$5)</f>
        <v>900</v>
      </c>
      <c r="E8" s="180">
        <f>IF(Vendedor5!$C$9="",0,Vendedor5!$C$9)</f>
        <v>31850</v>
      </c>
      <c r="F8" s="30">
        <f>IF(Vendedor5!$E$9="",0,Vendedor5!$E$9)</f>
        <v>750</v>
      </c>
      <c r="G8" s="180">
        <f>IF(Vendedor5!$C$13="",0,Vendedor5!$C$13)</f>
        <v>5900</v>
      </c>
      <c r="H8" s="30">
        <f>IF(Vendedor5!$E$13="",0,Vendedor5!$E$13)</f>
        <v>0</v>
      </c>
      <c r="I8" s="180">
        <f>IF(Vendedor5!$C$17="",0,Vendedor5!$C$17)</f>
        <v>32250</v>
      </c>
      <c r="J8" s="30">
        <f>IF(Vendedor5!$E$17="",0,Vendedor5!$E$17)</f>
        <v>750</v>
      </c>
      <c r="L8" s="42">
        <f t="shared" ref="L8" si="4">C8+E8+G8+I8</f>
        <v>111100</v>
      </c>
      <c r="M8" s="41">
        <f>MROUND(L8*Vendedor5!J$12,50)</f>
        <v>13350</v>
      </c>
      <c r="N8" s="42">
        <f t="shared" ref="N8" si="5">D8+F8+H8+J8</f>
        <v>2400</v>
      </c>
      <c r="O8" s="41">
        <f t="shared" si="3"/>
        <v>204000</v>
      </c>
      <c r="P8" s="42">
        <f>Vendedor5!$F$5+Vendedor5!$F$9+Vendedor5!$F$13+Vendedor5!$F$17</f>
        <v>192000</v>
      </c>
      <c r="Q8">
        <v>17</v>
      </c>
      <c r="R8" s="41">
        <f t="shared" ref="R8" si="6">+L8-M8-O8</f>
        <v>-106250</v>
      </c>
    </row>
    <row r="9" spans="1:18" x14ac:dyDescent="0.35">
      <c r="A9" s="47">
        <v>6</v>
      </c>
      <c r="B9" s="178" t="str">
        <f>Vendedor6!$B$2</f>
        <v>vendedor 06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88700</v>
      </c>
      <c r="D10" s="30">
        <f>IF(Vendedor7!$E$5="",0,Vendedor7!$E$5)</f>
        <v>1000</v>
      </c>
      <c r="E10" s="180">
        <f>IF(Vendedor7!$C$9="",0,Vendedor7!$C$9)</f>
        <v>89050</v>
      </c>
      <c r="F10" s="30">
        <f>IF(Vendedor7!$E$9="",0,Vendedor7!$E$9)</f>
        <v>2050</v>
      </c>
      <c r="G10" s="180">
        <f>IF(Vendedor7!$C$13="",0,Vendedor7!$C$13)</f>
        <v>120800</v>
      </c>
      <c r="H10" s="30">
        <f>IF(Vendedor7!$E$13="",0,Vendedor7!$E$13)</f>
        <v>1300</v>
      </c>
      <c r="I10" s="180">
        <f>IF(Vendedor7!$C$17="",0,Vendedor7!$C$17)</f>
        <v>115750</v>
      </c>
      <c r="J10" s="30">
        <f>IF(Vendedor7!$E$17="",0,Vendedor7!$E$17)</f>
        <v>3650</v>
      </c>
      <c r="L10" s="42">
        <f t="shared" si="7"/>
        <v>414300</v>
      </c>
      <c r="M10" s="41">
        <f>MROUND(L10*Vendedor7!J$15,50)</f>
        <v>49700</v>
      </c>
      <c r="N10" s="42">
        <f t="shared" ref="N10:N27" si="9">D10+F10+H10+J10</f>
        <v>8000</v>
      </c>
      <c r="O10" s="41">
        <f t="shared" si="3"/>
        <v>680000</v>
      </c>
      <c r="P10" s="42">
        <f>Vendedor7!$F$5+Vendedor7!$F$9+Vendedor7!$F$13+Vendedor7!$F$17</f>
        <v>680000</v>
      </c>
      <c r="R10" s="41">
        <f t="shared" si="8"/>
        <v>-315400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16150</v>
      </c>
      <c r="D12" s="30">
        <f>IF(Vendedor9!$E$5="",0,Vendedor9!$E$5)</f>
        <v>0</v>
      </c>
      <c r="E12" s="180">
        <f>IF(Vendedor9!$C$9="",0,Vendedor9!$C$9)</f>
        <v>11950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28100</v>
      </c>
      <c r="M12" s="41">
        <f>MROUND(L12*Vendedor9!J$12,50)</f>
        <v>3350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24750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12000</v>
      </c>
      <c r="D13" s="30">
        <f>IF(Vendedor10!$E$5="",0,Vendedor10!$E$5)</f>
        <v>0</v>
      </c>
      <c r="E13" s="180">
        <f>IF(Vendedor10!$C$9="",0,Vendedor10!$C$9)</f>
        <v>9300</v>
      </c>
      <c r="F13" s="30">
        <f>IF(Vendedor10!$E$9="",0,Vendedor10!$E$9)</f>
        <v>300</v>
      </c>
      <c r="G13" s="180">
        <f>IF(Vendedor10!$C$13="",0,Vendedor10!$C$13)</f>
        <v>3600</v>
      </c>
      <c r="H13" s="30">
        <f>IF(Vendedor10!$E$13="",0,Vendedor10!$E$13)</f>
        <v>1500</v>
      </c>
      <c r="I13" s="180">
        <f>IF(Vendedor10!$C$17="",0,Vendedor10!$C$17)</f>
        <v>1500</v>
      </c>
      <c r="J13" s="30">
        <f>IF(Vendedor10!$E$17="",0,Vendedor10!$E$17)</f>
        <v>0</v>
      </c>
      <c r="L13" s="42">
        <f t="shared" si="7"/>
        <v>26400</v>
      </c>
      <c r="M13" s="41">
        <f>MROUND(L13*Vendedor10!J$10,50)</f>
        <v>3150</v>
      </c>
      <c r="N13" s="42">
        <f t="shared" si="9"/>
        <v>1800</v>
      </c>
      <c r="O13" s="41">
        <f t="shared" si="3"/>
        <v>153000</v>
      </c>
      <c r="P13" s="42">
        <f>Vendedor10!$F$5+Vendedor10!$F$9+Vendedor10!$F$13+Vendedor10!$F$17</f>
        <v>144000</v>
      </c>
      <c r="R13" s="41">
        <f t="shared" si="8"/>
        <v>-129750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2350</v>
      </c>
      <c r="D16" s="30">
        <f>IF(Vendedor13!$E$5="",0,Vendedor13!$E$5)</f>
        <v>0</v>
      </c>
      <c r="E16" s="180">
        <f>IF(Vendedor13!$C$9="",0,Vendedor13!$C$9)</f>
        <v>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7300</v>
      </c>
      <c r="J16" s="30">
        <f>IF(Vendedor13!$E$17="",0,Vendedor13!$E$17)</f>
        <v>200</v>
      </c>
      <c r="L16" s="42">
        <f t="shared" si="7"/>
        <v>9650</v>
      </c>
      <c r="M16" s="41">
        <f>MROUND(L16*Vendedor13!J$12,50)</f>
        <v>1150</v>
      </c>
      <c r="N16" s="42">
        <f t="shared" si="9"/>
        <v>200</v>
      </c>
      <c r="O16" s="41">
        <f t="shared" si="3"/>
        <v>17000</v>
      </c>
      <c r="P16" s="42">
        <f>Vendedor13!$F$5+Vendedor13!$F$9+Vendedor13!$F$13+Vendedor13!$F$17</f>
        <v>16000</v>
      </c>
      <c r="R16" s="41">
        <f t="shared" si="8"/>
        <v>-8500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82850</v>
      </c>
      <c r="D17" s="30">
        <f>IF(Vendedor14!$E$5="",0,Vendedor14!$E$5)</f>
        <v>300</v>
      </c>
      <c r="E17" s="180">
        <f>IF(Vendedor14!$C$9="",0,Vendedor14!$C$9)</f>
        <v>73400</v>
      </c>
      <c r="F17" s="30">
        <f>IF(Vendedor14!$E$9="",0,Vendedor14!$E$9)</f>
        <v>1100</v>
      </c>
      <c r="G17" s="180">
        <f>IF(Vendedor14!$C$13="",0,Vendedor14!$C$13)</f>
        <v>53850</v>
      </c>
      <c r="H17" s="30">
        <f>IF(Vendedor14!$E$13="",0,Vendedor14!$E$13)</f>
        <v>250</v>
      </c>
      <c r="I17" s="180">
        <f>IF(Vendedor14!$C$17="",0,Vendedor14!$C$17)</f>
        <v>148600</v>
      </c>
      <c r="J17" s="30">
        <f>IF(Vendedor14!$E$17="",0,Vendedor14!$E$17)</f>
        <v>5200</v>
      </c>
      <c r="L17" s="42">
        <f>C17+E17+G17+I17</f>
        <v>358700</v>
      </c>
      <c r="M17" s="41">
        <f>MROUND(L17*Vendedor14!J$16,50)</f>
        <v>43050</v>
      </c>
      <c r="N17" s="42">
        <f t="shared" si="9"/>
        <v>6850</v>
      </c>
      <c r="O17" s="41">
        <f t="shared" si="3"/>
        <v>582250</v>
      </c>
      <c r="P17" s="42">
        <f>Vendedor14!$F$5+Vendedor14!$F$9+Vendedor14!$F$13+Vendedor14!$F$17</f>
        <v>582250</v>
      </c>
      <c r="R17" s="41">
        <f t="shared" si="8"/>
        <v>-266600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31000</v>
      </c>
      <c r="D18" s="30">
        <f>IF(Vendedor15!$E$5="",0,Vendedor15!$E$5)</f>
        <v>200</v>
      </c>
      <c r="E18" s="180">
        <f>IF(Vendedor15!$C$9="",0,Vendedor15!$C$9)</f>
        <v>38850</v>
      </c>
      <c r="F18" s="30">
        <f>IF(Vendedor15!$E$9="",0,Vendedor15!$E$9)</f>
        <v>1500</v>
      </c>
      <c r="G18" s="180">
        <f>IF(Vendedor15!$C$13="",0,Vendedor15!$C$13)</f>
        <v>27500</v>
      </c>
      <c r="H18" s="30">
        <f>IF(Vendedor15!$E$13="",0,Vendedor15!$E$13)</f>
        <v>200</v>
      </c>
      <c r="I18" s="180">
        <f>IF(Vendedor15!$C$17="",0,Vendedor15!$C$17)</f>
        <v>10850</v>
      </c>
      <c r="J18" s="30">
        <f>IF(Vendedor15!$E$17="",0,Vendedor15!$E$17)</f>
        <v>1000</v>
      </c>
      <c r="L18" s="42">
        <f t="shared" ref="L18:L27" si="10">C18+E18+G18+I18</f>
        <v>108200</v>
      </c>
      <c r="M18" s="41">
        <f>MROUND(L18*Vendedor15!J$16,50)</f>
        <v>13000</v>
      </c>
      <c r="N18" s="42">
        <f t="shared" si="9"/>
        <v>2900</v>
      </c>
      <c r="O18" s="41">
        <f t="shared" si="3"/>
        <v>246500</v>
      </c>
      <c r="P18" s="42">
        <f>Vendedor15!$F$5+Vendedor15!$F$9+Vendedor15!$F$13+Vendedor15!$F$17</f>
        <v>246500</v>
      </c>
      <c r="R18" s="41">
        <f t="shared" si="8"/>
        <v>-151300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313000</v>
      </c>
      <c r="D32" s="44">
        <f t="shared" si="14"/>
        <v>2500</v>
      </c>
      <c r="E32" s="43">
        <f t="shared" si="14"/>
        <v>286100</v>
      </c>
      <c r="F32" s="44">
        <f t="shared" si="14"/>
        <v>6250</v>
      </c>
      <c r="G32" s="43">
        <f t="shared" si="14"/>
        <v>221100</v>
      </c>
      <c r="H32" s="44">
        <f t="shared" si="14"/>
        <v>3250</v>
      </c>
      <c r="I32" s="43">
        <f t="shared" si="14"/>
        <v>323300</v>
      </c>
      <c r="J32" s="44">
        <f t="shared" si="14"/>
        <v>10800</v>
      </c>
      <c r="L32" s="45">
        <f>SUM(L4:L31)</f>
        <v>1143500</v>
      </c>
      <c r="M32" s="45">
        <f>SUM(M7:M31)</f>
        <v>126750</v>
      </c>
      <c r="N32" s="95">
        <f>SUM(N4:N31)</f>
        <v>22800</v>
      </c>
      <c r="O32" s="46">
        <f>SUM(O4:O31)</f>
        <v>1938000</v>
      </c>
      <c r="P32" s="140">
        <f>SUM(P4:P31)</f>
        <v>1912750</v>
      </c>
      <c r="R32" s="79">
        <f>SUM(R4:R31)</f>
        <v>-932550</v>
      </c>
    </row>
    <row r="33" spans="3:15" x14ac:dyDescent="0.35">
      <c r="D33" s="120">
        <f>+D32*85</f>
        <v>212500</v>
      </c>
      <c r="F33" s="120">
        <f>+F32*85</f>
        <v>531250</v>
      </c>
      <c r="H33" s="120">
        <f>+H32*85</f>
        <v>276250</v>
      </c>
      <c r="J33" s="120">
        <f>+J32*85</f>
        <v>918000</v>
      </c>
    </row>
    <row r="34" spans="3:15" ht="15" thickBot="1" x14ac:dyDescent="0.4"/>
    <row r="35" spans="3:15" x14ac:dyDescent="0.35">
      <c r="C35" s="268" t="s">
        <v>89</v>
      </c>
      <c r="D35" s="268"/>
      <c r="N35" s="149"/>
      <c r="O35" s="43"/>
    </row>
    <row r="36" spans="3:15" x14ac:dyDescent="0.35">
      <c r="C36" s="47" t="s">
        <v>28</v>
      </c>
      <c r="D36" s="30">
        <f>+C32+E32+G32+I32</f>
        <v>1143500</v>
      </c>
      <c r="E36" s="43">
        <f>+D36-L4-L5-L6</f>
        <v>1056450</v>
      </c>
    </row>
    <row r="37" spans="3:15" x14ac:dyDescent="0.35">
      <c r="C37" s="47" t="s">
        <v>33</v>
      </c>
      <c r="D37" s="48">
        <f>D36*13%</f>
        <v>148655</v>
      </c>
      <c r="E37">
        <f>+D37-M4-M5-M6</f>
        <v>137355</v>
      </c>
    </row>
    <row r="38" spans="3:15" x14ac:dyDescent="0.35">
      <c r="C38" s="47" t="s">
        <v>30</v>
      </c>
      <c r="D38" s="30">
        <f>SUM(O4:O27)</f>
        <v>1938000</v>
      </c>
      <c r="G38" s="100"/>
    </row>
    <row r="39" spans="3:15" ht="15" thickBot="1" x14ac:dyDescent="0.4">
      <c r="C39" s="49" t="s">
        <v>4</v>
      </c>
      <c r="D39" s="80">
        <f>+D36-D37-D38</f>
        <v>-943155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-943155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3" t="s">
        <v>71</v>
      </c>
      <c r="D1" s="274"/>
      <c r="E1" s="273" t="s">
        <v>72</v>
      </c>
      <c r="F1" s="274"/>
      <c r="G1" s="273" t="s">
        <v>73</v>
      </c>
      <c r="H1" s="274"/>
    </row>
    <row r="2" spans="1:17" ht="14.5" customHeight="1" x14ac:dyDescent="0.35">
      <c r="C2" s="269" t="str">
        <f>IF(C33=0,"",CONCATENATE(PREMIOS!$B7," ",PREMIOS!$B8))</f>
        <v>58 Roja</v>
      </c>
      <c r="D2" s="270"/>
      <c r="E2" s="269" t="str">
        <f>IF(E33=0,"",CONCATENATE(PREMIOS!$B11," ",PREMIOS!$B12))</f>
        <v>43 Blanca</v>
      </c>
      <c r="F2" s="270"/>
      <c r="G2" s="269" t="str">
        <f>IF(G33=0,"",CONCATENATE(PREMIOS!$B15," ",PREMIOS!$B16))</f>
        <v>05 Roja</v>
      </c>
      <c r="H2" s="270"/>
    </row>
    <row r="3" spans="1:17" ht="15" customHeight="1" thickBot="1" x14ac:dyDescent="0.4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vendedor 06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32250</v>
      </c>
      <c r="D10" s="30">
        <f>IF(Vendedor7!$E$8="",0,Vendedor7!$E$8)</f>
        <v>0</v>
      </c>
      <c r="E10" s="180">
        <f>IF(Vendedor7!$C$12="",0,Vendedor7!$C$12)</f>
        <v>19800</v>
      </c>
      <c r="F10" s="30">
        <f>IF(Vendedor7!$E$12="",0,Vendedor7!$E$12)</f>
        <v>0</v>
      </c>
      <c r="G10" s="180">
        <f>IF(Vendedor7!$C$16="",0,Vendedor7!$C$16)</f>
        <v>27100</v>
      </c>
      <c r="H10" s="30">
        <f>IF(Vendedor7!$E$16="",0,Vendedor7!$E$16)</f>
        <v>850</v>
      </c>
      <c r="J10" s="42">
        <f t="shared" si="1"/>
        <v>79150</v>
      </c>
      <c r="K10" s="41">
        <f>J10*Vendedor7!J$16</f>
        <v>7915</v>
      </c>
      <c r="L10" s="42">
        <f t="shared" si="2"/>
        <v>850</v>
      </c>
      <c r="M10" s="42">
        <f t="shared" si="3"/>
        <v>850</v>
      </c>
      <c r="N10" s="42">
        <f t="shared" si="0"/>
        <v>187000</v>
      </c>
      <c r="O10" s="42">
        <f>Vendedor7!$F$8+Vendedor7!$F$12+Vendedor7!$F$16</f>
        <v>170000</v>
      </c>
      <c r="Q10" s="42">
        <f t="shared" si="4"/>
        <v>-98765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4750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1500</v>
      </c>
      <c r="H12" s="30">
        <f>IF(Vendedor9!$E$16="",0,Vendedor9!$E$16)</f>
        <v>0</v>
      </c>
      <c r="J12" s="42">
        <f t="shared" si="1"/>
        <v>6250</v>
      </c>
      <c r="K12" s="41">
        <f>J12*Vendedor9!J$13</f>
        <v>625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5625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2500</v>
      </c>
      <c r="H16" s="30">
        <f>IF(Vendedor13!$E$16="",0,Vendedor13!$E$16)</f>
        <v>0</v>
      </c>
      <c r="J16" s="42">
        <f t="shared" si="1"/>
        <v>2500</v>
      </c>
      <c r="K16" s="41">
        <f>J16*Vendedor13!J$13</f>
        <v>250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2250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16000</v>
      </c>
      <c r="D17" s="30">
        <f>IF(Vendedor14!$E$8="",0,Vendedor14!$E$8)</f>
        <v>100</v>
      </c>
      <c r="E17" s="180">
        <f>IF(Vendedor14!$C$12="",0,Vendedor14!$C$12)</f>
        <v>13250</v>
      </c>
      <c r="F17" s="30">
        <f>IF(Vendedor14!$E$12="",0,Vendedor14!$E$12)</f>
        <v>0</v>
      </c>
      <c r="G17" s="180">
        <f>IF(Vendedor14!$C$16="",0,Vendedor14!$C$16)</f>
        <v>17250</v>
      </c>
      <c r="H17" s="30">
        <f>IF(Vendedor14!$E$16="",0,Vendedor14!$E$16)</f>
        <v>1500</v>
      </c>
      <c r="J17" s="42">
        <f t="shared" si="1"/>
        <v>46500</v>
      </c>
      <c r="K17" s="41">
        <f>J17*Vendedor14!J$17</f>
        <v>4650</v>
      </c>
      <c r="L17" s="42">
        <f t="shared" si="2"/>
        <v>1600</v>
      </c>
      <c r="M17" s="42">
        <f t="shared" si="3"/>
        <v>1600</v>
      </c>
      <c r="N17" s="42">
        <f t="shared" si="0"/>
        <v>352000</v>
      </c>
      <c r="O17" s="42">
        <f>Vendedor14!$F$8+Vendedor14!$F$12+Vendedor14!$F$16</f>
        <v>320000</v>
      </c>
      <c r="Q17" s="42">
        <f t="shared" si="4"/>
        <v>-278150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10200</v>
      </c>
      <c r="D18" s="30">
        <f>IF(Vendedor15!$E$8="",0,Vendedor15!$E$8)</f>
        <v>200</v>
      </c>
      <c r="E18" s="180">
        <f>IF(Vendedor15!$C$12="",0,Vendedor15!$C$12)</f>
        <v>7400</v>
      </c>
      <c r="F18" s="30">
        <f>IF(Vendedor15!$E$12="",0,Vendedor15!$E$12)</f>
        <v>0</v>
      </c>
      <c r="G18" s="180">
        <f>IF(Vendedor15!$C$16="",0,Vendedor15!$C$16)</f>
        <v>16850</v>
      </c>
      <c r="H18" s="30">
        <f>IF(Vendedor15!$E$16="",0,Vendedor15!$E$16)</f>
        <v>700</v>
      </c>
      <c r="J18" s="42">
        <f t="shared" ref="J18" si="5">+C18+E18+G18</f>
        <v>34450</v>
      </c>
      <c r="K18" s="41">
        <f>J18*Vendedor15!J$17</f>
        <v>3445</v>
      </c>
      <c r="L18" s="42">
        <f t="shared" si="2"/>
        <v>900</v>
      </c>
      <c r="M18" s="42">
        <f t="shared" si="3"/>
        <v>900</v>
      </c>
      <c r="N18" s="42">
        <f t="shared" si="0"/>
        <v>198000</v>
      </c>
      <c r="O18" s="42">
        <f>Vendedor15!$F$8+Vendedor15!$F$12+Vendedor15!$F$16</f>
        <v>180000</v>
      </c>
      <c r="Q18" s="42">
        <f t="shared" si="4"/>
        <v>-148995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-768</v>
      </c>
      <c r="H27" s="50">
        <f>IF(Vendedor24!$E$16="",0,Vendedor24!$E$16)</f>
        <v>-768</v>
      </c>
      <c r="J27" s="42">
        <f t="shared" si="1"/>
        <v>-768</v>
      </c>
      <c r="K27" s="41">
        <f>J27*Vendedor24!J$11</f>
        <v>-76.800000000000011</v>
      </c>
      <c r="L27" s="42">
        <f t="shared" si="2"/>
        <v>-768</v>
      </c>
      <c r="M27" s="42">
        <f t="shared" si="3"/>
        <v>-768</v>
      </c>
      <c r="N27" s="42">
        <f t="shared" si="0"/>
        <v>-168960</v>
      </c>
      <c r="O27" s="42">
        <f>Vendedor24!$F$8+Vendedor24!$F$12+Vendedor24!$F$16</f>
        <v>-153600</v>
      </c>
      <c r="Q27" s="42">
        <f>+J27-K27-O27</f>
        <v>152908.79999999999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63200</v>
      </c>
      <c r="D33" s="44">
        <f>IF(PREMIOS!E8&lt;&gt;0,SUM(D4:D32),0)</f>
        <v>300</v>
      </c>
      <c r="E33" s="43">
        <f>SUM(E4:E32)</f>
        <v>40450</v>
      </c>
      <c r="F33" s="44">
        <f>IF(PREMIOS!E12&lt;&gt;0,SUM(F4:F32),0)</f>
        <v>0</v>
      </c>
      <c r="G33" s="43">
        <f>SUM(G4:G32)</f>
        <v>64432</v>
      </c>
      <c r="H33" s="44">
        <f>IF(PREMIOS!E16&lt;&gt;0,SUM(H4:H32),0)</f>
        <v>2282</v>
      </c>
      <c r="J33" s="45">
        <f>SUM(J4:J32)</f>
        <v>168082</v>
      </c>
      <c r="K33" s="45">
        <f>SUM(K7:K32)</f>
        <v>16808.2</v>
      </c>
      <c r="L33" s="95">
        <f>SUM(L7:L32)</f>
        <v>2582</v>
      </c>
      <c r="M33" s="95">
        <f>SUM(M7:M32)</f>
        <v>2582</v>
      </c>
      <c r="N33" s="95">
        <f>SUM(N4:N27)</f>
        <v>568040</v>
      </c>
      <c r="O33" s="95">
        <f>SUM(O4:O27)</f>
        <v>516400</v>
      </c>
      <c r="Q33" s="79">
        <f>SUM(Q4:Q32)</f>
        <v>-365126.2</v>
      </c>
    </row>
    <row r="34" spans="3:17" x14ac:dyDescent="0.35">
      <c r="D34" s="118">
        <f>IF(PREMIOS!$D8=PREMIOS!$J$10,D33*$G$38,IF(PREMIOS!$D8=PREMIOS!$J$11,D33*$F$38,IF(PREMIOS!$D8=PREMIOS!$J$12,0,"")))</f>
        <v>66000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502040</v>
      </c>
    </row>
    <row r="35" spans="3:17" ht="15" thickBot="1" x14ac:dyDescent="0.4"/>
    <row r="36" spans="3:17" ht="14.5" customHeight="1" x14ac:dyDescent="0.35">
      <c r="C36" s="275" t="s">
        <v>90</v>
      </c>
      <c r="D36" s="275"/>
      <c r="F36" s="276" t="s">
        <v>94</v>
      </c>
      <c r="G36" s="276" t="s">
        <v>95</v>
      </c>
    </row>
    <row r="37" spans="3:17" ht="14.5" customHeight="1" x14ac:dyDescent="0.35">
      <c r="C37" s="47" t="s">
        <v>28</v>
      </c>
      <c r="D37" s="30">
        <f>+C33+E33+G33</f>
        <v>168082</v>
      </c>
      <c r="E37" s="43">
        <f>+D37-J4-J5-J6</f>
        <v>168082</v>
      </c>
      <c r="F37" s="277"/>
      <c r="G37" s="277"/>
    </row>
    <row r="38" spans="3:17" ht="15" thickBot="1" x14ac:dyDescent="0.4">
      <c r="C38" s="47" t="s">
        <v>33</v>
      </c>
      <c r="D38" s="30">
        <f>D37*10%</f>
        <v>16808.2</v>
      </c>
      <c r="E38" s="43">
        <f>+D38-K4-K5-K6</f>
        <v>16808.2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568040</v>
      </c>
    </row>
    <row r="40" spans="3:17" ht="15" thickBot="1" x14ac:dyDescent="0.4">
      <c r="C40" s="49" t="s">
        <v>4</v>
      </c>
      <c r="D40" s="80">
        <f>+D37-D38-D39</f>
        <v>-416766.2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-416766.2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3" t="s">
        <v>113</v>
      </c>
      <c r="D1" s="274"/>
      <c r="E1" s="273" t="s">
        <v>98</v>
      </c>
      <c r="F1" s="274"/>
    </row>
    <row r="2" spans="1:14" ht="14.5" customHeight="1" x14ac:dyDescent="0.35">
      <c r="C2" s="269">
        <f>DigitaPRIMERA!C2</f>
        <v>76</v>
      </c>
      <c r="D2" s="270"/>
      <c r="E2" s="269">
        <f>DigitaPRIMERA!E2</f>
        <v>64</v>
      </c>
      <c r="F2" s="270"/>
    </row>
    <row r="3" spans="1:14" ht="14.5" customHeight="1" thickBot="1" x14ac:dyDescent="0.4">
      <c r="C3" s="269"/>
      <c r="D3" s="270"/>
      <c r="E3" s="269"/>
      <c r="F3" s="270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9650</v>
      </c>
      <c r="D4" s="78">
        <f>IF(Vendedor1!$E$19="",0,Vendedor1!$E$19)</f>
        <v>100</v>
      </c>
      <c r="E4" s="189">
        <f>IF(Vendedor1!$C$20="",0,Vendedor1!$C$20)</f>
        <v>1700</v>
      </c>
      <c r="F4" s="78">
        <f>IF(Vendedor1!$E$20="",0,Vendedor1!$E$20)</f>
        <v>0</v>
      </c>
      <c r="H4" s="42">
        <f>+C4+E4</f>
        <v>11350</v>
      </c>
      <c r="I4" s="41">
        <f>MROUND(H4*Vendedor1!J$9,50)</f>
        <v>1500</v>
      </c>
      <c r="J4" s="42">
        <f>+D4+F4</f>
        <v>100</v>
      </c>
      <c r="K4" s="42">
        <f>+J4*85</f>
        <v>8500</v>
      </c>
      <c r="L4" s="42">
        <f>Vendedor1!$F$19+Vendedor1!$F$20</f>
        <v>8000</v>
      </c>
      <c r="N4" s="42">
        <f t="shared" ref="N4:N31" si="0">+H4-I4-L4</f>
        <v>1850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4200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4200</v>
      </c>
      <c r="I5" s="41">
        <f>MROUND(H5*Vendedor2!J$9,50)</f>
        <v>550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3650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13900</v>
      </c>
      <c r="D8" s="30">
        <f>IF(Vendedor5!$E$19="",0,Vendedor5!$E$19)</f>
        <v>0</v>
      </c>
      <c r="E8" s="180">
        <f>IF(Vendedor5!$C$20="",0,Vendedor5!$C$20)</f>
        <v>7450</v>
      </c>
      <c r="F8" s="30">
        <f>IF(Vendedor5!$E$20="",0,Vendedor5!$E$20)</f>
        <v>0</v>
      </c>
      <c r="H8" s="133">
        <f t="shared" si="1"/>
        <v>21350</v>
      </c>
      <c r="I8" s="148">
        <f>MROUND(H8*Vendedor5!J$11,50)</f>
        <v>2550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18800</v>
      </c>
    </row>
    <row r="9" spans="1:14" x14ac:dyDescent="0.35">
      <c r="A9" s="203">
        <v>6</v>
      </c>
      <c r="B9" s="196" t="str">
        <f>Vendedor6!$B$2</f>
        <v>vendedor 06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41650</v>
      </c>
      <c r="D10" s="30">
        <f>IF(Vendedor7!$E$19="",0,Vendedor7!$E$19)</f>
        <v>150</v>
      </c>
      <c r="E10" s="180">
        <f>IF(Vendedor7!$C$20="",0,Vendedor7!$C$20)</f>
        <v>15000</v>
      </c>
      <c r="F10" s="30">
        <f>IF(Vendedor7!$E$20="",0,Vendedor7!$E$20)</f>
        <v>0</v>
      </c>
      <c r="H10" s="42">
        <f t="shared" si="1"/>
        <v>56650</v>
      </c>
      <c r="I10" s="41">
        <f>MROUND(H10*Vendedor7!J$14,50)</f>
        <v>6800</v>
      </c>
      <c r="J10" s="42">
        <f t="shared" si="2"/>
        <v>150</v>
      </c>
      <c r="K10" s="42">
        <f t="shared" si="3"/>
        <v>12750</v>
      </c>
      <c r="L10" s="42">
        <f>Vendedor7!$F$19+Vendedor7!$F$20</f>
        <v>12750</v>
      </c>
      <c r="N10" s="42">
        <f t="shared" si="0"/>
        <v>37100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26550</v>
      </c>
      <c r="D12" s="30">
        <f>IF(Vendedor9!$E$19="",0,Vendedor9!$E$19)</f>
        <v>250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26550</v>
      </c>
      <c r="I12" s="148">
        <f>MROUND(H12*Vendedor9!J$11,50)</f>
        <v>3200</v>
      </c>
      <c r="J12" s="133">
        <f t="shared" si="2"/>
        <v>250</v>
      </c>
      <c r="K12" s="133">
        <f t="shared" si="3"/>
        <v>21250</v>
      </c>
      <c r="L12" s="133">
        <f>Vendedor9!$F$19+Vendedor9!$F$20</f>
        <v>21250</v>
      </c>
      <c r="M12" s="155"/>
      <c r="N12" s="133">
        <f t="shared" si="0"/>
        <v>2100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6700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6700</v>
      </c>
      <c r="I16" s="148">
        <f>MROUND(H16*Vendedor13!J$11,50)</f>
        <v>800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5900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83450</v>
      </c>
      <c r="D17" s="30">
        <f>IF(Vendedor14!$E$19="",0,Vendedor14!$E$19)</f>
        <v>750</v>
      </c>
      <c r="E17" s="180">
        <f>IF(Vendedor14!$C$20="",0,Vendedor14!$C$20)</f>
        <v>31700</v>
      </c>
      <c r="F17" s="30">
        <f>IF(Vendedor14!$E$20="",0,Vendedor14!$E$20)</f>
        <v>200</v>
      </c>
      <c r="H17" s="42">
        <f t="shared" si="1"/>
        <v>115150</v>
      </c>
      <c r="I17" s="41">
        <f>MROUND(H17*Vendedor14!J$15,50)</f>
        <v>13800</v>
      </c>
      <c r="J17" s="42">
        <f t="shared" si="2"/>
        <v>950</v>
      </c>
      <c r="K17" s="42">
        <f t="shared" si="3"/>
        <v>80750</v>
      </c>
      <c r="L17" s="42">
        <f>Vendedor14!$F$19+Vendedor14!$F$20</f>
        <v>80750</v>
      </c>
      <c r="N17" s="42">
        <f t="shared" si="0"/>
        <v>20600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46000</v>
      </c>
      <c r="D18" s="30">
        <f>IF(Vendedor15!$E$19="",0,Vendedor15!$E$19)</f>
        <v>100</v>
      </c>
      <c r="E18" s="180">
        <f>IF(Vendedor15!$C$20="",0,Vendedor15!$C$20)</f>
        <v>40300</v>
      </c>
      <c r="F18" s="30">
        <f>IF(Vendedor15!$E$20="",0,Vendedor15!$E$20)</f>
        <v>0</v>
      </c>
      <c r="H18" s="42">
        <f t="shared" si="1"/>
        <v>86300</v>
      </c>
      <c r="I18" s="41">
        <f>MROUND(H18*Vendedor15!J$15,50)</f>
        <v>10350</v>
      </c>
      <c r="J18" s="42">
        <f t="shared" si="2"/>
        <v>100</v>
      </c>
      <c r="K18" s="42">
        <f t="shared" si="3"/>
        <v>8500</v>
      </c>
      <c r="L18" s="42">
        <f>Vendedor15!$F$19+Vendedor15!$F$20</f>
        <v>8500</v>
      </c>
      <c r="N18" s="42">
        <f t="shared" si="0"/>
        <v>67450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232100</v>
      </c>
      <c r="D32" s="44">
        <f>SUM(D4:D31)</f>
        <v>1350</v>
      </c>
      <c r="E32" s="43">
        <f>SUM(E4:E31)</f>
        <v>96150</v>
      </c>
      <c r="F32" s="44">
        <f>SUM(F4:F31)</f>
        <v>200</v>
      </c>
      <c r="H32" s="95">
        <f>SUM(H4:H31)</f>
        <v>328250</v>
      </c>
      <c r="I32" s="45">
        <f>SUM(I7:I31)</f>
        <v>37500</v>
      </c>
      <c r="J32" s="95"/>
      <c r="K32" s="95">
        <f>SUM(K4:K31)</f>
        <v>131750</v>
      </c>
      <c r="L32" s="95">
        <f>SUM(L4:L31)</f>
        <v>131250</v>
      </c>
      <c r="N32" s="79">
        <f>SUM(N4:N31)</f>
        <v>157450</v>
      </c>
    </row>
    <row r="33" spans="3:6" x14ac:dyDescent="0.35">
      <c r="D33" s="99">
        <f>+D32*85</f>
        <v>114750</v>
      </c>
      <c r="F33" s="99">
        <f>+F32*85</f>
        <v>17000</v>
      </c>
    </row>
    <row r="34" spans="3:6" ht="15" thickBot="1" x14ac:dyDescent="0.4"/>
    <row r="35" spans="3:6" x14ac:dyDescent="0.35">
      <c r="C35" s="268" t="s">
        <v>89</v>
      </c>
      <c r="D35" s="268"/>
    </row>
    <row r="36" spans="3:6" x14ac:dyDescent="0.35">
      <c r="C36" s="47" t="s">
        <v>28</v>
      </c>
      <c r="D36" s="30">
        <f>+C32+E32</f>
        <v>328250</v>
      </c>
      <c r="E36" s="43">
        <f>+D36-H4-H5-H6</f>
        <v>312700</v>
      </c>
    </row>
    <row r="37" spans="3:6" x14ac:dyDescent="0.35">
      <c r="C37" s="47" t="s">
        <v>33</v>
      </c>
      <c r="D37" s="48">
        <f>D36*13%</f>
        <v>42672.5</v>
      </c>
      <c r="E37">
        <f>+D37-I4-I5-I6</f>
        <v>40622.5</v>
      </c>
    </row>
    <row r="38" spans="3:6" ht="15" thickBot="1" x14ac:dyDescent="0.4">
      <c r="C38" s="47" t="s">
        <v>30</v>
      </c>
      <c r="D38" s="30">
        <f>SUM(K4:K27)</f>
        <v>131750</v>
      </c>
    </row>
    <row r="39" spans="3:6" ht="15" thickBot="1" x14ac:dyDescent="0.4">
      <c r="C39" s="49" t="s">
        <v>4</v>
      </c>
      <c r="D39" s="80">
        <f>+D36-D37-D38</f>
        <v>153827.5</v>
      </c>
      <c r="F39" s="98">
        <f>+N32-D39</f>
        <v>3622.5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153827.5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3" t="s">
        <v>132</v>
      </c>
      <c r="D1" s="274"/>
      <c r="E1" s="273" t="s">
        <v>133</v>
      </c>
      <c r="F1" s="274"/>
      <c r="G1" s="273" t="s">
        <v>134</v>
      </c>
      <c r="H1" s="274"/>
    </row>
    <row r="2" spans="1:16" x14ac:dyDescent="0.35">
      <c r="C2" s="269">
        <f>DigitaHONDURAS!C2</f>
        <v>63</v>
      </c>
      <c r="D2" s="270"/>
      <c r="E2" s="269">
        <f>DigitaHONDURAS!E2</f>
        <v>88</v>
      </c>
      <c r="F2" s="270"/>
      <c r="G2" s="269" t="str">
        <f>DigitaHONDURAS!G2</f>
        <v>04</v>
      </c>
      <c r="H2" s="270"/>
    </row>
    <row r="3" spans="1:16" x14ac:dyDescent="0.35">
      <c r="C3" s="271"/>
      <c r="D3" s="272"/>
      <c r="E3" s="271"/>
      <c r="F3" s="272"/>
      <c r="G3" s="271"/>
      <c r="H3" s="272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vendedor 06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13000</v>
      </c>
      <c r="D10" s="30">
        <f>IF(Vendedor7!$E$21="",0,Vendedor7!$E$21)</f>
        <v>0</v>
      </c>
      <c r="E10" s="180">
        <f>IF(Vendedor7!$C$22="",0,Vendedor7!$C$22)</f>
        <v>21250</v>
      </c>
      <c r="F10" s="30">
        <f>IF(Vendedor7!$E$22="",0,Vendedor7!$E$22)</f>
        <v>150</v>
      </c>
      <c r="G10" s="180">
        <f>IF(Vendedor7!$C$23="",0,Vendedor7!$C$23)</f>
        <v>6250</v>
      </c>
      <c r="H10" s="30">
        <f>IF(Vendedor7!$E$23="",0,Vendedor7!$E$23)</f>
        <v>0</v>
      </c>
      <c r="J10" s="42">
        <f t="shared" si="0"/>
        <v>40500</v>
      </c>
      <c r="K10" s="41">
        <f>MROUND(J10*Vendedor7!J$14,50)</f>
        <v>4850</v>
      </c>
      <c r="L10" s="42">
        <f t="shared" si="1"/>
        <v>150</v>
      </c>
      <c r="M10" s="42">
        <f t="shared" si="3"/>
        <v>12750</v>
      </c>
      <c r="N10" s="42">
        <f>Vendedor7!$F$21+Vendedor7!$F$22+Vendedor7!$F$23</f>
        <v>12750</v>
      </c>
      <c r="P10" s="42">
        <f t="shared" si="2"/>
        <v>22900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31750</v>
      </c>
      <c r="D17" s="30">
        <f>IF(Vendedor14!$E$21="",0,Vendedor14!$E$21)</f>
        <v>0</v>
      </c>
      <c r="E17" s="180">
        <f>IF(Vendedor14!$C$22="",0,Vendedor14!$C$22)</f>
        <v>3950</v>
      </c>
      <c r="F17" s="30">
        <f>IF(Vendedor14!$E$22="",0,Vendedor14!$E$22)</f>
        <v>0</v>
      </c>
      <c r="G17" s="180">
        <f>IF(Vendedor14!$C$23="",0,Vendedor14!$C$23)</f>
        <v>15150</v>
      </c>
      <c r="H17" s="30">
        <f>IF(Vendedor14!$E$23="",0,Vendedor14!$E$23)</f>
        <v>300</v>
      </c>
      <c r="J17" s="42">
        <f t="shared" si="0"/>
        <v>50850</v>
      </c>
      <c r="K17" s="41">
        <f>MROUND(J17*Vendedor14!J$15,50)</f>
        <v>6100</v>
      </c>
      <c r="L17" s="42">
        <f t="shared" si="1"/>
        <v>300</v>
      </c>
      <c r="M17" s="42">
        <f t="shared" si="3"/>
        <v>25500</v>
      </c>
      <c r="N17" s="42">
        <f>Vendedor14!$F$21+Vendedor14!$F$22+Vendedor14!$F$23</f>
        <v>25500</v>
      </c>
      <c r="P17" s="42">
        <f t="shared" si="2"/>
        <v>19250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26050</v>
      </c>
      <c r="D18" s="30">
        <f>IF(Vendedor15!$E$21="",0,Vendedor15!$E$21)</f>
        <v>0</v>
      </c>
      <c r="E18" s="180">
        <f>IF(Vendedor15!$C$22="",0,Vendedor15!$C$22)</f>
        <v>1700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27750</v>
      </c>
      <c r="K18" s="41">
        <f>MROUND(J18*Vendedor15!J$15,50)</f>
        <v>3350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24400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70800</v>
      </c>
      <c r="D32" s="44">
        <f t="shared" si="8"/>
        <v>0</v>
      </c>
      <c r="E32" s="43">
        <f t="shared" si="8"/>
        <v>26900</v>
      </c>
      <c r="F32" s="44">
        <f t="shared" si="8"/>
        <v>150</v>
      </c>
      <c r="G32" s="43">
        <f t="shared" si="8"/>
        <v>21400</v>
      </c>
      <c r="H32" s="44">
        <f t="shared" si="8"/>
        <v>300</v>
      </c>
      <c r="J32" s="95">
        <f>SUM(J4:J31)</f>
        <v>119100</v>
      </c>
      <c r="K32" s="45">
        <f>SUM(K7:K31)</f>
        <v>14300</v>
      </c>
      <c r="L32" s="95"/>
      <c r="M32" s="95">
        <f>SUM(M4:M31)</f>
        <v>38250</v>
      </c>
      <c r="N32" s="95">
        <f>SUM(N4:N31)</f>
        <v>38250</v>
      </c>
      <c r="P32" s="79">
        <f>SUM(P4:P31)</f>
        <v>66550</v>
      </c>
    </row>
    <row r="33" spans="3:8" x14ac:dyDescent="0.35">
      <c r="D33" s="99">
        <f>+D32*85</f>
        <v>0</v>
      </c>
      <c r="F33" s="99">
        <f>+F32*85</f>
        <v>12750</v>
      </c>
      <c r="H33" s="99">
        <f>+H32*85</f>
        <v>25500</v>
      </c>
    </row>
    <row r="34" spans="3:8" ht="15" thickBot="1" x14ac:dyDescent="0.4"/>
    <row r="35" spans="3:8" x14ac:dyDescent="0.35">
      <c r="C35" s="268" t="s">
        <v>89</v>
      </c>
      <c r="D35" s="268"/>
    </row>
    <row r="36" spans="3:8" x14ac:dyDescent="0.35">
      <c r="C36" s="47" t="s">
        <v>28</v>
      </c>
      <c r="D36" s="30">
        <f>+C32+E32+G32</f>
        <v>119100</v>
      </c>
      <c r="E36" s="43">
        <f>+D36-J4-J5-J6</f>
        <v>119100</v>
      </c>
    </row>
    <row r="37" spans="3:8" x14ac:dyDescent="0.35">
      <c r="C37" s="47" t="s">
        <v>33</v>
      </c>
      <c r="D37" s="48">
        <f>D36*13%</f>
        <v>15483</v>
      </c>
      <c r="E37">
        <f>+D37-K4-K5-K6</f>
        <v>15483</v>
      </c>
    </row>
    <row r="38" spans="3:8" ht="15" thickBot="1" x14ac:dyDescent="0.4">
      <c r="C38" s="47" t="s">
        <v>30</v>
      </c>
      <c r="D38" s="30">
        <f>SUM(M4:M27)</f>
        <v>38250</v>
      </c>
      <c r="G38" s="100"/>
    </row>
    <row r="39" spans="3:8" ht="15" thickBot="1" x14ac:dyDescent="0.4">
      <c r="C39" s="49" t="s">
        <v>4</v>
      </c>
      <c r="D39" s="80">
        <f>+D36-D37-D38</f>
        <v>65367</v>
      </c>
      <c r="F39" s="98">
        <f>+P32-D39</f>
        <v>1183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65367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3" t="s">
        <v>114</v>
      </c>
      <c r="D1" s="274"/>
      <c r="E1" s="273" t="s">
        <v>115</v>
      </c>
      <c r="F1" s="274"/>
    </row>
    <row r="2" spans="1:14" x14ac:dyDescent="0.35">
      <c r="C2" s="269">
        <f>DigitaDOMINICANA!C2</f>
        <v>33</v>
      </c>
      <c r="D2" s="270"/>
      <c r="E2" s="269">
        <f>DigitaDOMINICANA!E2</f>
        <v>22</v>
      </c>
      <c r="F2" s="270"/>
    </row>
    <row r="3" spans="1:14" ht="15" thickBot="1" x14ac:dyDescent="0.4">
      <c r="C3" s="269"/>
      <c r="D3" s="270"/>
      <c r="E3" s="269"/>
      <c r="F3" s="270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vendedor 06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20000</v>
      </c>
      <c r="D10" s="30">
        <f>IF(Vendedor7!$E$24="",0,Vendedor7!$E$24)</f>
        <v>0</v>
      </c>
      <c r="E10" s="180">
        <f>IF(Vendedor7!$C$25="",0,Vendedor7!$C$25)</f>
        <v>2000</v>
      </c>
      <c r="F10" s="30">
        <f>IF(Vendedor7!$E$25="",0,Vendedor7!$E$25)</f>
        <v>0</v>
      </c>
      <c r="H10" s="42">
        <f t="shared" si="1"/>
        <v>22000</v>
      </c>
      <c r="I10" s="41">
        <f>MROUND(H10*Vendedor7!J$14,50)</f>
        <v>2650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19350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20000</v>
      </c>
      <c r="D32" s="44">
        <f>SUM(D4:D31)</f>
        <v>0</v>
      </c>
      <c r="E32" s="43">
        <f>SUM(E4:E31)</f>
        <v>2000</v>
      </c>
      <c r="F32" s="44">
        <f>SUM(F4:F31)</f>
        <v>0</v>
      </c>
      <c r="H32" s="95">
        <f>SUM(H4:H31)</f>
        <v>22000</v>
      </c>
      <c r="I32" s="45">
        <f>SUM(I7:I31)</f>
        <v>2650</v>
      </c>
      <c r="J32" s="95"/>
      <c r="K32" s="95">
        <f>SUM(K4:K31)</f>
        <v>0</v>
      </c>
      <c r="L32" s="95">
        <f>SUM(L4:L31)</f>
        <v>0</v>
      </c>
      <c r="N32" s="79">
        <f>SUM(N4:N31)</f>
        <v>19350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8" t="s">
        <v>89</v>
      </c>
      <c r="D35" s="268"/>
    </row>
    <row r="36" spans="3:6" x14ac:dyDescent="0.35">
      <c r="C36" s="47" t="s">
        <v>28</v>
      </c>
      <c r="D36" s="30">
        <f>+C32+E32</f>
        <v>22000</v>
      </c>
      <c r="E36" s="43">
        <f>+D36-H4-H5-H6</f>
        <v>22000</v>
      </c>
    </row>
    <row r="37" spans="3:6" x14ac:dyDescent="0.35">
      <c r="C37" s="47" t="s">
        <v>33</v>
      </c>
      <c r="D37" s="48">
        <f>D36*13%</f>
        <v>2860</v>
      </c>
      <c r="E37">
        <f>+D37-I4-I5-I6</f>
        <v>2860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19140</v>
      </c>
      <c r="F39" s="98">
        <f>+N32-D39</f>
        <v>210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19140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3" t="s">
        <v>109</v>
      </c>
      <c r="D1" s="274"/>
    </row>
    <row r="2" spans="1:12" x14ac:dyDescent="0.35">
      <c r="C2" s="269" t="str">
        <f>DigitaPANAMENA!C2</f>
        <v/>
      </c>
      <c r="D2" s="270"/>
    </row>
    <row r="3" spans="1:12" ht="15" thickBot="1" x14ac:dyDescent="0.4">
      <c r="C3" s="269"/>
      <c r="D3" s="270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vendedor 06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8" t="s">
        <v>89</v>
      </c>
      <c r="D35" s="268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8" t="str">
        <f ca="1">CONCATENATE("Cuentas ALI ",TEXT('Ctas Banca'!I5,"dd-mm-yyyy"))</f>
        <v>Cuentas ALI 26-04-2026</v>
      </c>
      <c r="B1" s="278"/>
      <c r="C1" s="278"/>
      <c r="D1" s="278"/>
      <c r="E1" s="278"/>
      <c r="F1" s="278"/>
      <c r="G1" s="278"/>
      <c r="H1" s="21"/>
      <c r="I1" s="21"/>
    </row>
    <row r="2" spans="1:9" ht="15" thickBot="1" x14ac:dyDescent="0.4">
      <c r="A2" s="279" t="s">
        <v>137</v>
      </c>
      <c r="B2" s="279"/>
      <c r="C2" s="279"/>
      <c r="D2" s="279"/>
      <c r="E2" s="279"/>
      <c r="F2" s="279"/>
      <c r="G2" s="279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1056450</v>
      </c>
      <c r="C4" s="157">
        <f>HojaNICA!M32</f>
        <v>126750</v>
      </c>
      <c r="D4" s="150">
        <f>HojaNICA!E37</f>
        <v>137355</v>
      </c>
      <c r="E4" s="150">
        <f>HojaNICA!P32</f>
        <v>1912750</v>
      </c>
      <c r="F4" s="150">
        <f>HojaNICA!O32</f>
        <v>1938000</v>
      </c>
      <c r="G4" s="151">
        <f t="shared" ref="G4:G10" si="0">+D4-C4+F4-E4</f>
        <v>35855</v>
      </c>
      <c r="H4" s="21"/>
      <c r="I4" s="182"/>
    </row>
    <row r="5" spans="1:9" x14ac:dyDescent="0.35">
      <c r="A5" s="28" t="s">
        <v>19</v>
      </c>
      <c r="B5" s="156">
        <f>HojaTICA!$E$36</f>
        <v>1280492</v>
      </c>
      <c r="C5" s="157">
        <f>HojaTICA!K32</f>
        <v>155500</v>
      </c>
      <c r="D5" s="150">
        <f>HojaTICA!E37</f>
        <v>166478.46000000002</v>
      </c>
      <c r="E5" s="150">
        <f>HojaTICA!N32</f>
        <v>2325870</v>
      </c>
      <c r="F5" s="150">
        <f>HojaTICA!D38</f>
        <v>2330870</v>
      </c>
      <c r="G5" s="151">
        <f t="shared" si="0"/>
        <v>15978.459999999963</v>
      </c>
      <c r="H5" s="21"/>
      <c r="I5" s="182"/>
    </row>
    <row r="6" spans="1:9" x14ac:dyDescent="0.35">
      <c r="A6" s="28" t="s">
        <v>125</v>
      </c>
      <c r="B6" s="156">
        <f>HojaREVENTADO!$E$37</f>
        <v>168082</v>
      </c>
      <c r="C6" s="157">
        <f>HojaREVENTADO!K33</f>
        <v>16808.2</v>
      </c>
      <c r="D6" s="150">
        <f>HojaREVENTADO!E38</f>
        <v>16808.2</v>
      </c>
      <c r="E6" s="150">
        <f>HojaREVENTADO!O33</f>
        <v>516400</v>
      </c>
      <c r="F6" s="150">
        <f>HojaREVENTADO!N33</f>
        <v>568040</v>
      </c>
      <c r="G6" s="151">
        <f t="shared" si="0"/>
        <v>51640</v>
      </c>
      <c r="H6" s="21"/>
      <c r="I6" s="182"/>
    </row>
    <row r="7" spans="1:9" x14ac:dyDescent="0.35">
      <c r="A7" s="28" t="s">
        <v>96</v>
      </c>
      <c r="B7" s="156">
        <f>HojaPrimera!$E$36</f>
        <v>312700</v>
      </c>
      <c r="C7" s="157">
        <f>HojaPrimera!I32</f>
        <v>37500</v>
      </c>
      <c r="D7" s="150">
        <f>HojaPrimera!E37</f>
        <v>40622.5</v>
      </c>
      <c r="E7" s="150">
        <f>HojaPrimera!L32</f>
        <v>131250</v>
      </c>
      <c r="F7" s="150">
        <f>HojaPrimera!K32</f>
        <v>131750</v>
      </c>
      <c r="G7" s="151">
        <f t="shared" si="0"/>
        <v>3622.5</v>
      </c>
      <c r="H7" s="21"/>
      <c r="I7" s="21"/>
    </row>
    <row r="8" spans="1:9" x14ac:dyDescent="0.35">
      <c r="A8" s="28" t="s">
        <v>104</v>
      </c>
      <c r="B8" s="156">
        <f>HojaHonduras!$E$36</f>
        <v>119100</v>
      </c>
      <c r="C8" s="157">
        <f>HojaHonduras!K32</f>
        <v>14300</v>
      </c>
      <c r="D8" s="150">
        <f>HojaHonduras!E37</f>
        <v>15483</v>
      </c>
      <c r="E8" s="150">
        <f>HojaHonduras!N32</f>
        <v>38250</v>
      </c>
      <c r="F8" s="150">
        <f>HojaHonduras!M32</f>
        <v>38250</v>
      </c>
      <c r="G8" s="151">
        <f t="shared" si="0"/>
        <v>1183</v>
      </c>
      <c r="H8" s="21"/>
      <c r="I8" s="21"/>
    </row>
    <row r="9" spans="1:9" x14ac:dyDescent="0.35">
      <c r="A9" s="28" t="s">
        <v>20</v>
      </c>
      <c r="B9" s="156">
        <f>HojaDominicana!$E$36</f>
        <v>22000</v>
      </c>
      <c r="C9" s="157">
        <f>HojaDominicana!I32</f>
        <v>2650</v>
      </c>
      <c r="D9" s="150">
        <f>HojaDominicana!E37</f>
        <v>2860</v>
      </c>
      <c r="E9" s="150">
        <f>HojaDominicana!L32</f>
        <v>0</v>
      </c>
      <c r="F9" s="150">
        <f>HojaDominicana!K32</f>
        <v>0</v>
      </c>
      <c r="G9" s="151">
        <f t="shared" si="0"/>
        <v>210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2958824</v>
      </c>
      <c r="C11" s="175">
        <f>SUM(C4:C10)</f>
        <v>353508.2</v>
      </c>
      <c r="D11" s="175">
        <f t="shared" ref="D11:F11" si="1">SUM(D4:D10)</f>
        <v>379607.16000000003</v>
      </c>
      <c r="E11" s="175">
        <f t="shared" si="1"/>
        <v>4924520</v>
      </c>
      <c r="F11" s="175">
        <f t="shared" si="1"/>
        <v>5006910</v>
      </c>
      <c r="G11" s="176">
        <f>SUM(G4:G10)</f>
        <v>108488.95999999996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73488.959999999963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9" t="s">
        <v>136</v>
      </c>
      <c r="D14" s="279"/>
      <c r="E14" s="279"/>
      <c r="F14" s="279"/>
      <c r="G14" s="279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228700</v>
      </c>
      <c r="E16" s="157">
        <f>+Vendedor1!D21</f>
        <v>29731</v>
      </c>
      <c r="F16" s="158">
        <f>IF(D16&lt;&gt;0,15000,0)</f>
        <v>15000</v>
      </c>
      <c r="G16" s="151">
        <f>+E16-F16</f>
        <v>14731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190550</v>
      </c>
      <c r="E17" s="157">
        <f>+Vendedor2!D21</f>
        <v>24771.5</v>
      </c>
      <c r="F17" s="158">
        <f>IF(D17&lt;&gt;0,15000,0)</f>
        <v>15000</v>
      </c>
      <c r="G17" s="151">
        <f>+E17-F17</f>
        <v>9771.5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419250</v>
      </c>
      <c r="E19" s="159">
        <f>SUM(E16:E18)</f>
        <v>54502.5</v>
      </c>
      <c r="F19" s="160">
        <f>SUM(F16:F18)</f>
        <v>30000</v>
      </c>
      <c r="G19" s="161">
        <f>SUM(G16:G18)</f>
        <v>24502.5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8446</v>
      </c>
      <c r="E22" s="157">
        <f>-Vendedor24!D27</f>
        <v>998.16000000000008</v>
      </c>
      <c r="F22" s="158">
        <f>-Vendedor24!F27</f>
        <v>806230</v>
      </c>
      <c r="G22" s="151">
        <f>+D22-E22-F22</f>
        <v>-798782.16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-700790.70000000007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7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80" t="str">
        <f ca="1">CONCATENATE("Tiempos Pana ",TEXT(I5,"dd-mm-yyyy"))</f>
        <v>Tiempos Pana 26-04-2026</v>
      </c>
      <c r="B2" s="280"/>
      <c r="C2" s="280"/>
      <c r="D2" s="280"/>
      <c r="E2" s="280"/>
      <c r="F2" s="280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1143500</v>
      </c>
      <c r="C5" s="150">
        <f>HojaNICA!D37</f>
        <v>148655</v>
      </c>
      <c r="D5" s="150">
        <f>HojaNICA!D38</f>
        <v>1938000</v>
      </c>
      <c r="E5" s="150"/>
      <c r="F5" s="151">
        <f>+B5-C5-D5+E5</f>
        <v>-943155</v>
      </c>
      <c r="H5" s="249" t="s">
        <v>105</v>
      </c>
      <c r="I5" s="243">
        <f ca="1">TODAY()-1</f>
        <v>46138</v>
      </c>
      <c r="O5" s="119"/>
    </row>
    <row r="6" spans="1:15" ht="15" thickBot="1" x14ac:dyDescent="0.4">
      <c r="A6" s="47" t="s">
        <v>36</v>
      </c>
      <c r="B6" s="150">
        <f>HojaTICA!D36</f>
        <v>1597142</v>
      </c>
      <c r="C6" s="150">
        <f>HojaTICA!D37</f>
        <v>207628.46000000002</v>
      </c>
      <c r="D6" s="150">
        <f>HojaTICA!D38</f>
        <v>2330870</v>
      </c>
      <c r="E6" s="150"/>
      <c r="F6" s="151">
        <f t="shared" ref="F6:F11" si="0">+B6-C6-D6+E6</f>
        <v>-941356.46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168082</v>
      </c>
      <c r="C7" s="150">
        <f>HojaREVENTADO!D38</f>
        <v>16808.2</v>
      </c>
      <c r="D7" s="150">
        <f>HojaREVENTADO!D39</f>
        <v>568040</v>
      </c>
      <c r="E7" s="150"/>
      <c r="F7" s="151">
        <f t="shared" si="0"/>
        <v>-416766.2</v>
      </c>
    </row>
    <row r="8" spans="1:15" x14ac:dyDescent="0.35">
      <c r="A8" s="47" t="s">
        <v>96</v>
      </c>
      <c r="B8" s="150">
        <f>HojaPrimera!$D36</f>
        <v>328250</v>
      </c>
      <c r="C8" s="150">
        <f>HojaPrimera!$D37</f>
        <v>42672.5</v>
      </c>
      <c r="D8" s="150">
        <f>HojaPrimera!$D38</f>
        <v>131750</v>
      </c>
      <c r="E8" s="150"/>
      <c r="F8" s="151">
        <f t="shared" si="0"/>
        <v>153827.5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119100</v>
      </c>
      <c r="C9" s="150">
        <f>HojaHonduras!$D37</f>
        <v>15483</v>
      </c>
      <c r="D9" s="150">
        <f>HojaHonduras!$D38</f>
        <v>38250</v>
      </c>
      <c r="E9" s="150"/>
      <c r="F9" s="151">
        <f t="shared" si="0"/>
        <v>65367</v>
      </c>
      <c r="H9" s="250">
        <f>+K12-K10-H6</f>
        <v>-2062943.1600000001</v>
      </c>
    </row>
    <row r="10" spans="1:15" ht="15" thickBot="1" x14ac:dyDescent="0.4">
      <c r="A10" s="47" t="s">
        <v>20</v>
      </c>
      <c r="B10" s="150">
        <f>HojaDominicana!$D36</f>
        <v>22000</v>
      </c>
      <c r="C10" s="150">
        <f>HojaDominicana!$D37</f>
        <v>2860</v>
      </c>
      <c r="D10" s="150">
        <f>HojaDominicana!$D38</f>
        <v>0</v>
      </c>
      <c r="E10" s="150"/>
      <c r="F10" s="151">
        <f t="shared" si="0"/>
        <v>19140</v>
      </c>
      <c r="H10" s="154"/>
      <c r="J10" t="s">
        <v>148</v>
      </c>
      <c r="K10" s="252">
        <v>8643730.4100000001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6580787.25</v>
      </c>
    </row>
    <row r="12" spans="1:15" ht="16" thickBot="1" x14ac:dyDescent="0.4">
      <c r="A12" s="144" t="s">
        <v>5</v>
      </c>
      <c r="B12" s="152">
        <f>SUM(B5:B11)</f>
        <v>3378074</v>
      </c>
      <c r="C12" s="152">
        <f>SUM(C5:C11)</f>
        <v>434107.16000000003</v>
      </c>
      <c r="D12" s="152">
        <f>SUM(D5:D11)</f>
        <v>5006910</v>
      </c>
      <c r="E12" s="152"/>
      <c r="F12" s="255">
        <f>SUM(F5:F11)</f>
        <v>-2062943.1600000001</v>
      </c>
      <c r="H12" s="251">
        <f>K12</f>
        <v>6580787.25</v>
      </c>
      <c r="J12" t="s">
        <v>140</v>
      </c>
      <c r="K12" s="254">
        <f>1013997.43+3720059.24+568223.6+1278506.98</f>
        <v>6580787.25</v>
      </c>
    </row>
    <row r="13" spans="1:15" x14ac:dyDescent="0.35">
      <c r="M13" s="154"/>
    </row>
    <row r="14" spans="1:15" x14ac:dyDescent="0.35">
      <c r="K14">
        <v>1013997.43</v>
      </c>
      <c r="M14" s="43"/>
    </row>
    <row r="15" spans="1:15" x14ac:dyDescent="0.35">
      <c r="K15">
        <v>3720059.24</v>
      </c>
      <c r="M15" s="43"/>
    </row>
    <row r="16" spans="1:15" x14ac:dyDescent="0.35">
      <c r="B16" s="154"/>
      <c r="K16">
        <v>568914.80000000005</v>
      </c>
      <c r="M16" s="43"/>
    </row>
    <row r="17" spans="11:11" x14ac:dyDescent="0.35">
      <c r="K17">
        <v>1278506.98</v>
      </c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VENTANA</v>
      </c>
      <c r="C2" s="282"/>
      <c r="D2" s="283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155100</v>
      </c>
      <c r="K4" s="231">
        <f t="shared" ref="K4" si="0">D7+D11+D15</f>
        <v>20163</v>
      </c>
      <c r="L4" s="220">
        <f>F7+F11+F15</f>
        <v>361250</v>
      </c>
    </row>
    <row r="5" spans="1:12" x14ac:dyDescent="0.35">
      <c r="A5" s="28" t="s">
        <v>43</v>
      </c>
      <c r="B5" s="132">
        <f>IF(DigitaNICA!C2&lt;&gt;"",DigitaNICA!C2,"")</f>
        <v>83</v>
      </c>
      <c r="C5" s="29">
        <f>IF(DigitaNICA!C4&lt;&gt;"",DigitaNICA!C4,"")</f>
        <v>26550</v>
      </c>
      <c r="D5" s="42">
        <f>IF(C5="",0,C5*J$10)</f>
        <v>3451.5</v>
      </c>
      <c r="E5" s="29">
        <f>IF(DigitaNICA!D4&lt;&gt;"",DigitaNICA!D4,"")</f>
        <v>100</v>
      </c>
      <c r="F5" s="42">
        <f>IF(E5="",0,E5*PREMIOS!E5)</f>
        <v>8000</v>
      </c>
      <c r="G5" s="30">
        <f t="shared" ref="G5:G12" si="1">IF(OR(C5="",E5=""),0,C5-D5-F5)</f>
        <v>15098.5</v>
      </c>
      <c r="I5" s="241" t="s">
        <v>37</v>
      </c>
      <c r="J5" s="221">
        <f>SUM(IF(C5="",0,C5),IF(C9="",0,C9),IF(C13="",0,C13),IF(C17="",0,C17))</f>
        <v>62250</v>
      </c>
      <c r="K5" s="225">
        <f t="shared" ref="K5" si="2">D5+D9+D13+D17</f>
        <v>8092.5</v>
      </c>
      <c r="L5" s="222">
        <f>F5+F9+F13+F17</f>
        <v>28000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11350</v>
      </c>
      <c r="K6" s="228">
        <f>D19+D20</f>
        <v>1475.5</v>
      </c>
      <c r="L6" s="229">
        <f>F19+F20</f>
        <v>8000</v>
      </c>
    </row>
    <row r="7" spans="1:12" ht="15" thickBot="1" x14ac:dyDescent="0.4">
      <c r="A7" s="28" t="s">
        <v>46</v>
      </c>
      <c r="B7" s="132">
        <f>IF(DigitaTICA!C2&lt;&gt;"",DigitaTICA!C2,"")</f>
        <v>58</v>
      </c>
      <c r="C7" s="29">
        <f>IF(DigitaTICA!C4&lt;&gt;"",DigitaTICA!C4,"")</f>
        <v>51500</v>
      </c>
      <c r="D7" s="42">
        <f>IF(C7="",0,C7*J$9)</f>
        <v>6695</v>
      </c>
      <c r="E7" s="29">
        <f>IF(DigitaTICA!D4&lt;&gt;"",DigitaTICA!D4,"")</f>
        <v>950</v>
      </c>
      <c r="F7" s="42">
        <f>IF(E7="",0,E7*PREMIOS!F7)</f>
        <v>80750</v>
      </c>
      <c r="G7" s="30">
        <f t="shared" si="1"/>
        <v>-35945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 t="str">
        <f>IF(DigitaNICA!E2&lt;&gt;"",DigitaNICA!E2,"")</f>
        <v>05</v>
      </c>
      <c r="C9" s="29">
        <f>IF(DigitaNICA!E4&lt;&gt;"",DigitaNICA!E4,"")</f>
        <v>29200</v>
      </c>
      <c r="D9" s="42">
        <f>IF(C9="",0,C9*J$10)</f>
        <v>3796</v>
      </c>
      <c r="E9" s="29">
        <f>IF(DigitaNICA!F4&lt;&gt;"",DigitaNICA!F4,"")</f>
        <v>250</v>
      </c>
      <c r="F9" s="42">
        <f>IF(E9="",0,E9*PREMIOS!E9)</f>
        <v>20000</v>
      </c>
      <c r="G9" s="30">
        <f t="shared" si="1"/>
        <v>5404</v>
      </c>
      <c r="I9" s="76" t="s">
        <v>36</v>
      </c>
      <c r="J9" s="77">
        <v>0.13</v>
      </c>
      <c r="K9" s="78">
        <f>MROUND(D7+D11+D15,50)</f>
        <v>20150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8100</v>
      </c>
    </row>
    <row r="11" spans="1:12" x14ac:dyDescent="0.35">
      <c r="A11" s="28" t="s">
        <v>59</v>
      </c>
      <c r="B11" s="132">
        <f>IF(DigitaTICA!E2&lt;&gt;"",DigitaTICA!E2,"")</f>
        <v>43</v>
      </c>
      <c r="C11" s="29">
        <f>IF(DigitaTICA!E4&lt;&gt;"",DigitaTICA!E4,"")</f>
        <v>36600</v>
      </c>
      <c r="D11" s="42">
        <f>IF(C11="",0,C11*J$9)</f>
        <v>4758</v>
      </c>
      <c r="E11" s="29">
        <f>IF(DigitaTICA!F4&lt;&gt;"",DigitaTICA!F4,"")</f>
        <v>250</v>
      </c>
      <c r="F11" s="42">
        <f>IF(E11="",0,E11*PREMIOS!F11)</f>
        <v>21250</v>
      </c>
      <c r="G11" s="30">
        <f t="shared" si="1"/>
        <v>10592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1500</v>
      </c>
    </row>
    <row r="13" spans="1:12" x14ac:dyDescent="0.35">
      <c r="A13" s="28" t="s">
        <v>50</v>
      </c>
      <c r="B13" s="132">
        <f>IF(DigitaNICA!G2&lt;&gt;"",DigitaNICA!G2,"")</f>
        <v>11</v>
      </c>
      <c r="C13" s="29">
        <f>IF(DigitaNICA!G4&lt;&gt;"",DigitaNICA!G4,"")</f>
        <v>3450</v>
      </c>
      <c r="D13" s="42">
        <f>IF(C13="",0,C13*J$10)</f>
        <v>448.5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3001.5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05</v>
      </c>
      <c r="C15" s="29">
        <f>IF(DigitaTICA!G4&lt;&gt;"",DigitaTICA!G4,"")</f>
        <v>67000</v>
      </c>
      <c r="D15" s="42">
        <f>IF(C15="",0,C15*J$9)</f>
        <v>8710</v>
      </c>
      <c r="E15" s="29">
        <f>IF(DigitaTICA!H4&lt;&gt;"",DigitaTICA!H4,"")</f>
        <v>3050</v>
      </c>
      <c r="F15" s="42">
        <f>IF(E15="",0,E15*PREMIOS!F15)</f>
        <v>259250</v>
      </c>
      <c r="G15" s="30">
        <f t="shared" si="3"/>
        <v>-200960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>
        <f>IF(DigitaNICA!I4&lt;&gt;"",DigitaNICA!I4,"")</f>
        <v>3050</v>
      </c>
      <c r="D17" s="42">
        <f>IF(C17="",0,C17*J$10)</f>
        <v>396.5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2653.5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76</v>
      </c>
      <c r="C19" s="29">
        <f>IF(DigitaPRIMERA!C4&lt;&gt;"",DigitaPRIMERA!C4,"")</f>
        <v>9650</v>
      </c>
      <c r="D19" s="42">
        <f>IF(C19="",0,C19*J$12)</f>
        <v>1254.5</v>
      </c>
      <c r="E19" s="29">
        <f>IF(DigitaPRIMERA!D4&lt;&gt;"",DigitaPRIMERA!D4,"")</f>
        <v>100</v>
      </c>
      <c r="F19" s="42">
        <f>IF(E19="",0,E19*PREMIOS!E19)</f>
        <v>8000</v>
      </c>
      <c r="G19" s="30">
        <f t="shared" ref="G19" si="4">IF(OR(C19="",E19=""),0,C19-D19-F19)</f>
        <v>395.5</v>
      </c>
    </row>
    <row r="20" spans="1:7" x14ac:dyDescent="0.35">
      <c r="A20" s="28" t="s">
        <v>98</v>
      </c>
      <c r="B20" s="132">
        <f>IF(DigitaPRIMERA!E2&lt;&gt;"",DigitaPRIMERA!E2,"")</f>
        <v>64</v>
      </c>
      <c r="C20" s="29">
        <f>IF(DigitaPRIMERA!E4&lt;&gt;"",DigitaPRIMERA!E4,"")</f>
        <v>1700</v>
      </c>
      <c r="D20" s="42">
        <f>IF(C20="",0,C20*J$12)</f>
        <v>221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1479</v>
      </c>
    </row>
    <row r="21" spans="1:7" ht="15" thickBot="1" x14ac:dyDescent="0.4">
      <c r="A21" s="121" t="s">
        <v>5</v>
      </c>
      <c r="B21" s="128"/>
      <c r="C21" s="122">
        <f>SUM(C5:C20)</f>
        <v>228700</v>
      </c>
      <c r="D21" s="122">
        <f t="shared" ref="D21:G21" si="6">SUM(D5:D20)</f>
        <v>29731</v>
      </c>
      <c r="E21" s="122">
        <f t="shared" si="6"/>
        <v>4700</v>
      </c>
      <c r="F21" s="122">
        <f t="shared" si="6"/>
        <v>397250</v>
      </c>
      <c r="G21" s="123">
        <f t="shared" si="6"/>
        <v>-198281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PUESTO 2</v>
      </c>
      <c r="C2" s="282"/>
      <c r="D2" s="283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161550</v>
      </c>
      <c r="K4" s="231">
        <f t="shared" ref="K4" si="0">D7+D11+D15</f>
        <v>21001.5</v>
      </c>
      <c r="L4" s="220">
        <f>F7+F11+F15</f>
        <v>357000</v>
      </c>
    </row>
    <row r="5" spans="1:12" x14ac:dyDescent="0.35">
      <c r="A5" s="28" t="s">
        <v>43</v>
      </c>
      <c r="B5" s="132">
        <f>IF(DigitaNICA!C2&lt;&gt;"",DigitaNICA!C2,"")</f>
        <v>83</v>
      </c>
      <c r="C5" s="29">
        <f>IF(DigitaNICA!C5&lt;&gt;"",DigitaNICA!C5,"")</f>
        <v>12300</v>
      </c>
      <c r="D5" s="42">
        <f>IF(C5="",0,C5*J$10)</f>
        <v>1599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10701</v>
      </c>
      <c r="I5" s="241" t="s">
        <v>37</v>
      </c>
      <c r="J5" s="221">
        <f>SUM(IF(C5="",0,C5),IF(C9="",0,C9),IF(C13="",0,C13),IF(C17="",0,C17))</f>
        <v>24800</v>
      </c>
      <c r="K5" s="225">
        <f t="shared" ref="K5" si="2">D5+D9+D13+D17</f>
        <v>3224</v>
      </c>
      <c r="L5" s="222">
        <f>F5+F9+F13+F17</f>
        <v>24000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4200</v>
      </c>
      <c r="K6" s="228">
        <f>D19+D20</f>
        <v>546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58</v>
      </c>
      <c r="C7" s="29">
        <f>IF(DigitaTICA!C5&lt;&gt;"",DigitaTICA!C5,"")</f>
        <v>58200</v>
      </c>
      <c r="D7" s="42">
        <f>IF(C7="",0,C7*J$9)</f>
        <v>7566</v>
      </c>
      <c r="E7" s="29">
        <f>IF(DigitaTICA!D5&lt;&gt;"",DigitaTICA!D5,"")</f>
        <v>200</v>
      </c>
      <c r="F7" s="42">
        <f>IF(E7="",0,E7*PREMIOS!F7)</f>
        <v>17000</v>
      </c>
      <c r="G7" s="30">
        <f t="shared" si="1"/>
        <v>33634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4" t="s">
        <v>34</v>
      </c>
      <c r="J8" s="284"/>
      <c r="K8" s="284"/>
    </row>
    <row r="9" spans="1:12" x14ac:dyDescent="0.35">
      <c r="A9" s="28" t="s">
        <v>48</v>
      </c>
      <c r="B9" s="132" t="str">
        <f>IF(DigitaNICA!E2&lt;&gt;"",DigitaNICA!E2,"")</f>
        <v>05</v>
      </c>
      <c r="C9" s="29">
        <f>IF(DigitaNICA!E5&lt;&gt;"",DigitaNICA!E5,"")</f>
        <v>2500</v>
      </c>
      <c r="D9" s="42">
        <f>IF(C9="",0,C9*J$10)</f>
        <v>325</v>
      </c>
      <c r="E9" s="29">
        <f>IF(DigitaNICA!F5&lt;&gt;"",DigitaNICA!F5,"")</f>
        <v>300</v>
      </c>
      <c r="F9" s="42">
        <f>IF(E9="",0,E9*PREMIOS!E9)</f>
        <v>24000</v>
      </c>
      <c r="G9" s="30">
        <f t="shared" si="1"/>
        <v>-21825</v>
      </c>
      <c r="I9" s="60" t="s">
        <v>36</v>
      </c>
      <c r="J9" s="61">
        <v>0.13</v>
      </c>
      <c r="K9" s="62">
        <f>MROUND(D7+D11+D15,50)</f>
        <v>21000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3200</v>
      </c>
    </row>
    <row r="11" spans="1:12" x14ac:dyDescent="0.35">
      <c r="A11" s="28" t="s">
        <v>59</v>
      </c>
      <c r="B11" s="132">
        <f>IF(DigitaTICA!E2&lt;&gt;"",DigitaTICA!E2,"")</f>
        <v>43</v>
      </c>
      <c r="C11" s="29">
        <f>IF(DigitaTICA!E5&lt;&gt;"",DigitaTICA!E5,"")</f>
        <v>39000</v>
      </c>
      <c r="D11" s="42">
        <f>IF(C11="",0,C11*J$9)</f>
        <v>5070</v>
      </c>
      <c r="E11" s="29">
        <f>IF(DigitaTICA!F5&lt;&gt;"",DigitaTICA!F5,"")</f>
        <v>250</v>
      </c>
      <c r="F11" s="42">
        <f>IF(E11="",0,E11*PREMIOS!F11)</f>
        <v>21250</v>
      </c>
      <c r="G11" s="30">
        <f t="shared" si="1"/>
        <v>12680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550</v>
      </c>
    </row>
    <row r="13" spans="1:12" x14ac:dyDescent="0.35">
      <c r="A13" s="28" t="s">
        <v>50</v>
      </c>
      <c r="B13" s="132">
        <f>IF(DigitaNICA!G2&lt;&gt;"",DigitaNICA!G2,"")</f>
        <v>11</v>
      </c>
      <c r="C13" s="29">
        <f>IF(DigitaNICA!G5&lt;&gt;"",DigitaNICA!G5,"")</f>
        <v>6000</v>
      </c>
      <c r="D13" s="42">
        <f>IF(C13="",0,C13*J$10)</f>
        <v>780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5220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05</v>
      </c>
      <c r="C15" s="29">
        <f>IF(DigitaTICA!G5&lt;&gt;"",DigitaTICA!G5,"")</f>
        <v>64350</v>
      </c>
      <c r="D15" s="42">
        <f>IF(C15="",0,C15*J$9)</f>
        <v>8365.5</v>
      </c>
      <c r="E15" s="29">
        <f>IF(DigitaTICA!H5&lt;&gt;"",DigitaTICA!H5,"")</f>
        <v>3750</v>
      </c>
      <c r="F15" s="42">
        <f>IF(E15="",0,E15*PREMIOS!F15)</f>
        <v>318750</v>
      </c>
      <c r="G15" s="30">
        <f t="shared" si="3"/>
        <v>-262765.5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>
        <f>IF(DigitaNICA!I5&lt;&gt;"",DigitaNICA!I5,"")</f>
        <v>4000</v>
      </c>
      <c r="D17" s="42">
        <f>IF(C17="",0,C17*J$10)</f>
        <v>520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3480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76</v>
      </c>
      <c r="C19" s="29">
        <f>IF(DigitaPRIMERA!C5&lt;&gt;"",DigitaPRIMERA!C5,"")</f>
        <v>4200</v>
      </c>
      <c r="D19" s="42">
        <f>IF(C19="",0,C19*J$12)</f>
        <v>546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3654</v>
      </c>
    </row>
    <row r="20" spans="1:7" x14ac:dyDescent="0.35">
      <c r="A20" s="28" t="s">
        <v>98</v>
      </c>
      <c r="B20" s="132">
        <f>IF(DigitaPRIMERA!E2&lt;&gt;"",DigitaPRIMERA!E2,"")</f>
        <v>64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190550</v>
      </c>
      <c r="D21" s="68">
        <f t="shared" ref="D21:G21" si="4">SUM(D5:D20)</f>
        <v>24771.5</v>
      </c>
      <c r="E21" s="68">
        <f t="shared" si="4"/>
        <v>4500</v>
      </c>
      <c r="F21" s="68">
        <f t="shared" si="4"/>
        <v>381000</v>
      </c>
      <c r="G21" s="88">
        <f t="shared" si="4"/>
        <v>-215221.5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">
        <v>152</v>
      </c>
      <c r="C2" s="282"/>
      <c r="D2" s="283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83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58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 t="str">
        <f>IF(DigitaNICA!E2&lt;&gt;"",DigitaNICA!E2,"")</f>
        <v>05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43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11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05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76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64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Nuevo 2</v>
      </c>
      <c r="C2" s="282"/>
      <c r="D2" s="283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83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58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4" t="s">
        <v>34</v>
      </c>
      <c r="J8" s="284"/>
      <c r="K8" s="284"/>
    </row>
    <row r="9" spans="1:12" x14ac:dyDescent="0.35">
      <c r="A9" s="28" t="s">
        <v>48</v>
      </c>
      <c r="B9" s="132" t="str">
        <f>IF(DigitaNICA!E2&lt;&gt;"",DigitaNICA!E2,"")</f>
        <v>05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43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11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05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5" t="str">
        <f>J2</f>
        <v>YOYO</v>
      </c>
      <c r="C2" s="285"/>
      <c r="D2" s="286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119000</v>
      </c>
      <c r="K4" s="231">
        <f t="shared" ref="K4" si="0">D7+D11+D15</f>
        <v>14280</v>
      </c>
      <c r="L4" s="220">
        <f>F7+F11+F15</f>
        <v>144500</v>
      </c>
    </row>
    <row r="5" spans="1:12" x14ac:dyDescent="0.35">
      <c r="A5" s="28" t="s">
        <v>43</v>
      </c>
      <c r="B5" s="132">
        <f>IF(DigitaNICA!C2&lt;&gt;"",DigitaNICA!C2,"")</f>
        <v>83</v>
      </c>
      <c r="C5" s="29">
        <f>IF(DigitaNICA!C8&lt;&gt;"",DigitaNICA!C8,"")</f>
        <v>41100</v>
      </c>
      <c r="D5" s="42">
        <f>IF(C5="",0,C5*J$12)</f>
        <v>4932</v>
      </c>
      <c r="E5" s="29">
        <f>IF(DigitaNICA!D8&lt;&gt;"",DigitaNICA!D8,"")</f>
        <v>900</v>
      </c>
      <c r="F5" s="42">
        <f>IF(E5="",0,E5*PREMIOS!E5)</f>
        <v>72000</v>
      </c>
      <c r="G5" s="30">
        <f t="shared" ref="G5:G12" si="1">IF(OR(C5="",E5=""),0,C5-D5-F5)</f>
        <v>-35832</v>
      </c>
      <c r="I5" s="241" t="s">
        <v>37</v>
      </c>
      <c r="J5" s="221">
        <f>SUM(IF(C5="",0,C5),IF(C9="",0,C9),IF(C13="",0,C13),IF(C17="",0,C17))</f>
        <v>111100</v>
      </c>
      <c r="K5" s="225">
        <f t="shared" ref="K5" si="2">D5+D9+D13+D17</f>
        <v>13332</v>
      </c>
      <c r="L5" s="222">
        <f>F5+F9+F13+F17</f>
        <v>192000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58</v>
      </c>
      <c r="C7" s="29">
        <f>IF(DigitaTICA!C8&lt;&gt;"",DigitaTICA!C8,"")</f>
        <v>37650</v>
      </c>
      <c r="D7" s="42">
        <f>IF(C7="",0,C7*J$11)</f>
        <v>4518</v>
      </c>
      <c r="E7" s="29">
        <f>IF(DigitaTICA!D8&lt;&gt;"",DigitaTICA!D8,"")</f>
        <v>150</v>
      </c>
      <c r="F7" s="42">
        <f>IF(E7="",0,E7*PREMIOS!F7)</f>
        <v>12750</v>
      </c>
      <c r="G7" s="30">
        <f t="shared" si="1"/>
        <v>20382</v>
      </c>
      <c r="I7" s="242" t="s">
        <v>96</v>
      </c>
      <c r="J7" s="224">
        <f>SUM(IF(C19="",0,C19),IF(C20="",0,C20))</f>
        <v>21350</v>
      </c>
      <c r="K7" s="228">
        <f>+D19+D20</f>
        <v>2562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>05</v>
      </c>
      <c r="C9" s="29">
        <f>IF(DigitaNICA!E8&lt;&gt;"",DigitaNICA!E8,"")</f>
        <v>31850</v>
      </c>
      <c r="D9" s="42">
        <f>IF(C9="",0,C9*J$12)</f>
        <v>3822</v>
      </c>
      <c r="E9" s="29">
        <f>IF(DigitaNICA!F8&lt;&gt;"",DigitaNICA!F8,"")</f>
        <v>750</v>
      </c>
      <c r="F9" s="42">
        <f>IF(E9="",0,E9*PREMIOS!E9)</f>
        <v>60000</v>
      </c>
      <c r="G9" s="30">
        <f t="shared" si="1"/>
        <v>-31972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4" t="s">
        <v>34</v>
      </c>
      <c r="J10" s="284"/>
      <c r="K10" s="284"/>
    </row>
    <row r="11" spans="1:12" x14ac:dyDescent="0.35">
      <c r="A11" s="28" t="s">
        <v>59</v>
      </c>
      <c r="B11" s="132">
        <f>IF(DigitaTICA!E2&lt;&gt;"",DigitaTICA!E2,"")</f>
        <v>43</v>
      </c>
      <c r="C11" s="29">
        <f>IF(DigitaTICA!E8&lt;&gt;"",DigitaTICA!E8,"")</f>
        <v>32200</v>
      </c>
      <c r="D11" s="42">
        <f>IF(C11="",0,C11*J$11)</f>
        <v>3864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28336</v>
      </c>
      <c r="I11" s="60" t="s">
        <v>36</v>
      </c>
      <c r="J11" s="61">
        <v>0.12</v>
      </c>
      <c r="K11" s="62">
        <f>MROUND(D7+D11+D15,50)</f>
        <v>14300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13350</v>
      </c>
    </row>
    <row r="13" spans="1:12" x14ac:dyDescent="0.35">
      <c r="A13" s="28" t="s">
        <v>50</v>
      </c>
      <c r="B13" s="132">
        <f>IF(DigitaNICA!G2&lt;&gt;"",DigitaNICA!G2,"")</f>
        <v>11</v>
      </c>
      <c r="C13" s="29">
        <f>IF(DigitaNICA!G8&lt;&gt;"",DigitaNICA!G8,"")</f>
        <v>5900</v>
      </c>
      <c r="D13" s="42">
        <f>IF(C13="",0,C13*J$12)</f>
        <v>708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5192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2550</v>
      </c>
    </row>
    <row r="15" spans="1:12" x14ac:dyDescent="0.35">
      <c r="A15" s="28" t="s">
        <v>61</v>
      </c>
      <c r="B15" s="132" t="str">
        <f>IF(DigitaTICA!G2&lt;&gt;"",DigitaTICA!G2,"")</f>
        <v>05</v>
      </c>
      <c r="C15" s="29">
        <f>IF(DigitaTICA!G8&lt;&gt;"",DigitaTICA!G8,"")</f>
        <v>49150</v>
      </c>
      <c r="D15" s="42">
        <f>IF(C15="",0,C15*J$11)</f>
        <v>5898</v>
      </c>
      <c r="E15" s="29">
        <f>IF(DigitaTICA!H8&lt;&gt;"",DigitaTICA!H8,"")</f>
        <v>1550</v>
      </c>
      <c r="F15" s="42">
        <f>IF(E15="",0,E15*PREMIOS!F15)</f>
        <v>131750</v>
      </c>
      <c r="G15" s="30">
        <f t="shared" si="4"/>
        <v>-88498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>
        <f>IF(DigitaNICA!I8&lt;&gt;"",DigitaNICA!I8,"")</f>
        <v>32250</v>
      </c>
      <c r="D17" s="42">
        <f>IF(C17="",0,C17*J$12)</f>
        <v>3870</v>
      </c>
      <c r="E17" s="29">
        <f>IF(DigitaNICA!J8&lt;&gt;"",DigitaNICA!J8,"")</f>
        <v>750</v>
      </c>
      <c r="F17" s="42">
        <f>IF(E17="",0,E17*PREMIOS!E17)</f>
        <v>60000</v>
      </c>
      <c r="G17" s="30">
        <f t="shared" si="4"/>
        <v>-31620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76</v>
      </c>
      <c r="C19" s="29">
        <f>IF(DigitaPRIMERA!C8&lt;&gt;"",DigitaPRIMERA!C8,"")</f>
        <v>13900</v>
      </c>
      <c r="D19" s="42">
        <f>IF(C19="",0,C19*J$14)</f>
        <v>1668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12232</v>
      </c>
    </row>
    <row r="20" spans="1:7" x14ac:dyDescent="0.35">
      <c r="A20" s="28" t="s">
        <v>98</v>
      </c>
      <c r="B20" s="132">
        <f>IF(DigitaPRIMERA!E2&lt;&gt;"",DigitaPRIMERA!E2,"")</f>
        <v>64</v>
      </c>
      <c r="C20" s="29">
        <f>IF(DigitaPRIMERA!E8&lt;&gt;"",DigitaPRIMERA!E8,"")</f>
        <v>7450</v>
      </c>
      <c r="D20" s="42">
        <f>IF(C20="",0,C20*J$14)</f>
        <v>894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6556</v>
      </c>
    </row>
    <row r="21" spans="1:7" ht="15" thickBot="1" x14ac:dyDescent="0.4">
      <c r="A21" s="121" t="s">
        <v>5</v>
      </c>
      <c r="B21" s="128"/>
      <c r="C21" s="122">
        <f>SUM(C5:C20)</f>
        <v>251450</v>
      </c>
      <c r="D21" s="122">
        <f t="shared" ref="D21:G21" si="5">SUM(D5:D20)</f>
        <v>30174</v>
      </c>
      <c r="E21" s="122">
        <f t="shared" si="5"/>
        <v>4100</v>
      </c>
      <c r="F21" s="122">
        <f t="shared" si="5"/>
        <v>336500</v>
      </c>
      <c r="G21" s="123">
        <f t="shared" si="5"/>
        <v>-115224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4" sqref="B4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">
        <v>159</v>
      </c>
      <c r="C2" s="282"/>
      <c r="D2" s="283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83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58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>05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4" t="s">
        <v>34</v>
      </c>
      <c r="J10" s="284"/>
      <c r="K10" s="284"/>
    </row>
    <row r="11" spans="1:12" x14ac:dyDescent="0.35">
      <c r="A11" s="28" t="s">
        <v>59</v>
      </c>
      <c r="B11" s="132">
        <f>IF(DigitaTICA!E2&lt;&gt;"",DigitaTICA!E2,"")</f>
        <v>43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11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>05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76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64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PIKIS</v>
      </c>
      <c r="C2" s="282"/>
      <c r="D2" s="283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403070</v>
      </c>
      <c r="K4" s="231">
        <f t="shared" ref="K4" si="0">D7+D11+D15</f>
        <v>48368.399999999994</v>
      </c>
      <c r="L4" s="220">
        <f>F7+F11+F15</f>
        <v>386750</v>
      </c>
    </row>
    <row r="5" spans="1:12" x14ac:dyDescent="0.35">
      <c r="A5" s="28" t="s">
        <v>43</v>
      </c>
      <c r="B5" s="132">
        <f>IF(DigitaNICA!C2&lt;&gt;"",DigitaNICA!C2,"")</f>
        <v>83</v>
      </c>
      <c r="C5" s="29">
        <f>IF(DigitaNICA!C10&lt;&gt;"",DigitaNICA!C10,"")</f>
        <v>88700</v>
      </c>
      <c r="D5" s="42">
        <f>IF(C5="",0,C5*J$15)</f>
        <v>10644</v>
      </c>
      <c r="E5" s="29">
        <f>IF(DigitaNICA!D10&lt;&gt;"",DigitaNICA!D10,"")</f>
        <v>1000</v>
      </c>
      <c r="F5" s="42">
        <f>IF(E5="",0,E5*PREMIOS!F5)</f>
        <v>85000</v>
      </c>
      <c r="G5" s="30">
        <f t="shared" ref="G5:G12" si="1">IF(OR(C5="",E5=""),0,C5-D5-F5)</f>
        <v>-6944</v>
      </c>
      <c r="I5" s="217" t="s">
        <v>37</v>
      </c>
      <c r="J5" s="221">
        <f>SUM(IF(C5="",0,C5),IF(C9="",0,C9),IF(C13="",0,C13),IF(C17="",0,C17))</f>
        <v>414300</v>
      </c>
      <c r="K5" s="225">
        <f t="shared" ref="K5" si="2">D5+D9+D13+D17</f>
        <v>49716</v>
      </c>
      <c r="L5" s="222">
        <f>F5+F9+F13+F17</f>
        <v>680000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79150</v>
      </c>
      <c r="K6" s="226">
        <f t="shared" ref="K6" si="3">+D8+D12+D16</f>
        <v>7915</v>
      </c>
      <c r="L6" s="227">
        <f>F8+F12+F16</f>
        <v>170000</v>
      </c>
    </row>
    <row r="7" spans="1:12" x14ac:dyDescent="0.35">
      <c r="A7" s="28" t="s">
        <v>46</v>
      </c>
      <c r="B7" s="132">
        <f>IF(DigitaTICA!C2&lt;&gt;"",DigitaTICA!C2,"")</f>
        <v>58</v>
      </c>
      <c r="C7" s="29">
        <f>IF(DigitaTICA!C10&lt;&gt;"",DigitaTICA!C10,"")</f>
        <v>141520</v>
      </c>
      <c r="D7" s="42">
        <f>IF(C7="",0,C7*J$14)</f>
        <v>16982.399999999998</v>
      </c>
      <c r="E7" s="29">
        <f>IF(DigitaTICA!D10&lt;&gt;"",DigitaTICA!D10,"")</f>
        <v>200</v>
      </c>
      <c r="F7" s="42">
        <f>IF(E7="",0,E7*PREMIOS!F7)</f>
        <v>17000</v>
      </c>
      <c r="G7" s="30">
        <f t="shared" si="1"/>
        <v>107537.60000000001</v>
      </c>
      <c r="I7" s="217" t="s">
        <v>96</v>
      </c>
      <c r="J7" s="223">
        <f>SUM(IF(C19="",0,C19),IF(C20="",0,C20))</f>
        <v>56650</v>
      </c>
      <c r="K7" s="226">
        <f>+D19+D20</f>
        <v>6798</v>
      </c>
      <c r="L7" s="227">
        <f>+F19+F20</f>
        <v>12750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32250</v>
      </c>
      <c r="D8" s="42">
        <f>IF(C8="",0,C8*J$16)</f>
        <v>3225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29025</v>
      </c>
      <c r="I8" s="217" t="s">
        <v>104</v>
      </c>
      <c r="J8" s="223">
        <f>SUM(IF(C21="",0,C21),IF(C22="",0,C22),IF(C23="",0,C23))</f>
        <v>40500</v>
      </c>
      <c r="K8" s="226">
        <f t="shared" ref="K8" si="4">D21+D22+D23</f>
        <v>4860</v>
      </c>
      <c r="L8" s="227">
        <f>F21+F22+F23</f>
        <v>12750</v>
      </c>
    </row>
    <row r="9" spans="1:12" x14ac:dyDescent="0.35">
      <c r="A9" s="28" t="s">
        <v>48</v>
      </c>
      <c r="B9" s="132" t="str">
        <f>IF(DigitaNICA!E2&lt;&gt;"",DigitaNICA!E2,"")</f>
        <v>05</v>
      </c>
      <c r="C9" s="29">
        <f>IF(DigitaNICA!E10&lt;&gt;"",DigitaNICA!E10,"")</f>
        <v>89050</v>
      </c>
      <c r="D9" s="42">
        <f>IF(C9="",0,C9*J$15)</f>
        <v>10686</v>
      </c>
      <c r="E9" s="29">
        <f>IF(DigitaNICA!F10&lt;&gt;"",DigitaNICA!F10,"")</f>
        <v>2050</v>
      </c>
      <c r="F9" s="42">
        <f>IF(E9="",0,E9*PREMIOS!F9)</f>
        <v>174250</v>
      </c>
      <c r="G9" s="30">
        <f t="shared" si="1"/>
        <v>-95886</v>
      </c>
      <c r="I9" s="217" t="s">
        <v>20</v>
      </c>
      <c r="J9" s="223">
        <f>SUM(IF(C24="",0,C24),IF(C25="",0,C25))</f>
        <v>22000</v>
      </c>
      <c r="K9" s="226">
        <f t="shared" ref="K9" si="5">+D24+D25</f>
        <v>2640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43</v>
      </c>
      <c r="C11" s="29">
        <f>IF(DigitaTICA!E10&lt;&gt;"",DigitaTICA!E10,"")</f>
        <v>103750</v>
      </c>
      <c r="D11" s="42">
        <f>IF(C11="",0,C11*J$14)</f>
        <v>12450</v>
      </c>
      <c r="E11" s="29">
        <f>IF(DigitaTICA!F10&lt;&gt;"",DigitaTICA!F10,"")</f>
        <v>300</v>
      </c>
      <c r="F11" s="42">
        <f>IF(E11="",0,E11*PREMIOS!F11)</f>
        <v>25500</v>
      </c>
      <c r="G11" s="30">
        <f t="shared" si="1"/>
        <v>65800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19800</v>
      </c>
      <c r="D12" s="42">
        <f>IF(C12="",0,C12*J$16)</f>
        <v>1980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17820</v>
      </c>
    </row>
    <row r="13" spans="1:12" ht="15" thickBot="1" x14ac:dyDescent="0.4">
      <c r="A13" s="28" t="s">
        <v>50</v>
      </c>
      <c r="B13" s="132">
        <f>IF(DigitaNICA!G2&lt;&gt;"",DigitaNICA!G2,"")</f>
        <v>11</v>
      </c>
      <c r="C13" s="29">
        <f>IF(DigitaNICA!G10&lt;&gt;"",DigitaNICA!G10,"")</f>
        <v>120800</v>
      </c>
      <c r="D13" s="42">
        <f>IF(C13="",0,C13*J$15)</f>
        <v>14496</v>
      </c>
      <c r="E13" s="29">
        <f>IF(DigitaNICA!H10&lt;&gt;"",DigitaNICA!H10,"")</f>
        <v>1300</v>
      </c>
      <c r="F13" s="42">
        <f>IF(E13="",0,E13*PREMIOS!F13)</f>
        <v>110500</v>
      </c>
      <c r="G13" s="30">
        <f>IF(OR(C13="",E13=""),0,C13-D13-F13)</f>
        <v>-4196</v>
      </c>
      <c r="I13" s="281" t="s">
        <v>34</v>
      </c>
      <c r="J13" s="281"/>
      <c r="K13" s="281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48350</v>
      </c>
    </row>
    <row r="15" spans="1:12" x14ac:dyDescent="0.35">
      <c r="A15" s="28" t="s">
        <v>61</v>
      </c>
      <c r="B15" s="132" t="str">
        <f>IF(DigitaTICA!G2&lt;&gt;"",DigitaTICA!G2,"")</f>
        <v>05</v>
      </c>
      <c r="C15" s="29">
        <f>IF(DigitaTICA!G10&lt;&gt;"",DigitaTICA!G10,"")</f>
        <v>157800</v>
      </c>
      <c r="D15" s="42">
        <f>IF(C15="",0,C15*J$14)</f>
        <v>18936</v>
      </c>
      <c r="E15" s="29">
        <f>IF(DigitaTICA!H10&lt;&gt;"",DigitaTICA!H10,"")</f>
        <v>4050</v>
      </c>
      <c r="F15" s="42">
        <f>IF(E15="",0,E15*PREMIOS!F15)</f>
        <v>344250</v>
      </c>
      <c r="G15" s="30">
        <f t="shared" si="6"/>
        <v>-205386</v>
      </c>
      <c r="I15" s="63" t="s">
        <v>37</v>
      </c>
      <c r="J15" s="64">
        <v>0.12</v>
      </c>
      <c r="K15" s="30">
        <f>MROUND(D5+D9+D13+D17,50)</f>
        <v>49700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IF(DigitaREVENTADO!G10&lt;&gt;"",DigitaREVENTADO!G10,"")</f>
        <v>27100</v>
      </c>
      <c r="D16" s="42">
        <f>IF(C16="",0,C16*J$16)</f>
        <v>2710</v>
      </c>
      <c r="E16" s="29">
        <f>IF(DigitaREVENTADO!H10&lt;&gt;"",DigitaREVENTADO!H10,"")</f>
        <v>850</v>
      </c>
      <c r="F16" s="42">
        <f>IF(E16="",0,E16*PREMIOS!F16)</f>
        <v>170000</v>
      </c>
      <c r="G16" s="30">
        <f t="shared" si="6"/>
        <v>-145610</v>
      </c>
      <c r="I16" s="63" t="s">
        <v>38</v>
      </c>
      <c r="J16" s="64">
        <v>0.1</v>
      </c>
      <c r="K16" s="30">
        <f>MROUND(D6+D8+D10+D12+D14+D16+D18,50)</f>
        <v>7900</v>
      </c>
    </row>
    <row r="17" spans="1:11" x14ac:dyDescent="0.35">
      <c r="A17" s="28" t="s">
        <v>52</v>
      </c>
      <c r="B17" s="132">
        <f>IF(DigitaNICA!I2&lt;&gt;"",DigitaNICA!I2,"")</f>
        <v>21</v>
      </c>
      <c r="C17" s="29">
        <f>IF(DigitaNICA!I10&lt;&gt;"",DigitaNICA!I10,"")</f>
        <v>115750</v>
      </c>
      <c r="D17" s="42">
        <f>IF(C17="",0,C17*J$15)</f>
        <v>13890</v>
      </c>
      <c r="E17" s="29">
        <f>IF(DigitaNICA!J10&lt;&gt;"",DigitaNICA!J10,"")</f>
        <v>3650</v>
      </c>
      <c r="F17" s="42">
        <f>IF(E17="",0,E17*PREMIOS!F17)</f>
        <v>310250</v>
      </c>
      <c r="G17" s="30">
        <f t="shared" si="6"/>
        <v>-208390</v>
      </c>
      <c r="I17" s="63" t="s">
        <v>96</v>
      </c>
      <c r="J17" s="64">
        <v>0.12</v>
      </c>
      <c r="K17" s="30">
        <f>MROUND(D19+D20,50)</f>
        <v>6800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4850</v>
      </c>
    </row>
    <row r="19" spans="1:11" x14ac:dyDescent="0.35">
      <c r="A19" s="28" t="s">
        <v>97</v>
      </c>
      <c r="B19" s="132">
        <f>IF(DigitaPRIMERA!C2&lt;&gt;"",DigitaPRIMERA!C2,"")</f>
        <v>76</v>
      </c>
      <c r="C19" s="29">
        <f>IF(DigitaPRIMERA!$C$10&lt;&gt;"",DigitaPRIMERA!$C$10,"")</f>
        <v>41650</v>
      </c>
      <c r="D19" s="42">
        <f>IF(C19="",0,C19*J$17)</f>
        <v>4998</v>
      </c>
      <c r="E19" s="29">
        <f>IF(DigitaPRIMERA!$D$10&lt;&gt;"",DigitaPRIMERA!$D$10,"")</f>
        <v>150</v>
      </c>
      <c r="F19" s="42">
        <f>IF(E19="",0,E19*PREMIOS!F19)</f>
        <v>12750</v>
      </c>
      <c r="G19" s="30">
        <f t="shared" ref="G19:G22" si="7">IF(OR(C19="",E19=""),0,C19-D19-F19)</f>
        <v>23902</v>
      </c>
      <c r="I19" s="63" t="s">
        <v>20</v>
      </c>
      <c r="J19" s="64">
        <v>0.12</v>
      </c>
      <c r="K19" s="30">
        <f>MROUND(D24+D25,50)</f>
        <v>2650</v>
      </c>
    </row>
    <row r="20" spans="1:11" ht="15" thickBot="1" x14ac:dyDescent="0.4">
      <c r="A20" s="28" t="s">
        <v>98</v>
      </c>
      <c r="B20" s="132">
        <f>IF(DigitaPRIMERA!E2&lt;&gt;"",DigitaPRIMERA!E2,"")</f>
        <v>64</v>
      </c>
      <c r="C20" s="29">
        <f>IF(DigitaPRIMERA!$E$10&lt;&gt;"",DigitaPRIMERA!$E$10,"")</f>
        <v>15000</v>
      </c>
      <c r="D20" s="42">
        <f>IF(C20="",0,C20*J$17)</f>
        <v>1800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13200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63</v>
      </c>
      <c r="C21" s="29">
        <f>IF(DigitaHONDURAS!$C$10&lt;&gt;"",DigitaHONDURAS!$C$10,"")</f>
        <v>13000</v>
      </c>
      <c r="D21" s="42">
        <f>IF(C21="",0,C21*J$18)</f>
        <v>1560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11440</v>
      </c>
    </row>
    <row r="22" spans="1:11" x14ac:dyDescent="0.35">
      <c r="A22" s="28" t="s">
        <v>100</v>
      </c>
      <c r="B22" s="132">
        <f>IF(DigitaHONDURAS!E2&lt;&gt;"",DigitaHONDURAS!E2,"")</f>
        <v>88</v>
      </c>
      <c r="C22" s="29">
        <f>IF(DigitaHONDURAS!$E$10&lt;&gt;"",DigitaHONDURAS!$E$10,"")</f>
        <v>21250</v>
      </c>
      <c r="D22" s="42">
        <f>IF(C22="",0,C22*J$18)</f>
        <v>2550</v>
      </c>
      <c r="E22" s="29">
        <f>IF(DigitaHONDURAS!$F$10&lt;&gt;"",DigitaHONDURAS!$F$10,"")</f>
        <v>150</v>
      </c>
      <c r="F22" s="42">
        <f>IF(E22="",0,E22*PREMIOS!F20)</f>
        <v>12750</v>
      </c>
      <c r="G22" s="30">
        <f t="shared" si="7"/>
        <v>5950</v>
      </c>
    </row>
    <row r="23" spans="1:11" x14ac:dyDescent="0.35">
      <c r="A23" s="28" t="s">
        <v>101</v>
      </c>
      <c r="B23" s="132" t="str">
        <f>IF(DigitaHONDURAS!G2&lt;&gt;"",DigitaHONDURAS!G2,"")</f>
        <v>04</v>
      </c>
      <c r="C23" s="29">
        <f>IF(DigitaHONDURAS!$G$10&lt;&gt;"",DigitaHONDURAS!$G$10,"")</f>
        <v>6250</v>
      </c>
      <c r="D23" s="42">
        <f>IF(C23="",0,C23*J$18)</f>
        <v>750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5500</v>
      </c>
    </row>
    <row r="24" spans="1:11" x14ac:dyDescent="0.35">
      <c r="A24" s="28" t="s">
        <v>107</v>
      </c>
      <c r="B24" s="132">
        <f>IF(DigitaDOMINICANA!C2&lt;&gt;"",DigitaDOMINICANA!C2,"")</f>
        <v>33</v>
      </c>
      <c r="C24" s="29">
        <f>IF(DigitaDOMINICANA!$C$10&lt;&gt;"",DigitaDOMINICANA!$C$10,"")</f>
        <v>20000</v>
      </c>
      <c r="D24" s="42">
        <f>IF(C24="",0,C24*J$19)</f>
        <v>2400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17600</v>
      </c>
    </row>
    <row r="25" spans="1:11" x14ac:dyDescent="0.35">
      <c r="A25" s="28" t="s">
        <v>108</v>
      </c>
      <c r="B25" s="132">
        <f>IF(DigitaDOMINICANA!E2&lt;&gt;"",DigitaDOMINICANA!E2,"")</f>
        <v>22</v>
      </c>
      <c r="C25" s="29">
        <f>IF(DigitaDOMINICANA!$E$10&lt;&gt;"",DigitaDOMINICANA!$E$10,"")</f>
        <v>2000</v>
      </c>
      <c r="D25" s="42">
        <f>IF(C25="",0,C25*J$19)</f>
        <v>240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1760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1015670</v>
      </c>
      <c r="D27" s="68">
        <f t="shared" ref="D27:F27" si="9">SUM(D5:D26)</f>
        <v>120297.4</v>
      </c>
      <c r="E27" s="68">
        <f t="shared" si="9"/>
        <v>13700</v>
      </c>
      <c r="F27" s="68">
        <f t="shared" si="9"/>
        <v>1262250</v>
      </c>
      <c r="G27" s="88">
        <f>SUM(G5:G26)</f>
        <v>-366877.4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ISA</v>
      </c>
      <c r="C2" s="282"/>
      <c r="D2" s="283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13300</v>
      </c>
      <c r="K4" s="231">
        <f t="shared" ref="K4" si="0">D7+D11+D15</f>
        <v>1596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83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58</v>
      </c>
      <c r="C7" s="29">
        <f>IF(DigitaTICA!C11&lt;&gt;"",DigitaTICA!C11,"")</f>
        <v>2500</v>
      </c>
      <c r="D7" s="42">
        <f>IF(C7="",0,C7*J$11)</f>
        <v>300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2200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>05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43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1600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11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>05</v>
      </c>
      <c r="C15" s="29">
        <f>IF(DigitaTICA!G11&lt;&gt;"",DigitaTICA!G11,"")</f>
        <v>10800</v>
      </c>
      <c r="D15" s="42">
        <f>IF(C15="",0,C15*J$11)</f>
        <v>1296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9504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76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64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13300</v>
      </c>
      <c r="D21" s="122">
        <f t="shared" ref="D21:G21" si="5">SUM(D5:D20)</f>
        <v>1596</v>
      </c>
      <c r="E21" s="122">
        <f t="shared" si="5"/>
        <v>0</v>
      </c>
      <c r="F21" s="122">
        <f t="shared" si="5"/>
        <v>0</v>
      </c>
      <c r="G21" s="123">
        <f t="shared" si="5"/>
        <v>11704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JUAN FELIX</v>
      </c>
      <c r="C2" s="282"/>
      <c r="D2" s="283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44450</v>
      </c>
      <c r="K4" s="231">
        <f>D7+D11+D15</f>
        <v>5334</v>
      </c>
      <c r="L4" s="220">
        <f>F7+F11+F15</f>
        <v>42500</v>
      </c>
    </row>
    <row r="5" spans="1:12" x14ac:dyDescent="0.35">
      <c r="A5" s="28" t="s">
        <v>43</v>
      </c>
      <c r="B5" s="132">
        <f>IF(DigitaNICA!C2&lt;&gt;"",DigitaNICA!C2,"")</f>
        <v>83</v>
      </c>
      <c r="C5" s="29">
        <f>IF(DigitaNICA!C12&lt;&gt;"",DigitaNICA!C12,"")</f>
        <v>16150</v>
      </c>
      <c r="D5" s="42">
        <f>IF(C5="",0,C5*J$12)</f>
        <v>1938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14212</v>
      </c>
      <c r="I5" s="217" t="s">
        <v>37</v>
      </c>
      <c r="J5" s="221">
        <f>SUM(IF(C5="",0,C5),IF(C9="",0,C9),IF(C13="",0,C13),IF(C17="",0,C17))</f>
        <v>28100</v>
      </c>
      <c r="K5" s="225">
        <f t="shared" ref="K5" si="1">D5+D9+D13+D17</f>
        <v>3372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6250</v>
      </c>
      <c r="K6" s="226">
        <f t="shared" ref="K6" si="2">+D8+D12+D16</f>
        <v>625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58</v>
      </c>
      <c r="C7" s="29">
        <f>IF(DigitaTICA!C12&lt;&gt;"",DigitaTICA!C12,"")</f>
        <v>14250</v>
      </c>
      <c r="D7" s="42">
        <f>IF(C7="",0,C7*J$11)</f>
        <v>1710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12540</v>
      </c>
      <c r="I7" s="217" t="s">
        <v>96</v>
      </c>
      <c r="J7" s="223">
        <f>SUM(IF(C19="",0,C19),IF(C20="",0,C20))</f>
        <v>26550</v>
      </c>
      <c r="K7" s="226">
        <f>+D19+D20</f>
        <v>3186</v>
      </c>
      <c r="L7" s="227">
        <f>+F19+F20</f>
        <v>21250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4750</v>
      </c>
      <c r="D8" s="42">
        <f>IF(C8="",0,C8*J$13)</f>
        <v>475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4275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 t="str">
        <f>IF(DigitaNICA!E2&lt;&gt;"",DigitaNICA!E2,"")</f>
        <v>05</v>
      </c>
      <c r="C9" s="29">
        <f>IF(DigitaNICA!E12&lt;&gt;"",DigitaNICA!E12,"")</f>
        <v>11950</v>
      </c>
      <c r="D9" s="42">
        <f>IF(C9="",0,C9*J$12)</f>
        <v>1434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10516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4" t="s">
        <v>34</v>
      </c>
      <c r="J10" s="284"/>
      <c r="K10" s="284"/>
    </row>
    <row r="11" spans="1:12" x14ac:dyDescent="0.35">
      <c r="A11" s="28" t="s">
        <v>59</v>
      </c>
      <c r="B11" s="132">
        <f>IF(DigitaTICA!E2&lt;&gt;"",DigitaTICA!E2,"")</f>
        <v>43</v>
      </c>
      <c r="C11" s="29">
        <f>IF(DigitaTICA!E12&lt;&gt;"",DigitaTICA!E12,"")</f>
        <v>13900</v>
      </c>
      <c r="D11" s="42">
        <f>IF(C11="",0,C11*J$11)</f>
        <v>1668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12232</v>
      </c>
      <c r="I11" s="60" t="s">
        <v>36</v>
      </c>
      <c r="J11" s="61">
        <v>0.12</v>
      </c>
      <c r="K11" s="62">
        <f>MROUND(D7+D11+D15,50)</f>
        <v>5350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3350</v>
      </c>
    </row>
    <row r="13" spans="1:12" x14ac:dyDescent="0.35">
      <c r="A13" s="28" t="s">
        <v>50</v>
      </c>
      <c r="B13" s="132">
        <f>IF(DigitaNICA!G2&lt;&gt;"",DigitaNICA!G2,"")</f>
        <v>11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650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3200</v>
      </c>
    </row>
    <row r="15" spans="1:12" ht="15" thickBot="1" x14ac:dyDescent="0.4">
      <c r="A15" s="28" t="s">
        <v>61</v>
      </c>
      <c r="B15" s="132" t="str">
        <f>IF(DigitaTICA!G2&lt;&gt;"",DigitaTICA!G2,"")</f>
        <v>05</v>
      </c>
      <c r="C15" s="29">
        <f>IF(DigitaTICA!G12&lt;&gt;"",DigitaTICA!G12,"")</f>
        <v>16300</v>
      </c>
      <c r="D15" s="42">
        <f>IF(C15="",0,C15*J$11)</f>
        <v>1956</v>
      </c>
      <c r="E15" s="29">
        <f>IF(DigitaTICA!H12&lt;&gt;"",DigitaTICA!H12,"")</f>
        <v>500</v>
      </c>
      <c r="F15" s="42">
        <f>IF(E15="",0,E15*PREMIOS!F15)</f>
        <v>42500</v>
      </c>
      <c r="G15" s="30">
        <f t="shared" si="3"/>
        <v>-28156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IF(DigitaREVENTADO!G12&lt;&gt;"",DigitaREVENTADO!G12,"")</f>
        <v>1500</v>
      </c>
      <c r="D16" s="42">
        <f>IF(C16="",0,C16*J$13)</f>
        <v>150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1350</v>
      </c>
    </row>
    <row r="17" spans="1:7" x14ac:dyDescent="0.35">
      <c r="A17" s="28" t="s">
        <v>52</v>
      </c>
      <c r="B17" s="132">
        <f>IF(DigitaNICA!I2&lt;&gt;"",DigitaNICA!I2,"")</f>
        <v>21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76</v>
      </c>
      <c r="C19" s="29">
        <f>IF(DigitaPRIMERA!$C$12&lt;&gt;"",DigitaPRIMERA!$C$12,"")</f>
        <v>26550</v>
      </c>
      <c r="D19" s="42">
        <f>IF(C19="",0,C19*J$14)</f>
        <v>3186</v>
      </c>
      <c r="E19" s="29">
        <f>IF(DigitaPRIMERA!$D$12&lt;&gt;"",DigitaPRIMERA!$D$12,"")</f>
        <v>250</v>
      </c>
      <c r="F19" s="42">
        <f>IF(E19="",0,E19*PREMIOS!F19)</f>
        <v>21250</v>
      </c>
      <c r="G19" s="30">
        <f t="shared" si="3"/>
        <v>2114</v>
      </c>
    </row>
    <row r="20" spans="1:7" x14ac:dyDescent="0.35">
      <c r="A20" s="28" t="s">
        <v>98</v>
      </c>
      <c r="B20" s="132">
        <f>IF(DigitaPRIMERA!E2&lt;&gt;"",DigitaPRIMERA!E2,"")</f>
        <v>64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63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88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>04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105350</v>
      </c>
      <c r="D24" s="68">
        <f t="shared" ref="D24:G24" si="4">SUM(D5:D23)</f>
        <v>12517</v>
      </c>
      <c r="E24" s="68">
        <f t="shared" si="4"/>
        <v>750</v>
      </c>
      <c r="F24" s="68">
        <f t="shared" si="4"/>
        <v>63750</v>
      </c>
      <c r="G24" s="88">
        <f t="shared" si="4"/>
        <v>29083</v>
      </c>
    </row>
    <row r="27" spans="1:7" x14ac:dyDescent="0.35">
      <c r="G27" s="21">
        <v>278430</v>
      </c>
    </row>
    <row r="28" spans="1:7" x14ac:dyDescent="0.35">
      <c r="G28" s="141">
        <f>+G24+G27</f>
        <v>307513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">
        <v>57</v>
      </c>
      <c r="C2" s="282"/>
      <c r="D2" s="283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71250</v>
      </c>
      <c r="K4" s="231">
        <f t="shared" ref="K4" si="0">D7+D11+D15</f>
        <v>8550</v>
      </c>
      <c r="L4" s="220">
        <f>F7+F11+F15</f>
        <v>110500</v>
      </c>
    </row>
    <row r="5" spans="1:12" ht="15" thickBot="1" x14ac:dyDescent="0.4">
      <c r="A5" s="28" t="s">
        <v>43</v>
      </c>
      <c r="B5" s="132">
        <f>IF(DigitaNICA!C2&lt;&gt;"",DigitaNICA!C2,"")</f>
        <v>83</v>
      </c>
      <c r="C5" s="29">
        <f>IF(DigitaNICA!C13&lt;&gt;"",DigitaNICA!C13,"")</f>
        <v>12000</v>
      </c>
      <c r="D5" s="42">
        <f>IF(C5="",0,C5*J$10)</f>
        <v>1440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10560</v>
      </c>
      <c r="I5" s="218" t="s">
        <v>37</v>
      </c>
      <c r="J5" s="232">
        <f>SUM(IF(C5="",0,C5),IF(C9="",0,C9),IF(C13="",0,C13),IF(C17="",0,C17))</f>
        <v>26400</v>
      </c>
      <c r="K5" s="233">
        <f t="shared" ref="K5" si="2">D5+D9+D13+D17</f>
        <v>3168</v>
      </c>
      <c r="L5" s="234">
        <f>F5+F9+F13+F17</f>
        <v>144000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58</v>
      </c>
      <c r="C7" s="29">
        <f>IF(DigitaTICA!C13&lt;&gt;"",DigitaTICA!C13,"")</f>
        <v>19050</v>
      </c>
      <c r="D7" s="42">
        <f>IF(C7="",0,C7*J$9)</f>
        <v>2286</v>
      </c>
      <c r="E7" s="29">
        <f>IF(DigitaTICA!D13&lt;&gt;"",DigitaTICA!D13,"")</f>
        <v>500</v>
      </c>
      <c r="F7" s="133">
        <f>IF(E7="",0,E7*PREMIOS!F7)</f>
        <v>42500</v>
      </c>
      <c r="G7" s="30">
        <f t="shared" si="1"/>
        <v>-25736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4" t="s">
        <v>34</v>
      </c>
      <c r="J8" s="284"/>
      <c r="K8" s="284"/>
    </row>
    <row r="9" spans="1:12" x14ac:dyDescent="0.35">
      <c r="A9" s="28" t="s">
        <v>48</v>
      </c>
      <c r="B9" s="132" t="str">
        <f>IF(DigitaNICA!E2&lt;&gt;"",DigitaNICA!E2,"")</f>
        <v>05</v>
      </c>
      <c r="C9" s="29">
        <f>IF(DigitaNICA!E13&lt;&gt;"",DigitaNICA!E13,"")</f>
        <v>9300</v>
      </c>
      <c r="D9" s="42">
        <f>IF(C9="",0,C9*J$10)</f>
        <v>1116</v>
      </c>
      <c r="E9" s="29">
        <f>IF(DigitaNICA!F13&lt;&gt;"",DigitaNICA!F13,"")</f>
        <v>300</v>
      </c>
      <c r="F9" s="133">
        <f>IF(E9="",0,E9*PREMIOS!E9)</f>
        <v>24000</v>
      </c>
      <c r="G9" s="30">
        <f t="shared" si="1"/>
        <v>-15816</v>
      </c>
      <c r="I9" s="60" t="s">
        <v>36</v>
      </c>
      <c r="J9" s="61">
        <v>0.12</v>
      </c>
      <c r="K9" s="62">
        <f>MROUND(D7+D11+D15,50)</f>
        <v>8550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3150</v>
      </c>
    </row>
    <row r="11" spans="1:12" ht="15" thickBot="1" x14ac:dyDescent="0.4">
      <c r="A11" s="28" t="s">
        <v>59</v>
      </c>
      <c r="B11" s="132">
        <f>IF(DigitaTICA!E2&lt;&gt;"",DigitaTICA!E2,"")</f>
        <v>43</v>
      </c>
      <c r="C11" s="29">
        <f>IF(DigitaTICA!E13&lt;&gt;"",DigitaTICA!E13,"")</f>
        <v>14750</v>
      </c>
      <c r="D11" s="42">
        <f>IF(C11="",0,C11*J$9)</f>
        <v>1770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12980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11</v>
      </c>
      <c r="C13" s="29">
        <f>IF(DigitaNICA!G13&lt;&gt;"",DigitaNICA!G13,"")</f>
        <v>3600</v>
      </c>
      <c r="D13" s="42">
        <f>IF(C13="",0,C13*J$10)</f>
        <v>432</v>
      </c>
      <c r="E13" s="29">
        <f>IF(DigitaNICA!H13&lt;&gt;"",DigitaNICA!H13,"")</f>
        <v>1500</v>
      </c>
      <c r="F13" s="133">
        <f>IF(E13="",0,E13*PREMIOS!E13)</f>
        <v>120000</v>
      </c>
      <c r="G13" s="30">
        <f>IF(OR(C13="",E13=""),0,C13-D13-F13)</f>
        <v>-116832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05</v>
      </c>
      <c r="C15" s="29">
        <f>IF(DigitaTICA!G13&lt;&gt;"",DigitaTICA!G13,"")</f>
        <v>37450</v>
      </c>
      <c r="D15" s="42">
        <f>IF(C15="",0,C15*J$9)</f>
        <v>4494</v>
      </c>
      <c r="E15" s="29">
        <f>IF(DigitaTICA!H13&lt;&gt;"",DigitaTICA!H13,"")</f>
        <v>800</v>
      </c>
      <c r="F15" s="133">
        <f>IF(E15="",0,E15*PREMIOS!F15)</f>
        <v>68000</v>
      </c>
      <c r="G15" s="30">
        <f t="shared" si="3"/>
        <v>-35044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>
        <f>IF(DigitaNICA!I13&lt;&gt;"",DigitaNICA!I13,"")</f>
        <v>1500</v>
      </c>
      <c r="D17" s="42">
        <f>IF(C17="",0,C17*J$10)</f>
        <v>180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1320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97650</v>
      </c>
      <c r="D19" s="68">
        <f>MROUND(SUM(D5:D18),50)</f>
        <v>11700</v>
      </c>
      <c r="E19" s="68">
        <f>SUM(E5:E18)</f>
        <v>3100</v>
      </c>
      <c r="F19" s="68">
        <f>SUM(F5:F18)</f>
        <v>254500</v>
      </c>
      <c r="G19" s="88">
        <f>SUM(G5:G18)</f>
        <v>-168568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">
        <v>54</v>
      </c>
      <c r="C2" s="282"/>
      <c r="D2" s="283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60950</v>
      </c>
      <c r="K4" s="236">
        <f t="shared" ref="K4" si="0">D7+D11+D15</f>
        <v>9142.5</v>
      </c>
      <c r="L4" s="237">
        <f>F7+F11+F15</f>
        <v>80000</v>
      </c>
    </row>
    <row r="5" spans="1:12" x14ac:dyDescent="0.35">
      <c r="A5" s="28" t="s">
        <v>43</v>
      </c>
      <c r="B5" s="132">
        <f>IF(DigitaNICA!C2&lt;&gt;"",DigitaNICA!C2,"")</f>
        <v>83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58</v>
      </c>
      <c r="C7" s="29">
        <f>IF(DigitaTICA!C14&lt;&gt;"",DigitaTICA!C14,"")</f>
        <v>26250</v>
      </c>
      <c r="D7" s="42">
        <f>IF(C7="",0,C7*J$9)</f>
        <v>3937.5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22312.5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4" t="s">
        <v>34</v>
      </c>
      <c r="J8" s="284"/>
      <c r="K8" s="284"/>
    </row>
    <row r="9" spans="1:12" x14ac:dyDescent="0.35">
      <c r="A9" s="28" t="s">
        <v>48</v>
      </c>
      <c r="B9" s="132" t="str">
        <f>IF(DigitaNICA!E2&lt;&gt;"",DigitaNICA!E2,"")</f>
        <v>05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9150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43</v>
      </c>
      <c r="C11" s="29">
        <f>IF(DigitaTICA!E14&lt;&gt;"",DigitaTICA!E14,"")</f>
        <v>11600</v>
      </c>
      <c r="D11" s="42">
        <f>IF(C11="",0,C11*J$9)</f>
        <v>1740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9860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11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05</v>
      </c>
      <c r="C15" s="29">
        <f>IF(DigitaTICA!G14&lt;&gt;"",DigitaTICA!G14,"")</f>
        <v>23100</v>
      </c>
      <c r="D15" s="42">
        <f>IF(C15="",0,C15*J$9)</f>
        <v>3465</v>
      </c>
      <c r="E15" s="29">
        <f>IF(DigitaTICA!H14&lt;&gt;"",DigitaTICA!H14,"")</f>
        <v>1000</v>
      </c>
      <c r="F15" s="42">
        <f>IF(E15="",0,E15*PREMIOS!E15)</f>
        <v>80000</v>
      </c>
      <c r="G15" s="30">
        <f t="shared" si="2"/>
        <v>-60365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60950</v>
      </c>
      <c r="D19" s="68">
        <f>MROUND(SUM(D5:D18),50)</f>
        <v>9150</v>
      </c>
      <c r="E19" s="68">
        <f>SUM(E5:E18)</f>
        <v>1000</v>
      </c>
      <c r="F19" s="68">
        <f>SUM(F5:F18)</f>
        <v>80000</v>
      </c>
      <c r="G19" s="88">
        <f>SUM(G5:G18)</f>
        <v>-28192.5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">
        <v>55</v>
      </c>
      <c r="C2" s="282"/>
      <c r="D2" s="283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83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58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4" t="s">
        <v>34</v>
      </c>
      <c r="J8" s="284"/>
      <c r="K8" s="284"/>
    </row>
    <row r="9" spans="1:12" x14ac:dyDescent="0.35">
      <c r="A9" s="28" t="s">
        <v>48</v>
      </c>
      <c r="B9" s="132" t="str">
        <f>IF(DigitaNICA!E2&lt;&gt;"",DigitaNICA!E2,"")</f>
        <v>05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43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11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05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MINERO</v>
      </c>
      <c r="C2" s="282"/>
      <c r="D2" s="283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37900</v>
      </c>
      <c r="K4" s="231">
        <f>D7+D11+D15</f>
        <v>4548</v>
      </c>
      <c r="L4" s="220">
        <f>F7+F11+F15</f>
        <v>85000</v>
      </c>
    </row>
    <row r="5" spans="1:12" x14ac:dyDescent="0.35">
      <c r="A5" s="28" t="s">
        <v>43</v>
      </c>
      <c r="B5" s="132">
        <f>IF(DigitaNICA!C2&lt;&gt;"",DigitaNICA!C2,"")</f>
        <v>83</v>
      </c>
      <c r="C5" s="29">
        <f>IF(DigitaNICA!C16&lt;&gt;"",DigitaNICA!C16,"")</f>
        <v>2350</v>
      </c>
      <c r="D5" s="42">
        <f>IF(C5="",0,C5*J$12)</f>
        <v>282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2068</v>
      </c>
      <c r="I5" s="63" t="s">
        <v>37</v>
      </c>
      <c r="J5" s="225">
        <f>SUM(IF(C5="",0,C5),IF(C9="",0,C9),IF(C13="",0,C13),IF(C17="",0,C17))</f>
        <v>9650</v>
      </c>
      <c r="K5" s="225">
        <f t="shared" ref="K5" si="1">D5+D9+D13+D17</f>
        <v>1158</v>
      </c>
      <c r="L5" s="222">
        <f>F5+F9+F13+F17</f>
        <v>16000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2500</v>
      </c>
      <c r="K6" s="226">
        <f t="shared" ref="K6" si="2">+D8+D12+D16</f>
        <v>250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58</v>
      </c>
      <c r="C7" s="29">
        <f>IF(DigitaTICA!C16&lt;&gt;"",DigitaTICA!C16,"")</f>
        <v>9900</v>
      </c>
      <c r="D7" s="42">
        <f>IF(C7="",0,C7*J$11)</f>
        <v>1188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8712</v>
      </c>
      <c r="I7" s="63" t="s">
        <v>96</v>
      </c>
      <c r="J7" s="226">
        <f>SUM(IF(C19="",0,C19),IF(C20="",0,C20))</f>
        <v>6700</v>
      </c>
      <c r="K7" s="226">
        <f>+D19+D20</f>
        <v>804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 t="str">
        <f>IF(DigitaNICA!E2&lt;&gt;"",DigitaNICA!E2,"")</f>
        <v>05</v>
      </c>
      <c r="C9" s="29" t="str">
        <f>IF(DigitaNICA!E16&lt;&gt;"",DigitaNICA!E16,"")</f>
        <v/>
      </c>
      <c r="D9" s="42">
        <f>IF(C9="",0,C9*J$12)</f>
        <v>0</v>
      </c>
      <c r="E9" s="29" t="str">
        <f>IF(DigitaNICA!F16&lt;&gt;"",DigitaNICA!F16,"")</f>
        <v/>
      </c>
      <c r="F9" s="133">
        <f>IF(E9="",0,E9*PREMIOS!E9)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43</v>
      </c>
      <c r="C11" s="29">
        <f>IF(DigitaTICA!E16&lt;&gt;"",DigitaTICA!E16,"")</f>
        <v>6000</v>
      </c>
      <c r="D11" s="42">
        <f>IF(C11="",0,C11*J$11)</f>
        <v>720</v>
      </c>
      <c r="E11" s="29">
        <f>IF(DigitaTICA!F16&lt;&gt;"",DigitaTICA!F16,"")</f>
        <v>250</v>
      </c>
      <c r="F11" s="133">
        <f>IF(E11="",0,E11*PREMIOS!F11)</f>
        <v>21250</v>
      </c>
      <c r="G11" s="30">
        <f t="shared" si="0"/>
        <v>-15970</v>
      </c>
      <c r="I11" s="76" t="s">
        <v>36</v>
      </c>
      <c r="J11" s="77">
        <v>0.12</v>
      </c>
      <c r="K11" s="78">
        <f>MROUND(D7+D11+D15,50)</f>
        <v>4550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1150</v>
      </c>
    </row>
    <row r="13" spans="1:12" x14ac:dyDescent="0.35">
      <c r="A13" s="28" t="s">
        <v>50</v>
      </c>
      <c r="B13" s="132">
        <f>IF(DigitaNICA!G2&lt;&gt;"",DigitaNICA!G2,"")</f>
        <v>11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800</v>
      </c>
    </row>
    <row r="15" spans="1:12" ht="15" thickBot="1" x14ac:dyDescent="0.4">
      <c r="A15" s="28" t="s">
        <v>61</v>
      </c>
      <c r="B15" s="132" t="str">
        <f>IF(DigitaTICA!G2&lt;&gt;"",DigitaTICA!G2,"")</f>
        <v>05</v>
      </c>
      <c r="C15" s="29">
        <f>IF(DigitaTICA!G16&lt;&gt;"",DigitaTICA!G16,"")</f>
        <v>22000</v>
      </c>
      <c r="D15" s="42">
        <f>IF(C15="",0,C15*J$11)</f>
        <v>2640</v>
      </c>
      <c r="E15" s="29">
        <f>IF(DigitaTICA!H16&lt;&gt;"",DigitaTICA!H16,"")</f>
        <v>750</v>
      </c>
      <c r="F15" s="133">
        <f>IF(E15="",0,E15*PREMIOS!F15)</f>
        <v>63750</v>
      </c>
      <c r="G15" s="30">
        <f t="shared" si="3"/>
        <v>-44390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IF(DigitaREVENTADO!G16&lt;&gt;"",DigitaREVENTADO!G16,"")</f>
        <v>2500</v>
      </c>
      <c r="D16" s="42">
        <f>IF(C16="",0,C16*J$13)</f>
        <v>250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2250</v>
      </c>
    </row>
    <row r="17" spans="1:7" x14ac:dyDescent="0.35">
      <c r="A17" s="28" t="s">
        <v>52</v>
      </c>
      <c r="B17" s="132">
        <f>IF(DigitaNICA!I2&lt;&gt;"",DigitaNICA!I2,"")</f>
        <v>21</v>
      </c>
      <c r="C17" s="29">
        <f>IF(DigitaNICA!I16&lt;&gt;"",DigitaNICA!I16,"")</f>
        <v>7300</v>
      </c>
      <c r="D17" s="42">
        <f>IF(C17="",0,C17*J$12)</f>
        <v>876</v>
      </c>
      <c r="E17" s="29">
        <f>IF(DigitaNICA!J16&lt;&gt;"",DigitaNICA!J16,"")</f>
        <v>200</v>
      </c>
      <c r="F17" s="42">
        <f>IF(E17="",0,E17*PREMIOS!E17)</f>
        <v>16000</v>
      </c>
      <c r="G17" s="30">
        <f t="shared" si="3"/>
        <v>-9576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76</v>
      </c>
      <c r="C19" s="29">
        <f>IF(DigitaPRIMERA!C16&lt;&gt;"",DigitaPRIMERA!C16,"")</f>
        <v>6700</v>
      </c>
      <c r="D19" s="42">
        <f>IF(C19="",0,C19*J$14)</f>
        <v>804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5896</v>
      </c>
    </row>
    <row r="20" spans="1:7" x14ac:dyDescent="0.35">
      <c r="A20" s="28" t="s">
        <v>98</v>
      </c>
      <c r="B20" s="132">
        <f>IF(DigitaPRIMERA!E2&lt;&gt;"",DigitaPRIMERA!E2,"")</f>
        <v>64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63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88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>04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56750</v>
      </c>
      <c r="D24" s="122">
        <f t="shared" ref="D24:G24" si="5">SUM(D5:D23)</f>
        <v>6760</v>
      </c>
      <c r="E24" s="122">
        <f t="shared" si="5"/>
        <v>1200</v>
      </c>
      <c r="F24" s="122">
        <f t="shared" si="5"/>
        <v>101000</v>
      </c>
      <c r="G24" s="123">
        <f t="shared" si="5"/>
        <v>-51010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A16" sqref="A16:XFD16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">
        <v>91</v>
      </c>
      <c r="C2" s="282"/>
      <c r="D2" s="283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386400</v>
      </c>
      <c r="K4" s="231">
        <f t="shared" ref="K4" si="0">D7+D11+D15</f>
        <v>46368</v>
      </c>
      <c r="L4" s="220">
        <f>F7+F11+F15</f>
        <v>884000</v>
      </c>
    </row>
    <row r="5" spans="1:12" x14ac:dyDescent="0.35">
      <c r="A5" s="28" t="s">
        <v>43</v>
      </c>
      <c r="B5" s="132">
        <f>IF(DigitaNICA!C2&lt;&gt;"",DigitaNICA!C2,"")</f>
        <v>83</v>
      </c>
      <c r="C5" s="89">
        <f>IF(DigitaNICA!C17&lt;&gt;"",DigitaNICA!C17,"")</f>
        <v>82850</v>
      </c>
      <c r="D5" s="42">
        <f>IF(C5="",0,C5*J$16)</f>
        <v>9942</v>
      </c>
      <c r="E5" s="89">
        <f>IF(DigitaNICA!D17&lt;&gt;"",DigitaNICA!D17,"")</f>
        <v>300</v>
      </c>
      <c r="F5" s="42">
        <f>IF(E5="",0,E5*PREMIOS!F5)</f>
        <v>25500</v>
      </c>
      <c r="G5" s="90">
        <f t="shared" ref="G5:G12" si="1">IF(OR(C5="",E5=""),0,C5-D5-F5)</f>
        <v>47408</v>
      </c>
      <c r="I5" s="217" t="s">
        <v>37</v>
      </c>
      <c r="J5" s="221">
        <f>SUM(IF(C5="",0,C5),IF(C9="",0,C9),IF(C13="",0,C13),IF(C17="",0,C17))</f>
        <v>358700</v>
      </c>
      <c r="K5" s="225">
        <f t="shared" ref="K5" si="2">D5+D9+D13+D17</f>
        <v>43044</v>
      </c>
      <c r="L5" s="222">
        <f>F5+F9+F13+F17</f>
        <v>582250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46500</v>
      </c>
      <c r="K6" s="226">
        <f t="shared" ref="K6" si="3">+D8+D12+D16</f>
        <v>4650</v>
      </c>
      <c r="L6" s="227">
        <f>+F8+F12+F16</f>
        <v>320000</v>
      </c>
    </row>
    <row r="7" spans="1:12" x14ac:dyDescent="0.35">
      <c r="A7" s="28" t="s">
        <v>46</v>
      </c>
      <c r="B7" s="132">
        <f>IF(DigitaTICA!C2&lt;&gt;"",DigitaTICA!C2,"")</f>
        <v>58</v>
      </c>
      <c r="C7" s="89">
        <f>IF(DigitaTICA!C17&lt;&gt;"",DigitaTICA!C17,"")</f>
        <v>112300</v>
      </c>
      <c r="D7" s="42">
        <f>IF(C7="",0,C7*J$15)</f>
        <v>13476</v>
      </c>
      <c r="E7" s="89">
        <f>IF(DigitaTICA!D17&lt;&gt;"",DigitaTICA!D17,"")</f>
        <v>200</v>
      </c>
      <c r="F7" s="42">
        <f>IF(E7="",0,E7*PREMIOS!F7)</f>
        <v>17000</v>
      </c>
      <c r="G7" s="90">
        <f t="shared" si="1"/>
        <v>81824</v>
      </c>
      <c r="I7" s="217" t="s">
        <v>96</v>
      </c>
      <c r="J7" s="223">
        <f>SUM(IF(C19="",0,C19),IF(C20="",0,C20))</f>
        <v>115150</v>
      </c>
      <c r="K7" s="226">
        <f>+D19+D20</f>
        <v>13818</v>
      </c>
      <c r="L7" s="227">
        <f>+F19+F20</f>
        <v>80750</v>
      </c>
    </row>
    <row r="8" spans="1:12" x14ac:dyDescent="0.35">
      <c r="A8" s="28" t="s">
        <v>47</v>
      </c>
      <c r="B8" s="132" t="str">
        <f>IF(B7&lt;&gt;"",PREMIOS!B8,"")</f>
        <v>Roja</v>
      </c>
      <c r="C8" s="89">
        <f>IF(DigitaREVENTADO!C17&lt;&gt;"",DigitaREVENTADO!C17,"")</f>
        <v>16000</v>
      </c>
      <c r="D8" s="42">
        <f>IF(C8="",0,C8*J$17)</f>
        <v>1600</v>
      </c>
      <c r="E8" s="89">
        <f>IF(DigitaREVENTADO!D17&lt;&gt;"",DigitaREVENTADO!D17,"")</f>
        <v>100</v>
      </c>
      <c r="F8" s="42">
        <f>IF(E8="",0,E8*PREMIOS!F8)</f>
        <v>20000</v>
      </c>
      <c r="G8" s="90">
        <f t="shared" si="1"/>
        <v>-5600</v>
      </c>
      <c r="I8" s="217" t="s">
        <v>104</v>
      </c>
      <c r="J8" s="223">
        <f>SUM(IF(C21="",0,C21),IF(C22="",0,C22),IF(C23="",0,C23))</f>
        <v>50850</v>
      </c>
      <c r="K8" s="226">
        <f t="shared" ref="K8" si="4">D21+D22+D23</f>
        <v>6102</v>
      </c>
      <c r="L8" s="227">
        <f>F21+F22+F23</f>
        <v>25500</v>
      </c>
    </row>
    <row r="9" spans="1:12" x14ac:dyDescent="0.35">
      <c r="A9" s="28" t="s">
        <v>48</v>
      </c>
      <c r="B9" s="132" t="str">
        <f>IF(DigitaNICA!E2&lt;&gt;"",DigitaNICA!E2,"")</f>
        <v>05</v>
      </c>
      <c r="C9" s="89">
        <f>IF(DigitaNICA!E17&lt;&gt;"",DigitaNICA!E17,"")</f>
        <v>73400</v>
      </c>
      <c r="D9" s="42">
        <f>IF(C9="",0,C9*J$16)</f>
        <v>8808</v>
      </c>
      <c r="E9" s="89">
        <f>IF(DigitaNICA!F17&lt;&gt;"",DigitaNICA!F17,"")</f>
        <v>1100</v>
      </c>
      <c r="F9" s="42">
        <f>IF(E9="",0,E9*PREMIOS!F9)</f>
        <v>93500</v>
      </c>
      <c r="G9" s="90">
        <f t="shared" si="1"/>
        <v>-28908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43</v>
      </c>
      <c r="C11" s="89">
        <f>IF(DigitaTICA!E17&lt;&gt;"",DigitaTICA!E17,"")</f>
        <v>104500</v>
      </c>
      <c r="D11" s="42">
        <f>IF(C11="",0,C11*J$15)</f>
        <v>12540</v>
      </c>
      <c r="E11" s="89">
        <f>IF(DigitaTICA!F17&lt;&gt;"",DigitaTICA!F17,"")</f>
        <v>200</v>
      </c>
      <c r="F11" s="42">
        <f>IF(E11="",0,E11*PREMIOS!F11)</f>
        <v>17000</v>
      </c>
      <c r="G11" s="90">
        <f t="shared" si="1"/>
        <v>74960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13250</v>
      </c>
      <c r="D12" s="42">
        <f>IF(C12="",0,C12*J$17)</f>
        <v>1325</v>
      </c>
      <c r="E12" s="89">
        <f>IF(DigitaREVENTADO!F17&lt;&gt;"",DigitaREVENTADO!F17,"")</f>
        <v>0</v>
      </c>
      <c r="F12" s="42">
        <f>IF(E12="",0,E12*PREMIOS!F12)</f>
        <v>0</v>
      </c>
      <c r="G12" s="90">
        <f t="shared" si="1"/>
        <v>11925</v>
      </c>
    </row>
    <row r="13" spans="1:12" ht="15" thickBot="1" x14ac:dyDescent="0.4">
      <c r="A13" s="28" t="s">
        <v>50</v>
      </c>
      <c r="B13" s="132">
        <f>IF(DigitaNICA!G2&lt;&gt;"",DigitaNICA!G2,"")</f>
        <v>11</v>
      </c>
      <c r="C13" s="89">
        <f>IF(DigitaNICA!G17&lt;&gt;"",DigitaNICA!G17,"")</f>
        <v>53850</v>
      </c>
      <c r="D13" s="42">
        <f>IF(C13="",0,C13*J$16)</f>
        <v>6462</v>
      </c>
      <c r="E13" s="89">
        <f>IF(DigitaNICA!H17&lt;&gt;"",DigitaNICA!H17,"")</f>
        <v>250</v>
      </c>
      <c r="F13" s="42">
        <f>IF(E13="",0,E13*PREMIOS!F13)</f>
        <v>21250</v>
      </c>
      <c r="G13" s="90">
        <f>IF(OR(C13="",E13=""),0,C13-D13-F13)</f>
        <v>26138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81" t="s">
        <v>34</v>
      </c>
      <c r="J14" s="281"/>
      <c r="K14" s="281"/>
    </row>
    <row r="15" spans="1:12" x14ac:dyDescent="0.35">
      <c r="A15" s="28" t="s">
        <v>61</v>
      </c>
      <c r="B15" s="132" t="str">
        <f>IF(DigitaTICA!G2&lt;&gt;"",DigitaTICA!G2,"")</f>
        <v>05</v>
      </c>
      <c r="C15" s="89">
        <f>IF(DigitaTICA!G17&lt;&gt;"",DigitaTICA!G17,"")</f>
        <v>169600</v>
      </c>
      <c r="D15" s="42">
        <f>IF(C15="",0,C15*J$15)</f>
        <v>20352</v>
      </c>
      <c r="E15" s="89">
        <f>IF(DigitaTICA!H17&lt;&gt;"",DigitaTICA!H17,"")</f>
        <v>10000</v>
      </c>
      <c r="F15" s="42">
        <f>IF(E15="",0,E15*PREMIOS!F15)</f>
        <v>850000</v>
      </c>
      <c r="G15" s="90">
        <f t="shared" si="6"/>
        <v>-700752</v>
      </c>
      <c r="I15" s="76" t="s">
        <v>36</v>
      </c>
      <c r="J15" s="77">
        <v>0.12</v>
      </c>
      <c r="K15" s="78">
        <f>MROUND(D7+D11+D15,50)</f>
        <v>46350</v>
      </c>
    </row>
    <row r="16" spans="1:12" x14ac:dyDescent="0.35">
      <c r="A16" s="28" t="s">
        <v>62</v>
      </c>
      <c r="B16" s="132" t="str">
        <f>IF(B15&lt;&gt;"",PREMIOS!B16,"")</f>
        <v>Roja</v>
      </c>
      <c r="C16" s="89">
        <f>IF(DigitaREVENTADO!G17&lt;&gt;"",DigitaREVENTADO!G17,"")</f>
        <v>17250</v>
      </c>
      <c r="D16" s="42">
        <f>IF(C16="",0,C16*J$17)</f>
        <v>1725</v>
      </c>
      <c r="E16" s="89">
        <f>IF(DigitaREVENTADO!H17&lt;&gt;"",DigitaREVENTADO!H17,"")</f>
        <v>1500</v>
      </c>
      <c r="F16" s="42">
        <f>IF(E16="",0,E16*PREMIOS!F16)</f>
        <v>300000</v>
      </c>
      <c r="G16" s="90">
        <f t="shared" si="6"/>
        <v>-284475</v>
      </c>
      <c r="I16" s="63" t="s">
        <v>37</v>
      </c>
      <c r="J16" s="64">
        <v>0.12</v>
      </c>
      <c r="K16" s="30">
        <f>MROUND(D5+D9+D13+D17,50)</f>
        <v>43050</v>
      </c>
    </row>
    <row r="17" spans="1:11" x14ac:dyDescent="0.35">
      <c r="A17" s="28" t="s">
        <v>52</v>
      </c>
      <c r="B17" s="132">
        <f>IF(DigitaNICA!I2&lt;&gt;"",DigitaNICA!I2,"")</f>
        <v>21</v>
      </c>
      <c r="C17" s="89">
        <f>IF(DigitaNICA!I17&lt;&gt;"",DigitaNICA!I17,"")</f>
        <v>148600</v>
      </c>
      <c r="D17" s="42">
        <f>IF(C17="",0,C17*J$16)</f>
        <v>17832</v>
      </c>
      <c r="E17" s="89">
        <f>IF(DigitaNICA!J17&lt;&gt;"",DigitaNICA!J17,"")</f>
        <v>5200</v>
      </c>
      <c r="F17" s="42">
        <f>IF(E17="",0,E17*PREMIOS!F17)</f>
        <v>442000</v>
      </c>
      <c r="G17" s="90">
        <f t="shared" si="6"/>
        <v>-311232</v>
      </c>
      <c r="I17" s="63" t="s">
        <v>38</v>
      </c>
      <c r="J17" s="64">
        <v>0.1</v>
      </c>
      <c r="K17" s="30">
        <f>MROUND(D6+D8+D10+D12+D14+D16+D18,50)</f>
        <v>4650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13800</v>
      </c>
    </row>
    <row r="19" spans="1:11" x14ac:dyDescent="0.35">
      <c r="A19" s="28" t="s">
        <v>97</v>
      </c>
      <c r="B19" s="132">
        <f>IF(DigitaPRIMERA!C2&lt;&gt;"",DigitaPRIMERA!C2,"")</f>
        <v>76</v>
      </c>
      <c r="C19" s="29">
        <f>IF(DigitaPRIMERA!$C$17&lt;&gt;"",DigitaPRIMERA!$C$17,"")</f>
        <v>83450</v>
      </c>
      <c r="D19" s="42">
        <f>IF(C19="",0,C19*J$18)</f>
        <v>10014</v>
      </c>
      <c r="E19" s="29">
        <f>IF(DigitaPRIMERA!$D$17&lt;&gt;"",DigitaPRIMERA!$D$17,"")</f>
        <v>750</v>
      </c>
      <c r="F19" s="42">
        <f>IF(E19="",0,E19*PREMIOS!F19)</f>
        <v>63750</v>
      </c>
      <c r="G19" s="30">
        <f t="shared" si="6"/>
        <v>9686</v>
      </c>
      <c r="I19" s="63" t="s">
        <v>104</v>
      </c>
      <c r="J19" s="64">
        <v>0.12</v>
      </c>
      <c r="K19" s="30">
        <f>MROUND(D21+D22+D23,50)</f>
        <v>6100</v>
      </c>
    </row>
    <row r="20" spans="1:11" x14ac:dyDescent="0.35">
      <c r="A20" s="28" t="s">
        <v>98</v>
      </c>
      <c r="B20" s="132">
        <f>IF(DigitaPRIMERA!E2&lt;&gt;"",DigitaPRIMERA!E2,"")</f>
        <v>64</v>
      </c>
      <c r="C20" s="29">
        <f>IF(DigitaPRIMERA!$E$17&lt;&gt;"",DigitaPRIMERA!$E$17,"")</f>
        <v>31700</v>
      </c>
      <c r="D20" s="42">
        <f>IF(C20="",0,C20*J$18)</f>
        <v>3804</v>
      </c>
      <c r="E20" s="29">
        <f>IF(DigitaPRIMERA!$F$17&lt;&gt;"",DigitaPRIMERA!$F$17,"")</f>
        <v>200</v>
      </c>
      <c r="F20" s="42">
        <f>IF(E20="",0,E20*PREMIOS!F19)</f>
        <v>17000</v>
      </c>
      <c r="G20" s="30">
        <f t="shared" si="6"/>
        <v>10896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63</v>
      </c>
      <c r="C21" s="29">
        <f>IF(DigitaHONDURAS!$C$17&lt;&gt;"",DigitaHONDURAS!$C$17,"")</f>
        <v>31750</v>
      </c>
      <c r="D21" s="42">
        <f>IF(C21="",0,C21*J$19)</f>
        <v>3810</v>
      </c>
      <c r="E21" s="29">
        <f>IF(DigitaHONDURAS!$D$17&lt;&gt;"",DigitaHONDURAS!$D$17,"")</f>
        <v>0</v>
      </c>
      <c r="F21" s="42">
        <f>IF(E21="",0,E21*PREMIOS!F20)</f>
        <v>0</v>
      </c>
      <c r="G21" s="30">
        <f t="shared" si="6"/>
        <v>27940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88</v>
      </c>
      <c r="C22" s="29">
        <f>IF(DigitaHONDURAS!$E$17&lt;&gt;"",DigitaHONDURAS!$E$17,"")</f>
        <v>3950</v>
      </c>
      <c r="D22" s="42">
        <f>IF(C22="",0,C22*J$19)</f>
        <v>474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3476</v>
      </c>
    </row>
    <row r="23" spans="1:11" x14ac:dyDescent="0.35">
      <c r="A23" s="28" t="s">
        <v>101</v>
      </c>
      <c r="B23" s="132" t="str">
        <f>IF(DigitaHONDURAS!G2&lt;&gt;"",DigitaHONDURAS!G2,"")</f>
        <v>04</v>
      </c>
      <c r="C23" s="29">
        <f>IF(DigitaHONDURAS!$G$17&lt;&gt;"",DigitaHONDURAS!$G$17,"")</f>
        <v>15150</v>
      </c>
      <c r="D23" s="42">
        <f>IF(C23="",0,C23*J$19)</f>
        <v>1818</v>
      </c>
      <c r="E23" s="29">
        <f>IF(DigitaHONDURAS!$H$17&lt;&gt;"",DigitaHONDURAS!$H$17,"")</f>
        <v>300</v>
      </c>
      <c r="F23" s="42">
        <f>IF(E23="",0,E23*PREMIOS!F20)</f>
        <v>25500</v>
      </c>
      <c r="G23" s="30">
        <f t="shared" si="6"/>
        <v>-12168</v>
      </c>
    </row>
    <row r="24" spans="1:11" x14ac:dyDescent="0.35">
      <c r="A24" s="28" t="s">
        <v>102</v>
      </c>
      <c r="B24" s="132">
        <f>IF(DigitaDOMINICANA!C2&lt;&gt;"",DigitaDOMINICANA!C2,"")</f>
        <v>33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22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957600</v>
      </c>
      <c r="D27" s="68">
        <f t="shared" ref="D27:G27" si="7">SUM(D5:D26)</f>
        <v>113982</v>
      </c>
      <c r="E27" s="68">
        <f t="shared" si="7"/>
        <v>20100</v>
      </c>
      <c r="F27" s="68">
        <f t="shared" si="7"/>
        <v>1892500</v>
      </c>
      <c r="G27" s="88">
        <f t="shared" si="7"/>
        <v>-1048882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L16" sqref="L16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">
        <v>92</v>
      </c>
      <c r="C2" s="282"/>
      <c r="D2" s="283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151850</v>
      </c>
      <c r="K4" s="231">
        <f t="shared" ref="K4" si="0">D7+D11+D15</f>
        <v>18222</v>
      </c>
      <c r="L4" s="220">
        <f>F7+F11+F15</f>
        <v>527000</v>
      </c>
    </row>
    <row r="5" spans="1:12" x14ac:dyDescent="0.35">
      <c r="A5" s="28" t="str">
        <f>+Vendedor1!A5</f>
        <v>Nica 11am</v>
      </c>
      <c r="B5" s="132">
        <f>IF(DigitaNICA!C2&lt;&gt;"",DigitaNICA!C2,"")</f>
        <v>83</v>
      </c>
      <c r="C5" s="29">
        <f>IF(DigitaNICA!C18&lt;&gt;"",DigitaNICA!C18,"")</f>
        <v>31000</v>
      </c>
      <c r="D5" s="42">
        <f>IF(C5="",0,C5*J$16)</f>
        <v>3720</v>
      </c>
      <c r="E5" s="29">
        <f>IF(DigitaNICA!D18&lt;&gt;"",DigitaNICA!D18,"")</f>
        <v>200</v>
      </c>
      <c r="F5" s="42">
        <f>IF(E5="",0,E5*PREMIOS!F5)</f>
        <v>17000</v>
      </c>
      <c r="G5" s="30">
        <f t="shared" ref="G5:G12" si="1">IF(OR(C5="",E5=""),0,C5-D5-F5)</f>
        <v>10280</v>
      </c>
      <c r="I5" s="217" t="s">
        <v>37</v>
      </c>
      <c r="J5" s="221">
        <f>SUM(IF(C5="",0,C5),IF(C9="",0,C9),IF(C13="",0,C13),IF(C17="",0,C17))</f>
        <v>108200</v>
      </c>
      <c r="K5" s="225">
        <f t="shared" ref="K5" si="2">D5+D9+D13+D17</f>
        <v>12984</v>
      </c>
      <c r="L5" s="222">
        <f>F5+F9+F13+F17</f>
        <v>246500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34450</v>
      </c>
      <c r="K6" s="226">
        <f t="shared" ref="K6" si="3">+D8+D12+D16</f>
        <v>3445</v>
      </c>
      <c r="L6" s="227">
        <f>+F8+F12+F16</f>
        <v>180000</v>
      </c>
    </row>
    <row r="7" spans="1:12" x14ac:dyDescent="0.35">
      <c r="A7" s="28" t="str">
        <f>+Vendedor1!A7</f>
        <v>Tica 1pm</v>
      </c>
      <c r="B7" s="132">
        <f>IF(DigitaTICA!C2&lt;&gt;"",DigitaTICA!C2,"")</f>
        <v>58</v>
      </c>
      <c r="C7" s="29">
        <f>IF(DigitaTICA!C18&lt;&gt;"",DigitaTICA!C18,"")</f>
        <v>42700</v>
      </c>
      <c r="D7" s="42">
        <f>IF(C7="",0,C7*J$15)</f>
        <v>5124</v>
      </c>
      <c r="E7" s="29">
        <f>IF(DigitaTICA!D18&lt;&gt;"",DigitaTICA!D18,"")</f>
        <v>500</v>
      </c>
      <c r="F7" s="42">
        <f>IF(E7="",0,E7*PREMIOS!F7)</f>
        <v>42500</v>
      </c>
      <c r="G7" s="30">
        <f t="shared" si="1"/>
        <v>-4924</v>
      </c>
      <c r="I7" s="217" t="s">
        <v>96</v>
      </c>
      <c r="J7" s="223">
        <f>SUM(IF(C19="",0,C19),IF(C20="",0,C20))</f>
        <v>86300</v>
      </c>
      <c r="K7" s="226">
        <f>+D19+D20</f>
        <v>10356</v>
      </c>
      <c r="L7" s="227">
        <f>+F19+F20</f>
        <v>8500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>
        <f>IF(DigitaREVENTADO!C18&lt;&gt;"",DigitaREVENTADO!C18,"")</f>
        <v>10200</v>
      </c>
      <c r="D8" s="42">
        <f>IF(C8="",0,C8*J$17)</f>
        <v>1020</v>
      </c>
      <c r="E8" s="29">
        <f>IF(DigitaREVENTADO!D18&lt;&gt;"",DigitaREVENTADO!D18,"")</f>
        <v>200</v>
      </c>
      <c r="F8" s="42">
        <f>IF(E8="",0,E8*PREMIOS!F8)</f>
        <v>40000</v>
      </c>
      <c r="G8" s="30">
        <f t="shared" si="1"/>
        <v>-30820</v>
      </c>
      <c r="I8" s="217" t="s">
        <v>104</v>
      </c>
      <c r="J8" s="223">
        <f>SUM(IF(C21="",0,C21),IF(C22="",0,C22),IF(C23="",0,C23))</f>
        <v>27750</v>
      </c>
      <c r="K8" s="226">
        <f t="shared" ref="K8" si="4">D21+D22+D23</f>
        <v>3330</v>
      </c>
      <c r="L8" s="227">
        <f>F21+F22+F23</f>
        <v>0</v>
      </c>
    </row>
    <row r="9" spans="1:12" x14ac:dyDescent="0.35">
      <c r="A9" s="28" t="str">
        <f>+Vendedor1!A9</f>
        <v>Nica 3pm</v>
      </c>
      <c r="B9" s="132" t="str">
        <f>IF(DigitaNICA!E2&lt;&gt;"",DigitaNICA!E2,"")</f>
        <v>05</v>
      </c>
      <c r="C9" s="29">
        <f>IF(DigitaNICA!E18&lt;&gt;"",DigitaNICA!E18,"")</f>
        <v>38850</v>
      </c>
      <c r="D9" s="42">
        <f>IF(C9="",0,C9*J$16)</f>
        <v>4662</v>
      </c>
      <c r="E9" s="29">
        <f>IF(DigitaNICA!F18&lt;&gt;"",DigitaNICA!F18,"")</f>
        <v>1500</v>
      </c>
      <c r="F9" s="42">
        <f>IF(E9="",0,E9*PREMIOS!F9)</f>
        <v>127500</v>
      </c>
      <c r="G9" s="30">
        <f t="shared" si="1"/>
        <v>-93312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43</v>
      </c>
      <c r="C11" s="29">
        <f>IF(DigitaTICA!E18&lt;&gt;"",DigitaTICA!E18,"")</f>
        <v>56050</v>
      </c>
      <c r="D11" s="42">
        <f>IF(C11="",0,C11*J$15)</f>
        <v>6726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49324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7400</v>
      </c>
      <c r="D12" s="42">
        <f>IF(C12="",0,C12*J$17)</f>
        <v>740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6660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11</v>
      </c>
      <c r="C13" s="29">
        <f>IF(DigitaNICA!G18&lt;&gt;"",DigitaNICA!G18,"")</f>
        <v>27500</v>
      </c>
      <c r="D13" s="42">
        <f>IF(C13="",0,C13*J$16)</f>
        <v>3300</v>
      </c>
      <c r="E13" s="29">
        <f>IF(DigitaNICA!H18&lt;&gt;"",DigitaNICA!H18,"")</f>
        <v>200</v>
      </c>
      <c r="F13" s="42">
        <f>IF(E13="",0,E13*PREMIOS!F13)</f>
        <v>17000</v>
      </c>
      <c r="G13" s="30">
        <f>IF(OR(C13="",E13=""),0,C13-D13-F13)</f>
        <v>7200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7" t="s">
        <v>34</v>
      </c>
      <c r="J14" s="288"/>
      <c r="K14" s="289"/>
    </row>
    <row r="15" spans="1:12" x14ac:dyDescent="0.35">
      <c r="A15" s="28" t="str">
        <f>+Vendedor1!A15</f>
        <v>Tica 7:30pm</v>
      </c>
      <c r="B15" s="132" t="str">
        <f>IF(DigitaTICA!G2&lt;&gt;"",DigitaTICA!G2,"")</f>
        <v>05</v>
      </c>
      <c r="C15" s="29">
        <f>IF(DigitaTICA!G18&lt;&gt;"",DigitaTICA!G18,"")</f>
        <v>53100</v>
      </c>
      <c r="D15" s="42">
        <f>IF(C15="",0,C15*J$15)</f>
        <v>6372</v>
      </c>
      <c r="E15" s="29">
        <f>IF(DigitaTICA!H18&lt;&gt;"",DigitaTICA!H18,"")</f>
        <v>5700</v>
      </c>
      <c r="F15" s="42">
        <f>IF(E15="",0,E15*PREMIOS!F15)</f>
        <v>484500</v>
      </c>
      <c r="G15" s="30">
        <f t="shared" si="6"/>
        <v>-437772</v>
      </c>
      <c r="I15" s="76" t="s">
        <v>36</v>
      </c>
      <c r="J15" s="77">
        <v>0.12</v>
      </c>
      <c r="K15" s="78">
        <f>MROUND(D7+D11+D15,50)</f>
        <v>18200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Roja</v>
      </c>
      <c r="C16" s="29">
        <f>IF(DigitaREVENTADO!G18&lt;&gt;"",DigitaREVENTADO!G18,"")</f>
        <v>16850</v>
      </c>
      <c r="D16" s="42">
        <f>IF(C16="",0,C16*J$17)</f>
        <v>1685</v>
      </c>
      <c r="E16" s="29">
        <f>IF(DigitaREVENTADO!H18&lt;&gt;"",DigitaREVENTADO!H18,"")</f>
        <v>700</v>
      </c>
      <c r="F16" s="42">
        <f>IF(E16="",0,E16*PREMIOS!F16)</f>
        <v>140000</v>
      </c>
      <c r="G16" s="30">
        <f t="shared" si="6"/>
        <v>-124835</v>
      </c>
      <c r="I16" s="63" t="s">
        <v>37</v>
      </c>
      <c r="J16" s="64">
        <v>0.12</v>
      </c>
      <c r="K16" s="30">
        <f>MROUND(D5+D9+D13+D17,50)</f>
        <v>13000</v>
      </c>
    </row>
    <row r="17" spans="1:11" x14ac:dyDescent="0.35">
      <c r="A17" s="28" t="str">
        <f>+Vendedor1!A17</f>
        <v>Nica 9pm</v>
      </c>
      <c r="B17" s="132">
        <f>IF(DigitaNICA!I2&lt;&gt;"",DigitaNICA!I2,"")</f>
        <v>21</v>
      </c>
      <c r="C17" s="29">
        <f>IF(DigitaNICA!I18&lt;&gt;"",DigitaNICA!I18,"")</f>
        <v>10850</v>
      </c>
      <c r="D17" s="42">
        <f>IF(C17="",0,C17*J$16)</f>
        <v>1302</v>
      </c>
      <c r="E17" s="29">
        <f>IF(DigitaNICA!J18&lt;&gt;"",DigitaNICA!J18,"")</f>
        <v>1000</v>
      </c>
      <c r="F17" s="42">
        <f>IF(E17="",0,E17*PREMIOS!F17)</f>
        <v>85000</v>
      </c>
      <c r="G17" s="30">
        <f t="shared" si="6"/>
        <v>-75452</v>
      </c>
      <c r="I17" s="63" t="s">
        <v>38</v>
      </c>
      <c r="J17" s="64">
        <v>0.1</v>
      </c>
      <c r="K17" s="30">
        <f>MROUND(D6+D8+D10+D12+D14+D16+D18,50)</f>
        <v>3450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10350</v>
      </c>
    </row>
    <row r="19" spans="1:11" x14ac:dyDescent="0.35">
      <c r="A19" s="28" t="s">
        <v>97</v>
      </c>
      <c r="B19" s="132">
        <f>IF(DigitaPRIMERA!C2&lt;&gt;"",DigitaPRIMERA!C2,"")</f>
        <v>76</v>
      </c>
      <c r="C19" s="29">
        <f>IF(DigitaPRIMERA!$C$18&lt;&gt;"",DigitaPRIMERA!$C$18,"")</f>
        <v>46000</v>
      </c>
      <c r="D19" s="42">
        <f>IF(C19="",0,C19*J$18)</f>
        <v>5520</v>
      </c>
      <c r="E19" s="29">
        <f>IF(DigitaPRIMERA!$D$18&lt;&gt;"",DigitaPRIMERA!$D$18,"")</f>
        <v>100</v>
      </c>
      <c r="F19" s="42">
        <f>IF(E19="",0,E19*PREMIOS!F19)</f>
        <v>8500</v>
      </c>
      <c r="G19" s="30">
        <f t="shared" si="6"/>
        <v>31980</v>
      </c>
      <c r="I19" s="63" t="s">
        <v>104</v>
      </c>
      <c r="J19" s="64">
        <v>0.12</v>
      </c>
      <c r="K19" s="30">
        <f>MROUND(D21+D22+D23,50)</f>
        <v>3350</v>
      </c>
    </row>
    <row r="20" spans="1:11" x14ac:dyDescent="0.35">
      <c r="A20" s="28" t="s">
        <v>98</v>
      </c>
      <c r="B20" s="132">
        <f>IF(DigitaPRIMERA!E2&lt;&gt;"",DigitaPRIMERA!E2,"")</f>
        <v>64</v>
      </c>
      <c r="C20" s="29">
        <f>IF(DigitaPRIMERA!$E$18&lt;&gt;"",DigitaPRIMERA!$E$18,"")</f>
        <v>40300</v>
      </c>
      <c r="D20" s="42">
        <f>IF(C20="",0,C20*J$18)</f>
        <v>4836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35464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63</v>
      </c>
      <c r="C21" s="29">
        <f>IF(DigitaHONDURAS!$C$18&lt;&gt;"",DigitaHONDURAS!$C$18,"")</f>
        <v>26050</v>
      </c>
      <c r="D21" s="42">
        <f>IF(C21="",0,C21*J$19)</f>
        <v>3126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22924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88</v>
      </c>
      <c r="C22" s="29">
        <f>IF(DigitaHONDURAS!$E$18&lt;&gt;"",DigitaHONDURAS!$E$18,"")</f>
        <v>1700</v>
      </c>
      <c r="D22" s="42">
        <f>IF(C22="",0,C22*J$19)</f>
        <v>204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1496</v>
      </c>
    </row>
    <row r="23" spans="1:11" x14ac:dyDescent="0.35">
      <c r="A23" s="28" t="s">
        <v>101</v>
      </c>
      <c r="B23" s="132" t="str">
        <f>IF(DigitaHONDURAS!G2&lt;&gt;"",DigitaHONDURAS!G2,"")</f>
        <v>04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33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22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408550</v>
      </c>
      <c r="D27" s="68">
        <f t="shared" ref="D27:G27" si="7">SUM(D5:D26)</f>
        <v>48337</v>
      </c>
      <c r="E27" s="68">
        <f t="shared" si="7"/>
        <v>10100</v>
      </c>
      <c r="F27" s="68">
        <f t="shared" si="7"/>
        <v>962000</v>
      </c>
      <c r="G27" s="88">
        <f t="shared" si="7"/>
        <v>-601787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3" t="s">
        <v>88</v>
      </c>
      <c r="D2" s="283"/>
      <c r="E2" s="283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83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58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4" t="s">
        <v>34</v>
      </c>
      <c r="J8" s="284"/>
      <c r="K8" s="284"/>
    </row>
    <row r="9" spans="1:11" x14ac:dyDescent="0.35">
      <c r="A9" s="28" t="str">
        <f>+Vendedor1!A9</f>
        <v>Nica 3pm</v>
      </c>
      <c r="B9" s="132" t="str">
        <f>IF(DigitaNICA!E2&lt;&gt;"",DigitaNICA!E2,"")</f>
        <v>05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43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11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 t="str">
        <f>IF(DigitaTICA!G2&lt;&gt;"",DigitaTICA!G2,"")</f>
        <v>05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21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3" t="s">
        <v>85</v>
      </c>
      <c r="D2" s="283"/>
      <c r="E2" s="283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4" t="s">
        <v>34</v>
      </c>
      <c r="J8" s="284"/>
      <c r="K8" s="284"/>
    </row>
    <row r="9" spans="1:11" x14ac:dyDescent="0.35">
      <c r="A9" s="28" t="s">
        <v>48</v>
      </c>
      <c r="B9" s="132" t="str">
        <f>IF(DigitaNICA!E2&lt;&gt;"",DigitaNICA!E2,"")</f>
        <v>05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11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3" t="s">
        <v>84</v>
      </c>
      <c r="D2" s="283"/>
      <c r="E2" s="283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4" t="s">
        <v>34</v>
      </c>
      <c r="J8" s="284"/>
      <c r="K8" s="284"/>
    </row>
    <row r="9" spans="1:11" x14ac:dyDescent="0.35">
      <c r="A9" s="28" t="s">
        <v>48</v>
      </c>
      <c r="B9" s="132" t="str">
        <f>IF(DigitaNICA!E2&lt;&gt;"",DigitaNICA!E2,"")</f>
        <v>05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11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3" t="s">
        <v>83</v>
      </c>
      <c r="D2" s="283"/>
      <c r="E2" s="283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4" t="s">
        <v>34</v>
      </c>
      <c r="J8" s="284"/>
      <c r="K8" s="284"/>
    </row>
    <row r="9" spans="1:11" x14ac:dyDescent="0.35">
      <c r="A9" s="28" t="s">
        <v>48</v>
      </c>
      <c r="B9" s="132" t="str">
        <f>IF(DigitaNICA!E2&lt;&gt;"",DigitaNICA!E2,"")</f>
        <v>05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11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3" t="s">
        <v>82</v>
      </c>
      <c r="D2" s="283"/>
      <c r="E2" s="283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4" t="s">
        <v>34</v>
      </c>
      <c r="J8" s="284"/>
      <c r="K8" s="284"/>
    </row>
    <row r="9" spans="1:11" x14ac:dyDescent="0.35">
      <c r="A9" s="28" t="s">
        <v>48</v>
      </c>
      <c r="B9" s="132" t="str">
        <f>IF(DigitaNICA!E2&lt;&gt;"",DigitaNICA!E2,"")</f>
        <v>05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11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3" t="s">
        <v>67</v>
      </c>
      <c r="C2" s="283"/>
      <c r="D2" s="283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4" t="s">
        <v>34</v>
      </c>
      <c r="I8" s="284"/>
      <c r="J8" s="284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3" t="s">
        <v>70</v>
      </c>
      <c r="C2" s="283"/>
      <c r="D2" s="283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4" t="s">
        <v>34</v>
      </c>
      <c r="I8" s="284"/>
      <c r="J8" s="284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3" t="s">
        <v>66</v>
      </c>
      <c r="C2" s="283"/>
      <c r="D2" s="283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4" t="s">
        <v>34</v>
      </c>
      <c r="I8" s="284"/>
      <c r="J8" s="284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3" t="s">
        <v>81</v>
      </c>
      <c r="D2" s="283"/>
      <c r="E2" s="283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-7678</v>
      </c>
      <c r="K4" s="56">
        <f>SUM(F5,F7,F9,F11,F13,F15,F17)</f>
        <v>-652630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-768</v>
      </c>
      <c r="K5" s="59">
        <f>SUM(F6,F8,F10,F12,F14,F16,F18)</f>
        <v>-153600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-900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-100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>
        <f>IF(DigitaTICA!G27&lt;&gt;"",DigitaTICA!G27,"")</f>
        <v>-7678</v>
      </c>
      <c r="D15" s="42">
        <f>IF(C15="",0,C15*J$9)</f>
        <v>-921.36</v>
      </c>
      <c r="E15" s="29">
        <f>IF(DigitaTICA!H27&lt;&gt;"",DigitaTICA!H27,"")</f>
        <v>-7678</v>
      </c>
      <c r="F15" s="42">
        <f>IF(E15="",0,E15*PREMIOS!F15)</f>
        <v>-652630</v>
      </c>
      <c r="G15" s="30">
        <f t="shared" si="1"/>
        <v>645873.36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>
        <f>IF(DigitaREVENTADO!G27&lt;&gt;"",DigitaREVENTADO!G27,"")</f>
        <v>-768</v>
      </c>
      <c r="D16" s="42">
        <f>IF(C16="",0,C16*J$11)</f>
        <v>-76.800000000000011</v>
      </c>
      <c r="E16" s="29">
        <f>IF(DigitaREVENTADO!H27&lt;&gt;"",DigitaREVENTADO!H27,"")</f>
        <v>-768</v>
      </c>
      <c r="F16" s="42">
        <f>IF(E16="",0,E16*PREMIOS!F16)</f>
        <v>-153600</v>
      </c>
      <c r="G16" s="30">
        <f t="shared" si="1"/>
        <v>152908.79999999999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-8446</v>
      </c>
      <c r="D27" s="68">
        <f t="shared" ref="D27:G27" si="2">SUM(D5:D26)</f>
        <v>-998.16000000000008</v>
      </c>
      <c r="E27" s="68">
        <f t="shared" si="2"/>
        <v>-8446</v>
      </c>
      <c r="F27" s="68">
        <f t="shared" si="2"/>
        <v>-806230</v>
      </c>
      <c r="G27" s="88">
        <f t="shared" si="2"/>
        <v>798782.15999999992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3" t="s">
        <v>106</v>
      </c>
      <c r="C2" s="283"/>
      <c r="D2" s="283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4" t="s">
        <v>34</v>
      </c>
      <c r="I8" s="284"/>
      <c r="J8" s="284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3" t="s">
        <v>64</v>
      </c>
      <c r="C2" s="283"/>
      <c r="D2" s="283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4" t="s">
        <v>34</v>
      </c>
      <c r="I8" s="284"/>
      <c r="J8" s="284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3" t="s">
        <v>69</v>
      </c>
      <c r="C2" s="283"/>
      <c r="D2" s="283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4" t="s">
        <v>34</v>
      </c>
      <c r="I8" s="284"/>
      <c r="J8" s="284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3" t="s">
        <v>58</v>
      </c>
      <c r="C2" s="283"/>
      <c r="D2" s="283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4" t="s">
        <v>34</v>
      </c>
      <c r="I8" s="284"/>
      <c r="J8" s="284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3" t="s">
        <v>68</v>
      </c>
      <c r="C2" s="283"/>
      <c r="D2" s="283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4" t="s">
        <v>34</v>
      </c>
      <c r="I8" s="284"/>
      <c r="J8" s="284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41"/>
  <sheetViews>
    <sheetView showGridLines="0" zoomScale="90" zoomScaleNormal="90" workbookViewId="0">
      <selection sqref="A1:H3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3" t="s">
        <v>71</v>
      </c>
      <c r="D1" s="274"/>
      <c r="E1" s="273" t="s">
        <v>72</v>
      </c>
      <c r="F1" s="274"/>
      <c r="G1" s="273" t="s">
        <v>73</v>
      </c>
      <c r="H1" s="274"/>
    </row>
    <row r="2" spans="1:11" ht="21" customHeight="1" x14ac:dyDescent="0.35">
      <c r="C2" s="269">
        <f>IF(PREMIOS!$B7="","",PREMIOS!$B7)</f>
        <v>58</v>
      </c>
      <c r="D2" s="270"/>
      <c r="E2" s="269">
        <f>IF(PREMIOS!$B11="","",PREMIOS!$B11)</f>
        <v>43</v>
      </c>
      <c r="F2" s="270"/>
      <c r="G2" s="269" t="str">
        <f>IF(PREMIOS!$B15="","",PREMIOS!$B15)</f>
        <v>05</v>
      </c>
      <c r="H2" s="270"/>
    </row>
    <row r="3" spans="1:11" ht="21" customHeight="1" thickBot="1" x14ac:dyDescent="0.4">
      <c r="C3" s="269"/>
      <c r="D3" s="270"/>
      <c r="E3" s="269"/>
      <c r="F3" s="270"/>
      <c r="G3" s="269"/>
      <c r="H3" s="270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51500</v>
      </c>
      <c r="D4" s="78">
        <v>950</v>
      </c>
      <c r="E4" s="189">
        <v>36600</v>
      </c>
      <c r="F4" s="78">
        <v>250</v>
      </c>
      <c r="G4" s="189">
        <v>67000</v>
      </c>
      <c r="H4" s="78">
        <v>3050</v>
      </c>
      <c r="J4" s="42">
        <f t="shared" ref="J4:J8" si="0">+C4+E4+G4</f>
        <v>155100</v>
      </c>
      <c r="K4" s="42">
        <f>IF(D4="",0,IF(F4="",D4,IF(H4="",D4+F4,D4+F4+H4)))</f>
        <v>4250</v>
      </c>
    </row>
    <row r="5" spans="1:11" x14ac:dyDescent="0.35">
      <c r="A5" s="47">
        <v>2</v>
      </c>
      <c r="B5" s="178" t="str">
        <f>Vendedor2!$B$2</f>
        <v>PUESTO 2</v>
      </c>
      <c r="C5" s="180">
        <v>58200</v>
      </c>
      <c r="D5" s="30">
        <v>200</v>
      </c>
      <c r="E5" s="180">
        <v>39000</v>
      </c>
      <c r="F5" s="30">
        <v>250</v>
      </c>
      <c r="G5" s="180">
        <v>64350</v>
      </c>
      <c r="H5" s="30">
        <v>3750</v>
      </c>
      <c r="J5" s="42">
        <f t="shared" si="0"/>
        <v>161550</v>
      </c>
      <c r="K5" s="42">
        <f t="shared" ref="K5:K27" si="1">IF(D5="",0,IF(F5="",D5,IF(H5="",D5+F5,D5+F5+H5)))</f>
        <v>4200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ref="D6:H27" si="2">IF(C6="","",0)</f>
        <v/>
      </c>
      <c r="E6" s="180"/>
      <c r="F6" s="30" t="str">
        <f t="shared" si="2"/>
        <v/>
      </c>
      <c r="G6" s="180"/>
      <c r="H6" s="30" t="str">
        <f t="shared" si="2"/>
        <v/>
      </c>
      <c r="J6" s="42">
        <f t="shared" si="0"/>
        <v>0</v>
      </c>
      <c r="K6" s="42">
        <f t="shared" si="1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2"/>
        <v/>
      </c>
      <c r="E7" s="180"/>
      <c r="F7" s="30" t="str">
        <f t="shared" si="2"/>
        <v/>
      </c>
      <c r="G7" s="180"/>
      <c r="H7" s="30" t="str">
        <f t="shared" si="2"/>
        <v/>
      </c>
      <c r="J7" s="42">
        <f t="shared" si="0"/>
        <v>0</v>
      </c>
      <c r="K7" s="42">
        <f t="shared" si="1"/>
        <v>0</v>
      </c>
    </row>
    <row r="8" spans="1:11" x14ac:dyDescent="0.35">
      <c r="A8" s="47">
        <v>5</v>
      </c>
      <c r="B8" s="178" t="str">
        <f>Vendedor5!$B$2</f>
        <v>YOYO</v>
      </c>
      <c r="C8" s="180">
        <v>37650</v>
      </c>
      <c r="D8" s="30">
        <v>150</v>
      </c>
      <c r="E8" s="180">
        <v>32200</v>
      </c>
      <c r="F8" s="30">
        <f t="shared" si="2"/>
        <v>0</v>
      </c>
      <c r="G8" s="180">
        <v>49150</v>
      </c>
      <c r="H8" s="30">
        <v>1550</v>
      </c>
      <c r="J8" s="42">
        <f t="shared" si="0"/>
        <v>119000</v>
      </c>
      <c r="K8" s="42">
        <f t="shared" si="1"/>
        <v>1700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2"/>
        <v/>
      </c>
      <c r="E9" s="180"/>
      <c r="F9" s="30" t="str">
        <f t="shared" si="2"/>
        <v/>
      </c>
      <c r="G9" s="180"/>
      <c r="H9" s="30" t="str">
        <f t="shared" si="2"/>
        <v/>
      </c>
      <c r="J9" s="42">
        <f t="shared" ref="J9:J31" si="3">+C9+E9+G9</f>
        <v>0</v>
      </c>
      <c r="K9" s="42">
        <f t="shared" si="1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61470+80050</f>
        <v>141520</v>
      </c>
      <c r="D10" s="30">
        <v>200</v>
      </c>
      <c r="E10" s="180">
        <f>28250+75500</f>
        <v>103750</v>
      </c>
      <c r="F10" s="30">
        <v>300</v>
      </c>
      <c r="G10" s="180">
        <f>51850+105950</f>
        <v>157800</v>
      </c>
      <c r="H10" s="30">
        <f>1900+2150</f>
        <v>4050</v>
      </c>
      <c r="J10" s="42">
        <f t="shared" si="3"/>
        <v>403070</v>
      </c>
      <c r="K10" s="42">
        <f t="shared" si="1"/>
        <v>4550</v>
      </c>
    </row>
    <row r="11" spans="1:11" x14ac:dyDescent="0.35">
      <c r="A11" s="47">
        <v>8</v>
      </c>
      <c r="B11" s="178" t="str">
        <f>Vendedor8!$B$2</f>
        <v>ISA</v>
      </c>
      <c r="C11" s="180">
        <v>2500</v>
      </c>
      <c r="D11" s="30">
        <f t="shared" si="2"/>
        <v>0</v>
      </c>
      <c r="E11" s="180"/>
      <c r="F11" s="30" t="str">
        <f t="shared" si="2"/>
        <v/>
      </c>
      <c r="G11" s="180">
        <v>10800</v>
      </c>
      <c r="H11" s="30">
        <f t="shared" si="2"/>
        <v>0</v>
      </c>
      <c r="J11" s="42">
        <f t="shared" si="3"/>
        <v>13300</v>
      </c>
      <c r="K11" s="42">
        <f t="shared" si="1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14250</v>
      </c>
      <c r="D12" s="30">
        <f t="shared" si="2"/>
        <v>0</v>
      </c>
      <c r="E12" s="180">
        <v>13900</v>
      </c>
      <c r="F12" s="30">
        <f t="shared" si="2"/>
        <v>0</v>
      </c>
      <c r="G12" s="180">
        <v>16300</v>
      </c>
      <c r="H12" s="30">
        <v>500</v>
      </c>
      <c r="J12" s="42">
        <f t="shared" si="3"/>
        <v>44450</v>
      </c>
      <c r="K12" s="42">
        <f t="shared" si="1"/>
        <v>500</v>
      </c>
    </row>
    <row r="13" spans="1:11" x14ac:dyDescent="0.35">
      <c r="A13" s="47">
        <v>10</v>
      </c>
      <c r="B13" s="178" t="str">
        <f>Vendedor10!$B$2</f>
        <v>MARIALIZ</v>
      </c>
      <c r="C13" s="180">
        <v>19050</v>
      </c>
      <c r="D13" s="30">
        <v>500</v>
      </c>
      <c r="E13" s="180">
        <v>14750</v>
      </c>
      <c r="F13" s="30">
        <f t="shared" si="2"/>
        <v>0</v>
      </c>
      <c r="G13" s="180">
        <v>37450</v>
      </c>
      <c r="H13" s="30">
        <v>800</v>
      </c>
      <c r="J13" s="42">
        <f t="shared" si="3"/>
        <v>71250</v>
      </c>
      <c r="K13" s="42">
        <f t="shared" si="1"/>
        <v>1300</v>
      </c>
    </row>
    <row r="14" spans="1:11" x14ac:dyDescent="0.35">
      <c r="A14" s="47">
        <v>11</v>
      </c>
      <c r="B14" s="178" t="str">
        <f>Vendedor11!$B$2</f>
        <v>CHARLY</v>
      </c>
      <c r="C14" s="180">
        <v>26250</v>
      </c>
      <c r="D14" s="30">
        <f t="shared" si="2"/>
        <v>0</v>
      </c>
      <c r="E14" s="180">
        <v>11600</v>
      </c>
      <c r="F14" s="30">
        <f t="shared" si="2"/>
        <v>0</v>
      </c>
      <c r="G14" s="180">
        <v>23100</v>
      </c>
      <c r="H14" s="30">
        <v>1000</v>
      </c>
      <c r="J14" s="42">
        <f t="shared" si="3"/>
        <v>60950</v>
      </c>
      <c r="K14" s="42">
        <f t="shared" si="1"/>
        <v>1000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2"/>
        <v/>
      </c>
      <c r="E15" s="180"/>
      <c r="F15" s="30" t="str">
        <f t="shared" si="2"/>
        <v/>
      </c>
      <c r="G15" s="180"/>
      <c r="H15" s="30" t="str">
        <f t="shared" si="2"/>
        <v/>
      </c>
      <c r="J15" s="42">
        <f t="shared" si="3"/>
        <v>0</v>
      </c>
      <c r="K15" s="42">
        <f t="shared" si="1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9900</v>
      </c>
      <c r="D16" s="30">
        <f t="shared" si="2"/>
        <v>0</v>
      </c>
      <c r="E16" s="180">
        <v>6000</v>
      </c>
      <c r="F16" s="30">
        <v>250</v>
      </c>
      <c r="G16" s="180">
        <v>22000</v>
      </c>
      <c r="H16" s="30">
        <v>750</v>
      </c>
      <c r="J16" s="42">
        <f t="shared" si="3"/>
        <v>37900</v>
      </c>
      <c r="K16" s="42">
        <f t="shared" si="1"/>
        <v>1000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85700+26600</f>
        <v>112300</v>
      </c>
      <c r="D17" s="30">
        <v>200</v>
      </c>
      <c r="E17" s="180">
        <f>14550+89950</f>
        <v>104500</v>
      </c>
      <c r="F17" s="30">
        <v>200</v>
      </c>
      <c r="G17" s="180">
        <f>147450+22150</f>
        <v>169600</v>
      </c>
      <c r="H17" s="30">
        <f>4500+5500</f>
        <v>10000</v>
      </c>
      <c r="J17" s="42">
        <f t="shared" si="3"/>
        <v>386400</v>
      </c>
      <c r="K17" s="42">
        <f t="shared" si="1"/>
        <v>10400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30200+12500</f>
        <v>42700</v>
      </c>
      <c r="D18" s="30">
        <f>300+200</f>
        <v>500</v>
      </c>
      <c r="E18" s="180">
        <f>11800+44250</f>
        <v>56050</v>
      </c>
      <c r="F18" s="30">
        <f t="shared" si="2"/>
        <v>0</v>
      </c>
      <c r="G18" s="180">
        <f>21950+31150</f>
        <v>53100</v>
      </c>
      <c r="H18" s="30">
        <f>4700+1000</f>
        <v>5700</v>
      </c>
      <c r="J18" s="42">
        <f t="shared" si="3"/>
        <v>151850</v>
      </c>
      <c r="K18" s="42">
        <f t="shared" si="1"/>
        <v>6200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2"/>
        <v/>
      </c>
      <c r="E19" s="180"/>
      <c r="F19" s="30" t="str">
        <f t="shared" si="2"/>
        <v/>
      </c>
      <c r="G19" s="180"/>
      <c r="H19" s="30" t="str">
        <f t="shared" ref="H19:H26" si="4">IF(G19="","",0)</f>
        <v/>
      </c>
      <c r="J19" s="42">
        <f t="shared" si="3"/>
        <v>0</v>
      </c>
      <c r="K19" s="42">
        <f t="shared" si="1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2"/>
        <v/>
      </c>
      <c r="E20" s="180"/>
      <c r="F20" s="30" t="str">
        <f t="shared" si="2"/>
        <v/>
      </c>
      <c r="G20" s="180"/>
      <c r="H20" s="30" t="str">
        <f t="shared" si="4"/>
        <v/>
      </c>
      <c r="J20" s="42">
        <f t="shared" si="3"/>
        <v>0</v>
      </c>
      <c r="K20" s="42">
        <f t="shared" si="1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2"/>
        <v/>
      </c>
      <c r="E21" s="180"/>
      <c r="F21" s="30" t="str">
        <f t="shared" si="2"/>
        <v/>
      </c>
      <c r="G21" s="180"/>
      <c r="H21" s="30" t="str">
        <f t="shared" si="4"/>
        <v/>
      </c>
      <c r="J21" s="42">
        <f t="shared" si="3"/>
        <v>0</v>
      </c>
      <c r="K21" s="42">
        <f t="shared" si="1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2"/>
        <v/>
      </c>
      <c r="E22" s="180"/>
      <c r="F22" s="30" t="str">
        <f t="shared" si="2"/>
        <v/>
      </c>
      <c r="G22" s="180"/>
      <c r="H22" s="30" t="str">
        <f t="shared" si="4"/>
        <v/>
      </c>
      <c r="J22" s="42">
        <f t="shared" si="3"/>
        <v>0</v>
      </c>
      <c r="K22" s="42">
        <f t="shared" si="1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2"/>
        <v/>
      </c>
      <c r="E23" s="180"/>
      <c r="F23" s="30" t="str">
        <f t="shared" si="2"/>
        <v/>
      </c>
      <c r="G23" s="180"/>
      <c r="H23" s="30" t="str">
        <f t="shared" si="4"/>
        <v/>
      </c>
      <c r="J23" s="42">
        <f t="shared" si="3"/>
        <v>0</v>
      </c>
      <c r="K23" s="42">
        <f t="shared" si="1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2"/>
        <v/>
      </c>
      <c r="E24" s="180"/>
      <c r="F24" s="30" t="str">
        <f t="shared" si="2"/>
        <v/>
      </c>
      <c r="G24" s="180"/>
      <c r="H24" s="30" t="str">
        <f t="shared" si="4"/>
        <v/>
      </c>
      <c r="J24" s="42">
        <f t="shared" si="3"/>
        <v>0</v>
      </c>
      <c r="K24" s="42">
        <f t="shared" si="1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2"/>
        <v/>
      </c>
      <c r="E25" s="180"/>
      <c r="F25" s="30" t="str">
        <f t="shared" si="2"/>
        <v/>
      </c>
      <c r="G25" s="180"/>
      <c r="H25" s="30" t="str">
        <f t="shared" si="4"/>
        <v/>
      </c>
      <c r="J25" s="42">
        <f t="shared" si="3"/>
        <v>0</v>
      </c>
      <c r="K25" s="42">
        <f t="shared" si="1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2"/>
        <v/>
      </c>
      <c r="E26" s="180"/>
      <c r="F26" s="30" t="str">
        <f t="shared" si="2"/>
        <v/>
      </c>
      <c r="G26" s="180"/>
      <c r="H26" s="30" t="str">
        <f t="shared" si="4"/>
        <v/>
      </c>
      <c r="J26" s="42">
        <f t="shared" si="3"/>
        <v>0</v>
      </c>
      <c r="K26" s="42">
        <f t="shared" si="1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2"/>
        <v/>
      </c>
      <c r="E27" s="181"/>
      <c r="F27" s="50" t="str">
        <f t="shared" si="2"/>
        <v/>
      </c>
      <c r="G27" s="181">
        <v>-7678</v>
      </c>
      <c r="H27" s="50">
        <v>-7678</v>
      </c>
      <c r="J27" s="42">
        <f t="shared" si="3"/>
        <v>-7678</v>
      </c>
      <c r="K27" s="42">
        <f t="shared" si="1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515820</v>
      </c>
      <c r="D32" s="44">
        <f t="shared" si="6"/>
        <v>2700</v>
      </c>
      <c r="E32" s="43">
        <f t="shared" si="6"/>
        <v>418350</v>
      </c>
      <c r="F32" s="44">
        <f t="shared" si="6"/>
        <v>1250</v>
      </c>
      <c r="G32" s="43">
        <f t="shared" si="6"/>
        <v>662972</v>
      </c>
      <c r="H32" s="44">
        <f t="shared" si="6"/>
        <v>23472</v>
      </c>
      <c r="J32" s="95">
        <f>SUM(J4:J31)</f>
        <v>1597142</v>
      </c>
      <c r="K32" s="95"/>
    </row>
    <row r="33" spans="2:10" x14ac:dyDescent="0.35">
      <c r="D33" s="99">
        <f>+D32*85</f>
        <v>229500</v>
      </c>
      <c r="F33" s="99">
        <f>+F32*85</f>
        <v>106250</v>
      </c>
      <c r="H33" s="99">
        <f>+H32*85</f>
        <v>1995120</v>
      </c>
    </row>
    <row r="34" spans="2:10" x14ac:dyDescent="0.35">
      <c r="B34" s="247" t="s">
        <v>149</v>
      </c>
      <c r="C34" s="43">
        <f t="shared" ref="C34:H34" si="7">+C4+C5+C6+C8+C13</f>
        <v>166400</v>
      </c>
      <c r="D34" s="43" t="e">
        <f t="shared" si="7"/>
        <v>#VALUE!</v>
      </c>
      <c r="E34" s="43">
        <f t="shared" si="7"/>
        <v>122550</v>
      </c>
      <c r="F34" s="43" t="e">
        <f t="shared" si="7"/>
        <v>#VALUE!</v>
      </c>
      <c r="G34" s="43">
        <f t="shared" si="7"/>
        <v>217950</v>
      </c>
      <c r="H34" s="43" t="e">
        <f t="shared" si="7"/>
        <v>#VALUE!</v>
      </c>
    </row>
    <row r="35" spans="2:10" x14ac:dyDescent="0.35">
      <c r="B35" s="247" t="s">
        <v>150</v>
      </c>
      <c r="C35" s="43">
        <f>+C11+C14+C15+C17+C18</f>
        <v>183750</v>
      </c>
      <c r="D35" s="43" t="e">
        <f t="shared" ref="D35:H35" si="8">+D11+D14+D15+D17+D18</f>
        <v>#VALUE!</v>
      </c>
      <c r="E35" s="43">
        <f t="shared" si="8"/>
        <v>172150</v>
      </c>
      <c r="F35" s="43" t="e">
        <f t="shared" si="8"/>
        <v>#VALUE!</v>
      </c>
      <c r="G35" s="43">
        <f t="shared" si="8"/>
        <v>256600</v>
      </c>
      <c r="H35" s="43" t="e">
        <f t="shared" si="8"/>
        <v>#VALUE!</v>
      </c>
    </row>
    <row r="36" spans="2:10" x14ac:dyDescent="0.35">
      <c r="B36" s="247" t="s">
        <v>151</v>
      </c>
      <c r="C36" s="43">
        <f>+C10+C12+C27</f>
        <v>155770</v>
      </c>
      <c r="D36" s="43" t="e">
        <f t="shared" ref="D36:H36" si="9">+D10+D12+D27</f>
        <v>#VALUE!</v>
      </c>
      <c r="E36" s="43">
        <f t="shared" si="9"/>
        <v>117650</v>
      </c>
      <c r="F36" s="43" t="e">
        <f t="shared" si="9"/>
        <v>#VALUE!</v>
      </c>
      <c r="G36" s="43">
        <f t="shared" si="9"/>
        <v>166422</v>
      </c>
      <c r="H36" s="43">
        <f t="shared" si="9"/>
        <v>-3128</v>
      </c>
    </row>
    <row r="39" spans="2:10" x14ac:dyDescent="0.35">
      <c r="G39" s="43">
        <f>+G32-H41</f>
        <v>662972</v>
      </c>
      <c r="H39">
        <v>23472</v>
      </c>
      <c r="J39">
        <v>20119</v>
      </c>
    </row>
    <row r="40" spans="2:10" x14ac:dyDescent="0.35">
      <c r="G40">
        <f>+G39*3.5%</f>
        <v>23204.02</v>
      </c>
      <c r="H40" s="259">
        <f>+H39/G32</f>
        <v>3.5404210132554619E-2</v>
      </c>
      <c r="J40" s="259">
        <f>+J39/G32</f>
        <v>3.034668130780787E-2</v>
      </c>
    </row>
    <row r="41" spans="2:10" x14ac:dyDescent="0.35">
      <c r="H41" s="43">
        <f>+H32-H39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4"/>
  <sheetViews>
    <sheetView showGridLines="0" zoomScale="90" zoomScaleNormal="90" workbookViewId="0">
      <selection activeCell="J35" sqref="J3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3" t="s">
        <v>23</v>
      </c>
      <c r="D1" s="274"/>
      <c r="E1" s="273" t="s">
        <v>24</v>
      </c>
      <c r="F1" s="274"/>
      <c r="G1" s="273" t="s">
        <v>25</v>
      </c>
      <c r="H1" s="274"/>
      <c r="I1" s="273" t="s">
        <v>26</v>
      </c>
      <c r="J1" s="274"/>
    </row>
    <row r="2" spans="1:13" ht="21" customHeight="1" x14ac:dyDescent="0.35">
      <c r="C2" s="269">
        <f>IF(PREMIOS!$B5="","",PREMIOS!$B5)</f>
        <v>83</v>
      </c>
      <c r="D2" s="270"/>
      <c r="E2" s="269" t="str">
        <f>IF(PREMIOS!$B9="","",PREMIOS!$B9)</f>
        <v>05</v>
      </c>
      <c r="F2" s="270"/>
      <c r="G2" s="269">
        <f>IF(PREMIOS!$B13="","",PREMIOS!$B13)</f>
        <v>11</v>
      </c>
      <c r="H2" s="270"/>
      <c r="I2" s="269">
        <f>IF(PREMIOS!$B17="","",PREMIOS!$B17)</f>
        <v>21</v>
      </c>
      <c r="J2" s="270"/>
    </row>
    <row r="3" spans="1:13" ht="21" customHeight="1" thickBot="1" x14ac:dyDescent="0.4">
      <c r="C3" s="269"/>
      <c r="D3" s="270"/>
      <c r="E3" s="269"/>
      <c r="F3" s="270"/>
      <c r="G3" s="269"/>
      <c r="H3" s="270"/>
      <c r="I3" s="269"/>
      <c r="J3" s="270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26550</v>
      </c>
      <c r="D4" s="78">
        <v>100</v>
      </c>
      <c r="E4" s="206">
        <v>29200</v>
      </c>
      <c r="F4" s="78">
        <v>250</v>
      </c>
      <c r="G4" s="189">
        <v>3450</v>
      </c>
      <c r="H4" s="78">
        <f t="shared" ref="H4:H27" si="0">IF(G4="","",0)</f>
        <v>0</v>
      </c>
      <c r="I4" s="189">
        <v>3050</v>
      </c>
      <c r="J4" s="78">
        <f t="shared" ref="D4:J27" si="1">IF(I4="","",0)</f>
        <v>0</v>
      </c>
      <c r="L4" s="42">
        <f t="shared" ref="L4:L8" si="2">+C4+E4+G4+I4</f>
        <v>62250</v>
      </c>
      <c r="M4" s="42">
        <f>IF(D4=0,0,IF(F4="",D4,IF(H4="",D4+F4,IF(J4="",D4+F4+H4,D4+F4+H4+J4))))</f>
        <v>350</v>
      </c>
    </row>
    <row r="5" spans="1:13" x14ac:dyDescent="0.35">
      <c r="A5" s="47">
        <v>2</v>
      </c>
      <c r="B5" s="178" t="str">
        <f>Vendedor2!$B$2</f>
        <v>PUESTO 2</v>
      </c>
      <c r="C5" s="180">
        <v>12300</v>
      </c>
      <c r="D5" s="30">
        <f t="shared" si="1"/>
        <v>0</v>
      </c>
      <c r="E5" s="207">
        <v>2500</v>
      </c>
      <c r="F5" s="30">
        <v>300</v>
      </c>
      <c r="G5" s="180">
        <v>6000</v>
      </c>
      <c r="H5" s="30">
        <f t="shared" si="0"/>
        <v>0</v>
      </c>
      <c r="I5" s="180">
        <v>4000</v>
      </c>
      <c r="J5" s="30">
        <f t="shared" ref="J5:J27" si="3">IF(I5="","",0)</f>
        <v>0</v>
      </c>
      <c r="L5" s="42">
        <f t="shared" si="2"/>
        <v>24800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1"/>
        <v/>
      </c>
      <c r="E6" s="207"/>
      <c r="F6" s="30" t="str">
        <f t="shared" si="1"/>
        <v/>
      </c>
      <c r="G6" s="180"/>
      <c r="H6" s="30" t="str">
        <f t="shared" si="0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1"/>
        <v/>
      </c>
      <c r="E7" s="207"/>
      <c r="F7" s="30" t="str">
        <f t="shared" si="1"/>
        <v/>
      </c>
      <c r="G7" s="180"/>
      <c r="H7" s="30" t="str">
        <f t="shared" si="0"/>
        <v/>
      </c>
      <c r="I7" s="180"/>
      <c r="J7" s="30" t="str">
        <f t="shared" si="1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41100</v>
      </c>
      <c r="D8" s="30">
        <v>900</v>
      </c>
      <c r="E8" s="207">
        <v>31850</v>
      </c>
      <c r="F8" s="30">
        <v>750</v>
      </c>
      <c r="G8" s="180">
        <v>5900</v>
      </c>
      <c r="H8" s="30">
        <f t="shared" si="0"/>
        <v>0</v>
      </c>
      <c r="I8" s="180">
        <v>32250</v>
      </c>
      <c r="J8" s="30">
        <v>750</v>
      </c>
      <c r="L8" s="42">
        <f t="shared" si="2"/>
        <v>111100</v>
      </c>
      <c r="M8" s="42">
        <f t="shared" si="4"/>
        <v>2400</v>
      </c>
    </row>
    <row r="9" spans="1:13" x14ac:dyDescent="0.35">
      <c r="A9" s="47">
        <v>6</v>
      </c>
      <c r="B9" s="178" t="str">
        <f>Vendedor6!$B$2</f>
        <v>vendedor 06</v>
      </c>
      <c r="C9" s="180"/>
      <c r="D9" s="30" t="str">
        <f t="shared" si="1"/>
        <v/>
      </c>
      <c r="E9" s="207"/>
      <c r="F9" s="30" t="str">
        <f t="shared" si="1"/>
        <v/>
      </c>
      <c r="G9" s="180"/>
      <c r="H9" s="30" t="str">
        <f t="shared" si="0"/>
        <v/>
      </c>
      <c r="I9" s="180"/>
      <c r="J9" s="30" t="str">
        <f t="shared" si="1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41150+47550</f>
        <v>88700</v>
      </c>
      <c r="D10" s="30">
        <v>1000</v>
      </c>
      <c r="E10" s="207">
        <f>23450+65600</f>
        <v>89050</v>
      </c>
      <c r="F10" s="30">
        <f>500+1550</f>
        <v>2050</v>
      </c>
      <c r="G10" s="180">
        <f>38500+82300</f>
        <v>120800</v>
      </c>
      <c r="H10" s="30">
        <f>1000+300</f>
        <v>1300</v>
      </c>
      <c r="I10" s="180">
        <f>58800+56950</f>
        <v>115750</v>
      </c>
      <c r="J10" s="30">
        <f>3000+650</f>
        <v>3650</v>
      </c>
      <c r="L10" s="42">
        <f t="shared" si="5"/>
        <v>414300</v>
      </c>
      <c r="M10" s="42">
        <f t="shared" si="4"/>
        <v>8000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1"/>
        <v/>
      </c>
      <c r="E11" s="207"/>
      <c r="F11" s="30" t="str">
        <f t="shared" si="1"/>
        <v/>
      </c>
      <c r="G11" s="180"/>
      <c r="H11" s="30" t="str">
        <f t="shared" si="1"/>
        <v/>
      </c>
      <c r="I11" s="180"/>
      <c r="J11" s="30" t="str">
        <f t="shared" si="1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16150</v>
      </c>
      <c r="D12" s="30">
        <f t="shared" si="1"/>
        <v>0</v>
      </c>
      <c r="E12" s="207">
        <v>11950</v>
      </c>
      <c r="F12" s="30">
        <f t="shared" si="1"/>
        <v>0</v>
      </c>
      <c r="G12" s="180"/>
      <c r="H12" s="30" t="str">
        <f t="shared" si="1"/>
        <v/>
      </c>
      <c r="I12" s="180"/>
      <c r="J12" s="30" t="str">
        <f t="shared" si="1"/>
        <v/>
      </c>
      <c r="L12" s="42">
        <f t="shared" si="5"/>
        <v>28100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12000</v>
      </c>
      <c r="D13" s="30">
        <f t="shared" si="1"/>
        <v>0</v>
      </c>
      <c r="E13" s="207">
        <v>9300</v>
      </c>
      <c r="F13" s="30">
        <v>300</v>
      </c>
      <c r="G13" s="180">
        <v>3600</v>
      </c>
      <c r="H13" s="30">
        <v>1500</v>
      </c>
      <c r="I13" s="180">
        <v>1500</v>
      </c>
      <c r="J13" s="30">
        <f t="shared" si="1"/>
        <v>0</v>
      </c>
      <c r="L13" s="42">
        <f t="shared" si="5"/>
        <v>26400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1"/>
        <v/>
      </c>
      <c r="E14" s="208"/>
      <c r="F14" s="185" t="str">
        <f t="shared" si="1"/>
        <v/>
      </c>
      <c r="G14" s="184"/>
      <c r="H14" s="185" t="str">
        <f t="shared" si="1"/>
        <v/>
      </c>
      <c r="I14" s="184"/>
      <c r="J14" s="185" t="str">
        <f t="shared" si="1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1"/>
        <v/>
      </c>
      <c r="E15" s="207"/>
      <c r="F15" s="30" t="str">
        <f t="shared" si="1"/>
        <v/>
      </c>
      <c r="G15" s="180"/>
      <c r="H15" s="30" t="str">
        <f t="shared" si="1"/>
        <v/>
      </c>
      <c r="I15" s="180"/>
      <c r="J15" s="30" t="str">
        <f t="shared" si="1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2350</v>
      </c>
      <c r="D16" s="30">
        <f t="shared" si="1"/>
        <v>0</v>
      </c>
      <c r="E16" s="207"/>
      <c r="F16" s="30" t="str">
        <f t="shared" si="1"/>
        <v/>
      </c>
      <c r="G16" s="180"/>
      <c r="H16" s="30" t="str">
        <f t="shared" si="1"/>
        <v/>
      </c>
      <c r="I16" s="180">
        <v>7300</v>
      </c>
      <c r="J16" s="30">
        <v>200</v>
      </c>
      <c r="L16" s="42">
        <f t="shared" si="5"/>
        <v>9650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82850</v>
      </c>
      <c r="D17" s="30">
        <v>300</v>
      </c>
      <c r="E17" s="207">
        <v>73400</v>
      </c>
      <c r="F17" s="30">
        <v>1100</v>
      </c>
      <c r="G17" s="180">
        <v>53850</v>
      </c>
      <c r="H17" s="30">
        <v>250</v>
      </c>
      <c r="I17" s="180">
        <v>148600</v>
      </c>
      <c r="J17" s="30">
        <v>5200</v>
      </c>
      <c r="L17" s="42">
        <f t="shared" si="5"/>
        <v>358700</v>
      </c>
      <c r="M17" s="42">
        <f t="shared" si="4"/>
        <v>6850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31000</v>
      </c>
      <c r="D18" s="30">
        <v>200</v>
      </c>
      <c r="E18" s="207">
        <v>38850</v>
      </c>
      <c r="F18" s="30">
        <v>1500</v>
      </c>
      <c r="G18" s="180">
        <v>27500</v>
      </c>
      <c r="H18" s="30">
        <v>200</v>
      </c>
      <c r="I18" s="180">
        <v>10850</v>
      </c>
      <c r="J18" s="30">
        <v>1000</v>
      </c>
      <c r="L18" s="42">
        <f t="shared" si="5"/>
        <v>108200</v>
      </c>
      <c r="M18" s="42">
        <f t="shared" si="4"/>
        <v>2900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1"/>
        <v/>
      </c>
      <c r="E19" s="207"/>
      <c r="F19" s="30" t="str">
        <f t="shared" si="1"/>
        <v/>
      </c>
      <c r="G19" s="180"/>
      <c r="H19" s="30" t="str">
        <f t="shared" si="0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1"/>
        <v/>
      </c>
      <c r="E20" s="207"/>
      <c r="F20" s="30" t="str">
        <f t="shared" si="1"/>
        <v/>
      </c>
      <c r="G20" s="180"/>
      <c r="H20" s="30" t="str">
        <f t="shared" si="0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1"/>
        <v/>
      </c>
      <c r="E21" s="207"/>
      <c r="F21" s="30" t="str">
        <f t="shared" si="1"/>
        <v/>
      </c>
      <c r="G21" s="180"/>
      <c r="H21" s="30" t="str">
        <f t="shared" si="0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1"/>
        <v/>
      </c>
      <c r="E22" s="207"/>
      <c r="F22" s="30" t="str">
        <f t="shared" si="1"/>
        <v/>
      </c>
      <c r="G22" s="180"/>
      <c r="H22" s="30" t="str">
        <f t="shared" si="0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1"/>
        <v/>
      </c>
      <c r="E23" s="207"/>
      <c r="F23" s="30" t="str">
        <f t="shared" si="1"/>
        <v/>
      </c>
      <c r="G23" s="180"/>
      <c r="H23" s="30" t="str">
        <f t="shared" si="0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1"/>
        <v/>
      </c>
      <c r="E24" s="207"/>
      <c r="F24" s="30" t="str">
        <f t="shared" si="1"/>
        <v/>
      </c>
      <c r="G24" s="180"/>
      <c r="H24" s="30" t="str">
        <f t="shared" si="0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1"/>
        <v/>
      </c>
      <c r="E25" s="207"/>
      <c r="F25" s="30" t="str">
        <f t="shared" si="1"/>
        <v/>
      </c>
      <c r="G25" s="180"/>
      <c r="H25" s="30" t="str">
        <f t="shared" si="0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1"/>
        <v/>
      </c>
      <c r="E26" s="207"/>
      <c r="F26" s="30" t="str">
        <f t="shared" si="1"/>
        <v/>
      </c>
      <c r="G26" s="180"/>
      <c r="H26" s="30" t="str">
        <f t="shared" si="0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1"/>
        <v/>
      </c>
      <c r="E27" s="209"/>
      <c r="F27" s="50"/>
      <c r="G27" s="181"/>
      <c r="H27" s="50" t="str">
        <f t="shared" si="0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313000</v>
      </c>
      <c r="D32" s="44">
        <f t="shared" si="7"/>
        <v>2500</v>
      </c>
      <c r="E32" s="43">
        <f t="shared" si="7"/>
        <v>286100</v>
      </c>
      <c r="F32" s="44">
        <f t="shared" si="7"/>
        <v>6250</v>
      </c>
      <c r="G32" s="43">
        <f t="shared" si="7"/>
        <v>221100</v>
      </c>
      <c r="H32" s="44">
        <f t="shared" si="7"/>
        <v>3250</v>
      </c>
      <c r="I32" s="43">
        <f t="shared" si="7"/>
        <v>323300</v>
      </c>
      <c r="J32" s="44">
        <f t="shared" si="7"/>
        <v>10800</v>
      </c>
      <c r="L32" s="95">
        <f>SUM(L9:L31)</f>
        <v>945350</v>
      </c>
      <c r="M32" s="95">
        <f>SUM(M9:M31)</f>
        <v>17750</v>
      </c>
    </row>
    <row r="34" spans="10:10" x14ac:dyDescent="0.35">
      <c r="J34" s="259">
        <f>+J32/I32</f>
        <v>3.3405505722239409E-2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8"/>
  <sheetViews>
    <sheetView showGridLines="0" zoomScale="90" zoomScaleNormal="90" workbookViewId="0">
      <selection activeCell="H34" sqref="H3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3" t="s">
        <v>71</v>
      </c>
      <c r="D1" s="274"/>
      <c r="E1" s="273" t="s">
        <v>72</v>
      </c>
      <c r="F1" s="274"/>
      <c r="G1" s="273" t="s">
        <v>73</v>
      </c>
      <c r="H1" s="274"/>
    </row>
    <row r="2" spans="1:11" ht="21" customHeight="1" x14ac:dyDescent="0.35">
      <c r="C2" s="269" t="str">
        <f>IF(C33=0,"",CONCATENATE(PREMIOS!$B7," ",PREMIOS!$B8))</f>
        <v>58 Roja</v>
      </c>
      <c r="D2" s="270"/>
      <c r="E2" s="269" t="str">
        <f>IF(E33=0,"",CONCATENATE(PREMIOS!$B11," ",PREMIOS!$B12))</f>
        <v>43 Blanca</v>
      </c>
      <c r="F2" s="270"/>
      <c r="G2" s="269" t="str">
        <f>IF(G33=0,"",CONCATENATE(PREMIOS!$B15," ",PREMIOS!$B16))</f>
        <v>05 Roja</v>
      </c>
      <c r="H2" s="270"/>
    </row>
    <row r="3" spans="1:11" ht="21" customHeight="1" thickBot="1" x14ac:dyDescent="0.4">
      <c r="C3" s="269"/>
      <c r="D3" s="270"/>
      <c r="E3" s="269"/>
      <c r="F3" s="270"/>
      <c r="G3" s="269"/>
      <c r="H3" s="270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6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23400+8850</f>
        <v>32250</v>
      </c>
      <c r="D10" s="30">
        <f t="shared" si="0"/>
        <v>0</v>
      </c>
      <c r="E10" s="180">
        <f>12000+7800</f>
        <v>19800</v>
      </c>
      <c r="F10" s="30">
        <f t="shared" si="0"/>
        <v>0</v>
      </c>
      <c r="G10" s="180">
        <f>20400+6700</f>
        <v>27100</v>
      </c>
      <c r="H10" s="30">
        <f>700+150</f>
        <v>850</v>
      </c>
      <c r="J10" s="42">
        <f t="shared" si="3"/>
        <v>79150</v>
      </c>
      <c r="K10" s="42">
        <f t="shared" si="4"/>
        <v>850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4750</v>
      </c>
      <c r="D12" s="30">
        <f t="shared" si="0"/>
        <v>0</v>
      </c>
      <c r="E12" s="180"/>
      <c r="F12" s="30" t="str">
        <f t="shared" si="1"/>
        <v/>
      </c>
      <c r="G12" s="180">
        <v>1500</v>
      </c>
      <c r="H12" s="30">
        <f t="shared" si="0"/>
        <v>0</v>
      </c>
      <c r="J12" s="42">
        <f t="shared" si="3"/>
        <v>6250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0</v>
      </c>
      <c r="D16" s="195">
        <f t="shared" si="0"/>
        <v>0</v>
      </c>
      <c r="E16" s="194">
        <v>0</v>
      </c>
      <c r="F16" s="195">
        <f t="shared" si="1"/>
        <v>0</v>
      </c>
      <c r="G16" s="194">
        <v>2500</v>
      </c>
      <c r="H16" s="195">
        <f t="shared" si="0"/>
        <v>0</v>
      </c>
      <c r="J16" s="42">
        <f t="shared" si="3"/>
        <v>2500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16000</v>
      </c>
      <c r="D17" s="30">
        <v>100</v>
      </c>
      <c r="E17" s="180">
        <v>13250</v>
      </c>
      <c r="F17" s="30">
        <f t="shared" si="0"/>
        <v>0</v>
      </c>
      <c r="G17" s="180">
        <v>17250</v>
      </c>
      <c r="H17" s="30">
        <v>1500</v>
      </c>
      <c r="J17" s="42">
        <f t="shared" si="3"/>
        <v>46500</v>
      </c>
      <c r="K17" s="42">
        <f t="shared" si="4"/>
        <v>1600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10200</v>
      </c>
      <c r="D18" s="30">
        <v>200</v>
      </c>
      <c r="E18" s="180">
        <v>7400</v>
      </c>
      <c r="F18" s="30">
        <f t="shared" si="0"/>
        <v>0</v>
      </c>
      <c r="G18" s="180">
        <v>16850</v>
      </c>
      <c r="H18" s="30">
        <v>700</v>
      </c>
      <c r="J18" s="42">
        <f t="shared" si="3"/>
        <v>34450</v>
      </c>
      <c r="K18" s="42">
        <f t="shared" si="4"/>
        <v>900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>
        <v>-768</v>
      </c>
      <c r="H27" s="50">
        <v>-768</v>
      </c>
      <c r="J27" s="42">
        <f t="shared" si="3"/>
        <v>-768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63200</v>
      </c>
      <c r="D33" s="44">
        <f t="shared" si="7"/>
        <v>300</v>
      </c>
      <c r="E33" s="43">
        <f t="shared" si="7"/>
        <v>40450</v>
      </c>
      <c r="F33" s="44">
        <f t="shared" si="7"/>
        <v>0</v>
      </c>
      <c r="G33" s="43">
        <f t="shared" si="7"/>
        <v>64432</v>
      </c>
      <c r="H33" s="44">
        <f t="shared" si="7"/>
        <v>2282</v>
      </c>
      <c r="J33" s="45">
        <f>SUM(J4:J32)</f>
        <v>168082</v>
      </c>
      <c r="K33" s="95">
        <f>SUM(K4:K32)</f>
        <v>3350</v>
      </c>
    </row>
    <row r="35" spans="3:11" x14ac:dyDescent="0.35">
      <c r="H35">
        <f>+G33*3.5%</f>
        <v>2255.1200000000003</v>
      </c>
    </row>
    <row r="36" spans="3:11" x14ac:dyDescent="0.35">
      <c r="H36" s="43">
        <f>+H33-H35</f>
        <v>26.879999999999654</v>
      </c>
    </row>
    <row r="37" spans="3:11" x14ac:dyDescent="0.35">
      <c r="G37" s="43">
        <f>+G33-G27</f>
        <v>65200</v>
      </c>
      <c r="H37" s="43">
        <f>+H33-H27</f>
        <v>3050</v>
      </c>
    </row>
    <row r="38" spans="3:11" x14ac:dyDescent="0.35">
      <c r="H38" s="259">
        <f>+H37/G37</f>
        <v>4.6779141104294479E-2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3" t="s">
        <v>97</v>
      </c>
      <c r="D1" s="274"/>
      <c r="E1" s="273" t="s">
        <v>98</v>
      </c>
      <c r="F1" s="274"/>
    </row>
    <row r="2" spans="1:9" ht="21" customHeight="1" x14ac:dyDescent="0.35">
      <c r="C2" s="269">
        <f>IF(PREMIOS!$B19="","",PREMIOS!$B19)</f>
        <v>76</v>
      </c>
      <c r="D2" s="270"/>
      <c r="E2" s="269">
        <f>IF(PREMIOS!$C19="","",PREMIOS!$C19)</f>
        <v>64</v>
      </c>
      <c r="F2" s="270"/>
    </row>
    <row r="3" spans="1:9" ht="21" customHeight="1" thickBot="1" x14ac:dyDescent="0.4">
      <c r="C3" s="269"/>
      <c r="D3" s="270"/>
      <c r="E3" s="269"/>
      <c r="F3" s="270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9650</v>
      </c>
      <c r="D4" s="78">
        <v>100</v>
      </c>
      <c r="E4" s="189">
        <v>1700</v>
      </c>
      <c r="F4" s="78">
        <f t="shared" ref="D4:F27" si="0">IF(E4="","",0)</f>
        <v>0</v>
      </c>
      <c r="H4" s="42">
        <f>+C4+E4</f>
        <v>11350</v>
      </c>
      <c r="I4" s="42">
        <f>IF(D4="",0,IF(F4="",D4,D4+F4))</f>
        <v>100</v>
      </c>
    </row>
    <row r="5" spans="1:9" x14ac:dyDescent="0.35">
      <c r="A5" s="47">
        <v>2</v>
      </c>
      <c r="B5" s="178" t="str">
        <f>Vendedor2!$B$2</f>
        <v>PUESTO 2</v>
      </c>
      <c r="C5" s="180">
        <v>4200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4200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13900</v>
      </c>
      <c r="D8" s="30">
        <f t="shared" si="0"/>
        <v>0</v>
      </c>
      <c r="E8" s="194">
        <v>7450</v>
      </c>
      <c r="F8" s="195">
        <f t="shared" si="1"/>
        <v>0</v>
      </c>
      <c r="H8" s="42">
        <f t="shared" si="2"/>
        <v>21350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7750+33900</f>
        <v>41650</v>
      </c>
      <c r="D10" s="30">
        <v>150</v>
      </c>
      <c r="E10" s="180">
        <v>15000</v>
      </c>
      <c r="F10" s="195">
        <f t="shared" si="1"/>
        <v>0</v>
      </c>
      <c r="H10" s="42">
        <f t="shared" si="2"/>
        <v>56650</v>
      </c>
      <c r="I10" s="42">
        <f t="shared" si="3"/>
        <v>150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26550</v>
      </c>
      <c r="D12" s="30">
        <v>250</v>
      </c>
      <c r="E12" s="194"/>
      <c r="F12" s="30" t="str">
        <f t="shared" si="0"/>
        <v/>
      </c>
      <c r="H12" s="42">
        <f t="shared" si="2"/>
        <v>26550</v>
      </c>
      <c r="I12" s="42">
        <f t="shared" si="3"/>
        <v>250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6700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6700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83450</v>
      </c>
      <c r="D17" s="195">
        <v>750</v>
      </c>
      <c r="E17" s="180">
        <v>31700</v>
      </c>
      <c r="F17" s="30">
        <v>200</v>
      </c>
      <c r="H17" s="42">
        <f t="shared" si="2"/>
        <v>115150</v>
      </c>
      <c r="I17" s="42">
        <f t="shared" si="3"/>
        <v>950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46000</v>
      </c>
      <c r="D18" s="195">
        <v>100</v>
      </c>
      <c r="E18" s="180">
        <v>40300</v>
      </c>
      <c r="F18" s="30">
        <f t="shared" si="0"/>
        <v>0</v>
      </c>
      <c r="H18" s="42">
        <f t="shared" si="2"/>
        <v>86300</v>
      </c>
      <c r="I18" s="42">
        <f t="shared" si="3"/>
        <v>100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232100</v>
      </c>
      <c r="D33" s="44">
        <f>SUM(D4:D32)</f>
        <v>1350</v>
      </c>
      <c r="E33" s="43">
        <f>SUM(E4:E32)</f>
        <v>96150</v>
      </c>
      <c r="F33" s="44">
        <f>SUM(F4:F32)</f>
        <v>200</v>
      </c>
      <c r="H33" s="95">
        <f>SUM(H4:H32)</f>
        <v>328250</v>
      </c>
      <c r="I33" s="95">
        <f>SUM(I4:I32)</f>
        <v>1550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3" t="s">
        <v>99</v>
      </c>
      <c r="D1" s="274"/>
      <c r="E1" s="273" t="s">
        <v>100</v>
      </c>
      <c r="F1" s="274"/>
      <c r="G1" s="273" t="s">
        <v>101</v>
      </c>
      <c r="H1" s="274"/>
    </row>
    <row r="2" spans="1:11" ht="21" customHeight="1" x14ac:dyDescent="0.35">
      <c r="C2" s="269">
        <f>IF(PREMIOS!$B20="","",PREMIOS!$B20)</f>
        <v>63</v>
      </c>
      <c r="D2" s="270"/>
      <c r="E2" s="269">
        <f>IF(PREMIOS!$C20="","",PREMIOS!$C20)</f>
        <v>88</v>
      </c>
      <c r="F2" s="270"/>
      <c r="G2" s="269" t="str">
        <f>IF(PREMIOS!$D20="","",PREMIOS!$D20)</f>
        <v>04</v>
      </c>
      <c r="H2" s="270"/>
    </row>
    <row r="3" spans="1:11" ht="21" customHeight="1" thickBot="1" x14ac:dyDescent="0.4">
      <c r="C3" s="269"/>
      <c r="D3" s="270"/>
      <c r="E3" s="269"/>
      <c r="F3" s="270"/>
      <c r="G3" s="269"/>
      <c r="H3" s="270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3000+10000</f>
        <v>13000</v>
      </c>
      <c r="D10" s="195">
        <f t="shared" si="0"/>
        <v>0</v>
      </c>
      <c r="E10" s="180">
        <v>21250</v>
      </c>
      <c r="F10" s="30">
        <v>150</v>
      </c>
      <c r="G10" s="180">
        <v>6250</v>
      </c>
      <c r="H10" s="195">
        <f t="shared" si="0"/>
        <v>0</v>
      </c>
      <c r="J10" s="42">
        <f t="shared" si="3"/>
        <v>40500</v>
      </c>
      <c r="K10" s="42">
        <f t="shared" si="4"/>
        <v>150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31750</v>
      </c>
      <c r="D17" s="195">
        <f t="shared" si="0"/>
        <v>0</v>
      </c>
      <c r="E17" s="194">
        <v>3950</v>
      </c>
      <c r="F17" s="195">
        <f t="shared" si="0"/>
        <v>0</v>
      </c>
      <c r="G17" s="194">
        <v>15150</v>
      </c>
      <c r="H17" s="195">
        <v>300</v>
      </c>
      <c r="J17" s="42">
        <f t="shared" si="3"/>
        <v>50850</v>
      </c>
      <c r="K17" s="42">
        <f t="shared" si="4"/>
        <v>300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26050</v>
      </c>
      <c r="D18" s="195">
        <f t="shared" si="0"/>
        <v>0</v>
      </c>
      <c r="E18" s="180">
        <v>1700</v>
      </c>
      <c r="F18" s="30">
        <f t="shared" si="1"/>
        <v>0</v>
      </c>
      <c r="G18" s="180"/>
      <c r="H18" s="30" t="str">
        <f t="shared" si="2"/>
        <v/>
      </c>
      <c r="J18" s="42">
        <f t="shared" si="3"/>
        <v>27750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70800</v>
      </c>
      <c r="D33" s="44">
        <f t="shared" si="6"/>
        <v>0</v>
      </c>
      <c r="E33" s="43">
        <f t="shared" si="6"/>
        <v>26900</v>
      </c>
      <c r="F33" s="44">
        <f t="shared" si="6"/>
        <v>150</v>
      </c>
      <c r="G33" s="43">
        <f t="shared" si="6"/>
        <v>21400</v>
      </c>
      <c r="H33" s="44">
        <f t="shared" si="6"/>
        <v>300</v>
      </c>
      <c r="J33" s="45">
        <f>SUM(J4:J32)</f>
        <v>119100</v>
      </c>
      <c r="K33" s="95">
        <f>SUM(K4:K32)</f>
        <v>450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3" t="s">
        <v>110</v>
      </c>
      <c r="D1" s="274"/>
      <c r="E1" s="273" t="s">
        <v>111</v>
      </c>
      <c r="F1" s="274"/>
    </row>
    <row r="2" spans="1:9" ht="21" customHeight="1" x14ac:dyDescent="0.35">
      <c r="C2" s="269">
        <f>IF(PREMIOS!$B21="","",PREMIOS!$B21)</f>
        <v>33</v>
      </c>
      <c r="D2" s="270"/>
      <c r="E2" s="269">
        <f>IF(PREMIOS!$C21="","",PREMIOS!$C21)</f>
        <v>22</v>
      </c>
      <c r="F2" s="270"/>
    </row>
    <row r="3" spans="1:9" ht="21" customHeight="1" thickBot="1" x14ac:dyDescent="0.4">
      <c r="C3" s="269"/>
      <c r="D3" s="270"/>
      <c r="E3" s="269"/>
      <c r="F3" s="270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20000</v>
      </c>
      <c r="D10" s="30">
        <f t="shared" si="0"/>
        <v>0</v>
      </c>
      <c r="E10" s="180">
        <v>2000</v>
      </c>
      <c r="F10" s="30">
        <f t="shared" si="0"/>
        <v>0</v>
      </c>
      <c r="H10" s="42">
        <f t="shared" si="2"/>
        <v>22000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20000</v>
      </c>
      <c r="D33" s="44">
        <f>SUM(D4:D32)</f>
        <v>0</v>
      </c>
      <c r="E33" s="43">
        <f>SUM(E4:E32)</f>
        <v>2000</v>
      </c>
      <c r="F33" s="44">
        <f>SUM(F4:F32)</f>
        <v>0</v>
      </c>
      <c r="H33" s="45">
        <f>SUM(H4:H32)</f>
        <v>22000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3" t="s">
        <v>109</v>
      </c>
      <c r="D1" s="274"/>
    </row>
    <row r="2" spans="1:4" ht="21" customHeight="1" x14ac:dyDescent="0.35">
      <c r="C2" s="269" t="str">
        <f>IF(PREMIOS!$B22="","",PREMIOS!$B22)</f>
        <v/>
      </c>
      <c r="D2" s="270"/>
    </row>
    <row r="3" spans="1:4" ht="21" customHeight="1" thickBot="1" x14ac:dyDescent="0.4">
      <c r="C3" s="269"/>
      <c r="D3" s="270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2026-04-27T18:27:16Z</dcterms:modified>
  <dc:language>es-CR</dc:language>
</cp:coreProperties>
</file>
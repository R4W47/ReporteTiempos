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24" documentId="11_34024348DABAFE5E7F15CFFC8246A79529825F0F" xr6:coauthVersionLast="47" xr6:coauthVersionMax="47" xr10:uidLastSave="{93AFF71F-DB33-467A-A223-D9E35087D7A6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 l="1"/>
  <c r="F10" i="66"/>
  <c r="G10" i="62"/>
  <c r="J10" i="61"/>
  <c r="I10" i="61"/>
  <c r="H10" i="60"/>
  <c r="G10" i="60"/>
  <c r="H17" i="60"/>
  <c r="G17" i="60"/>
  <c r="H18" i="60"/>
  <c r="G18" i="60"/>
  <c r="E10" i="65"/>
  <c r="E10" i="62"/>
  <c r="C10" i="62"/>
  <c r="G10" i="61"/>
  <c r="F10" i="61"/>
  <c r="E10" i="61"/>
  <c r="E10" i="60"/>
  <c r="D17" i="60"/>
  <c r="C17" i="60"/>
  <c r="C10" i="60"/>
  <c r="F17" i="60"/>
  <c r="E17" i="60"/>
  <c r="E18" i="60"/>
  <c r="C18" i="60"/>
  <c r="C10" i="61" l="1"/>
  <c r="D18" i="64" l="1"/>
  <c r="D11" i="65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3" i="60"/>
  <c r="D12" i="60"/>
  <c r="D11" i="60"/>
  <c r="E7" i="16" s="1"/>
  <c r="D9" i="60"/>
  <c r="D8" i="60"/>
  <c r="D7" i="60"/>
  <c r="D5" i="60"/>
  <c r="D4" i="60"/>
  <c r="F18" i="23"/>
  <c r="F14" i="23"/>
  <c r="F10" i="23"/>
  <c r="F6" i="23"/>
  <c r="F6" i="14"/>
  <c r="F10" i="14"/>
  <c r="F14" i="14"/>
  <c r="F18" i="14"/>
  <c r="D10" i="66"/>
  <c r="D10" i="64"/>
  <c r="F17" i="64"/>
  <c r="F8" i="65"/>
  <c r="F18" i="62"/>
  <c r="F10" i="62"/>
  <c r="D5" i="61"/>
  <c r="F16" i="61"/>
  <c r="D6" i="60"/>
  <c r="F18" i="60"/>
  <c r="F16" i="60"/>
  <c r="F15" i="60"/>
  <c r="F14" i="60"/>
  <c r="F13" i="60"/>
  <c r="F11" i="60"/>
  <c r="F35" i="60" s="1"/>
  <c r="F10" i="60"/>
  <c r="F9" i="60"/>
  <c r="F8" i="60"/>
  <c r="F7" i="60"/>
  <c r="F6" i="60"/>
  <c r="F5" i="60"/>
  <c r="F4" i="60"/>
  <c r="H15" i="60"/>
  <c r="H14" i="60"/>
  <c r="H13" i="60"/>
  <c r="H12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4" i="61"/>
  <c r="E5" i="16"/>
  <c r="H34" i="60" l="1"/>
  <c r="F34" i="60"/>
  <c r="D34" i="60"/>
  <c r="D36" i="60"/>
  <c r="D35" i="60"/>
  <c r="J8" i="14"/>
  <c r="D21" i="14"/>
  <c r="C12" i="71"/>
  <c r="D22" i="14"/>
  <c r="G12" i="71"/>
  <c r="E19" i="16"/>
  <c r="D20" i="16"/>
  <c r="F18" i="64"/>
  <c r="F17" i="62"/>
  <c r="E11" i="16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C24" i="19"/>
  <c r="C25" i="8"/>
  <c r="E18" i="72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7" i="23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F30" i="73"/>
  <c r="F28" i="73"/>
  <c r="H25" i="73"/>
  <c r="I25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F29" i="72"/>
  <c r="J29" i="72" s="1"/>
  <c r="K29" i="72" s="1"/>
  <c r="E29" i="72"/>
  <c r="D29" i="72"/>
  <c r="C29" i="72"/>
  <c r="H29" i="72" s="1"/>
  <c r="I29" i="72" s="1"/>
  <c r="B29" i="72"/>
  <c r="J28" i="72"/>
  <c r="K28" i="72" s="1"/>
  <c r="F28" i="72"/>
  <c r="E28" i="72"/>
  <c r="D28" i="72"/>
  <c r="C28" i="72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L24" i="71"/>
  <c r="M24" i="71" s="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E20" i="29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E20" i="7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L22" i="71"/>
  <c r="M22" i="71" s="1"/>
  <c r="K20" i="19"/>
  <c r="K9" i="19"/>
  <c r="L21" i="71"/>
  <c r="M21" i="71" s="1"/>
  <c r="J31" i="71"/>
  <c r="K31" i="71" s="1"/>
  <c r="D18" i="72"/>
  <c r="J32" i="64"/>
  <c r="J31" i="64"/>
  <c r="E33" i="66"/>
  <c r="H22" i="70"/>
  <c r="J25" i="70"/>
  <c r="K25" i="70" s="1"/>
  <c r="L9" i="19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F18" i="72"/>
  <c r="N25" i="72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I28" i="72" s="1"/>
  <c r="N28" i="72" s="1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G20" i="29" s="1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P26" i="59" l="1"/>
  <c r="L27" i="71"/>
  <c r="M27" i="71" s="1"/>
  <c r="K21" i="19"/>
  <c r="K10" i="19"/>
  <c r="K21" i="8"/>
  <c r="K10" i="8"/>
  <c r="N27" i="71"/>
  <c r="P27" i="71" s="1"/>
  <c r="K20" i="21"/>
  <c r="K10" i="2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M22" i="52" l="1"/>
  <c r="C24" i="15"/>
  <c r="L6" i="23"/>
  <c r="M24" i="52"/>
  <c r="L4" i="23"/>
  <c r="M26" i="52"/>
  <c r="J5" i="23"/>
  <c r="M23" i="52"/>
  <c r="F17" i="52"/>
  <c r="J5" i="19"/>
  <c r="N18" i="71"/>
  <c r="P18" i="71" s="1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C32" i="61"/>
  <c r="I32" i="61"/>
  <c r="L6" i="22"/>
  <c r="M19" i="52"/>
  <c r="F24" i="15"/>
  <c r="F32" i="60"/>
  <c r="F33" i="60" s="1"/>
  <c r="D32" i="61"/>
  <c r="K4" i="23"/>
  <c r="J19" i="70"/>
  <c r="K19" i="70" s="1"/>
  <c r="G32" i="60"/>
  <c r="L19" i="59"/>
  <c r="H32" i="60"/>
  <c r="H33" i="60" s="1"/>
  <c r="K5" i="23"/>
  <c r="G32" i="61"/>
  <c r="F32" i="61"/>
  <c r="H32" i="6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3" i="58"/>
  <c r="P22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F12" i="8"/>
  <c r="F12" i="19"/>
  <c r="G12" i="19" s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8" i="17"/>
  <c r="F12" i="21"/>
  <c r="G12" i="21" s="1"/>
  <c r="G8" i="23"/>
  <c r="G8" i="15"/>
  <c r="F8" i="21"/>
  <c r="L6" i="19" l="1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2" i="52"/>
  <c r="D21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<sst xmlns="http://schemas.openxmlformats.org/spreadsheetml/2006/main" count="1293" uniqueCount="160">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</sst>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6.7265625" style="1" bestFit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304900</v>
      </c>
      <c r="C3" s="9">
        <f>+HojaTICA!K4+HojaNICA!M4+HojaREVENTADO!K4+HojaPrimera!I4+HojaHonduras!K4+HojaDominicana!I4+HojaPANA!G4</f>
        <v>39600</v>
      </c>
      <c r="D3" s="9">
        <f>+HojaTICA!N4+HojaNICA!P4+HojaREVENTADO!O4+HojaPrimera!L4+HojaHonduras!N4+HojaDominicana!L4+HojaPANA!J4</f>
        <v>141000</v>
      </c>
      <c r="F3" s="10">
        <f t="shared" ref="F3:F27" si="0">+B3-C3-D3</f>
        <v>124300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195200</v>
      </c>
      <c r="C4" s="9">
        <f>+HojaTICA!K5+HojaNICA!M5+HojaREVENTADO!K5+HojaPrimera!I5+HojaHonduras!K5+HojaDominicana!I5+HojaPANA!G5</f>
        <v>25350</v>
      </c>
      <c r="D4" s="9">
        <f>+HojaTICA!N5+HojaNICA!P5+HojaREVENTADO!O5+HojaPrimera!L5+HojaHonduras!N5+HojaDominicana!L5+HojaPANA!J5</f>
        <v>93000</v>
      </c>
      <c r="F4" s="14">
        <f t="shared" si="0"/>
        <v>76850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1494800</v>
      </c>
      <c r="C9" s="9">
        <f>+HojaTICA!K10+HojaNICA!M10+HojaREVENTADO!K10+HojaPrimera!I10+HojaHonduras!K10+HojaDominicana!I10+HojaPANA!G10</f>
        <v>177430</v>
      </c>
      <c r="D9" s="9">
        <f>+HojaTICA!N10+HojaNICA!P10+HojaREVENTADO!O10+HojaPrimera!L10+HojaHonduras!N10+HojaDominicana!L10+HojaPANA!J10</f>
        <v>1432250</v>
      </c>
      <c r="F9" s="14">
        <f t="shared" si="0"/>
        <v>-114880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19500</v>
      </c>
      <c r="C10" s="9">
        <f>+HojaTICA!K11+HojaNICA!M11+HojaREVENTADO!K11+HojaPrimera!I11+HojaHonduras!K11+HojaDominicana!I11+HojaPANA!G11</f>
        <v>2350</v>
      </c>
      <c r="D10" s="9">
        <f>+HojaTICA!N11+HojaNICA!P11+HojaREVENTADO!O11+HojaPrimera!L11+HojaHonduras!N11+HojaDominicana!L11+HojaPANA!J11</f>
        <v>0</v>
      </c>
      <c r="F10" s="14">
        <f t="shared" si="0"/>
        <v>17150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107500</v>
      </c>
      <c r="C11" s="9">
        <f>+HojaTICA!K12+HojaNICA!M12+HojaREVENTADO!K12+HojaPrimera!I12+HojaHonduras!K12+HojaDominicana!I12+HojaPANA!G12</f>
        <v>12930</v>
      </c>
      <c r="D11" s="9">
        <f>+HojaTICA!N12+HojaNICA!P12+HojaREVENTADO!O12+HojaPrimera!L12+HojaHonduras!N12+HojaDominicana!L12+HojaPANA!J12</f>
        <v>165750</v>
      </c>
      <c r="F11" s="14">
        <f t="shared" si="0"/>
        <v>-71180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111300</v>
      </c>
      <c r="C13" s="9">
        <f>+HojaTICA!K14+HojaNICA!M14+HojaREVENTADO!K14+HojaPrimera!I14+HojaHonduras!K14+HojaDominicana!I14+HojaPANA!G14</f>
        <v>16700</v>
      </c>
      <c r="D13" s="9">
        <f>+HojaTICA!N14+HojaNICA!P14+HojaREVENTADO!O14+HojaPrimera!L14+HojaHonduras!N14+HojaDominicana!L14+HojaPANA!J14</f>
        <v>0</v>
      </c>
      <c r="F13" s="14">
        <f t="shared" si="0"/>
        <v>94600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90050</v>
      </c>
      <c r="C15" s="9">
        <f>+HojaTICA!K16+HojaNICA!M16+HojaREVENTADO!K16+HojaPrimera!I16+HojaHonduras!K16+HojaDominicana!I16+HojaPANA!G16</f>
        <v>10800</v>
      </c>
      <c r="D15" s="9">
        <f>+HojaTICA!N16+HojaNICA!P16+HojaREVENTADO!O16+HojaPrimera!L16+HojaHonduras!N16+HojaDominicana!L16+HojaPANA!J16</f>
        <v>202500</v>
      </c>
      <c r="F15" s="14">
        <f t="shared" si="0"/>
        <v>-123250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1075550</v>
      </c>
      <c r="C16" s="9">
        <f>+HojaTICA!K17+HojaNICA!M17+HojaREVENTADO!K17+HojaPrimera!I17+HojaHonduras!K17+HojaDominicana!I17+HojaPANA!G17</f>
        <v>128025</v>
      </c>
      <c r="D16" s="9">
        <f>+HojaTICA!N17+HojaNICA!P17+HojaREVENTADO!O17+HojaPrimera!L17+HojaHonduras!N17+HojaDominicana!L17+HojaPANA!J17</f>
        <v>1139000</v>
      </c>
      <c r="F16" s="14">
        <f t="shared" si="0"/>
        <v>-191475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632900</v>
      </c>
      <c r="C17" s="9">
        <f>+HojaTICA!K18+HojaNICA!M18+HojaREVENTADO!K18+HojaPrimera!I18+HojaHonduras!K18+HojaDominicana!I18+HojaPANA!G18</f>
        <v>74485</v>
      </c>
      <c r="D17" s="9">
        <f>+HojaTICA!N18+HojaNICA!P18+HojaREVENTADO!O18+HojaPrimera!L18+HojaHonduras!N18+HojaDominicana!L18+HojaPANA!J18</f>
        <v>739500</v>
      </c>
      <c r="F17" s="14">
        <f t="shared" si="0"/>
        <v>-181085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-1700</v>
      </c>
      <c r="C26" s="9">
        <f>+HojaTICA!K27+HojaNICA!M27+HojaREVENTADO!K27+HojaPrimera!I27+HojaHonduras!K27+HojaDominicana!I27+HojaPANA!G27</f>
        <v>-200</v>
      </c>
      <c r="D26" s="9">
        <f>+HojaTICA!N27+HojaNICA!P27+HojaREVENTADO!O27+HojaPrimera!L27+HojaHonduras!N27+HojaDominicana!L27+HojaPANA!J27</f>
        <v>-34000</v>
      </c>
      <c r="F26" s="14">
        <f t="shared" si="0"/>
        <v>32500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4030000</v>
      </c>
      <c r="C28" s="17">
        <f t="shared" si="1"/>
        <v>487470</v>
      </c>
      <c r="D28" s="18">
        <f t="shared" si="1"/>
        <v>3879000</v>
      </c>
      <c r="F28" s="20">
        <f>SUM(F3:F27)</f>
        <v>-336470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14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74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64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159</v>
      </c>
      <c r="C19" s="132">
        <v>10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97</v>
      </c>
      <c r="C20" s="163">
        <v>90</v>
      </c>
      <c r="D20" s="166">
        <v>47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27</v>
      </c>
      <c r="C21" s="164">
        <v>59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61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59</v>
      </c>
      <c r="D2" s="268"/>
      <c r="E2" s="267">
        <f>DigitaTICA!E2</f>
        <v>74</v>
      </c>
      <c r="F2" s="268"/>
      <c r="G2" s="267">
        <f>DigitaTICA!G2</f>
        <v>16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82900</v>
      </c>
      <c r="D4" s="30">
        <f>IF(Vendedor1!$E$7="",0,Vendedor1!$E$7)</f>
        <v>0</v>
      </c>
      <c r="E4" s="180">
        <f>IF(Vendedor1!$C$11="",0,Vendedor1!$C$11)</f>
        <v>45550</v>
      </c>
      <c r="F4" s="30">
        <f>IF(Vendedor1!$E$11="",0,Vendedor1!$E$11)</f>
        <v>0</v>
      </c>
      <c r="G4" s="180">
        <f>IF(Vendedor1!$C$15="",0,Vendedor1!$C$15)</f>
        <v>92050</v>
      </c>
      <c r="H4" s="30">
        <f>IF(Vendedor1!$E$15="",0,Vendedor1!$E$15)</f>
        <v>1000</v>
      </c>
      <c r="J4" s="42">
        <f t="shared" ref="J4:J7" si="0">+C4+E4+G4</f>
        <v>220500</v>
      </c>
      <c r="K4" s="41">
        <f>MROUND(J4*Vendedor1!J$9,50)</f>
        <v>28650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106850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61350</v>
      </c>
      <c r="D5" s="30">
        <f>IF(Vendedor2!$E$7="",0,Vendedor2!$E$7)</f>
        <v>0</v>
      </c>
      <c r="E5" s="180">
        <f>IF(Vendedor2!$C$11="",0,Vendedor2!$C$11)</f>
        <v>33200</v>
      </c>
      <c r="F5" s="30">
        <f>IF(Vendedor2!$E$11="",0,Vendedor2!$E$11)</f>
        <v>0</v>
      </c>
      <c r="G5" s="180">
        <f>IF(Vendedor2!$C$15="",0,Vendedor2!$C$15)</f>
        <v>60600</v>
      </c>
      <c r="H5" s="30">
        <f>IF(Vendedor2!$E$15="",0,Vendedor2!$E$15)</f>
        <v>200</v>
      </c>
      <c r="J5" s="42">
        <f t="shared" si="0"/>
        <v>155150</v>
      </c>
      <c r="K5" s="41">
        <f>MROUND(J5*Vendedor2!J$9,50)</f>
        <v>20150</v>
      </c>
      <c r="L5" s="42">
        <f t="shared" si="1"/>
        <v>200</v>
      </c>
      <c r="M5" s="42">
        <f t="shared" si="2"/>
        <v>17000</v>
      </c>
      <c r="N5" s="42">
        <f>Vendedor2!$F$7+Vendedor2!$F$11+Vendedor2!$F$15</f>
        <v>17000</v>
      </c>
      <c r="P5" s="42">
        <f t="shared" si="3"/>
        <v>118000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258350</v>
      </c>
      <c r="D10" s="30">
        <f>IF(Vendedor7!$E$7="",0,Vendedor7!$E$7)</f>
        <v>1050</v>
      </c>
      <c r="E10" s="180">
        <f>IF(Vendedor7!$C$11="",0,Vendedor7!$C$11)</f>
        <v>150400</v>
      </c>
      <c r="F10" s="30">
        <f>IF(Vendedor7!$E$11="",0,Vendedor7!$E$11)</f>
        <v>0</v>
      </c>
      <c r="G10" s="180">
        <f>IF(Vendedor7!$C$15="",0,Vendedor7!$C$15)</f>
        <v>179500</v>
      </c>
      <c r="H10" s="30">
        <f>IF(Vendedor7!$E$15="",0,Vendedor7!$E$15)</f>
        <v>1250</v>
      </c>
      <c r="J10" s="42">
        <f t="shared" si="8"/>
        <v>588250</v>
      </c>
      <c r="K10" s="41">
        <f>MROUND(J10*Vendedor7!J$14,50)</f>
        <v>70600</v>
      </c>
      <c r="L10" s="42">
        <f t="shared" si="9"/>
        <v>2300</v>
      </c>
      <c r="M10" s="42">
        <f t="shared" si="10"/>
        <v>195500</v>
      </c>
      <c r="N10" s="42">
        <f>Vendedor7!$F$7+Vendedor7!$F$11+Vendedor7!$F$15</f>
        <v>195500</v>
      </c>
      <c r="P10" s="42">
        <f t="shared" si="11"/>
        <v>322150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10500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9000</v>
      </c>
      <c r="H11" s="30">
        <f>IF(Vendedor8!$E$15="",0,Vendedor8!$E$15)</f>
        <v>0</v>
      </c>
      <c r="J11" s="42">
        <f t="shared" si="8"/>
        <v>19500</v>
      </c>
      <c r="K11" s="41">
        <f>MROUND(J11*Vendedor8!J$11,50)</f>
        <v>2350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17150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19900</v>
      </c>
      <c r="D12" s="30">
        <f>IF(Vendedor9!$E$7="",0,Vendedor9!$E$7)</f>
        <v>0</v>
      </c>
      <c r="E12" s="180">
        <f>IF(Vendedor9!$C$11="",0,Vendedor9!$C$11)</f>
        <v>14550</v>
      </c>
      <c r="F12" s="30">
        <f>IF(Vendedor9!$E$11="",0,Vendedor9!$E$11)</f>
        <v>150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34450</v>
      </c>
      <c r="K12" s="41">
        <f>MROUND(J12*Vendedor9!J$11,50)</f>
        <v>4150</v>
      </c>
      <c r="L12" s="42">
        <f t="shared" si="9"/>
        <v>150</v>
      </c>
      <c r="M12" s="42">
        <f t="shared" si="10"/>
        <v>12750</v>
      </c>
      <c r="N12" s="42">
        <f>Vendedor9!$F$7+Vendedor9!$F$11+Vendedor9!$F$15</f>
        <v>12750</v>
      </c>
      <c r="P12" s="42">
        <f t="shared" si="11"/>
        <v>17550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36450</v>
      </c>
      <c r="D14" s="30">
        <f>IF(Vendedor11!$E$7="",0,Vendedor11!$E$7)</f>
        <v>0</v>
      </c>
      <c r="E14" s="180">
        <f>IF(Vendedor11!$C$11="",0,Vendedor11!$C$11)</f>
        <v>36350</v>
      </c>
      <c r="F14" s="30">
        <f>IF(Vendedor11!$E$11="",0,Vendedor11!$E$11)</f>
        <v>0</v>
      </c>
      <c r="G14" s="180">
        <f>IF(Vendedor11!$C$15="",0,Vendedor11!$C$15)</f>
        <v>38500</v>
      </c>
      <c r="H14" s="30">
        <f>IF(Vendedor11!$E$15="",0,Vendedor11!$E$15)</f>
        <v>0</v>
      </c>
      <c r="J14" s="42">
        <f t="shared" si="8"/>
        <v>111300</v>
      </c>
      <c r="K14" s="41">
        <f>MROUND(J14*Vendedor11!J$9,50)</f>
        <v>16700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94600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27550</v>
      </c>
      <c r="D16" s="30">
        <f>IF(Vendedor13!$E$7="",0,Vendedor13!$E$7)</f>
        <v>300</v>
      </c>
      <c r="E16" s="180">
        <f>IF(Vendedor13!$C$11="",0,Vendedor13!$C$11)</f>
        <v>13950</v>
      </c>
      <c r="F16" s="30">
        <f>IF(Vendedor13!$E$11="",0,Vendedor13!$E$11)</f>
        <v>0</v>
      </c>
      <c r="G16" s="180">
        <f>IF(Vendedor13!$C$15="",0,Vendedor13!$C$15)</f>
        <v>27500</v>
      </c>
      <c r="H16" s="30">
        <f>IF(Vendedor13!$E$15="",0,Vendedor13!$E$15)</f>
        <v>1800</v>
      </c>
      <c r="J16" s="42">
        <f t="shared" si="8"/>
        <v>69000</v>
      </c>
      <c r="K16" s="41">
        <f>MROUND(J16*Vendedor13!J$11,50)</f>
        <v>8300</v>
      </c>
      <c r="L16" s="42">
        <f t="shared" si="9"/>
        <v>2100</v>
      </c>
      <c r="M16" s="42">
        <f t="shared" si="10"/>
        <v>178500</v>
      </c>
      <c r="N16" s="42">
        <f>Vendedor13!$F$7+Vendedor13!$F$11+Vendedor13!$F$15</f>
        <v>178500</v>
      </c>
      <c r="P16" s="42">
        <f t="shared" si="11"/>
        <v>-117800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87800</v>
      </c>
      <c r="D17" s="30">
        <f>IF(Vendedor14!$E$7="",0,Vendedor14!$E$7)</f>
        <v>700</v>
      </c>
      <c r="E17" s="180">
        <f>IF(Vendedor14!$C$11="",0,Vendedor14!$C$11)</f>
        <v>115350</v>
      </c>
      <c r="F17" s="30">
        <f>IF(Vendedor14!$E$11="",0,Vendedor14!$E$11)</f>
        <v>850</v>
      </c>
      <c r="G17" s="180">
        <f>IF(Vendedor14!$C$15="",0,Vendedor14!$C$15)</f>
        <v>190500</v>
      </c>
      <c r="H17" s="30">
        <f>IF(Vendedor14!$E$15="",0,Vendedor14!$E$15)</f>
        <v>2500</v>
      </c>
      <c r="J17" s="42">
        <f t="shared" si="8"/>
        <v>393650</v>
      </c>
      <c r="K17" s="41">
        <f>MROUND(J17*Vendedor14!J$15,50)</f>
        <v>47250</v>
      </c>
      <c r="L17" s="42">
        <f t="shared" si="9"/>
        <v>4050</v>
      </c>
      <c r="M17" s="42">
        <f t="shared" si="10"/>
        <v>344250</v>
      </c>
      <c r="N17" s="42">
        <f>Vendedor14!$F$7+Vendedor14!$F$11+Vendedor14!$F$15</f>
        <v>344250</v>
      </c>
      <c r="P17" s="42">
        <f t="shared" si="11"/>
        <v>2150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59550</v>
      </c>
      <c r="D18" s="30">
        <f>IF(Vendedor15!$E$7="",0,Vendedor15!$E$7)</f>
        <v>200</v>
      </c>
      <c r="E18" s="180">
        <f>IF(Vendedor15!$C$11="",0,Vendedor15!$C$11)</f>
        <v>54600</v>
      </c>
      <c r="F18" s="30">
        <f>IF(Vendedor15!$E$11="",0,Vendedor15!$E$11)</f>
        <v>0</v>
      </c>
      <c r="G18" s="180">
        <f>IF(Vendedor15!$C$15="",0,Vendedor15!$C$15)</f>
        <v>72450</v>
      </c>
      <c r="H18" s="30">
        <f>IF(Vendedor15!$E$15="",0,Vendedor15!$E$15)</f>
        <v>500</v>
      </c>
      <c r="J18" s="42">
        <f t="shared" ref="J18" si="12">+C18+E18+G18</f>
        <v>186600</v>
      </c>
      <c r="K18" s="41">
        <f>MROUND(J18*Vendedor15!J$15,50)</f>
        <v>22400</v>
      </c>
      <c r="L18" s="42">
        <f t="shared" ref="L18" si="13">+D18+F18+H18</f>
        <v>700</v>
      </c>
      <c r="M18" s="42">
        <f t="shared" ref="M18" si="14">+L18*85</f>
        <v>59500</v>
      </c>
      <c r="N18" s="42">
        <f>Vendedor15!$F$7+Vendedor15!$F$11+Vendedor15!$F$15</f>
        <v>59500</v>
      </c>
      <c r="P18" s="42">
        <f t="shared" ref="P18" si="15">+J18-K18-N18</f>
        <v>104700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644350</v>
      </c>
      <c r="D32" s="44">
        <f t="shared" si="16"/>
        <v>2250</v>
      </c>
      <c r="E32" s="43">
        <f t="shared" si="16"/>
        <v>463950</v>
      </c>
      <c r="F32" s="44">
        <f t="shared" si="16"/>
        <v>1000</v>
      </c>
      <c r="G32" s="43">
        <f t="shared" si="16"/>
        <v>670100</v>
      </c>
      <c r="H32" s="44">
        <f t="shared" si="16"/>
        <v>7250</v>
      </c>
      <c r="J32" s="95">
        <f>SUM(J4:J31)</f>
        <v>1778400</v>
      </c>
      <c r="K32" s="45">
        <f>SUM(K7:K31)</f>
        <v>171750</v>
      </c>
      <c r="L32" s="95">
        <f>SUM(L4:L31)</f>
        <v>10500</v>
      </c>
      <c r="M32" s="95">
        <f>SUM(M4:M31)</f>
        <v>892500</v>
      </c>
      <c r="N32" s="95">
        <f>SUM(N4:N31)</f>
        <v>892500</v>
      </c>
      <c r="P32" s="79">
        <f>SUM(P4:P31)</f>
        <v>665350</v>
      </c>
    </row>
    <row r="33" spans="3:13" x14ac:dyDescent="0.35">
      <c r="D33" s="99">
        <f>+D32*85</f>
        <v>191250</v>
      </c>
      <c r="F33" s="99">
        <f>+F32*85</f>
        <v>85000</v>
      </c>
      <c r="H33" s="99">
        <f>+H32*85</f>
        <v>616250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1778400</v>
      </c>
      <c r="E36" s="43">
        <f>+D36-J4-J5-J6</f>
        <v>1402750</v>
      </c>
      <c r="G36" s="101"/>
    </row>
    <row r="37" spans="3:13" x14ac:dyDescent="0.35">
      <c r="C37" s="47" t="s">
        <v>33</v>
      </c>
      <c r="D37" s="48">
        <f>D36*13%</f>
        <v>231192</v>
      </c>
      <c r="E37">
        <f>+D37-K4-K5-K6</f>
        <v>182392</v>
      </c>
      <c r="G37" s="100"/>
      <c r="H37" s="100"/>
    </row>
    <row r="38" spans="3:13" ht="15" thickBot="1" x14ac:dyDescent="0.4">
      <c r="C38" s="47" t="s">
        <v>30</v>
      </c>
      <c r="D38" s="30">
        <f>M32</f>
        <v>892500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654708</v>
      </c>
      <c r="F39" s="98">
        <f>+P32-D39</f>
        <v>10642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654708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65</v>
      </c>
      <c r="D2" s="268"/>
      <c r="E2" s="267">
        <f>DigitaNICA!E2</f>
        <v>14</v>
      </c>
      <c r="F2" s="268"/>
      <c r="G2" s="267">
        <f>DigitaNICA!G2</f>
        <v>64</v>
      </c>
      <c r="H2" s="268"/>
      <c r="I2" s="267">
        <f>DigitaNICA!I2</f>
        <v>26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27600</v>
      </c>
      <c r="D4" s="78">
        <f>IF(Vendedor1!$E$5="",0,Vendedor1!$E$5)</f>
        <v>100</v>
      </c>
      <c r="E4" s="189">
        <f>IF(Vendedor1!$C$9="",0,Vendedor1!$C$9)</f>
        <v>26400</v>
      </c>
      <c r="F4" s="78">
        <f>IF(Vendedor1!$E$9="",0,Vendedor1!$E$9)</f>
        <v>0</v>
      </c>
      <c r="G4" s="189">
        <f>IF(Vendedor1!$C$13="",0,Vendedor1!$C$13)</f>
        <v>15700</v>
      </c>
      <c r="H4" s="78">
        <f>IF(Vendedor1!$E$13="",0,Vendedor1!$E$13)</f>
        <v>0</v>
      </c>
      <c r="I4" s="189">
        <f>IF(Vendedor1!$C$17="",0,Vendedor1!$C$17)</f>
        <v>1500</v>
      </c>
      <c r="J4" s="78">
        <f>IF(Vendedor1!$E$17="",0,Vendedor1!$E$17)</f>
        <v>0</v>
      </c>
      <c r="L4" s="42">
        <f t="shared" ref="L4:L7" si="0">C4+E4+G4+I4</f>
        <v>71200</v>
      </c>
      <c r="M4" s="41">
        <f>MROUND(L4*Vendedor1!J$10,50)</f>
        <v>9250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53450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20000</v>
      </c>
      <c r="D5" s="30">
        <f>IF(Vendedor2!$E$5="",0,Vendedor2!$E$5)</f>
        <v>0</v>
      </c>
      <c r="E5" s="180">
        <f>IF(Vendedor2!$C$9="",0,Vendedor2!$C$9)</f>
        <v>7950</v>
      </c>
      <c r="F5" s="30">
        <f>IF(Vendedor2!$E$9="",0,Vendedor2!$E$9)</f>
        <v>750</v>
      </c>
      <c r="G5" s="180">
        <f>IF(Vendedor2!$C$13="",0,Vendedor2!$C$13)</f>
        <v>3600</v>
      </c>
      <c r="H5" s="30">
        <f>IF(Vendedor2!$E$13="",0,Vendedor2!$E$13)</f>
        <v>0</v>
      </c>
      <c r="I5" s="180">
        <f>IF(Vendedor2!$C$17="",0,Vendedor2!$C$17)</f>
        <v>1500</v>
      </c>
      <c r="J5" s="30">
        <f>IF(Vendedor2!$E$17="",0,Vendedor2!$E$17)</f>
        <v>0</v>
      </c>
      <c r="L5" s="42">
        <f t="shared" si="0"/>
        <v>33050</v>
      </c>
      <c r="M5" s="41">
        <f>MROUND(L5*Vendedor2!J$10,50)</f>
        <v>4300</v>
      </c>
      <c r="N5" s="42">
        <f t="shared" si="1"/>
        <v>750</v>
      </c>
      <c r="O5" s="41">
        <f t="shared" ref="O5:O27" si="3">IFERROR(N5*85,0)</f>
        <v>63750</v>
      </c>
      <c r="P5" s="42">
        <f>Vendedor2!$F$5+Vendedor2!$F$9+Vendedor2!$F$13+Vendedor2!$F$17</f>
        <v>60000</v>
      </c>
      <c r="Q5">
        <v>5</v>
      </c>
      <c r="R5" s="41">
        <f t="shared" si="2"/>
        <v>-35000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134250</v>
      </c>
      <c r="D10" s="30">
        <f>IF(Vendedor7!$E$5="",0,Vendedor7!$E$5)</f>
        <v>1450</v>
      </c>
      <c r="E10" s="180">
        <f>IF(Vendedor7!$C$9="",0,Vendedor7!$C$9)</f>
        <v>113550</v>
      </c>
      <c r="F10" s="30">
        <f>IF(Vendedor7!$E$9="",0,Vendedor7!$E$9)</f>
        <v>4050</v>
      </c>
      <c r="G10" s="180">
        <f>IF(Vendedor7!$C$13="",0,Vendedor7!$C$13)</f>
        <v>66000</v>
      </c>
      <c r="H10" s="30">
        <f>IF(Vendedor7!$E$13="",0,Vendedor7!$E$13)</f>
        <v>0</v>
      </c>
      <c r="I10" s="180">
        <f>IF(Vendedor7!$C$17="",0,Vendedor7!$C$17)</f>
        <v>142900</v>
      </c>
      <c r="J10" s="30">
        <f>IF(Vendedor7!$E$17="",0,Vendedor7!$E$17)</f>
        <v>2900</v>
      </c>
      <c r="L10" s="42">
        <f t="shared" si="7"/>
        <v>456700</v>
      </c>
      <c r="M10" s="41">
        <f>MROUND(L10*Vendedor7!J$15,50)</f>
        <v>54800</v>
      </c>
      <c r="N10" s="42">
        <f t="shared" ref="N10:N27" si="9">D10+F10+H10+J10</f>
        <v>8400</v>
      </c>
      <c r="O10" s="41">
        <f t="shared" si="3"/>
        <v>714000</v>
      </c>
      <c r="P10" s="42">
        <f>Vendedor7!$F$5+Vendedor7!$F$9+Vendedor7!$F$13+Vendedor7!$F$17</f>
        <v>714000</v>
      </c>
      <c r="R10" s="41">
        <f t="shared" si="8"/>
        <v>-312100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15850</v>
      </c>
      <c r="D12" s="30">
        <f>IF(Vendedor9!$E$5="",0,Vendedor9!$E$5)</f>
        <v>300</v>
      </c>
      <c r="E12" s="180">
        <f>IF(Vendedor9!$C$9="",0,Vendedor9!$C$9)</f>
        <v>12300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28150</v>
      </c>
      <c r="M12" s="41">
        <f>MROUND(L12*Vendedor9!J$12,50)</f>
        <v>3400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-750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2500</v>
      </c>
      <c r="D16" s="30">
        <f>IF(Vendedor13!$E$5="",0,Vendedor13!$E$5)</f>
        <v>300</v>
      </c>
      <c r="E16" s="180">
        <f>IF(Vendedor13!$C$9="",0,Vendedor13!$C$9)</f>
        <v>2250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13800</v>
      </c>
      <c r="J16" s="30">
        <f>IF(Vendedor13!$E$17="",0,Vendedor13!$E$17)</f>
        <v>0</v>
      </c>
      <c r="L16" s="42">
        <f t="shared" si="7"/>
        <v>18550</v>
      </c>
      <c r="M16" s="41">
        <f>MROUND(L16*Vendedor13!J$12,50)</f>
        <v>2250</v>
      </c>
      <c r="N16" s="42">
        <f t="shared" si="9"/>
        <v>300</v>
      </c>
      <c r="O16" s="41">
        <f t="shared" si="3"/>
        <v>25500</v>
      </c>
      <c r="P16" s="42">
        <f>Vendedor13!$F$5+Vendedor13!$F$9+Vendedor13!$F$13+Vendedor13!$F$17</f>
        <v>24000</v>
      </c>
      <c r="R16" s="41">
        <f t="shared" si="8"/>
        <v>-9200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70650</v>
      </c>
      <c r="D17" s="30">
        <f>IF(Vendedor14!$E$5="",0,Vendedor14!$E$5)</f>
        <v>550</v>
      </c>
      <c r="E17" s="180">
        <f>IF(Vendedor14!$C$9="",0,Vendedor14!$C$9)</f>
        <v>105350</v>
      </c>
      <c r="F17" s="30">
        <f>IF(Vendedor14!$E$9="",0,Vendedor14!$E$9)</f>
        <v>2100</v>
      </c>
      <c r="G17" s="180">
        <f>IF(Vendedor14!$C$13="",0,Vendedor14!$C$13)</f>
        <v>66950</v>
      </c>
      <c r="H17" s="30">
        <f>IF(Vendedor14!$E$13="",0,Vendedor14!$E$13)</f>
        <v>50</v>
      </c>
      <c r="I17" s="180">
        <f>IF(Vendedor14!$C$17="",0,Vendedor14!$C$17)</f>
        <v>165500</v>
      </c>
      <c r="J17" s="30">
        <f>IF(Vendedor14!$E$17="",0,Vendedor14!$E$17)</f>
        <v>850</v>
      </c>
      <c r="L17" s="42">
        <f>C17+E17+G17+I17</f>
        <v>408450</v>
      </c>
      <c r="M17" s="41">
        <f>MROUND(L17*Vendedor14!J$16,50)</f>
        <v>49000</v>
      </c>
      <c r="N17" s="42">
        <f t="shared" si="9"/>
        <v>3550</v>
      </c>
      <c r="O17" s="41">
        <f t="shared" si="3"/>
        <v>301750</v>
      </c>
      <c r="P17" s="42">
        <f>Vendedor14!$F$5+Vendedor14!$F$9+Vendedor14!$F$13+Vendedor14!$F$17</f>
        <v>301750</v>
      </c>
      <c r="R17" s="41">
        <f t="shared" si="8"/>
        <v>57700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68700</v>
      </c>
      <c r="D18" s="30">
        <f>IF(Vendedor15!$E$5="",0,Vendedor15!$E$5)</f>
        <v>600</v>
      </c>
      <c r="E18" s="180">
        <f>IF(Vendedor15!$C$9="",0,Vendedor15!$C$9)</f>
        <v>67250</v>
      </c>
      <c r="F18" s="30">
        <f>IF(Vendedor15!$E$9="",0,Vendedor15!$E$9)</f>
        <v>2100</v>
      </c>
      <c r="G18" s="180">
        <f>IF(Vendedor15!$C$13="",0,Vendedor15!$C$13)</f>
        <v>62700</v>
      </c>
      <c r="H18" s="30">
        <f>IF(Vendedor15!$E$13="",0,Vendedor15!$E$13)</f>
        <v>200</v>
      </c>
      <c r="I18" s="180">
        <f>IF(Vendedor15!$C$17="",0,Vendedor15!$C$17)</f>
        <v>33500</v>
      </c>
      <c r="J18" s="30">
        <f>IF(Vendedor15!$E$17="",0,Vendedor15!$E$17)</f>
        <v>0</v>
      </c>
      <c r="L18" s="42">
        <f t="shared" ref="L18:L27" si="10">C18+E18+G18+I18</f>
        <v>232150</v>
      </c>
      <c r="M18" s="41">
        <f>MROUND(L18*Vendedor15!J$16,50)</f>
        <v>27850</v>
      </c>
      <c r="N18" s="42">
        <f t="shared" si="9"/>
        <v>2900</v>
      </c>
      <c r="O18" s="41">
        <f t="shared" si="3"/>
        <v>246500</v>
      </c>
      <c r="P18" s="42">
        <f>Vendedor15!$F$5+Vendedor15!$F$9+Vendedor15!$F$13+Vendedor15!$F$17</f>
        <v>246500</v>
      </c>
      <c r="R18" s="41">
        <f t="shared" si="8"/>
        <v>-42200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339550</v>
      </c>
      <c r="D32" s="44">
        <f t="shared" si="14"/>
        <v>3300</v>
      </c>
      <c r="E32" s="43">
        <f t="shared" si="14"/>
        <v>335050</v>
      </c>
      <c r="F32" s="44">
        <f t="shared" si="14"/>
        <v>9000</v>
      </c>
      <c r="G32" s="43">
        <f t="shared" si="14"/>
        <v>214950</v>
      </c>
      <c r="H32" s="44">
        <f t="shared" si="14"/>
        <v>250</v>
      </c>
      <c r="I32" s="43">
        <f t="shared" si="14"/>
        <v>358700</v>
      </c>
      <c r="J32" s="44">
        <f t="shared" si="14"/>
        <v>3750</v>
      </c>
      <c r="L32" s="45">
        <f>SUM(L4:L31)</f>
        <v>1248250</v>
      </c>
      <c r="M32" s="45">
        <f>SUM(M7:M31)</f>
        <v>137300</v>
      </c>
      <c r="N32" s="95">
        <f>SUM(N4:N31)</f>
        <v>16300</v>
      </c>
      <c r="O32" s="46">
        <f>SUM(O4:O31)</f>
        <v>1385500</v>
      </c>
      <c r="P32" s="140">
        <f>SUM(P4:P31)</f>
        <v>1379750</v>
      </c>
      <c r="R32" s="79">
        <f>SUM(R4:R31)</f>
        <v>-288100</v>
      </c>
    </row>
    <row r="33" spans="3:15" x14ac:dyDescent="0.35">
      <c r="D33" s="120">
        <f>+D32*85</f>
        <v>280500</v>
      </c>
      <c r="F33" s="120">
        <f>+F32*85</f>
        <v>765000</v>
      </c>
      <c r="H33" s="120">
        <f>+H32*85</f>
        <v>21250</v>
      </c>
      <c r="J33" s="120">
        <f>+J32*85</f>
        <v>318750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1248250</v>
      </c>
      <c r="E36" s="43">
        <f>+D36-L4-L5-L6</f>
        <v>1144000</v>
      </c>
    </row>
    <row r="37" spans="3:15" x14ac:dyDescent="0.35">
      <c r="C37" s="47" t="s">
        <v>33</v>
      </c>
      <c r="D37" s="48">
        <f>D36*13%</f>
        <v>162272.5</v>
      </c>
      <c r="E37">
        <f>+D37-M4-M5-M6</f>
        <v>148722.5</v>
      </c>
    </row>
    <row r="38" spans="3:15" x14ac:dyDescent="0.35">
      <c r="C38" s="47" t="s">
        <v>30</v>
      </c>
      <c r="D38" s="30">
        <f>SUM(O4:O27)</f>
        <v>1385500</v>
      </c>
      <c r="G38" s="100"/>
    </row>
    <row r="39" spans="3:15" ht="15" thickBot="1" x14ac:dyDescent="0.4">
      <c r="C39" s="49" t="s">
        <v>4</v>
      </c>
      <c r="D39" s="80">
        <f>+D36-D37-D38</f>
        <v>-299522.5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-299522.5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59 Blanca</v>
      </c>
      <c r="D2" s="268"/>
      <c r="E2" s="267" t="str">
        <f>IF(E33=0,"",CONCATENATE(PREMIOS!$B11," ",PREMIOS!$B12))</f>
        <v>74 Blanca</v>
      </c>
      <c r="F2" s="268"/>
      <c r="G2" s="267" t="str">
        <f>IF(G33=0,"",CONCATENATE(PREMIOS!$B15," ",PREMIOS!$B16))</f>
        <v>16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31600</v>
      </c>
      <c r="D10" s="30">
        <f>IF(Vendedor7!$E$8="",0,Vendedor7!$E$8)</f>
        <v>0</v>
      </c>
      <c r="E10" s="180">
        <f>IF(Vendedor7!$C$12="",0,Vendedor7!$C$12)</f>
        <v>28650</v>
      </c>
      <c r="F10" s="30">
        <f>IF(Vendedor7!$E$12="",0,Vendedor7!$E$12)</f>
        <v>0</v>
      </c>
      <c r="G10" s="180">
        <f>IF(Vendedor7!$C$16="",0,Vendedor7!$C$16)</f>
        <v>37050</v>
      </c>
      <c r="H10" s="30">
        <f>IF(Vendedor7!$E$16="",0,Vendedor7!$E$16)</f>
        <v>0</v>
      </c>
      <c r="J10" s="42">
        <f t="shared" si="1"/>
        <v>97300</v>
      </c>
      <c r="K10" s="41">
        <f>J10*Vendedor7!J$16</f>
        <v>9730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87570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300</v>
      </c>
      <c r="K12" s="41">
        <f>J12*Vendedor9!J$13</f>
        <v>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1500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11100</v>
      </c>
      <c r="D17" s="30">
        <f>IF(Vendedor14!$E$8="",0,Vendedor14!$E$8)</f>
        <v>0</v>
      </c>
      <c r="E17" s="180">
        <f>IF(Vendedor14!$C$12="",0,Vendedor14!$C$12)</f>
        <v>14700</v>
      </c>
      <c r="F17" s="30">
        <f>IF(Vendedor14!$E$12="",0,Vendedor14!$E$12)</f>
        <v>0</v>
      </c>
      <c r="G17" s="180">
        <f>IF(Vendedor14!$C$16="",0,Vendedor14!$C$16)</f>
        <v>27950</v>
      </c>
      <c r="H17" s="30">
        <f>IF(Vendedor14!$E$16="",0,Vendedor14!$E$16)</f>
        <v>500</v>
      </c>
      <c r="J17" s="42">
        <f t="shared" si="1"/>
        <v>53750</v>
      </c>
      <c r="K17" s="41">
        <f>J17*Vendedor14!J$17</f>
        <v>5375</v>
      </c>
      <c r="L17" s="42">
        <f t="shared" si="2"/>
        <v>0</v>
      </c>
      <c r="M17" s="42">
        <f t="shared" si="3"/>
        <v>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48375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26000</v>
      </c>
      <c r="D18" s="30">
        <f>IF(Vendedor15!$E$8="",0,Vendedor15!$E$8)</f>
        <v>200</v>
      </c>
      <c r="E18" s="180">
        <f>IF(Vendedor15!$C$12="",0,Vendedor15!$C$12)</f>
        <v>21700</v>
      </c>
      <c r="F18" s="30">
        <f>IF(Vendedor15!$E$12="",0,Vendedor15!$E$12)</f>
        <v>0</v>
      </c>
      <c r="G18" s="180">
        <f>IF(Vendedor15!$C$16="",0,Vendedor15!$C$16)</f>
        <v>24150</v>
      </c>
      <c r="H18" s="30">
        <f>IF(Vendedor15!$E$16="",0,Vendedor15!$E$16)</f>
        <v>200</v>
      </c>
      <c r="J18" s="42">
        <f t="shared" ref="J18" si="5">+C18+E18+G18</f>
        <v>71850</v>
      </c>
      <c r="K18" s="41">
        <f>J18*Vendedor15!J$17</f>
        <v>7185</v>
      </c>
      <c r="L18" s="42">
        <f t="shared" si="2"/>
        <v>0</v>
      </c>
      <c r="M18" s="42">
        <f t="shared" si="3"/>
        <v>400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64665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70000</v>
      </c>
      <c r="D33" s="44">
        <f>IF(PREMIOS!E8&lt;&gt;0,SUM(D4:D32),0)</f>
        <v>0</v>
      </c>
      <c r="E33" s="43">
        <f>SUM(E4:E32)</f>
        <v>65050</v>
      </c>
      <c r="F33" s="44">
        <f>IF(PREMIOS!E12&lt;&gt;0,SUM(F4:F32),0)</f>
        <v>0</v>
      </c>
      <c r="G33" s="43">
        <f>SUM(G4:G32)</f>
        <v>90650</v>
      </c>
      <c r="H33" s="44">
        <f>IF(PREMIOS!E16&lt;&gt;0,SUM(H4:H32),0)</f>
        <v>0</v>
      </c>
      <c r="J33" s="45">
        <f>SUM(J4:J32)</f>
        <v>225700</v>
      </c>
      <c r="K33" s="45">
        <f>SUM(K7:K32)</f>
        <v>22570</v>
      </c>
      <c r="L33" s="95">
        <f>SUM(L7:L32)</f>
        <v>0</v>
      </c>
      <c r="M33" s="95">
        <f>SUM(M7:M32)</f>
        <v>900</v>
      </c>
      <c r="N33" s="95">
        <f>SUM(N4:N27)</f>
        <v>0</v>
      </c>
      <c r="O33" s="95">
        <f>SUM(O4:O27)</f>
        <v>0</v>
      </c>
      <c r="Q33" s="79">
        <f>SUM(Q4:Q32)</f>
        <v>203130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225700</v>
      </c>
      <c r="E37" s="43">
        <f>+D37-J4-J5-J6</f>
        <v>225700</v>
      </c>
      <c r="F37" s="275"/>
      <c r="G37" s="275"/>
    </row>
    <row r="38" spans="3:17" ht="15" thickBot="1" x14ac:dyDescent="0.4">
      <c r="C38" s="47" t="s">
        <v>33</v>
      </c>
      <c r="D38" s="30">
        <f>D37*10%</f>
        <v>22570</v>
      </c>
      <c r="E38" s="43">
        <f>+D38-K4-K5-K6</f>
        <v>22570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203130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203130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01</v>
      </c>
      <c r="D2" s="268"/>
      <c r="E2" s="267">
        <f>DigitaPRIMERA!E2</f>
        <v>10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13000</v>
      </c>
      <c r="D4" s="78">
        <f>IF(Vendedor1!$E$19="",0,Vendedor1!$E$19)</f>
        <v>400</v>
      </c>
      <c r="E4" s="189">
        <f>IF(Vendedor1!$C$20="",0,Vendedor1!$C$20)</f>
        <v>200</v>
      </c>
      <c r="F4" s="78">
        <f>IF(Vendedor1!$E$20="",0,Vendedor1!$E$20)</f>
        <v>200</v>
      </c>
      <c r="H4" s="42">
        <f>+C4+E4</f>
        <v>13200</v>
      </c>
      <c r="I4" s="41">
        <f>MROUND(H4*Vendedor1!J$9,50)</f>
        <v>1700</v>
      </c>
      <c r="J4" s="42">
        <f>+D4+F4</f>
        <v>600</v>
      </c>
      <c r="K4" s="42">
        <f>+J4*85</f>
        <v>51000</v>
      </c>
      <c r="L4" s="42">
        <f>Vendedor1!$F$19+Vendedor1!$F$20</f>
        <v>48000</v>
      </c>
      <c r="N4" s="42">
        <f t="shared" ref="N4:N31" si="0">+H4-I4-L4</f>
        <v>-36500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5500</v>
      </c>
      <c r="D5" s="30">
        <f>IF(Vendedor2!$E$19="",0,Vendedor2!$E$19)</f>
        <v>0</v>
      </c>
      <c r="E5" s="180">
        <f>IF(Vendedor2!$C$20="",0,Vendedor2!$C$20)</f>
        <v>1500</v>
      </c>
      <c r="F5" s="30">
        <f>IF(Vendedor2!$E$20="",0,Vendedor2!$E$20)</f>
        <v>200</v>
      </c>
      <c r="H5" s="42">
        <f t="shared" ref="H5:H31" si="1">+C5+E5</f>
        <v>7000</v>
      </c>
      <c r="I5" s="41">
        <f>MROUND(H5*Vendedor2!J$9,50)</f>
        <v>900</v>
      </c>
      <c r="J5" s="42">
        <f t="shared" ref="J5:J31" si="2">+D5+F5</f>
        <v>200</v>
      </c>
      <c r="K5" s="42">
        <f t="shared" ref="K5:K27" si="3">+J5*85</f>
        <v>17000</v>
      </c>
      <c r="L5" s="42">
        <f>Vendedor2!$F$19+Vendedor2!$F$20</f>
        <v>16000</v>
      </c>
      <c r="N5" s="42">
        <f t="shared" si="0"/>
        <v>-9900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75600</v>
      </c>
      <c r="D10" s="30">
        <f>IF(Vendedor7!$E$19="",0,Vendedor7!$E$19)</f>
        <v>1650</v>
      </c>
      <c r="E10" s="180">
        <f>IF(Vendedor7!$C$20="",0,Vendedor7!$C$20)</f>
        <v>24500</v>
      </c>
      <c r="F10" s="30">
        <f>IF(Vendedor7!$E$20="",0,Vendedor7!$E$20)</f>
        <v>2500</v>
      </c>
      <c r="H10" s="42">
        <f t="shared" si="1"/>
        <v>100100</v>
      </c>
      <c r="I10" s="41">
        <f>MROUND(H10*Vendedor7!J$14,50)</f>
        <v>12000</v>
      </c>
      <c r="J10" s="42">
        <f t="shared" si="2"/>
        <v>4150</v>
      </c>
      <c r="K10" s="42">
        <f t="shared" si="3"/>
        <v>352750</v>
      </c>
      <c r="L10" s="42">
        <f>Vendedor7!$F$19+Vendedor7!$F$20</f>
        <v>352750</v>
      </c>
      <c r="N10" s="42">
        <f t="shared" si="0"/>
        <v>-264650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38850</v>
      </c>
      <c r="D12" s="30">
        <f>IF(Vendedor9!$E$19="",0,Vendedor9!$E$19)</f>
        <v>1500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38850</v>
      </c>
      <c r="I12" s="148">
        <f>MROUND(H12*Vendedor9!J$11,50)</f>
        <v>4650</v>
      </c>
      <c r="J12" s="133">
        <f t="shared" si="2"/>
        <v>1500</v>
      </c>
      <c r="K12" s="133">
        <f t="shared" si="3"/>
        <v>127500</v>
      </c>
      <c r="L12" s="133">
        <f>Vendedor9!$F$19+Vendedor9!$F$20</f>
        <v>127500</v>
      </c>
      <c r="M12" s="155"/>
      <c r="N12" s="133">
        <f t="shared" si="0"/>
        <v>-93300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79350</v>
      </c>
      <c r="D17" s="30">
        <f>IF(Vendedor14!$E$19="",0,Vendedor14!$E$19)</f>
        <v>3800</v>
      </c>
      <c r="E17" s="180">
        <f>IF(Vendedor14!$C$20="",0,Vendedor14!$C$20)</f>
        <v>38450</v>
      </c>
      <c r="F17" s="30">
        <f>IF(Vendedor14!$E$20="",0,Vendedor14!$E$20)</f>
        <v>1150</v>
      </c>
      <c r="H17" s="42">
        <f t="shared" si="1"/>
        <v>117800</v>
      </c>
      <c r="I17" s="41">
        <f>MROUND(H17*Vendedor14!J$15,50)</f>
        <v>14150</v>
      </c>
      <c r="J17" s="42">
        <f t="shared" si="2"/>
        <v>4950</v>
      </c>
      <c r="K17" s="42">
        <f t="shared" si="3"/>
        <v>420750</v>
      </c>
      <c r="L17" s="42">
        <f>Vendedor14!$F$19+Vendedor14!$F$20</f>
        <v>420750</v>
      </c>
      <c r="N17" s="42">
        <f t="shared" si="0"/>
        <v>-317100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54800</v>
      </c>
      <c r="D18" s="30">
        <f>IF(Vendedor15!$E$19="",0,Vendedor15!$E$19)</f>
        <v>2600</v>
      </c>
      <c r="E18" s="180">
        <f>IF(Vendedor15!$C$20="",0,Vendedor15!$C$20)</f>
        <v>59400</v>
      </c>
      <c r="F18" s="30">
        <f>IF(Vendedor15!$E$20="",0,Vendedor15!$E$20)</f>
        <v>2500</v>
      </c>
      <c r="H18" s="42">
        <f t="shared" si="1"/>
        <v>114200</v>
      </c>
      <c r="I18" s="41">
        <f>MROUND(H18*Vendedor15!J$15,50)</f>
        <v>13700</v>
      </c>
      <c r="J18" s="42">
        <f t="shared" si="2"/>
        <v>5100</v>
      </c>
      <c r="K18" s="42">
        <f t="shared" si="3"/>
        <v>433500</v>
      </c>
      <c r="L18" s="42">
        <f>Vendedor15!$F$19+Vendedor15!$F$20</f>
        <v>433500</v>
      </c>
      <c r="N18" s="42">
        <f t="shared" si="0"/>
        <v>-333000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-1700</v>
      </c>
      <c r="F27" s="50">
        <f>IF(Vendedor24!$E$20="",0,Vendedor24!$E$20)</f>
        <v>-400</v>
      </c>
      <c r="H27" s="42">
        <f t="shared" si="1"/>
        <v>-1700</v>
      </c>
      <c r="I27" s="41">
        <f>IF(H27*Vendedor24!J$9&gt;0,MROUND(H27*Vendedor24!J$9,50),MROUND(H27*Vendedor24!J$9,-50))</f>
        <v>-200</v>
      </c>
      <c r="J27" s="42">
        <f t="shared" si="2"/>
        <v>-400</v>
      </c>
      <c r="K27" s="42">
        <f t="shared" si="3"/>
        <v>-34000</v>
      </c>
      <c r="L27" s="42">
        <f>Vendedor24!$F$19+Vendedor24!$F$20</f>
        <v>-34000</v>
      </c>
      <c r="N27" s="42">
        <f t="shared" si="0"/>
        <v>32500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267100</v>
      </c>
      <c r="D32" s="44">
        <f>SUM(D4:D31)</f>
        <v>9950</v>
      </c>
      <c r="E32" s="43">
        <f>SUM(E4:E31)</f>
        <v>122350</v>
      </c>
      <c r="F32" s="44">
        <f>SUM(F4:F31)</f>
        <v>6150</v>
      </c>
      <c r="H32" s="95">
        <f>SUM(H4:H31)</f>
        <v>389450</v>
      </c>
      <c r="I32" s="45">
        <f>SUM(I7:I31)</f>
        <v>44300</v>
      </c>
      <c r="J32" s="95"/>
      <c r="K32" s="95">
        <f>SUM(K4:K31)</f>
        <v>1368500</v>
      </c>
      <c r="L32" s="95">
        <f>SUM(L4:L31)</f>
        <v>1364500</v>
      </c>
      <c r="N32" s="79">
        <f>SUM(N4:N31)</f>
        <v>-1021950</v>
      </c>
    </row>
    <row r="33" spans="3:6" x14ac:dyDescent="0.35">
      <c r="D33" s="99">
        <f>+D32*85</f>
        <v>845750</v>
      </c>
      <c r="F33" s="99">
        <f>+F32*85</f>
        <v>522750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389450</v>
      </c>
      <c r="E36" s="43">
        <f>+D36-H4-H5-H6</f>
        <v>369250</v>
      </c>
    </row>
    <row r="37" spans="3:6" x14ac:dyDescent="0.35">
      <c r="C37" s="47" t="s">
        <v>33</v>
      </c>
      <c r="D37" s="48">
        <f>D36*13%</f>
        <v>50628.5</v>
      </c>
      <c r="E37">
        <f>+D37-I4-I5-I6</f>
        <v>48028.5</v>
      </c>
    </row>
    <row r="38" spans="3:6" ht="15" thickBot="1" x14ac:dyDescent="0.4">
      <c r="C38" s="47" t="s">
        <v>30</v>
      </c>
      <c r="D38" s="30">
        <f>SUM(K4:K27)</f>
        <v>1368500</v>
      </c>
    </row>
    <row r="39" spans="3:6" ht="15" thickBot="1" x14ac:dyDescent="0.4">
      <c r="C39" s="49" t="s">
        <v>4</v>
      </c>
      <c r="D39" s="80">
        <f>+D36-D37-D38</f>
        <v>-1029678.5</v>
      </c>
      <c r="F39" s="98">
        <f>+N32-D39</f>
        <v>7728.5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-1029678.5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97</v>
      </c>
      <c r="D2" s="268"/>
      <c r="E2" s="267">
        <f>DigitaHONDURAS!E2</f>
        <v>90</v>
      </c>
      <c r="F2" s="268"/>
      <c r="G2" s="267">
        <f>DigitaHONDURAS!G2</f>
        <v>47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76700</v>
      </c>
      <c r="D10" s="30">
        <f>IF(Vendedor7!$E$21="",0,Vendedor7!$E$21)</f>
        <v>0</v>
      </c>
      <c r="E10" s="180">
        <f>IF(Vendedor7!$C$22="",0,Vendedor7!$C$22)</f>
        <v>66700</v>
      </c>
      <c r="F10" s="30">
        <f>IF(Vendedor7!$E$22="",0,Vendedor7!$E$22)</f>
        <v>0</v>
      </c>
      <c r="G10" s="180">
        <f>IF(Vendedor7!$C$23="",0,Vendedor7!$C$23)</f>
        <v>25650</v>
      </c>
      <c r="H10" s="30">
        <f>IF(Vendedor7!$E$23="",0,Vendedor7!$E$23)</f>
        <v>2000</v>
      </c>
      <c r="J10" s="42">
        <f t="shared" si="0"/>
        <v>169050</v>
      </c>
      <c r="K10" s="41">
        <f>MROUND(J10*Vendedor7!J$14,50)</f>
        <v>20300</v>
      </c>
      <c r="L10" s="42">
        <f t="shared" si="1"/>
        <v>2000</v>
      </c>
      <c r="M10" s="42">
        <f t="shared" si="3"/>
        <v>170000</v>
      </c>
      <c r="N10" s="42">
        <f>Vendedor7!$F$21+Vendedor7!$F$22+Vendedor7!$F$23</f>
        <v>170000</v>
      </c>
      <c r="P10" s="42">
        <f t="shared" si="2"/>
        <v>-21250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5750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5750</v>
      </c>
      <c r="K12" s="41">
        <f>MROUND(J12*Vendedor9!J$14,50)</f>
        <v>700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5050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50700</v>
      </c>
      <c r="D17" s="30">
        <f>IF(Vendedor14!$E$21="",0,Vendedor14!$E$21)</f>
        <v>500</v>
      </c>
      <c r="E17" s="180">
        <f>IF(Vendedor14!$C$22="",0,Vendedor14!$C$22)</f>
        <v>9500</v>
      </c>
      <c r="F17" s="30">
        <f>IF(Vendedor14!$E$22="",0,Vendedor14!$E$22)</f>
        <v>0</v>
      </c>
      <c r="G17" s="180">
        <f>IF(Vendedor14!$C$23="",0,Vendedor14!$C$23)</f>
        <v>41700</v>
      </c>
      <c r="H17" s="30">
        <f>IF(Vendedor14!$E$23="",0,Vendedor14!$E$23)</f>
        <v>350</v>
      </c>
      <c r="J17" s="42">
        <f t="shared" si="0"/>
        <v>101900</v>
      </c>
      <c r="K17" s="41">
        <f>MROUND(J17*Vendedor14!J$15,50)</f>
        <v>12250</v>
      </c>
      <c r="L17" s="42">
        <f t="shared" si="1"/>
        <v>850</v>
      </c>
      <c r="M17" s="42">
        <f t="shared" si="3"/>
        <v>72250</v>
      </c>
      <c r="N17" s="42">
        <f>Vendedor14!$F$21+Vendedor14!$F$22+Vendedor14!$F$23</f>
        <v>72250</v>
      </c>
      <c r="P17" s="42">
        <f t="shared" si="2"/>
        <v>17400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18400</v>
      </c>
      <c r="D18" s="30">
        <f>IF(Vendedor15!$E$21="",0,Vendedor15!$E$21)</f>
        <v>0</v>
      </c>
      <c r="E18" s="180">
        <f>IF(Vendedor15!$C$22="",0,Vendedor15!$C$22)</f>
        <v>4900</v>
      </c>
      <c r="F18" s="30">
        <f>IF(Vendedor15!$E$22="",0,Vendedor15!$E$22)</f>
        <v>0</v>
      </c>
      <c r="G18" s="180">
        <f>IF(Vendedor15!$C$23="",0,Vendedor15!$C$23)</f>
        <v>4800</v>
      </c>
      <c r="H18" s="30">
        <f>IF(Vendedor15!$E$23="",0,Vendedor15!$E$23)</f>
        <v>0</v>
      </c>
      <c r="J18" s="42">
        <f t="shared" si="0"/>
        <v>28100</v>
      </c>
      <c r="K18" s="41">
        <f>MROUND(J18*Vendedor15!J$15,50)</f>
        <v>3350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24750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151550</v>
      </c>
      <c r="D32" s="44">
        <f t="shared" si="8"/>
        <v>500</v>
      </c>
      <c r="E32" s="43">
        <f t="shared" si="8"/>
        <v>81100</v>
      </c>
      <c r="F32" s="44">
        <f t="shared" si="8"/>
        <v>0</v>
      </c>
      <c r="G32" s="43">
        <f t="shared" si="8"/>
        <v>72150</v>
      </c>
      <c r="H32" s="44">
        <f t="shared" si="8"/>
        <v>2350</v>
      </c>
      <c r="J32" s="95">
        <f>SUM(J4:J31)</f>
        <v>304800</v>
      </c>
      <c r="K32" s="45">
        <f>SUM(K7:K31)</f>
        <v>36600</v>
      </c>
      <c r="L32" s="95"/>
      <c r="M32" s="95">
        <f>SUM(M4:M31)</f>
        <v>242250</v>
      </c>
      <c r="N32" s="95">
        <f>SUM(N4:N31)</f>
        <v>242250</v>
      </c>
      <c r="P32" s="79">
        <f>SUM(P4:P31)</f>
        <v>25950</v>
      </c>
    </row>
    <row r="33" spans="3:8" x14ac:dyDescent="0.35">
      <c r="D33" s="99">
        <f>+D32*85</f>
        <v>42500</v>
      </c>
      <c r="F33" s="99">
        <f>+F32*85</f>
        <v>0</v>
      </c>
      <c r="H33" s="99">
        <f>+H32*85</f>
        <v>199750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304800</v>
      </c>
      <c r="E36" s="43">
        <f>+D36-J4-J5-J6</f>
        <v>304800</v>
      </c>
    </row>
    <row r="37" spans="3:8" x14ac:dyDescent="0.35">
      <c r="C37" s="47" t="s">
        <v>33</v>
      </c>
      <c r="D37" s="48">
        <f>D36*13%</f>
        <v>39624</v>
      </c>
      <c r="E37">
        <f>+D37-K4-K5-K6</f>
        <v>39624</v>
      </c>
    </row>
    <row r="38" spans="3:8" ht="15" thickBot="1" x14ac:dyDescent="0.4">
      <c r="C38" s="47" t="s">
        <v>30</v>
      </c>
      <c r="D38" s="30">
        <f>SUM(M4:M27)</f>
        <v>242250</v>
      </c>
      <c r="G38" s="100"/>
    </row>
    <row r="39" spans="3:8" ht="15" thickBot="1" x14ac:dyDescent="0.4">
      <c r="C39" s="49" t="s">
        <v>4</v>
      </c>
      <c r="D39" s="80">
        <f>+D36-D37-D38</f>
        <v>22926</v>
      </c>
      <c r="F39" s="98">
        <f>+P32-D39</f>
        <v>3024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22926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27</v>
      </c>
      <c r="D2" s="268"/>
      <c r="E2" s="267">
        <f>DigitaDOMINICANA!E2</f>
        <v>59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37000</v>
      </c>
      <c r="D10" s="30">
        <f>IF(Vendedor7!$E$24="",0,Vendedor7!$E$24)</f>
        <v>0</v>
      </c>
      <c r="E10" s="180">
        <f>IF(Vendedor7!$C$25="",0,Vendedor7!$C$25)</f>
        <v>46400</v>
      </c>
      <c r="F10" s="30">
        <f>IF(Vendedor7!$E$25="",0,Vendedor7!$E$25)</f>
        <v>0</v>
      </c>
      <c r="H10" s="42">
        <f t="shared" si="1"/>
        <v>83400</v>
      </c>
      <c r="I10" s="41">
        <f>MROUND(H10*Vendedor7!J$14,50)</f>
        <v>10000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73400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37000</v>
      </c>
      <c r="D32" s="44">
        <f>SUM(D4:D31)</f>
        <v>0</v>
      </c>
      <c r="E32" s="43">
        <f>SUM(E4:E31)</f>
        <v>46400</v>
      </c>
      <c r="F32" s="44">
        <f>SUM(F4:F31)</f>
        <v>0</v>
      </c>
      <c r="H32" s="95">
        <f>SUM(H4:H31)</f>
        <v>83400</v>
      </c>
      <c r="I32" s="45">
        <f>SUM(I7:I31)</f>
        <v>10000</v>
      </c>
      <c r="J32" s="95"/>
      <c r="K32" s="95">
        <f>SUM(K4:K31)</f>
        <v>0</v>
      </c>
      <c r="L32" s="95">
        <f>SUM(L4:L31)</f>
        <v>0</v>
      </c>
      <c r="N32" s="79">
        <f>SUM(N4:N31)</f>
        <v>73400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83400</v>
      </c>
      <c r="E36" s="43">
        <f>+D36-H4-H5-H6</f>
        <v>83400</v>
      </c>
    </row>
    <row r="37" spans="3:6" x14ac:dyDescent="0.35">
      <c r="C37" s="47" t="s">
        <v>33</v>
      </c>
      <c r="D37" s="48">
        <f>D36*13%</f>
        <v>10842</v>
      </c>
      <c r="E37">
        <f>+D37-I4-I5-I6</f>
        <v>10842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72558</v>
      </c>
      <c r="F39" s="98">
        <f>+N32-D39</f>
        <v>842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72558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61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12-04-2026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1144000</v>
      </c>
      <c r="C4" s="157">
        <f>HojaNICA!M32</f>
        <v>137300</v>
      </c>
      <c r="D4" s="150">
        <f>HojaNICA!E37</f>
        <v>148722.5</v>
      </c>
      <c r="E4" s="150">
        <f>HojaNICA!P32</f>
        <v>1379750</v>
      </c>
      <c r="F4" s="150">
        <f>HojaNICA!O32</f>
        <v>1385500</v>
      </c>
      <c r="G4" s="151">
        <f t="shared" ref="G4:G10" si="0">+D4-C4+F4-E4</f>
        <v>17172.5</v>
      </c>
      <c r="H4" s="21"/>
      <c r="I4" s="182"/>
    </row>
    <row r="5" spans="1:9" x14ac:dyDescent="0.35">
      <c r="A5" s="28" t="s">
        <v>19</v>
      </c>
      <c r="B5" s="156">
        <f>HojaTICA!$E$36</f>
        <v>1402750</v>
      </c>
      <c r="C5" s="157">
        <f>HojaTICA!K32</f>
        <v>171750</v>
      </c>
      <c r="D5" s="150">
        <f>HojaTICA!E37</f>
        <v>182392</v>
      </c>
      <c r="E5" s="150">
        <f>HojaTICA!N32</f>
        <v>892500</v>
      </c>
      <c r="F5" s="150">
        <f>HojaTICA!D38</f>
        <v>892500</v>
      </c>
      <c r="G5" s="151">
        <f t="shared" si="0"/>
        <v>10642</v>
      </c>
      <c r="H5" s="21"/>
      <c r="I5" s="182"/>
    </row>
    <row r="6" spans="1:9" x14ac:dyDescent="0.35">
      <c r="A6" s="28" t="s">
        <v>125</v>
      </c>
      <c r="B6" s="156">
        <f>HojaREVENTADO!$E$37</f>
        <v>225700</v>
      </c>
      <c r="C6" s="157">
        <f>HojaREVENTADO!K33</f>
        <v>22570</v>
      </c>
      <c r="D6" s="150">
        <f>HojaREVENTADO!E38</f>
        <v>22570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369250</v>
      </c>
      <c r="C7" s="157">
        <f>HojaPrimera!I32</f>
        <v>44300</v>
      </c>
      <c r="D7" s="150">
        <f>HojaPrimera!E37</f>
        <v>48028.5</v>
      </c>
      <c r="E7" s="150">
        <f>HojaPrimera!L32</f>
        <v>1364500</v>
      </c>
      <c r="F7" s="150">
        <f>HojaPrimera!K32</f>
        <v>1368500</v>
      </c>
      <c r="G7" s="151">
        <f t="shared" si="0"/>
        <v>7728.5</v>
      </c>
      <c r="H7" s="21"/>
      <c r="I7" s="21"/>
    </row>
    <row r="8" spans="1:9" x14ac:dyDescent="0.35">
      <c r="A8" s="28" t="s">
        <v>104</v>
      </c>
      <c r="B8" s="156">
        <f>HojaHonduras!$E$36</f>
        <v>304800</v>
      </c>
      <c r="C8" s="157">
        <f>HojaHonduras!K32</f>
        <v>36600</v>
      </c>
      <c r="D8" s="150">
        <f>HojaHonduras!E37</f>
        <v>39624</v>
      </c>
      <c r="E8" s="150">
        <f>HojaHonduras!N32</f>
        <v>242250</v>
      </c>
      <c r="F8" s="150">
        <f>HojaHonduras!M32</f>
        <v>242250</v>
      </c>
      <c r="G8" s="151">
        <f t="shared" si="0"/>
        <v>3024</v>
      </c>
      <c r="H8" s="21"/>
      <c r="I8" s="21"/>
    </row>
    <row r="9" spans="1:9" x14ac:dyDescent="0.35">
      <c r="A9" s="28" t="s">
        <v>20</v>
      </c>
      <c r="B9" s="156">
        <f>HojaDominicana!$E$36</f>
        <v>83400</v>
      </c>
      <c r="C9" s="157">
        <f>HojaDominicana!I32</f>
        <v>10000</v>
      </c>
      <c r="D9" s="150">
        <f>HojaDominicana!E37</f>
        <v>10842</v>
      </c>
      <c r="E9" s="150">
        <f>HojaDominicana!L32</f>
        <v>0</v>
      </c>
      <c r="F9" s="150">
        <f>HojaDominicana!K32</f>
        <v>0</v>
      </c>
      <c r="G9" s="151">
        <f t="shared" si="0"/>
        <v>842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3529900</v>
      </c>
      <c r="C11" s="175">
        <f>SUM(C4:C10)</f>
        <v>422520</v>
      </c>
      <c r="D11" s="175">
        <f t="shared" ref="D11:F11" si="1">SUM(D4:D10)</f>
        <v>452179</v>
      </c>
      <c r="E11" s="175">
        <f t="shared" si="1"/>
        <v>3879000</v>
      </c>
      <c r="F11" s="175">
        <f t="shared" si="1"/>
        <v>3888750</v>
      </c>
      <c r="G11" s="176">
        <f>SUM(G4:G10)</f>
        <v>39409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4409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304900</v>
      </c>
      <c r="E16" s="157">
        <f>+Vendedor1!D21</f>
        <v>39637</v>
      </c>
      <c r="F16" s="158">
        <f>IF(D16&lt;&gt;0,15000,0)</f>
        <v>15000</v>
      </c>
      <c r="G16" s="151">
        <f>+E16-F16</f>
        <v>24637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195200</v>
      </c>
      <c r="E17" s="157">
        <f>+Vendedor2!D21</f>
        <v>25376</v>
      </c>
      <c r="F17" s="158">
        <f>IF(D17&lt;&gt;0,15000,0)</f>
        <v>15000</v>
      </c>
      <c r="G17" s="151">
        <f>+E17-F17</f>
        <v>10376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500100</v>
      </c>
      <c r="E19" s="159">
        <f>SUM(E16:E18)</f>
        <v>65013</v>
      </c>
      <c r="F19" s="160">
        <f>SUM(F16:F18)</f>
        <v>30000</v>
      </c>
      <c r="G19" s="161">
        <f>SUM(G16:G18)</f>
        <v>35013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1700</v>
      </c>
      <c r="E22" s="157">
        <f>-Vendedor24!D27</f>
        <v>204</v>
      </c>
      <c r="F22" s="158">
        <f>-Vendedor24!F27</f>
        <v>34000</v>
      </c>
      <c r="G22" s="151">
        <f>+D22-E22-F22</f>
        <v>-32504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6918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12-04-2026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1248250</v>
      </c>
      <c r="C5" s="150">
        <f>HojaNICA!D37</f>
        <v>162272.5</v>
      </c>
      <c r="D5" s="150">
        <f>HojaNICA!D38</f>
        <v>1385500</v>
      </c>
      <c r="E5" s="150"/>
      <c r="F5" s="151">
        <f>+B5-C5-D5+E5</f>
        <v>-299522.5</v>
      </c>
      <c r="H5" s="249" t="s">
        <v>105</v>
      </c>
      <c r="I5" s="243">
        <f ca="1">TODAY()-5</f>
        <v>46124</v>
      </c>
      <c r="O5" s="119"/>
    </row>
    <row r="6" spans="1:15" ht="15" thickBot="1" x14ac:dyDescent="0.4">
      <c r="A6" s="47" t="s">
        <v>36</v>
      </c>
      <c r="B6" s="150">
        <f>HojaTICA!D36</f>
        <v>1778400</v>
      </c>
      <c r="C6" s="150">
        <f>HojaTICA!D37</f>
        <v>231192</v>
      </c>
      <c r="D6" s="150">
        <f>HojaTICA!D38</f>
        <v>892500</v>
      </c>
      <c r="E6" s="150"/>
      <c r="F6" s="151">
        <f t="shared" ref="F6:F11" si="0">+B6-C6-D6+E6</f>
        <v>654708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225700</v>
      </c>
      <c r="C7" s="150">
        <f>HojaREVENTADO!D38</f>
        <v>22570</v>
      </c>
      <c r="D7" s="150">
        <f>HojaREVENTADO!D39</f>
        <v>0</v>
      </c>
      <c r="E7" s="150"/>
      <c r="F7" s="151">
        <f t="shared" si="0"/>
        <v>203130</v>
      </c>
    </row>
    <row r="8" spans="1:15" x14ac:dyDescent="0.35">
      <c r="A8" s="47" t="s">
        <v>96</v>
      </c>
      <c r="B8" s="150">
        <f>HojaPrimera!$D36</f>
        <v>389450</v>
      </c>
      <c r="C8" s="150">
        <f>HojaPrimera!$D37</f>
        <v>50628.5</v>
      </c>
      <c r="D8" s="150">
        <f>HojaPrimera!$D38</f>
        <v>1368500</v>
      </c>
      <c r="E8" s="150"/>
      <c r="F8" s="151">
        <f t="shared" si="0"/>
        <v>-1029678.5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304800</v>
      </c>
      <c r="C9" s="150">
        <f>HojaHonduras!$D37</f>
        <v>39624</v>
      </c>
      <c r="D9" s="150">
        <f>HojaHonduras!$D38</f>
        <v>242250</v>
      </c>
      <c r="E9" s="150"/>
      <c r="F9" s="151">
        <f t="shared" si="0"/>
        <v>22926</v>
      </c>
      <c r="H9" s="250">
        <f>+K12-K10-H6</f>
        <v>-375879</v>
      </c>
    </row>
    <row r="10" spans="1:15" ht="15" thickBot="1" x14ac:dyDescent="0.4">
      <c r="A10" s="47" t="s">
        <v>20</v>
      </c>
      <c r="B10" s="150">
        <f>HojaDominicana!$D36</f>
        <v>83400</v>
      </c>
      <c r="C10" s="150">
        <f>HojaDominicana!$D37</f>
        <v>10842</v>
      </c>
      <c r="D10" s="150">
        <f>HojaDominicana!$D38</f>
        <v>0</v>
      </c>
      <c r="E10" s="150"/>
      <c r="F10" s="151">
        <f t="shared" si="0"/>
        <v>72558</v>
      </c>
      <c r="H10" s="154"/>
      <c r="J10" t="s">
        <v>148</v>
      </c>
      <c r="K10" s="252">
        <v>3545165.16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3169286.16</v>
      </c>
    </row>
    <row r="12" spans="1:15" ht="16" thickBot="1" x14ac:dyDescent="0.4">
      <c r="A12" s="144" t="s">
        <v>5</v>
      </c>
      <c r="B12" s="152">
        <f>SUM(B5:B11)</f>
        <v>4030000</v>
      </c>
      <c r="C12" s="152">
        <f>SUM(C5:C11)</f>
        <v>517129</v>
      </c>
      <c r="D12" s="152">
        <f>SUM(D5:D11)</f>
        <v>3888750</v>
      </c>
      <c r="E12" s="152"/>
      <c r="F12" s="255">
        <f>SUM(F5:F11)</f>
        <v>-375879</v>
      </c>
      <c r="H12" s="251">
        <f>K12</f>
        <v>3169286.16</v>
      </c>
      <c r="J12" t="s">
        <v>140</v>
      </c>
      <c r="K12" s="254">
        <f>-1855000.11+3593254.99+74364.8+1356666.48</f>
        <v>3169286.16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220500</v>
      </c>
      <c r="K4" s="231">
        <f t="shared" ref="K4" si="0">D7+D11+D15</f>
        <v>28665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IF(DigitaNICA!C4&lt;&gt;"",DigitaNICA!C4,"")</f>
        <v>27600</v>
      </c>
      <c r="D5" s="42">
        <f>IF(C5="",0,C5*J$10)</f>
        <v>3588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16012</v>
      </c>
      <c r="I5" s="241" t="s">
        <v>37</v>
      </c>
      <c r="J5" s="221">
        <f>SUM(IF(C5="",0,C5),IF(C9="",0,C9),IF(C13="",0,C13),IF(C17="",0,C17))</f>
        <v>71200</v>
      </c>
      <c r="K5" s="225">
        <f t="shared" ref="K5" si="2">D5+D9+D13+D17</f>
        <v>9256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13200</v>
      </c>
      <c r="K6" s="228">
        <f>D19+D20</f>
        <v>1716</v>
      </c>
      <c r="L6" s="229">
        <f>F19+F20</f>
        <v>48000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IF(DigitaTICA!C4&lt;&gt;"",DigitaTICA!C4,"")</f>
        <v>82900</v>
      </c>
      <c r="D7" s="42">
        <f>IF(C7="",0,C7*J$9)</f>
        <v>10777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72123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14</v>
      </c>
      <c r="C9" s="29">
        <f>IF(DigitaNICA!E4&lt;&gt;"",DigitaNICA!E4,"")</f>
        <v>26400</v>
      </c>
      <c r="D9" s="42">
        <f>IF(C9="",0,C9*J$10)</f>
        <v>3432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22968</v>
      </c>
      <c r="I9" s="76" t="s">
        <v>36</v>
      </c>
      <c r="J9" s="77">
        <v>0.13</v>
      </c>
      <c r="K9" s="78">
        <f>MROUND(D7+D11+D15,50)</f>
        <v>28650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9250</v>
      </c>
    </row>
    <row r="11" spans="1:12" x14ac:dyDescent="0.35">
      <c r="A11" s="28" t="s">
        <v>59</v>
      </c>
      <c r="B11" s="132">
        <f>IF(DigitaTICA!E2&lt;&gt;"",DigitaTICA!E2,"")</f>
        <v>74</v>
      </c>
      <c r="C11" s="29">
        <f>IF(DigitaTICA!E4&lt;&gt;"",DigitaTICA!E4,"")</f>
        <v>45550</v>
      </c>
      <c r="D11" s="42">
        <f>IF(C11="",0,C11*J$9)</f>
        <v>5921.5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39628.5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1700</v>
      </c>
    </row>
    <row r="13" spans="1:12" x14ac:dyDescent="0.35">
      <c r="A13" s="28" t="s">
        <v>50</v>
      </c>
      <c r="B13" s="132">
        <f>IF(DigitaNICA!G2&lt;&gt;"",DigitaNICA!G2,"")</f>
        <v>64</v>
      </c>
      <c r="C13" s="29">
        <f>IF(DigitaNICA!G4&lt;&gt;"",DigitaNICA!G4,"")</f>
        <v>15700</v>
      </c>
      <c r="D13" s="42">
        <f>IF(C13="",0,C13*J$10)</f>
        <v>2041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13659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IF(DigitaTICA!G4&lt;&gt;"",DigitaTICA!G4,"")</f>
        <v>92050</v>
      </c>
      <c r="D15" s="42">
        <f>IF(C15="",0,C15*J$9)</f>
        <v>11966.5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-4916.5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>
        <f>IF(DigitaNICA!I4&lt;&gt;"",DigitaNICA!I4,"")</f>
        <v>1500</v>
      </c>
      <c r="D17" s="42">
        <f>IF(C17="",0,C17*J$10)</f>
        <v>195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>
        <f>IF(DigitaPRIMERA!C4&lt;&gt;"",DigitaPRIMERA!C4,"")</f>
        <v>13000</v>
      </c>
      <c r="D19" s="42">
        <f>IF(C19="",0,C19*J$12)</f>
        <v>1690</v>
      </c>
      <c r="E19" s="29">
        <f>IF(DigitaPRIMERA!D4&lt;&gt;"",DigitaPRIMERA!D4,"")</f>
        <v>400</v>
      </c>
      <c r="F19" s="42">
        <f>IF(E19="",0,E19*PREMIOS!E19)</f>
        <v>32000</v>
      </c>
      <c r="G19" s="30">
        <f t="shared" ref="G19" si="4">IF(OR(C19="",E19=""),0,C19-D19-F19)</f>
        <v>-20690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>
        <f>IF(DigitaPRIMERA!E4&lt;&gt;"",DigitaPRIMERA!E4,"")</f>
        <v>200</v>
      </c>
      <c r="D20" s="42">
        <f>IF(C20="",0,C20*J$12)</f>
        <v>26</v>
      </c>
      <c r="E20" s="29">
        <f>IF(DigitaPRIMERA!F4&lt;&gt;"",DigitaPRIMERA!F4,"")</f>
        <v>200</v>
      </c>
      <c r="F20" s="42">
        <f>IF(E20="",0,E20*PREMIOS!E19)</f>
        <v>16000</v>
      </c>
      <c r="G20" s="30">
        <f t="shared" ref="G20" si="5">IF(OR(C20="",E20=""),0,C20-D20-F20)</f>
        <v>-15826</v>
      </c>
    </row>
    <row r="21" spans="1:7" ht="15" thickBot="1" x14ac:dyDescent="0.4">
      <c r="A21" s="121" t="s">
        <v>5</v>
      </c>
      <c r="B21" s="128"/>
      <c r="C21" s="122">
        <f>SUM(C5:C20)</f>
        <v>304900</v>
      </c>
      <c r="D21" s="122">
        <f t="shared" ref="D21:G21" si="6">SUM(D5:D20)</f>
        <v>39637</v>
      </c>
      <c r="E21" s="122">
        <f t="shared" si="6"/>
        <v>1700</v>
      </c>
      <c r="F21" s="122">
        <f t="shared" si="6"/>
        <v>141000</v>
      </c>
      <c r="G21" s="123">
        <f t="shared" si="6"/>
        <v>124263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155150</v>
      </c>
      <c r="K4" s="231">
        <f t="shared" ref="K4" si="0">D7+D11+D15</f>
        <v>20169.5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IF(DigitaNICA!C5&lt;&gt;"",DigitaNICA!C5,"")</f>
        <v>20000</v>
      </c>
      <c r="D5" s="42">
        <f>IF(C5="",0,C5*J$10)</f>
        <v>2600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17400</v>
      </c>
      <c r="I5" s="241" t="s">
        <v>37</v>
      </c>
      <c r="J5" s="221">
        <f>SUM(IF(C5="",0,C5),IF(C9="",0,C9),IF(C13="",0,C13),IF(C17="",0,C17))</f>
        <v>33050</v>
      </c>
      <c r="K5" s="225">
        <f t="shared" ref="K5" si="2">D5+D9+D13+D17</f>
        <v>4296.5</v>
      </c>
      <c r="L5" s="222">
        <f>F5+F9+F13+F17</f>
        <v>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7000</v>
      </c>
      <c r="K6" s="228">
        <f>D19+D20</f>
        <v>910</v>
      </c>
      <c r="L6" s="229">
        <f>F19+F20</f>
        <v>16000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IF(DigitaTICA!C5&lt;&gt;"",DigitaTICA!C5,"")</f>
        <v>61350</v>
      </c>
      <c r="D7" s="42">
        <f>IF(C7="",0,C7*J$9)</f>
        <v>7975.5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53374.5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14</v>
      </c>
      <c r="C9" s="29">
        <f>IF(DigitaNICA!E5&lt;&gt;"",DigitaNICA!E5,"")</f>
        <v>7950</v>
      </c>
      <c r="D9" s="42">
        <f>IF(C9="",0,C9*J$10)</f>
        <v>1033.5</v>
      </c>
      <c r="E9" s="29">
        <f>IF(DigitaNICA!F5&lt;&gt;"",DigitaNICA!F5,"")</f>
        <v>750</v>
      </c>
      <c r="F9" s="42">
        <f>IF(E9="",0,E9*PREMIOS!E9)</f>
        <v>60000</v>
      </c>
      <c r="G9" s="30">
        <f t="shared" si="1"/>
        <v>-53083.5</v>
      </c>
      <c r="I9" s="60" t="s">
        <v>36</v>
      </c>
      <c r="J9" s="61">
        <v>0.13</v>
      </c>
      <c r="K9" s="62">
        <f>MROUND(D7+D11+D15,50)</f>
        <v>20150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4300</v>
      </c>
    </row>
    <row r="11" spans="1:12" x14ac:dyDescent="0.35">
      <c r="A11" s="28" t="s">
        <v>59</v>
      </c>
      <c r="B11" s="132">
        <f>IF(DigitaTICA!E2&lt;&gt;"",DigitaTICA!E2,"")</f>
        <v>74</v>
      </c>
      <c r="C11" s="29">
        <f>IF(DigitaTICA!E5&lt;&gt;"",DigitaTICA!E5,"")</f>
        <v>33200</v>
      </c>
      <c r="D11" s="42">
        <f>IF(C11="",0,C11*J$9)</f>
        <v>4316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28884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2">
        <f>IF(DigitaNICA!G2&lt;&gt;"",DigitaNICA!G2,"")</f>
        <v>64</v>
      </c>
      <c r="C13" s="29">
        <f>IF(DigitaNICA!G5&lt;&gt;"",DigitaNICA!G5,"")</f>
        <v>3600</v>
      </c>
      <c r="D13" s="42">
        <f>IF(C13="",0,C13*J$10)</f>
        <v>468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3132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IF(DigitaTICA!G5&lt;&gt;"",DigitaTICA!G5,"")</f>
        <v>60600</v>
      </c>
      <c r="D15" s="42">
        <f>IF(C15="",0,C15*J$9)</f>
        <v>7878</v>
      </c>
      <c r="E15" s="29">
        <f>IF(DigitaTICA!H5&lt;&gt;"",DigitaTICA!H5,"")</f>
        <v>200</v>
      </c>
      <c r="F15" s="42">
        <f>IF(E15="",0,E15*PREMIOS!F15)</f>
        <v>17000</v>
      </c>
      <c r="G15" s="30">
        <f t="shared" si="3"/>
        <v>35722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>
        <f>IF(DigitaNICA!I5&lt;&gt;"",DigitaNICA!I5,"")</f>
        <v>1500</v>
      </c>
      <c r="D17" s="42">
        <f>IF(C17="",0,C17*J$10)</f>
        <v>195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>
        <f>IF(DigitaPRIMERA!C5&lt;&gt;"",DigitaPRIMERA!C5,"")</f>
        <v>5500</v>
      </c>
      <c r="D19" s="42">
        <f>IF(C19="",0,C19*J$12)</f>
        <v>715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4785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>
        <f>IF(DigitaPRIMERA!E5&lt;&gt;"",DigitaPRIMERA!E5,"")</f>
        <v>1500</v>
      </c>
      <c r="D20" s="42">
        <f>IF(C20="",0,C20*J$12)</f>
        <v>195</v>
      </c>
      <c r="E20" s="29">
        <f>IF(DigitaPRIMERA!F5&lt;&gt;"",DigitaPRIMERA!F5,"")</f>
        <v>200</v>
      </c>
      <c r="F20" s="42">
        <f>IF(E20="",0,E20*PREMIOS!E19)</f>
        <v>16000</v>
      </c>
      <c r="G20" s="30">
        <f t="shared" si="3"/>
        <v>-14695</v>
      </c>
    </row>
    <row r="21" spans="1:7" ht="15" thickBot="1" x14ac:dyDescent="0.4">
      <c r="A21" s="67" t="s">
        <v>5</v>
      </c>
      <c r="B21" s="127"/>
      <c r="C21" s="68">
        <f>SUM(C5:C20)</f>
        <v>195200</v>
      </c>
      <c r="D21" s="68">
        <f t="shared" ref="D21:G21" si="4">SUM(D5:D20)</f>
        <v>25376</v>
      </c>
      <c r="E21" s="68">
        <f t="shared" si="4"/>
        <v>1150</v>
      </c>
      <c r="F21" s="68">
        <f t="shared" si="4"/>
        <v>93000</v>
      </c>
      <c r="G21" s="88">
        <f t="shared" si="4"/>
        <v>76824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74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74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64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588250</v>
      </c>
      <c r="K4" s="231">
        <f t="shared" ref="K4" si="0">D7+D11+D15</f>
        <v>70590</v>
      </c>
      <c r="L4" s="220">
        <f>F7+F11+F15</f>
        <v>195500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IF(DigitaNICA!C10&lt;&gt;"",DigitaNICA!C10,"")</f>
        <v>134250</v>
      </c>
      <c r="D5" s="42">
        <f>IF(C5="",0,C5*J$15)</f>
        <v>16110</v>
      </c>
      <c r="E5" s="29">
        <f>IF(DigitaNICA!D10&lt;&gt;"",DigitaNICA!D10,"")</f>
        <v>1450</v>
      </c>
      <c r="F5" s="42">
        <f>IF(E5="",0,E5*PREMIOS!F5)</f>
        <v>123250</v>
      </c>
      <c r="G5" s="30">
        <f t="shared" ref="G5:G12" si="1">IF(OR(C5="",E5=""),0,C5-D5-F5)</f>
        <v>-5110</v>
      </c>
      <c r="I5" s="217" t="s">
        <v>37</v>
      </c>
      <c r="J5" s="221">
        <f>SUM(IF(C5="",0,C5),IF(C9="",0,C9),IF(C13="",0,C13),IF(C17="",0,C17))</f>
        <v>456700</v>
      </c>
      <c r="K5" s="225">
        <f t="shared" ref="K5" si="2">D5+D9+D13+D17</f>
        <v>54804</v>
      </c>
      <c r="L5" s="222">
        <f>F5+F9+F13+F17</f>
        <v>714000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97300</v>
      </c>
      <c r="K6" s="226">
        <f t="shared" ref="K6" si="3">+D8+D12+D16</f>
        <v>9730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29">
        <f>IF(DigitaTICA!C10&lt;&gt;"",DigitaTICA!C10,"")</f>
        <v>258350</v>
      </c>
      <c r="D7" s="42">
        <f>IF(C7="",0,C7*J$14)</f>
        <v>31002</v>
      </c>
      <c r="E7" s="29">
        <f>IF(DigitaTICA!D10&lt;&gt;"",DigitaTICA!D10,"")</f>
        <v>1050</v>
      </c>
      <c r="F7" s="42">
        <f>IF(E7="",0,E7*PREMIOS!F7)</f>
        <v>89250</v>
      </c>
      <c r="G7" s="30">
        <f t="shared" si="1"/>
        <v>138098</v>
      </c>
      <c r="I7" s="217" t="s">
        <v>96</v>
      </c>
      <c r="J7" s="223">
        <f>SUM(IF(C19="",0,C19),IF(C20="",0,C20))</f>
        <v>100100</v>
      </c>
      <c r="K7" s="226">
        <f>+D19+D20</f>
        <v>12012</v>
      </c>
      <c r="L7" s="227">
        <f>+F19+F20</f>
        <v>352750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31600</v>
      </c>
      <c r="D8" s="42">
        <f>IF(C8="",0,C8*J$16)</f>
        <v>3160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28440</v>
      </c>
      <c r="I8" s="217" t="s">
        <v>104</v>
      </c>
      <c r="J8" s="223">
        <f>SUM(IF(C21="",0,C21),IF(C22="",0,C22),IF(C23="",0,C23))</f>
        <v>169050</v>
      </c>
      <c r="K8" s="226">
        <f t="shared" ref="K8" si="4">D21+D22+D23</f>
        <v>20286</v>
      </c>
      <c r="L8" s="227">
        <f>F21+F22+F23</f>
        <v>170000</v>
      </c>
    </row>
    <row r="9" spans="1:12" x14ac:dyDescent="0.35">
      <c r="A9" s="28" t="s">
        <v>48</v>
      </c>
      <c r="B9" s="132">
        <f>IF(DigitaNICA!E2&lt;&gt;"",DigitaNICA!E2,"")</f>
        <v>14</v>
      </c>
      <c r="C9" s="29">
        <f>IF(DigitaNICA!E10&lt;&gt;"",DigitaNICA!E10,"")</f>
        <v>113550</v>
      </c>
      <c r="D9" s="42">
        <f>IF(C9="",0,C9*J$15)</f>
        <v>13626</v>
      </c>
      <c r="E9" s="29">
        <f>IF(DigitaNICA!F10&lt;&gt;"",DigitaNICA!F10,"")</f>
        <v>4050</v>
      </c>
      <c r="F9" s="42">
        <f>IF(E9="",0,E9*PREMIOS!F9)</f>
        <v>344250</v>
      </c>
      <c r="G9" s="30">
        <f t="shared" si="1"/>
        <v>-244326</v>
      </c>
      <c r="I9" s="217" t="s">
        <v>20</v>
      </c>
      <c r="J9" s="223">
        <f>SUM(IF(C24="",0,C24),IF(C25="",0,C25))</f>
        <v>83400</v>
      </c>
      <c r="K9" s="226">
        <f t="shared" ref="K9" si="5">+D24+D25</f>
        <v>10008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74</v>
      </c>
      <c r="C11" s="29">
        <f>IF(DigitaTICA!E10&lt;&gt;"",DigitaTICA!E10,"")</f>
        <v>150400</v>
      </c>
      <c r="D11" s="42">
        <f>IF(C11="",0,C11*J$14)</f>
        <v>18048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132352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28650</v>
      </c>
      <c r="D12" s="42">
        <f>IF(C12="",0,C12*J$16)</f>
        <v>2865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25785</v>
      </c>
    </row>
    <row r="13" spans="1:12" ht="15" thickBot="1" x14ac:dyDescent="0.4">
      <c r="A13" s="28" t="s">
        <v>50</v>
      </c>
      <c r="B13" s="132">
        <f>IF(DigitaNICA!G2&lt;&gt;"",DigitaNICA!G2,"")</f>
        <v>64</v>
      </c>
      <c r="C13" s="29">
        <f>IF(DigitaNICA!G10&lt;&gt;"",DigitaNICA!G10,"")</f>
        <v>66000</v>
      </c>
      <c r="D13" s="42">
        <f>IF(C13="",0,C13*J$15)</f>
        <v>7920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58080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70600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IF(DigitaTICA!G10&lt;&gt;"",DigitaTICA!G10,"")</f>
        <v>179500</v>
      </c>
      <c r="D15" s="42">
        <f>IF(C15="",0,C15*J$14)</f>
        <v>21540</v>
      </c>
      <c r="E15" s="29">
        <f>IF(DigitaTICA!H10&lt;&gt;"",DigitaTICA!H10,"")</f>
        <v>1250</v>
      </c>
      <c r="F15" s="42">
        <f>IF(E15="",0,E15*PREMIOS!F15)</f>
        <v>106250</v>
      </c>
      <c r="G15" s="30">
        <f t="shared" si="6"/>
        <v>51710</v>
      </c>
      <c r="I15" s="63" t="s">
        <v>37</v>
      </c>
      <c r="J15" s="64">
        <v>0.12</v>
      </c>
      <c r="K15" s="30">
        <f>MROUND(D5+D9+D13+D17,50)</f>
        <v>54800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37050</v>
      </c>
      <c r="D16" s="42">
        <f>IF(C16="",0,C16*J$16)</f>
        <v>3705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33345</v>
      </c>
      <c r="I16" s="63" t="s">
        <v>38</v>
      </c>
      <c r="J16" s="64">
        <v>0.1</v>
      </c>
      <c r="K16" s="30">
        <f>MROUND(D6+D8+D10+D12+D14+D16+D18,50)</f>
        <v>9750</v>
      </c>
    </row>
    <row r="17" spans="1:11" x14ac:dyDescent="0.35">
      <c r="A17" s="28" t="s">
        <v>52</v>
      </c>
      <c r="B17" s="132">
        <f>IF(DigitaNICA!I2&lt;&gt;"",DigitaNICA!I2,"")</f>
        <v>26</v>
      </c>
      <c r="C17" s="29">
        <f>IF(DigitaNICA!I10&lt;&gt;"",DigitaNICA!I10,"")</f>
        <v>142900</v>
      </c>
      <c r="D17" s="42">
        <f>IF(C17="",0,C17*J$15)</f>
        <v>17148</v>
      </c>
      <c r="E17" s="29">
        <f>IF(DigitaNICA!J10&lt;&gt;"",DigitaNICA!J10,"")</f>
        <v>2900</v>
      </c>
      <c r="F17" s="42">
        <f>IF(E17="",0,E17*PREMIOS!F17)</f>
        <v>246500</v>
      </c>
      <c r="G17" s="30">
        <f t="shared" si="6"/>
        <v>-120748</v>
      </c>
      <c r="I17" s="63" t="s">
        <v>96</v>
      </c>
      <c r="J17" s="64">
        <v>0.12</v>
      </c>
      <c r="K17" s="30">
        <f>MROUND(D19+D20,50)</f>
        <v>12000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20300</v>
      </c>
    </row>
    <row r="19" spans="1:11" x14ac:dyDescent="0.35">
      <c r="A19" s="28" t="s">
        <v>97</v>
      </c>
      <c r="B19" s="132" t="str">
        <f>IF(DigitaPRIMERA!C2&lt;&gt;"",DigitaPRIMERA!C2,"")</f>
        <v>01</v>
      </c>
      <c r="C19" s="29">
        <f>IF(DigitaPRIMERA!$C$10&lt;&gt;"",DigitaPRIMERA!$C$10,"")</f>
        <v>75600</v>
      </c>
      <c r="D19" s="42">
        <f>IF(C19="",0,C19*J$17)</f>
        <v>9072</v>
      </c>
      <c r="E19" s="29">
        <f>IF(DigitaPRIMERA!$D$10&lt;&gt;"",DigitaPRIMERA!$D$10,"")</f>
        <v>1650</v>
      </c>
      <c r="F19" s="42">
        <f>IF(E19="",0,E19*PREMIOS!F19)</f>
        <v>140250</v>
      </c>
      <c r="G19" s="30">
        <f t="shared" ref="G19:G22" si="7">IF(OR(C19="",E19=""),0,C19-D19-F19)</f>
        <v>-73722</v>
      </c>
      <c r="I19" s="63" t="s">
        <v>20</v>
      </c>
      <c r="J19" s="64">
        <v>0.12</v>
      </c>
      <c r="K19" s="30">
        <f>MROUND(D24+D25,50)</f>
        <v>10000</v>
      </c>
    </row>
    <row r="20" spans="1:11" ht="15" thickBot="1" x14ac:dyDescent="0.4">
      <c r="A20" s="28" t="s">
        <v>98</v>
      </c>
      <c r="B20" s="132">
        <f>IF(DigitaPRIMERA!E2&lt;&gt;"",DigitaPRIMERA!E2,"")</f>
        <v>10</v>
      </c>
      <c r="C20" s="29">
        <f>IF(DigitaPRIMERA!$E$10&lt;&gt;"",DigitaPRIMERA!$E$10,"")</f>
        <v>24500</v>
      </c>
      <c r="D20" s="42">
        <f>IF(C20="",0,C20*J$17)</f>
        <v>2940</v>
      </c>
      <c r="E20" s="29">
        <f>IF(DigitaPRIMERA!$F$10&lt;&gt;"",DigitaPRIMERA!$F$10,"")</f>
        <v>2500</v>
      </c>
      <c r="F20" s="42">
        <f>IF(E20="",0,E20*PREMIOS!F19)</f>
        <v>212500</v>
      </c>
      <c r="G20" s="30">
        <f t="shared" si="7"/>
        <v>-190940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97</v>
      </c>
      <c r="C21" s="29">
        <f>IF(DigitaHONDURAS!$C$10&lt;&gt;"",DigitaHONDURAS!$C$10,"")</f>
        <v>76700</v>
      </c>
      <c r="D21" s="42">
        <f>IF(C21="",0,C21*J$18)</f>
        <v>9204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67496</v>
      </c>
    </row>
    <row r="22" spans="1:11" x14ac:dyDescent="0.35">
      <c r="A22" s="28" t="s">
        <v>100</v>
      </c>
      <c r="B22" s="132">
        <f>IF(DigitaHONDURAS!E2&lt;&gt;"",DigitaHONDURAS!E2,"")</f>
        <v>90</v>
      </c>
      <c r="C22" s="29">
        <f>IF(DigitaHONDURAS!$E$10&lt;&gt;"",DigitaHONDURAS!$E$10,"")</f>
        <v>66700</v>
      </c>
      <c r="D22" s="42">
        <f>IF(C22="",0,C22*J$18)</f>
        <v>8004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58696</v>
      </c>
    </row>
    <row r="23" spans="1:11" x14ac:dyDescent="0.35">
      <c r="A23" s="28" t="s">
        <v>101</v>
      </c>
      <c r="B23" s="132">
        <f>IF(DigitaHONDURAS!G2&lt;&gt;"",DigitaHONDURAS!G2,"")</f>
        <v>47</v>
      </c>
      <c r="C23" s="29">
        <f>IF(DigitaHONDURAS!$G$10&lt;&gt;"",DigitaHONDURAS!$G$10,"")</f>
        <v>25650</v>
      </c>
      <c r="D23" s="42">
        <f>IF(C23="",0,C23*J$18)</f>
        <v>3078</v>
      </c>
      <c r="E23" s="29">
        <f>IF(DigitaHONDURAS!$H$10&lt;&gt;"",DigitaHONDURAS!$H$10,"")</f>
        <v>2000</v>
      </c>
      <c r="F23" s="42">
        <f>IF(E23="",0,E23*PREMIOS!F20)</f>
        <v>170000</v>
      </c>
      <c r="G23" s="30">
        <f t="shared" ref="G23:G26" si="8">IF(OR(C23="",E23=""),0,C23-D23-F23)</f>
        <v>-147428</v>
      </c>
    </row>
    <row r="24" spans="1:11" x14ac:dyDescent="0.35">
      <c r="A24" s="28" t="s">
        <v>107</v>
      </c>
      <c r="B24" s="132">
        <f>IF(DigitaDOMINICANA!C2&lt;&gt;"",DigitaDOMINICANA!C2,"")</f>
        <v>27</v>
      </c>
      <c r="C24" s="29">
        <f>IF(DigitaDOMINICANA!$C$10&lt;&gt;"",DigitaDOMINICANA!$C$10,"")</f>
        <v>37000</v>
      </c>
      <c r="D24" s="42">
        <f>IF(C24="",0,C24*J$19)</f>
        <v>4440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32560</v>
      </c>
    </row>
    <row r="25" spans="1:11" x14ac:dyDescent="0.35">
      <c r="A25" s="28" t="s">
        <v>108</v>
      </c>
      <c r="B25" s="132">
        <f>IF(DigitaDOMINICANA!E2&lt;&gt;"",DigitaDOMINICANA!E2,"")</f>
        <v>59</v>
      </c>
      <c r="C25" s="29">
        <f>IF(DigitaDOMINICANA!$E$10&lt;&gt;"",DigitaDOMINICANA!$E$10,"")</f>
        <v>46400</v>
      </c>
      <c r="D25" s="42">
        <f>IF(C25="",0,C25*J$19)</f>
        <v>5568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40832</v>
      </c>
    </row>
    <row r="26" spans="1:11" x14ac:dyDescent="0.35">
      <c r="A26" s="28" t="s">
        <v>21</v>
      </c>
      <c r="B26" s="132">
        <f>IF(DigitaPANAMENA!C2&lt;&gt;"",DigitaPANAMENA!C2,"")</f>
        <v>61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1494800</v>
      </c>
      <c r="D27" s="68">
        <f t="shared" ref="D27:F27" si="9">SUM(D5:D26)</f>
        <v>177430</v>
      </c>
      <c r="E27" s="68">
        <f t="shared" si="9"/>
        <v>16850</v>
      </c>
      <c r="F27" s="68">
        <f t="shared" si="9"/>
        <v>1432250</v>
      </c>
      <c r="G27" s="88">
        <f>SUM(G5:G26)</f>
        <v>-114880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19500</v>
      </c>
      <c r="K4" s="231">
        <f t="shared" ref="K4" si="0">D7+D11+D15</f>
        <v>2340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IF(DigitaTICA!C11&lt;&gt;"",DigitaTICA!C11,"")</f>
        <v>10500</v>
      </c>
      <c r="D7" s="42">
        <f>IF(C7="",0,C7*J$11)</f>
        <v>1260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9240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2350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IF(DigitaTICA!G11&lt;&gt;"",DigitaTICA!G11,"")</f>
        <v>9000</v>
      </c>
      <c r="D15" s="42">
        <f>IF(C15="",0,C15*J$11)</f>
        <v>1080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7920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19500</v>
      </c>
      <c r="D21" s="122">
        <f t="shared" ref="D21:G21" si="5">SUM(D5:D20)</f>
        <v>2340</v>
      </c>
      <c r="E21" s="122">
        <f t="shared" si="5"/>
        <v>0</v>
      </c>
      <c r="F21" s="122">
        <f t="shared" si="5"/>
        <v>0</v>
      </c>
      <c r="G21" s="123">
        <f t="shared" si="5"/>
        <v>17160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34450</v>
      </c>
      <c r="K4" s="231">
        <f>D7+D11+D15</f>
        <v>4134</v>
      </c>
      <c r="L4" s="220">
        <f>F7+F11+F15</f>
        <v>12750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IF(DigitaNICA!C12&lt;&gt;"",DigitaNICA!C12,"")</f>
        <v>15850</v>
      </c>
      <c r="D5" s="42">
        <f>IF(C5="",0,C5*J$12)</f>
        <v>1902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-11552</v>
      </c>
      <c r="I5" s="217" t="s">
        <v>37</v>
      </c>
      <c r="J5" s="221">
        <f>SUM(IF(C5="",0,C5),IF(C9="",0,C9),IF(C13="",0,C13),IF(C17="",0,C17))</f>
        <v>28150</v>
      </c>
      <c r="K5" s="225">
        <f t="shared" ref="K5" si="1">D5+D9+D13+D17</f>
        <v>3378</v>
      </c>
      <c r="L5" s="222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300</v>
      </c>
      <c r="K6" s="226">
        <f t="shared" ref="K6" si="2">+D8+D12+D16</f>
        <v>30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29">
        <f>IF(DigitaTICA!C12&lt;&gt;"",DigitaTICA!C12,"")</f>
        <v>19900</v>
      </c>
      <c r="D7" s="42">
        <f>IF(C7="",0,C7*J$11)</f>
        <v>2388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17512</v>
      </c>
      <c r="I7" s="217" t="s">
        <v>96</v>
      </c>
      <c r="J7" s="223">
        <f>SUM(IF(C19="",0,C19),IF(C20="",0,C20))</f>
        <v>38850</v>
      </c>
      <c r="K7" s="226">
        <f>+D19+D20</f>
        <v>4662</v>
      </c>
      <c r="L7" s="227">
        <f>+F19+F20</f>
        <v>127500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300</v>
      </c>
      <c r="D8" s="42">
        <f>IF(C8="",0,C8*J$13)</f>
        <v>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270</v>
      </c>
      <c r="I8" s="218" t="s">
        <v>104</v>
      </c>
      <c r="J8" s="224">
        <f>SUM(IF(C21="",0,C21),IF(C22="",0,C22),IF(C23="",0,C23))</f>
        <v>5750</v>
      </c>
      <c r="K8" s="228">
        <f>+D21+D22+D23</f>
        <v>690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>
        <f>IF(DigitaNICA!E12&lt;&gt;"",DigitaNICA!E12,"")</f>
        <v>12300</v>
      </c>
      <c r="D9" s="42">
        <f>IF(C9="",0,C9*J$12)</f>
        <v>1476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10824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74</v>
      </c>
      <c r="C11" s="29">
        <f>IF(DigitaTICA!E12&lt;&gt;"",DigitaTICA!E12,"")</f>
        <v>14550</v>
      </c>
      <c r="D11" s="42">
        <f>IF(C11="",0,C11*J$11)</f>
        <v>1746</v>
      </c>
      <c r="E11" s="29">
        <f>IF(DigitaTICA!F12&lt;&gt;"",DigitaTICA!F12,"")</f>
        <v>150</v>
      </c>
      <c r="F11" s="42">
        <f>IF(E11="",0,E11*PREMIOS!F11)</f>
        <v>12750</v>
      </c>
      <c r="G11" s="30">
        <f t="shared" si="0"/>
        <v>54</v>
      </c>
      <c r="I11" s="60" t="s">
        <v>36</v>
      </c>
      <c r="J11" s="61">
        <v>0.12</v>
      </c>
      <c r="K11" s="62">
        <f>MROUND(D7+D11+D15,50)</f>
        <v>4150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3400</v>
      </c>
    </row>
    <row r="13" spans="1:12" x14ac:dyDescent="0.35">
      <c r="A13" s="28" t="s">
        <v>50</v>
      </c>
      <c r="B13" s="132">
        <f>IF(DigitaNICA!G2&lt;&gt;"",DigitaNICA!G2,"")</f>
        <v>64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4650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700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>
        <f>IF(DigitaPRIMERA!$C$12&lt;&gt;"",DigitaPRIMERA!$C$12,"")</f>
        <v>38850</v>
      </c>
      <c r="D19" s="42">
        <f>IF(C19="",0,C19*J$14)</f>
        <v>4662</v>
      </c>
      <c r="E19" s="29">
        <f>IF(DigitaPRIMERA!$D$12&lt;&gt;"",DigitaPRIMERA!$D$12,"")</f>
        <v>1500</v>
      </c>
      <c r="F19" s="42">
        <f>IF(E19="",0,E19*PREMIOS!F19)</f>
        <v>127500</v>
      </c>
      <c r="G19" s="30">
        <f t="shared" si="3"/>
        <v>-93312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97</v>
      </c>
      <c r="C21" s="29">
        <f>IF(DigitaHONDURAS!$C$12&lt;&gt;"",DigitaHONDURAS!$C$12,"")</f>
        <v>5750</v>
      </c>
      <c r="D21" s="42">
        <f>IF(C21="",0,C21*J$15)</f>
        <v>690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5060</v>
      </c>
    </row>
    <row r="22" spans="1:7" x14ac:dyDescent="0.35">
      <c r="A22" s="28" t="s">
        <v>100</v>
      </c>
      <c r="B22" s="132">
        <f>IF(DigitaHONDURAS!E2&lt;&gt;"",DigitaHONDURAS!E2,"")</f>
        <v>90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107500</v>
      </c>
      <c r="D24" s="68">
        <f t="shared" ref="D24:G24" si="4">SUM(D5:D23)</f>
        <v>12894</v>
      </c>
      <c r="E24" s="68">
        <f t="shared" si="4"/>
        <v>1950</v>
      </c>
      <c r="F24" s="68">
        <f t="shared" si="4"/>
        <v>165750</v>
      </c>
      <c r="G24" s="88">
        <f t="shared" si="4"/>
        <v>-71144</v>
      </c>
    </row>
    <row r="27" spans="1:7" x14ac:dyDescent="0.35">
      <c r="G27" s="21">
        <v>-10870</v>
      </c>
    </row>
    <row r="28" spans="1:7" x14ac:dyDescent="0.35">
      <c r="G28" s="141">
        <f>+G24+G27</f>
        <v>-82014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65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14</v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74</v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64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111300</v>
      </c>
      <c r="K4" s="236">
        <f t="shared" ref="K4" si="0">D7+D11+D15</f>
        <v>16695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IF(DigitaTICA!C14&lt;&gt;"",DigitaTICA!C14,"")</f>
        <v>36450</v>
      </c>
      <c r="D7" s="42">
        <f>IF(C7="",0,C7*J$9)</f>
        <v>5467.5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30982.5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16700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74</v>
      </c>
      <c r="C11" s="29">
        <f>IF(DigitaTICA!E14&lt;&gt;"",DigitaTICA!E14,"")</f>
        <v>36350</v>
      </c>
      <c r="D11" s="42">
        <f>IF(C11="",0,C11*J$9)</f>
        <v>5452.5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30897.5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IF(DigitaTICA!G14&lt;&gt;"",DigitaTICA!G14,"")</f>
        <v>38500</v>
      </c>
      <c r="D15" s="42">
        <f>IF(C15="",0,C15*J$9)</f>
        <v>5775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32725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111300</v>
      </c>
      <c r="D19" s="68">
        <f>MROUND(SUM(D5:D18),50)</f>
        <v>16700</v>
      </c>
      <c r="E19" s="68">
        <f>SUM(E5:E18)</f>
        <v>0</v>
      </c>
      <c r="F19" s="68">
        <f>SUM(F5:F18)</f>
        <v>0</v>
      </c>
      <c r="G19" s="88">
        <f>SUM(G5:G18)</f>
        <v>94605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69000</v>
      </c>
      <c r="K4" s="231">
        <f>D7+D11+D15</f>
        <v>8280</v>
      </c>
      <c r="L4" s="220">
        <f>F7+F11+F15</f>
        <v>178500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IF(DigitaNICA!C16&lt;&gt;"",DigitaNICA!C16,"")</f>
        <v>2500</v>
      </c>
      <c r="D5" s="42">
        <f>IF(C5="",0,C5*J$12)</f>
        <v>300</v>
      </c>
      <c r="E5" s="29">
        <f>IF(DigitaNICA!D16&lt;&gt;"",DigitaNICA!D16,"")</f>
        <v>300</v>
      </c>
      <c r="F5" s="42">
        <f>IF(E5="",0,E5*PREMIOS!E5)</f>
        <v>24000</v>
      </c>
      <c r="G5" s="30">
        <f t="shared" ref="G5:G12" si="0">IF(OR(C5="",E5=""),0,C5-D5-F5)</f>
        <v>-21800</v>
      </c>
      <c r="I5" s="63" t="s">
        <v>37</v>
      </c>
      <c r="J5" s="225">
        <f>SUM(IF(C5="",0,C5),IF(C9="",0,C9),IF(C13="",0,C13),IF(C17="",0,C17))</f>
        <v>18550</v>
      </c>
      <c r="K5" s="225">
        <f t="shared" ref="K5" si="1">D5+D9+D13+D17</f>
        <v>2226</v>
      </c>
      <c r="L5" s="222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29">
        <f>IF(DigitaTICA!C16&lt;&gt;"",DigitaTICA!C16,"")</f>
        <v>27550</v>
      </c>
      <c r="D7" s="42">
        <f>IF(C7="",0,C7*J$11)</f>
        <v>3306</v>
      </c>
      <c r="E7" s="29">
        <f>IF(DigitaTICA!D16&lt;&gt;"",DigitaTICA!D16,"")</f>
        <v>300</v>
      </c>
      <c r="F7" s="133">
        <f>IF(E7="",0,E7*PREMIOS!F7)</f>
        <v>25500</v>
      </c>
      <c r="G7" s="30">
        <f t="shared" si="0"/>
        <v>-1256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14</v>
      </c>
      <c r="C9" s="29">
        <f>IF(DigitaNICA!E16&lt;&gt;"",DigitaNICA!E16,"")</f>
        <v>2250</v>
      </c>
      <c r="D9" s="42">
        <f>IF(C9="",0,C9*J$12)</f>
        <v>270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1980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74</v>
      </c>
      <c r="C11" s="29">
        <f>IF(DigitaTICA!E16&lt;&gt;"",DigitaTICA!E16,"")</f>
        <v>13950</v>
      </c>
      <c r="D11" s="42">
        <f>IF(C11="",0,C11*J$11)</f>
        <v>1674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12276</v>
      </c>
      <c r="I11" s="76" t="s">
        <v>36</v>
      </c>
      <c r="J11" s="77">
        <v>0.12</v>
      </c>
      <c r="K11" s="78">
        <f>MROUND(D7+D11+D15,50)</f>
        <v>8300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2250</v>
      </c>
    </row>
    <row r="13" spans="1:12" x14ac:dyDescent="0.35">
      <c r="A13" s="28" t="s">
        <v>50</v>
      </c>
      <c r="B13" s="132">
        <f>IF(DigitaNICA!G2&lt;&gt;"",DigitaNICA!G2,"")</f>
        <v>64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>
        <f>IF(DigitaTICA!G16&lt;&gt;"",DigitaTICA!G16,"")</f>
        <v>27500</v>
      </c>
      <c r="D15" s="42">
        <f>IF(C15="",0,C15*J$11)</f>
        <v>3300</v>
      </c>
      <c r="E15" s="29">
        <f>IF(DigitaTICA!H16&lt;&gt;"",DigitaTICA!H16,"")</f>
        <v>1800</v>
      </c>
      <c r="F15" s="133">
        <f>IF(E15="",0,E15*PREMIOS!F15)</f>
        <v>153000</v>
      </c>
      <c r="G15" s="30">
        <f t="shared" si="3"/>
        <v>-128800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26</v>
      </c>
      <c r="C17" s="29">
        <f>IF(DigitaNICA!I16&lt;&gt;"",DigitaNICA!I16,"")</f>
        <v>13800</v>
      </c>
      <c r="D17" s="42">
        <f>IF(C17="",0,C17*J$12)</f>
        <v>1656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12144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90050</v>
      </c>
      <c r="D24" s="122">
        <f t="shared" ref="D24:G24" si="5">SUM(D5:D23)</f>
        <v>10756</v>
      </c>
      <c r="E24" s="122">
        <f t="shared" si="5"/>
        <v>2400</v>
      </c>
      <c r="F24" s="122">
        <f t="shared" si="5"/>
        <v>202500</v>
      </c>
      <c r="G24" s="123">
        <f t="shared" si="5"/>
        <v>-123206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393650</v>
      </c>
      <c r="K4" s="231">
        <f t="shared" ref="K4" si="0">D7+D11+D15</f>
        <v>47238</v>
      </c>
      <c r="L4" s="220">
        <f>F7+F11+F15</f>
        <v>344250</v>
      </c>
    </row>
    <row r="5" spans="1:12" x14ac:dyDescent="0.35">
      <c r="A5" s="28" t="s">
        <v>43</v>
      </c>
      <c r="B5" s="132">
        <f>IF(DigitaNICA!C2&lt;&gt;"",DigitaNICA!C2,"")</f>
        <v>65</v>
      </c>
      <c r="C5" s="89">
        <f>IF(DigitaNICA!C17&lt;&gt;"",DigitaNICA!C17,"")</f>
        <v>70650</v>
      </c>
      <c r="D5" s="42">
        <f>IF(C5="",0,C5*J$16)</f>
        <v>8478</v>
      </c>
      <c r="E5" s="89">
        <f>IF(DigitaNICA!D17&lt;&gt;"",DigitaNICA!D17,"")</f>
        <v>550</v>
      </c>
      <c r="F5" s="42">
        <f>IF(E5="",0,E5*PREMIOS!F5)</f>
        <v>46750</v>
      </c>
      <c r="G5" s="90">
        <f t="shared" ref="G5:G12" si="1">IF(OR(C5="",E5=""),0,C5-D5-F5)</f>
        <v>15422</v>
      </c>
      <c r="I5" s="217" t="s">
        <v>37</v>
      </c>
      <c r="J5" s="221">
        <f>SUM(IF(C5="",0,C5),IF(C9="",0,C9),IF(C13="",0,C13),IF(C17="",0,C17))</f>
        <v>408450</v>
      </c>
      <c r="K5" s="225">
        <f t="shared" ref="K5" si="2">D5+D9+D13+D17</f>
        <v>49014</v>
      </c>
      <c r="L5" s="222">
        <f>F5+F9+F13+F17</f>
        <v>301750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53750</v>
      </c>
      <c r="K6" s="226">
        <f t="shared" ref="K6" si="3">+D8+D12+D16</f>
        <v>5375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89">
        <f>IF(DigitaTICA!C17&lt;&gt;"",DigitaTICA!C17,"")</f>
        <v>87800</v>
      </c>
      <c r="D7" s="42">
        <f>IF(C7="",0,C7*J$15)</f>
        <v>10536</v>
      </c>
      <c r="E7" s="89">
        <f>IF(DigitaTICA!D17&lt;&gt;"",DigitaTICA!D17,"")</f>
        <v>700</v>
      </c>
      <c r="F7" s="42">
        <f>IF(E7="",0,E7*PREMIOS!F7)</f>
        <v>59500</v>
      </c>
      <c r="G7" s="90">
        <f t="shared" si="1"/>
        <v>17764</v>
      </c>
      <c r="I7" s="217" t="s">
        <v>96</v>
      </c>
      <c r="J7" s="223">
        <f>SUM(IF(C19="",0,C19),IF(C20="",0,C20))</f>
        <v>117800</v>
      </c>
      <c r="K7" s="226">
        <f>+D19+D20</f>
        <v>14136</v>
      </c>
      <c r="L7" s="227">
        <f>+F19+F20</f>
        <v>420750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11100</v>
      </c>
      <c r="D8" s="42">
        <f>IF(C8="",0,C8*J$17)</f>
        <v>1110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9990</v>
      </c>
      <c r="I8" s="217" t="s">
        <v>104</v>
      </c>
      <c r="J8" s="223">
        <f>SUM(IF(C21="",0,C21),IF(C22="",0,C22),IF(C23="",0,C23))</f>
        <v>101900</v>
      </c>
      <c r="K8" s="226">
        <f t="shared" ref="K8" si="4">D21+D22+D23</f>
        <v>12228</v>
      </c>
      <c r="L8" s="227">
        <f>F21+F22+F23</f>
        <v>72250</v>
      </c>
    </row>
    <row r="9" spans="1:12" x14ac:dyDescent="0.35">
      <c r="A9" s="28" t="s">
        <v>48</v>
      </c>
      <c r="B9" s="132">
        <f>IF(DigitaNICA!E2&lt;&gt;"",DigitaNICA!E2,"")</f>
        <v>14</v>
      </c>
      <c r="C9" s="89">
        <f>IF(DigitaNICA!E17&lt;&gt;"",DigitaNICA!E17,"")</f>
        <v>105350</v>
      </c>
      <c r="D9" s="42">
        <f>IF(C9="",0,C9*J$16)</f>
        <v>12642</v>
      </c>
      <c r="E9" s="89">
        <f>IF(DigitaNICA!F17&lt;&gt;"",DigitaNICA!F17,"")</f>
        <v>2100</v>
      </c>
      <c r="F9" s="42">
        <f>IF(E9="",0,E9*PREMIOS!F9)</f>
        <v>178500</v>
      </c>
      <c r="G9" s="90">
        <f t="shared" si="1"/>
        <v>-85792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74</v>
      </c>
      <c r="C11" s="89">
        <f>IF(DigitaTICA!E17&lt;&gt;"",DigitaTICA!E17,"")</f>
        <v>115350</v>
      </c>
      <c r="D11" s="42">
        <f>IF(C11="",0,C11*J$15)</f>
        <v>13842</v>
      </c>
      <c r="E11" s="89">
        <f>IF(DigitaTICA!F17&lt;&gt;"",DigitaTICA!F17,"")</f>
        <v>850</v>
      </c>
      <c r="F11" s="42">
        <f>IF(E11="",0,E11*PREMIOS!F11)</f>
        <v>72250</v>
      </c>
      <c r="G11" s="90">
        <f t="shared" si="1"/>
        <v>29258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14700</v>
      </c>
      <c r="D12" s="42">
        <f>IF(C12="",0,C12*J$17)</f>
        <v>1470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13230</v>
      </c>
    </row>
    <row r="13" spans="1:12" ht="15" thickBot="1" x14ac:dyDescent="0.4">
      <c r="A13" s="28" t="s">
        <v>50</v>
      </c>
      <c r="B13" s="132">
        <f>IF(DigitaNICA!G2&lt;&gt;"",DigitaNICA!G2,"")</f>
        <v>64</v>
      </c>
      <c r="C13" s="89">
        <f>IF(DigitaNICA!G17&lt;&gt;"",DigitaNICA!G17,"")</f>
        <v>66950</v>
      </c>
      <c r="D13" s="42">
        <f>IF(C13="",0,C13*J$16)</f>
        <v>8034</v>
      </c>
      <c r="E13" s="89">
        <f>IF(DigitaNICA!H17&lt;&gt;"",DigitaNICA!H17,"")</f>
        <v>50</v>
      </c>
      <c r="F13" s="42">
        <f>IF(E13="",0,E13*PREMIOS!F13)</f>
        <v>4250</v>
      </c>
      <c r="G13" s="90">
        <f>IF(OR(C13="",E13=""),0,C13-D13-F13)</f>
        <v>54666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16</v>
      </c>
      <c r="C15" s="89">
        <f>IF(DigitaTICA!G17&lt;&gt;"",DigitaTICA!G17,"")</f>
        <v>190500</v>
      </c>
      <c r="D15" s="42">
        <f>IF(C15="",0,C15*J$15)</f>
        <v>22860</v>
      </c>
      <c r="E15" s="89">
        <f>IF(DigitaTICA!H17&lt;&gt;"",DigitaTICA!H17,"")</f>
        <v>2500</v>
      </c>
      <c r="F15" s="42">
        <f>IF(E15="",0,E15*PREMIOS!F15)</f>
        <v>212500</v>
      </c>
      <c r="G15" s="90">
        <f t="shared" si="6"/>
        <v>-44860</v>
      </c>
      <c r="I15" s="76" t="s">
        <v>36</v>
      </c>
      <c r="J15" s="77">
        <v>0.12</v>
      </c>
      <c r="K15" s="78">
        <f>MROUND(D7+D11+D15,50)</f>
        <v>47250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27950</v>
      </c>
      <c r="D16" s="42">
        <f>IF(C16="",0,C16*J$17)</f>
        <v>2795</v>
      </c>
      <c r="E16" s="89">
        <f>IF(DigitaREVENTADO!H17&lt;&gt;"",DigitaREVENTADO!H17,"")</f>
        <v>500</v>
      </c>
      <c r="F16" s="42">
        <f>IF(E16="",0,E16*PREMIOS!F16)</f>
        <v>0</v>
      </c>
      <c r="G16" s="90">
        <f t="shared" si="6"/>
        <v>25155</v>
      </c>
      <c r="I16" s="63" t="s">
        <v>37</v>
      </c>
      <c r="J16" s="64">
        <v>0.12</v>
      </c>
      <c r="K16" s="30">
        <f>MROUND(D5+D9+D13+D17,50)</f>
        <v>49000</v>
      </c>
    </row>
    <row r="17" spans="1:11" x14ac:dyDescent="0.35">
      <c r="A17" s="28" t="s">
        <v>52</v>
      </c>
      <c r="B17" s="132">
        <f>IF(DigitaNICA!I2&lt;&gt;"",DigitaNICA!I2,"")</f>
        <v>26</v>
      </c>
      <c r="C17" s="89">
        <f>IF(DigitaNICA!I17&lt;&gt;"",DigitaNICA!I17,"")</f>
        <v>165500</v>
      </c>
      <c r="D17" s="42">
        <f>IF(C17="",0,C17*J$16)</f>
        <v>19860</v>
      </c>
      <c r="E17" s="89">
        <f>IF(DigitaNICA!J17&lt;&gt;"",DigitaNICA!J17,"")</f>
        <v>850</v>
      </c>
      <c r="F17" s="42">
        <f>IF(E17="",0,E17*PREMIOS!F17)</f>
        <v>72250</v>
      </c>
      <c r="G17" s="90">
        <f t="shared" si="6"/>
        <v>73390</v>
      </c>
      <c r="I17" s="63" t="s">
        <v>38</v>
      </c>
      <c r="J17" s="64">
        <v>0.1</v>
      </c>
      <c r="K17" s="30">
        <f>MROUND(D6+D8+D10+D12+D14+D16+D18,50)</f>
        <v>5400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14150</v>
      </c>
    </row>
    <row r="19" spans="1:11" x14ac:dyDescent="0.35">
      <c r="A19" s="28" t="s">
        <v>97</v>
      </c>
      <c r="B19" s="132" t="str">
        <f>IF(DigitaPRIMERA!C2&lt;&gt;"",DigitaPRIMERA!C2,"")</f>
        <v>01</v>
      </c>
      <c r="C19" s="29">
        <f>IF(DigitaPRIMERA!$C$17&lt;&gt;"",DigitaPRIMERA!$C$17,"")</f>
        <v>79350</v>
      </c>
      <c r="D19" s="42">
        <f>IF(C19="",0,C19*J$18)</f>
        <v>9522</v>
      </c>
      <c r="E19" s="29">
        <f>IF(DigitaPRIMERA!$D$17&lt;&gt;"",DigitaPRIMERA!$D$17,"")</f>
        <v>3800</v>
      </c>
      <c r="F19" s="42">
        <f>IF(E19="",0,E19*PREMIOS!F19)</f>
        <v>323000</v>
      </c>
      <c r="G19" s="30">
        <f t="shared" si="6"/>
        <v>-253172</v>
      </c>
      <c r="I19" s="63" t="s">
        <v>104</v>
      </c>
      <c r="J19" s="64">
        <v>0.12</v>
      </c>
      <c r="K19" s="30">
        <f>MROUND(D21+D22+D23,50)</f>
        <v>12250</v>
      </c>
    </row>
    <row r="20" spans="1:11" x14ac:dyDescent="0.35">
      <c r="A20" s="28" t="s">
        <v>98</v>
      </c>
      <c r="B20" s="132">
        <f>IF(DigitaPRIMERA!E2&lt;&gt;"",DigitaPRIMERA!E2,"")</f>
        <v>10</v>
      </c>
      <c r="C20" s="29">
        <f>IF(DigitaPRIMERA!$E$17&lt;&gt;"",DigitaPRIMERA!$E$17,"")</f>
        <v>38450</v>
      </c>
      <c r="D20" s="42">
        <f>IF(C20="",0,C20*J$18)</f>
        <v>4614</v>
      </c>
      <c r="E20" s="29">
        <f>IF(DigitaPRIMERA!$F$17&lt;&gt;"",DigitaPRIMERA!$F$17,"")</f>
        <v>1150</v>
      </c>
      <c r="F20" s="42">
        <f>IF(E20="",0,E20*PREMIOS!F19)</f>
        <v>97750</v>
      </c>
      <c r="G20" s="30">
        <f t="shared" si="6"/>
        <v>-63914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97</v>
      </c>
      <c r="C21" s="29">
        <f>IF(DigitaHONDURAS!$C$17&lt;&gt;"",DigitaHONDURAS!$C$17,"")</f>
        <v>50700</v>
      </c>
      <c r="D21" s="42">
        <f>IF(C21="",0,C21*J$19)</f>
        <v>6084</v>
      </c>
      <c r="E21" s="29">
        <f>IF(DigitaHONDURAS!$D$17&lt;&gt;"",DigitaHONDURAS!$D$17,"")</f>
        <v>500</v>
      </c>
      <c r="F21" s="42">
        <f>IF(E21="",0,E21*PREMIOS!F20)</f>
        <v>42500</v>
      </c>
      <c r="G21" s="30">
        <f t="shared" si="6"/>
        <v>2116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90</v>
      </c>
      <c r="C22" s="29">
        <f>IF(DigitaHONDURAS!$E$17&lt;&gt;"",DigitaHONDURAS!$E$17,"")</f>
        <v>9500</v>
      </c>
      <c r="D22" s="42">
        <f>IF(C22="",0,C22*J$19)</f>
        <v>1140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8360</v>
      </c>
    </row>
    <row r="23" spans="1:11" x14ac:dyDescent="0.35">
      <c r="A23" s="28" t="s">
        <v>101</v>
      </c>
      <c r="B23" s="132">
        <f>IF(DigitaHONDURAS!G2&lt;&gt;"",DigitaHONDURAS!G2,"")</f>
        <v>47</v>
      </c>
      <c r="C23" s="29">
        <f>IF(DigitaHONDURAS!$G$17&lt;&gt;"",DigitaHONDURAS!$G$17,"")</f>
        <v>41700</v>
      </c>
      <c r="D23" s="42">
        <f>IF(C23="",0,C23*J$19)</f>
        <v>5004</v>
      </c>
      <c r="E23" s="29">
        <f>IF(DigitaHONDURAS!$H$17&lt;&gt;"",DigitaHONDURAS!$H$17,"")</f>
        <v>350</v>
      </c>
      <c r="F23" s="42">
        <f>IF(E23="",0,E23*PREMIOS!F20)</f>
        <v>29750</v>
      </c>
      <c r="G23" s="30">
        <f t="shared" si="6"/>
        <v>6946</v>
      </c>
    </row>
    <row r="24" spans="1:11" x14ac:dyDescent="0.35">
      <c r="A24" s="28" t="s">
        <v>102</v>
      </c>
      <c r="B24" s="132">
        <f>IF(DigitaDOMINICANA!C2&lt;&gt;"",DigitaDOMINICANA!C2,"")</f>
        <v>27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1075550</v>
      </c>
      <c r="D27" s="68">
        <f t="shared" ref="D27:G27" si="7">SUM(D5:D26)</f>
        <v>127991</v>
      </c>
      <c r="E27" s="68">
        <f t="shared" si="7"/>
        <v>13900</v>
      </c>
      <c r="F27" s="68">
        <f t="shared" si="7"/>
        <v>1139000</v>
      </c>
      <c r="G27" s="88">
        <f t="shared" si="7"/>
        <v>-191441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186600</v>
      </c>
      <c r="K4" s="231">
        <f t="shared" ref="K4" si="0">D7+D11+D15</f>
        <v>22392</v>
      </c>
      <c r="L4" s="220">
        <f>F7+F11+F15</f>
        <v>59500</v>
      </c>
    </row>
    <row r="5" spans="1:12" x14ac:dyDescent="0.35">
      <c r="A5" s="28" t="str">
        <f>+Vendedor1!A5</f>
        <v>Nica 11am</v>
      </c>
      <c r="B5" s="132">
        <f>IF(DigitaNICA!C2&lt;&gt;"",DigitaNICA!C2,"")</f>
        <v>65</v>
      </c>
      <c r="C5" s="29">
        <f>IF(DigitaNICA!C18&lt;&gt;"",DigitaNICA!C18,"")</f>
        <v>68700</v>
      </c>
      <c r="D5" s="42">
        <f>IF(C5="",0,C5*J$16)</f>
        <v>8244</v>
      </c>
      <c r="E5" s="29">
        <f>IF(DigitaNICA!D18&lt;&gt;"",DigitaNICA!D18,"")</f>
        <v>600</v>
      </c>
      <c r="F5" s="42">
        <f>IF(E5="",0,E5*PREMIOS!F5)</f>
        <v>51000</v>
      </c>
      <c r="G5" s="30">
        <f t="shared" ref="G5:G12" si="1">IF(OR(C5="",E5=""),0,C5-D5-F5)</f>
        <v>9456</v>
      </c>
      <c r="I5" s="217" t="s">
        <v>37</v>
      </c>
      <c r="J5" s="221">
        <f>SUM(IF(C5="",0,C5),IF(C9="",0,C9),IF(C13="",0,C13),IF(C17="",0,C17))</f>
        <v>232150</v>
      </c>
      <c r="K5" s="225">
        <f t="shared" ref="K5" si="2">D5+D9+D13+D17</f>
        <v>27858</v>
      </c>
      <c r="L5" s="222">
        <f>F5+F9+F13+F17</f>
        <v>246500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71850</v>
      </c>
      <c r="K6" s="226">
        <f t="shared" ref="K6" si="3">+D8+D12+D16</f>
        <v>7185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59</v>
      </c>
      <c r="C7" s="29">
        <f>IF(DigitaTICA!C18&lt;&gt;"",DigitaTICA!C18,"")</f>
        <v>59550</v>
      </c>
      <c r="D7" s="42">
        <f>IF(C7="",0,C7*J$15)</f>
        <v>7146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35404</v>
      </c>
      <c r="I7" s="217" t="s">
        <v>96</v>
      </c>
      <c r="J7" s="223">
        <f>SUM(IF(C19="",0,C19),IF(C20="",0,C20))</f>
        <v>114200</v>
      </c>
      <c r="K7" s="226">
        <f>+D19+D20</f>
        <v>13704</v>
      </c>
      <c r="L7" s="227">
        <f>+F19+F20</f>
        <v>433500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26000</v>
      </c>
      <c r="D8" s="42">
        <f>IF(C8="",0,C8*J$17)</f>
        <v>2600</v>
      </c>
      <c r="E8" s="29">
        <f>IF(DigitaREVENTADO!D18&lt;&gt;"",DigitaREVENTADO!D18,"")</f>
        <v>200</v>
      </c>
      <c r="F8" s="42">
        <f>IF(E8="",0,E8*PREMIOS!F8)</f>
        <v>0</v>
      </c>
      <c r="G8" s="30">
        <f t="shared" si="1"/>
        <v>23400</v>
      </c>
      <c r="I8" s="217" t="s">
        <v>104</v>
      </c>
      <c r="J8" s="223">
        <f>SUM(IF(C21="",0,C21),IF(C22="",0,C22),IF(C23="",0,C23))</f>
        <v>28100</v>
      </c>
      <c r="K8" s="226">
        <f t="shared" ref="K8" si="4">D21+D22+D23</f>
        <v>3372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14</v>
      </c>
      <c r="C9" s="29">
        <f>IF(DigitaNICA!E18&lt;&gt;"",DigitaNICA!E18,"")</f>
        <v>67250</v>
      </c>
      <c r="D9" s="42">
        <f>IF(C9="",0,C9*J$16)</f>
        <v>8070</v>
      </c>
      <c r="E9" s="29">
        <f>IF(DigitaNICA!F18&lt;&gt;"",DigitaNICA!F18,"")</f>
        <v>2100</v>
      </c>
      <c r="F9" s="42">
        <f>IF(E9="",0,E9*PREMIOS!F9)</f>
        <v>178500</v>
      </c>
      <c r="G9" s="30">
        <f t="shared" si="1"/>
        <v>-119320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74</v>
      </c>
      <c r="C11" s="29">
        <f>IF(DigitaTICA!E18&lt;&gt;"",DigitaTICA!E18,"")</f>
        <v>54600</v>
      </c>
      <c r="D11" s="42">
        <f>IF(C11="",0,C11*J$15)</f>
        <v>6552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48048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21700</v>
      </c>
      <c r="D12" s="42">
        <f>IF(C12="",0,C12*J$17)</f>
        <v>2170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19530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64</v>
      </c>
      <c r="C13" s="29">
        <f>IF(DigitaNICA!G18&lt;&gt;"",DigitaNICA!G18,"")</f>
        <v>62700</v>
      </c>
      <c r="D13" s="42">
        <f>IF(C13="",0,C13*J$16)</f>
        <v>7524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38176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16</v>
      </c>
      <c r="C15" s="29">
        <f>IF(DigitaTICA!G18&lt;&gt;"",DigitaTICA!G18,"")</f>
        <v>72450</v>
      </c>
      <c r="D15" s="42">
        <f>IF(C15="",0,C15*J$15)</f>
        <v>8694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21256</v>
      </c>
      <c r="I15" s="76" t="s">
        <v>36</v>
      </c>
      <c r="J15" s="77">
        <v>0.12</v>
      </c>
      <c r="K15" s="78">
        <f>MROUND(D7+D11+D15,50)</f>
        <v>22400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24150</v>
      </c>
      <c r="D16" s="42">
        <f>IF(C16="",0,C16*J$17)</f>
        <v>2415</v>
      </c>
      <c r="E16" s="29">
        <f>IF(DigitaREVENTADO!H18&lt;&gt;"",DigitaREVENTADO!H18,"")</f>
        <v>200</v>
      </c>
      <c r="F16" s="42">
        <f>IF(E16="",0,E16*PREMIOS!F16)</f>
        <v>0</v>
      </c>
      <c r="G16" s="30">
        <f t="shared" si="6"/>
        <v>21735</v>
      </c>
      <c r="I16" s="63" t="s">
        <v>37</v>
      </c>
      <c r="J16" s="64">
        <v>0.12</v>
      </c>
      <c r="K16" s="30">
        <f>MROUND(D5+D9+D13+D17,50)</f>
        <v>27850</v>
      </c>
    </row>
    <row r="17" spans="1:11" x14ac:dyDescent="0.35">
      <c r="A17" s="28" t="str">
        <f>+Vendedor1!A17</f>
        <v>Nica 9pm</v>
      </c>
      <c r="B17" s="132">
        <f>IF(DigitaNICA!I2&lt;&gt;"",DigitaNICA!I2,"")</f>
        <v>26</v>
      </c>
      <c r="C17" s="29">
        <f>IF(DigitaNICA!I18&lt;&gt;"",DigitaNICA!I18,"")</f>
        <v>33500</v>
      </c>
      <c r="D17" s="42">
        <f>IF(C17="",0,C17*J$16)</f>
        <v>4020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29480</v>
      </c>
      <c r="I17" s="63" t="s">
        <v>38</v>
      </c>
      <c r="J17" s="64">
        <v>0.1</v>
      </c>
      <c r="K17" s="30">
        <f>MROUND(D6+D8+D10+D12+D14+D16+D18,50)</f>
        <v>7200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13700</v>
      </c>
    </row>
    <row r="19" spans="1:11" x14ac:dyDescent="0.35">
      <c r="A19" s="28" t="s">
        <v>97</v>
      </c>
      <c r="B19" s="132" t="str">
        <f>IF(DigitaPRIMERA!C2&lt;&gt;"",DigitaPRIMERA!C2,"")</f>
        <v>01</v>
      </c>
      <c r="C19" s="29">
        <f>IF(DigitaPRIMERA!$C$18&lt;&gt;"",DigitaPRIMERA!$C$18,"")</f>
        <v>54800</v>
      </c>
      <c r="D19" s="42">
        <f>IF(C19="",0,C19*J$18)</f>
        <v>6576</v>
      </c>
      <c r="E19" s="29">
        <f>IF(DigitaPRIMERA!$D$18&lt;&gt;"",DigitaPRIMERA!$D$18,"")</f>
        <v>2600</v>
      </c>
      <c r="F19" s="42">
        <f>IF(E19="",0,E19*PREMIOS!F19)</f>
        <v>221000</v>
      </c>
      <c r="G19" s="30">
        <f t="shared" si="6"/>
        <v>-172776</v>
      </c>
      <c r="I19" s="63" t="s">
        <v>104</v>
      </c>
      <c r="J19" s="64">
        <v>0.12</v>
      </c>
      <c r="K19" s="30">
        <f>MROUND(D21+D22+D23,50)</f>
        <v>3350</v>
      </c>
    </row>
    <row r="20" spans="1:11" x14ac:dyDescent="0.35">
      <c r="A20" s="28" t="s">
        <v>98</v>
      </c>
      <c r="B20" s="132">
        <f>IF(DigitaPRIMERA!E2&lt;&gt;"",DigitaPRIMERA!E2,"")</f>
        <v>10</v>
      </c>
      <c r="C20" s="29">
        <f>IF(DigitaPRIMERA!$E$18&lt;&gt;"",DigitaPRIMERA!$E$18,"")</f>
        <v>59400</v>
      </c>
      <c r="D20" s="42">
        <f>IF(C20="",0,C20*J$18)</f>
        <v>7128</v>
      </c>
      <c r="E20" s="29">
        <f>IF(DigitaPRIMERA!$F$18&lt;&gt;"",DigitaPRIMERA!$F$18,"")</f>
        <v>2500</v>
      </c>
      <c r="F20" s="42">
        <f>IF(E20="",0,E20*PREMIOS!F19)</f>
        <v>212500</v>
      </c>
      <c r="G20" s="30">
        <f t="shared" si="6"/>
        <v>-160228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97</v>
      </c>
      <c r="C21" s="29">
        <f>IF(DigitaHONDURAS!$C$18&lt;&gt;"",DigitaHONDURAS!$C$18,"")</f>
        <v>18400</v>
      </c>
      <c r="D21" s="42">
        <f>IF(C21="",0,C21*J$19)</f>
        <v>2208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16192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90</v>
      </c>
      <c r="C22" s="29">
        <f>IF(DigitaHONDURAS!$E$18&lt;&gt;"",DigitaHONDURAS!$E$18,"")</f>
        <v>4900</v>
      </c>
      <c r="D22" s="42">
        <f>IF(C22="",0,C22*J$19)</f>
        <v>588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4312</v>
      </c>
    </row>
    <row r="23" spans="1:11" x14ac:dyDescent="0.35">
      <c r="A23" s="28" t="s">
        <v>101</v>
      </c>
      <c r="B23" s="132">
        <f>IF(DigitaHONDURAS!G2&lt;&gt;"",DigitaHONDURAS!G2,"")</f>
        <v>47</v>
      </c>
      <c r="C23" s="29">
        <f>IF(DigitaHONDURAS!$G$18&lt;&gt;"",DigitaHONDURAS!$G$18,"")</f>
        <v>4800</v>
      </c>
      <c r="D23" s="42">
        <f>IF(C23="",0,C23*J$19)</f>
        <v>576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4224</v>
      </c>
    </row>
    <row r="24" spans="1:11" x14ac:dyDescent="0.35">
      <c r="A24" s="28" t="s">
        <v>102</v>
      </c>
      <c r="B24" s="132">
        <f>IF(DigitaDOMINICANA!C2&lt;&gt;"",DigitaDOMINICANA!C2,"")</f>
        <v>27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632900</v>
      </c>
      <c r="D27" s="68">
        <f t="shared" ref="D27:G27" si="7">SUM(D5:D26)</f>
        <v>74511</v>
      </c>
      <c r="E27" s="68">
        <f t="shared" si="7"/>
        <v>9100</v>
      </c>
      <c r="F27" s="68">
        <f t="shared" si="7"/>
        <v>739500</v>
      </c>
      <c r="G27" s="88">
        <f t="shared" si="7"/>
        <v>-181111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14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74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>
        <f>IF(DigitaPRIMERA!$E$27&lt;&gt;"",DigitaPRIMERA!$E$27,"")</f>
        <v>-1700</v>
      </c>
      <c r="D20" s="42">
        <f>IF(C20="",0,C20*J$12)</f>
        <v>-204</v>
      </c>
      <c r="E20" s="29">
        <f>IF(DigitaPRIMERA!$F$27&lt;&gt;"",DigitaPRIMERA!$F$27,"")</f>
        <v>-400</v>
      </c>
      <c r="F20" s="42">
        <f>IF(E20="",0,E20*PREMIOS!F19)</f>
        <v>-34000</v>
      </c>
      <c r="G20" s="30">
        <f t="shared" si="1"/>
        <v>32504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-1700</v>
      </c>
      <c r="D27" s="68">
        <f t="shared" ref="D27:G27" si="2">SUM(D5:D26)</f>
        <v>-204</v>
      </c>
      <c r="E27" s="68">
        <f t="shared" si="2"/>
        <v>-400</v>
      </c>
      <c r="F27" s="68">
        <f t="shared" si="2"/>
        <v>-34000</v>
      </c>
      <c r="G27" s="88">
        <f t="shared" si="2"/>
        <v>32504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59</v>
      </c>
      <c r="D2" s="268"/>
      <c r="E2" s="267">
        <f>IF(PREMIOS!$B11="","",PREMIOS!$B11)</f>
        <v>74</v>
      </c>
      <c r="F2" s="268"/>
      <c r="G2" s="267">
        <f>IF(PREMIOS!$B15="","",PREMIOS!$B15)</f>
        <v>16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82900</v>
      </c>
      <c r="D4" s="78">
        <f t="shared" ref="D4:H27" si="0">IF(C4="","",0)</f>
        <v>0</v>
      </c>
      <c r="E4" s="189">
        <v>45550</v>
      </c>
      <c r="F4" s="78">
        <f t="shared" si="0"/>
        <v>0</v>
      </c>
      <c r="G4" s="189">
        <v>92050</v>
      </c>
      <c r="H4" s="78">
        <v>1000</v>
      </c>
      <c r="J4" s="42">
        <f t="shared" ref="J4:J8" si="1">+C4+E4+G4</f>
        <v>220500</v>
      </c>
      <c r="K4" s="42">
        <f>IF(D4="",0,IF(F4="",D4,IF(H4="",D4+F4,D4+F4+H4)))</f>
        <v>1000</v>
      </c>
    </row>
    <row r="5" spans="1:11" x14ac:dyDescent="0.35">
      <c r="A5" s="47">
        <v>2</v>
      </c>
      <c r="B5" s="178" t="str">
        <f>Vendedor2!$B$2</f>
        <v>PUESTO 2</v>
      </c>
      <c r="C5" s="180">
        <v>61350</v>
      </c>
      <c r="D5" s="30">
        <f t="shared" si="0"/>
        <v>0</v>
      </c>
      <c r="E5" s="180">
        <v>33200</v>
      </c>
      <c r="F5" s="30">
        <f t="shared" si="0"/>
        <v>0</v>
      </c>
      <c r="G5" s="180">
        <v>60600</v>
      </c>
      <c r="H5" s="30">
        <v>200</v>
      </c>
      <c r="J5" s="42">
        <f t="shared" si="1"/>
        <v>155150</v>
      </c>
      <c r="K5" s="42">
        <f t="shared" ref="K5:K27" si="2">IF(D5="",0,IF(F5="",D5,IF(H5="",D5+F5,D5+F5+H5)))</f>
        <v>200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66100+192250</f>
        <v>258350</v>
      </c>
      <c r="D10" s="30">
        <v>1050</v>
      </c>
      <c r="E10" s="180">
        <f>36850+113550</f>
        <v>150400</v>
      </c>
      <c r="F10" s="30">
        <f t="shared" si="0"/>
        <v>0</v>
      </c>
      <c r="G10" s="180">
        <f>54000+125500</f>
        <v>179500</v>
      </c>
      <c r="H10" s="30">
        <f>500+750</f>
        <v>1250</v>
      </c>
      <c r="J10" s="42">
        <f t="shared" si="3"/>
        <v>588250</v>
      </c>
      <c r="K10" s="42">
        <f t="shared" si="2"/>
        <v>2300</v>
      </c>
    </row>
    <row r="11" spans="1:11" x14ac:dyDescent="0.35">
      <c r="A11" s="47">
        <v>8</v>
      </c>
      <c r="B11" s="178" t="str">
        <f>Vendedor8!$B$2</f>
        <v>ISA</v>
      </c>
      <c r="C11" s="180">
        <v>10500</v>
      </c>
      <c r="D11" s="30">
        <f t="shared" si="0"/>
        <v>0</v>
      </c>
      <c r="E11" s="180"/>
      <c r="F11" s="30" t="str">
        <f t="shared" si="0"/>
        <v/>
      </c>
      <c r="G11" s="180">
        <v>9000</v>
      </c>
      <c r="H11" s="30">
        <f t="shared" si="0"/>
        <v>0</v>
      </c>
      <c r="J11" s="42">
        <f t="shared" si="3"/>
        <v>19500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19900</v>
      </c>
      <c r="D12" s="30">
        <f t="shared" si="0"/>
        <v>0</v>
      </c>
      <c r="E12" s="180">
        <v>14550</v>
      </c>
      <c r="F12" s="30">
        <v>150</v>
      </c>
      <c r="G12" s="180"/>
      <c r="H12" s="30" t="str">
        <f t="shared" si="0"/>
        <v/>
      </c>
      <c r="J12" s="42">
        <f t="shared" si="3"/>
        <v>34450</v>
      </c>
      <c r="K12" s="42">
        <f t="shared" si="2"/>
        <v>150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36450</v>
      </c>
      <c r="D14" s="30">
        <f t="shared" si="0"/>
        <v>0</v>
      </c>
      <c r="E14" s="180">
        <v>36350</v>
      </c>
      <c r="F14" s="30">
        <f t="shared" si="0"/>
        <v>0</v>
      </c>
      <c r="G14" s="180">
        <v>38500</v>
      </c>
      <c r="H14" s="30">
        <f t="shared" si="0"/>
        <v>0</v>
      </c>
      <c r="J14" s="42">
        <f t="shared" si="3"/>
        <v>111300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27550</v>
      </c>
      <c r="D16" s="30">
        <v>300</v>
      </c>
      <c r="E16" s="180">
        <v>13950</v>
      </c>
      <c r="F16" s="30">
        <f t="shared" si="0"/>
        <v>0</v>
      </c>
      <c r="G16" s="180">
        <v>27500</v>
      </c>
      <c r="H16" s="30">
        <v>1800</v>
      </c>
      <c r="J16" s="42">
        <f t="shared" si="3"/>
        <v>69000</v>
      </c>
      <c r="K16" s="42">
        <f t="shared" si="2"/>
        <v>2100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75500+12300</f>
        <v>87800</v>
      </c>
      <c r="D17" s="30">
        <f>700+0</f>
        <v>700</v>
      </c>
      <c r="E17" s="180">
        <f>94950+20400</f>
        <v>115350</v>
      </c>
      <c r="F17" s="30">
        <f>850+0</f>
        <v>850</v>
      </c>
      <c r="G17" s="180">
        <f>153950+36550</f>
        <v>190500</v>
      </c>
      <c r="H17" s="30">
        <f>2000+500</f>
        <v>2500</v>
      </c>
      <c r="J17" s="42">
        <f t="shared" si="3"/>
        <v>393650</v>
      </c>
      <c r="K17" s="42">
        <f t="shared" si="2"/>
        <v>4050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31050+28500</f>
        <v>59550</v>
      </c>
      <c r="D18" s="30">
        <v>200</v>
      </c>
      <c r="E18" s="180">
        <f>32900+21700</f>
        <v>54600</v>
      </c>
      <c r="F18" s="30">
        <f t="shared" si="0"/>
        <v>0</v>
      </c>
      <c r="G18" s="180">
        <f>48100+24350</f>
        <v>72450</v>
      </c>
      <c r="H18" s="30">
        <f>300+200</f>
        <v>500</v>
      </c>
      <c r="J18" s="42">
        <f t="shared" si="3"/>
        <v>186600</v>
      </c>
      <c r="K18" s="42">
        <f t="shared" si="2"/>
        <v>700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644350</v>
      </c>
      <c r="D32" s="44">
        <f t="shared" si="6"/>
        <v>2250</v>
      </c>
      <c r="E32" s="43">
        <f t="shared" si="6"/>
        <v>463950</v>
      </c>
      <c r="F32" s="44">
        <f t="shared" si="6"/>
        <v>1000</v>
      </c>
      <c r="G32" s="43">
        <f t="shared" si="6"/>
        <v>670100</v>
      </c>
      <c r="H32" s="44">
        <f t="shared" si="6"/>
        <v>7250</v>
      </c>
      <c r="J32" s="95">
        <f>SUM(J4:J31)</f>
        <v>1778400</v>
      </c>
      <c r="K32" s="95"/>
    </row>
    <row r="33" spans="2:8" x14ac:dyDescent="0.35">
      <c r="D33" s="99">
        <f>+D32*85</f>
        <v>191250</v>
      </c>
      <c r="F33" s="99">
        <f>+F32*85</f>
        <v>85000</v>
      </c>
      <c r="H33" s="99">
        <f>+H32*85</f>
        <v>616250</v>
      </c>
    </row>
    <row r="34" spans="2:8" x14ac:dyDescent="0.35">
      <c r="B34" s="247" t="s">
        <v>149</v>
      </c>
      <c r="C34" s="43">
        <f t="shared" ref="C34:H34" si="7">+C4+C5+C6+C8+C13</f>
        <v>144250</v>
      </c>
      <c r="D34" s="43" t="e">
        <f t="shared" si="7"/>
        <v>#VALUE!</v>
      </c>
      <c r="E34" s="43">
        <f t="shared" si="7"/>
        <v>78750</v>
      </c>
      <c r="F34" s="43" t="e">
        <f t="shared" si="7"/>
        <v>#VALUE!</v>
      </c>
      <c r="G34" s="43">
        <f t="shared" si="7"/>
        <v>152650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194300</v>
      </c>
      <c r="D35" s="43" t="e">
        <f t="shared" ref="D35:H35" si="8">+D11+D14+D15+D17+D18</f>
        <v>#VALUE!</v>
      </c>
      <c r="E35" s="43">
        <f t="shared" si="8"/>
        <v>206300</v>
      </c>
      <c r="F35" s="43" t="e">
        <f t="shared" si="8"/>
        <v>#VALUE!</v>
      </c>
      <c r="G35" s="43">
        <f t="shared" si="8"/>
        <v>310450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278250</v>
      </c>
      <c r="D36" s="43" t="e">
        <f t="shared" ref="D36:H36" si="9">+D10+D12+D27</f>
        <v>#VALUE!</v>
      </c>
      <c r="E36" s="43">
        <f t="shared" si="9"/>
        <v>164950</v>
      </c>
      <c r="F36" s="43" t="e">
        <f t="shared" si="9"/>
        <v>#VALUE!</v>
      </c>
      <c r="G36" s="43">
        <f t="shared" si="9"/>
        <v>179500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65</v>
      </c>
      <c r="D2" s="268"/>
      <c r="E2" s="267">
        <f>IF(PREMIOS!$B9="","",PREMIOS!$B9)</f>
        <v>14</v>
      </c>
      <c r="F2" s="268"/>
      <c r="G2" s="267">
        <f>IF(PREMIOS!$B13="","",PREMIOS!$B13)</f>
        <v>64</v>
      </c>
      <c r="H2" s="268"/>
      <c r="I2" s="267">
        <f>IF(PREMIOS!$B17="","",PREMIOS!$B17)</f>
        <v>26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27600</v>
      </c>
      <c r="D4" s="78">
        <v>100</v>
      </c>
      <c r="E4" s="206">
        <v>26400</v>
      </c>
      <c r="F4" s="78">
        <f t="shared" ref="D4:J27" si="0">IF(E4="","",0)</f>
        <v>0</v>
      </c>
      <c r="G4" s="189">
        <v>15700</v>
      </c>
      <c r="H4" s="78">
        <f t="shared" ref="H4:H27" si="1">IF(G4="","",0)</f>
        <v>0</v>
      </c>
      <c r="I4" s="189">
        <v>1500</v>
      </c>
      <c r="J4" s="78">
        <f t="shared" si="0"/>
        <v>0</v>
      </c>
      <c r="L4" s="42">
        <f t="shared" ref="L4:L8" si="2">+C4+E4+G4+I4</f>
        <v>71200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20000</v>
      </c>
      <c r="D5" s="30">
        <f t="shared" si="0"/>
        <v>0</v>
      </c>
      <c r="E5" s="207">
        <v>7950</v>
      </c>
      <c r="F5" s="30">
        <v>750</v>
      </c>
      <c r="G5" s="180">
        <v>3600</v>
      </c>
      <c r="H5" s="30">
        <f t="shared" si="1"/>
        <v>0</v>
      </c>
      <c r="I5" s="180">
        <v>1500</v>
      </c>
      <c r="J5" s="30">
        <f t="shared" ref="J5:J27" si="3">IF(I5="","",0)</f>
        <v>0</v>
      </c>
      <c r="L5" s="42">
        <f t="shared" si="2"/>
        <v>33050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54900+79350</f>
        <v>134250</v>
      </c>
      <c r="D10" s="30">
        <v>1450</v>
      </c>
      <c r="E10" s="207">
        <f>31100+82450</f>
        <v>113550</v>
      </c>
      <c r="F10" s="30">
        <f>3000+1050</f>
        <v>4050</v>
      </c>
      <c r="G10" s="180">
        <f>63750+2250</f>
        <v>66000</v>
      </c>
      <c r="H10" s="30">
        <f t="shared" si="0"/>
        <v>0</v>
      </c>
      <c r="I10" s="180">
        <f>47900+95000</f>
        <v>142900</v>
      </c>
      <c r="J10" s="30">
        <f>2000+900</f>
        <v>2900</v>
      </c>
      <c r="L10" s="42">
        <f t="shared" si="5"/>
        <v>456700</v>
      </c>
      <c r="M10" s="42">
        <f t="shared" si="4"/>
        <v>8400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15850</v>
      </c>
      <c r="D12" s="30">
        <v>300</v>
      </c>
      <c r="E12" s="207">
        <v>12300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28150</v>
      </c>
      <c r="M12" s="42">
        <f t="shared" si="4"/>
        <v>300</v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2500</v>
      </c>
      <c r="D16" s="30">
        <v>300</v>
      </c>
      <c r="E16" s="207">
        <v>2250</v>
      </c>
      <c r="F16" s="30">
        <f t="shared" si="0"/>
        <v>0</v>
      </c>
      <c r="G16" s="180"/>
      <c r="H16" s="30" t="str">
        <f t="shared" si="0"/>
        <v/>
      </c>
      <c r="I16" s="180">
        <v>13800</v>
      </c>
      <c r="J16" s="30">
        <f t="shared" si="0"/>
        <v>0</v>
      </c>
      <c r="L16" s="42">
        <f t="shared" si="5"/>
        <v>18550</v>
      </c>
      <c r="M16" s="42">
        <f t="shared" si="4"/>
        <v>300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70650</v>
      </c>
      <c r="D17" s="30">
        <v>550</v>
      </c>
      <c r="E17" s="207">
        <v>105350</v>
      </c>
      <c r="F17" s="30">
        <v>2100</v>
      </c>
      <c r="G17" s="180">
        <v>66950</v>
      </c>
      <c r="H17" s="30">
        <v>50</v>
      </c>
      <c r="I17" s="180">
        <v>165500</v>
      </c>
      <c r="J17" s="30">
        <v>850</v>
      </c>
      <c r="L17" s="42">
        <f t="shared" si="5"/>
        <v>408450</v>
      </c>
      <c r="M17" s="42">
        <f t="shared" si="4"/>
        <v>3550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68700</v>
      </c>
      <c r="D18" s="30">
        <v>600</v>
      </c>
      <c r="E18" s="207">
        <v>67250</v>
      </c>
      <c r="F18" s="30">
        <v>2100</v>
      </c>
      <c r="G18" s="180">
        <v>62700</v>
      </c>
      <c r="H18" s="30">
        <v>200</v>
      </c>
      <c r="I18" s="180">
        <v>33500</v>
      </c>
      <c r="J18" s="30">
        <f t="shared" si="3"/>
        <v>0</v>
      </c>
      <c r="L18" s="42">
        <f t="shared" si="5"/>
        <v>232150</v>
      </c>
      <c r="M18" s="42">
        <f t="shared" si="4"/>
        <v>2900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339550</v>
      </c>
      <c r="D32" s="44">
        <f t="shared" si="7"/>
        <v>3300</v>
      </c>
      <c r="E32" s="43">
        <f t="shared" si="7"/>
        <v>335050</v>
      </c>
      <c r="F32" s="44">
        <f t="shared" si="7"/>
        <v>9000</v>
      </c>
      <c r="G32" s="43">
        <f t="shared" si="7"/>
        <v>214950</v>
      </c>
      <c r="H32" s="44">
        <f t="shared" si="7"/>
        <v>250</v>
      </c>
      <c r="I32" s="43">
        <f t="shared" si="7"/>
        <v>358700</v>
      </c>
      <c r="J32" s="44">
        <f t="shared" si="7"/>
        <v>3750</v>
      </c>
      <c r="L32" s="95">
        <f>SUM(L9:L31)</f>
        <v>1144000</v>
      </c>
      <c r="M32" s="95">
        <f>SUM(M9:M31)</f>
        <v>15450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59 Blanca</v>
      </c>
      <c r="D2" s="268"/>
      <c r="E2" s="267" t="str">
        <f>IF(E33=0,"",CONCATENATE(PREMIOS!$B11," ",PREMIOS!$B12))</f>
        <v>74 Blanca</v>
      </c>
      <c r="F2" s="268"/>
      <c r="G2" s="267" t="str">
        <f>IF(G33=0,"",CONCATENATE(PREMIOS!$B15," ",PREMIOS!$B16))</f>
        <v>16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21700+9900</f>
        <v>31600</v>
      </c>
      <c r="D10" s="30">
        <f t="shared" si="0"/>
        <v>0</v>
      </c>
      <c r="E10" s="180">
        <f>13250+15400</f>
        <v>28650</v>
      </c>
      <c r="F10" s="30">
        <f t="shared" si="0"/>
        <v>0</v>
      </c>
      <c r="G10" s="180">
        <f>17600+19450</f>
        <v>37050</v>
      </c>
      <c r="H10" s="30">
        <f t="shared" si="0"/>
        <v>0</v>
      </c>
      <c r="J10" s="42">
        <f t="shared" si="3"/>
        <v>97300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300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>
        <v>1500</v>
      </c>
      <c r="H16" s="195">
        <f t="shared" si="0"/>
        <v>0</v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11100</v>
      </c>
      <c r="D17" s="30">
        <f t="shared" si="0"/>
        <v>0</v>
      </c>
      <c r="E17" s="180">
        <v>14700</v>
      </c>
      <c r="F17" s="30">
        <f t="shared" si="0"/>
        <v>0</v>
      </c>
      <c r="G17" s="180">
        <v>27950</v>
      </c>
      <c r="H17" s="30">
        <v>500</v>
      </c>
      <c r="J17" s="42">
        <f t="shared" si="3"/>
        <v>53750</v>
      </c>
      <c r="K17" s="42">
        <f t="shared" si="4"/>
        <v>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26000</v>
      </c>
      <c r="D18" s="30">
        <v>200</v>
      </c>
      <c r="E18" s="180">
        <v>21700</v>
      </c>
      <c r="F18" s="30">
        <f t="shared" si="0"/>
        <v>0</v>
      </c>
      <c r="G18" s="180">
        <v>24150</v>
      </c>
      <c r="H18" s="30">
        <v>200</v>
      </c>
      <c r="J18" s="42">
        <f t="shared" si="3"/>
        <v>71850</v>
      </c>
      <c r="K18" s="42">
        <f t="shared" si="4"/>
        <v>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70000</v>
      </c>
      <c r="D33" s="44">
        <f t="shared" si="7"/>
        <v>200</v>
      </c>
      <c r="E33" s="43">
        <f t="shared" si="7"/>
        <v>65050</v>
      </c>
      <c r="F33" s="44">
        <f t="shared" si="7"/>
        <v>0</v>
      </c>
      <c r="G33" s="43">
        <f t="shared" si="7"/>
        <v>90650</v>
      </c>
      <c r="H33" s="44">
        <f t="shared" si="7"/>
        <v>700</v>
      </c>
      <c r="J33" s="45">
        <f>SUM(J4:J32)</f>
        <v>225700</v>
      </c>
      <c r="K33" s="95">
        <f>SUM(K4:K32)</f>
        <v>900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01</v>
      </c>
      <c r="D2" s="268"/>
      <c r="E2" s="267">
        <f>IF(PREMIOS!$C19="","",PREMIOS!$C19)</f>
        <v>10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13000</v>
      </c>
      <c r="D4" s="78">
        <v>400</v>
      </c>
      <c r="E4" s="189">
        <v>200</v>
      </c>
      <c r="F4" s="78">
        <v>200</v>
      </c>
      <c r="H4" s="42">
        <f>+C4+E4</f>
        <v>13200</v>
      </c>
      <c r="I4" s="42">
        <f>IF(D4="",0,IF(F4="",D4,D4+F4))</f>
        <v>600</v>
      </c>
    </row>
    <row r="5" spans="1:9" x14ac:dyDescent="0.35">
      <c r="A5" s="47">
        <v>2</v>
      </c>
      <c r="B5" s="178" t="str">
        <f>Vendedor2!$B$2</f>
        <v>PUESTO 2</v>
      </c>
      <c r="C5" s="180">
        <v>5500</v>
      </c>
      <c r="D5" s="30">
        <f t="shared" ref="D5:F27" si="0">IF(C5="","",0)</f>
        <v>0</v>
      </c>
      <c r="E5" s="180">
        <v>1500</v>
      </c>
      <c r="F5" s="30">
        <v>200</v>
      </c>
      <c r="H5" s="42">
        <f t="shared" ref="H5:H32" si="1">+C5+E5</f>
        <v>7000</v>
      </c>
      <c r="I5" s="42">
        <f t="shared" ref="I5:I27" si="2">IF(D5="",0,IF(F5="",D5,D5+F5))</f>
        <v>200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ref="F6:F26" si="3">IF(E6="","",0)</f>
        <v/>
      </c>
      <c r="H6" s="42">
        <f t="shared" si="1"/>
        <v>0</v>
      </c>
      <c r="I6" s="42">
        <f t="shared" si="2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3"/>
        <v/>
      </c>
      <c r="H7" s="42">
        <f t="shared" si="1"/>
        <v>0</v>
      </c>
      <c r="I7" s="42">
        <f t="shared" si="2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3"/>
        <v/>
      </c>
      <c r="H8" s="42">
        <f t="shared" si="1"/>
        <v>0</v>
      </c>
      <c r="I8" s="42">
        <f t="shared" si="2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3"/>
        <v/>
      </c>
      <c r="H9" s="42">
        <f t="shared" si="1"/>
        <v>0</v>
      </c>
      <c r="I9" s="42">
        <f t="shared" si="2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75600</v>
      </c>
      <c r="D10" s="30">
        <v>1650</v>
      </c>
      <c r="E10" s="180">
        <f>14000+10500</f>
        <v>24500</v>
      </c>
      <c r="F10" s="195">
        <v>2500</v>
      </c>
      <c r="H10" s="42">
        <f t="shared" si="1"/>
        <v>100100</v>
      </c>
      <c r="I10" s="42">
        <f t="shared" si="2"/>
        <v>4150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3"/>
        <v/>
      </c>
      <c r="H11" s="42">
        <f t="shared" si="1"/>
        <v>0</v>
      </c>
      <c r="I11" s="42">
        <f t="shared" si="2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38850</v>
      </c>
      <c r="D12" s="30">
        <v>1500</v>
      </c>
      <c r="E12" s="194"/>
      <c r="F12" s="30" t="str">
        <f t="shared" si="0"/>
        <v/>
      </c>
      <c r="H12" s="42">
        <f t="shared" si="1"/>
        <v>38850</v>
      </c>
      <c r="I12" s="42">
        <f t="shared" si="2"/>
        <v>1500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1"/>
        <v>0</v>
      </c>
      <c r="I13" s="42">
        <f t="shared" si="2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1"/>
        <v>0</v>
      </c>
      <c r="I14" s="42">
        <f t="shared" si="2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1"/>
        <v>0</v>
      </c>
      <c r="I15" s="42">
        <f t="shared" si="2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1"/>
        <v>0</v>
      </c>
      <c r="I16" s="42">
        <f t="shared" si="2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79350</v>
      </c>
      <c r="D17" s="195">
        <v>3800</v>
      </c>
      <c r="E17" s="180">
        <v>38450</v>
      </c>
      <c r="F17" s="30">
        <v>1150</v>
      </c>
      <c r="H17" s="42">
        <f t="shared" si="1"/>
        <v>117800</v>
      </c>
      <c r="I17" s="42">
        <f t="shared" si="2"/>
        <v>4950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54800</v>
      </c>
      <c r="D18" s="195">
        <v>2600</v>
      </c>
      <c r="E18" s="180">
        <v>59400</v>
      </c>
      <c r="F18" s="30">
        <v>2500</v>
      </c>
      <c r="H18" s="42">
        <f t="shared" si="1"/>
        <v>114200</v>
      </c>
      <c r="I18" s="42">
        <f t="shared" si="2"/>
        <v>5100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3"/>
        <v/>
      </c>
      <c r="H19" s="42">
        <f t="shared" si="1"/>
        <v>0</v>
      </c>
      <c r="I19" s="42">
        <f t="shared" si="2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3"/>
        <v/>
      </c>
      <c r="H20" s="42">
        <f t="shared" si="1"/>
        <v>0</v>
      </c>
      <c r="I20" s="42">
        <f t="shared" si="2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3"/>
        <v/>
      </c>
      <c r="H21" s="42">
        <f t="shared" si="1"/>
        <v>0</v>
      </c>
      <c r="I21" s="42">
        <f t="shared" si="2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3"/>
        <v/>
      </c>
      <c r="H22" s="42">
        <f t="shared" si="1"/>
        <v>0</v>
      </c>
      <c r="I22" s="42">
        <f t="shared" si="2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3"/>
        <v/>
      </c>
      <c r="H23" s="42">
        <f t="shared" si="1"/>
        <v>0</v>
      </c>
      <c r="I23" s="42">
        <f t="shared" si="2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3"/>
        <v/>
      </c>
      <c r="H24" s="42">
        <f t="shared" si="1"/>
        <v>0</v>
      </c>
      <c r="I24" s="42">
        <f t="shared" si="2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3"/>
        <v/>
      </c>
      <c r="H25" s="42">
        <f t="shared" si="1"/>
        <v>0</v>
      </c>
      <c r="I25" s="42">
        <f t="shared" si="2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3"/>
        <v/>
      </c>
      <c r="H26" s="42">
        <f t="shared" si="1"/>
        <v>0</v>
      </c>
      <c r="I26" s="42">
        <f t="shared" si="2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>
        <v>-1700</v>
      </c>
      <c r="F27" s="50">
        <v>-400</v>
      </c>
      <c r="H27" s="42">
        <f t="shared" si="1"/>
        <v>-1700</v>
      </c>
      <c r="I27" s="42">
        <f t="shared" si="2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1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1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1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1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1"/>
        <v>0</v>
      </c>
      <c r="I32" s="42">
        <f t="shared" si="4"/>
        <v>0</v>
      </c>
    </row>
    <row r="33" spans="3:9" x14ac:dyDescent="0.35">
      <c r="C33" s="43">
        <f>SUM(C4:C32)</f>
        <v>267100</v>
      </c>
      <c r="D33" s="44">
        <f>SUM(D4:D32)</f>
        <v>9950</v>
      </c>
      <c r="E33" s="43">
        <f>SUM(E4:E32)</f>
        <v>122350</v>
      </c>
      <c r="F33" s="44">
        <f>SUM(F4:F32)</f>
        <v>6150</v>
      </c>
      <c r="H33" s="95">
        <f>SUM(H4:H32)</f>
        <v>389450</v>
      </c>
      <c r="I33" s="95">
        <f>SUM(I4:I32)</f>
        <v>16500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6" sqref="G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97</v>
      </c>
      <c r="D2" s="268"/>
      <c r="E2" s="267">
        <f>IF(PREMIOS!$C20="","",PREMIOS!$C20)</f>
        <v>90</v>
      </c>
      <c r="F2" s="268"/>
      <c r="G2" s="267">
        <f>IF(PREMIOS!$D20="","",PREMIOS!$D20)</f>
        <v>47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76700</v>
      </c>
      <c r="D10" s="195">
        <f t="shared" si="0"/>
        <v>0</v>
      </c>
      <c r="E10" s="180">
        <v>66700</v>
      </c>
      <c r="F10" s="30">
        <f t="shared" si="0"/>
        <v>0</v>
      </c>
      <c r="G10" s="180">
        <v>25650</v>
      </c>
      <c r="H10" s="195">
        <v>2000</v>
      </c>
      <c r="J10" s="42">
        <f t="shared" si="3"/>
        <v>169050</v>
      </c>
      <c r="K10" s="42">
        <f t="shared" si="4"/>
        <v>2000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5750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5750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50700</v>
      </c>
      <c r="D17" s="195">
        <v>500</v>
      </c>
      <c r="E17" s="194">
        <v>9500</v>
      </c>
      <c r="F17" s="195">
        <f t="shared" si="0"/>
        <v>0</v>
      </c>
      <c r="G17" s="194">
        <v>41700</v>
      </c>
      <c r="H17" s="195">
        <v>350</v>
      </c>
      <c r="J17" s="42">
        <f t="shared" si="3"/>
        <v>101900</v>
      </c>
      <c r="K17" s="42">
        <f t="shared" si="4"/>
        <v>850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18400</v>
      </c>
      <c r="D18" s="195">
        <f t="shared" si="0"/>
        <v>0</v>
      </c>
      <c r="E18" s="180">
        <v>4900</v>
      </c>
      <c r="F18" s="30">
        <f t="shared" si="1"/>
        <v>0</v>
      </c>
      <c r="G18" s="180">
        <v>4800</v>
      </c>
      <c r="H18" s="30">
        <f t="shared" si="2"/>
        <v>0</v>
      </c>
      <c r="J18" s="42">
        <f t="shared" si="3"/>
        <v>28100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151550</v>
      </c>
      <c r="D33" s="44">
        <f t="shared" si="6"/>
        <v>500</v>
      </c>
      <c r="E33" s="43">
        <f t="shared" si="6"/>
        <v>81100</v>
      </c>
      <c r="F33" s="44">
        <f t="shared" si="6"/>
        <v>0</v>
      </c>
      <c r="G33" s="43">
        <f t="shared" si="6"/>
        <v>72150</v>
      </c>
      <c r="H33" s="44">
        <f t="shared" si="6"/>
        <v>2350</v>
      </c>
      <c r="J33" s="45">
        <f>SUM(J4:J32)</f>
        <v>304800</v>
      </c>
      <c r="K33" s="95">
        <f>SUM(K4:K32)</f>
        <v>2850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F10" sqref="F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27</v>
      </c>
      <c r="D2" s="268"/>
      <c r="E2" s="267">
        <f>IF(PREMIOS!$C21="","",PREMIOS!$C21)</f>
        <v>59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37000</v>
      </c>
      <c r="D10" s="30">
        <f t="shared" si="0"/>
        <v>0</v>
      </c>
      <c r="E10" s="180">
        <v>46400</v>
      </c>
      <c r="F10" s="30">
        <f t="shared" si="1"/>
        <v>0</v>
      </c>
      <c r="H10" s="42">
        <f t="shared" si="2"/>
        <v>83400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37000</v>
      </c>
      <c r="D33" s="44">
        <f>SUM(D4:D32)</f>
        <v>0</v>
      </c>
      <c r="E33" s="43">
        <f>SUM(E4:E32)</f>
        <v>46400</v>
      </c>
      <c r="F33" s="44">
        <f>SUM(F4:F32)</f>
        <v>0</v>
      </c>
      <c r="H33" s="45">
        <f>SUM(H4:H32)</f>
        <v>83400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61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2026-04-17T16:22:23Z</dcterms:modified>
  <dc:language>es-CR</dc:language>
</cp:coreProperties>
</file>
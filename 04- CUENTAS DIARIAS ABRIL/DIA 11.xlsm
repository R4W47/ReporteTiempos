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196" documentId="13_ncr:1_{EB1C27A7-1EBD-4619-B18B-0BCA469E8746}" xr6:coauthVersionLast="47" xr6:coauthVersionMax="47" xr10:uidLastSave="{9445E5B2-45CB-4C3C-9230-05C0A1155F14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22"/>
  <c r="B2" i="15"/>
  <c r="B2" i="14"/>
  <c r="B2" i="16"/>
  <c r="B2" i="21"/>
  <c r="I5" i="69"/>
  <c r="K12" i="69" l="1"/>
  <c r="C35" i="64"/>
  <c r="G10" i="62"/>
  <c r="J10" i="61"/>
  <c r="I10" i="61"/>
  <c r="H17" i="60"/>
  <c r="G17" i="60"/>
  <c r="G10" i="60"/>
  <c r="G18" i="60"/>
  <c r="E17" i="60"/>
  <c r="E18" i="60"/>
  <c r="H10" i="61"/>
  <c r="G10" i="61"/>
  <c r="E10" i="61" l="1"/>
  <c r="C10" i="62"/>
  <c r="D17" i="60"/>
  <c r="C17" i="60"/>
  <c r="D10" i="60"/>
  <c r="C10" i="60"/>
  <c r="D18" i="60"/>
  <c r="C18" i="60"/>
  <c r="C10" i="61"/>
  <c r="D10" i="65"/>
  <c r="C10" i="65"/>
  <c r="D18" i="64" l="1"/>
  <c r="D11" i="65"/>
  <c r="D9" i="61"/>
  <c r="C23" i="15"/>
  <c r="D23" i="15" s="1"/>
  <c r="C22" i="15"/>
  <c r="D22" i="15" s="1"/>
  <c r="C21" i="15"/>
  <c r="C16" i="71" s="1"/>
  <c r="H16" i="64"/>
  <c r="E23" i="15" s="1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G16" i="71"/>
  <c r="E16" i="71"/>
  <c r="F21" i="15"/>
  <c r="D16" i="71"/>
  <c r="D21" i="15"/>
  <c r="G23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L6" i="23"/>
  <c r="K6" i="23"/>
  <c r="J6" i="23"/>
  <c r="L4" i="23"/>
  <c r="K4" i="23"/>
  <c r="J4" i="23"/>
  <c r="F26" i="19"/>
  <c r="L10" i="19" s="1"/>
  <c r="F25" i="19"/>
  <c r="F24" i="19"/>
  <c r="F26" i="8"/>
  <c r="F25" i="8"/>
  <c r="F24" i="8"/>
  <c r="F23" i="8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35" i="60"/>
  <c r="D36" i="60"/>
  <c r="D11" i="60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0" i="62"/>
  <c r="D5" i="61"/>
  <c r="F16" i="61"/>
  <c r="D6" i="60"/>
  <c r="F17" i="60"/>
  <c r="F16" i="60"/>
  <c r="F15" i="60"/>
  <c r="F14" i="60"/>
  <c r="F35" i="60" s="1"/>
  <c r="F13" i="60"/>
  <c r="F12" i="60"/>
  <c r="F11" i="60"/>
  <c r="F9" i="60"/>
  <c r="F7" i="60"/>
  <c r="F6" i="60"/>
  <c r="F5" i="60"/>
  <c r="H16" i="60"/>
  <c r="H15" i="60"/>
  <c r="H14" i="60"/>
  <c r="H12" i="60"/>
  <c r="H11" i="60"/>
  <c r="H36" i="60"/>
  <c r="H9" i="60"/>
  <c r="H7" i="60"/>
  <c r="H6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2" i="61"/>
  <c r="J11" i="61"/>
  <c r="J9" i="61"/>
  <c r="J8" i="61"/>
  <c r="J7" i="61"/>
  <c r="F15" i="61"/>
  <c r="F14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H34" i="60" l="1"/>
  <c r="F36" i="60"/>
  <c r="F34" i="60"/>
  <c r="D34" i="60"/>
  <c r="J8" i="14"/>
  <c r="D21" i="14"/>
  <c r="C12" i="71"/>
  <c r="D22" i="14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L6" i="25"/>
  <c r="K6" i="25"/>
  <c r="L6" i="22"/>
  <c r="K6" i="22"/>
  <c r="H17" i="64"/>
  <c r="F10" i="65"/>
  <c r="F4" i="65"/>
  <c r="J4" i="61"/>
  <c r="E17" i="16"/>
  <c r="E15" i="16"/>
  <c r="D25" i="1"/>
  <c r="C25" i="1"/>
  <c r="B25" i="1"/>
  <c r="D24" i="1"/>
  <c r="C24" i="1"/>
  <c r="B24" i="1"/>
  <c r="D23" i="1"/>
  <c r="C23" i="1"/>
  <c r="B23" i="1"/>
  <c r="D22" i="1"/>
  <c r="C22" i="1"/>
  <c r="B22" i="1"/>
  <c r="D21" i="1"/>
  <c r="C21" i="1"/>
  <c r="B21" i="1"/>
  <c r="D19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H35" i="60" s="1"/>
  <c r="M26" i="52"/>
  <c r="M25" i="52"/>
  <c r="M24" i="52"/>
  <c r="M23" i="52"/>
  <c r="M22" i="52"/>
  <c r="M20" i="52"/>
  <c r="M6" i="52"/>
  <c r="M5" i="52"/>
  <c r="M4" i="52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L6" i="6"/>
  <c r="F22" i="15"/>
  <c r="L8" i="15" s="1"/>
  <c r="F16" i="71"/>
  <c r="L16" i="71" s="1"/>
  <c r="M16" i="71" s="1"/>
  <c r="G22" i="15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G23" i="29" l="1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J5" i="19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F17" i="29"/>
  <c r="G17" i="29" s="1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K5" i="19"/>
  <c r="D24" i="15"/>
  <c r="M32" i="71"/>
  <c r="F8" i="74" s="1"/>
  <c r="K6" i="8"/>
  <c r="M16" i="52"/>
  <c r="L27" i="59"/>
  <c r="M27" i="59" s="1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L32" i="61"/>
  <c r="D3" i="1" l="1"/>
  <c r="B5" i="1"/>
  <c r="D4" i="1"/>
  <c r="D5" i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8" i="19"/>
  <c r="O18" i="52"/>
  <c r="D17" i="1" s="1"/>
  <c r="O10" i="52"/>
  <c r="G8" i="8"/>
  <c r="O9" i="52"/>
  <c r="D8" i="1" s="1"/>
  <c r="O7" i="52"/>
  <c r="D6" i="1" s="1"/>
  <c r="O16" i="52"/>
  <c r="D15" i="1" s="1"/>
  <c r="O6" i="52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K10" i="25"/>
  <c r="K10" i="17"/>
  <c r="Q7" i="52"/>
  <c r="O28" i="52"/>
  <c r="O26" i="52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Q22" i="52" s="1"/>
  <c r="O24" i="52"/>
  <c r="O20" i="52"/>
  <c r="Q20" i="52" s="1"/>
  <c r="Q9" i="52"/>
  <c r="F19" i="20"/>
  <c r="Q10" i="52"/>
  <c r="O23" i="52"/>
  <c r="Q23" i="52" s="1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I32" i="70" l="1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Q4" i="52" s="1"/>
  <c r="G8" i="7"/>
  <c r="G21" i="7" s="1"/>
  <c r="O5" i="52"/>
  <c r="Q5" i="52" s="1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G7" i="74" l="1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F3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J33" i="52"/>
  <c r="M11" i="58"/>
  <c r="M32" i="58" s="1"/>
  <c r="D38" i="58" s="1"/>
  <c r="F5" i="74" s="1"/>
  <c r="B6" i="69"/>
  <c r="M11" i="59"/>
  <c r="M32" i="59" s="1"/>
  <c r="C4" i="74" s="1"/>
  <c r="N7" i="52"/>
  <c r="N33" i="52" s="1"/>
  <c r="F6" i="74" s="1"/>
  <c r="L33" i="52"/>
  <c r="D10" i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39" i="58"/>
  <c r="D43" i="58" s="1"/>
  <c r="R11" i="59"/>
  <c r="D5" i="74"/>
  <c r="C6" i="69"/>
  <c r="C5" i="69"/>
  <c r="E37" i="59"/>
  <c r="D4" i="74" s="1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B11" i="74"/>
  <c r="F6" i="69" l="1"/>
  <c r="F39" i="58"/>
  <c r="F10" i="1"/>
  <c r="G5" i="74"/>
  <c r="D11" i="74"/>
  <c r="C12" i="69"/>
  <c r="M10" i="61" l="1"/>
  <c r="M32" i="61" s="1"/>
  <c r="E17" i="21"/>
  <c r="F17" i="21" s="1"/>
  <c r="J32" i="61"/>
  <c r="L5" i="21" l="1"/>
  <c r="F27" i="21"/>
  <c r="P10" i="59"/>
  <c r="J10" i="59"/>
  <c r="E27" i="21"/>
  <c r="G17" i="21"/>
  <c r="G27" i="21" s="1"/>
  <c r="D9" i="1" l="1"/>
  <c r="P32" i="59"/>
  <c r="E4" i="74" s="1"/>
  <c r="E11" i="74" s="1"/>
  <c r="J32" i="59"/>
  <c r="J33" i="59" s="1"/>
  <c r="N10" i="59"/>
  <c r="N32" i="59" l="1"/>
  <c r="O10" i="59"/>
  <c r="D28" i="1"/>
  <c r="F9" i="1"/>
  <c r="F28" i="1" s="1"/>
  <c r="R10" i="59" l="1"/>
  <c r="R32" i="59" s="1"/>
  <c r="D38" i="59"/>
  <c r="O32" i="59"/>
  <c r="F4" i="74" s="1"/>
  <c r="D39" i="59" l="1"/>
  <c r="D43" i="59" s="1"/>
  <c r="D5" i="69"/>
  <c r="F11" i="74"/>
  <c r="G4" i="74"/>
  <c r="G11" i="74" s="1"/>
  <c r="G24" i="74" l="1"/>
  <c r="H12" i="74"/>
  <c r="D12" i="69"/>
  <c r="F5" i="69"/>
  <c r="F12" i="69" s="1"/>
  <c r="K11" i="69" s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<sst xmlns="http://schemas.openxmlformats.org/spreadsheetml/2006/main" count="1294" uniqueCount="161">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</sst>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214100</v>
      </c>
      <c r="C3" s="9">
        <f>+HojaTICA!K4+HojaNICA!M4+HojaREVENTADO!K4+HojaPrimera!I4+HojaHonduras!K4+HojaDominicana!I4+HojaPANA!G4</f>
        <v>27850</v>
      </c>
      <c r="D3" s="9">
        <f>+HojaTICA!N4+HojaNICA!P4+HojaREVENTADO!O4+HojaPrimera!L4+HojaHonduras!N4+HojaDominicana!L4+HojaPANA!J4</f>
        <v>429250</v>
      </c>
      <c r="F3" s="10">
        <f t="shared" ref="F3:F27" si="0">+B3-C3-D3</f>
        <v>-243000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247050</v>
      </c>
      <c r="C4" s="9">
        <f>+HojaTICA!K5+HojaNICA!M5+HojaREVENTADO!K5+HojaPrimera!I5+HojaHonduras!K5+HojaDominicana!I5+HojaPANA!G5</f>
        <v>32100</v>
      </c>
      <c r="D4" s="9">
        <f>+HojaTICA!N5+HojaNICA!P5+HojaREVENTADO!O5+HojaPrimera!L5+HojaHonduras!N5+HojaDominicana!L5+HojaPANA!J5</f>
        <v>144500</v>
      </c>
      <c r="F4" s="14">
        <f t="shared" si="0"/>
        <v>70450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472850</v>
      </c>
      <c r="C7" s="9">
        <f>+HojaTICA!K8+HojaNICA!M8+HojaREVENTADO!K8+HojaPrimera!I8+HojaHonduras!K8+HojaDominicana!I8+HojaPANA!G8</f>
        <v>56750</v>
      </c>
      <c r="D7" s="9">
        <f>+HojaTICA!N8+HojaNICA!P8+HojaREVENTADO!O8+HojaPrimera!L8+HojaHonduras!N8+HojaDominicana!L8+HojaPANA!J8</f>
        <v>666000</v>
      </c>
      <c r="F7" s="14">
        <f t="shared" si="0"/>
        <v>-249900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1237400</v>
      </c>
      <c r="C9" s="9">
        <f>+HojaTICA!K10+HojaNICA!M10+HojaREVENTADO!K10+HojaPrimera!I10+HojaHonduras!K10+HojaDominicana!I10+HojaPANA!G10</f>
        <v>146300</v>
      </c>
      <c r="D9" s="9">
        <f>+HojaTICA!N10+HojaNICA!P10+HojaREVENTADO!O10+HojaPrimera!L10+HojaHonduras!N10+HojaDominicana!L10+HojaPANA!J10</f>
        <v>1364250</v>
      </c>
      <c r="F9" s="14">
        <f t="shared" si="0"/>
        <v>-273150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6000</v>
      </c>
      <c r="C10" s="9">
        <f>+HojaTICA!K11+HojaNICA!M11+HojaREVENTADO!K11+HojaPrimera!I11+HojaHonduras!K11+HojaDominicana!I11+HojaPANA!G11</f>
        <v>700</v>
      </c>
      <c r="D10" s="9">
        <f>+HojaTICA!N11+HojaNICA!P11+HojaREVENTADO!O11+HojaPrimera!L11+HojaHonduras!N11+HojaDominicana!L11+HojaPANA!J11</f>
        <v>0</v>
      </c>
      <c r="F10" s="14">
        <f t="shared" si="0"/>
        <v>5300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243250</v>
      </c>
      <c r="C11" s="9">
        <f>+HojaTICA!K12+HojaNICA!M12+HojaREVENTADO!K12+HojaPrimera!I12+HojaHonduras!K12+HojaDominicana!I12+HojaPANA!G12</f>
        <v>28900</v>
      </c>
      <c r="D11" s="9">
        <f>+HojaTICA!N12+HojaNICA!P12+HojaREVENTADO!O12+HojaPrimera!L12+HojaHonduras!N12+HojaDominicana!L12+HojaPANA!J12</f>
        <v>221000</v>
      </c>
      <c r="F11" s="14">
        <f t="shared" si="0"/>
        <v>-6650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208700</v>
      </c>
      <c r="C12" s="9">
        <f>+HojaTICA!K13+HojaNICA!M13+HojaREVENTADO!K13+HojaPrimera!I13+HojaHonduras!K13+HojaDominicana!I13+HojaPANA!G13</f>
        <v>25050</v>
      </c>
      <c r="D12" s="9">
        <f>+HojaTICA!N13+HojaNICA!P13+HojaREVENTADO!O13+HojaPrimera!L13+HojaHonduras!N13+HojaDominicana!L13+HojaPANA!J13</f>
        <v>444500</v>
      </c>
      <c r="F12" s="14">
        <f t="shared" si="0"/>
        <v>-260850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88400</v>
      </c>
      <c r="C13" s="9">
        <f>+HojaTICA!K14+HojaNICA!M14+HojaREVENTADO!K14+HojaPrimera!I14+HojaHonduras!K14+HojaDominicana!I14+HojaPANA!G14</f>
        <v>13250</v>
      </c>
      <c r="D13" s="9">
        <f>+HojaTICA!N14+HojaNICA!P14+HojaREVENTADO!O14+HojaPrimera!L14+HojaHonduras!N14+HojaDominicana!L14+HojaPANA!J14</f>
        <v>56000</v>
      </c>
      <c r="F13" s="14">
        <f t="shared" si="0"/>
        <v>19150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52000</v>
      </c>
      <c r="C15" s="9">
        <f>+HojaTICA!K16+HojaNICA!M16+HojaREVENTADO!K16+HojaPrimera!I16+HojaHonduras!K16+HojaDominicana!I16+HojaPANA!G16</f>
        <v>6250</v>
      </c>
      <c r="D15" s="9">
        <f>+HojaTICA!N16+HojaNICA!P16+HojaREVENTADO!O16+HojaPrimera!L16+HojaHonduras!N16+HojaDominicana!L16+HojaPANA!J16</f>
        <v>0</v>
      </c>
      <c r="F15" s="14">
        <f t="shared" si="0"/>
        <v>45750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1049900</v>
      </c>
      <c r="C16" s="9">
        <f>+HojaTICA!K17+HojaNICA!M17+HojaREVENTADO!K17+HojaPrimera!I17+HojaHonduras!K17+HojaDominicana!I17+HojaPANA!G17</f>
        <v>124640</v>
      </c>
      <c r="D16" s="9">
        <f>+HojaTICA!N17+HojaNICA!P17+HojaREVENTADO!O17+HojaPrimera!L17+HojaHonduras!N17+HojaDominicana!L17+HojaPANA!J17</f>
        <v>641750</v>
      </c>
      <c r="F16" s="14">
        <f t="shared" si="0"/>
        <v>283510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452150</v>
      </c>
      <c r="C17" s="9">
        <f>+HojaTICA!K18+HojaNICA!M18+HojaREVENTADO!K18+HojaPrimera!I18+HojaHonduras!K18+HojaDominicana!I18+HojaPANA!G18</f>
        <v>53305</v>
      </c>
      <c r="D17" s="9">
        <f>+HojaTICA!N18+HojaNICA!P18+HojaREVENTADO!O18+HojaPrimera!L18+HojaHonduras!N18+HojaDominicana!L18+HojaPANA!J18</f>
        <v>569500</v>
      </c>
      <c r="F17" s="14">
        <f t="shared" si="0"/>
        <v>-170655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-333200</v>
      </c>
      <c r="C26" s="9">
        <f>+HojaTICA!K27+HojaNICA!M27+HojaREVENTADO!K27+HojaPrimera!I27+HojaHonduras!K27+HojaDominicana!I27+HojaPANA!G27</f>
        <v>-40000</v>
      </c>
      <c r="D26" s="9">
        <f>+HojaTICA!N27+HojaNICA!P27+HojaREVENTADO!O27+HojaPrimera!L27+HojaHonduras!N27+HojaDominicana!L27+HojaPANA!J27</f>
        <v>-297500</v>
      </c>
      <c r="F26" s="14">
        <f t="shared" si="0"/>
        <v>4300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3938600</v>
      </c>
      <c r="C28" s="17">
        <f t="shared" si="1"/>
        <v>475095</v>
      </c>
      <c r="D28" s="18">
        <f t="shared" si="1"/>
        <v>4239250</v>
      </c>
      <c r="F28" s="20">
        <f>SUM(F3:F27)</f>
        <v>-775745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33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20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15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68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37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80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23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 t="s">
        <v>160</v>
      </c>
      <c r="C19" s="132">
        <v>61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27</v>
      </c>
      <c r="C20" s="163">
        <v>77</v>
      </c>
      <c r="D20" s="166">
        <v>71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23</v>
      </c>
      <c r="C21" s="164">
        <v>60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20</v>
      </c>
      <c r="D2" s="268"/>
      <c r="E2" s="267">
        <f>DigitaTICA!E2</f>
        <v>68</v>
      </c>
      <c r="F2" s="268"/>
      <c r="G2" s="267">
        <f>DigitaTICA!G2</f>
        <v>80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70350</v>
      </c>
      <c r="D4" s="30">
        <f>IF(Vendedor1!$E$7="",0,Vendedor1!$E$7)</f>
        <v>1850</v>
      </c>
      <c r="E4" s="180">
        <f>IF(Vendedor1!$C$11="",0,Vendedor1!$C$11)</f>
        <v>38500</v>
      </c>
      <c r="F4" s="30">
        <f>IF(Vendedor1!$E$11="",0,Vendedor1!$E$11)</f>
        <v>2000</v>
      </c>
      <c r="G4" s="180">
        <f>IF(Vendedor1!$C$15="",0,Vendedor1!$C$15)</f>
        <v>63750</v>
      </c>
      <c r="H4" s="30">
        <f>IF(Vendedor1!$E$15="",0,Vendedor1!$E$15)</f>
        <v>1200</v>
      </c>
      <c r="J4" s="42">
        <f t="shared" ref="J4:J7" si="0">+C4+E4+G4</f>
        <v>172600</v>
      </c>
      <c r="K4" s="41">
        <f>MROUND(J4*Vendedor1!J$9,50)</f>
        <v>22450</v>
      </c>
      <c r="L4" s="42">
        <f t="shared" ref="L4:L7" si="1">+D4+F4+H4</f>
        <v>5050</v>
      </c>
      <c r="M4" s="42">
        <f t="shared" ref="M4:M7" si="2">+L4*85</f>
        <v>429250</v>
      </c>
      <c r="N4" s="42">
        <f>Vendedor1!$F$7+Vendedor1!$F$11+Vendedor1!$F$15</f>
        <v>429250</v>
      </c>
      <c r="P4" s="42">
        <f t="shared" ref="P4:P7" si="3">+J4-K4-N4</f>
        <v>-279100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88700</v>
      </c>
      <c r="D5" s="30">
        <f>IF(Vendedor2!$E$7="",0,Vendedor2!$E$7)</f>
        <v>1200</v>
      </c>
      <c r="E5" s="180">
        <f>IF(Vendedor2!$C$11="",0,Vendedor2!$C$11)</f>
        <v>41300</v>
      </c>
      <c r="F5" s="30">
        <f>IF(Vendedor2!$E$11="",0,Vendedor2!$E$11)</f>
        <v>0</v>
      </c>
      <c r="G5" s="180">
        <f>IF(Vendedor2!$C$15="",0,Vendedor2!$C$15)</f>
        <v>93550</v>
      </c>
      <c r="H5" s="30">
        <f>IF(Vendedor2!$E$15="",0,Vendedor2!$E$15)</f>
        <v>500</v>
      </c>
      <c r="J5" s="42">
        <f t="shared" si="0"/>
        <v>223550</v>
      </c>
      <c r="K5" s="41">
        <f>MROUND(J5*Vendedor2!J$9,50)</f>
        <v>29050</v>
      </c>
      <c r="L5" s="42">
        <f t="shared" si="1"/>
        <v>1700</v>
      </c>
      <c r="M5" s="42">
        <f t="shared" si="2"/>
        <v>144500</v>
      </c>
      <c r="N5" s="42">
        <f>Vendedor2!$F$7+Vendedor2!$F$11+Vendedor2!$F$15</f>
        <v>144500</v>
      </c>
      <c r="P5" s="42">
        <f t="shared" si="3"/>
        <v>50000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77300</v>
      </c>
      <c r="D8" s="30">
        <f>IF(Vendedor5!$E$7="",0,Vendedor5!$E$7)</f>
        <v>3250</v>
      </c>
      <c r="E8" s="180">
        <f>IF(Vendedor5!$C$11="",0,Vendedor5!$C$11)</f>
        <v>84100</v>
      </c>
      <c r="F8" s="30">
        <f>IF(Vendedor5!$E$11="",0,Vendedor5!$E$11)</f>
        <v>400</v>
      </c>
      <c r="G8" s="180">
        <f>IF(Vendedor5!$C$15="",0,Vendedor5!$C$15)</f>
        <v>58000</v>
      </c>
      <c r="H8" s="30">
        <f>IF(Vendedor5!$E$15="",0,Vendedor5!$E$15)</f>
        <v>750</v>
      </c>
      <c r="J8" s="42">
        <f t="shared" ref="J8" si="4">+C8+E8+G8</f>
        <v>219400</v>
      </c>
      <c r="K8" s="41">
        <f>MROUND(J8*Vendedor5!J$11,50)</f>
        <v>26350</v>
      </c>
      <c r="L8" s="42">
        <f t="shared" ref="L8" si="5">+D8+F8+H8</f>
        <v>4400</v>
      </c>
      <c r="M8" s="42">
        <f t="shared" ref="M8" si="6">+L8*85</f>
        <v>374000</v>
      </c>
      <c r="N8" s="42">
        <f>Vendedor5!$F$7+Vendedor5!$F$11+Vendedor5!$F$15</f>
        <v>374000</v>
      </c>
      <c r="P8" s="42">
        <f t="shared" ref="P8" si="7">+J8-K8-N8</f>
        <v>-180950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180550</v>
      </c>
      <c r="D10" s="30">
        <f>IF(Vendedor7!$E$7="",0,Vendedor7!$E$7)</f>
        <v>5650</v>
      </c>
      <c r="E10" s="180">
        <f>IF(Vendedor7!$C$11="",0,Vendedor7!$C$11)</f>
        <v>183750</v>
      </c>
      <c r="F10" s="30">
        <f>IF(Vendedor7!$E$11="",0,Vendedor7!$E$11)</f>
        <v>400</v>
      </c>
      <c r="G10" s="180">
        <f>IF(Vendedor7!$C$15="",0,Vendedor7!$C$15)</f>
        <v>175500</v>
      </c>
      <c r="H10" s="30">
        <f>IF(Vendedor7!$E$15="",0,Vendedor7!$E$15)</f>
        <v>50</v>
      </c>
      <c r="J10" s="42">
        <f t="shared" si="8"/>
        <v>539800</v>
      </c>
      <c r="K10" s="41">
        <f>MROUND(J10*Vendedor7!J$14,50)</f>
        <v>64800</v>
      </c>
      <c r="L10" s="42">
        <f t="shared" si="9"/>
        <v>6100</v>
      </c>
      <c r="M10" s="42">
        <f t="shared" si="10"/>
        <v>518500</v>
      </c>
      <c r="N10" s="42">
        <f>Vendedor7!$F$7+Vendedor7!$F$11+Vendedor7!$F$15</f>
        <v>518500</v>
      </c>
      <c r="P10" s="42">
        <f t="shared" si="11"/>
        <v>-43500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4000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2000</v>
      </c>
      <c r="H11" s="30">
        <f>IF(Vendedor8!$E$15="",0,Vendedor8!$E$15)</f>
        <v>0</v>
      </c>
      <c r="J11" s="42">
        <f t="shared" si="8"/>
        <v>6000</v>
      </c>
      <c r="K11" s="41">
        <f>MROUND(J11*Vendedor8!J$11,50)</f>
        <v>700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5300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37750</v>
      </c>
      <c r="D12" s="30">
        <f>IF(Vendedor9!$E$7="",0,Vendedor9!$E$7)</f>
        <v>200</v>
      </c>
      <c r="E12" s="180">
        <f>IF(Vendedor9!$C$11="",0,Vendedor9!$C$11)</f>
        <v>24600</v>
      </c>
      <c r="F12" s="30">
        <f>IF(Vendedor9!$E$11="",0,Vendedor9!$E$11)</f>
        <v>0</v>
      </c>
      <c r="G12" s="180">
        <f>IF(Vendedor9!$C$15="",0,Vendedor9!$C$15)</f>
        <v>62550</v>
      </c>
      <c r="H12" s="30">
        <f>IF(Vendedor9!$E$15="",0,Vendedor9!$E$15)</f>
        <v>0</v>
      </c>
      <c r="J12" s="42">
        <f t="shared" si="8"/>
        <v>124900</v>
      </c>
      <c r="K12" s="41">
        <f>MROUND(J12*Vendedor9!J$11,50)</f>
        <v>15000</v>
      </c>
      <c r="L12" s="42">
        <f t="shared" si="9"/>
        <v>200</v>
      </c>
      <c r="M12" s="42">
        <f t="shared" si="10"/>
        <v>17000</v>
      </c>
      <c r="N12" s="42">
        <f>Vendedor9!$F$7+Vendedor9!$F$11+Vendedor9!$F$15</f>
        <v>17000</v>
      </c>
      <c r="P12" s="42">
        <f t="shared" si="11"/>
        <v>92900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35500</v>
      </c>
      <c r="D13" s="30">
        <f>IF(Vendedor10!$E$7="",0,Vendedor10!$E$7)</f>
        <v>1200</v>
      </c>
      <c r="E13" s="180">
        <f>IF(Vendedor10!$C$11="",0,Vendedor10!$C$11)</f>
        <v>23100</v>
      </c>
      <c r="F13" s="30">
        <f>IF(Vendedor10!$E$11="",0,Vendedor10!$E$11)</f>
        <v>0</v>
      </c>
      <c r="G13" s="180">
        <f>IF(Vendedor10!$C$15="",0,Vendedor10!$C$15)</f>
        <v>58050</v>
      </c>
      <c r="H13" s="30">
        <f>IF(Vendedor10!$E$15="",0,Vendedor10!$E$15)</f>
        <v>2900</v>
      </c>
      <c r="J13" s="42">
        <f t="shared" si="8"/>
        <v>116650</v>
      </c>
      <c r="K13" s="41">
        <f>MROUND(J13*Vendedor10!J$9,50)</f>
        <v>14000</v>
      </c>
      <c r="L13" s="42">
        <f t="shared" si="9"/>
        <v>4100</v>
      </c>
      <c r="M13" s="42">
        <f t="shared" si="10"/>
        <v>348500</v>
      </c>
      <c r="N13" s="42">
        <f>Vendedor10!$F$7+Vendedor10!$F$11+Vendedor10!$F$15</f>
        <v>348500</v>
      </c>
      <c r="P13" s="42">
        <f t="shared" si="11"/>
        <v>-245850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37000</v>
      </c>
      <c r="D14" s="30">
        <f>IF(Vendedor11!$E$7="",0,Vendedor11!$E$7)</f>
        <v>700</v>
      </c>
      <c r="E14" s="180">
        <f>IF(Vendedor11!$C$11="",0,Vendedor11!$C$11)</f>
        <v>22600</v>
      </c>
      <c r="F14" s="30">
        <f>IF(Vendedor11!$E$11="",0,Vendedor11!$E$11)</f>
        <v>0</v>
      </c>
      <c r="G14" s="180">
        <f>IF(Vendedor11!$C$15="",0,Vendedor11!$C$15)</f>
        <v>28800</v>
      </c>
      <c r="H14" s="30">
        <f>IF(Vendedor11!$E$15="",0,Vendedor11!$E$15)</f>
        <v>0</v>
      </c>
      <c r="J14" s="42">
        <f t="shared" si="8"/>
        <v>88400</v>
      </c>
      <c r="K14" s="41">
        <f>MROUND(J14*Vendedor11!J$9,50)</f>
        <v>13250</v>
      </c>
      <c r="L14" s="42">
        <f t="shared" si="9"/>
        <v>700</v>
      </c>
      <c r="M14" s="42">
        <f t="shared" si="10"/>
        <v>59500</v>
      </c>
      <c r="N14" s="42">
        <f>Vendedor11!$F$7+Vendedor11!$F$11+Vendedor11!$F$15</f>
        <v>56000</v>
      </c>
      <c r="P14" s="42">
        <f t="shared" si="11"/>
        <v>19150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10200</v>
      </c>
      <c r="D16" s="30">
        <f>IF(Vendedor13!$E$7="",0,Vendedor13!$E$7)</f>
        <v>0</v>
      </c>
      <c r="E16" s="180">
        <f>IF(Vendedor13!$C$11="",0,Vendedor13!$C$11)</f>
        <v>4400</v>
      </c>
      <c r="F16" s="30">
        <f>IF(Vendedor13!$E$11="",0,Vendedor13!$E$11)</f>
        <v>0</v>
      </c>
      <c r="G16" s="180">
        <f>IF(Vendedor13!$C$15="",0,Vendedor13!$C$15)</f>
        <v>14900</v>
      </c>
      <c r="H16" s="30">
        <f>IF(Vendedor13!$E$15="",0,Vendedor13!$E$15)</f>
        <v>0</v>
      </c>
      <c r="J16" s="42">
        <f t="shared" si="8"/>
        <v>29500</v>
      </c>
      <c r="K16" s="41">
        <f>MROUND(J16*Vendedor13!J$11,50)</f>
        <v>3550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25950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152550</v>
      </c>
      <c r="D17" s="30">
        <f>IF(Vendedor14!$E$7="",0,Vendedor14!$E$7)</f>
        <v>2350</v>
      </c>
      <c r="E17" s="180">
        <f>IF(Vendedor14!$C$11="",0,Vendedor14!$C$11)</f>
        <v>92250</v>
      </c>
      <c r="F17" s="30">
        <f>IF(Vendedor14!$E$11="",0,Vendedor14!$E$11)</f>
        <v>0</v>
      </c>
      <c r="G17" s="180">
        <f>IF(Vendedor14!$C$15="",0,Vendedor14!$C$15)</f>
        <v>188100</v>
      </c>
      <c r="H17" s="30">
        <f>IF(Vendedor14!$E$15="",0,Vendedor14!$E$15)</f>
        <v>600</v>
      </c>
      <c r="J17" s="42">
        <f t="shared" si="8"/>
        <v>432900</v>
      </c>
      <c r="K17" s="41">
        <f>MROUND(J17*Vendedor14!J$15,50)</f>
        <v>51950</v>
      </c>
      <c r="L17" s="42">
        <f t="shared" si="9"/>
        <v>2950</v>
      </c>
      <c r="M17" s="42">
        <f t="shared" si="10"/>
        <v>250750</v>
      </c>
      <c r="N17" s="42">
        <f>Vendedor14!$F$7+Vendedor14!$F$11+Vendedor14!$F$15</f>
        <v>250750</v>
      </c>
      <c r="P17" s="42">
        <f t="shared" si="11"/>
        <v>130200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33750</v>
      </c>
      <c r="D18" s="30">
        <f>IF(Vendedor15!$E$7="",0,Vendedor15!$E$7)</f>
        <v>3000</v>
      </c>
      <c r="E18" s="180">
        <f>IF(Vendedor15!$C$11="",0,Vendedor15!$C$11)</f>
        <v>39100</v>
      </c>
      <c r="F18" s="30">
        <f>IF(Vendedor15!$E$11="",0,Vendedor15!$E$11)</f>
        <v>100</v>
      </c>
      <c r="G18" s="180">
        <f>IF(Vendedor15!$C$15="",0,Vendedor15!$C$15)</f>
        <v>76600</v>
      </c>
      <c r="H18" s="30">
        <f>IF(Vendedor15!$E$15="",0,Vendedor15!$E$15)</f>
        <v>0</v>
      </c>
      <c r="J18" s="42">
        <f t="shared" ref="J18" si="12">+C18+E18+G18</f>
        <v>149450</v>
      </c>
      <c r="K18" s="41">
        <f>MROUND(J18*Vendedor15!J$15,50)</f>
        <v>17950</v>
      </c>
      <c r="L18" s="42">
        <f t="shared" ref="L18" si="13">+D18+F18+H18</f>
        <v>3100</v>
      </c>
      <c r="M18" s="42">
        <f t="shared" ref="M18" si="14">+L18*85</f>
        <v>263500</v>
      </c>
      <c r="N18" s="42">
        <f>Vendedor15!$F$7+Vendedor15!$F$11+Vendedor15!$F$15</f>
        <v>263500</v>
      </c>
      <c r="P18" s="42">
        <f t="shared" ref="P18" si="15">+J18-K18-N18</f>
        <v>-132000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727650</v>
      </c>
      <c r="D32" s="44">
        <f t="shared" si="16"/>
        <v>19400</v>
      </c>
      <c r="E32" s="43">
        <f t="shared" si="16"/>
        <v>553700</v>
      </c>
      <c r="F32" s="44">
        <f t="shared" si="16"/>
        <v>2900</v>
      </c>
      <c r="G32" s="43">
        <f t="shared" si="16"/>
        <v>821800</v>
      </c>
      <c r="H32" s="44">
        <f t="shared" si="16"/>
        <v>6000</v>
      </c>
      <c r="J32" s="95">
        <f>SUM(J4:J31)</f>
        <v>2103150</v>
      </c>
      <c r="K32" s="45">
        <f>SUM(K7:K31)</f>
        <v>207550</v>
      </c>
      <c r="L32" s="95">
        <f>SUM(L4:L31)</f>
        <v>28300</v>
      </c>
      <c r="M32" s="95">
        <f>SUM(M4:M31)</f>
        <v>2405500</v>
      </c>
      <c r="N32" s="95">
        <f>SUM(N4:N31)</f>
        <v>2402000</v>
      </c>
      <c r="P32" s="79">
        <f>SUM(P4:P31)</f>
        <v>-557900</v>
      </c>
    </row>
    <row r="33" spans="3:13" x14ac:dyDescent="0.35">
      <c r="D33" s="99">
        <f>+D32*85</f>
        <v>1649000</v>
      </c>
      <c r="F33" s="99">
        <f>+F32*85</f>
        <v>246500</v>
      </c>
      <c r="H33" s="99">
        <f>+H32*85</f>
        <v>510000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2103150</v>
      </c>
      <c r="E36" s="43">
        <f>+D36-J4-J5-J6</f>
        <v>1707000</v>
      </c>
      <c r="G36" s="101"/>
    </row>
    <row r="37" spans="3:13" x14ac:dyDescent="0.35">
      <c r="C37" s="47" t="s">
        <v>33</v>
      </c>
      <c r="D37" s="48">
        <f>D36*13%</f>
        <v>273409.5</v>
      </c>
      <c r="E37">
        <f>+D37-K4-K5-K6</f>
        <v>221909.5</v>
      </c>
      <c r="G37" s="100"/>
      <c r="H37" s="100"/>
    </row>
    <row r="38" spans="3:13" ht="15" thickBot="1" x14ac:dyDescent="0.4">
      <c r="C38" s="47" t="s">
        <v>30</v>
      </c>
      <c r="D38" s="30">
        <f>M32</f>
        <v>2405500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-575759.5</v>
      </c>
      <c r="F39" s="98">
        <f>+P32-D39</f>
        <v>17859.5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-575759.5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33</v>
      </c>
      <c r="D2" s="268"/>
      <c r="E2" s="267">
        <f>DigitaNICA!E2</f>
        <v>15</v>
      </c>
      <c r="F2" s="268"/>
      <c r="G2" s="267">
        <f>DigitaNICA!G2</f>
        <v>37</v>
      </c>
      <c r="H2" s="268"/>
      <c r="I2" s="267">
        <f>DigitaNICA!I2</f>
        <v>23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15800</v>
      </c>
      <c r="D4" s="78">
        <f>IF(Vendedor1!$E$5="",0,Vendedor1!$E$5)</f>
        <v>0</v>
      </c>
      <c r="E4" s="189">
        <f>IF(Vendedor1!$C$9="",0,Vendedor1!$C$9)</f>
        <v>7750</v>
      </c>
      <c r="F4" s="78">
        <f>IF(Vendedor1!$E$9="",0,Vendedor1!$E$9)</f>
        <v>0</v>
      </c>
      <c r="G4" s="189">
        <f>IF(Vendedor1!$C$13="",0,Vendedor1!$C$13)</f>
        <v>4600</v>
      </c>
      <c r="H4" s="78">
        <f>IF(Vendedor1!$E$13="",0,Vendedor1!$E$13)</f>
        <v>0</v>
      </c>
      <c r="I4" s="189">
        <f>IF(Vendedor1!$C$17="",0,Vendedor1!$C$17)</f>
        <v>3100</v>
      </c>
      <c r="J4" s="78">
        <f>IF(Vendedor1!$E$17="",0,Vendedor1!$E$17)</f>
        <v>0</v>
      </c>
      <c r="L4" s="42">
        <f t="shared" ref="L4:L7" si="0">C4+E4+G4+I4</f>
        <v>31250</v>
      </c>
      <c r="M4" s="41">
        <f>MROUND(L4*Vendedor1!J$10,50)</f>
        <v>4050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27200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17600</v>
      </c>
      <c r="D5" s="30">
        <f>IF(Vendedor2!$E$5="",0,Vendedor2!$E$5)</f>
        <v>0</v>
      </c>
      <c r="E5" s="180">
        <f>IF(Vendedor2!$C$9="",0,Vendedor2!$C$9)</f>
        <v>1000</v>
      </c>
      <c r="F5" s="30">
        <f>IF(Vendedor2!$E$9="",0,Vendedor2!$E$9)</f>
        <v>0</v>
      </c>
      <c r="G5" s="180">
        <f>IF(Vendedor2!$C$13="",0,Vendedor2!$C$13)</f>
        <v>600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19200</v>
      </c>
      <c r="M5" s="41">
        <f>MROUND(L5*Vendedor2!J$10,50)</f>
        <v>2500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16700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84100</v>
      </c>
      <c r="D8" s="30">
        <f>IF(Vendedor5!$E$5="",0,Vendedor5!$E$5)</f>
        <v>300</v>
      </c>
      <c r="E8" s="180">
        <f>IF(Vendedor5!$C$9="",0,Vendedor5!$C$9)</f>
        <v>66400</v>
      </c>
      <c r="F8" s="30">
        <f>IF(Vendedor5!$E$9="",0,Vendedor5!$E$9)</f>
        <v>1900</v>
      </c>
      <c r="G8" s="180">
        <f>IF(Vendedor5!$C$13="",0,Vendedor5!$C$13)</f>
        <v>6450</v>
      </c>
      <c r="H8" s="30">
        <f>IF(Vendedor5!$E$13="",0,Vendedor5!$E$13)</f>
        <v>0</v>
      </c>
      <c r="I8" s="180">
        <f>IF(Vendedor5!$C$17="",0,Vendedor5!$C$17)</f>
        <v>11800</v>
      </c>
      <c r="J8" s="30">
        <f>IF(Vendedor5!$E$17="",0,Vendedor5!$E$17)</f>
        <v>0</v>
      </c>
      <c r="L8" s="42">
        <f t="shared" ref="L8" si="4">C8+E8+G8+I8</f>
        <v>168750</v>
      </c>
      <c r="M8" s="41">
        <f>MROUND(L8*Vendedor5!J$12,50)</f>
        <v>20250</v>
      </c>
      <c r="N8" s="42">
        <f t="shared" ref="N8" si="5">D8+F8+H8+J8</f>
        <v>2200</v>
      </c>
      <c r="O8" s="41">
        <f t="shared" si="3"/>
        <v>187000</v>
      </c>
      <c r="P8" s="42">
        <f>Vendedor5!$F$5+Vendedor5!$F$9+Vendedor5!$F$13+Vendedor5!$F$17</f>
        <v>176000</v>
      </c>
      <c r="Q8">
        <v>17</v>
      </c>
      <c r="R8" s="41">
        <f t="shared" ref="R8" si="6">+L8-M8-O8</f>
        <v>-38500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136400</v>
      </c>
      <c r="D10" s="30">
        <f>IF(Vendedor7!$E$5="",0,Vendedor7!$E$5)</f>
        <v>800</v>
      </c>
      <c r="E10" s="180">
        <f>IF(Vendedor7!$C$9="",0,Vendedor7!$C$9)</f>
        <v>112700</v>
      </c>
      <c r="F10" s="30">
        <f>IF(Vendedor7!$E$9="",0,Vendedor7!$E$9)</f>
        <v>1050</v>
      </c>
      <c r="G10" s="180">
        <f>IF(Vendedor7!$C$13="",0,Vendedor7!$C$13)</f>
        <v>87600</v>
      </c>
      <c r="H10" s="30">
        <f>IF(Vendedor7!$E$13="",0,Vendedor7!$E$13)</f>
        <v>800</v>
      </c>
      <c r="I10" s="180">
        <f>IF(Vendedor7!$C$17="",0,Vendedor7!$C$17)</f>
        <v>118950</v>
      </c>
      <c r="J10" s="30">
        <f>IF(Vendedor7!$E$17="",0,Vendedor7!$E$17)</f>
        <v>2800</v>
      </c>
      <c r="L10" s="42">
        <f t="shared" si="7"/>
        <v>455650</v>
      </c>
      <c r="M10" s="41">
        <f>MROUND(L10*Vendedor7!J$15,50)</f>
        <v>54700</v>
      </c>
      <c r="N10" s="42">
        <f t="shared" ref="N10:N27" si="9">D10+F10+H10+J10</f>
        <v>5450</v>
      </c>
      <c r="O10" s="41">
        <f t="shared" si="3"/>
        <v>463250</v>
      </c>
      <c r="P10" s="42">
        <f>Vendedor7!$F$5+Vendedor7!$F$9+Vendedor7!$F$13+Vendedor7!$F$17</f>
        <v>463250</v>
      </c>
      <c r="R10" s="41">
        <f t="shared" si="8"/>
        <v>-62300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31400</v>
      </c>
      <c r="D12" s="30">
        <f>IF(Vendedor9!$E$5="",0,Vendedor9!$E$5)</f>
        <v>500</v>
      </c>
      <c r="E12" s="180">
        <f>IF(Vendedor9!$C$9="",0,Vendedor9!$C$9)</f>
        <v>23950</v>
      </c>
      <c r="F12" s="30">
        <f>IF(Vendedor9!$E$9="",0,Vendedor9!$E$9)</f>
        <v>1250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55350</v>
      </c>
      <c r="M12" s="41">
        <f>MROUND(L12*Vendedor9!J$12,50)</f>
        <v>6650</v>
      </c>
      <c r="N12" s="42">
        <f t="shared" si="9"/>
        <v>1750</v>
      </c>
      <c r="O12" s="41">
        <f t="shared" si="3"/>
        <v>148750</v>
      </c>
      <c r="P12" s="42">
        <f>Vendedor9!$F$5+Vendedor9!$F$9+Vendedor9!$F$13+Vendedor9!$F$17</f>
        <v>148750</v>
      </c>
      <c r="R12" s="41">
        <f t="shared" si="8"/>
        <v>-100050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27650</v>
      </c>
      <c r="D13" s="30">
        <f>IF(Vendedor10!$E$5="",0,Vendedor10!$E$5)</f>
        <v>0</v>
      </c>
      <c r="E13" s="180">
        <f>IF(Vendedor10!$C$9="",0,Vendedor10!$C$9)</f>
        <v>23300</v>
      </c>
      <c r="F13" s="30">
        <f>IF(Vendedor10!$E$9="",0,Vendedor10!$E$9)</f>
        <v>600</v>
      </c>
      <c r="G13" s="180">
        <f>IF(Vendedor10!$C$13="",0,Vendedor10!$C$13)</f>
        <v>20100</v>
      </c>
      <c r="H13" s="30">
        <f>IF(Vendedor10!$E$13="",0,Vendedor10!$E$13)</f>
        <v>0</v>
      </c>
      <c r="I13" s="180">
        <f>IF(Vendedor10!$C$17="",0,Vendedor10!$C$17)</f>
        <v>21000</v>
      </c>
      <c r="J13" s="30">
        <f>IF(Vendedor10!$E$17="",0,Vendedor10!$E$17)</f>
        <v>600</v>
      </c>
      <c r="L13" s="42">
        <f t="shared" si="7"/>
        <v>92050</v>
      </c>
      <c r="M13" s="41">
        <f>MROUND(L13*Vendedor10!J$10,50)</f>
        <v>11050</v>
      </c>
      <c r="N13" s="42">
        <f t="shared" si="9"/>
        <v>1200</v>
      </c>
      <c r="O13" s="41">
        <f t="shared" si="3"/>
        <v>102000</v>
      </c>
      <c r="P13" s="42">
        <f>Vendedor10!$F$5+Vendedor10!$F$9+Vendedor10!$F$13+Vendedor10!$F$17</f>
        <v>96000</v>
      </c>
      <c r="R13" s="41">
        <f t="shared" si="8"/>
        <v>-21000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6500</v>
      </c>
      <c r="D16" s="30">
        <f>IF(Vendedor13!$E$5="",0,Vendedor13!$E$5)</f>
        <v>0</v>
      </c>
      <c r="E16" s="180">
        <f>IF(Vendedor13!$C$9="",0,Vendedor13!$C$9)</f>
        <v>4500</v>
      </c>
      <c r="F16" s="30">
        <f>IF(Vendedor13!$E$9="",0,Vendedor13!$E$9)</f>
        <v>0</v>
      </c>
      <c r="G16" s="180">
        <f>IF(Vendedor13!$C$13="",0,Vendedor13!$C$13)</f>
        <v>6400</v>
      </c>
      <c r="H16" s="30">
        <f>IF(Vendedor13!$E$13="",0,Vendedor13!$E$13)</f>
        <v>0</v>
      </c>
      <c r="I16" s="180">
        <f>IF(Vendedor13!$C$17="",0,Vendedor13!$C$17)</f>
        <v>3000</v>
      </c>
      <c r="J16" s="30">
        <f>IF(Vendedor13!$E$17="",0,Vendedor13!$E$17)</f>
        <v>0</v>
      </c>
      <c r="L16" s="42">
        <f t="shared" si="7"/>
        <v>20400</v>
      </c>
      <c r="M16" s="41">
        <f>MROUND(L16*Vendedor13!J$12,50)</f>
        <v>2450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17950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97100</v>
      </c>
      <c r="D17" s="30">
        <f>IF(Vendedor14!$E$5="",0,Vendedor14!$E$5)</f>
        <v>1550</v>
      </c>
      <c r="E17" s="180">
        <f>IF(Vendedor14!$C$9="",0,Vendedor14!$C$9)</f>
        <v>102250</v>
      </c>
      <c r="F17" s="30">
        <f>IF(Vendedor14!$E$9="",0,Vendedor14!$E$9)</f>
        <v>700</v>
      </c>
      <c r="G17" s="180">
        <f>IF(Vendedor14!$C$13="",0,Vendedor14!$C$13)</f>
        <v>53150</v>
      </c>
      <c r="H17" s="30">
        <f>IF(Vendedor14!$E$13="",0,Vendedor14!$E$13)</f>
        <v>0</v>
      </c>
      <c r="I17" s="180">
        <f>IF(Vendedor14!$C$17="",0,Vendedor14!$C$17)</f>
        <v>139500</v>
      </c>
      <c r="J17" s="30">
        <f>IF(Vendedor14!$E$17="",0,Vendedor14!$E$17)</f>
        <v>100</v>
      </c>
      <c r="L17" s="42">
        <f>C17+E17+G17+I17</f>
        <v>392000</v>
      </c>
      <c r="M17" s="41">
        <f>MROUND(L17*Vendedor14!J$16,50)</f>
        <v>47050</v>
      </c>
      <c r="N17" s="42">
        <f t="shared" si="9"/>
        <v>2350</v>
      </c>
      <c r="O17" s="41">
        <f t="shared" si="3"/>
        <v>199750</v>
      </c>
      <c r="P17" s="42">
        <f>Vendedor14!$F$5+Vendedor14!$F$9+Vendedor14!$F$13+Vendedor14!$F$17</f>
        <v>199750</v>
      </c>
      <c r="R17" s="41">
        <f t="shared" si="8"/>
        <v>145200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43100</v>
      </c>
      <c r="D18" s="30">
        <f>IF(Vendedor15!$E$5="",0,Vendedor15!$E$5)</f>
        <v>350</v>
      </c>
      <c r="E18" s="180">
        <f>IF(Vendedor15!$C$9="",0,Vendedor15!$C$9)</f>
        <v>48100</v>
      </c>
      <c r="F18" s="30">
        <f>IF(Vendedor15!$E$9="",0,Vendedor15!$E$9)</f>
        <v>2300</v>
      </c>
      <c r="G18" s="180">
        <f>IF(Vendedor15!$C$13="",0,Vendedor15!$C$13)</f>
        <v>43550</v>
      </c>
      <c r="H18" s="30">
        <f>IF(Vendedor15!$E$13="",0,Vendedor15!$E$13)</f>
        <v>0</v>
      </c>
      <c r="I18" s="180">
        <f>IF(Vendedor15!$C$17="",0,Vendedor15!$C$17)</f>
        <v>5000</v>
      </c>
      <c r="J18" s="30">
        <f>IF(Vendedor15!$E$17="",0,Vendedor15!$E$17)</f>
        <v>0</v>
      </c>
      <c r="L18" s="42">
        <f t="shared" ref="L18:L27" si="10">C18+E18+G18+I18</f>
        <v>139750</v>
      </c>
      <c r="M18" s="41">
        <f>MROUND(L18*Vendedor15!J$16,50)</f>
        <v>16750</v>
      </c>
      <c r="N18" s="42">
        <f t="shared" si="9"/>
        <v>2650</v>
      </c>
      <c r="O18" s="41">
        <f t="shared" si="3"/>
        <v>225250</v>
      </c>
      <c r="P18" s="42">
        <f>Vendedor15!$F$5+Vendedor15!$F$9+Vendedor15!$F$13+Vendedor15!$F$17</f>
        <v>225250</v>
      </c>
      <c r="R18" s="41">
        <f t="shared" si="8"/>
        <v>-102250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-302350</v>
      </c>
      <c r="J27" s="50">
        <f>IF(Vendedor24!$E$17="",0,Vendedor24!$E$17)</f>
        <v>-3500</v>
      </c>
      <c r="L27" s="42">
        <f t="shared" si="10"/>
        <v>-302350</v>
      </c>
      <c r="M27" s="41">
        <f>IF((L27*Vendedor24!J$10)&lt;0,MROUND(L27*Vendedor24!J$10,-50),MROUND(L27*Vendedor24!J$10,50))</f>
        <v>-36300</v>
      </c>
      <c r="N27" s="42">
        <f t="shared" si="9"/>
        <v>-3500</v>
      </c>
      <c r="O27" s="41">
        <f t="shared" si="3"/>
        <v>-297500</v>
      </c>
      <c r="P27" s="42">
        <f>Vendedor24!$F$5+Vendedor24!$F$9+Vendedor24!$F$13+Vendedor24!$F$17</f>
        <v>-297500</v>
      </c>
      <c r="R27" s="41">
        <f t="shared" si="8"/>
        <v>31450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459650</v>
      </c>
      <c r="D32" s="44">
        <f t="shared" si="14"/>
        <v>3500</v>
      </c>
      <c r="E32" s="43">
        <f t="shared" si="14"/>
        <v>389950</v>
      </c>
      <c r="F32" s="44">
        <f t="shared" si="14"/>
        <v>7800</v>
      </c>
      <c r="G32" s="43">
        <f t="shared" si="14"/>
        <v>222450</v>
      </c>
      <c r="H32" s="44">
        <f t="shared" si="14"/>
        <v>800</v>
      </c>
      <c r="I32" s="43">
        <f t="shared" si="14"/>
        <v>0</v>
      </c>
      <c r="J32" s="44">
        <f t="shared" si="14"/>
        <v>0</v>
      </c>
      <c r="L32" s="45">
        <f>SUM(L4:L31)</f>
        <v>1072050</v>
      </c>
      <c r="M32" s="45">
        <f>SUM(M7:M31)</f>
        <v>122600</v>
      </c>
      <c r="N32" s="95">
        <f>SUM(N4:N31)</f>
        <v>12100</v>
      </c>
      <c r="O32" s="46">
        <f>SUM(O4:O31)</f>
        <v>1028500</v>
      </c>
      <c r="P32" s="140">
        <f>SUM(P4:P31)</f>
        <v>1011500</v>
      </c>
      <c r="R32" s="79">
        <f>SUM(R4:R31)</f>
        <v>-85600</v>
      </c>
    </row>
    <row r="33" spans="3:15" x14ac:dyDescent="0.35">
      <c r="D33" s="120">
        <f>+D32*85</f>
        <v>297500</v>
      </c>
      <c r="F33" s="120">
        <f>+F32*85</f>
        <v>663000</v>
      </c>
      <c r="H33" s="120">
        <f>+H32*85</f>
        <v>68000</v>
      </c>
      <c r="J33" s="120">
        <f>+J32*85</f>
        <v>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1072050</v>
      </c>
      <c r="E36" s="43">
        <f>+D36-L4-L5-L6</f>
        <v>1021600</v>
      </c>
    </row>
    <row r="37" spans="3:15" x14ac:dyDescent="0.35">
      <c r="C37" s="47" t="s">
        <v>33</v>
      </c>
      <c r="D37" s="48">
        <f>D36*13%</f>
        <v>139366.5</v>
      </c>
      <c r="E37">
        <f>+D37-M4-M5-M6</f>
        <v>132816.5</v>
      </c>
    </row>
    <row r="38" spans="3:15" x14ac:dyDescent="0.35">
      <c r="C38" s="47" t="s">
        <v>30</v>
      </c>
      <c r="D38" s="30">
        <f>SUM(O4:O27)</f>
        <v>1028500</v>
      </c>
      <c r="G38" s="100"/>
    </row>
    <row r="39" spans="3:15" ht="15" thickBot="1" x14ac:dyDescent="0.4">
      <c r="C39" s="49" t="s">
        <v>4</v>
      </c>
      <c r="D39" s="80">
        <f>+D36-D37-D38</f>
        <v>-95816.5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-95816.5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20 Blanca</v>
      </c>
      <c r="D2" s="268"/>
      <c r="E2" s="267" t="str">
        <f>IF(E33=0,"",CONCATENATE(PREMIOS!$B11," ",PREMIOS!$B12))</f>
        <v>68 Blanca</v>
      </c>
      <c r="F2" s="268"/>
      <c r="G2" s="267" t="str">
        <f>IF(G33=0,"",CONCATENATE(PREMIOS!$B15," ",PREMIOS!$B16))</f>
        <v>80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36350</v>
      </c>
      <c r="D10" s="30">
        <f>IF(Vendedor7!$E$8="",0,Vendedor7!$E$8)</f>
        <v>250</v>
      </c>
      <c r="E10" s="180">
        <f>IF(Vendedor7!$C$12="",0,Vendedor7!$C$12)</f>
        <v>33900</v>
      </c>
      <c r="F10" s="30">
        <f>IF(Vendedor7!$E$12="",0,Vendedor7!$E$12)</f>
        <v>0</v>
      </c>
      <c r="G10" s="180">
        <f>IF(Vendedor7!$C$16="",0,Vendedor7!$C$16)</f>
        <v>40750</v>
      </c>
      <c r="H10" s="30">
        <f>IF(Vendedor7!$E$16="",0,Vendedor7!$E$16)</f>
        <v>0</v>
      </c>
      <c r="J10" s="42">
        <f t="shared" si="1"/>
        <v>111000</v>
      </c>
      <c r="K10" s="41">
        <f>J10*Vendedor7!J$16</f>
        <v>11100</v>
      </c>
      <c r="L10" s="42">
        <f t="shared" si="2"/>
        <v>0</v>
      </c>
      <c r="M10" s="42">
        <f t="shared" si="3"/>
        <v>250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99900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2800</v>
      </c>
      <c r="D12" s="30">
        <f>IF(Vendedor9!$E$8="",0,Vendedor9!$E$8)</f>
        <v>0</v>
      </c>
      <c r="E12" s="180">
        <f>IF(Vendedor9!$C$12="",0,Vendedor9!$C$12)</f>
        <v>4600</v>
      </c>
      <c r="F12" s="30">
        <f>IF(Vendedor9!$E$12="",0,Vendedor9!$E$12)</f>
        <v>0</v>
      </c>
      <c r="G12" s="180">
        <f>IF(Vendedor9!$C$16="",0,Vendedor9!$C$16)</f>
        <v>6100</v>
      </c>
      <c r="H12" s="30">
        <f>IF(Vendedor9!$E$16="",0,Vendedor9!$E$16)</f>
        <v>0</v>
      </c>
      <c r="J12" s="42">
        <f t="shared" si="1"/>
        <v>13500</v>
      </c>
      <c r="K12" s="41">
        <f>J12*Vendedor9!J$13</f>
        <v>1350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12150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28050</v>
      </c>
      <c r="D17" s="30">
        <f>IF(Vendedor14!$E$8="",0,Vendedor14!$E$8)</f>
        <v>0</v>
      </c>
      <c r="E17" s="180">
        <f>IF(Vendedor14!$C$12="",0,Vendedor14!$C$12)</f>
        <v>11300</v>
      </c>
      <c r="F17" s="30">
        <f>IF(Vendedor14!$E$12="",0,Vendedor14!$E$12)</f>
        <v>0</v>
      </c>
      <c r="G17" s="180">
        <f>IF(Vendedor14!$C$16="",0,Vendedor14!$C$16)</f>
        <v>30050</v>
      </c>
      <c r="H17" s="30">
        <f>IF(Vendedor14!$E$16="",0,Vendedor14!$E$16)</f>
        <v>0</v>
      </c>
      <c r="J17" s="42">
        <f t="shared" si="1"/>
        <v>69400</v>
      </c>
      <c r="K17" s="41">
        <f>J17*Vendedor14!J$17</f>
        <v>6940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62460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17450</v>
      </c>
      <c r="D18" s="30">
        <f>IF(Vendedor15!$E$8="",0,Vendedor15!$E$8)</f>
        <v>1500</v>
      </c>
      <c r="E18" s="180">
        <f>IF(Vendedor15!$C$12="",0,Vendedor15!$C$12)</f>
        <v>15050</v>
      </c>
      <c r="F18" s="30">
        <f>IF(Vendedor15!$E$12="",0,Vendedor15!$E$12)</f>
        <v>100</v>
      </c>
      <c r="G18" s="180">
        <f>IF(Vendedor15!$C$16="",0,Vendedor15!$C$16)</f>
        <v>16050</v>
      </c>
      <c r="H18" s="30">
        <f>IF(Vendedor15!$E$16="",0,Vendedor15!$E$16)</f>
        <v>0</v>
      </c>
      <c r="J18" s="42">
        <f t="shared" ref="J18" si="5">+C18+E18+G18</f>
        <v>48550</v>
      </c>
      <c r="K18" s="41">
        <f>J18*Vendedor15!J$17</f>
        <v>4855</v>
      </c>
      <c r="L18" s="42">
        <f t="shared" si="2"/>
        <v>0</v>
      </c>
      <c r="M18" s="42">
        <f t="shared" si="3"/>
        <v>1600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43695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84650</v>
      </c>
      <c r="D33" s="44">
        <f>IF(PREMIOS!E8&lt;&gt;0,SUM(D4:D32),0)</f>
        <v>0</v>
      </c>
      <c r="E33" s="43">
        <f>SUM(E4:E32)</f>
        <v>64850</v>
      </c>
      <c r="F33" s="44">
        <f>IF(PREMIOS!E12&lt;&gt;0,SUM(F4:F32),0)</f>
        <v>0</v>
      </c>
      <c r="G33" s="43">
        <f>SUM(G4:G32)</f>
        <v>92950</v>
      </c>
      <c r="H33" s="44">
        <f>IF(PREMIOS!E16&lt;&gt;0,SUM(H4:H32),0)</f>
        <v>0</v>
      </c>
      <c r="J33" s="45">
        <f>SUM(J4:J32)</f>
        <v>242450</v>
      </c>
      <c r="K33" s="45">
        <f>SUM(K7:K32)</f>
        <v>24245</v>
      </c>
      <c r="L33" s="95">
        <f>SUM(L7:L32)</f>
        <v>0</v>
      </c>
      <c r="M33" s="95">
        <f>SUM(M7:M32)</f>
        <v>1850</v>
      </c>
      <c r="N33" s="95">
        <f>SUM(N4:N27)</f>
        <v>0</v>
      </c>
      <c r="O33" s="95">
        <f>SUM(O4:O27)</f>
        <v>0</v>
      </c>
      <c r="Q33" s="79">
        <f>SUM(Q4:Q32)</f>
        <v>218205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242450</v>
      </c>
      <c r="E37" s="43">
        <f>+D37-J4-J5-J6</f>
        <v>242450</v>
      </c>
      <c r="F37" s="275"/>
      <c r="G37" s="275"/>
    </row>
    <row r="38" spans="3:17" ht="15" thickBot="1" x14ac:dyDescent="0.4">
      <c r="C38" s="47" t="s">
        <v>33</v>
      </c>
      <c r="D38" s="30">
        <f>D37*10%</f>
        <v>24245</v>
      </c>
      <c r="E38" s="43">
        <f>+D38-K4-K5-K6</f>
        <v>24245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218205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218205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 t="str">
        <f>DigitaPRIMERA!C2</f>
        <v>02</v>
      </c>
      <c r="D2" s="268"/>
      <c r="E2" s="267">
        <f>DigitaPRIMERA!E2</f>
        <v>61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9150</v>
      </c>
      <c r="D4" s="78">
        <f>IF(Vendedor1!$E$19="",0,Vendedor1!$E$19)</f>
        <v>0</v>
      </c>
      <c r="E4" s="189">
        <f>IF(Vendedor1!$C$20="",0,Vendedor1!$C$20)</f>
        <v>1100</v>
      </c>
      <c r="F4" s="78">
        <f>IF(Vendedor1!$E$20="",0,Vendedor1!$E$20)</f>
        <v>0</v>
      </c>
      <c r="H4" s="42">
        <f>+C4+E4</f>
        <v>10250</v>
      </c>
      <c r="I4" s="41">
        <f>MROUND(H4*Vendedor1!J$9,50)</f>
        <v>1350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8900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4300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4300</v>
      </c>
      <c r="I5" s="41">
        <f>MROUND(H5*Vendedor2!J$9,50)</f>
        <v>550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3750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47750</v>
      </c>
      <c r="D8" s="30">
        <f>IF(Vendedor5!$E$19="",0,Vendedor5!$E$19)</f>
        <v>1450</v>
      </c>
      <c r="E8" s="180">
        <f>IF(Vendedor5!$C$20="",0,Vendedor5!$C$20)</f>
        <v>36950</v>
      </c>
      <c r="F8" s="30">
        <f>IF(Vendedor5!$E$20="",0,Vendedor5!$E$20)</f>
        <v>0</v>
      </c>
      <c r="H8" s="133">
        <f t="shared" si="1"/>
        <v>84700</v>
      </c>
      <c r="I8" s="148">
        <f>MROUND(H8*Vendedor5!J$11,50)</f>
        <v>10150</v>
      </c>
      <c r="J8" s="133">
        <f t="shared" si="2"/>
        <v>1450</v>
      </c>
      <c r="K8" s="133">
        <f t="shared" si="3"/>
        <v>123250</v>
      </c>
      <c r="L8" s="133">
        <f>Vendedor5!$F$19+Vendedor5!$F$20</f>
        <v>116000</v>
      </c>
      <c r="M8" s="155"/>
      <c r="N8" s="133">
        <f t="shared" si="0"/>
        <v>-41450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33350</v>
      </c>
      <c r="D10" s="30">
        <f>IF(Vendedor7!$E$19="",0,Vendedor7!$E$19)</f>
        <v>3500</v>
      </c>
      <c r="E10" s="180">
        <f>IF(Vendedor7!$C$20="",0,Vendedor7!$C$20)</f>
        <v>30100</v>
      </c>
      <c r="F10" s="30">
        <f>IF(Vendedor7!$E$20="",0,Vendedor7!$E$20)</f>
        <v>0</v>
      </c>
      <c r="H10" s="42">
        <f t="shared" si="1"/>
        <v>63450</v>
      </c>
      <c r="I10" s="41">
        <f>MROUND(H10*Vendedor7!J$14,50)</f>
        <v>7600</v>
      </c>
      <c r="J10" s="42">
        <f t="shared" si="2"/>
        <v>3500</v>
      </c>
      <c r="K10" s="42">
        <f t="shared" si="3"/>
        <v>297500</v>
      </c>
      <c r="L10" s="42">
        <f>Vendedor7!$F$19+Vendedor7!$F$20</f>
        <v>297500</v>
      </c>
      <c r="N10" s="42">
        <f t="shared" si="0"/>
        <v>-241650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36000</v>
      </c>
      <c r="D12" s="30">
        <f>IF(Vendedor9!$E$19="",0,Vendedor9!$E$19)</f>
        <v>500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36000</v>
      </c>
      <c r="I12" s="148">
        <f>MROUND(H12*Vendedor9!J$11,50)</f>
        <v>4300</v>
      </c>
      <c r="J12" s="133">
        <f t="shared" si="2"/>
        <v>500</v>
      </c>
      <c r="K12" s="133">
        <f t="shared" si="3"/>
        <v>42500</v>
      </c>
      <c r="L12" s="133">
        <f>Vendedor9!$F$19+Vendedor9!$F$20</f>
        <v>42500</v>
      </c>
      <c r="M12" s="155"/>
      <c r="N12" s="133">
        <f t="shared" si="0"/>
        <v>-10800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400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400</v>
      </c>
      <c r="I16" s="148">
        <f>MROUND(H16*Vendedor13!J$11,50)</f>
        <v>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350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85750</v>
      </c>
      <c r="D17" s="30">
        <f>IF(Vendedor14!$E$19="",0,Vendedor14!$E$19)</f>
        <v>1650</v>
      </c>
      <c r="E17" s="180">
        <f>IF(Vendedor14!$C$20="",0,Vendedor14!$C$20)</f>
        <v>28250</v>
      </c>
      <c r="F17" s="30">
        <f>IF(Vendedor14!$E$20="",0,Vendedor14!$E$20)</f>
        <v>0</v>
      </c>
      <c r="H17" s="42">
        <f t="shared" si="1"/>
        <v>114000</v>
      </c>
      <c r="I17" s="41">
        <f>MROUND(H17*Vendedor14!J$15,50)</f>
        <v>13700</v>
      </c>
      <c r="J17" s="42">
        <f t="shared" si="2"/>
        <v>1650</v>
      </c>
      <c r="K17" s="42">
        <f t="shared" si="3"/>
        <v>140250</v>
      </c>
      <c r="L17" s="42">
        <f>Vendedor14!$F$19+Vendedor14!$F$20</f>
        <v>140250</v>
      </c>
      <c r="N17" s="42">
        <f t="shared" si="0"/>
        <v>-39950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30000</v>
      </c>
      <c r="D18" s="30">
        <f>IF(Vendedor15!$E$19="",0,Vendedor15!$E$19)</f>
        <v>950</v>
      </c>
      <c r="E18" s="180">
        <f>IF(Vendedor15!$C$20="",0,Vendedor15!$C$20)</f>
        <v>36100</v>
      </c>
      <c r="F18" s="30">
        <f>IF(Vendedor15!$E$20="",0,Vendedor15!$E$20)</f>
        <v>0</v>
      </c>
      <c r="H18" s="42">
        <f t="shared" si="1"/>
        <v>66100</v>
      </c>
      <c r="I18" s="41">
        <f>MROUND(H18*Vendedor15!J$15,50)</f>
        <v>7950</v>
      </c>
      <c r="J18" s="42">
        <f t="shared" si="2"/>
        <v>950</v>
      </c>
      <c r="K18" s="42">
        <f t="shared" si="3"/>
        <v>80750</v>
      </c>
      <c r="L18" s="42">
        <f>Vendedor15!$F$19+Vendedor15!$F$20</f>
        <v>80750</v>
      </c>
      <c r="N18" s="42">
        <f t="shared" si="0"/>
        <v>-22600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246700</v>
      </c>
      <c r="D32" s="44">
        <f>SUM(D4:D31)</f>
        <v>8050</v>
      </c>
      <c r="E32" s="43">
        <f>SUM(E4:E31)</f>
        <v>132500</v>
      </c>
      <c r="F32" s="44">
        <f>SUM(F4:F31)</f>
        <v>0</v>
      </c>
      <c r="H32" s="95">
        <f>SUM(H4:H31)</f>
        <v>379200</v>
      </c>
      <c r="I32" s="45">
        <f>SUM(I7:I31)</f>
        <v>43750</v>
      </c>
      <c r="J32" s="95"/>
      <c r="K32" s="95">
        <f>SUM(K4:K31)</f>
        <v>684250</v>
      </c>
      <c r="L32" s="95">
        <f>SUM(L4:L31)</f>
        <v>677000</v>
      </c>
      <c r="N32" s="79">
        <f>SUM(N4:N31)</f>
        <v>-343450</v>
      </c>
    </row>
    <row r="33" spans="3:6" x14ac:dyDescent="0.35">
      <c r="D33" s="99">
        <f>+D32*85</f>
        <v>684250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379200</v>
      </c>
      <c r="E36" s="43">
        <f>+D36-H4-H5-H6</f>
        <v>364650</v>
      </c>
    </row>
    <row r="37" spans="3:6" x14ac:dyDescent="0.35">
      <c r="C37" s="47" t="s">
        <v>33</v>
      </c>
      <c r="D37" s="48">
        <f>D36*13%</f>
        <v>49296</v>
      </c>
      <c r="E37">
        <f>+D37-I4-I5-I6</f>
        <v>47396</v>
      </c>
    </row>
    <row r="38" spans="3:6" ht="15" thickBot="1" x14ac:dyDescent="0.4">
      <c r="C38" s="47" t="s">
        <v>30</v>
      </c>
      <c r="D38" s="30">
        <f>SUM(K4:K27)</f>
        <v>684250</v>
      </c>
    </row>
    <row r="39" spans="3:6" ht="15" thickBot="1" x14ac:dyDescent="0.4">
      <c r="C39" s="49" t="s">
        <v>4</v>
      </c>
      <c r="D39" s="80">
        <f>+D36-D37-D38</f>
        <v>-354346</v>
      </c>
      <c r="F39" s="98">
        <f>+N32-D39</f>
        <v>10896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-354346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27</v>
      </c>
      <c r="D2" s="268"/>
      <c r="E2" s="267">
        <f>DigitaHONDURAS!E2</f>
        <v>77</v>
      </c>
      <c r="F2" s="268"/>
      <c r="G2" s="267">
        <f>DigitaHONDURAS!G2</f>
        <v>71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800</v>
      </c>
      <c r="D10" s="30">
        <f>IF(Vendedor7!$E$21="",0,Vendedor7!$E$21)</f>
        <v>0</v>
      </c>
      <c r="E10" s="180">
        <f>IF(Vendedor7!$C$22="",0,Vendedor7!$C$22)</f>
        <v>3000</v>
      </c>
      <c r="F10" s="30">
        <f>IF(Vendedor7!$E$22="",0,Vendedor7!$E$22)</f>
        <v>0</v>
      </c>
      <c r="G10" s="180">
        <f>IF(Vendedor7!$C$23="",0,Vendedor7!$C$23)</f>
        <v>5400</v>
      </c>
      <c r="H10" s="30">
        <f>IF(Vendedor7!$E$23="",0,Vendedor7!$E$23)</f>
        <v>0</v>
      </c>
      <c r="J10" s="42">
        <f t="shared" si="0"/>
        <v>9200</v>
      </c>
      <c r="K10" s="41">
        <f>MROUND(J10*Vendedor7!J$14,50)</f>
        <v>1100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8100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13500</v>
      </c>
      <c r="D12" s="30">
        <f>IF(Vendedor9!$E$21="",0,Vendedor9!$E$21)</f>
        <v>150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13500</v>
      </c>
      <c r="K12" s="41">
        <f>MROUND(J12*Vendedor9!J$14,50)</f>
        <v>1600</v>
      </c>
      <c r="L12" s="42">
        <f t="shared" ref="L12" si="5">+D12+F12+H12</f>
        <v>150</v>
      </c>
      <c r="M12" s="42">
        <f t="shared" si="3"/>
        <v>12750</v>
      </c>
      <c r="N12" s="42">
        <f>Vendedor9!$F$21+Vendedor9!$F$22+Vendedor9!$F$23</f>
        <v>12750</v>
      </c>
      <c r="P12" s="42">
        <f t="shared" ref="P12" si="6">+J12-K12-N12</f>
        <v>-850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1200</v>
      </c>
      <c r="F16" s="30">
        <f>IF(Vendedor13!$E$22="",0,Vendedor13!$E$22)</f>
        <v>0</v>
      </c>
      <c r="G16" s="180">
        <f>IF(Vendedor13!$C$23="",0,Vendedor13!$C$23)</f>
        <v>500</v>
      </c>
      <c r="H16" s="30">
        <f>IF(Vendedor13!$E$23="",0,Vendedor13!$E$23)</f>
        <v>0</v>
      </c>
      <c r="J16" s="133">
        <f t="shared" si="0"/>
        <v>1700</v>
      </c>
      <c r="K16" s="148">
        <f>MROUND(J16*Vendedor13!J$11,50)</f>
        <v>200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1500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33600</v>
      </c>
      <c r="D17" s="30">
        <f>IF(Vendedor14!$E$21="",0,Vendedor14!$E$21)</f>
        <v>600</v>
      </c>
      <c r="E17" s="180">
        <f>IF(Vendedor14!$C$22="",0,Vendedor14!$C$22)</f>
        <v>8000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41600</v>
      </c>
      <c r="K17" s="41">
        <f>MROUND(J17*Vendedor14!J$15,50)</f>
        <v>5000</v>
      </c>
      <c r="L17" s="42">
        <f t="shared" si="1"/>
        <v>600</v>
      </c>
      <c r="M17" s="42">
        <f t="shared" si="3"/>
        <v>51000</v>
      </c>
      <c r="N17" s="42">
        <f>Vendedor14!$F$21+Vendedor14!$F$22+Vendedor14!$F$23</f>
        <v>51000</v>
      </c>
      <c r="P17" s="42">
        <f t="shared" si="2"/>
        <v>-14400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18450</v>
      </c>
      <c r="D18" s="30">
        <f>IF(Vendedor15!$E$21="",0,Vendedor15!$E$21)</f>
        <v>0</v>
      </c>
      <c r="E18" s="180">
        <f>IF(Vendedor15!$C$22="",0,Vendedor15!$C$22)</f>
        <v>4900</v>
      </c>
      <c r="F18" s="30">
        <f>IF(Vendedor15!$E$22="",0,Vendedor15!$E$22)</f>
        <v>0</v>
      </c>
      <c r="G18" s="180">
        <f>IF(Vendedor15!$C$23="",0,Vendedor15!$C$23)</f>
        <v>24950</v>
      </c>
      <c r="H18" s="30">
        <f>IF(Vendedor15!$E$23="",0,Vendedor15!$E$23)</f>
        <v>0</v>
      </c>
      <c r="J18" s="42">
        <f t="shared" si="0"/>
        <v>48300</v>
      </c>
      <c r="K18" s="41">
        <f>MROUND(J18*Vendedor15!J$15,50)</f>
        <v>5800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42500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-30850</v>
      </c>
      <c r="H27" s="50">
        <f>IF(Vendedor24!$E$23="",0,Vendedor24!$E$23)</f>
        <v>0</v>
      </c>
      <c r="J27" s="42">
        <f t="shared" si="0"/>
        <v>-30850</v>
      </c>
      <c r="K27" s="41">
        <f>IF(J27*Vendedor24!J$9&gt;0,MROUND(J27*Vendedor24!J$9,50),MROUND(J27*Vendedor24!J$9,-50))</f>
        <v>-3700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-27150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66350</v>
      </c>
      <c r="D32" s="44">
        <f t="shared" si="8"/>
        <v>750</v>
      </c>
      <c r="E32" s="43">
        <f t="shared" si="8"/>
        <v>17100</v>
      </c>
      <c r="F32" s="44">
        <f t="shared" si="8"/>
        <v>0</v>
      </c>
      <c r="G32" s="43">
        <f t="shared" si="8"/>
        <v>0</v>
      </c>
      <c r="H32" s="44">
        <f t="shared" si="8"/>
        <v>0</v>
      </c>
      <c r="J32" s="95">
        <f>SUM(J4:J31)</f>
        <v>83450</v>
      </c>
      <c r="K32" s="45">
        <f>SUM(K7:K31)</f>
        <v>10000</v>
      </c>
      <c r="L32" s="95"/>
      <c r="M32" s="95">
        <f>SUM(M4:M31)</f>
        <v>63750</v>
      </c>
      <c r="N32" s="95">
        <f>SUM(N4:N31)</f>
        <v>63750</v>
      </c>
      <c r="P32" s="79">
        <f>SUM(P4:P31)</f>
        <v>9700</v>
      </c>
    </row>
    <row r="33" spans="3:8" x14ac:dyDescent="0.35">
      <c r="D33" s="99">
        <f>+D32*85</f>
        <v>63750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83450</v>
      </c>
      <c r="E36" s="43">
        <f>+D36-J4-J5-J6</f>
        <v>83450</v>
      </c>
    </row>
    <row r="37" spans="3:8" x14ac:dyDescent="0.35">
      <c r="C37" s="47" t="s">
        <v>33</v>
      </c>
      <c r="D37" s="48">
        <f>D36*13%</f>
        <v>10848.5</v>
      </c>
      <c r="E37">
        <f>+D37-K4-K5-K6</f>
        <v>10848.5</v>
      </c>
    </row>
    <row r="38" spans="3:8" ht="15" thickBot="1" x14ac:dyDescent="0.4">
      <c r="C38" s="47" t="s">
        <v>30</v>
      </c>
      <c r="D38" s="30">
        <f>SUM(M4:M27)</f>
        <v>63750</v>
      </c>
      <c r="G38" s="100"/>
    </row>
    <row r="39" spans="3:8" ht="15" thickBot="1" x14ac:dyDescent="0.4">
      <c r="C39" s="49" t="s">
        <v>4</v>
      </c>
      <c r="D39" s="80">
        <f>+D36-D37-D38</f>
        <v>8851.5</v>
      </c>
      <c r="F39" s="98">
        <f>+P32-D39</f>
        <v>848.5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8851.5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23</v>
      </c>
      <c r="D2" s="268"/>
      <c r="E2" s="267">
        <f>DigitaDOMINICANA!E2</f>
        <v>60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27300</v>
      </c>
      <c r="D10" s="30">
        <f>IF(Vendedor7!$E$24="",0,Vendedor7!$E$24)</f>
        <v>0</v>
      </c>
      <c r="E10" s="180">
        <f>IF(Vendedor7!$C$25="",0,Vendedor7!$C$25)</f>
        <v>31000</v>
      </c>
      <c r="F10" s="30">
        <f>IF(Vendedor7!$E$25="",0,Vendedor7!$E$25)</f>
        <v>1000</v>
      </c>
      <c r="H10" s="42">
        <f t="shared" si="1"/>
        <v>58300</v>
      </c>
      <c r="I10" s="41">
        <f>MROUND(H10*Vendedor7!J$14,50)</f>
        <v>7000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-33700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27300</v>
      </c>
      <c r="D32" s="44">
        <f>SUM(D4:D31)</f>
        <v>0</v>
      </c>
      <c r="E32" s="43">
        <f>SUM(E4:E31)</f>
        <v>31000</v>
      </c>
      <c r="F32" s="44">
        <f>SUM(F4:F31)</f>
        <v>1000</v>
      </c>
      <c r="H32" s="95">
        <f>SUM(H4:H31)</f>
        <v>58300</v>
      </c>
      <c r="I32" s="45">
        <f>SUM(I7:I31)</f>
        <v>7000</v>
      </c>
      <c r="J32" s="95"/>
      <c r="K32" s="95">
        <f>SUM(K4:K31)</f>
        <v>85000</v>
      </c>
      <c r="L32" s="95">
        <f>SUM(L4:L31)</f>
        <v>85000</v>
      </c>
      <c r="N32" s="79">
        <f>SUM(N4:N31)</f>
        <v>-33700</v>
      </c>
    </row>
    <row r="33" spans="3:6" x14ac:dyDescent="0.35">
      <c r="D33" s="99">
        <f>+D32*85</f>
        <v>0</v>
      </c>
      <c r="F33" s="99">
        <f>+F32*85</f>
        <v>85000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58300</v>
      </c>
      <c r="E36" s="43">
        <f>+D36-H4-H5-H6</f>
        <v>58300</v>
      </c>
    </row>
    <row r="37" spans="3:6" x14ac:dyDescent="0.35">
      <c r="C37" s="47" t="s">
        <v>33</v>
      </c>
      <c r="D37" s="48">
        <f>D36*13%</f>
        <v>7579</v>
      </c>
      <c r="E37">
        <f>+D37-I4-I5-I6</f>
        <v>7579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-34279</v>
      </c>
      <c r="F39" s="98">
        <f>+N32-D39</f>
        <v>579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-34279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15-04-2026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1021600</v>
      </c>
      <c r="C4" s="157">
        <f>HojaNICA!M32</f>
        <v>122600</v>
      </c>
      <c r="D4" s="150">
        <f>HojaNICA!E37</f>
        <v>132816.5</v>
      </c>
      <c r="E4" s="150">
        <f>HojaNICA!P32</f>
        <v>1011500</v>
      </c>
      <c r="F4" s="150">
        <f>HojaNICA!O32</f>
        <v>1028500</v>
      </c>
      <c r="G4" s="151">
        <f t="shared" ref="G4:G10" si="0">+D4-C4+F4-E4</f>
        <v>27216.5</v>
      </c>
      <c r="H4" s="21"/>
      <c r="I4" s="182"/>
    </row>
    <row r="5" spans="1:9" x14ac:dyDescent="0.35">
      <c r="A5" s="28" t="s">
        <v>19</v>
      </c>
      <c r="B5" s="156">
        <f>HojaTICA!$E$36</f>
        <v>1707000</v>
      </c>
      <c r="C5" s="157">
        <f>HojaTICA!K32</f>
        <v>207550</v>
      </c>
      <c r="D5" s="150">
        <f>HojaTICA!E37</f>
        <v>221909.5</v>
      </c>
      <c r="E5" s="150">
        <f>HojaTICA!N32</f>
        <v>2402000</v>
      </c>
      <c r="F5" s="150">
        <f>HojaTICA!D38</f>
        <v>2405500</v>
      </c>
      <c r="G5" s="151">
        <f t="shared" si="0"/>
        <v>17859.5</v>
      </c>
      <c r="H5" s="21"/>
      <c r="I5" s="182"/>
    </row>
    <row r="6" spans="1:9" x14ac:dyDescent="0.35">
      <c r="A6" s="28" t="s">
        <v>125</v>
      </c>
      <c r="B6" s="156">
        <f>HojaREVENTADO!$E$37</f>
        <v>242450</v>
      </c>
      <c r="C6" s="157">
        <f>HojaREVENTADO!K33</f>
        <v>24245</v>
      </c>
      <c r="D6" s="150">
        <f>HojaREVENTADO!E38</f>
        <v>24245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364650</v>
      </c>
      <c r="C7" s="157">
        <f>HojaPrimera!I32</f>
        <v>43750</v>
      </c>
      <c r="D7" s="150">
        <f>HojaPrimera!E37</f>
        <v>47396</v>
      </c>
      <c r="E7" s="150">
        <f>HojaPrimera!L32</f>
        <v>677000</v>
      </c>
      <c r="F7" s="150">
        <f>HojaPrimera!K32</f>
        <v>684250</v>
      </c>
      <c r="G7" s="151">
        <f t="shared" si="0"/>
        <v>10896</v>
      </c>
      <c r="H7" s="21"/>
      <c r="I7" s="21"/>
    </row>
    <row r="8" spans="1:9" x14ac:dyDescent="0.35">
      <c r="A8" s="28" t="s">
        <v>104</v>
      </c>
      <c r="B8" s="156">
        <f>HojaHonduras!$E$36</f>
        <v>83450</v>
      </c>
      <c r="C8" s="157">
        <f>HojaHonduras!K32</f>
        <v>10000</v>
      </c>
      <c r="D8" s="150">
        <f>HojaHonduras!E37</f>
        <v>10848.5</v>
      </c>
      <c r="E8" s="150">
        <f>HojaHonduras!N32</f>
        <v>63750</v>
      </c>
      <c r="F8" s="150">
        <f>HojaHonduras!M32</f>
        <v>63750</v>
      </c>
      <c r="G8" s="151">
        <f t="shared" si="0"/>
        <v>848.5</v>
      </c>
      <c r="H8" s="21"/>
      <c r="I8" s="21"/>
    </row>
    <row r="9" spans="1:9" x14ac:dyDescent="0.35">
      <c r="A9" s="28" t="s">
        <v>20</v>
      </c>
      <c r="B9" s="156">
        <f>HojaDominicana!$E$36</f>
        <v>58300</v>
      </c>
      <c r="C9" s="157">
        <f>HojaDominicana!I32</f>
        <v>7000</v>
      </c>
      <c r="D9" s="150">
        <f>HojaDominicana!E37</f>
        <v>7579</v>
      </c>
      <c r="E9" s="150">
        <f>HojaDominicana!L32</f>
        <v>85000</v>
      </c>
      <c r="F9" s="150">
        <f>HojaDominicana!K32</f>
        <v>85000</v>
      </c>
      <c r="G9" s="151">
        <f t="shared" si="0"/>
        <v>579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3477450</v>
      </c>
      <c r="C11" s="175">
        <f>SUM(C4:C10)</f>
        <v>415145</v>
      </c>
      <c r="D11" s="175">
        <f t="shared" ref="D11:F11" si="1">SUM(D4:D10)</f>
        <v>444794.5</v>
      </c>
      <c r="E11" s="175">
        <f t="shared" si="1"/>
        <v>4239250</v>
      </c>
      <c r="F11" s="175">
        <f t="shared" si="1"/>
        <v>4267000</v>
      </c>
      <c r="G11" s="176">
        <f>SUM(G4:G10)</f>
        <v>57399.5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37399.5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214100</v>
      </c>
      <c r="E16" s="157">
        <f>+Vendedor1!D21</f>
        <v>27833</v>
      </c>
      <c r="F16" s="158">
        <f>IF(D16&lt;&gt;0,15000,0)</f>
        <v>15000</v>
      </c>
      <c r="G16" s="151">
        <f>+E16-F16</f>
        <v>12833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247050</v>
      </c>
      <c r="E17" s="157">
        <f>+Vendedor2!D21</f>
        <v>32116.5</v>
      </c>
      <c r="F17" s="158">
        <f>IF(D17&lt;&gt;0,15000,0)</f>
        <v>15000</v>
      </c>
      <c r="G17" s="151">
        <f>+E17-F17</f>
        <v>17116.5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461150</v>
      </c>
      <c r="E19" s="159">
        <f>SUM(E16:E18)</f>
        <v>59949.5</v>
      </c>
      <c r="F19" s="160">
        <f>SUM(F16:F18)</f>
        <v>30000</v>
      </c>
      <c r="G19" s="161">
        <f>SUM(G16:G18)</f>
        <v>29949.5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333200</v>
      </c>
      <c r="E22" s="157">
        <f>-Vendedor24!D27</f>
        <v>39984</v>
      </c>
      <c r="F22" s="158">
        <f>-Vendedor24!F27</f>
        <v>297500</v>
      </c>
      <c r="G22" s="151">
        <f>+D22-E22-F22</f>
        <v>-4284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63065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L12" sqref="L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15-04-2026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1072050</v>
      </c>
      <c r="C5" s="150">
        <f>HojaNICA!D37</f>
        <v>139366.5</v>
      </c>
      <c r="D5" s="150">
        <f>HojaNICA!D38</f>
        <v>1028500</v>
      </c>
      <c r="E5" s="150"/>
      <c r="F5" s="151">
        <f>+B5-C5-D5+E5</f>
        <v>-95816.5</v>
      </c>
      <c r="H5" s="249" t="s">
        <v>105</v>
      </c>
      <c r="I5" s="243">
        <f ca="1">TODAY()-2</f>
        <v>46127</v>
      </c>
      <c r="O5" s="119"/>
    </row>
    <row r="6" spans="1:15" ht="15" thickBot="1" x14ac:dyDescent="0.4">
      <c r="A6" s="47" t="s">
        <v>36</v>
      </c>
      <c r="B6" s="150">
        <f>HojaTICA!D36</f>
        <v>2103150</v>
      </c>
      <c r="C6" s="150">
        <f>HojaTICA!D37</f>
        <v>273409.5</v>
      </c>
      <c r="D6" s="150">
        <f>HojaTICA!D38</f>
        <v>2405500</v>
      </c>
      <c r="E6" s="150"/>
      <c r="F6" s="151">
        <f t="shared" ref="F6:F11" si="0">+B6-C6-D6+E6</f>
        <v>-575759.5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242450</v>
      </c>
      <c r="C7" s="150">
        <f>HojaREVENTADO!D38</f>
        <v>24245</v>
      </c>
      <c r="D7" s="150">
        <f>HojaREVENTADO!D39</f>
        <v>0</v>
      </c>
      <c r="E7" s="150"/>
      <c r="F7" s="151">
        <f t="shared" si="0"/>
        <v>218205</v>
      </c>
    </row>
    <row r="8" spans="1:15" x14ac:dyDescent="0.35">
      <c r="A8" s="47" t="s">
        <v>96</v>
      </c>
      <c r="B8" s="150">
        <f>HojaPrimera!$D36</f>
        <v>379200</v>
      </c>
      <c r="C8" s="150">
        <f>HojaPrimera!$D37</f>
        <v>49296</v>
      </c>
      <c r="D8" s="150">
        <f>HojaPrimera!$D38</f>
        <v>684250</v>
      </c>
      <c r="E8" s="150"/>
      <c r="F8" s="151">
        <f t="shared" si="0"/>
        <v>-354346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83450</v>
      </c>
      <c r="C9" s="150">
        <f>HojaHonduras!$D37</f>
        <v>10848.5</v>
      </c>
      <c r="D9" s="150">
        <f>HojaHonduras!$D38</f>
        <v>63750</v>
      </c>
      <c r="E9" s="150"/>
      <c r="F9" s="151">
        <f t="shared" si="0"/>
        <v>8851.5</v>
      </c>
      <c r="H9" s="250">
        <f>+K12-K10-H6</f>
        <v>-833144.5</v>
      </c>
    </row>
    <row r="10" spans="1:15" ht="15" thickBot="1" x14ac:dyDescent="0.4">
      <c r="A10" s="47" t="s">
        <v>20</v>
      </c>
      <c r="B10" s="150">
        <f>HojaDominicana!$D36</f>
        <v>58300</v>
      </c>
      <c r="C10" s="150">
        <f>HojaDominicana!$D37</f>
        <v>7579</v>
      </c>
      <c r="D10" s="150">
        <f>HojaDominicana!$D38</f>
        <v>85000</v>
      </c>
      <c r="E10" s="150"/>
      <c r="F10" s="151">
        <f t="shared" si="0"/>
        <v>-34279</v>
      </c>
      <c r="H10" s="154"/>
      <c r="J10" t="s">
        <v>148</v>
      </c>
      <c r="K10" s="252">
        <v>6675045.9100000001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5841901.4100000001</v>
      </c>
    </row>
    <row r="12" spans="1:15" ht="16" thickBot="1" x14ac:dyDescent="0.4">
      <c r="A12" s="144" t="s">
        <v>5</v>
      </c>
      <c r="B12" s="152">
        <f>SUM(B5:B11)</f>
        <v>3938600</v>
      </c>
      <c r="C12" s="152">
        <f>SUM(C5:C11)</f>
        <v>504744.5</v>
      </c>
      <c r="D12" s="152">
        <f>SUM(D5:D11)</f>
        <v>4267000</v>
      </c>
      <c r="E12" s="152"/>
      <c r="F12" s="255">
        <f>SUM(F5:F11)</f>
        <v>-833144.5</v>
      </c>
      <c r="H12" s="251">
        <f>K12</f>
        <v>5841901.4100000001</v>
      </c>
      <c r="J12" t="s">
        <v>140</v>
      </c>
      <c r="K12" s="254">
        <f>322691.89+3931122.74+608804.8+979281.98</f>
        <v>5841901.4100000001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172600</v>
      </c>
      <c r="K4" s="231">
        <f t="shared" ref="K4" si="0">D7+D11+D15</f>
        <v>22438</v>
      </c>
      <c r="L4" s="220">
        <f>F7+F11+F15</f>
        <v>429250</v>
      </c>
    </row>
    <row r="5" spans="1:12" x14ac:dyDescent="0.35">
      <c r="A5" s="28" t="s">
        <v>43</v>
      </c>
      <c r="B5" s="132">
        <f>IF(DigitaNICA!C2&lt;&gt;"",DigitaNICA!C2,"")</f>
        <v>33</v>
      </c>
      <c r="C5" s="29">
        <f>IF(DigitaNICA!C4&lt;&gt;"",DigitaNICA!C4,"")</f>
        <v>15800</v>
      </c>
      <c r="D5" s="42">
        <f>IF(C5="",0,C5*J$10)</f>
        <v>2054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13746</v>
      </c>
      <c r="I5" s="241" t="s">
        <v>37</v>
      </c>
      <c r="J5" s="221">
        <f>SUM(IF(C5="",0,C5),IF(C9="",0,C9),IF(C13="",0,C13),IF(C17="",0,C17))</f>
        <v>31250</v>
      </c>
      <c r="K5" s="225">
        <f t="shared" ref="K5" si="2">D5+D9+D13+D17</f>
        <v>4062.5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10250</v>
      </c>
      <c r="K6" s="228">
        <f>D19+D20</f>
        <v>1332.5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20</v>
      </c>
      <c r="C7" s="29">
        <f>IF(DigitaTICA!C4&lt;&gt;"",DigitaTICA!C4,"")</f>
        <v>70350</v>
      </c>
      <c r="D7" s="42">
        <f>IF(C7="",0,C7*J$9)</f>
        <v>9145.5</v>
      </c>
      <c r="E7" s="29">
        <f>IF(DigitaTICA!D4&lt;&gt;"",DigitaTICA!D4,"")</f>
        <v>1850</v>
      </c>
      <c r="F7" s="42">
        <f>IF(E7="",0,E7*PREMIOS!F7)</f>
        <v>157250</v>
      </c>
      <c r="G7" s="30">
        <f t="shared" si="1"/>
        <v>-96045.5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15</v>
      </c>
      <c r="C9" s="29">
        <f>IF(DigitaNICA!E4&lt;&gt;"",DigitaNICA!E4,"")</f>
        <v>7750</v>
      </c>
      <c r="D9" s="42">
        <f>IF(C9="",0,C9*J$10)</f>
        <v>1007.5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6742.5</v>
      </c>
      <c r="I9" s="76" t="s">
        <v>36</v>
      </c>
      <c r="J9" s="77">
        <v>0.13</v>
      </c>
      <c r="K9" s="78">
        <f>MROUND(D7+D11+D15,50)</f>
        <v>22450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4050</v>
      </c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IF(DigitaTICA!E4&lt;&gt;"",DigitaTICA!E4,"")</f>
        <v>38500</v>
      </c>
      <c r="D11" s="42">
        <f>IF(C11="",0,C11*J$9)</f>
        <v>5005</v>
      </c>
      <c r="E11" s="29">
        <f>IF(DigitaTICA!F4&lt;&gt;"",DigitaTICA!F4,"")</f>
        <v>2000</v>
      </c>
      <c r="F11" s="42">
        <f>IF(E11="",0,E11*PREMIOS!F11)</f>
        <v>170000</v>
      </c>
      <c r="G11" s="30">
        <f t="shared" si="1"/>
        <v>-136505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1350</v>
      </c>
    </row>
    <row r="13" spans="1:12" x14ac:dyDescent="0.35">
      <c r="A13" s="28" t="s">
        <v>50</v>
      </c>
      <c r="B13" s="132">
        <f>IF(DigitaNICA!G2&lt;&gt;"",DigitaNICA!G2,"")</f>
        <v>37</v>
      </c>
      <c r="C13" s="29">
        <f>IF(DigitaNICA!G4&lt;&gt;"",DigitaNICA!G4,"")</f>
        <v>4600</v>
      </c>
      <c r="D13" s="42">
        <f>IF(C13="",0,C13*J$10)</f>
        <v>598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4002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IF(DigitaTICA!G4&lt;&gt;"",DigitaTICA!G4,"")</f>
        <v>63750</v>
      </c>
      <c r="D15" s="42">
        <f>IF(C15="",0,C15*J$9)</f>
        <v>8287.5</v>
      </c>
      <c r="E15" s="29">
        <f>IF(DigitaTICA!H4&lt;&gt;"",DigitaTICA!H4,"")</f>
        <v>1200</v>
      </c>
      <c r="F15" s="42">
        <f>IF(E15="",0,E15*PREMIOS!F15)</f>
        <v>102000</v>
      </c>
      <c r="G15" s="30">
        <f t="shared" si="3"/>
        <v>-46537.5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>
        <f>IF(DigitaNICA!I4&lt;&gt;"",DigitaNICA!I4,"")</f>
        <v>3100</v>
      </c>
      <c r="D17" s="42">
        <f>IF(C17="",0,C17*J$10)</f>
        <v>403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2697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02</v>
      </c>
      <c r="C19" s="29">
        <f>IF(DigitaPRIMERA!C4&lt;&gt;"",DigitaPRIMERA!C4,"")</f>
        <v>9150</v>
      </c>
      <c r="D19" s="42">
        <f>IF(C19="",0,C19*J$12)</f>
        <v>1189.5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7960.5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>
        <f>IF(DigitaPRIMERA!E4&lt;&gt;"",DigitaPRIMERA!E4,"")</f>
        <v>1100</v>
      </c>
      <c r="D20" s="42">
        <f>IF(C20="",0,C20*J$12)</f>
        <v>143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957</v>
      </c>
    </row>
    <row r="21" spans="1:7" ht="15" thickBot="1" x14ac:dyDescent="0.4">
      <c r="A21" s="121" t="s">
        <v>5</v>
      </c>
      <c r="B21" s="128"/>
      <c r="C21" s="122">
        <f>SUM(C5:C20)</f>
        <v>214100</v>
      </c>
      <c r="D21" s="122">
        <f t="shared" ref="D21:G21" si="6">SUM(D5:D20)</f>
        <v>27833</v>
      </c>
      <c r="E21" s="122">
        <f t="shared" si="6"/>
        <v>5050</v>
      </c>
      <c r="F21" s="122">
        <f t="shared" si="6"/>
        <v>429250</v>
      </c>
      <c r="G21" s="123">
        <f t="shared" si="6"/>
        <v>-242983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223550</v>
      </c>
      <c r="K4" s="231">
        <f t="shared" ref="K4" si="0">D7+D11+D15</f>
        <v>29061.5</v>
      </c>
      <c r="L4" s="220">
        <f>F7+F11+F15</f>
        <v>144500</v>
      </c>
    </row>
    <row r="5" spans="1:12" x14ac:dyDescent="0.35">
      <c r="A5" s="28" t="s">
        <v>43</v>
      </c>
      <c r="B5" s="132">
        <f>IF(DigitaNICA!C2&lt;&gt;"",DigitaNICA!C2,"")</f>
        <v>33</v>
      </c>
      <c r="C5" s="29">
        <f>IF(DigitaNICA!C5&lt;&gt;"",DigitaNICA!C5,"")</f>
        <v>17600</v>
      </c>
      <c r="D5" s="42">
        <f>IF(C5="",0,C5*J$10)</f>
        <v>2288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15312</v>
      </c>
      <c r="I5" s="241" t="s">
        <v>37</v>
      </c>
      <c r="J5" s="221">
        <f>SUM(IF(C5="",0,C5),IF(C9="",0,C9),IF(C13="",0,C13),IF(C17="",0,C17))</f>
        <v>19200</v>
      </c>
      <c r="K5" s="225">
        <f t="shared" ref="K5" si="2">D5+D9+D13+D17</f>
        <v>2496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4300</v>
      </c>
      <c r="K6" s="228">
        <f>D19+D20</f>
        <v>559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20</v>
      </c>
      <c r="C7" s="29">
        <f>IF(DigitaTICA!C5&lt;&gt;"",DigitaTICA!C5,"")</f>
        <v>88700</v>
      </c>
      <c r="D7" s="42">
        <f>IF(C7="",0,C7*J$9)</f>
        <v>11531</v>
      </c>
      <c r="E7" s="29">
        <f>IF(DigitaTICA!D5&lt;&gt;"",DigitaTICA!D5,"")</f>
        <v>1200</v>
      </c>
      <c r="F7" s="42">
        <f>IF(E7="",0,E7*PREMIOS!F7)</f>
        <v>102000</v>
      </c>
      <c r="G7" s="30">
        <f t="shared" si="1"/>
        <v>-24831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15</v>
      </c>
      <c r="C9" s="29">
        <f>IF(DigitaNICA!E5&lt;&gt;"",DigitaNICA!E5,"")</f>
        <v>1000</v>
      </c>
      <c r="D9" s="42">
        <f>IF(C9="",0,C9*J$10)</f>
        <v>130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870</v>
      </c>
      <c r="I9" s="60" t="s">
        <v>36</v>
      </c>
      <c r="J9" s="61">
        <v>0.13</v>
      </c>
      <c r="K9" s="62">
        <f>MROUND(D7+D11+D15,50)</f>
        <v>29050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2500</v>
      </c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IF(DigitaTICA!E5&lt;&gt;"",DigitaTICA!E5,"")</f>
        <v>41300</v>
      </c>
      <c r="D11" s="42">
        <f>IF(C11="",0,C11*J$9)</f>
        <v>5369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35931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550</v>
      </c>
    </row>
    <row r="13" spans="1:12" x14ac:dyDescent="0.35">
      <c r="A13" s="28" t="s">
        <v>50</v>
      </c>
      <c r="B13" s="132">
        <f>IF(DigitaNICA!G2&lt;&gt;"",DigitaNICA!G2,"")</f>
        <v>37</v>
      </c>
      <c r="C13" s="29">
        <f>IF(DigitaNICA!G5&lt;&gt;"",DigitaNICA!G5,"")</f>
        <v>600</v>
      </c>
      <c r="D13" s="42">
        <f>IF(C13="",0,C13*J$10)</f>
        <v>78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522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IF(DigitaTICA!G5&lt;&gt;"",DigitaTICA!G5,"")</f>
        <v>93550</v>
      </c>
      <c r="D15" s="42">
        <f>IF(C15="",0,C15*J$9)</f>
        <v>12161.5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38888.5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02</v>
      </c>
      <c r="C19" s="29">
        <f>IF(DigitaPRIMERA!C5&lt;&gt;"",DigitaPRIMERA!C5,"")</f>
        <v>4300</v>
      </c>
      <c r="D19" s="42">
        <f>IF(C19="",0,C19*J$12)</f>
        <v>559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3741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247050</v>
      </c>
      <c r="D21" s="68">
        <f t="shared" ref="D21:G21" si="4">SUM(D5:D20)</f>
        <v>32116.5</v>
      </c>
      <c r="E21" s="68">
        <f t="shared" si="4"/>
        <v>1700</v>
      </c>
      <c r="F21" s="68">
        <f t="shared" si="4"/>
        <v>144500</v>
      </c>
      <c r="G21" s="88">
        <f t="shared" si="4"/>
        <v>70433.5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20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15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68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37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02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20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68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219400</v>
      </c>
      <c r="K4" s="231">
        <f t="shared" ref="K4" si="0">D7+D11+D15</f>
        <v>26328</v>
      </c>
      <c r="L4" s="220">
        <f>F7+F11+F15</f>
        <v>374000</v>
      </c>
    </row>
    <row r="5" spans="1:12" x14ac:dyDescent="0.35">
      <c r="A5" s="28" t="s">
        <v>43</v>
      </c>
      <c r="B5" s="132">
        <f>IF(DigitaNICA!C2&lt;&gt;"",DigitaNICA!C2,"")</f>
        <v>33</v>
      </c>
      <c r="C5" s="29">
        <f>IF(DigitaNICA!C8&lt;&gt;"",DigitaNICA!C8,"")</f>
        <v>84100</v>
      </c>
      <c r="D5" s="42">
        <f>IF(C5="",0,C5*J$12)</f>
        <v>10092</v>
      </c>
      <c r="E5" s="29">
        <f>IF(DigitaNICA!D8&lt;&gt;"",DigitaNICA!D8,"")</f>
        <v>300</v>
      </c>
      <c r="F5" s="42">
        <f>IF(E5="",0,E5*PREMIOS!E5)</f>
        <v>24000</v>
      </c>
      <c r="G5" s="30">
        <f t="shared" ref="G5:G12" si="1">IF(OR(C5="",E5=""),0,C5-D5-F5)</f>
        <v>50008</v>
      </c>
      <c r="I5" s="241" t="s">
        <v>37</v>
      </c>
      <c r="J5" s="221">
        <f>SUM(IF(C5="",0,C5),IF(C9="",0,C9),IF(C13="",0,C13),IF(C17="",0,C17))</f>
        <v>168750</v>
      </c>
      <c r="K5" s="225">
        <f t="shared" ref="K5" si="2">D5+D9+D13+D17</f>
        <v>20250</v>
      </c>
      <c r="L5" s="222">
        <f>F5+F9+F13+F17</f>
        <v>176000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20</v>
      </c>
      <c r="C7" s="29">
        <f>IF(DigitaTICA!C8&lt;&gt;"",DigitaTICA!C8,"")</f>
        <v>77300</v>
      </c>
      <c r="D7" s="42">
        <f>IF(C7="",0,C7*J$11)</f>
        <v>9276</v>
      </c>
      <c r="E7" s="29">
        <f>IF(DigitaTICA!D8&lt;&gt;"",DigitaTICA!D8,"")</f>
        <v>3250</v>
      </c>
      <c r="F7" s="42">
        <f>IF(E7="",0,E7*PREMIOS!F7)</f>
        <v>276250</v>
      </c>
      <c r="G7" s="30">
        <f t="shared" si="1"/>
        <v>-208226</v>
      </c>
      <c r="I7" s="242" t="s">
        <v>96</v>
      </c>
      <c r="J7" s="224">
        <f>SUM(IF(C19="",0,C19),IF(C20="",0,C20))</f>
        <v>84700</v>
      </c>
      <c r="K7" s="228">
        <f>+D19+D20</f>
        <v>10164</v>
      </c>
      <c r="L7" s="229">
        <f>+F19+F20</f>
        <v>116000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15</v>
      </c>
      <c r="C9" s="29">
        <f>IF(DigitaNICA!E8&lt;&gt;"",DigitaNICA!E8,"")</f>
        <v>66400</v>
      </c>
      <c r="D9" s="42">
        <f>IF(C9="",0,C9*J$12)</f>
        <v>7968</v>
      </c>
      <c r="E9" s="29">
        <f>IF(DigitaNICA!F8&lt;&gt;"",DigitaNICA!F8,"")</f>
        <v>1900</v>
      </c>
      <c r="F9" s="42">
        <f>IF(E9="",0,E9*PREMIOS!E9)</f>
        <v>152000</v>
      </c>
      <c r="G9" s="30">
        <f t="shared" si="1"/>
        <v>-93568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IF(DigitaTICA!E8&lt;&gt;"",DigitaTICA!E8,"")</f>
        <v>84100</v>
      </c>
      <c r="D11" s="42">
        <f>IF(C11="",0,C11*J$11)</f>
        <v>10092</v>
      </c>
      <c r="E11" s="29">
        <f>IF(DigitaTICA!F8&lt;&gt;"",DigitaTICA!F8,"")</f>
        <v>400</v>
      </c>
      <c r="F11" s="42">
        <f>IF(E11="",0,E11*PREMIOS!F11)</f>
        <v>34000</v>
      </c>
      <c r="G11" s="30">
        <f t="shared" si="1"/>
        <v>40008</v>
      </c>
      <c r="I11" s="60" t="s">
        <v>36</v>
      </c>
      <c r="J11" s="61">
        <v>0.12</v>
      </c>
      <c r="K11" s="62">
        <f>MROUND(D7+D11+D15,50)</f>
        <v>26350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20250</v>
      </c>
    </row>
    <row r="13" spans="1:12" x14ac:dyDescent="0.35">
      <c r="A13" s="28" t="s">
        <v>50</v>
      </c>
      <c r="B13" s="132">
        <f>IF(DigitaNICA!G2&lt;&gt;"",DigitaNICA!G2,"")</f>
        <v>37</v>
      </c>
      <c r="C13" s="29">
        <f>IF(DigitaNICA!G8&lt;&gt;"",DigitaNICA!G8,"")</f>
        <v>6450</v>
      </c>
      <c r="D13" s="42">
        <f>IF(C13="",0,C13*J$12)</f>
        <v>774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5676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10150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IF(DigitaTICA!G8&lt;&gt;"",DigitaTICA!G8,"")</f>
        <v>58000</v>
      </c>
      <c r="D15" s="42">
        <f>IF(C15="",0,C15*J$11)</f>
        <v>6960</v>
      </c>
      <c r="E15" s="29">
        <f>IF(DigitaTICA!H8&lt;&gt;"",DigitaTICA!H8,"")</f>
        <v>750</v>
      </c>
      <c r="F15" s="42">
        <f>IF(E15="",0,E15*PREMIOS!F15)</f>
        <v>63750</v>
      </c>
      <c r="G15" s="30">
        <f t="shared" si="4"/>
        <v>-12710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>
        <f>IF(DigitaNICA!I8&lt;&gt;"",DigitaNICA!I8,"")</f>
        <v>11800</v>
      </c>
      <c r="D17" s="42">
        <f>IF(C17="",0,C17*J$12)</f>
        <v>1416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10384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02</v>
      </c>
      <c r="C19" s="29">
        <f>IF(DigitaPRIMERA!C8&lt;&gt;"",DigitaPRIMERA!C8,"")</f>
        <v>47750</v>
      </c>
      <c r="D19" s="42">
        <f>IF(C19="",0,C19*J$14)</f>
        <v>5730</v>
      </c>
      <c r="E19" s="29">
        <f>IF(DigitaPRIMERA!D8&lt;&gt;"",DigitaPRIMERA!D8,"")</f>
        <v>1450</v>
      </c>
      <c r="F19" s="42">
        <f>IF(E19="",0,E19*PREMIOS!E19)</f>
        <v>116000</v>
      </c>
      <c r="G19" s="30">
        <f t="shared" si="4"/>
        <v>-73980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>
        <f>IF(DigitaPRIMERA!E8&lt;&gt;"",DigitaPRIMERA!E8,"")</f>
        <v>36950</v>
      </c>
      <c r="D20" s="42">
        <f>IF(C20="",0,C20*J$14)</f>
        <v>4434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32516</v>
      </c>
    </row>
    <row r="21" spans="1:7" ht="15" thickBot="1" x14ac:dyDescent="0.4">
      <c r="A21" s="121" t="s">
        <v>5</v>
      </c>
      <c r="B21" s="128"/>
      <c r="C21" s="122">
        <f>SUM(C5:C20)</f>
        <v>472850</v>
      </c>
      <c r="D21" s="122">
        <f t="shared" ref="D21:G21" si="5">SUM(D5:D20)</f>
        <v>56742</v>
      </c>
      <c r="E21" s="122">
        <f t="shared" si="5"/>
        <v>8050</v>
      </c>
      <c r="F21" s="122">
        <f t="shared" si="5"/>
        <v>666000</v>
      </c>
      <c r="G21" s="123">
        <f t="shared" si="5"/>
        <v>-249892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33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20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68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02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539800</v>
      </c>
      <c r="K4" s="231">
        <f t="shared" ref="K4" si="0">D7+D11+D15</f>
        <v>64776</v>
      </c>
      <c r="L4" s="220">
        <f>F7+F11+F15</f>
        <v>518500</v>
      </c>
    </row>
    <row r="5" spans="1:12" x14ac:dyDescent="0.35">
      <c r="A5" s="28" t="s">
        <v>43</v>
      </c>
      <c r="B5" s="132">
        <f>IF(DigitaNICA!C2&lt;&gt;"",DigitaNICA!C2,"")</f>
        <v>33</v>
      </c>
      <c r="C5" s="29">
        <f>IF(DigitaNICA!C10&lt;&gt;"",DigitaNICA!C10,"")</f>
        <v>136400</v>
      </c>
      <c r="D5" s="42">
        <f>IF(C5="",0,C5*J$15)</f>
        <v>16368</v>
      </c>
      <c r="E5" s="29">
        <f>IF(DigitaNICA!D10&lt;&gt;"",DigitaNICA!D10,"")</f>
        <v>800</v>
      </c>
      <c r="F5" s="42">
        <f>IF(E5="",0,E5*PREMIOS!F5)</f>
        <v>68000</v>
      </c>
      <c r="G5" s="30">
        <f t="shared" ref="G5:G12" si="1">IF(OR(C5="",E5=""),0,C5-D5-F5)</f>
        <v>52032</v>
      </c>
      <c r="I5" s="217" t="s">
        <v>37</v>
      </c>
      <c r="J5" s="221">
        <f>SUM(IF(C5="",0,C5),IF(C9="",0,C9),IF(C13="",0,C13),IF(C17="",0,C17))</f>
        <v>455650</v>
      </c>
      <c r="K5" s="225">
        <f t="shared" ref="K5" si="2">D5+D9+D13+D17</f>
        <v>54678</v>
      </c>
      <c r="L5" s="222">
        <f>F5+F9+F13+F17</f>
        <v>463250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111000</v>
      </c>
      <c r="K6" s="226">
        <f t="shared" ref="K6" si="3">+D8+D12+D16</f>
        <v>11100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20</v>
      </c>
      <c r="C7" s="29">
        <f>IF(DigitaTICA!C10&lt;&gt;"",DigitaTICA!C10,"")</f>
        <v>180550</v>
      </c>
      <c r="D7" s="42">
        <f>IF(C7="",0,C7*J$14)</f>
        <v>21666</v>
      </c>
      <c r="E7" s="29">
        <f>IF(DigitaTICA!D10&lt;&gt;"",DigitaTICA!D10,"")</f>
        <v>5650</v>
      </c>
      <c r="F7" s="42">
        <f>IF(E7="",0,E7*PREMIOS!F7)</f>
        <v>480250</v>
      </c>
      <c r="G7" s="30">
        <f t="shared" si="1"/>
        <v>-321366</v>
      </c>
      <c r="I7" s="217" t="s">
        <v>96</v>
      </c>
      <c r="J7" s="223">
        <f>SUM(IF(C19="",0,C19),IF(C20="",0,C20))</f>
        <v>63450</v>
      </c>
      <c r="K7" s="226">
        <f>+D19+D20</f>
        <v>7614</v>
      </c>
      <c r="L7" s="227">
        <f>+F19+F20</f>
        <v>297500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36350</v>
      </c>
      <c r="D8" s="42">
        <f>IF(C8="",0,C8*J$16)</f>
        <v>3635</v>
      </c>
      <c r="E8" s="29">
        <f>IF(DigitaREVENTADO!D10&lt;&gt;"",DigitaREVENTADO!D10,"")</f>
        <v>250</v>
      </c>
      <c r="F8" s="42">
        <f>IF(E8="",0,E8*PREMIOS!F8)</f>
        <v>0</v>
      </c>
      <c r="G8" s="30">
        <f t="shared" si="1"/>
        <v>32715</v>
      </c>
      <c r="I8" s="217" t="s">
        <v>104</v>
      </c>
      <c r="J8" s="223">
        <f>SUM(IF(C21="",0,C21),IF(C22="",0,C22),IF(C23="",0,C23))</f>
        <v>9200</v>
      </c>
      <c r="K8" s="226">
        <f t="shared" ref="K8" si="4">D21+D22+D23</f>
        <v>1104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15</v>
      </c>
      <c r="C9" s="29">
        <f>IF(DigitaNICA!E10&lt;&gt;"",DigitaNICA!E10,"")</f>
        <v>112700</v>
      </c>
      <c r="D9" s="42">
        <f>IF(C9="",0,C9*J$15)</f>
        <v>13524</v>
      </c>
      <c r="E9" s="29">
        <f>IF(DigitaNICA!F10&lt;&gt;"",DigitaNICA!F10,"")</f>
        <v>1050</v>
      </c>
      <c r="F9" s="42">
        <f>IF(E9="",0,E9*PREMIOS!F9)</f>
        <v>89250</v>
      </c>
      <c r="G9" s="30">
        <f t="shared" si="1"/>
        <v>9926</v>
      </c>
      <c r="I9" s="217" t="s">
        <v>20</v>
      </c>
      <c r="J9" s="223">
        <f>SUM(IF(C24="",0,C24),IF(C25="",0,C25))</f>
        <v>58300</v>
      </c>
      <c r="K9" s="226">
        <f t="shared" ref="K9" si="5">+D24+D25</f>
        <v>6996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IF(DigitaTICA!E10&lt;&gt;"",DigitaTICA!E10,"")</f>
        <v>183750</v>
      </c>
      <c r="D11" s="42">
        <f>IF(C11="",0,C11*J$14)</f>
        <v>22050</v>
      </c>
      <c r="E11" s="29">
        <f>IF(DigitaTICA!F10&lt;&gt;"",DigitaTICA!F10,"")</f>
        <v>400</v>
      </c>
      <c r="F11" s="42">
        <f>IF(E11="",0,E11*PREMIOS!F11)</f>
        <v>34000</v>
      </c>
      <c r="G11" s="30">
        <f t="shared" si="1"/>
        <v>127700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33900</v>
      </c>
      <c r="D12" s="42">
        <f>IF(C12="",0,C12*J$16)</f>
        <v>3390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30510</v>
      </c>
    </row>
    <row r="13" spans="1:12" ht="15" thickBot="1" x14ac:dyDescent="0.4">
      <c r="A13" s="28" t="s">
        <v>50</v>
      </c>
      <c r="B13" s="132">
        <f>IF(DigitaNICA!G2&lt;&gt;"",DigitaNICA!G2,"")</f>
        <v>37</v>
      </c>
      <c r="C13" s="29">
        <f>IF(DigitaNICA!G10&lt;&gt;"",DigitaNICA!G10,"")</f>
        <v>87600</v>
      </c>
      <c r="D13" s="42">
        <f>IF(C13="",0,C13*J$15)</f>
        <v>10512</v>
      </c>
      <c r="E13" s="29">
        <f>IF(DigitaNICA!H10&lt;&gt;"",DigitaNICA!H10,"")</f>
        <v>800</v>
      </c>
      <c r="F13" s="42">
        <f>IF(E13="",0,E13*PREMIOS!F13)</f>
        <v>68000</v>
      </c>
      <c r="G13" s="30">
        <f>IF(OR(C13="",E13=""),0,C13-D13-F13)</f>
        <v>9088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64800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IF(DigitaTICA!G10&lt;&gt;"",DigitaTICA!G10,"")</f>
        <v>175500</v>
      </c>
      <c r="D15" s="42">
        <f>IF(C15="",0,C15*J$14)</f>
        <v>21060</v>
      </c>
      <c r="E15" s="29">
        <f>IF(DigitaTICA!H10&lt;&gt;"",DigitaTICA!H10,"")</f>
        <v>50</v>
      </c>
      <c r="F15" s="42">
        <f>IF(E15="",0,E15*PREMIOS!F15)</f>
        <v>4250</v>
      </c>
      <c r="G15" s="30">
        <f t="shared" si="6"/>
        <v>150190</v>
      </c>
      <c r="I15" s="63" t="s">
        <v>37</v>
      </c>
      <c r="J15" s="64">
        <v>0.12</v>
      </c>
      <c r="K15" s="30">
        <f>MROUND(D5+D9+D13+D17,50)</f>
        <v>54700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40750</v>
      </c>
      <c r="D16" s="42">
        <f>IF(C16="",0,C16*J$16)</f>
        <v>4075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36675</v>
      </c>
      <c r="I16" s="63" t="s">
        <v>38</v>
      </c>
      <c r="J16" s="64">
        <v>0.1</v>
      </c>
      <c r="K16" s="30">
        <f>MROUND(D6+D8+D10+D12+D14+D16+D18,50)</f>
        <v>11100</v>
      </c>
    </row>
    <row r="17" spans="1:11" x14ac:dyDescent="0.35">
      <c r="A17" s="28" t="s">
        <v>52</v>
      </c>
      <c r="B17" s="132">
        <f>IF(DigitaNICA!I2&lt;&gt;"",DigitaNICA!I2,"")</f>
        <v>23</v>
      </c>
      <c r="C17" s="29">
        <f>IF(DigitaNICA!I10&lt;&gt;"",DigitaNICA!I10,"")</f>
        <v>118950</v>
      </c>
      <c r="D17" s="42">
        <f>IF(C17="",0,C17*J$15)</f>
        <v>14274</v>
      </c>
      <c r="E17" s="29">
        <f>IF(DigitaNICA!J10&lt;&gt;"",DigitaNICA!J10,"")</f>
        <v>2800</v>
      </c>
      <c r="F17" s="42">
        <f>IF(E17="",0,E17*PREMIOS!F17)</f>
        <v>238000</v>
      </c>
      <c r="G17" s="30">
        <f t="shared" si="6"/>
        <v>-133324</v>
      </c>
      <c r="I17" s="63" t="s">
        <v>96</v>
      </c>
      <c r="J17" s="64">
        <v>0.12</v>
      </c>
      <c r="K17" s="30">
        <f>MROUND(D19+D20,50)</f>
        <v>7600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1100</v>
      </c>
    </row>
    <row r="19" spans="1:11" x14ac:dyDescent="0.35">
      <c r="A19" s="28" t="s">
        <v>97</v>
      </c>
      <c r="B19" s="132" t="str">
        <f>IF(DigitaPRIMERA!C2&lt;&gt;"",DigitaPRIMERA!C2,"")</f>
        <v>02</v>
      </c>
      <c r="C19" s="29">
        <f>IF(DigitaPRIMERA!$C$10&lt;&gt;"",DigitaPRIMERA!$C$10,"")</f>
        <v>33350</v>
      </c>
      <c r="D19" s="42">
        <f>IF(C19="",0,C19*J$17)</f>
        <v>4002</v>
      </c>
      <c r="E19" s="29">
        <f>IF(DigitaPRIMERA!$D$10&lt;&gt;"",DigitaPRIMERA!$D$10,"")</f>
        <v>3500</v>
      </c>
      <c r="F19" s="42">
        <f>IF(E19="",0,E19*PREMIOS!F19)</f>
        <v>297500</v>
      </c>
      <c r="G19" s="30">
        <f t="shared" ref="G19:G22" si="7">IF(OR(C19="",E19=""),0,C19-D19-F19)</f>
        <v>-268152</v>
      </c>
      <c r="I19" s="63" t="s">
        <v>20</v>
      </c>
      <c r="J19" s="64">
        <v>0.12</v>
      </c>
      <c r="K19" s="30">
        <f>MROUND(D24+D25,50)</f>
        <v>7000</v>
      </c>
    </row>
    <row r="20" spans="1:11" ht="15" thickBot="1" x14ac:dyDescent="0.4">
      <c r="A20" s="28" t="s">
        <v>98</v>
      </c>
      <c r="B20" s="132">
        <f>IF(DigitaPRIMERA!E2&lt;&gt;"",DigitaPRIMERA!E2,"")</f>
        <v>61</v>
      </c>
      <c r="C20" s="29">
        <f>IF(DigitaPRIMERA!$E$10&lt;&gt;"",DigitaPRIMERA!$E$10,"")</f>
        <v>30100</v>
      </c>
      <c r="D20" s="42">
        <f>IF(C20="",0,C20*J$17)</f>
        <v>3612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26488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27</v>
      </c>
      <c r="C21" s="29">
        <f>IF(DigitaHONDURAS!$C$10&lt;&gt;"",DigitaHONDURAS!$C$10,"")</f>
        <v>800</v>
      </c>
      <c r="D21" s="42">
        <f>IF(C21="",0,C21*J$18)</f>
        <v>96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704</v>
      </c>
    </row>
    <row r="22" spans="1:11" x14ac:dyDescent="0.35">
      <c r="A22" s="28" t="s">
        <v>100</v>
      </c>
      <c r="B22" s="132">
        <f>IF(DigitaHONDURAS!E2&lt;&gt;"",DigitaHONDURAS!E2,"")</f>
        <v>77</v>
      </c>
      <c r="C22" s="29">
        <f>IF(DigitaHONDURAS!$E$10&lt;&gt;"",DigitaHONDURAS!$E$10,"")</f>
        <v>3000</v>
      </c>
      <c r="D22" s="42">
        <f>IF(C22="",0,C22*J$18)</f>
        <v>360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2640</v>
      </c>
    </row>
    <row r="23" spans="1:11" x14ac:dyDescent="0.35">
      <c r="A23" s="28" t="s">
        <v>101</v>
      </c>
      <c r="B23" s="132">
        <f>IF(DigitaHONDURAS!G2&lt;&gt;"",DigitaHONDURAS!G2,"")</f>
        <v>71</v>
      </c>
      <c r="C23" s="29">
        <f>IF(DigitaHONDURAS!$G$10&lt;&gt;"",DigitaHONDURAS!$G$10,"")</f>
        <v>5400</v>
      </c>
      <c r="D23" s="42">
        <f>IF(C23="",0,C23*J$18)</f>
        <v>648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4752</v>
      </c>
    </row>
    <row r="24" spans="1:11" x14ac:dyDescent="0.35">
      <c r="A24" s="28" t="s">
        <v>107</v>
      </c>
      <c r="B24" s="132">
        <f>IF(DigitaDOMINICANA!C2&lt;&gt;"",DigitaDOMINICANA!C2,"")</f>
        <v>23</v>
      </c>
      <c r="C24" s="29">
        <f>IF(DigitaDOMINICANA!$C$10&lt;&gt;"",DigitaDOMINICANA!$C$10,"")</f>
        <v>27300</v>
      </c>
      <c r="D24" s="42">
        <f>IF(C24="",0,C24*J$19)</f>
        <v>3276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24024</v>
      </c>
    </row>
    <row r="25" spans="1:11" x14ac:dyDescent="0.35">
      <c r="A25" s="28" t="s">
        <v>108</v>
      </c>
      <c r="B25" s="132">
        <f>IF(DigitaDOMINICANA!E2&lt;&gt;"",DigitaDOMINICANA!E2,"")</f>
        <v>60</v>
      </c>
      <c r="C25" s="29">
        <f>IF(DigitaDOMINICANA!$E$10&lt;&gt;"",DigitaDOMINICANA!$E$10,"")</f>
        <v>31000</v>
      </c>
      <c r="D25" s="42">
        <f>IF(C25="",0,C25*J$19)</f>
        <v>3720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-57720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1237400</v>
      </c>
      <c r="D27" s="68">
        <f t="shared" ref="D27:F27" si="9">SUM(D5:D26)</f>
        <v>146268</v>
      </c>
      <c r="E27" s="68">
        <f t="shared" si="9"/>
        <v>16300</v>
      </c>
      <c r="F27" s="68">
        <f t="shared" si="9"/>
        <v>1364250</v>
      </c>
      <c r="G27" s="88">
        <f>SUM(G5:G26)</f>
        <v>-273118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6000</v>
      </c>
      <c r="K4" s="231">
        <f t="shared" ref="K4" si="0">D7+D11+D15</f>
        <v>720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20</v>
      </c>
      <c r="C7" s="29">
        <f>IF(DigitaTICA!C11&lt;&gt;"",DigitaTICA!C11,"")</f>
        <v>4000</v>
      </c>
      <c r="D7" s="42">
        <f>IF(C7="",0,C7*J$11)</f>
        <v>480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3520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68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700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IF(DigitaTICA!G11&lt;&gt;"",DigitaTICA!G11,"")</f>
        <v>2000</v>
      </c>
      <c r="D15" s="42">
        <f>IF(C15="",0,C15*J$11)</f>
        <v>240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1760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02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6000</v>
      </c>
      <c r="D21" s="122">
        <f t="shared" ref="D21:G21" si="5">SUM(D5:D20)</f>
        <v>720</v>
      </c>
      <c r="E21" s="122">
        <f t="shared" si="5"/>
        <v>0</v>
      </c>
      <c r="F21" s="122">
        <f t="shared" si="5"/>
        <v>0</v>
      </c>
      <c r="G21" s="123">
        <f t="shared" si="5"/>
        <v>5280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124900</v>
      </c>
      <c r="K4" s="231">
        <f>D7+D11+D15</f>
        <v>14988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33</v>
      </c>
      <c r="C5" s="29">
        <f>IF(DigitaNICA!C12&lt;&gt;"",DigitaNICA!C12,"")</f>
        <v>31400</v>
      </c>
      <c r="D5" s="42">
        <f>IF(C5="",0,C5*J$12)</f>
        <v>3768</v>
      </c>
      <c r="E5" s="29">
        <f>IF(DigitaNICA!D12&lt;&gt;"",DigitaNICA!D12,"")</f>
        <v>500</v>
      </c>
      <c r="F5" s="42">
        <f>IF(E5="",0,E5*PREMIOS!F5)</f>
        <v>42500</v>
      </c>
      <c r="G5" s="30">
        <f t="shared" ref="G5:G12" si="0">IF(OR(C5="",E5=""),0,C5-D5-F5)</f>
        <v>-14868</v>
      </c>
      <c r="I5" s="217" t="s">
        <v>37</v>
      </c>
      <c r="J5" s="221">
        <f>SUM(IF(C5="",0,C5),IF(C9="",0,C9),IF(C13="",0,C13),IF(C17="",0,C17))</f>
        <v>55350</v>
      </c>
      <c r="K5" s="225">
        <f t="shared" ref="K5" si="1">D5+D9+D13+D17</f>
        <v>6642</v>
      </c>
      <c r="L5" s="222">
        <f>F5+F9+F13+F17</f>
        <v>148750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13500</v>
      </c>
      <c r="K6" s="226">
        <f t="shared" ref="K6" si="2">+D8+D12+D16</f>
        <v>1350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20</v>
      </c>
      <c r="C7" s="29">
        <f>IF(DigitaTICA!C12&lt;&gt;"",DigitaTICA!C12,"")</f>
        <v>37750</v>
      </c>
      <c r="D7" s="42">
        <f>IF(C7="",0,C7*J$11)</f>
        <v>4530</v>
      </c>
      <c r="E7" s="29">
        <f>IF(DigitaTICA!D12&lt;&gt;"",DigitaTICA!D12,"")</f>
        <v>200</v>
      </c>
      <c r="F7" s="42">
        <f>IF(E7="",0,E7*PREMIOS!F7)</f>
        <v>17000</v>
      </c>
      <c r="G7" s="30">
        <f t="shared" si="0"/>
        <v>16220</v>
      </c>
      <c r="I7" s="217" t="s">
        <v>96</v>
      </c>
      <c r="J7" s="223">
        <f>SUM(IF(C19="",0,C19),IF(C20="",0,C20))</f>
        <v>36000</v>
      </c>
      <c r="K7" s="226">
        <f>+D19+D20</f>
        <v>4320</v>
      </c>
      <c r="L7" s="227">
        <f>+F19+F20</f>
        <v>42500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2800</v>
      </c>
      <c r="D8" s="42">
        <f>IF(C8="",0,C8*J$13)</f>
        <v>280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2520</v>
      </c>
      <c r="I8" s="218" t="s">
        <v>104</v>
      </c>
      <c r="J8" s="224">
        <f>SUM(IF(C21="",0,C21),IF(C22="",0,C22),IF(C23="",0,C23))</f>
        <v>13500</v>
      </c>
      <c r="K8" s="228">
        <f>+D21+D22+D23</f>
        <v>1620</v>
      </c>
      <c r="L8" s="229">
        <f>+F21+F22+F23</f>
        <v>12750</v>
      </c>
    </row>
    <row r="9" spans="1:12" ht="15" thickBot="1" x14ac:dyDescent="0.4">
      <c r="A9" s="28" t="s">
        <v>48</v>
      </c>
      <c r="B9" s="132">
        <f>IF(DigitaNICA!E2&lt;&gt;"",DigitaNICA!E2,"")</f>
        <v>15</v>
      </c>
      <c r="C9" s="29">
        <f>IF(DigitaNICA!E12&lt;&gt;"",DigitaNICA!E12,"")</f>
        <v>23950</v>
      </c>
      <c r="D9" s="42">
        <f>IF(C9="",0,C9*J$12)</f>
        <v>2874</v>
      </c>
      <c r="E9" s="29">
        <f>IF(DigitaNICA!F12&lt;&gt;"",DigitaNICA!F12,"")</f>
        <v>1250</v>
      </c>
      <c r="F9" s="42">
        <f>IF(E9="",0,E9*PREMIOS!F9)</f>
        <v>106250</v>
      </c>
      <c r="G9" s="30">
        <f t="shared" si="0"/>
        <v>-85174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IF(DigitaTICA!E12&lt;&gt;"",DigitaTICA!E12,"")</f>
        <v>24600</v>
      </c>
      <c r="D11" s="42">
        <f>IF(C11="",0,C11*J$11)</f>
        <v>2952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21648</v>
      </c>
      <c r="I11" s="60" t="s">
        <v>36</v>
      </c>
      <c r="J11" s="61">
        <v>0.12</v>
      </c>
      <c r="K11" s="62">
        <f>MROUND(D7+D11+D15,50)</f>
        <v>15000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4600</v>
      </c>
      <c r="D12" s="42">
        <f>IF(C12="",0,C12*J$13)</f>
        <v>460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4140</v>
      </c>
      <c r="I12" s="63" t="s">
        <v>37</v>
      </c>
      <c r="J12" s="64">
        <v>0.12</v>
      </c>
      <c r="K12" s="30">
        <f>MROUND(D5+D9+D13+D17,50)</f>
        <v>6650</v>
      </c>
    </row>
    <row r="13" spans="1:12" x14ac:dyDescent="0.35">
      <c r="A13" s="28" t="s">
        <v>50</v>
      </c>
      <c r="B13" s="132">
        <f>IF(DigitaNICA!G2&lt;&gt;"",DigitaNICA!G2,"")</f>
        <v>37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1350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4300</v>
      </c>
    </row>
    <row r="15" spans="1:12" ht="15" thickBot="1" x14ac:dyDescent="0.4">
      <c r="A15" s="28" t="s">
        <v>61</v>
      </c>
      <c r="B15" s="132">
        <f>IF(DigitaTICA!G2&lt;&gt;"",DigitaTICA!G2,"")</f>
        <v>80</v>
      </c>
      <c r="C15" s="29">
        <f>IF(DigitaTICA!G12&lt;&gt;"",DigitaTICA!G12,"")</f>
        <v>62550</v>
      </c>
      <c r="D15" s="42">
        <f>IF(C15="",0,C15*J$11)</f>
        <v>7506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55044</v>
      </c>
      <c r="I15" s="65" t="s">
        <v>104</v>
      </c>
      <c r="J15" s="66">
        <v>0.12</v>
      </c>
      <c r="K15" s="50">
        <f>MROUND(D21+D22+D23,50)</f>
        <v>1600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6100</v>
      </c>
      <c r="D16" s="42">
        <f>IF(C16="",0,C16*J$13)</f>
        <v>610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5490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02</v>
      </c>
      <c r="C19" s="29">
        <f>IF(DigitaPRIMERA!$C$12&lt;&gt;"",DigitaPRIMERA!$C$12,"")</f>
        <v>36000</v>
      </c>
      <c r="D19" s="42">
        <f>IF(C19="",0,C19*J$14)</f>
        <v>4320</v>
      </c>
      <c r="E19" s="29">
        <f>IF(DigitaPRIMERA!$D$12&lt;&gt;"",DigitaPRIMERA!$D$12,"")</f>
        <v>500</v>
      </c>
      <c r="F19" s="42">
        <f>IF(E19="",0,E19*PREMIOS!F19)</f>
        <v>42500</v>
      </c>
      <c r="G19" s="30">
        <f t="shared" si="3"/>
        <v>-10820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27</v>
      </c>
      <c r="C21" s="29">
        <f>IF(DigitaHONDURAS!$C$12&lt;&gt;"",DigitaHONDURAS!$C$12,"")</f>
        <v>13500</v>
      </c>
      <c r="D21" s="42">
        <f>IF(C21="",0,C21*J$15)</f>
        <v>1620</v>
      </c>
      <c r="E21" s="29">
        <f>IF(DigitaHONDURAS!$D$12&lt;&gt;"",DigitaHONDURAS!$D$12,"")</f>
        <v>150</v>
      </c>
      <c r="F21" s="42">
        <f>IF(E21="",0,E21*PREMIOS!F20)</f>
        <v>12750</v>
      </c>
      <c r="G21" s="30">
        <f t="shared" si="3"/>
        <v>-870</v>
      </c>
    </row>
    <row r="22" spans="1:7" x14ac:dyDescent="0.35">
      <c r="A22" s="28" t="s">
        <v>100</v>
      </c>
      <c r="B22" s="132">
        <f>IF(DigitaHONDURAS!E2&lt;&gt;"",DigitaHONDURAS!E2,"")</f>
        <v>77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71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243250</v>
      </c>
      <c r="D24" s="68">
        <f t="shared" ref="D24:G24" si="4">SUM(D5:D23)</f>
        <v>28920</v>
      </c>
      <c r="E24" s="68">
        <f t="shared" si="4"/>
        <v>2600</v>
      </c>
      <c r="F24" s="68">
        <f t="shared" si="4"/>
        <v>221000</v>
      </c>
      <c r="G24" s="88">
        <f t="shared" si="4"/>
        <v>-6670</v>
      </c>
    </row>
    <row r="27" spans="1:7" x14ac:dyDescent="0.35">
      <c r="G27" s="21">
        <v>124223</v>
      </c>
    </row>
    <row r="28" spans="1:7" x14ac:dyDescent="0.35">
      <c r="G28" s="141">
        <f>+G24+G27</f>
        <v>117553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116650</v>
      </c>
      <c r="K4" s="231">
        <f t="shared" ref="K4" si="0">D7+D11+D15</f>
        <v>13998</v>
      </c>
      <c r="L4" s="220">
        <f>F7+F11+F15</f>
        <v>348500</v>
      </c>
    </row>
    <row r="5" spans="1:12" ht="15" thickBot="1" x14ac:dyDescent="0.4">
      <c r="A5" s="28" t="s">
        <v>43</v>
      </c>
      <c r="B5" s="132">
        <f>IF(DigitaNICA!C2&lt;&gt;"",DigitaNICA!C2,"")</f>
        <v>33</v>
      </c>
      <c r="C5" s="29">
        <f>IF(DigitaNICA!C13&lt;&gt;"",DigitaNICA!C13,"")</f>
        <v>27650</v>
      </c>
      <c r="D5" s="42">
        <f>IF(C5="",0,C5*J$10)</f>
        <v>3318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24332</v>
      </c>
      <c r="I5" s="218" t="s">
        <v>37</v>
      </c>
      <c r="J5" s="232">
        <f>SUM(IF(C5="",0,C5),IF(C9="",0,C9),IF(C13="",0,C13),IF(C17="",0,C17))</f>
        <v>92050</v>
      </c>
      <c r="K5" s="233">
        <f t="shared" ref="K5" si="2">D5+D9+D13+D17</f>
        <v>11046</v>
      </c>
      <c r="L5" s="234">
        <f>F5+F9+F13+F17</f>
        <v>96000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20</v>
      </c>
      <c r="C7" s="29">
        <f>IF(DigitaTICA!C13&lt;&gt;"",DigitaTICA!C13,"")</f>
        <v>35500</v>
      </c>
      <c r="D7" s="42">
        <f>IF(C7="",0,C7*J$9)</f>
        <v>4260</v>
      </c>
      <c r="E7" s="29">
        <f>IF(DigitaTICA!D13&lt;&gt;"",DigitaTICA!D13,"")</f>
        <v>1200</v>
      </c>
      <c r="F7" s="133">
        <f>IF(E7="",0,E7*PREMIOS!F7)</f>
        <v>102000</v>
      </c>
      <c r="G7" s="30">
        <f t="shared" si="1"/>
        <v>-70760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15</v>
      </c>
      <c r="C9" s="29">
        <f>IF(DigitaNICA!E13&lt;&gt;"",DigitaNICA!E13,"")</f>
        <v>23300</v>
      </c>
      <c r="D9" s="42">
        <f>IF(C9="",0,C9*J$10)</f>
        <v>2796</v>
      </c>
      <c r="E9" s="29">
        <f>IF(DigitaNICA!F13&lt;&gt;"",DigitaNICA!F13,"")</f>
        <v>600</v>
      </c>
      <c r="F9" s="133">
        <f>IF(E9="",0,E9*PREMIOS!E9)</f>
        <v>48000</v>
      </c>
      <c r="G9" s="30">
        <f t="shared" si="1"/>
        <v>-27496</v>
      </c>
      <c r="I9" s="60" t="s">
        <v>36</v>
      </c>
      <c r="J9" s="61">
        <v>0.12</v>
      </c>
      <c r="K9" s="62">
        <f>MROUND(D7+D11+D15,50)</f>
        <v>14000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11050</v>
      </c>
    </row>
    <row r="11" spans="1:12" ht="15" thickBot="1" x14ac:dyDescent="0.4">
      <c r="A11" s="28" t="s">
        <v>59</v>
      </c>
      <c r="B11" s="132">
        <f>IF(DigitaTICA!E2&lt;&gt;"",DigitaTICA!E2,"")</f>
        <v>68</v>
      </c>
      <c r="C11" s="29">
        <f>IF(DigitaTICA!E13&lt;&gt;"",DigitaTICA!E13,"")</f>
        <v>23100</v>
      </c>
      <c r="D11" s="42">
        <f>IF(C11="",0,C11*J$9)</f>
        <v>2772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20328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37</v>
      </c>
      <c r="C13" s="29">
        <f>IF(DigitaNICA!G13&lt;&gt;"",DigitaNICA!G13,"")</f>
        <v>20100</v>
      </c>
      <c r="D13" s="42">
        <f>IF(C13="",0,C13*J$10)</f>
        <v>2412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17688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IF(DigitaTICA!G13&lt;&gt;"",DigitaTICA!G13,"")</f>
        <v>58050</v>
      </c>
      <c r="D15" s="42">
        <f>IF(C15="",0,C15*J$9)</f>
        <v>6966</v>
      </c>
      <c r="E15" s="29">
        <f>IF(DigitaTICA!H13&lt;&gt;"",DigitaTICA!H13,"")</f>
        <v>2900</v>
      </c>
      <c r="F15" s="133">
        <f>IF(E15="",0,E15*PREMIOS!F15)</f>
        <v>246500</v>
      </c>
      <c r="G15" s="30">
        <f t="shared" si="3"/>
        <v>-195416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>
        <f>IF(DigitaNICA!I13&lt;&gt;"",DigitaNICA!I13,"")</f>
        <v>21000</v>
      </c>
      <c r="D17" s="42">
        <f>IF(C17="",0,C17*J$10)</f>
        <v>2520</v>
      </c>
      <c r="E17" s="29">
        <f>IF(DigitaNICA!J13&lt;&gt;"",DigitaNICA!J13,"")</f>
        <v>600</v>
      </c>
      <c r="F17" s="42">
        <f>IF(E17="",0,E17*PREMIOS!E17)</f>
        <v>48000</v>
      </c>
      <c r="G17" s="30">
        <f t="shared" si="3"/>
        <v>-29520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208700</v>
      </c>
      <c r="D19" s="68">
        <f>MROUND(SUM(D5:D18),50)</f>
        <v>25050</v>
      </c>
      <c r="E19" s="68">
        <f>SUM(E5:E18)</f>
        <v>5300</v>
      </c>
      <c r="F19" s="68">
        <f>SUM(F5:F18)</f>
        <v>444500</v>
      </c>
      <c r="G19" s="88">
        <f>SUM(G5:G18)</f>
        <v>-260844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88400</v>
      </c>
      <c r="K4" s="236">
        <f t="shared" ref="K4" si="0">D7+D11+D15</f>
        <v>13260</v>
      </c>
      <c r="L4" s="237">
        <f>F7+F11+F15</f>
        <v>56000</v>
      </c>
    </row>
    <row r="5" spans="1:12" x14ac:dyDescent="0.35">
      <c r="A5" s="28" t="s">
        <v>43</v>
      </c>
      <c r="B5" s="132">
        <f>IF(DigitaNICA!C2&lt;&gt;"",DigitaNICA!C2,"")</f>
        <v>33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20</v>
      </c>
      <c r="C7" s="29">
        <f>IF(DigitaTICA!C14&lt;&gt;"",DigitaTICA!C14,"")</f>
        <v>37000</v>
      </c>
      <c r="D7" s="42">
        <f>IF(C7="",0,C7*J$9)</f>
        <v>5550</v>
      </c>
      <c r="E7" s="29">
        <f>IF(DigitaTICA!D14&lt;&gt;"",DigitaTICA!D14,"")</f>
        <v>700</v>
      </c>
      <c r="F7" s="42">
        <f>IF(E7="",0,E7*PREMIOS!E7)</f>
        <v>56000</v>
      </c>
      <c r="G7" s="30">
        <f t="shared" si="1"/>
        <v>-24550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13250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68</v>
      </c>
      <c r="C11" s="29">
        <f>IF(DigitaTICA!E14&lt;&gt;"",DigitaTICA!E14,"")</f>
        <v>22600</v>
      </c>
      <c r="D11" s="42">
        <f>IF(C11="",0,C11*J$9)</f>
        <v>3390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19210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37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>
        <f>IF(DigitaTICA!G14&lt;&gt;"",DigitaTICA!G14,"")</f>
        <v>28800</v>
      </c>
      <c r="D15" s="42">
        <f>IF(C15="",0,C15*J$9)</f>
        <v>4320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24480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88400</v>
      </c>
      <c r="D19" s="68">
        <f>MROUND(SUM(D5:D18),50)</f>
        <v>13250</v>
      </c>
      <c r="E19" s="68">
        <f>SUM(E5:E18)</f>
        <v>700</v>
      </c>
      <c r="F19" s="68">
        <f>SUM(F5:F18)</f>
        <v>56000</v>
      </c>
      <c r="G19" s="88">
        <f>SUM(G5:G18)</f>
        <v>19140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20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68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80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29500</v>
      </c>
      <c r="K4" s="231">
        <f>D7+D11+D15</f>
        <v>3540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33</v>
      </c>
      <c r="C5" s="29">
        <f>IF(DigitaNICA!C16&lt;&gt;"",DigitaNICA!C16,"")</f>
        <v>6500</v>
      </c>
      <c r="D5" s="42">
        <f>IF(C5="",0,C5*J$12)</f>
        <v>780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5720</v>
      </c>
      <c r="I5" s="63" t="s">
        <v>37</v>
      </c>
      <c r="J5" s="225">
        <f>SUM(IF(C5="",0,C5),IF(C9="",0,C9),IF(C13="",0,C13),IF(C17="",0,C17))</f>
        <v>20400</v>
      </c>
      <c r="K5" s="225">
        <f t="shared" ref="K5" si="1">D5+D9+D13+D17</f>
        <v>2448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20</v>
      </c>
      <c r="C7" s="29">
        <f>IF(DigitaTICA!C16&lt;&gt;"",DigitaTICA!C16,"")</f>
        <v>10200</v>
      </c>
      <c r="D7" s="42">
        <f>IF(C7="",0,C7*J$11)</f>
        <v>1224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8976</v>
      </c>
      <c r="I7" s="63" t="s">
        <v>96</v>
      </c>
      <c r="J7" s="226">
        <f>SUM(IF(C19="",0,C19),IF(C20="",0,C20))</f>
        <v>400</v>
      </c>
      <c r="K7" s="226">
        <f>+D19+D20</f>
        <v>48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1700</v>
      </c>
      <c r="K8" s="228">
        <f>D21+D22+D23</f>
        <v>204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15</v>
      </c>
      <c r="C9" s="29">
        <f>IF(DigitaNICA!E16&lt;&gt;"",DigitaNICA!E16,"")</f>
        <v>4500</v>
      </c>
      <c r="D9" s="42">
        <f>IF(C9="",0,C9*J$12)</f>
        <v>540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3960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IF(DigitaTICA!E16&lt;&gt;"",DigitaTICA!E16,"")</f>
        <v>4400</v>
      </c>
      <c r="D11" s="42">
        <f>IF(C11="",0,C11*J$11)</f>
        <v>528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3872</v>
      </c>
      <c r="I11" s="76" t="s">
        <v>36</v>
      </c>
      <c r="J11" s="77">
        <v>0.12</v>
      </c>
      <c r="K11" s="78">
        <f>MROUND(D7+D11+D15,50)</f>
        <v>3550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2450</v>
      </c>
    </row>
    <row r="13" spans="1:12" x14ac:dyDescent="0.35">
      <c r="A13" s="28" t="s">
        <v>50</v>
      </c>
      <c r="B13" s="132">
        <f>IF(DigitaNICA!G2&lt;&gt;"",DigitaNICA!G2,"")</f>
        <v>37</v>
      </c>
      <c r="C13" s="29">
        <f>IF(DigitaNICA!G16&lt;&gt;"",DigitaNICA!G16,"")</f>
        <v>6400</v>
      </c>
      <c r="D13" s="42">
        <f>IF(C13="",0,C13*J$12)</f>
        <v>768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5632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50</v>
      </c>
    </row>
    <row r="15" spans="1:12" ht="15" thickBot="1" x14ac:dyDescent="0.4">
      <c r="A15" s="28" t="s">
        <v>61</v>
      </c>
      <c r="B15" s="132">
        <f>IF(DigitaTICA!G2&lt;&gt;"",DigitaTICA!G2,"")</f>
        <v>80</v>
      </c>
      <c r="C15" s="29">
        <f>IF(DigitaTICA!G16&lt;&gt;"",DigitaTICA!G16,"")</f>
        <v>14900</v>
      </c>
      <c r="D15" s="42">
        <f>IF(C15="",0,C15*J$11)</f>
        <v>1788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13112</v>
      </c>
      <c r="I15" s="65" t="s">
        <v>104</v>
      </c>
      <c r="J15" s="66">
        <v>0.12</v>
      </c>
      <c r="K15" s="50">
        <f>MROUND(D21+D22+D23,50)</f>
        <v>200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>
        <f>IF(DigitaNICA!I16&lt;&gt;"",DigitaNICA!I16,"")</f>
        <v>3000</v>
      </c>
      <c r="D17" s="42">
        <f>IF(C17="",0,C17*J$12)</f>
        <v>360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2640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02</v>
      </c>
      <c r="C19" s="29">
        <f>IF(DigitaPRIMERA!C16&lt;&gt;"",DigitaPRIMERA!C16,"")</f>
        <v>400</v>
      </c>
      <c r="D19" s="42">
        <f>IF(C19="",0,C19*J$14)</f>
        <v>48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352</v>
      </c>
    </row>
    <row r="20" spans="1:7" x14ac:dyDescent="0.35">
      <c r="A20" s="28" t="s">
        <v>98</v>
      </c>
      <c r="B20" s="132">
        <f>IF(DigitaPRIMERA!E2&lt;&gt;"",DigitaPRIMERA!E2,"")</f>
        <v>61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27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77</v>
      </c>
      <c r="C22" s="29">
        <f>IF(DigitaHONDURAS!$E$16&lt;&gt;"",DigitaHONDURAS!$E$16,"")</f>
        <v>1200</v>
      </c>
      <c r="D22" s="42">
        <f t="shared" ref="D22:D23" si="4">IF(C22="",0,C22*J$15)</f>
        <v>144</v>
      </c>
      <c r="E22" s="29">
        <f>IF(DigitaHONDURAS!$F$16&lt;&gt;"",DigitaHONDURAS!$F$16,"")</f>
        <v>0</v>
      </c>
      <c r="F22" s="42">
        <f>IF(E22="",0,E22*PREMIOS!E20)</f>
        <v>0</v>
      </c>
      <c r="G22" s="30">
        <f t="shared" si="3"/>
        <v>1056</v>
      </c>
    </row>
    <row r="23" spans="1:7" x14ac:dyDescent="0.35">
      <c r="A23" s="28" t="s">
        <v>101</v>
      </c>
      <c r="B23" s="132">
        <f>IF(DigitaHONDURAS!G2&lt;&gt;"",DigitaHONDURAS!G2,"")</f>
        <v>71</v>
      </c>
      <c r="C23" s="29">
        <f>IF(DigitaHONDURAS!$G$16&lt;&gt;"",DigitaHONDURAS!$G$16,"")</f>
        <v>500</v>
      </c>
      <c r="D23" s="42">
        <f t="shared" si="4"/>
        <v>60</v>
      </c>
      <c r="E23" s="29">
        <f>IF(DigitaHONDURAS!$H$16&lt;&gt;"",DigitaHONDURAS!$H$16,"")</f>
        <v>0</v>
      </c>
      <c r="F23" s="42">
        <f>IF(E23="",0,E23*PREMIOS!E20)</f>
        <v>0</v>
      </c>
      <c r="G23" s="30">
        <f t="shared" si="3"/>
        <v>440</v>
      </c>
    </row>
    <row r="24" spans="1:7" ht="15" thickBot="1" x14ac:dyDescent="0.4">
      <c r="A24" s="121" t="s">
        <v>5</v>
      </c>
      <c r="B24" s="128"/>
      <c r="C24" s="122">
        <f>SUM(C5:C23)</f>
        <v>52000</v>
      </c>
      <c r="D24" s="122">
        <f t="shared" ref="D24:G24" si="5">SUM(D5:D23)</f>
        <v>6240</v>
      </c>
      <c r="E24" s="122">
        <f t="shared" si="5"/>
        <v>0</v>
      </c>
      <c r="F24" s="122">
        <f t="shared" si="5"/>
        <v>0</v>
      </c>
      <c r="G24" s="123">
        <f t="shared" si="5"/>
        <v>45760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432900</v>
      </c>
      <c r="K4" s="231">
        <f t="shared" ref="K4" si="0">D7+D11+D15</f>
        <v>51948</v>
      </c>
      <c r="L4" s="220">
        <f>F7+F11+F15</f>
        <v>250750</v>
      </c>
    </row>
    <row r="5" spans="1:12" x14ac:dyDescent="0.35">
      <c r="A5" s="28" t="s">
        <v>43</v>
      </c>
      <c r="B5" s="132">
        <f>IF(DigitaNICA!C2&lt;&gt;"",DigitaNICA!C2,"")</f>
        <v>33</v>
      </c>
      <c r="C5" s="89">
        <f>IF(DigitaNICA!C17&lt;&gt;"",DigitaNICA!C17,"")</f>
        <v>97100</v>
      </c>
      <c r="D5" s="42">
        <f>IF(C5="",0,C5*J$16)</f>
        <v>11652</v>
      </c>
      <c r="E5" s="89">
        <f>IF(DigitaNICA!D17&lt;&gt;"",DigitaNICA!D17,"")</f>
        <v>1550</v>
      </c>
      <c r="F5" s="42">
        <f>IF(E5="",0,E5*PREMIOS!F5)</f>
        <v>131750</v>
      </c>
      <c r="G5" s="90">
        <f t="shared" ref="G5:G12" si="1">IF(OR(C5="",E5=""),0,C5-D5-F5)</f>
        <v>-46302</v>
      </c>
      <c r="I5" s="217" t="s">
        <v>37</v>
      </c>
      <c r="J5" s="221">
        <f>SUM(IF(C5="",0,C5),IF(C9="",0,C9),IF(C13="",0,C13),IF(C17="",0,C17))</f>
        <v>392000</v>
      </c>
      <c r="K5" s="225">
        <f t="shared" ref="K5" si="2">D5+D9+D13+D17</f>
        <v>47040</v>
      </c>
      <c r="L5" s="222">
        <f>F5+F9+F13+F17</f>
        <v>199750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69400</v>
      </c>
      <c r="K6" s="226">
        <f t="shared" ref="K6" si="3">+D8+D12+D16</f>
        <v>6940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20</v>
      </c>
      <c r="C7" s="89">
        <f>IF(DigitaTICA!C17&lt;&gt;"",DigitaTICA!C17,"")</f>
        <v>152550</v>
      </c>
      <c r="D7" s="42">
        <f>IF(C7="",0,C7*J$15)</f>
        <v>18306</v>
      </c>
      <c r="E7" s="89">
        <f>IF(DigitaTICA!D17&lt;&gt;"",DigitaTICA!D17,"")</f>
        <v>2350</v>
      </c>
      <c r="F7" s="42">
        <f>IF(E7="",0,E7*PREMIOS!F7)</f>
        <v>199750</v>
      </c>
      <c r="G7" s="90">
        <f t="shared" si="1"/>
        <v>-65506</v>
      </c>
      <c r="I7" s="217" t="s">
        <v>96</v>
      </c>
      <c r="J7" s="223">
        <f>SUM(IF(C19="",0,C19),IF(C20="",0,C20))</f>
        <v>114000</v>
      </c>
      <c r="K7" s="226">
        <f>+D19+D20</f>
        <v>13680</v>
      </c>
      <c r="L7" s="227">
        <f>+F19+F20</f>
        <v>140250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28050</v>
      </c>
      <c r="D8" s="42">
        <f>IF(C8="",0,C8*J$17)</f>
        <v>2805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25245</v>
      </c>
      <c r="I8" s="217" t="s">
        <v>104</v>
      </c>
      <c r="J8" s="223">
        <f>SUM(IF(C21="",0,C21),IF(C22="",0,C22),IF(C23="",0,C23))</f>
        <v>41600</v>
      </c>
      <c r="K8" s="226">
        <f t="shared" ref="K8" si="4">D21+D22+D23</f>
        <v>4992</v>
      </c>
      <c r="L8" s="227">
        <f>F21+F22+F23</f>
        <v>51000</v>
      </c>
    </row>
    <row r="9" spans="1:12" x14ac:dyDescent="0.35">
      <c r="A9" s="28" t="s">
        <v>48</v>
      </c>
      <c r="B9" s="132">
        <f>IF(DigitaNICA!E2&lt;&gt;"",DigitaNICA!E2,"")</f>
        <v>15</v>
      </c>
      <c r="C9" s="89">
        <f>IF(DigitaNICA!E17&lt;&gt;"",DigitaNICA!E17,"")</f>
        <v>102250</v>
      </c>
      <c r="D9" s="42">
        <f>IF(C9="",0,C9*J$16)</f>
        <v>12270</v>
      </c>
      <c r="E9" s="89">
        <f>IF(DigitaNICA!F17&lt;&gt;"",DigitaNICA!F17,"")</f>
        <v>700</v>
      </c>
      <c r="F9" s="42">
        <f>IF(E9="",0,E9*PREMIOS!F9)</f>
        <v>59500</v>
      </c>
      <c r="G9" s="90">
        <f t="shared" si="1"/>
        <v>30480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68</v>
      </c>
      <c r="C11" s="89">
        <f>IF(DigitaTICA!E17&lt;&gt;"",DigitaTICA!E17,"")</f>
        <v>92250</v>
      </c>
      <c r="D11" s="42">
        <f>IF(C11="",0,C11*J$15)</f>
        <v>11070</v>
      </c>
      <c r="E11" s="89">
        <f>IF(DigitaTICA!F17&lt;&gt;"",DigitaTICA!F17,"")</f>
        <v>0</v>
      </c>
      <c r="F11" s="42">
        <f>IF(E11="",0,E11*PREMIOS!F11)</f>
        <v>0</v>
      </c>
      <c r="G11" s="90">
        <f t="shared" si="1"/>
        <v>81180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11300</v>
      </c>
      <c r="D12" s="42">
        <f>IF(C12="",0,C12*J$17)</f>
        <v>1130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10170</v>
      </c>
    </row>
    <row r="13" spans="1:12" ht="15" thickBot="1" x14ac:dyDescent="0.4">
      <c r="A13" s="28" t="s">
        <v>50</v>
      </c>
      <c r="B13" s="132">
        <f>IF(DigitaNICA!G2&lt;&gt;"",DigitaNICA!G2,"")</f>
        <v>37</v>
      </c>
      <c r="C13" s="89">
        <f>IF(DigitaNICA!G17&lt;&gt;"",DigitaNICA!G17,"")</f>
        <v>53150</v>
      </c>
      <c r="D13" s="42">
        <f>IF(C13="",0,C13*J$16)</f>
        <v>6378</v>
      </c>
      <c r="E13" s="89">
        <f>IF(DigitaNICA!H17&lt;&gt;"",DigitaNICA!H17,"")</f>
        <v>0</v>
      </c>
      <c r="F13" s="42">
        <f>IF(E13="",0,E13*PREMIOS!F13)</f>
        <v>0</v>
      </c>
      <c r="G13" s="90">
        <f>IF(OR(C13="",E13=""),0,C13-D13-F13)</f>
        <v>46772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80</v>
      </c>
      <c r="C15" s="89">
        <f>IF(DigitaTICA!G17&lt;&gt;"",DigitaTICA!G17,"")</f>
        <v>188100</v>
      </c>
      <c r="D15" s="42">
        <f>IF(C15="",0,C15*J$15)</f>
        <v>22572</v>
      </c>
      <c r="E15" s="89">
        <f>IF(DigitaTICA!H17&lt;&gt;"",DigitaTICA!H17,"")</f>
        <v>600</v>
      </c>
      <c r="F15" s="42">
        <f>IF(E15="",0,E15*PREMIOS!F15)</f>
        <v>51000</v>
      </c>
      <c r="G15" s="90">
        <f t="shared" si="6"/>
        <v>114528</v>
      </c>
      <c r="I15" s="76" t="s">
        <v>36</v>
      </c>
      <c r="J15" s="77">
        <v>0.12</v>
      </c>
      <c r="K15" s="78">
        <f>MROUND(D7+D11+D15,50)</f>
        <v>51950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30050</v>
      </c>
      <c r="D16" s="42">
        <f>IF(C16="",0,C16*J$17)</f>
        <v>3005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27045</v>
      </c>
      <c r="I16" s="63" t="s">
        <v>37</v>
      </c>
      <c r="J16" s="64">
        <v>0.12</v>
      </c>
      <c r="K16" s="30">
        <f>MROUND(D5+D9+D13+D17,50)</f>
        <v>47050</v>
      </c>
    </row>
    <row r="17" spans="1:11" x14ac:dyDescent="0.35">
      <c r="A17" s="28" t="s">
        <v>52</v>
      </c>
      <c r="B17" s="132">
        <f>IF(DigitaNICA!I2&lt;&gt;"",DigitaNICA!I2,"")</f>
        <v>23</v>
      </c>
      <c r="C17" s="89">
        <f>IF(DigitaNICA!I17&lt;&gt;"",DigitaNICA!I17,"")</f>
        <v>139500</v>
      </c>
      <c r="D17" s="42">
        <f>IF(C17="",0,C17*J$16)</f>
        <v>16740</v>
      </c>
      <c r="E17" s="89">
        <f>IF(DigitaNICA!J17&lt;&gt;"",DigitaNICA!J17,"")</f>
        <v>100</v>
      </c>
      <c r="F17" s="42">
        <f>IF(E17="",0,E17*PREMIOS!F17)</f>
        <v>8500</v>
      </c>
      <c r="G17" s="90">
        <f t="shared" si="6"/>
        <v>114260</v>
      </c>
      <c r="I17" s="63" t="s">
        <v>38</v>
      </c>
      <c r="J17" s="64">
        <v>0.1</v>
      </c>
      <c r="K17" s="30">
        <f>MROUND(D6+D8+D10+D12+D14+D16+D18,50)</f>
        <v>6950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13700</v>
      </c>
    </row>
    <row r="19" spans="1:11" x14ac:dyDescent="0.35">
      <c r="A19" s="28" t="s">
        <v>97</v>
      </c>
      <c r="B19" s="132" t="str">
        <f>IF(DigitaPRIMERA!C2&lt;&gt;"",DigitaPRIMERA!C2,"")</f>
        <v>02</v>
      </c>
      <c r="C19" s="29">
        <f>IF(DigitaPRIMERA!$C$17&lt;&gt;"",DigitaPRIMERA!$C$17,"")</f>
        <v>85750</v>
      </c>
      <c r="D19" s="42">
        <f>IF(C19="",0,C19*J$18)</f>
        <v>10290</v>
      </c>
      <c r="E19" s="29">
        <f>IF(DigitaPRIMERA!$D$17&lt;&gt;"",DigitaPRIMERA!$D$17,"")</f>
        <v>1650</v>
      </c>
      <c r="F19" s="42">
        <f>IF(E19="",0,E19*PREMIOS!F19)</f>
        <v>140250</v>
      </c>
      <c r="G19" s="30">
        <f t="shared" si="6"/>
        <v>-64790</v>
      </c>
      <c r="I19" s="63" t="s">
        <v>104</v>
      </c>
      <c r="J19" s="64">
        <v>0.12</v>
      </c>
      <c r="K19" s="30">
        <f>MROUND(D21+D22+D23,50)</f>
        <v>5000</v>
      </c>
    </row>
    <row r="20" spans="1:11" x14ac:dyDescent="0.35">
      <c r="A20" s="28" t="s">
        <v>98</v>
      </c>
      <c r="B20" s="132">
        <f>IF(DigitaPRIMERA!E2&lt;&gt;"",DigitaPRIMERA!E2,"")</f>
        <v>61</v>
      </c>
      <c r="C20" s="29">
        <f>IF(DigitaPRIMERA!$E$17&lt;&gt;"",DigitaPRIMERA!$E$17,"")</f>
        <v>28250</v>
      </c>
      <c r="D20" s="42">
        <f>IF(C20="",0,C20*J$18)</f>
        <v>3390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24860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27</v>
      </c>
      <c r="C21" s="29">
        <f>IF(DigitaHONDURAS!$C$17&lt;&gt;"",DigitaHONDURAS!$C$17,"")</f>
        <v>33600</v>
      </c>
      <c r="D21" s="42">
        <f>IF(C21="",0,C21*J$19)</f>
        <v>4032</v>
      </c>
      <c r="E21" s="29">
        <f>IF(DigitaHONDURAS!$D$17&lt;&gt;"",DigitaHONDURAS!$D$17,"")</f>
        <v>600</v>
      </c>
      <c r="F21" s="42">
        <f>IF(E21="",0,E21*PREMIOS!F20)</f>
        <v>51000</v>
      </c>
      <c r="G21" s="30">
        <f t="shared" si="6"/>
        <v>-21432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77</v>
      </c>
      <c r="C22" s="29">
        <f>IF(DigitaHONDURAS!$E$17&lt;&gt;"",DigitaHONDURAS!$E$17,"")</f>
        <v>8000</v>
      </c>
      <c r="D22" s="42">
        <f>IF(C22="",0,C22*J$19)</f>
        <v>960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7040</v>
      </c>
    </row>
    <row r="23" spans="1:11" x14ac:dyDescent="0.35">
      <c r="A23" s="28" t="s">
        <v>101</v>
      </c>
      <c r="B23" s="132">
        <f>IF(DigitaHONDURAS!G2&lt;&gt;"",DigitaHONDURAS!G2,"")</f>
        <v>71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23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1049900</v>
      </c>
      <c r="D27" s="68">
        <f t="shared" ref="D27:G27" si="7">SUM(D5:D26)</f>
        <v>124600</v>
      </c>
      <c r="E27" s="68">
        <f t="shared" si="7"/>
        <v>7550</v>
      </c>
      <c r="F27" s="68">
        <f t="shared" si="7"/>
        <v>641750</v>
      </c>
      <c r="G27" s="88">
        <f t="shared" si="7"/>
        <v>283550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149450</v>
      </c>
      <c r="K4" s="231">
        <f t="shared" ref="K4" si="0">D7+D11+D15</f>
        <v>17934</v>
      </c>
      <c r="L4" s="220">
        <f>F7+F11+F15</f>
        <v>263500</v>
      </c>
    </row>
    <row r="5" spans="1:12" x14ac:dyDescent="0.35">
      <c r="A5" s="28" t="str">
        <f>+Vendedor1!A5</f>
        <v>Nica 11am</v>
      </c>
      <c r="B5" s="132">
        <f>IF(DigitaNICA!C2&lt;&gt;"",DigitaNICA!C2,"")</f>
        <v>33</v>
      </c>
      <c r="C5" s="29">
        <f>IF(DigitaNICA!C18&lt;&gt;"",DigitaNICA!C18,"")</f>
        <v>43100</v>
      </c>
      <c r="D5" s="42">
        <f>IF(C5="",0,C5*J$16)</f>
        <v>5172</v>
      </c>
      <c r="E5" s="29">
        <f>IF(DigitaNICA!D18&lt;&gt;"",DigitaNICA!D18,"")</f>
        <v>350</v>
      </c>
      <c r="F5" s="42">
        <f>IF(E5="",0,E5*PREMIOS!F5)</f>
        <v>29750</v>
      </c>
      <c r="G5" s="30">
        <f t="shared" ref="G5:G12" si="1">IF(OR(C5="",E5=""),0,C5-D5-F5)</f>
        <v>8178</v>
      </c>
      <c r="I5" s="217" t="s">
        <v>37</v>
      </c>
      <c r="J5" s="221">
        <f>SUM(IF(C5="",0,C5),IF(C9="",0,C9),IF(C13="",0,C13),IF(C17="",0,C17))</f>
        <v>139750</v>
      </c>
      <c r="K5" s="225">
        <f t="shared" ref="K5" si="2">D5+D9+D13+D17</f>
        <v>16770</v>
      </c>
      <c r="L5" s="222">
        <f>F5+F9+F13+F17</f>
        <v>225250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48550</v>
      </c>
      <c r="K6" s="226">
        <f t="shared" ref="K6" si="3">+D8+D12+D16</f>
        <v>4855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20</v>
      </c>
      <c r="C7" s="29">
        <f>IF(DigitaTICA!C18&lt;&gt;"",DigitaTICA!C18,"")</f>
        <v>33750</v>
      </c>
      <c r="D7" s="42">
        <f>IF(C7="",0,C7*J$15)</f>
        <v>4050</v>
      </c>
      <c r="E7" s="29">
        <f>IF(DigitaTICA!D18&lt;&gt;"",DigitaTICA!D18,"")</f>
        <v>3000</v>
      </c>
      <c r="F7" s="42">
        <f>IF(E7="",0,E7*PREMIOS!F7)</f>
        <v>255000</v>
      </c>
      <c r="G7" s="30">
        <f t="shared" si="1"/>
        <v>-225300</v>
      </c>
      <c r="I7" s="217" t="s">
        <v>96</v>
      </c>
      <c r="J7" s="223">
        <f>SUM(IF(C19="",0,C19),IF(C20="",0,C20))</f>
        <v>66100</v>
      </c>
      <c r="K7" s="226">
        <f>+D19+D20</f>
        <v>7932</v>
      </c>
      <c r="L7" s="227">
        <f>+F19+F20</f>
        <v>80750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17450</v>
      </c>
      <c r="D8" s="42">
        <f>IF(C8="",0,C8*J$17)</f>
        <v>1745</v>
      </c>
      <c r="E8" s="29">
        <f>IF(DigitaREVENTADO!D18&lt;&gt;"",DigitaREVENTADO!D18,"")</f>
        <v>1500</v>
      </c>
      <c r="F8" s="42">
        <f>IF(E8="",0,E8*PREMIOS!F8)</f>
        <v>0</v>
      </c>
      <c r="G8" s="30">
        <f t="shared" si="1"/>
        <v>15705</v>
      </c>
      <c r="I8" s="217" t="s">
        <v>104</v>
      </c>
      <c r="J8" s="223">
        <f>SUM(IF(C21="",0,C21),IF(C22="",0,C22),IF(C23="",0,C23))</f>
        <v>48300</v>
      </c>
      <c r="K8" s="226">
        <f t="shared" ref="K8" si="4">D21+D22+D23</f>
        <v>5796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15</v>
      </c>
      <c r="C9" s="29">
        <f>IF(DigitaNICA!E18&lt;&gt;"",DigitaNICA!E18,"")</f>
        <v>48100</v>
      </c>
      <c r="D9" s="42">
        <f>IF(C9="",0,C9*J$16)</f>
        <v>5772</v>
      </c>
      <c r="E9" s="29">
        <f>IF(DigitaNICA!F18&lt;&gt;"",DigitaNICA!F18,"")</f>
        <v>2300</v>
      </c>
      <c r="F9" s="42">
        <f>IF(E9="",0,E9*PREMIOS!F9)</f>
        <v>195500</v>
      </c>
      <c r="G9" s="30">
        <f t="shared" si="1"/>
        <v>-153172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68</v>
      </c>
      <c r="C11" s="29">
        <f>IF(DigitaTICA!E18&lt;&gt;"",DigitaTICA!E18,"")</f>
        <v>39100</v>
      </c>
      <c r="D11" s="42">
        <f>IF(C11="",0,C11*J$15)</f>
        <v>4692</v>
      </c>
      <c r="E11" s="29">
        <f>IF(DigitaTICA!F18&lt;&gt;"",DigitaTICA!F18,"")</f>
        <v>100</v>
      </c>
      <c r="F11" s="42">
        <f>IF(E11="",0,E11*PREMIOS!F11)</f>
        <v>8500</v>
      </c>
      <c r="G11" s="30">
        <f t="shared" si="1"/>
        <v>25908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15050</v>
      </c>
      <c r="D12" s="42">
        <f>IF(C12="",0,C12*J$17)</f>
        <v>1505</v>
      </c>
      <c r="E12" s="29">
        <f>IF(DigitaREVENTADO!F18&lt;&gt;"",DigitaREVENTADO!F18,"")</f>
        <v>100</v>
      </c>
      <c r="F12" s="42">
        <f>IF(E12="",0,E12*PREMIOS!F12)</f>
        <v>0</v>
      </c>
      <c r="G12" s="30">
        <f t="shared" si="1"/>
        <v>13545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37</v>
      </c>
      <c r="C13" s="29">
        <f>IF(DigitaNICA!G18&lt;&gt;"",DigitaNICA!G18,"")</f>
        <v>43550</v>
      </c>
      <c r="D13" s="42">
        <f>IF(C13="",0,C13*J$16)</f>
        <v>5226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38324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80</v>
      </c>
      <c r="C15" s="29">
        <f>IF(DigitaTICA!G18&lt;&gt;"",DigitaTICA!G18,"")</f>
        <v>76600</v>
      </c>
      <c r="D15" s="42">
        <f>IF(C15="",0,C15*J$15)</f>
        <v>9192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67408</v>
      </c>
      <c r="I15" s="76" t="s">
        <v>36</v>
      </c>
      <c r="J15" s="77">
        <v>0.12</v>
      </c>
      <c r="K15" s="78">
        <f>MROUND(D7+D11+D15,50)</f>
        <v>17950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16050</v>
      </c>
      <c r="D16" s="42">
        <f>IF(C16="",0,C16*J$17)</f>
        <v>1605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14445</v>
      </c>
      <c r="I16" s="63" t="s">
        <v>37</v>
      </c>
      <c r="J16" s="64">
        <v>0.12</v>
      </c>
      <c r="K16" s="30">
        <f>MROUND(D5+D9+D13+D17,50)</f>
        <v>16750</v>
      </c>
    </row>
    <row r="17" spans="1:11" x14ac:dyDescent="0.35">
      <c r="A17" s="28" t="str">
        <f>+Vendedor1!A17</f>
        <v>Nica 9pm</v>
      </c>
      <c r="B17" s="132">
        <f>IF(DigitaNICA!I2&lt;&gt;"",DigitaNICA!I2,"")</f>
        <v>23</v>
      </c>
      <c r="C17" s="29">
        <f>IF(DigitaNICA!I18&lt;&gt;"",DigitaNICA!I18,"")</f>
        <v>5000</v>
      </c>
      <c r="D17" s="42">
        <f>IF(C17="",0,C17*J$16)</f>
        <v>600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4400</v>
      </c>
      <c r="I17" s="63" t="s">
        <v>38</v>
      </c>
      <c r="J17" s="64">
        <v>0.1</v>
      </c>
      <c r="K17" s="30">
        <f>MROUND(D6+D8+D10+D12+D14+D16+D18,50)</f>
        <v>4850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7950</v>
      </c>
    </row>
    <row r="19" spans="1:11" x14ac:dyDescent="0.35">
      <c r="A19" s="28" t="s">
        <v>97</v>
      </c>
      <c r="B19" s="132" t="str">
        <f>IF(DigitaPRIMERA!C2&lt;&gt;"",DigitaPRIMERA!C2,"")</f>
        <v>02</v>
      </c>
      <c r="C19" s="29">
        <f>IF(DigitaPRIMERA!$C$18&lt;&gt;"",DigitaPRIMERA!$C$18,"")</f>
        <v>30000</v>
      </c>
      <c r="D19" s="42">
        <f>IF(C19="",0,C19*J$18)</f>
        <v>3600</v>
      </c>
      <c r="E19" s="29">
        <f>IF(DigitaPRIMERA!$D$18&lt;&gt;"",DigitaPRIMERA!$D$18,"")</f>
        <v>950</v>
      </c>
      <c r="F19" s="42">
        <f>IF(E19="",0,E19*PREMIOS!F19)</f>
        <v>80750</v>
      </c>
      <c r="G19" s="30">
        <f t="shared" si="6"/>
        <v>-54350</v>
      </c>
      <c r="I19" s="63" t="s">
        <v>104</v>
      </c>
      <c r="J19" s="64">
        <v>0.12</v>
      </c>
      <c r="K19" s="30">
        <f>MROUND(D21+D22+D23,50)</f>
        <v>5800</v>
      </c>
    </row>
    <row r="20" spans="1:11" x14ac:dyDescent="0.35">
      <c r="A20" s="28" t="s">
        <v>98</v>
      </c>
      <c r="B20" s="132">
        <f>IF(DigitaPRIMERA!E2&lt;&gt;"",DigitaPRIMERA!E2,"")</f>
        <v>61</v>
      </c>
      <c r="C20" s="29">
        <f>IF(DigitaPRIMERA!$E$18&lt;&gt;"",DigitaPRIMERA!$E$18,"")</f>
        <v>36100</v>
      </c>
      <c r="D20" s="42">
        <f>IF(C20="",0,C20*J$18)</f>
        <v>4332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31768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27</v>
      </c>
      <c r="C21" s="29">
        <f>IF(DigitaHONDURAS!$C$18&lt;&gt;"",DigitaHONDURAS!$C$18,"")</f>
        <v>18450</v>
      </c>
      <c r="D21" s="42">
        <f>IF(C21="",0,C21*J$19)</f>
        <v>2214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16236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77</v>
      </c>
      <c r="C22" s="29">
        <f>IF(DigitaHONDURAS!$E$18&lt;&gt;"",DigitaHONDURAS!$E$18,"")</f>
        <v>4900</v>
      </c>
      <c r="D22" s="42">
        <f>IF(C22="",0,C22*J$19)</f>
        <v>588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4312</v>
      </c>
    </row>
    <row r="23" spans="1:11" x14ac:dyDescent="0.35">
      <c r="A23" s="28" t="s">
        <v>101</v>
      </c>
      <c r="B23" s="132">
        <f>IF(DigitaHONDURAS!G2&lt;&gt;"",DigitaHONDURAS!G2,"")</f>
        <v>71</v>
      </c>
      <c r="C23" s="29">
        <f>IF(DigitaHONDURAS!$G$18&lt;&gt;"",DigitaHONDURAS!$G$18,"")</f>
        <v>24950</v>
      </c>
      <c r="D23" s="42">
        <f>IF(C23="",0,C23*J$19)</f>
        <v>2994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21956</v>
      </c>
    </row>
    <row r="24" spans="1:11" x14ac:dyDescent="0.35">
      <c r="A24" s="28" t="s">
        <v>102</v>
      </c>
      <c r="B24" s="132">
        <f>IF(DigitaDOMINICANA!C2&lt;&gt;"",DigitaDOMINICANA!C2,"")</f>
        <v>23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60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452150</v>
      </c>
      <c r="D27" s="68">
        <f t="shared" ref="D27:G27" si="7">SUM(D5:D26)</f>
        <v>53287</v>
      </c>
      <c r="E27" s="68">
        <f t="shared" si="7"/>
        <v>8300</v>
      </c>
      <c r="F27" s="68">
        <f t="shared" si="7"/>
        <v>569500</v>
      </c>
      <c r="G27" s="88">
        <f t="shared" si="7"/>
        <v>-170637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20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15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68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37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80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23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20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68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80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23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-297500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-36300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 t="e">
        <f>MROUND(D21+D22+D23,50)</f>
        <v>#NUM!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>
        <f>IF(DigitaNICA!I27&lt;&gt;"",DigitaNICA!I27,"")</f>
        <v>-302350</v>
      </c>
      <c r="D17" s="42">
        <f>IF(C17="",0,C17*J$10)</f>
        <v>-36282</v>
      </c>
      <c r="E17" s="29">
        <f>IF(DigitaNICA!J27&lt;&gt;"",DigitaNICA!J27,"")</f>
        <v>-3500</v>
      </c>
      <c r="F17" s="42">
        <f>IF(E17="",0,E17*PREMIOS!F17)</f>
        <v>-297500</v>
      </c>
      <c r="G17" s="30">
        <f t="shared" si="1"/>
        <v>31432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>
        <f>IF(DigitaHONDURAS!$G$27&lt;&gt;"",DigitaHONDURAS!$G$27,"")</f>
        <v>-30850</v>
      </c>
      <c r="D23" s="42">
        <f>IF(C23="",0,C23*J$13)</f>
        <v>-3702</v>
      </c>
      <c r="E23" s="29">
        <f>IF(DigitaHONDURAS!$H$27&lt;&gt;"",DigitaHONDURAS!$H$27,"")</f>
        <v>0</v>
      </c>
      <c r="F23" s="42">
        <f>IF(E23="",0,E23*PREMIOS!F20)</f>
        <v>0</v>
      </c>
      <c r="G23" s="30">
        <f t="shared" si="1"/>
        <v>-27148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-333200</v>
      </c>
      <c r="D27" s="68">
        <f t="shared" ref="D27:G27" si="2">SUM(D5:D26)</f>
        <v>-39984</v>
      </c>
      <c r="E27" s="68">
        <f t="shared" si="2"/>
        <v>-3500</v>
      </c>
      <c r="F27" s="68">
        <f t="shared" si="2"/>
        <v>-297500</v>
      </c>
      <c r="G27" s="88">
        <f t="shared" si="2"/>
        <v>4284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20</v>
      </c>
      <c r="D2" s="268"/>
      <c r="E2" s="267">
        <f>IF(PREMIOS!$B11="","",PREMIOS!$B11)</f>
        <v>68</v>
      </c>
      <c r="F2" s="268"/>
      <c r="G2" s="267">
        <f>IF(PREMIOS!$B15="","",PREMIOS!$B15)</f>
        <v>80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70350</v>
      </c>
      <c r="D4" s="78">
        <v>1850</v>
      </c>
      <c r="E4" s="189">
        <v>38500</v>
      </c>
      <c r="F4" s="78">
        <v>2000</v>
      </c>
      <c r="G4" s="189">
        <v>63750</v>
      </c>
      <c r="H4" s="78">
        <v>1200</v>
      </c>
      <c r="J4" s="42">
        <f t="shared" ref="J4:J8" si="0">+C4+E4+G4</f>
        <v>172600</v>
      </c>
      <c r="K4" s="42">
        <f>IF(D4="",0,IF(F4="",D4,IF(H4="",D4+F4,D4+F4+H4)))</f>
        <v>5050</v>
      </c>
    </row>
    <row r="5" spans="1:11" x14ac:dyDescent="0.35">
      <c r="A5" s="47">
        <v>2</v>
      </c>
      <c r="B5" s="178" t="str">
        <f>Vendedor2!$B$2</f>
        <v>PUESTO 2</v>
      </c>
      <c r="C5" s="180">
        <v>88700</v>
      </c>
      <c r="D5" s="30">
        <v>1200</v>
      </c>
      <c r="E5" s="180">
        <v>41300</v>
      </c>
      <c r="F5" s="30">
        <f t="shared" ref="D5:H27" si="1">IF(E5="","",0)</f>
        <v>0</v>
      </c>
      <c r="G5" s="180">
        <v>93550</v>
      </c>
      <c r="H5" s="30">
        <v>500</v>
      </c>
      <c r="J5" s="42">
        <f t="shared" si="0"/>
        <v>223550</v>
      </c>
      <c r="K5" s="42">
        <f t="shared" ref="K5:K27" si="2">IF(D5="",0,IF(F5="",D5,IF(H5="",D5+F5,D5+F5+H5)))</f>
        <v>1700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1"/>
        <v/>
      </c>
      <c r="E6" s="180"/>
      <c r="F6" s="30" t="str">
        <f t="shared" si="1"/>
        <v/>
      </c>
      <c r="G6" s="180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1"/>
        <v/>
      </c>
      <c r="E7" s="180"/>
      <c r="F7" s="30" t="str">
        <f t="shared" si="1"/>
        <v/>
      </c>
      <c r="G7" s="180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77300</v>
      </c>
      <c r="D8" s="30">
        <v>3250</v>
      </c>
      <c r="E8" s="180">
        <v>84100</v>
      </c>
      <c r="F8" s="30">
        <v>400</v>
      </c>
      <c r="G8" s="180">
        <v>58000</v>
      </c>
      <c r="H8" s="30">
        <v>750</v>
      </c>
      <c r="J8" s="42">
        <f t="shared" si="0"/>
        <v>219400</v>
      </c>
      <c r="K8" s="42">
        <f t="shared" si="2"/>
        <v>4400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1"/>
        <v/>
      </c>
      <c r="E9" s="180"/>
      <c r="F9" s="30" t="str">
        <f t="shared" si="1"/>
        <v/>
      </c>
      <c r="G9" s="180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86050+94500</f>
        <v>180550</v>
      </c>
      <c r="D10" s="30">
        <f>1750+3900</f>
        <v>5650</v>
      </c>
      <c r="E10" s="180">
        <v>183750</v>
      </c>
      <c r="F10" s="30">
        <v>400</v>
      </c>
      <c r="G10" s="180">
        <f>62650+112850</f>
        <v>175500</v>
      </c>
      <c r="H10" s="30">
        <v>50</v>
      </c>
      <c r="J10" s="42">
        <f t="shared" si="3"/>
        <v>539800</v>
      </c>
      <c r="K10" s="42">
        <f t="shared" si="2"/>
        <v>6100</v>
      </c>
    </row>
    <row r="11" spans="1:11" x14ac:dyDescent="0.35">
      <c r="A11" s="47">
        <v>8</v>
      </c>
      <c r="B11" s="178" t="str">
        <f>Vendedor8!$B$2</f>
        <v>ISA</v>
      </c>
      <c r="C11" s="180">
        <v>4000</v>
      </c>
      <c r="D11" s="30">
        <f t="shared" si="1"/>
        <v>0</v>
      </c>
      <c r="E11" s="180"/>
      <c r="F11" s="30" t="str">
        <f t="shared" si="1"/>
        <v/>
      </c>
      <c r="G11" s="180">
        <v>2000</v>
      </c>
      <c r="H11" s="30">
        <f t="shared" si="1"/>
        <v>0</v>
      </c>
      <c r="J11" s="42">
        <f t="shared" si="3"/>
        <v>6000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37750</v>
      </c>
      <c r="D12" s="30">
        <v>200</v>
      </c>
      <c r="E12" s="180">
        <v>24600</v>
      </c>
      <c r="F12" s="30">
        <f t="shared" si="1"/>
        <v>0</v>
      </c>
      <c r="G12" s="180">
        <v>62550</v>
      </c>
      <c r="H12" s="30">
        <f t="shared" si="1"/>
        <v>0</v>
      </c>
      <c r="J12" s="42">
        <f t="shared" si="3"/>
        <v>124900</v>
      </c>
      <c r="K12" s="42">
        <f t="shared" si="2"/>
        <v>200</v>
      </c>
    </row>
    <row r="13" spans="1:11" x14ac:dyDescent="0.35">
      <c r="A13" s="47">
        <v>10</v>
      </c>
      <c r="B13" s="178" t="str">
        <f>Vendedor10!$B$2</f>
        <v>MARIALIZ</v>
      </c>
      <c r="C13" s="180">
        <v>35500</v>
      </c>
      <c r="D13" s="30">
        <v>1200</v>
      </c>
      <c r="E13" s="180">
        <v>23100</v>
      </c>
      <c r="F13" s="30">
        <f t="shared" si="1"/>
        <v>0</v>
      </c>
      <c r="G13" s="180">
        <v>58050</v>
      </c>
      <c r="H13" s="30">
        <v>2900</v>
      </c>
      <c r="J13" s="42">
        <f t="shared" si="3"/>
        <v>116650</v>
      </c>
      <c r="K13" s="42">
        <f t="shared" si="2"/>
        <v>4100</v>
      </c>
    </row>
    <row r="14" spans="1:11" x14ac:dyDescent="0.35">
      <c r="A14" s="47">
        <v>11</v>
      </c>
      <c r="B14" s="178" t="str">
        <f>Vendedor11!$B$2</f>
        <v>CHARLY</v>
      </c>
      <c r="C14" s="180">
        <v>37000</v>
      </c>
      <c r="D14" s="30">
        <v>700</v>
      </c>
      <c r="E14" s="180">
        <v>22600</v>
      </c>
      <c r="F14" s="30">
        <f t="shared" si="1"/>
        <v>0</v>
      </c>
      <c r="G14" s="180">
        <v>28800</v>
      </c>
      <c r="H14" s="30">
        <f t="shared" si="1"/>
        <v>0</v>
      </c>
      <c r="J14" s="42">
        <f t="shared" si="3"/>
        <v>88400</v>
      </c>
      <c r="K14" s="42">
        <f t="shared" si="2"/>
        <v>700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1"/>
        <v/>
      </c>
      <c r="E15" s="180"/>
      <c r="F15" s="30" t="str">
        <f t="shared" si="1"/>
        <v/>
      </c>
      <c r="G15" s="180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10200</v>
      </c>
      <c r="D16" s="30">
        <f t="shared" si="1"/>
        <v>0</v>
      </c>
      <c r="E16" s="180">
        <v>4400</v>
      </c>
      <c r="F16" s="30">
        <f t="shared" si="1"/>
        <v>0</v>
      </c>
      <c r="G16" s="180">
        <v>14900</v>
      </c>
      <c r="H16" s="30">
        <f t="shared" si="1"/>
        <v>0</v>
      </c>
      <c r="J16" s="42">
        <f t="shared" si="3"/>
        <v>29500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123050+29500</f>
        <v>152550</v>
      </c>
      <c r="D17" s="30">
        <f>2350+0</f>
        <v>2350</v>
      </c>
      <c r="E17" s="180">
        <f>79950+12300</f>
        <v>92250</v>
      </c>
      <c r="F17" s="30">
        <f t="shared" si="1"/>
        <v>0</v>
      </c>
      <c r="G17" s="180">
        <f>150650+37450</f>
        <v>188100</v>
      </c>
      <c r="H17" s="30">
        <f>600+0</f>
        <v>600</v>
      </c>
      <c r="J17" s="42">
        <f t="shared" si="3"/>
        <v>432900</v>
      </c>
      <c r="K17" s="42">
        <f t="shared" si="2"/>
        <v>2950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14800+18950</f>
        <v>33750</v>
      </c>
      <c r="D18" s="30">
        <f>500+2500</f>
        <v>3000</v>
      </c>
      <c r="E18" s="180">
        <f>23050+16050</f>
        <v>39100</v>
      </c>
      <c r="F18" s="30">
        <v>100</v>
      </c>
      <c r="G18" s="180">
        <f>59550+17050</f>
        <v>76600</v>
      </c>
      <c r="H18" s="30">
        <f t="shared" si="1"/>
        <v>0</v>
      </c>
      <c r="J18" s="42">
        <f t="shared" si="3"/>
        <v>149450</v>
      </c>
      <c r="K18" s="42">
        <f t="shared" si="2"/>
        <v>3100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1"/>
        <v/>
      </c>
      <c r="E19" s="180"/>
      <c r="F19" s="30" t="str">
        <f t="shared" si="1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1"/>
        <v/>
      </c>
      <c r="E20" s="180"/>
      <c r="F20" s="30" t="str">
        <f t="shared" si="1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1"/>
        <v/>
      </c>
      <c r="E21" s="180"/>
      <c r="F21" s="30" t="str">
        <f t="shared" si="1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1"/>
        <v/>
      </c>
      <c r="E22" s="180"/>
      <c r="F22" s="30" t="str">
        <f t="shared" si="1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1"/>
        <v/>
      </c>
      <c r="E23" s="180"/>
      <c r="F23" s="30" t="str">
        <f t="shared" si="1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1"/>
        <v/>
      </c>
      <c r="E24" s="180"/>
      <c r="F24" s="30" t="str">
        <f t="shared" si="1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1"/>
        <v/>
      </c>
      <c r="E25" s="180"/>
      <c r="F25" s="30" t="str">
        <f t="shared" si="1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1"/>
        <v/>
      </c>
      <c r="E26" s="180"/>
      <c r="F26" s="30" t="str">
        <f t="shared" si="1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1"/>
        <v/>
      </c>
      <c r="E27" s="181"/>
      <c r="F27" s="50" t="str">
        <f t="shared" si="1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727650</v>
      </c>
      <c r="D32" s="44">
        <f t="shared" si="6"/>
        <v>19400</v>
      </c>
      <c r="E32" s="43">
        <f t="shared" si="6"/>
        <v>553700</v>
      </c>
      <c r="F32" s="44">
        <f t="shared" si="6"/>
        <v>2900</v>
      </c>
      <c r="G32" s="43">
        <f t="shared" si="6"/>
        <v>821800</v>
      </c>
      <c r="H32" s="44">
        <f t="shared" si="6"/>
        <v>6000</v>
      </c>
      <c r="J32" s="95">
        <f>SUM(J4:J31)</f>
        <v>2103150</v>
      </c>
      <c r="K32" s="95"/>
    </row>
    <row r="33" spans="2:8" x14ac:dyDescent="0.35">
      <c r="D33" s="99">
        <f>+D32*85</f>
        <v>1649000</v>
      </c>
      <c r="F33" s="99">
        <f>+F32*85</f>
        <v>246500</v>
      </c>
      <c r="H33" s="99">
        <f>+H32*85</f>
        <v>510000</v>
      </c>
    </row>
    <row r="34" spans="2:8" x14ac:dyDescent="0.35">
      <c r="B34" s="247" t="s">
        <v>149</v>
      </c>
      <c r="C34" s="43">
        <f t="shared" ref="C34:H34" si="7">+C4+C5+C6+C8+C13</f>
        <v>271850</v>
      </c>
      <c r="D34" s="43" t="e">
        <f t="shared" si="7"/>
        <v>#VALUE!</v>
      </c>
      <c r="E34" s="43">
        <f t="shared" si="7"/>
        <v>187000</v>
      </c>
      <c r="F34" s="43" t="e">
        <f t="shared" si="7"/>
        <v>#VALUE!</v>
      </c>
      <c r="G34" s="43">
        <f t="shared" si="7"/>
        <v>273350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227300</v>
      </c>
      <c r="D35" s="43" t="e">
        <f t="shared" ref="D35:H35" si="8">+D11+D14+D15+D17+D18</f>
        <v>#VALUE!</v>
      </c>
      <c r="E35" s="43">
        <f t="shared" si="8"/>
        <v>153950</v>
      </c>
      <c r="F35" s="43" t="e">
        <f t="shared" si="8"/>
        <v>#VALUE!</v>
      </c>
      <c r="G35" s="43">
        <f t="shared" si="8"/>
        <v>295500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218300</v>
      </c>
      <c r="D36" s="43" t="e">
        <f t="shared" ref="D36:H36" si="9">+D10+D12+D27</f>
        <v>#VALUE!</v>
      </c>
      <c r="E36" s="43">
        <f t="shared" si="9"/>
        <v>208350</v>
      </c>
      <c r="F36" s="43" t="e">
        <f t="shared" si="9"/>
        <v>#VALUE!</v>
      </c>
      <c r="G36" s="43">
        <f t="shared" si="9"/>
        <v>238050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33</v>
      </c>
      <c r="D2" s="268"/>
      <c r="E2" s="267">
        <f>IF(PREMIOS!$B9="","",PREMIOS!$B9)</f>
        <v>15</v>
      </c>
      <c r="F2" s="268"/>
      <c r="G2" s="267">
        <f>IF(PREMIOS!$B13="","",PREMIOS!$B13)</f>
        <v>37</v>
      </c>
      <c r="H2" s="268"/>
      <c r="I2" s="267">
        <f>IF(PREMIOS!$B17="","",PREMIOS!$B17)</f>
        <v>23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15800</v>
      </c>
      <c r="D4" s="78">
        <f t="shared" ref="D4:J27" si="0">IF(C4="","",0)</f>
        <v>0</v>
      </c>
      <c r="E4" s="206">
        <v>7750</v>
      </c>
      <c r="F4" s="78">
        <f t="shared" si="0"/>
        <v>0</v>
      </c>
      <c r="G4" s="189">
        <v>4600</v>
      </c>
      <c r="H4" s="78">
        <f t="shared" ref="H4:H27" si="1">IF(G4="","",0)</f>
        <v>0</v>
      </c>
      <c r="I4" s="189">
        <v>3100</v>
      </c>
      <c r="J4" s="78">
        <f t="shared" si="0"/>
        <v>0</v>
      </c>
      <c r="L4" s="42">
        <f t="shared" ref="L4:L8" si="2">+C4+E4+G4+I4</f>
        <v>31250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17600</v>
      </c>
      <c r="D5" s="30">
        <f t="shared" si="0"/>
        <v>0</v>
      </c>
      <c r="E5" s="207">
        <v>1000</v>
      </c>
      <c r="F5" s="30">
        <f t="shared" si="0"/>
        <v>0</v>
      </c>
      <c r="G5" s="180">
        <v>600</v>
      </c>
      <c r="H5" s="30">
        <f t="shared" si="1"/>
        <v>0</v>
      </c>
      <c r="I5" s="180"/>
      <c r="J5" s="30" t="str">
        <f t="shared" ref="J5:J26" si="3">IF(I5="","",0)</f>
        <v/>
      </c>
      <c r="L5" s="42">
        <f t="shared" si="2"/>
        <v>19200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84100</v>
      </c>
      <c r="D8" s="30">
        <v>300</v>
      </c>
      <c r="E8" s="207">
        <v>66400</v>
      </c>
      <c r="F8" s="30">
        <v>1900</v>
      </c>
      <c r="G8" s="180">
        <v>6450</v>
      </c>
      <c r="H8" s="30">
        <f t="shared" si="1"/>
        <v>0</v>
      </c>
      <c r="I8" s="180">
        <v>11800</v>
      </c>
      <c r="J8" s="30">
        <f t="shared" si="0"/>
        <v>0</v>
      </c>
      <c r="L8" s="42">
        <f t="shared" si="2"/>
        <v>168750</v>
      </c>
      <c r="M8" s="42">
        <f t="shared" si="4"/>
        <v>2200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69900+66500</f>
        <v>136400</v>
      </c>
      <c r="D10" s="30">
        <v>800</v>
      </c>
      <c r="E10" s="207">
        <f>50000+62700</f>
        <v>112700</v>
      </c>
      <c r="F10" s="30">
        <v>1050</v>
      </c>
      <c r="G10" s="180">
        <f>37900+49700</f>
        <v>87600</v>
      </c>
      <c r="H10" s="30">
        <f>200+600</f>
        <v>800</v>
      </c>
      <c r="I10" s="180">
        <f>52800+66150</f>
        <v>118950</v>
      </c>
      <c r="J10" s="30">
        <f>2500+300</f>
        <v>2800</v>
      </c>
      <c r="L10" s="42">
        <f t="shared" si="5"/>
        <v>455650</v>
      </c>
      <c r="M10" s="42">
        <f t="shared" si="4"/>
        <v>5450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31400</v>
      </c>
      <c r="D12" s="30">
        <v>500</v>
      </c>
      <c r="E12" s="207">
        <v>23950</v>
      </c>
      <c r="F12" s="30">
        <v>1250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55350</v>
      </c>
      <c r="M12" s="42">
        <f t="shared" si="4"/>
        <v>1750</v>
      </c>
    </row>
    <row r="13" spans="1:13" x14ac:dyDescent="0.35">
      <c r="A13" s="47">
        <v>10</v>
      </c>
      <c r="B13" s="178" t="str">
        <f>Vendedor10!$B$2</f>
        <v>MARIALIZ</v>
      </c>
      <c r="C13" s="180">
        <v>27650</v>
      </c>
      <c r="D13" s="30">
        <f t="shared" si="0"/>
        <v>0</v>
      </c>
      <c r="E13" s="207">
        <v>23300</v>
      </c>
      <c r="F13" s="30">
        <v>600</v>
      </c>
      <c r="G13" s="180">
        <v>20100</v>
      </c>
      <c r="H13" s="30">
        <f t="shared" si="0"/>
        <v>0</v>
      </c>
      <c r="I13" s="180">
        <v>21000</v>
      </c>
      <c r="J13" s="30">
        <v>600</v>
      </c>
      <c r="L13" s="42">
        <f t="shared" si="5"/>
        <v>92050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6500</v>
      </c>
      <c r="D16" s="30">
        <f t="shared" si="0"/>
        <v>0</v>
      </c>
      <c r="E16" s="207">
        <v>4500</v>
      </c>
      <c r="F16" s="30">
        <f t="shared" si="0"/>
        <v>0</v>
      </c>
      <c r="G16" s="180">
        <v>6400</v>
      </c>
      <c r="H16" s="30">
        <f t="shared" si="0"/>
        <v>0</v>
      </c>
      <c r="I16" s="180">
        <v>3000</v>
      </c>
      <c r="J16" s="30">
        <f t="shared" si="0"/>
        <v>0</v>
      </c>
      <c r="L16" s="42">
        <f t="shared" si="5"/>
        <v>20400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97100</v>
      </c>
      <c r="D17" s="30">
        <v>1550</v>
      </c>
      <c r="E17" s="207">
        <v>102250</v>
      </c>
      <c r="F17" s="30">
        <v>700</v>
      </c>
      <c r="G17" s="180">
        <v>53150</v>
      </c>
      <c r="H17" s="30">
        <f t="shared" si="0"/>
        <v>0</v>
      </c>
      <c r="I17" s="180">
        <v>139500</v>
      </c>
      <c r="J17" s="30">
        <v>100</v>
      </c>
      <c r="L17" s="42">
        <f t="shared" si="5"/>
        <v>392000</v>
      </c>
      <c r="M17" s="42">
        <f t="shared" si="4"/>
        <v>2350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43100</v>
      </c>
      <c r="D18" s="30">
        <v>350</v>
      </c>
      <c r="E18" s="207">
        <v>48100</v>
      </c>
      <c r="F18" s="30">
        <v>2300</v>
      </c>
      <c r="G18" s="180">
        <v>43550</v>
      </c>
      <c r="H18" s="30">
        <f t="shared" si="0"/>
        <v>0</v>
      </c>
      <c r="I18" s="180">
        <v>5000</v>
      </c>
      <c r="J18" s="30">
        <f t="shared" si="3"/>
        <v>0</v>
      </c>
      <c r="L18" s="42">
        <f t="shared" si="5"/>
        <v>139750</v>
      </c>
      <c r="M18" s="42">
        <f t="shared" si="4"/>
        <v>2650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>
        <v>-302350</v>
      </c>
      <c r="J27" s="50">
        <v>-3500</v>
      </c>
      <c r="L27" s="42">
        <f t="shared" si="5"/>
        <v>-302350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459650</v>
      </c>
      <c r="D32" s="44">
        <f t="shared" si="7"/>
        <v>3500</v>
      </c>
      <c r="E32" s="43">
        <f t="shared" si="7"/>
        <v>389950</v>
      </c>
      <c r="F32" s="44">
        <f t="shared" si="7"/>
        <v>7800</v>
      </c>
      <c r="G32" s="43">
        <f t="shared" si="7"/>
        <v>222450</v>
      </c>
      <c r="H32" s="44">
        <f t="shared" si="7"/>
        <v>800</v>
      </c>
      <c r="I32" s="43">
        <f t="shared" si="7"/>
        <v>0</v>
      </c>
      <c r="J32" s="44">
        <f t="shared" si="7"/>
        <v>0</v>
      </c>
      <c r="L32" s="95">
        <f>SUM(L9:L31)</f>
        <v>852850</v>
      </c>
      <c r="M32" s="95">
        <f>SUM(M9:M31)</f>
        <v>12200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20 Blanca</v>
      </c>
      <c r="D2" s="268"/>
      <c r="E2" s="267" t="str">
        <f>IF(E33=0,"",CONCATENATE(PREMIOS!$B11," ",PREMIOS!$B12))</f>
        <v>68 Blanca</v>
      </c>
      <c r="F2" s="268"/>
      <c r="G2" s="267" t="str">
        <f>IF(G33=0,"",CONCATENATE(PREMIOS!$B15," ",PREMIOS!$B16))</f>
        <v>80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32100+4250</f>
        <v>36350</v>
      </c>
      <c r="D10" s="30">
        <v>250</v>
      </c>
      <c r="E10" s="180">
        <v>33900</v>
      </c>
      <c r="F10" s="30">
        <f t="shared" si="0"/>
        <v>0</v>
      </c>
      <c r="G10" s="180">
        <f>32900+7850</f>
        <v>40750</v>
      </c>
      <c r="H10" s="30">
        <f t="shared" si="0"/>
        <v>0</v>
      </c>
      <c r="J10" s="42">
        <f t="shared" si="3"/>
        <v>111000</v>
      </c>
      <c r="K10" s="42">
        <f t="shared" si="4"/>
        <v>250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2800</v>
      </c>
      <c r="D12" s="30">
        <f t="shared" si="0"/>
        <v>0</v>
      </c>
      <c r="E12" s="180">
        <v>4600</v>
      </c>
      <c r="F12" s="30">
        <f t="shared" si="1"/>
        <v>0</v>
      </c>
      <c r="G12" s="180">
        <v>6100</v>
      </c>
      <c r="H12" s="30">
        <f t="shared" si="0"/>
        <v>0</v>
      </c>
      <c r="J12" s="42">
        <f t="shared" si="3"/>
        <v>13500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28050</v>
      </c>
      <c r="D17" s="30">
        <f t="shared" si="0"/>
        <v>0</v>
      </c>
      <c r="E17" s="180">
        <v>11300</v>
      </c>
      <c r="F17" s="30">
        <f t="shared" si="0"/>
        <v>0</v>
      </c>
      <c r="G17" s="180">
        <v>30050</v>
      </c>
      <c r="H17" s="30">
        <f t="shared" si="0"/>
        <v>0</v>
      </c>
      <c r="J17" s="42">
        <f t="shared" si="3"/>
        <v>69400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17450</v>
      </c>
      <c r="D18" s="30">
        <v>1500</v>
      </c>
      <c r="E18" s="180">
        <v>15050</v>
      </c>
      <c r="F18" s="30">
        <v>100</v>
      </c>
      <c r="G18" s="180">
        <v>16050</v>
      </c>
      <c r="H18" s="30">
        <f t="shared" si="0"/>
        <v>0</v>
      </c>
      <c r="J18" s="42">
        <f t="shared" si="3"/>
        <v>48550</v>
      </c>
      <c r="K18" s="42">
        <f t="shared" si="4"/>
        <v>1600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84650</v>
      </c>
      <c r="D33" s="44">
        <f t="shared" si="7"/>
        <v>1750</v>
      </c>
      <c r="E33" s="43">
        <f t="shared" si="7"/>
        <v>64850</v>
      </c>
      <c r="F33" s="44">
        <f t="shared" si="7"/>
        <v>100</v>
      </c>
      <c r="G33" s="43">
        <f t="shared" si="7"/>
        <v>92950</v>
      </c>
      <c r="H33" s="44">
        <f t="shared" si="7"/>
        <v>0</v>
      </c>
      <c r="J33" s="45">
        <f>SUM(J4:J32)</f>
        <v>242450</v>
      </c>
      <c r="K33" s="95">
        <f>SUM(K4:K32)</f>
        <v>1850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 t="str">
        <f>IF(PREMIOS!$B19="","",PREMIOS!$B19)</f>
        <v>02</v>
      </c>
      <c r="D2" s="268"/>
      <c r="E2" s="267">
        <f>IF(PREMIOS!$C19="","",PREMIOS!$C19)</f>
        <v>61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9150</v>
      </c>
      <c r="D4" s="78">
        <f t="shared" ref="D4:F27" si="0">IF(C4="","",0)</f>
        <v>0</v>
      </c>
      <c r="E4" s="189">
        <v>1100</v>
      </c>
      <c r="F4" s="78">
        <f t="shared" si="0"/>
        <v>0</v>
      </c>
      <c r="H4" s="42">
        <f>+C4+E4</f>
        <v>10250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4300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4300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47750</v>
      </c>
      <c r="D8" s="30">
        <v>1450</v>
      </c>
      <c r="E8" s="194">
        <v>36950</v>
      </c>
      <c r="F8" s="195">
        <f t="shared" si="1"/>
        <v>0</v>
      </c>
      <c r="H8" s="42">
        <f t="shared" si="2"/>
        <v>84700</v>
      </c>
      <c r="I8" s="42">
        <f t="shared" si="3"/>
        <v>1450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21500+11850</f>
        <v>33350</v>
      </c>
      <c r="D10" s="30">
        <f>3500+0</f>
        <v>3500</v>
      </c>
      <c r="E10" s="180">
        <v>30100</v>
      </c>
      <c r="F10" s="195">
        <f t="shared" si="1"/>
        <v>0</v>
      </c>
      <c r="H10" s="42">
        <f t="shared" si="2"/>
        <v>63450</v>
      </c>
      <c r="I10" s="42">
        <f t="shared" si="3"/>
        <v>3500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36000</v>
      </c>
      <c r="D12" s="30">
        <v>500</v>
      </c>
      <c r="E12" s="194"/>
      <c r="F12" s="30" t="str">
        <f t="shared" si="0"/>
        <v/>
      </c>
      <c r="H12" s="42">
        <f t="shared" si="2"/>
        <v>36000</v>
      </c>
      <c r="I12" s="42">
        <f t="shared" si="3"/>
        <v>500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400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400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85750</v>
      </c>
      <c r="D17" s="195">
        <v>1650</v>
      </c>
      <c r="E17" s="180">
        <v>28250</v>
      </c>
      <c r="F17" s="30">
        <f t="shared" si="0"/>
        <v>0</v>
      </c>
      <c r="H17" s="42">
        <f t="shared" si="2"/>
        <v>114000</v>
      </c>
      <c r="I17" s="42">
        <f t="shared" si="3"/>
        <v>1650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30000</v>
      </c>
      <c r="D18" s="195">
        <v>950</v>
      </c>
      <c r="E18" s="180">
        <v>36100</v>
      </c>
      <c r="F18" s="30">
        <f t="shared" si="0"/>
        <v>0</v>
      </c>
      <c r="H18" s="42">
        <f t="shared" si="2"/>
        <v>66100</v>
      </c>
      <c r="I18" s="42">
        <f t="shared" si="3"/>
        <v>950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246700</v>
      </c>
      <c r="D33" s="44">
        <f>SUM(D4:D32)</f>
        <v>8050</v>
      </c>
      <c r="E33" s="43">
        <f>SUM(E4:E32)</f>
        <v>132500</v>
      </c>
      <c r="F33" s="44">
        <f>SUM(F4:F32)</f>
        <v>0</v>
      </c>
      <c r="H33" s="95">
        <f>SUM(H4:H32)</f>
        <v>379200</v>
      </c>
      <c r="I33" s="95">
        <f>SUM(I4:I32)</f>
        <v>8050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5"/>
  <sheetViews>
    <sheetView showGridLines="0" zoomScale="90" zoomScaleNormal="90" workbookViewId="0">
      <selection activeCell="C36" sqref="C36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27</v>
      </c>
      <c r="D2" s="268"/>
      <c r="E2" s="267">
        <f>IF(PREMIOS!$C20="","",PREMIOS!$C20)</f>
        <v>77</v>
      </c>
      <c r="F2" s="268"/>
      <c r="G2" s="267">
        <f>IF(PREMIOS!$D20="","",PREMIOS!$D20)</f>
        <v>71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800</v>
      </c>
      <c r="D10" s="195">
        <f t="shared" si="0"/>
        <v>0</v>
      </c>
      <c r="E10" s="180">
        <v>3000</v>
      </c>
      <c r="F10" s="30">
        <f t="shared" si="0"/>
        <v>0</v>
      </c>
      <c r="G10" s="180">
        <v>5400</v>
      </c>
      <c r="H10" s="195">
        <f t="shared" si="0"/>
        <v>0</v>
      </c>
      <c r="J10" s="42">
        <f t="shared" si="3"/>
        <v>9200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13500</v>
      </c>
      <c r="D12" s="195">
        <v>150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13500</v>
      </c>
      <c r="K12" s="42">
        <f t="shared" si="4"/>
        <v>150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>
        <v>1200</v>
      </c>
      <c r="F16" s="195">
        <f t="shared" si="1"/>
        <v>0</v>
      </c>
      <c r="G16" s="194">
        <v>500</v>
      </c>
      <c r="H16" s="195">
        <f>IF(G16="","",0)</f>
        <v>0</v>
      </c>
      <c r="J16" s="42">
        <f t="shared" si="3"/>
        <v>1700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33600</v>
      </c>
      <c r="D17" s="195">
        <v>600</v>
      </c>
      <c r="E17" s="194">
        <v>8000</v>
      </c>
      <c r="F17" s="195">
        <f t="shared" si="0"/>
        <v>0</v>
      </c>
      <c r="G17" s="194"/>
      <c r="H17" s="195" t="str">
        <f t="shared" si="2"/>
        <v/>
      </c>
      <c r="J17" s="42">
        <f t="shared" si="3"/>
        <v>41600</v>
      </c>
      <c r="K17" s="42">
        <f t="shared" si="4"/>
        <v>600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18450</v>
      </c>
      <c r="D18" s="195">
        <f t="shared" si="0"/>
        <v>0</v>
      </c>
      <c r="E18" s="180">
        <v>4900</v>
      </c>
      <c r="F18" s="30">
        <f t="shared" si="1"/>
        <v>0</v>
      </c>
      <c r="G18" s="180">
        <v>24950</v>
      </c>
      <c r="H18" s="30">
        <f t="shared" si="2"/>
        <v>0</v>
      </c>
      <c r="J18" s="42">
        <f t="shared" si="3"/>
        <v>48300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>
        <v>-30850</v>
      </c>
      <c r="H27" s="50">
        <f t="shared" si="2"/>
        <v>0</v>
      </c>
      <c r="J27" s="42">
        <f t="shared" si="3"/>
        <v>-30850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66350</v>
      </c>
      <c r="D33" s="44">
        <f t="shared" si="6"/>
        <v>750</v>
      </c>
      <c r="E33" s="43">
        <f t="shared" si="6"/>
        <v>17100</v>
      </c>
      <c r="F33" s="44">
        <f t="shared" si="6"/>
        <v>0</v>
      </c>
      <c r="G33" s="43">
        <f t="shared" si="6"/>
        <v>0</v>
      </c>
      <c r="H33" s="44">
        <f t="shared" si="6"/>
        <v>0</v>
      </c>
      <c r="J33" s="45">
        <f>SUM(J4:J32)</f>
        <v>83450</v>
      </c>
      <c r="K33" s="95">
        <f>SUM(K4:K32)</f>
        <v>750</v>
      </c>
    </row>
    <row r="34" spans="3:11" x14ac:dyDescent="0.35">
      <c r="C34">
        <v>127950</v>
      </c>
    </row>
    <row r="35" spans="3:11" x14ac:dyDescent="0.35">
      <c r="C35" s="43">
        <f>+C34-C33</f>
        <v>61600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23</v>
      </c>
      <c r="D2" s="268"/>
      <c r="E2" s="267">
        <f>IF(PREMIOS!$C21="","",PREMIOS!$C21)</f>
        <v>60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27300</v>
      </c>
      <c r="D10" s="30">
        <f t="shared" si="0"/>
        <v>0</v>
      </c>
      <c r="E10" s="180">
        <v>31000</v>
      </c>
      <c r="F10" s="30">
        <v>1000</v>
      </c>
      <c r="H10" s="42">
        <f t="shared" si="2"/>
        <v>58300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27300</v>
      </c>
      <c r="D33" s="44">
        <f>SUM(D4:D32)</f>
        <v>0</v>
      </c>
      <c r="E33" s="43">
        <f>SUM(E4:E32)</f>
        <v>31000</v>
      </c>
      <c r="F33" s="44">
        <f>SUM(F4:F32)</f>
        <v>1000</v>
      </c>
      <c r="H33" s="45">
        <f>SUM(H4:H32)</f>
        <v>58300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2026-04-17T16:33:57Z</dcterms:modified>
  <dc:language>es-CR</dc:language>
</cp:coreProperties>
</file>
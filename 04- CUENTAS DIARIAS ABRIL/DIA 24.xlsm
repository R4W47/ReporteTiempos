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206" documentId="13_ncr:1_{EB1C27A7-1EBD-4619-B18B-0BCA469E8746}" xr6:coauthVersionLast="47" xr6:coauthVersionMax="47" xr10:uidLastSave="{A6726468-219A-40B0-B219-FBEC223CE572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G10" i="62"/>
  <c r="E10" i="62"/>
  <c r="D10" i="62"/>
  <c r="C10" i="62"/>
  <c r="I10" i="61"/>
  <c r="G10" i="61"/>
  <c r="E10" i="61"/>
  <c r="G10" i="60"/>
  <c r="E10" i="60"/>
  <c r="D17" i="60"/>
  <c r="C17" i="60"/>
  <c r="D10" i="60"/>
  <c r="C10" i="60"/>
  <c r="G17" i="60"/>
  <c r="H18" i="60"/>
  <c r="G18" i="60"/>
  <c r="F17" i="60"/>
  <c r="E17" i="60"/>
  <c r="E18" i="60"/>
  <c r="C18" i="60"/>
  <c r="D10" i="61"/>
  <c r="C10" i="61"/>
  <c r="D18" i="64" l="1"/>
  <c r="D11" i="65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35" i="60" s="1"/>
  <c r="D36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8" i="62"/>
  <c r="F10" i="62"/>
  <c r="D5" i="61"/>
  <c r="F16" i="61"/>
  <c r="D6" i="60"/>
  <c r="F16" i="60"/>
  <c r="F15" i="60"/>
  <c r="F14" i="60"/>
  <c r="F35" i="60" s="1"/>
  <c r="F11" i="60"/>
  <c r="F10" i="60"/>
  <c r="F36" i="60" s="1"/>
  <c r="F9" i="60"/>
  <c r="F8" i="60"/>
  <c r="F7" i="60"/>
  <c r="F6" i="60"/>
  <c r="F5" i="60"/>
  <c r="F4" i="60"/>
  <c r="H16" i="60"/>
  <c r="H15" i="60"/>
  <c r="H14" i="60"/>
  <c r="H12" i="60"/>
  <c r="H36" i="60" s="1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2" i="61"/>
  <c r="J11" i="61"/>
  <c r="J9" i="61"/>
  <c r="J7" i="61"/>
  <c r="F15" i="61"/>
  <c r="F14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4" i="60"/>
  <c r="D34" i="60"/>
  <c r="L8" i="15"/>
  <c r="J8" i="14"/>
  <c r="D21" i="14"/>
  <c r="C12" i="71"/>
  <c r="D22" i="14"/>
  <c r="K15" i="14" s="1"/>
  <c r="G12" i="71"/>
  <c r="E19" i="16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J7" i="19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L6" i="23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19" l="1"/>
  <c r="F24" i="15"/>
  <c r="D24" i="15"/>
  <c r="L6" i="22"/>
  <c r="L6" i="2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<sst xmlns="http://schemas.openxmlformats.org/spreadsheetml/2006/main" count="1294" uniqueCount="161">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</sst>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323550</v>
      </c>
      <c r="C3" s="9">
        <f>+HojaTICA!K4+HojaNICA!M4+HojaREVENTADO!K4+HojaPrimera!I4+HojaHonduras!K4+HojaDominicana!I4+HojaPANA!G4</f>
        <v>42050</v>
      </c>
      <c r="D3" s="9">
        <f>+HojaTICA!N4+HojaNICA!P4+HojaREVENTADO!O4+HojaPrimera!L4+HojaHonduras!N4+HojaDominicana!L4+HojaPANA!J4</f>
        <v>253750</v>
      </c>
      <c r="F3" s="10">
        <f t="shared" ref="F3:F27" si="0">+B3-C3-D3</f>
        <v>27750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192350</v>
      </c>
      <c r="C4" s="9">
        <f>+HojaTICA!K5+HojaNICA!M5+HojaREVENTADO!K5+HojaPrimera!I5+HojaHonduras!K5+HojaDominicana!I5+HojaPANA!G5</f>
        <v>25000</v>
      </c>
      <c r="D4" s="9">
        <f>+HojaTICA!N5+HojaNICA!P5+HojaREVENTADO!O5+HojaPrimera!L5+HojaHonduras!N5+HojaDominicana!L5+HojaPANA!J5</f>
        <v>106250</v>
      </c>
      <c r="F4" s="14">
        <f t="shared" si="0"/>
        <v>61100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443850</v>
      </c>
      <c r="C7" s="9">
        <f>+HojaTICA!K8+HojaNICA!M8+HojaREVENTADO!K8+HojaPrimera!I8+HojaHonduras!K8+HojaDominicana!I8+HojaPANA!G8</f>
        <v>53250</v>
      </c>
      <c r="D7" s="9">
        <f>+HojaTICA!N8+HojaNICA!P8+HojaREVENTADO!O8+HojaPrimera!L8+HojaHonduras!N8+HojaDominicana!L8+HojaPANA!J8</f>
        <v>325750</v>
      </c>
      <c r="F7" s="14">
        <f t="shared" si="0"/>
        <v>64850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839300</v>
      </c>
      <c r="C9" s="9">
        <f>+HojaTICA!K10+HojaNICA!M10+HojaREVENTADO!K10+HojaPrimera!I10+HojaHonduras!K10+HojaDominicana!I10+HojaPANA!G10</f>
        <v>99175</v>
      </c>
      <c r="D9" s="9">
        <f>+HojaTICA!N10+HojaNICA!P10+HojaREVENTADO!O10+HojaPrimera!L10+HojaHonduras!N10+HojaDominicana!L10+HojaPANA!J10</f>
        <v>509000</v>
      </c>
      <c r="F9" s="14">
        <f t="shared" si="0"/>
        <v>231125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37500</v>
      </c>
      <c r="C10" s="9">
        <f>+HojaTICA!K11+HojaNICA!M11+HojaREVENTADO!K11+HojaPrimera!I11+HojaHonduras!K11+HojaDominicana!I11+HojaPANA!G11</f>
        <v>4500</v>
      </c>
      <c r="D10" s="9">
        <f>+HojaTICA!N11+HojaNICA!P11+HojaREVENTADO!O11+HojaPrimera!L11+HojaHonduras!N11+HojaDominicana!L11+HojaPANA!J11</f>
        <v>0</v>
      </c>
      <c r="F10" s="14">
        <f t="shared" si="0"/>
        <v>33000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161700</v>
      </c>
      <c r="C11" s="9">
        <f>+HojaTICA!K12+HojaNICA!M12+HojaREVENTADO!K12+HojaPrimera!I12+HojaHonduras!K12+HojaDominicana!I12+HojaPANA!G12</f>
        <v>19400</v>
      </c>
      <c r="D11" s="9">
        <f>+HojaTICA!N12+HojaNICA!P12+HojaREVENTADO!O12+HojaPrimera!L12+HojaHonduras!N12+HojaDominicana!L12+HojaPANA!J12</f>
        <v>136000</v>
      </c>
      <c r="F11" s="14">
        <f t="shared" si="0"/>
        <v>6300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226700</v>
      </c>
      <c r="C12" s="9">
        <f>+HojaTICA!K13+HojaNICA!M13+HojaREVENTADO!K13+HojaPrimera!I13+HojaHonduras!K13+HojaDominicana!I13+HojaPANA!G13</f>
        <v>27200</v>
      </c>
      <c r="D12" s="9">
        <f>+HojaTICA!N13+HojaNICA!P13+HojaREVENTADO!O13+HojaPrimera!L13+HojaHonduras!N13+HojaDominicana!L13+HojaPANA!J13</f>
        <v>228000</v>
      </c>
      <c r="F12" s="14">
        <f t="shared" si="0"/>
        <v>-28500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69500</v>
      </c>
      <c r="C13" s="9">
        <f>+HojaTICA!K14+HojaNICA!M14+HojaREVENTADO!K14+HojaPrimera!I14+HojaHonduras!K14+HojaDominicana!I14+HojaPANA!G14</f>
        <v>10450</v>
      </c>
      <c r="D13" s="9">
        <f>+HojaTICA!N14+HojaNICA!P14+HojaREVENTADO!O14+HojaPrimera!L14+HojaHonduras!N14+HojaDominicana!L14+HojaPANA!J14</f>
        <v>0</v>
      </c>
      <c r="F13" s="14">
        <f t="shared" si="0"/>
        <v>59050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62600</v>
      </c>
      <c r="C15" s="9">
        <f>+HojaTICA!K16+HojaNICA!M16+HojaREVENTADO!K16+HojaPrimera!I16+HojaHonduras!K16+HojaDominicana!I16+HojaPANA!G16</f>
        <v>7500</v>
      </c>
      <c r="D15" s="9">
        <f>+HojaTICA!N16+HojaNICA!P16+HojaREVENTADO!O16+HojaPrimera!L16+HojaHonduras!N16+HojaDominicana!L16+HojaPANA!J16</f>
        <v>0</v>
      </c>
      <c r="F15" s="14">
        <f t="shared" si="0"/>
        <v>55100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1234550</v>
      </c>
      <c r="C16" s="9">
        <f>+HojaTICA!K17+HojaNICA!M17+HojaREVENTADO!K17+HojaPrimera!I17+HojaHonduras!K17+HojaDominicana!I17+HojaPANA!G17</f>
        <v>146885</v>
      </c>
      <c r="D16" s="9">
        <f>+HojaTICA!N17+HojaNICA!P17+HojaREVENTADO!O17+HojaPrimera!L17+HojaHonduras!N17+HojaDominicana!L17+HojaPANA!J17</f>
        <v>856000</v>
      </c>
      <c r="F16" s="14">
        <f t="shared" si="0"/>
        <v>231665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474900</v>
      </c>
      <c r="C17" s="9">
        <f>+HojaTICA!K18+HojaNICA!M18+HojaREVENTADO!K18+HojaPrimera!I18+HojaHonduras!K18+HojaDominicana!I18+HojaPANA!G18</f>
        <v>56090</v>
      </c>
      <c r="D17" s="9">
        <f>+HojaTICA!N18+HojaNICA!P18+HojaREVENTADO!O18+HojaPrimera!L18+HojaHonduras!N18+HojaDominicana!L18+HojaPANA!J18</f>
        <v>283500</v>
      </c>
      <c r="F17" s="14">
        <f t="shared" si="0"/>
        <v>135310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4066500</v>
      </c>
      <c r="C28" s="17">
        <f t="shared" si="1"/>
        <v>491500</v>
      </c>
      <c r="D28" s="18">
        <f t="shared" si="1"/>
        <v>2698250</v>
      </c>
      <c r="F28" s="20">
        <f>SUM(F3:F27)</f>
        <v>876750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50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64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81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43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57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15</v>
      </c>
      <c r="C19" s="163" t="s">
        <v>160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78</v>
      </c>
      <c r="C20" s="163">
        <v>12</v>
      </c>
      <c r="D20" s="166">
        <v>59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53</v>
      </c>
      <c r="C21" s="164">
        <v>12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64</v>
      </c>
      <c r="D2" s="268"/>
      <c r="E2" s="267">
        <f>DigitaTICA!E2</f>
        <v>26</v>
      </c>
      <c r="F2" s="268"/>
      <c r="G2" s="267">
        <f>DigitaTICA!G2</f>
        <v>32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77200</v>
      </c>
      <c r="D4" s="30">
        <f>IF(Vendedor1!$E$7="",0,Vendedor1!$E$7)</f>
        <v>2500</v>
      </c>
      <c r="E4" s="180">
        <f>IF(Vendedor1!$C$11="",0,Vendedor1!$C$11)</f>
        <v>75500</v>
      </c>
      <c r="F4" s="30">
        <f>IF(Vendedor1!$E$11="",0,Vendedor1!$E$11)</f>
        <v>0</v>
      </c>
      <c r="G4" s="180">
        <f>IF(Vendedor1!$C$15="",0,Vendedor1!$C$15)</f>
        <v>101100</v>
      </c>
      <c r="H4" s="30">
        <f>IF(Vendedor1!$E$15="",0,Vendedor1!$E$15)</f>
        <v>250</v>
      </c>
      <c r="J4" s="42">
        <f t="shared" ref="J4:J7" si="0">+C4+E4+G4</f>
        <v>253800</v>
      </c>
      <c r="K4" s="41">
        <f>MROUND(J4*Vendedor1!J$9,50)</f>
        <v>33000</v>
      </c>
      <c r="L4" s="42">
        <f t="shared" ref="L4:L7" si="1">+D4+F4+H4</f>
        <v>2750</v>
      </c>
      <c r="M4" s="42">
        <f t="shared" ref="M4:M7" si="2">+L4*85</f>
        <v>233750</v>
      </c>
      <c r="N4" s="42">
        <f>Vendedor1!$F$7+Vendedor1!$F$11+Vendedor1!$F$15</f>
        <v>233750</v>
      </c>
      <c r="P4" s="42">
        <f t="shared" ref="P4:P7" si="3">+J4-K4-N4</f>
        <v>-12950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49150</v>
      </c>
      <c r="D5" s="30">
        <f>IF(Vendedor2!$E$7="",0,Vendedor2!$E$7)</f>
        <v>1000</v>
      </c>
      <c r="E5" s="180">
        <f>IF(Vendedor2!$C$11="",0,Vendedor2!$C$11)</f>
        <v>50600</v>
      </c>
      <c r="F5" s="30">
        <f>IF(Vendedor2!$E$11="",0,Vendedor2!$E$11)</f>
        <v>0</v>
      </c>
      <c r="G5" s="180">
        <f>IF(Vendedor2!$C$15="",0,Vendedor2!$C$15)</f>
        <v>51800</v>
      </c>
      <c r="H5" s="30">
        <f>IF(Vendedor2!$E$15="",0,Vendedor2!$E$15)</f>
        <v>250</v>
      </c>
      <c r="J5" s="42">
        <f t="shared" si="0"/>
        <v>151550</v>
      </c>
      <c r="K5" s="41">
        <f>MROUND(J5*Vendedor2!J$9,50)</f>
        <v>19700</v>
      </c>
      <c r="L5" s="42">
        <f t="shared" si="1"/>
        <v>1250</v>
      </c>
      <c r="M5" s="42">
        <f t="shared" si="2"/>
        <v>106250</v>
      </c>
      <c r="N5" s="42">
        <f>Vendedor2!$F$7+Vendedor2!$F$11+Vendedor2!$F$15</f>
        <v>106250</v>
      </c>
      <c r="P5" s="42">
        <f t="shared" si="3"/>
        <v>25600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77000</v>
      </c>
      <c r="D8" s="30">
        <f>IF(Vendedor5!$E$7="",0,Vendedor5!$E$7)</f>
        <v>1600</v>
      </c>
      <c r="E8" s="180">
        <f>IF(Vendedor5!$C$11="",0,Vendedor5!$C$11)</f>
        <v>49150</v>
      </c>
      <c r="F8" s="30">
        <f>IF(Vendedor5!$E$11="",0,Vendedor5!$E$11)</f>
        <v>0</v>
      </c>
      <c r="G8" s="180">
        <f>IF(Vendedor5!$C$15="",0,Vendedor5!$C$15)</f>
        <v>58450</v>
      </c>
      <c r="H8" s="30">
        <f>IF(Vendedor5!$E$15="",0,Vendedor5!$E$15)</f>
        <v>350</v>
      </c>
      <c r="J8" s="42">
        <f t="shared" ref="J8" si="4">+C8+E8+G8</f>
        <v>184600</v>
      </c>
      <c r="K8" s="41">
        <f>MROUND(J8*Vendedor5!J$11,50)</f>
        <v>22150</v>
      </c>
      <c r="L8" s="42">
        <f t="shared" ref="L8" si="5">+D8+F8+H8</f>
        <v>1950</v>
      </c>
      <c r="M8" s="42">
        <f t="shared" ref="M8" si="6">+L8*85</f>
        <v>165750</v>
      </c>
      <c r="N8" s="42">
        <f>Vendedor5!$F$7+Vendedor5!$F$11+Vendedor5!$F$15</f>
        <v>165750</v>
      </c>
      <c r="P8" s="42">
        <f t="shared" ref="P8" si="7">+J8-K8-N8</f>
        <v>-3300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177850</v>
      </c>
      <c r="D10" s="30">
        <f>IF(Vendedor7!$E$7="",0,Vendedor7!$E$7)</f>
        <v>1000</v>
      </c>
      <c r="E10" s="180">
        <f>IF(Vendedor7!$C$11="",0,Vendedor7!$C$11)</f>
        <v>71300</v>
      </c>
      <c r="F10" s="30">
        <f>IF(Vendedor7!$E$11="",0,Vendedor7!$E$11)</f>
        <v>0</v>
      </c>
      <c r="G10" s="180">
        <f>IF(Vendedor7!$C$15="",0,Vendedor7!$C$15)</f>
        <v>135900</v>
      </c>
      <c r="H10" s="30">
        <f>IF(Vendedor7!$E$15="",0,Vendedor7!$E$15)</f>
        <v>300</v>
      </c>
      <c r="J10" s="42">
        <f t="shared" si="8"/>
        <v>385050</v>
      </c>
      <c r="K10" s="41">
        <f>MROUND(J10*Vendedor7!J$14,50)</f>
        <v>46200</v>
      </c>
      <c r="L10" s="42">
        <f t="shared" si="9"/>
        <v>1300</v>
      </c>
      <c r="M10" s="42">
        <f t="shared" si="10"/>
        <v>110500</v>
      </c>
      <c r="N10" s="42">
        <f>Vendedor7!$F$7+Vendedor7!$F$11+Vendedor7!$F$15</f>
        <v>110500</v>
      </c>
      <c r="P10" s="42">
        <f t="shared" si="11"/>
        <v>228350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33000</v>
      </c>
      <c r="H11" s="30">
        <f>IF(Vendedor8!$E$15="",0,Vendedor8!$E$15)</f>
        <v>0</v>
      </c>
      <c r="J11" s="42">
        <f t="shared" si="8"/>
        <v>37500</v>
      </c>
      <c r="K11" s="41">
        <f>MROUND(J11*Vendedor8!J$11,50)</f>
        <v>4500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33000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31400</v>
      </c>
      <c r="D12" s="30">
        <f>IF(Vendedor9!$E$7="",0,Vendedor9!$E$7)</f>
        <v>250</v>
      </c>
      <c r="E12" s="180">
        <f>IF(Vendedor9!$C$11="",0,Vendedor9!$C$11)</f>
        <v>21400</v>
      </c>
      <c r="F12" s="30">
        <f>IF(Vendedor9!$E$11="",0,Vendedor9!$E$11)</f>
        <v>500</v>
      </c>
      <c r="G12" s="180">
        <f>IF(Vendedor9!$C$15="",0,Vendedor9!$C$15)</f>
        <v>34250</v>
      </c>
      <c r="H12" s="30">
        <f>IF(Vendedor9!$E$15="",0,Vendedor9!$E$15)</f>
        <v>0</v>
      </c>
      <c r="J12" s="42">
        <f t="shared" si="8"/>
        <v>87050</v>
      </c>
      <c r="K12" s="41">
        <f>MROUND(J12*Vendedor9!J$11,50)</f>
        <v>10450</v>
      </c>
      <c r="L12" s="42">
        <f t="shared" si="9"/>
        <v>750</v>
      </c>
      <c r="M12" s="42">
        <f t="shared" si="10"/>
        <v>63750</v>
      </c>
      <c r="N12" s="42">
        <f>Vendedor9!$F$7+Vendedor9!$F$11+Vendedor9!$F$15</f>
        <v>63750</v>
      </c>
      <c r="P12" s="42">
        <f t="shared" si="11"/>
        <v>12850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42150</v>
      </c>
      <c r="D13" s="30">
        <f>IF(Vendedor10!$E$7="",0,Vendedor10!$E$7)</f>
        <v>200</v>
      </c>
      <c r="E13" s="180">
        <f>IF(Vendedor10!$C$11="",0,Vendedor10!$C$11)</f>
        <v>35750</v>
      </c>
      <c r="F13" s="30">
        <f>IF(Vendedor10!$E$11="",0,Vendedor10!$E$11)</f>
        <v>700</v>
      </c>
      <c r="G13" s="180">
        <f>IF(Vendedor10!$C$15="",0,Vendedor10!$C$15)</f>
        <v>53750</v>
      </c>
      <c r="H13" s="30">
        <f>IF(Vendedor10!$E$15="",0,Vendedor10!$E$15)</f>
        <v>700</v>
      </c>
      <c r="J13" s="42">
        <f t="shared" si="8"/>
        <v>131650</v>
      </c>
      <c r="K13" s="41">
        <f>MROUND(J13*Vendedor10!J$9,50)</f>
        <v>15800</v>
      </c>
      <c r="L13" s="42">
        <f t="shared" si="9"/>
        <v>1600</v>
      </c>
      <c r="M13" s="42">
        <f t="shared" si="10"/>
        <v>136000</v>
      </c>
      <c r="N13" s="42">
        <f>Vendedor10!$F$7+Vendedor10!$F$11+Vendedor10!$F$15</f>
        <v>136000</v>
      </c>
      <c r="P13" s="42">
        <f t="shared" si="11"/>
        <v>-20150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31600</v>
      </c>
      <c r="D14" s="30">
        <f>IF(Vendedor11!$E$7="",0,Vendedor11!$E$7)</f>
        <v>0</v>
      </c>
      <c r="E14" s="180">
        <f>IF(Vendedor11!$C$11="",0,Vendedor11!$C$11)</f>
        <v>5300</v>
      </c>
      <c r="F14" s="30">
        <f>IF(Vendedor11!$E$11="",0,Vendedor11!$E$11)</f>
        <v>0</v>
      </c>
      <c r="G14" s="180">
        <f>IF(Vendedor11!$C$15="",0,Vendedor11!$C$15)</f>
        <v>32600</v>
      </c>
      <c r="H14" s="30">
        <f>IF(Vendedor11!$E$15="",0,Vendedor11!$E$15)</f>
        <v>0</v>
      </c>
      <c r="J14" s="42">
        <f t="shared" si="8"/>
        <v>69500</v>
      </c>
      <c r="K14" s="41">
        <f>MROUND(J14*Vendedor11!J$9,50)</f>
        <v>10450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59050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11900</v>
      </c>
      <c r="D16" s="30">
        <f>IF(Vendedor13!$E$7="",0,Vendedor13!$E$7)</f>
        <v>0</v>
      </c>
      <c r="E16" s="180">
        <f>IF(Vendedor13!$C$11="",0,Vendedor13!$C$11)</f>
        <v>9000</v>
      </c>
      <c r="F16" s="30">
        <f>IF(Vendedor13!$E$11="",0,Vendedor13!$E$11)</f>
        <v>0</v>
      </c>
      <c r="G16" s="180">
        <f>IF(Vendedor13!$C$15="",0,Vendedor13!$C$15)</f>
        <v>23400</v>
      </c>
      <c r="H16" s="30">
        <f>IF(Vendedor13!$E$15="",0,Vendedor13!$E$15)</f>
        <v>0</v>
      </c>
      <c r="J16" s="42">
        <f t="shared" si="8"/>
        <v>44300</v>
      </c>
      <c r="K16" s="41">
        <f>MROUND(J16*Vendedor13!J$11,50)</f>
        <v>5300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39000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151450</v>
      </c>
      <c r="D17" s="30">
        <f>IF(Vendedor14!$E$7="",0,Vendedor14!$E$7)</f>
        <v>1750</v>
      </c>
      <c r="E17" s="180">
        <f>IF(Vendedor14!$C$11="",0,Vendedor14!$C$11)</f>
        <v>109700</v>
      </c>
      <c r="F17" s="30">
        <f>IF(Vendedor14!$E$11="",0,Vendedor14!$E$11)</f>
        <v>800</v>
      </c>
      <c r="G17" s="180">
        <f>IF(Vendedor14!$C$15="",0,Vendedor14!$C$15)</f>
        <v>200800</v>
      </c>
      <c r="H17" s="30">
        <f>IF(Vendedor14!$E$15="",0,Vendedor14!$E$15)</f>
        <v>1000</v>
      </c>
      <c r="J17" s="42">
        <f t="shared" si="8"/>
        <v>461950</v>
      </c>
      <c r="K17" s="41">
        <f>MROUND(J17*Vendedor14!J$15,50)</f>
        <v>55450</v>
      </c>
      <c r="L17" s="42">
        <f t="shared" si="9"/>
        <v>3550</v>
      </c>
      <c r="M17" s="42">
        <f t="shared" si="10"/>
        <v>301750</v>
      </c>
      <c r="N17" s="42">
        <f>Vendedor14!$F$7+Vendedor14!$F$11+Vendedor14!$F$15</f>
        <v>301750</v>
      </c>
      <c r="P17" s="42">
        <f t="shared" si="11"/>
        <v>104750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54150</v>
      </c>
      <c r="D18" s="30">
        <f>IF(Vendedor15!$E$7="",0,Vendedor15!$E$7)</f>
        <v>200</v>
      </c>
      <c r="E18" s="180">
        <f>IF(Vendedor15!$C$11="",0,Vendedor15!$C$11)</f>
        <v>40600</v>
      </c>
      <c r="F18" s="30">
        <f>IF(Vendedor15!$E$11="",0,Vendedor15!$E$11)</f>
        <v>150</v>
      </c>
      <c r="G18" s="180">
        <f>IF(Vendedor15!$C$15="",0,Vendedor15!$C$15)</f>
        <v>71650</v>
      </c>
      <c r="H18" s="30">
        <f>IF(Vendedor15!$E$15="",0,Vendedor15!$E$15)</f>
        <v>600</v>
      </c>
      <c r="J18" s="42">
        <f t="shared" ref="J18" si="12">+C18+E18+G18</f>
        <v>166400</v>
      </c>
      <c r="K18" s="41">
        <f>MROUND(J18*Vendedor15!J$15,50)</f>
        <v>19950</v>
      </c>
      <c r="L18" s="42">
        <f t="shared" ref="L18" si="13">+D18+F18+H18</f>
        <v>950</v>
      </c>
      <c r="M18" s="42">
        <f t="shared" ref="M18" si="14">+L18*85</f>
        <v>80750</v>
      </c>
      <c r="N18" s="42">
        <f>Vendedor15!$F$7+Vendedor15!$F$11+Vendedor15!$F$15</f>
        <v>80750</v>
      </c>
      <c r="P18" s="42">
        <f t="shared" ref="P18" si="15">+J18-K18-N18</f>
        <v>65700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708350</v>
      </c>
      <c r="D32" s="44">
        <f t="shared" si="16"/>
        <v>8500</v>
      </c>
      <c r="E32" s="43">
        <f t="shared" si="16"/>
        <v>468300</v>
      </c>
      <c r="F32" s="44">
        <f t="shared" si="16"/>
        <v>2150</v>
      </c>
      <c r="G32" s="43">
        <f t="shared" si="16"/>
        <v>796700</v>
      </c>
      <c r="H32" s="44">
        <f t="shared" si="16"/>
        <v>3450</v>
      </c>
      <c r="J32" s="95">
        <f>SUM(J4:J31)</f>
        <v>1973350</v>
      </c>
      <c r="K32" s="45">
        <f>SUM(K7:K31)</f>
        <v>190250</v>
      </c>
      <c r="L32" s="95">
        <f>SUM(L4:L31)</f>
        <v>14100</v>
      </c>
      <c r="M32" s="95">
        <f>SUM(M4:M31)</f>
        <v>1198500</v>
      </c>
      <c r="N32" s="95">
        <f>SUM(N4:N31)</f>
        <v>1198500</v>
      </c>
      <c r="P32" s="79">
        <f>SUM(P4:P31)</f>
        <v>531900</v>
      </c>
    </row>
    <row r="33" spans="3:13" x14ac:dyDescent="0.35">
      <c r="D33" s="99">
        <f>+D32*85</f>
        <v>722500</v>
      </c>
      <c r="F33" s="99">
        <f>+F32*85</f>
        <v>182750</v>
      </c>
      <c r="H33" s="99">
        <f>+H32*85</f>
        <v>293250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1973350</v>
      </c>
      <c r="E36" s="43">
        <f>+D36-J4-J5-J6</f>
        <v>1568000</v>
      </c>
      <c r="G36" s="101"/>
    </row>
    <row r="37" spans="3:13" x14ac:dyDescent="0.35">
      <c r="C37" s="47" t="s">
        <v>33</v>
      </c>
      <c r="D37" s="48">
        <f>D36*13%</f>
        <v>256535.5</v>
      </c>
      <c r="E37">
        <f>+D37-K4-K5-K6</f>
        <v>203835.5</v>
      </c>
      <c r="G37" s="100"/>
      <c r="H37" s="100"/>
    </row>
    <row r="38" spans="3:13" ht="15" thickBot="1" x14ac:dyDescent="0.4">
      <c r="C38" s="47" t="s">
        <v>30</v>
      </c>
      <c r="D38" s="30">
        <f>M32</f>
        <v>1198500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518314.5</v>
      </c>
      <c r="F39" s="98">
        <f>+P32-D39</f>
        <v>13585.5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518314.5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50</v>
      </c>
      <c r="D2" s="268"/>
      <c r="E2" s="267">
        <f>DigitaNICA!E2</f>
        <v>81</v>
      </c>
      <c r="F2" s="268"/>
      <c r="G2" s="267">
        <f>DigitaNICA!G2</f>
        <v>43</v>
      </c>
      <c r="H2" s="268"/>
      <c r="I2" s="267">
        <f>DigitaNICA!I2</f>
        <v>57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27100</v>
      </c>
      <c r="D4" s="78">
        <f>IF(Vendedor1!$E$5="",0,Vendedor1!$E$5)</f>
        <v>0</v>
      </c>
      <c r="E4" s="189">
        <f>IF(Vendedor1!$C$9="",0,Vendedor1!$C$9)</f>
        <v>27800</v>
      </c>
      <c r="F4" s="78">
        <f>IF(Vendedor1!$E$9="",0,Vendedor1!$E$9)</f>
        <v>0</v>
      </c>
      <c r="G4" s="189">
        <f>IF(Vendedor1!$C$13="",0,Vendedor1!$C$13)</f>
        <v>3400</v>
      </c>
      <c r="H4" s="78">
        <f>IF(Vendedor1!$E$13="",0,Vendedor1!$E$13)</f>
        <v>0</v>
      </c>
      <c r="I4" s="189">
        <f>IF(Vendedor1!$C$17="",0,Vendedor1!$C$17)</f>
        <v>2600</v>
      </c>
      <c r="J4" s="78">
        <f>IF(Vendedor1!$E$17="",0,Vendedor1!$E$17)</f>
        <v>0</v>
      </c>
      <c r="L4" s="42">
        <f t="shared" ref="L4:L7" si="0">C4+E4+G4+I4</f>
        <v>60900</v>
      </c>
      <c r="M4" s="41">
        <f>MROUND(L4*Vendedor1!J$10,50)</f>
        <v>7900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53000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12300</v>
      </c>
      <c r="D5" s="30">
        <f>IF(Vendedor2!$E$5="",0,Vendedor2!$E$5)</f>
        <v>0</v>
      </c>
      <c r="E5" s="180">
        <f>IF(Vendedor2!$C$9="",0,Vendedor2!$C$9)</f>
        <v>17900</v>
      </c>
      <c r="F5" s="30">
        <f>IF(Vendedor2!$E$9="",0,Vendedor2!$E$9)</f>
        <v>0</v>
      </c>
      <c r="G5" s="180">
        <f>IF(Vendedor2!$C$13="",0,Vendedor2!$C$13)</f>
        <v>6100</v>
      </c>
      <c r="H5" s="30">
        <f>IF(Vendedor2!$E$13="",0,Vendedor2!$E$13)</f>
        <v>0</v>
      </c>
      <c r="I5" s="180">
        <f>IF(Vendedor2!$C$17="",0,Vendedor2!$C$17)</f>
        <v>700</v>
      </c>
      <c r="J5" s="30">
        <f>IF(Vendedor2!$E$17="",0,Vendedor2!$E$17)</f>
        <v>0</v>
      </c>
      <c r="L5" s="42">
        <f t="shared" si="0"/>
        <v>37000</v>
      </c>
      <c r="M5" s="41">
        <f>MROUND(L5*Vendedor2!J$10,50)</f>
        <v>4800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32200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80000</v>
      </c>
      <c r="D8" s="30">
        <f>IF(Vendedor5!$E$5="",0,Vendedor5!$E$5)</f>
        <v>1050</v>
      </c>
      <c r="E8" s="180">
        <f>IF(Vendedor5!$C$9="",0,Vendedor5!$C$9)</f>
        <v>51350</v>
      </c>
      <c r="F8" s="30">
        <f>IF(Vendedor5!$E$9="",0,Vendedor5!$E$9)</f>
        <v>250</v>
      </c>
      <c r="G8" s="180">
        <f>IF(Vendedor5!$C$13="",0,Vendedor5!$C$13)</f>
        <v>23400</v>
      </c>
      <c r="H8" s="30">
        <f>IF(Vendedor5!$E$13="",0,Vendedor5!$E$13)</f>
        <v>0</v>
      </c>
      <c r="I8" s="180">
        <f>IF(Vendedor5!$C$17="",0,Vendedor5!$C$17)</f>
        <v>57650</v>
      </c>
      <c r="J8" s="30">
        <f>IF(Vendedor5!$E$17="",0,Vendedor5!$E$17)</f>
        <v>250</v>
      </c>
      <c r="L8" s="42">
        <f t="shared" ref="L8" si="4">C8+E8+G8+I8</f>
        <v>212400</v>
      </c>
      <c r="M8" s="41">
        <f>MROUND(L8*Vendedor5!J$12,50)</f>
        <v>25500</v>
      </c>
      <c r="N8" s="42">
        <f t="shared" ref="N8" si="5">D8+F8+H8+J8</f>
        <v>1550</v>
      </c>
      <c r="O8" s="41">
        <f t="shared" si="3"/>
        <v>131750</v>
      </c>
      <c r="P8" s="42">
        <f>Vendedor5!$F$5+Vendedor5!$F$9+Vendedor5!$F$13+Vendedor5!$F$17</f>
        <v>124000</v>
      </c>
      <c r="Q8">
        <v>17</v>
      </c>
      <c r="R8" s="41">
        <f t="shared" ref="R8" si="6">+L8-M8-O8</f>
        <v>55150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66600</v>
      </c>
      <c r="D10" s="30">
        <f>IF(Vendedor7!$E$5="",0,Vendedor7!$E$5)</f>
        <v>800</v>
      </c>
      <c r="E10" s="180">
        <f>IF(Vendedor7!$C$9="",0,Vendedor7!$C$9)</f>
        <v>73150</v>
      </c>
      <c r="F10" s="30">
        <f>IF(Vendedor7!$E$9="",0,Vendedor7!$E$9)</f>
        <v>0</v>
      </c>
      <c r="G10" s="180">
        <f>IF(Vendedor7!$C$13="",0,Vendedor7!$C$13)</f>
        <v>65050</v>
      </c>
      <c r="H10" s="30">
        <f>IF(Vendedor7!$E$13="",0,Vendedor7!$E$13)</f>
        <v>100</v>
      </c>
      <c r="I10" s="180">
        <f>IF(Vendedor7!$C$17="",0,Vendedor7!$C$17)</f>
        <v>106400</v>
      </c>
      <c r="J10" s="30">
        <f>IF(Vendedor7!$E$17="",0,Vendedor7!$E$17)</f>
        <v>200</v>
      </c>
      <c r="L10" s="42">
        <f t="shared" si="7"/>
        <v>311200</v>
      </c>
      <c r="M10" s="41">
        <f>MROUND(L10*Vendedor7!J$15,50)</f>
        <v>37350</v>
      </c>
      <c r="N10" s="42">
        <f t="shared" ref="N10:N27" si="9">D10+F10+H10+J10</f>
        <v>1100</v>
      </c>
      <c r="O10" s="41">
        <f t="shared" si="3"/>
        <v>93500</v>
      </c>
      <c r="P10" s="42">
        <f>Vendedor7!$F$5+Vendedor7!$F$9+Vendedor7!$F$13+Vendedor7!$F$17</f>
        <v>93500</v>
      </c>
      <c r="R10" s="41">
        <f t="shared" si="8"/>
        <v>180350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36700</v>
      </c>
      <c r="D12" s="30">
        <f>IF(Vendedor9!$E$5="",0,Vendedor9!$E$5)</f>
        <v>450</v>
      </c>
      <c r="E12" s="180">
        <f>IF(Vendedor9!$C$9="",0,Vendedor9!$C$9)</f>
        <v>5600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42300</v>
      </c>
      <c r="M12" s="41">
        <f>MROUND(L12*Vendedor9!J$12,50)</f>
        <v>5100</v>
      </c>
      <c r="N12" s="42">
        <f t="shared" si="9"/>
        <v>450</v>
      </c>
      <c r="O12" s="41">
        <f t="shared" si="3"/>
        <v>38250</v>
      </c>
      <c r="P12" s="42">
        <f>Vendedor9!$F$5+Vendedor9!$F$9+Vendedor9!$F$13+Vendedor9!$F$17</f>
        <v>38250</v>
      </c>
      <c r="R12" s="41">
        <f t="shared" si="8"/>
        <v>-1050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43300</v>
      </c>
      <c r="D13" s="30">
        <f>IF(Vendedor10!$E$5="",0,Vendedor10!$E$5)</f>
        <v>450</v>
      </c>
      <c r="E13" s="180">
        <f>IF(Vendedor10!$C$9="",0,Vendedor10!$C$9)</f>
        <v>35900</v>
      </c>
      <c r="F13" s="30">
        <f>IF(Vendedor10!$E$9="",0,Vendedor10!$E$9)</f>
        <v>600</v>
      </c>
      <c r="G13" s="180">
        <f>IF(Vendedor10!$C$13="",0,Vendedor10!$C$13)</f>
        <v>15350</v>
      </c>
      <c r="H13" s="30">
        <f>IF(Vendedor10!$E$13="",0,Vendedor10!$E$13)</f>
        <v>0</v>
      </c>
      <c r="I13" s="180">
        <f>IF(Vendedor10!$C$17="",0,Vendedor10!$C$17)</f>
        <v>500</v>
      </c>
      <c r="J13" s="30">
        <f>IF(Vendedor10!$E$17="",0,Vendedor10!$E$17)</f>
        <v>100</v>
      </c>
      <c r="L13" s="42">
        <f t="shared" si="7"/>
        <v>95050</v>
      </c>
      <c r="M13" s="41">
        <f>MROUND(L13*Vendedor10!J$10,50)</f>
        <v>11400</v>
      </c>
      <c r="N13" s="42">
        <f t="shared" si="9"/>
        <v>1150</v>
      </c>
      <c r="O13" s="41">
        <f t="shared" si="3"/>
        <v>97750</v>
      </c>
      <c r="P13" s="42">
        <f>Vendedor10!$F$5+Vendedor10!$F$9+Vendedor10!$F$13+Vendedor10!$F$17</f>
        <v>92000</v>
      </c>
      <c r="R13" s="41">
        <f t="shared" si="8"/>
        <v>-14100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5000</v>
      </c>
      <c r="D16" s="30">
        <f>IF(Vendedor13!$E$5="",0,Vendedor13!$E$5)</f>
        <v>0</v>
      </c>
      <c r="E16" s="180">
        <f>IF(Vendedor13!$C$9="",0,Vendedor13!$C$9)</f>
        <v>2400</v>
      </c>
      <c r="F16" s="30">
        <f>IF(Vendedor13!$E$9="",0,Vendedor13!$E$9)</f>
        <v>0</v>
      </c>
      <c r="G16" s="180">
        <f>IF(Vendedor13!$C$13="",0,Vendedor13!$C$13)</f>
        <v>4700</v>
      </c>
      <c r="H16" s="30">
        <f>IF(Vendedor13!$E$13="",0,Vendedor13!$E$13)</f>
        <v>0</v>
      </c>
      <c r="I16" s="180">
        <f>IF(Vendedor13!$C$17="",0,Vendedor13!$C$17)</f>
        <v>5200</v>
      </c>
      <c r="J16" s="30">
        <f>IF(Vendedor13!$E$17="",0,Vendedor13!$E$17)</f>
        <v>0</v>
      </c>
      <c r="L16" s="42">
        <f t="shared" si="7"/>
        <v>17300</v>
      </c>
      <c r="M16" s="41">
        <f>MROUND(L16*Vendedor13!J$12,50)</f>
        <v>2100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15200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139150</v>
      </c>
      <c r="D17" s="30">
        <f>IF(Vendedor14!$E$5="",0,Vendedor14!$E$5)</f>
        <v>1700</v>
      </c>
      <c r="E17" s="180">
        <f>IF(Vendedor14!$C$9="",0,Vendedor14!$C$9)</f>
        <v>123900</v>
      </c>
      <c r="F17" s="30">
        <f>IF(Vendedor14!$E$9="",0,Vendedor14!$E$9)</f>
        <v>700</v>
      </c>
      <c r="G17" s="180">
        <f>IF(Vendedor14!$C$13="",0,Vendedor14!$C$13)</f>
        <v>59450</v>
      </c>
      <c r="H17" s="30">
        <f>IF(Vendedor14!$E$13="",0,Vendedor14!$E$13)</f>
        <v>0</v>
      </c>
      <c r="I17" s="180">
        <f>IF(Vendedor14!$C$17="",0,Vendedor14!$C$17)</f>
        <v>169350</v>
      </c>
      <c r="J17" s="30">
        <f>IF(Vendedor14!$E$17="",0,Vendedor14!$E$17)</f>
        <v>200</v>
      </c>
      <c r="L17" s="42">
        <f>C17+E17+G17+I17</f>
        <v>491850</v>
      </c>
      <c r="M17" s="41">
        <f>MROUND(L17*Vendedor14!J$16,50)</f>
        <v>59000</v>
      </c>
      <c r="N17" s="42">
        <f t="shared" si="9"/>
        <v>2600</v>
      </c>
      <c r="O17" s="41">
        <f t="shared" si="3"/>
        <v>221000</v>
      </c>
      <c r="P17" s="42">
        <f>Vendedor14!$F$5+Vendedor14!$F$9+Vendedor14!$F$13+Vendedor14!$F$17</f>
        <v>221000</v>
      </c>
      <c r="R17" s="41">
        <f t="shared" si="8"/>
        <v>211850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43700</v>
      </c>
      <c r="D18" s="30">
        <f>IF(Vendedor15!$E$5="",0,Vendedor15!$E$5)</f>
        <v>400</v>
      </c>
      <c r="E18" s="180">
        <f>IF(Vendedor15!$C$9="",0,Vendedor15!$C$9)</f>
        <v>48200</v>
      </c>
      <c r="F18" s="30">
        <f>IF(Vendedor15!$E$9="",0,Vendedor15!$E$9)</f>
        <v>150</v>
      </c>
      <c r="G18" s="180">
        <f>IF(Vendedor15!$C$13="",0,Vendedor15!$C$13)</f>
        <v>35150</v>
      </c>
      <c r="H18" s="30">
        <f>IF(Vendedor15!$E$13="",0,Vendedor15!$E$13)</f>
        <v>0</v>
      </c>
      <c r="I18" s="180">
        <f>IF(Vendedor15!$C$17="",0,Vendedor15!$C$17)</f>
        <v>20500</v>
      </c>
      <c r="J18" s="30">
        <f>IF(Vendedor15!$E$17="",0,Vendedor15!$E$17)</f>
        <v>0</v>
      </c>
      <c r="L18" s="42">
        <f t="shared" ref="L18:L27" si="10">C18+E18+G18+I18</f>
        <v>147550</v>
      </c>
      <c r="M18" s="41">
        <f>MROUND(L18*Vendedor15!J$16,50)</f>
        <v>17700</v>
      </c>
      <c r="N18" s="42">
        <f t="shared" si="9"/>
        <v>550</v>
      </c>
      <c r="O18" s="41">
        <f t="shared" si="3"/>
        <v>46750</v>
      </c>
      <c r="P18" s="42">
        <f>Vendedor15!$F$5+Vendedor15!$F$9+Vendedor15!$F$13+Vendedor15!$F$17</f>
        <v>46750</v>
      </c>
      <c r="R18" s="41">
        <f t="shared" si="8"/>
        <v>83100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453850</v>
      </c>
      <c r="D32" s="44">
        <f t="shared" si="14"/>
        <v>4850</v>
      </c>
      <c r="E32" s="43">
        <f t="shared" si="14"/>
        <v>386200</v>
      </c>
      <c r="F32" s="44">
        <f t="shared" si="14"/>
        <v>1700</v>
      </c>
      <c r="G32" s="43">
        <f t="shared" si="14"/>
        <v>212600</v>
      </c>
      <c r="H32" s="44">
        <f t="shared" si="14"/>
        <v>100</v>
      </c>
      <c r="I32" s="43">
        <f t="shared" si="14"/>
        <v>362900</v>
      </c>
      <c r="J32" s="44">
        <f t="shared" si="14"/>
        <v>750</v>
      </c>
      <c r="L32" s="45">
        <f>SUM(L4:L31)</f>
        <v>1415550</v>
      </c>
      <c r="M32" s="45">
        <f>SUM(M7:M31)</f>
        <v>158150</v>
      </c>
      <c r="N32" s="95">
        <f>SUM(N4:N31)</f>
        <v>7400</v>
      </c>
      <c r="O32" s="46">
        <f>SUM(O4:O31)</f>
        <v>629000</v>
      </c>
      <c r="P32" s="140">
        <f>SUM(P4:P31)</f>
        <v>615500</v>
      </c>
      <c r="R32" s="79">
        <f>SUM(R4:R31)</f>
        <v>615700</v>
      </c>
    </row>
    <row r="33" spans="3:15" x14ac:dyDescent="0.35">
      <c r="D33" s="120">
        <f>+D32*85</f>
        <v>412250</v>
      </c>
      <c r="F33" s="120">
        <f>+F32*85</f>
        <v>144500</v>
      </c>
      <c r="H33" s="120">
        <f>+H32*85</f>
        <v>8500</v>
      </c>
      <c r="J33" s="120">
        <f>+J32*85</f>
        <v>63750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1415550</v>
      </c>
      <c r="E36" s="43">
        <f>+D36-L4-L5-L6</f>
        <v>1317650</v>
      </c>
    </row>
    <row r="37" spans="3:15" x14ac:dyDescent="0.35">
      <c r="C37" s="47" t="s">
        <v>33</v>
      </c>
      <c r="D37" s="48">
        <f>D36*13%</f>
        <v>184021.5</v>
      </c>
      <c r="E37">
        <f>+D37-M4-M5-M6</f>
        <v>171321.5</v>
      </c>
    </row>
    <row r="38" spans="3:15" x14ac:dyDescent="0.35">
      <c r="C38" s="47" t="s">
        <v>30</v>
      </c>
      <c r="D38" s="30">
        <f>SUM(O4:O27)</f>
        <v>629000</v>
      </c>
      <c r="G38" s="100"/>
    </row>
    <row r="39" spans="3:15" ht="15" thickBot="1" x14ac:dyDescent="0.4">
      <c r="C39" s="49" t="s">
        <v>4</v>
      </c>
      <c r="D39" s="80">
        <f>+D36-D37-D38</f>
        <v>602528.5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602528.5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64 Roja</v>
      </c>
      <c r="D2" s="268"/>
      <c r="E2" s="267" t="str">
        <f>IF(E33=0,"",CONCATENATE(PREMIOS!$B11," ",PREMIOS!$B12))</f>
        <v>26 Roja</v>
      </c>
      <c r="F2" s="268"/>
      <c r="G2" s="267" t="str">
        <f>IF(G33=0,"",CONCATENATE(PREMIOS!$B15," ",PREMIOS!$B16))</f>
        <v>32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20000</v>
      </c>
      <c r="D10" s="30">
        <f>IF(Vendedor7!$E$8="",0,Vendedor7!$E$8)</f>
        <v>250</v>
      </c>
      <c r="E10" s="180">
        <f>IF(Vendedor7!$C$12="",0,Vendedor7!$C$12)</f>
        <v>25200</v>
      </c>
      <c r="F10" s="30">
        <f>IF(Vendedor7!$E$12="",0,Vendedor7!$E$12)</f>
        <v>0</v>
      </c>
      <c r="G10" s="180">
        <f>IF(Vendedor7!$C$16="",0,Vendedor7!$C$16)</f>
        <v>32050</v>
      </c>
      <c r="H10" s="30">
        <f>IF(Vendedor7!$E$16="",0,Vendedor7!$E$16)</f>
        <v>0</v>
      </c>
      <c r="J10" s="42">
        <f t="shared" si="1"/>
        <v>77250</v>
      </c>
      <c r="K10" s="41">
        <f>J10*Vendedor7!J$16</f>
        <v>7725</v>
      </c>
      <c r="L10" s="42">
        <f t="shared" si="2"/>
        <v>250</v>
      </c>
      <c r="M10" s="42">
        <f t="shared" si="3"/>
        <v>250</v>
      </c>
      <c r="N10" s="42">
        <f t="shared" si="0"/>
        <v>55000</v>
      </c>
      <c r="O10" s="42">
        <f>Vendedor7!$F$8+Vendedor7!$F$12+Vendedor7!$F$16</f>
        <v>50000</v>
      </c>
      <c r="Q10" s="42">
        <f t="shared" si="4"/>
        <v>19525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500</v>
      </c>
      <c r="K12" s="41">
        <f>J12*Vendedor9!J$13</f>
        <v>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20350</v>
      </c>
      <c r="D17" s="30">
        <f>IF(Vendedor14!$E$8="",0,Vendedor14!$E$8)</f>
        <v>200</v>
      </c>
      <c r="E17" s="180">
        <f>IF(Vendedor14!$C$12="",0,Vendedor14!$C$12)</f>
        <v>15900</v>
      </c>
      <c r="F17" s="30">
        <f>IF(Vendedor14!$E$12="",0,Vendedor14!$E$12)</f>
        <v>0</v>
      </c>
      <c r="G17" s="180">
        <f>IF(Vendedor14!$C$16="",0,Vendedor14!$C$16)</f>
        <v>25600</v>
      </c>
      <c r="H17" s="30">
        <f>IF(Vendedor14!$E$16="",0,Vendedor14!$E$16)</f>
        <v>0</v>
      </c>
      <c r="J17" s="42">
        <f t="shared" si="1"/>
        <v>61850</v>
      </c>
      <c r="K17" s="41">
        <f>J17*Vendedor14!J$17</f>
        <v>6185</v>
      </c>
      <c r="L17" s="42">
        <f t="shared" si="2"/>
        <v>200</v>
      </c>
      <c r="M17" s="42">
        <f t="shared" si="3"/>
        <v>200</v>
      </c>
      <c r="N17" s="42">
        <f t="shared" si="0"/>
        <v>44000</v>
      </c>
      <c r="O17" s="42">
        <f>Vendedor14!$F$8+Vendedor14!$F$12+Vendedor14!$F$16</f>
        <v>40000</v>
      </c>
      <c r="Q17" s="42">
        <f t="shared" si="4"/>
        <v>15665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13950</v>
      </c>
      <c r="D18" s="30">
        <f>IF(Vendedor15!$E$8="",0,Vendedor15!$E$8)</f>
        <v>0</v>
      </c>
      <c r="E18" s="180">
        <f>IF(Vendedor15!$C$12="",0,Vendedor15!$C$12)</f>
        <v>10700</v>
      </c>
      <c r="F18" s="30">
        <f>IF(Vendedor15!$E$12="",0,Vendedor15!$E$12)</f>
        <v>0</v>
      </c>
      <c r="G18" s="180">
        <f>IF(Vendedor15!$C$16="",0,Vendedor15!$C$16)</f>
        <v>19250</v>
      </c>
      <c r="H18" s="30">
        <f>IF(Vendedor15!$E$16="",0,Vendedor15!$E$16)</f>
        <v>100</v>
      </c>
      <c r="J18" s="42">
        <f t="shared" ref="J18" si="5">+C18+E18+G18</f>
        <v>43900</v>
      </c>
      <c r="K18" s="41">
        <f>J18*Vendedor15!J$17</f>
        <v>4390</v>
      </c>
      <c r="L18" s="42">
        <f t="shared" si="2"/>
        <v>100</v>
      </c>
      <c r="M18" s="42">
        <f t="shared" si="3"/>
        <v>100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19510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55300</v>
      </c>
      <c r="D33" s="44">
        <f>IF(PREMIOS!E8&lt;&gt;0,SUM(D4:D32),0)</f>
        <v>450</v>
      </c>
      <c r="E33" s="43">
        <f>SUM(E4:E32)</f>
        <v>52300</v>
      </c>
      <c r="F33" s="44">
        <f>IF(PREMIOS!E12&lt;&gt;0,SUM(F4:F32),0)</f>
        <v>0</v>
      </c>
      <c r="G33" s="43">
        <f>SUM(G4:G32)</f>
        <v>76900</v>
      </c>
      <c r="H33" s="44">
        <f>IF(PREMIOS!E16&lt;&gt;0,SUM(H4:H32),0)</f>
        <v>100</v>
      </c>
      <c r="J33" s="45">
        <f>SUM(J4:J32)</f>
        <v>184500</v>
      </c>
      <c r="K33" s="45">
        <f>SUM(K7:K32)</f>
        <v>18450</v>
      </c>
      <c r="L33" s="95">
        <f>SUM(L7:L32)</f>
        <v>550</v>
      </c>
      <c r="M33" s="95">
        <f>SUM(M7:M32)</f>
        <v>550</v>
      </c>
      <c r="N33" s="95">
        <f>SUM(N4:N27)</f>
        <v>121000</v>
      </c>
      <c r="O33" s="95">
        <f>SUM(O4:O27)</f>
        <v>110000</v>
      </c>
      <c r="Q33" s="79">
        <f>SUM(Q4:Q32)</f>
        <v>56050</v>
      </c>
    </row>
    <row r="34" spans="3:17" x14ac:dyDescent="0.35">
      <c r="D34" s="118">
        <f>IF(PREMIOS!$D8=PREMIOS!$J$10,D33*$G$38,IF(PREMIOS!$D8=PREMIOS!$J$11,D33*$F$38,IF(PREMIOS!$D8=PREMIOS!$J$12,0,"")))</f>
        <v>99000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22000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184500</v>
      </c>
      <c r="E37" s="43">
        <f>+D37-J4-J5-J6</f>
        <v>184500</v>
      </c>
      <c r="F37" s="275"/>
      <c r="G37" s="275"/>
    </row>
    <row r="38" spans="3:17" ht="15" thickBot="1" x14ac:dyDescent="0.4">
      <c r="C38" s="47" t="s">
        <v>33</v>
      </c>
      <c r="D38" s="30">
        <f>D37*10%</f>
        <v>18450</v>
      </c>
      <c r="E38" s="43">
        <f>+D38-K4-K5-K6</f>
        <v>18450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121000</v>
      </c>
    </row>
    <row r="40" spans="3:17" ht="15" thickBot="1" x14ac:dyDescent="0.4">
      <c r="C40" s="49" t="s">
        <v>4</v>
      </c>
      <c r="D40" s="80">
        <f>+D37-D38-D39</f>
        <v>45050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45050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15</v>
      </c>
      <c r="D2" s="268"/>
      <c r="E2" s="267" t="str">
        <f>DigitaPRIMERA!E2</f>
        <v>09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6750</v>
      </c>
      <c r="D4" s="78">
        <f>IF(Vendedor1!$E$19="",0,Vendedor1!$E$19)</f>
        <v>250</v>
      </c>
      <c r="E4" s="189">
        <f>IF(Vendedor1!$C$20="",0,Vendedor1!$C$20)</f>
        <v>2100</v>
      </c>
      <c r="F4" s="78">
        <f>IF(Vendedor1!$E$20="",0,Vendedor1!$E$20)</f>
        <v>0</v>
      </c>
      <c r="H4" s="42">
        <f>+C4+E4</f>
        <v>8850</v>
      </c>
      <c r="I4" s="41">
        <f>MROUND(H4*Vendedor1!J$9,50)</f>
        <v>1150</v>
      </c>
      <c r="J4" s="42">
        <f>+D4+F4</f>
        <v>250</v>
      </c>
      <c r="K4" s="42">
        <f>+J4*85</f>
        <v>21250</v>
      </c>
      <c r="L4" s="42">
        <f>Vendedor1!$F$19+Vendedor1!$F$20</f>
        <v>20000</v>
      </c>
      <c r="N4" s="42">
        <f t="shared" ref="N4:N31" si="0">+H4-I4-L4</f>
        <v>-12300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3800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3800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3300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31600</v>
      </c>
      <c r="D8" s="30">
        <f>IF(Vendedor5!$E$19="",0,Vendedor5!$E$19)</f>
        <v>0</v>
      </c>
      <c r="E8" s="180">
        <f>IF(Vendedor5!$C$20="",0,Vendedor5!$C$20)</f>
        <v>15250</v>
      </c>
      <c r="F8" s="30">
        <f>IF(Vendedor5!$E$20="",0,Vendedor5!$E$20)</f>
        <v>450</v>
      </c>
      <c r="H8" s="133">
        <f t="shared" si="1"/>
        <v>46850</v>
      </c>
      <c r="I8" s="148">
        <f>MROUND(H8*Vendedor5!J$11,50)</f>
        <v>5600</v>
      </c>
      <c r="J8" s="133">
        <f t="shared" si="2"/>
        <v>450</v>
      </c>
      <c r="K8" s="133">
        <f t="shared" si="3"/>
        <v>38250</v>
      </c>
      <c r="L8" s="133">
        <f>Vendedor5!$F$19+Vendedor5!$F$20</f>
        <v>36000</v>
      </c>
      <c r="M8" s="155"/>
      <c r="N8" s="133">
        <f t="shared" si="0"/>
        <v>5250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36100</v>
      </c>
      <c r="D10" s="30">
        <f>IF(Vendedor7!$E$19="",0,Vendedor7!$E$19)</f>
        <v>3000</v>
      </c>
      <c r="E10" s="180">
        <f>IF(Vendedor7!$C$20="",0,Vendedor7!$C$20)</f>
        <v>25850</v>
      </c>
      <c r="F10" s="30">
        <f>IF(Vendedor7!$E$20="",0,Vendedor7!$E$20)</f>
        <v>0</v>
      </c>
      <c r="H10" s="42">
        <f t="shared" si="1"/>
        <v>61950</v>
      </c>
      <c r="I10" s="41">
        <f>MROUND(H10*Vendedor7!J$14,50)</f>
        <v>7450</v>
      </c>
      <c r="J10" s="42">
        <f t="shared" si="2"/>
        <v>3000</v>
      </c>
      <c r="K10" s="42">
        <f t="shared" si="3"/>
        <v>255000</v>
      </c>
      <c r="L10" s="42">
        <f>Vendedor7!$F$19+Vendedor7!$F$20</f>
        <v>255000</v>
      </c>
      <c r="N10" s="42">
        <f t="shared" si="0"/>
        <v>-200500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31850</v>
      </c>
      <c r="D12" s="30">
        <f>IF(Vendedor9!$E$19="",0,Vendedor9!$E$19)</f>
        <v>400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31850</v>
      </c>
      <c r="I12" s="148">
        <f>MROUND(H12*Vendedor9!J$11,50)</f>
        <v>3800</v>
      </c>
      <c r="J12" s="133">
        <f t="shared" si="2"/>
        <v>400</v>
      </c>
      <c r="K12" s="133">
        <f t="shared" si="3"/>
        <v>34000</v>
      </c>
      <c r="L12" s="133">
        <f>Vendedor9!$F$19+Vendedor9!$F$20</f>
        <v>34000</v>
      </c>
      <c r="M12" s="155"/>
      <c r="N12" s="133">
        <f t="shared" si="0"/>
        <v>-5950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83400</v>
      </c>
      <c r="D17" s="30">
        <f>IF(Vendedor14!$E$19="",0,Vendedor14!$E$19)</f>
        <v>2000</v>
      </c>
      <c r="E17" s="180">
        <f>IF(Vendedor14!$C$20="",0,Vendedor14!$C$20)</f>
        <v>32850</v>
      </c>
      <c r="F17" s="30">
        <f>IF(Vendedor14!$E$20="",0,Vendedor14!$E$20)</f>
        <v>850</v>
      </c>
      <c r="H17" s="42">
        <f t="shared" si="1"/>
        <v>116250</v>
      </c>
      <c r="I17" s="41">
        <f>MROUND(H17*Vendedor14!J$15,50)</f>
        <v>13950</v>
      </c>
      <c r="J17" s="42">
        <f t="shared" si="2"/>
        <v>2850</v>
      </c>
      <c r="K17" s="42">
        <f t="shared" si="3"/>
        <v>242250</v>
      </c>
      <c r="L17" s="42">
        <f>Vendedor14!$F$19+Vendedor14!$F$20</f>
        <v>242250</v>
      </c>
      <c r="N17" s="42">
        <f t="shared" si="0"/>
        <v>-139950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46050</v>
      </c>
      <c r="D18" s="30">
        <f>IF(Vendedor15!$E$19="",0,Vendedor15!$E$19)</f>
        <v>850</v>
      </c>
      <c r="E18" s="180">
        <f>IF(Vendedor15!$C$20="",0,Vendedor15!$C$20)</f>
        <v>41350</v>
      </c>
      <c r="F18" s="30">
        <f>IF(Vendedor15!$E$20="",0,Vendedor15!$E$20)</f>
        <v>750</v>
      </c>
      <c r="H18" s="42">
        <f t="shared" si="1"/>
        <v>87400</v>
      </c>
      <c r="I18" s="41">
        <f>MROUND(H18*Vendedor15!J$15,50)</f>
        <v>10500</v>
      </c>
      <c r="J18" s="42">
        <f t="shared" si="2"/>
        <v>1600</v>
      </c>
      <c r="K18" s="42">
        <f t="shared" si="3"/>
        <v>136000</v>
      </c>
      <c r="L18" s="42">
        <f>Vendedor15!$F$19+Vendedor15!$F$20</f>
        <v>136000</v>
      </c>
      <c r="N18" s="42">
        <f t="shared" si="0"/>
        <v>-59100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239550</v>
      </c>
      <c r="D32" s="44">
        <f>SUM(D4:D31)</f>
        <v>6500</v>
      </c>
      <c r="E32" s="43">
        <f>SUM(E4:E31)</f>
        <v>117400</v>
      </c>
      <c r="F32" s="44">
        <f>SUM(F4:F31)</f>
        <v>2050</v>
      </c>
      <c r="H32" s="95">
        <f>SUM(H4:H31)</f>
        <v>356950</v>
      </c>
      <c r="I32" s="45">
        <f>SUM(I7:I31)</f>
        <v>41300</v>
      </c>
      <c r="J32" s="95"/>
      <c r="K32" s="95">
        <f>SUM(K4:K31)</f>
        <v>726750</v>
      </c>
      <c r="L32" s="95">
        <f>SUM(L4:L31)</f>
        <v>723250</v>
      </c>
      <c r="N32" s="79">
        <f>SUM(N4:N31)</f>
        <v>-409250</v>
      </c>
    </row>
    <row r="33" spans="3:6" x14ac:dyDescent="0.35">
      <c r="D33" s="99">
        <f>+D32*85</f>
        <v>552500</v>
      </c>
      <c r="F33" s="99">
        <f>+F32*85</f>
        <v>174250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356950</v>
      </c>
      <c r="E36" s="43">
        <f>+D36-H4-H5-H6</f>
        <v>344300</v>
      </c>
    </row>
    <row r="37" spans="3:6" x14ac:dyDescent="0.35">
      <c r="C37" s="47" t="s">
        <v>33</v>
      </c>
      <c r="D37" s="48">
        <f>D36*13%</f>
        <v>46403.5</v>
      </c>
      <c r="E37">
        <f>+D37-I4-I5-I6</f>
        <v>44753.5</v>
      </c>
    </row>
    <row r="38" spans="3:6" ht="15" thickBot="1" x14ac:dyDescent="0.4">
      <c r="C38" s="47" t="s">
        <v>30</v>
      </c>
      <c r="D38" s="30">
        <f>SUM(K4:K27)</f>
        <v>726750</v>
      </c>
    </row>
    <row r="39" spans="3:6" ht="15" thickBot="1" x14ac:dyDescent="0.4">
      <c r="C39" s="49" t="s">
        <v>4</v>
      </c>
      <c r="D39" s="80">
        <f>+D36-D37-D38</f>
        <v>-416203.5</v>
      </c>
      <c r="F39" s="98">
        <f>+N32-D39</f>
        <v>6953.5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-416203.5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78</v>
      </c>
      <c r="D2" s="268"/>
      <c r="E2" s="267">
        <f>DigitaHONDURAS!E2</f>
        <v>12</v>
      </c>
      <c r="F2" s="268"/>
      <c r="G2" s="267">
        <f>DigitaHONDURAS!G2</f>
        <v>59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1000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2850</v>
      </c>
      <c r="H10" s="30">
        <f>IF(Vendedor7!$E$23="",0,Vendedor7!$E$23)</f>
        <v>0</v>
      </c>
      <c r="J10" s="42">
        <f t="shared" si="0"/>
        <v>3850</v>
      </c>
      <c r="K10" s="41">
        <f>MROUND(J10*Vendedor7!J$14,50)</f>
        <v>450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3400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65800</v>
      </c>
      <c r="D17" s="30">
        <f>IF(Vendedor14!$E$21="",0,Vendedor14!$E$21)</f>
        <v>400</v>
      </c>
      <c r="E17" s="180">
        <f>IF(Vendedor14!$C$22="",0,Vendedor14!$C$22)</f>
        <v>12300</v>
      </c>
      <c r="F17" s="30">
        <f>IF(Vendedor14!$E$22="",0,Vendedor14!$E$22)</f>
        <v>200</v>
      </c>
      <c r="G17" s="180">
        <f>IF(Vendedor14!$C$23="",0,Vendedor14!$C$23)</f>
        <v>24550</v>
      </c>
      <c r="H17" s="30">
        <f>IF(Vendedor14!$E$23="",0,Vendedor14!$E$23)</f>
        <v>0</v>
      </c>
      <c r="J17" s="42">
        <f t="shared" si="0"/>
        <v>102650</v>
      </c>
      <c r="K17" s="41">
        <f>MROUND(J17*Vendedor14!J$15,50)</f>
        <v>12300</v>
      </c>
      <c r="L17" s="42">
        <f t="shared" si="1"/>
        <v>600</v>
      </c>
      <c r="M17" s="42">
        <f t="shared" si="3"/>
        <v>51000</v>
      </c>
      <c r="N17" s="42">
        <f>Vendedor14!$F$21+Vendedor14!$F$22+Vendedor14!$F$23</f>
        <v>51000</v>
      </c>
      <c r="P17" s="42">
        <f t="shared" si="2"/>
        <v>39350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20350</v>
      </c>
      <c r="D18" s="30">
        <f>IF(Vendedor15!$E$21="",0,Vendedor15!$E$21)</f>
        <v>0</v>
      </c>
      <c r="E18" s="180">
        <f>IF(Vendedor15!$C$22="",0,Vendedor15!$C$22)</f>
        <v>9300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29650</v>
      </c>
      <c r="K18" s="41">
        <f>MROUND(J18*Vendedor15!J$15,50)</f>
        <v>3550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26100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87150</v>
      </c>
      <c r="D32" s="44">
        <f t="shared" si="8"/>
        <v>400</v>
      </c>
      <c r="E32" s="43">
        <f t="shared" si="8"/>
        <v>21600</v>
      </c>
      <c r="F32" s="44">
        <f t="shared" si="8"/>
        <v>200</v>
      </c>
      <c r="G32" s="43">
        <f t="shared" si="8"/>
        <v>27400</v>
      </c>
      <c r="H32" s="44">
        <f t="shared" si="8"/>
        <v>0</v>
      </c>
      <c r="J32" s="95">
        <f>SUM(J4:J31)</f>
        <v>136150</v>
      </c>
      <c r="K32" s="45">
        <f>SUM(K7:K31)</f>
        <v>16300</v>
      </c>
      <c r="L32" s="95"/>
      <c r="M32" s="95">
        <f>SUM(M4:M31)</f>
        <v>51000</v>
      </c>
      <c r="N32" s="95">
        <f>SUM(N4:N31)</f>
        <v>51000</v>
      </c>
      <c r="P32" s="79">
        <f>SUM(P4:P31)</f>
        <v>68850</v>
      </c>
    </row>
    <row r="33" spans="3:8" x14ac:dyDescent="0.35">
      <c r="D33" s="99">
        <f>+D32*85</f>
        <v>34000</v>
      </c>
      <c r="F33" s="99">
        <f>+F32*85</f>
        <v>17000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136150</v>
      </c>
      <c r="E36" s="43">
        <f>+D36-J4-J5-J6</f>
        <v>136150</v>
      </c>
    </row>
    <row r="37" spans="3:8" x14ac:dyDescent="0.35">
      <c r="C37" s="47" t="s">
        <v>33</v>
      </c>
      <c r="D37" s="48">
        <f>D36*13%</f>
        <v>17699.5</v>
      </c>
      <c r="E37">
        <f>+D37-K4-K5-K6</f>
        <v>17699.5</v>
      </c>
    </row>
    <row r="38" spans="3:8" ht="15" thickBot="1" x14ac:dyDescent="0.4">
      <c r="C38" s="47" t="s">
        <v>30</v>
      </c>
      <c r="D38" s="30">
        <f>SUM(M4:M27)</f>
        <v>51000</v>
      </c>
      <c r="G38" s="100"/>
    </row>
    <row r="39" spans="3:8" ht="15" thickBot="1" x14ac:dyDescent="0.4">
      <c r="C39" s="49" t="s">
        <v>4</v>
      </c>
      <c r="D39" s="80">
        <f>+D36-D37-D38</f>
        <v>67450.5</v>
      </c>
      <c r="F39" s="98">
        <f>+P32-D39</f>
        <v>1399.5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67450.5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53</v>
      </c>
      <c r="D2" s="268"/>
      <c r="E2" s="267">
        <f>DigitaDOMINICANA!E2</f>
        <v>12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1317650</v>
      </c>
      <c r="C4" s="157">
        <f>HojaNICA!M32</f>
        <v>158150</v>
      </c>
      <c r="D4" s="150">
        <f>HojaNICA!E37</f>
        <v>171321.5</v>
      </c>
      <c r="E4" s="150">
        <f>HojaNICA!P32</f>
        <v>615500</v>
      </c>
      <c r="F4" s="150">
        <f>HojaNICA!O32</f>
        <v>629000</v>
      </c>
      <c r="G4" s="151">
        <f t="shared" ref="G4:G10" si="0">+D4-C4+F4-E4</f>
        <v>26671.5</v>
      </c>
      <c r="H4" s="21"/>
      <c r="I4" s="182"/>
    </row>
    <row r="5" spans="1:9" x14ac:dyDescent="0.35">
      <c r="A5" s="28" t="s">
        <v>19</v>
      </c>
      <c r="B5" s="156">
        <f>HojaTICA!$E$36</f>
        <v>1568000</v>
      </c>
      <c r="C5" s="157">
        <f>HojaTICA!K32</f>
        <v>190250</v>
      </c>
      <c r="D5" s="150">
        <f>HojaTICA!E37</f>
        <v>203835.5</v>
      </c>
      <c r="E5" s="150">
        <f>HojaTICA!N32</f>
        <v>1198500</v>
      </c>
      <c r="F5" s="150">
        <f>HojaTICA!D38</f>
        <v>1198500</v>
      </c>
      <c r="G5" s="151">
        <f t="shared" si="0"/>
        <v>13585.5</v>
      </c>
      <c r="H5" s="21"/>
      <c r="I5" s="182"/>
    </row>
    <row r="6" spans="1:9" x14ac:dyDescent="0.35">
      <c r="A6" s="28" t="s">
        <v>125</v>
      </c>
      <c r="B6" s="156">
        <f>HojaREVENTADO!$E$37</f>
        <v>184500</v>
      </c>
      <c r="C6" s="157">
        <f>HojaREVENTADO!K33</f>
        <v>18450</v>
      </c>
      <c r="D6" s="150">
        <f>HojaREVENTADO!E38</f>
        <v>18450</v>
      </c>
      <c r="E6" s="150">
        <f>HojaREVENTADO!O33</f>
        <v>110000</v>
      </c>
      <c r="F6" s="150">
        <f>HojaREVENTADO!N33</f>
        <v>121000</v>
      </c>
      <c r="G6" s="151">
        <f t="shared" si="0"/>
        <v>11000</v>
      </c>
      <c r="H6" s="21"/>
      <c r="I6" s="182"/>
    </row>
    <row r="7" spans="1:9" x14ac:dyDescent="0.35">
      <c r="A7" s="28" t="s">
        <v>96</v>
      </c>
      <c r="B7" s="156">
        <f>HojaPrimera!$E$36</f>
        <v>344300</v>
      </c>
      <c r="C7" s="157">
        <f>HojaPrimera!I32</f>
        <v>41300</v>
      </c>
      <c r="D7" s="150">
        <f>HojaPrimera!E37</f>
        <v>44753.5</v>
      </c>
      <c r="E7" s="150">
        <f>HojaPrimera!L32</f>
        <v>723250</v>
      </c>
      <c r="F7" s="150">
        <f>HojaPrimera!K32</f>
        <v>726750</v>
      </c>
      <c r="G7" s="151">
        <f t="shared" si="0"/>
        <v>6953.5</v>
      </c>
      <c r="H7" s="21"/>
      <c r="I7" s="21"/>
    </row>
    <row r="8" spans="1:9" x14ac:dyDescent="0.35">
      <c r="A8" s="28" t="s">
        <v>104</v>
      </c>
      <c r="B8" s="156">
        <f>HojaHonduras!$E$36</f>
        <v>136150</v>
      </c>
      <c r="C8" s="157">
        <f>HojaHonduras!K32</f>
        <v>16300</v>
      </c>
      <c r="D8" s="150">
        <f>HojaHonduras!E37</f>
        <v>17699.5</v>
      </c>
      <c r="E8" s="150">
        <f>HojaHonduras!N32</f>
        <v>51000</v>
      </c>
      <c r="F8" s="150">
        <f>HojaHonduras!M32</f>
        <v>51000</v>
      </c>
      <c r="G8" s="151">
        <f t="shared" si="0"/>
        <v>1399.5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3550600</v>
      </c>
      <c r="C11" s="175">
        <f>SUM(C4:C10)</f>
        <v>424450</v>
      </c>
      <c r="D11" s="175">
        <f t="shared" ref="D11:F11" si="1">SUM(D4:D10)</f>
        <v>456060</v>
      </c>
      <c r="E11" s="175">
        <f t="shared" si="1"/>
        <v>2698250</v>
      </c>
      <c r="F11" s="175">
        <f t="shared" si="1"/>
        <v>2726250</v>
      </c>
      <c r="G11" s="176">
        <f>SUM(G4:G10)</f>
        <v>59610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24610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323550</v>
      </c>
      <c r="E16" s="157">
        <f>+Vendedor1!D21</f>
        <v>42061.5</v>
      </c>
      <c r="F16" s="158">
        <f>IF(D16&lt;&gt;0,15000,0)</f>
        <v>15000</v>
      </c>
      <c r="G16" s="151">
        <f>+E16-F16</f>
        <v>27061.5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192350</v>
      </c>
      <c r="E17" s="157">
        <f>+Vendedor2!D21</f>
        <v>25005.5</v>
      </c>
      <c r="F17" s="158">
        <f>IF(D17&lt;&gt;0,15000,0)</f>
        <v>15000</v>
      </c>
      <c r="G17" s="151">
        <f>+E17-F17</f>
        <v>10005.5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515900</v>
      </c>
      <c r="E19" s="159">
        <f>SUM(E16:E18)</f>
        <v>67067</v>
      </c>
      <c r="F19" s="160">
        <f>SUM(F16:F18)</f>
        <v>30000</v>
      </c>
      <c r="G19" s="161">
        <f>SUM(G16:G18)</f>
        <v>37067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61677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1415550</v>
      </c>
      <c r="C5" s="150">
        <f>HojaNICA!D37</f>
        <v>184021.5</v>
      </c>
      <c r="D5" s="150">
        <f>HojaNICA!D38</f>
        <v>629000</v>
      </c>
      <c r="E5" s="150"/>
      <c r="F5" s="151">
        <f>+B5-C5-D5+E5</f>
        <v>602528.5</v>
      </c>
      <c r="H5" s="249" t="s">
        <v>105</v>
      </c>
      <c r="I5" s="243">
        <f ca="1">TODAY()-1</f>
        <v>46138</v>
      </c>
      <c r="O5" s="119"/>
    </row>
    <row r="6" spans="1:15" ht="15" thickBot="1" x14ac:dyDescent="0.4">
      <c r="A6" s="47" t="s">
        <v>36</v>
      </c>
      <c r="B6" s="150">
        <f>HojaTICA!D36</f>
        <v>1973350</v>
      </c>
      <c r="C6" s="150">
        <f>HojaTICA!D37</f>
        <v>256535.5</v>
      </c>
      <c r="D6" s="150">
        <f>HojaTICA!D38</f>
        <v>1198500</v>
      </c>
      <c r="E6" s="150"/>
      <c r="F6" s="151">
        <f t="shared" ref="F6:F11" si="0">+B6-C6-D6+E6</f>
        <v>518314.5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184500</v>
      </c>
      <c r="C7" s="150">
        <f>HojaREVENTADO!D38</f>
        <v>18450</v>
      </c>
      <c r="D7" s="150">
        <f>HojaREVENTADO!D39</f>
        <v>121000</v>
      </c>
      <c r="E7" s="150"/>
      <c r="F7" s="151">
        <f t="shared" si="0"/>
        <v>45050</v>
      </c>
    </row>
    <row r="8" spans="1:15" x14ac:dyDescent="0.35">
      <c r="A8" s="47" t="s">
        <v>96</v>
      </c>
      <c r="B8" s="150">
        <f>HojaPrimera!$D36</f>
        <v>356950</v>
      </c>
      <c r="C8" s="150">
        <f>HojaPrimera!$D37</f>
        <v>46403.5</v>
      </c>
      <c r="D8" s="150">
        <f>HojaPrimera!$D38</f>
        <v>726750</v>
      </c>
      <c r="E8" s="150"/>
      <c r="F8" s="151">
        <f t="shared" si="0"/>
        <v>-416203.5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136150</v>
      </c>
      <c r="C9" s="150">
        <f>HojaHonduras!$D37</f>
        <v>17699.5</v>
      </c>
      <c r="D9" s="150">
        <f>HojaHonduras!$D38</f>
        <v>51000</v>
      </c>
      <c r="E9" s="150"/>
      <c r="F9" s="151">
        <f t="shared" si="0"/>
        <v>67450.5</v>
      </c>
      <c r="H9" s="250">
        <f>+K12-K10-H6</f>
        <v>817140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>
        <v>8100813.75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8917953.75</v>
      </c>
    </row>
    <row r="12" spans="1:15" ht="16" thickBot="1" x14ac:dyDescent="0.4">
      <c r="A12" s="144" t="s">
        <v>5</v>
      </c>
      <c r="B12" s="152">
        <f>SUM(B5:B11)</f>
        <v>4066500</v>
      </c>
      <c r="C12" s="152">
        <f>SUM(C5:C11)</f>
        <v>523110</v>
      </c>
      <c r="D12" s="152">
        <f>SUM(D5:D11)</f>
        <v>2726250</v>
      </c>
      <c r="E12" s="152"/>
      <c r="F12" s="255">
        <f>SUM(F5:F11)</f>
        <v>817140</v>
      </c>
      <c r="H12" s="251">
        <f>K12</f>
        <v>8917953.75</v>
      </c>
      <c r="J12" t="s">
        <v>140</v>
      </c>
      <c r="K12" s="254">
        <f>1819764.43+4795312.24+1163998.6+1138878.48</f>
        <v>8917953.75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253800</v>
      </c>
      <c r="K4" s="231">
        <f t="shared" ref="K4" si="0">D7+D11+D15</f>
        <v>32994</v>
      </c>
      <c r="L4" s="220">
        <f>F7+F11+F15</f>
        <v>233750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IF(DigitaNICA!C4&lt;&gt;"",DigitaNICA!C4,"")</f>
        <v>27100</v>
      </c>
      <c r="D5" s="42">
        <f>IF(C5="",0,C5*J$10)</f>
        <v>3523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23577</v>
      </c>
      <c r="I5" s="241" t="s">
        <v>37</v>
      </c>
      <c r="J5" s="221">
        <f>SUM(IF(C5="",0,C5),IF(C9="",0,C9),IF(C13="",0,C13),IF(C17="",0,C17))</f>
        <v>60900</v>
      </c>
      <c r="K5" s="225">
        <f t="shared" ref="K5" si="2">D5+D9+D13+D17</f>
        <v>7917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8850</v>
      </c>
      <c r="K6" s="228">
        <f>D19+D20</f>
        <v>1150.5</v>
      </c>
      <c r="L6" s="229">
        <f>F19+F20</f>
        <v>20000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IF(DigitaTICA!C4&lt;&gt;"",DigitaTICA!C4,"")</f>
        <v>77200</v>
      </c>
      <c r="D7" s="42">
        <f>IF(C7="",0,C7*J$9)</f>
        <v>10036</v>
      </c>
      <c r="E7" s="29">
        <f>IF(DigitaTICA!D4&lt;&gt;"",DigitaTICA!D4,"")</f>
        <v>2500</v>
      </c>
      <c r="F7" s="42">
        <f>IF(E7="",0,E7*PREMIOS!F7)</f>
        <v>212500</v>
      </c>
      <c r="G7" s="30">
        <f t="shared" si="1"/>
        <v>-145336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81</v>
      </c>
      <c r="C9" s="29">
        <f>IF(DigitaNICA!E4&lt;&gt;"",DigitaNICA!E4,"")</f>
        <v>27800</v>
      </c>
      <c r="D9" s="42">
        <f>IF(C9="",0,C9*J$10)</f>
        <v>3614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24186</v>
      </c>
      <c r="I9" s="76" t="s">
        <v>36</v>
      </c>
      <c r="J9" s="77">
        <v>0.13</v>
      </c>
      <c r="K9" s="78">
        <f>MROUND(D7+D11+D15,50)</f>
        <v>33000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7900</v>
      </c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IF(DigitaTICA!E4&lt;&gt;"",DigitaTICA!E4,"")</f>
        <v>75500</v>
      </c>
      <c r="D11" s="42">
        <f>IF(C11="",0,C11*J$9)</f>
        <v>9815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65685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>
        <f>IF(DigitaNICA!G2&lt;&gt;"",DigitaNICA!G2,"")</f>
        <v>43</v>
      </c>
      <c r="C13" s="29">
        <f>IF(DigitaNICA!G4&lt;&gt;"",DigitaNICA!G4,"")</f>
        <v>3400</v>
      </c>
      <c r="D13" s="42">
        <f>IF(C13="",0,C13*J$10)</f>
        <v>442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2958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IF(DigitaTICA!G4&lt;&gt;"",DigitaTICA!G4,"")</f>
        <v>101100</v>
      </c>
      <c r="D15" s="42">
        <f>IF(C15="",0,C15*J$9)</f>
        <v>13143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66707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>
        <f>IF(DigitaNICA!I4&lt;&gt;"",DigitaNICA!I4,"")</f>
        <v>2600</v>
      </c>
      <c r="D17" s="42">
        <f>IF(C17="",0,C17*J$10)</f>
        <v>338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2262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>
        <f>IF(DigitaPRIMERA!C4&lt;&gt;"",DigitaPRIMERA!C4,"")</f>
        <v>6750</v>
      </c>
      <c r="D19" s="42">
        <f>IF(C19="",0,C19*J$12)</f>
        <v>877.5</v>
      </c>
      <c r="E19" s="29">
        <f>IF(DigitaPRIMERA!D4&lt;&gt;"",DigitaPRIMERA!D4,"")</f>
        <v>250</v>
      </c>
      <c r="F19" s="42">
        <f>IF(E19="",0,E19*PREMIOS!E19)</f>
        <v>20000</v>
      </c>
      <c r="G19" s="30">
        <f t="shared" ref="G19" si="4">IF(OR(C19="",E19=""),0,C19-D19-F19)</f>
        <v>-14127.5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>
        <f>IF(DigitaPRIMERA!E4&lt;&gt;"",DigitaPRIMERA!E4,"")</f>
        <v>2100</v>
      </c>
      <c r="D20" s="42">
        <f>IF(C20="",0,C20*J$12)</f>
        <v>273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1827</v>
      </c>
    </row>
    <row r="21" spans="1:7" ht="15" thickBot="1" x14ac:dyDescent="0.4">
      <c r="A21" s="121" t="s">
        <v>5</v>
      </c>
      <c r="B21" s="128"/>
      <c r="C21" s="122">
        <f>SUM(C5:C20)</f>
        <v>323550</v>
      </c>
      <c r="D21" s="122">
        <f t="shared" ref="D21:G21" si="6">SUM(D5:D20)</f>
        <v>42061.5</v>
      </c>
      <c r="E21" s="122">
        <f t="shared" si="6"/>
        <v>3000</v>
      </c>
      <c r="F21" s="122">
        <f t="shared" si="6"/>
        <v>253750</v>
      </c>
      <c r="G21" s="123">
        <f t="shared" si="6"/>
        <v>27738.5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151550</v>
      </c>
      <c r="K4" s="231">
        <f t="shared" ref="K4" si="0">D7+D11+D15</f>
        <v>19701.5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IF(DigitaNICA!C5&lt;&gt;"",DigitaNICA!C5,"")</f>
        <v>12300</v>
      </c>
      <c r="D5" s="42">
        <f>IF(C5="",0,C5*J$10)</f>
        <v>1599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10701</v>
      </c>
      <c r="I5" s="241" t="s">
        <v>37</v>
      </c>
      <c r="J5" s="221">
        <f>SUM(IF(C5="",0,C5),IF(C9="",0,C9),IF(C13="",0,C13),IF(C17="",0,C17))</f>
        <v>37000</v>
      </c>
      <c r="K5" s="225">
        <f t="shared" ref="K5" si="2">D5+D9+D13+D17</f>
        <v>4810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3800</v>
      </c>
      <c r="K6" s="228">
        <f>D19+D20</f>
        <v>494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IF(DigitaTICA!C5&lt;&gt;"",DigitaTICA!C5,"")</f>
        <v>49150</v>
      </c>
      <c r="D7" s="42">
        <f>IF(C7="",0,C7*J$9)</f>
        <v>6389.5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-42239.5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81</v>
      </c>
      <c r="C9" s="29">
        <f>IF(DigitaNICA!E5&lt;&gt;"",DigitaNICA!E5,"")</f>
        <v>17900</v>
      </c>
      <c r="D9" s="42">
        <f>IF(C9="",0,C9*J$10)</f>
        <v>2327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15573</v>
      </c>
      <c r="I9" s="60" t="s">
        <v>36</v>
      </c>
      <c r="J9" s="61">
        <v>0.13</v>
      </c>
      <c r="K9" s="62">
        <f>MROUND(D7+D11+D15,50)</f>
        <v>19700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4800</v>
      </c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IF(DigitaTICA!E5&lt;&gt;"",DigitaTICA!E5,"")</f>
        <v>50600</v>
      </c>
      <c r="D11" s="42">
        <f>IF(C11="",0,C11*J$9)</f>
        <v>6578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44022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>
        <f>IF(DigitaNICA!G2&lt;&gt;"",DigitaNICA!G2,"")</f>
        <v>43</v>
      </c>
      <c r="C13" s="29">
        <f>IF(DigitaNICA!G5&lt;&gt;"",DigitaNICA!G5,"")</f>
        <v>6100</v>
      </c>
      <c r="D13" s="42">
        <f>IF(C13="",0,C13*J$10)</f>
        <v>793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5307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IF(DigitaTICA!G5&lt;&gt;"",DigitaTICA!G5,"")</f>
        <v>51800</v>
      </c>
      <c r="D15" s="42">
        <f>IF(C15="",0,C15*J$9)</f>
        <v>6734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23816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>
        <f>IF(DigitaNICA!I5&lt;&gt;"",DigitaNICA!I5,"")</f>
        <v>700</v>
      </c>
      <c r="D17" s="42">
        <f>IF(C17="",0,C17*J$10)</f>
        <v>91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609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>
        <f>IF(DigitaPRIMERA!C5&lt;&gt;"",DigitaPRIMERA!C5,"")</f>
        <v>3800</v>
      </c>
      <c r="D19" s="42">
        <f>IF(C19="",0,C19*J$12)</f>
        <v>494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3306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192350</v>
      </c>
      <c r="D21" s="68">
        <f t="shared" ref="D21:G21" si="4">SUM(D5:D20)</f>
        <v>25005.5</v>
      </c>
      <c r="E21" s="68">
        <f t="shared" si="4"/>
        <v>1250</v>
      </c>
      <c r="F21" s="68">
        <f t="shared" si="4"/>
        <v>106250</v>
      </c>
      <c r="G21" s="88">
        <f t="shared" si="4"/>
        <v>61094.5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43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184600</v>
      </c>
      <c r="K4" s="231">
        <f t="shared" ref="K4" si="0">D7+D11+D15</f>
        <v>22152</v>
      </c>
      <c r="L4" s="220">
        <f>F7+F11+F15</f>
        <v>165750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IF(DigitaNICA!C8&lt;&gt;"",DigitaNICA!C8,"")</f>
        <v>80000</v>
      </c>
      <c r="D5" s="42">
        <f>IF(C5="",0,C5*J$12)</f>
        <v>9600</v>
      </c>
      <c r="E5" s="29">
        <f>IF(DigitaNICA!D8&lt;&gt;"",DigitaNICA!D8,"")</f>
        <v>1050</v>
      </c>
      <c r="F5" s="42">
        <f>IF(E5="",0,E5*PREMIOS!E5)</f>
        <v>84000</v>
      </c>
      <c r="G5" s="30">
        <f t="shared" ref="G5:G12" si="1">IF(OR(C5="",E5=""),0,C5-D5-F5)</f>
        <v>-13600</v>
      </c>
      <c r="I5" s="241" t="s">
        <v>37</v>
      </c>
      <c r="J5" s="221">
        <f>SUM(IF(C5="",0,C5),IF(C9="",0,C9),IF(C13="",0,C13),IF(C17="",0,C17))</f>
        <v>212400</v>
      </c>
      <c r="K5" s="225">
        <f t="shared" ref="K5" si="2">D5+D9+D13+D17</f>
        <v>25488</v>
      </c>
      <c r="L5" s="222">
        <f>F5+F9+F13+F17</f>
        <v>124000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IF(DigitaTICA!C8&lt;&gt;"",DigitaTICA!C8,"")</f>
        <v>77000</v>
      </c>
      <c r="D7" s="42">
        <f>IF(C7="",0,C7*J$11)</f>
        <v>9240</v>
      </c>
      <c r="E7" s="29">
        <f>IF(DigitaTICA!D8&lt;&gt;"",DigitaTICA!D8,"")</f>
        <v>1600</v>
      </c>
      <c r="F7" s="42">
        <f>IF(E7="",0,E7*PREMIOS!F7)</f>
        <v>136000</v>
      </c>
      <c r="G7" s="30">
        <f t="shared" si="1"/>
        <v>-68240</v>
      </c>
      <c r="I7" s="242" t="s">
        <v>96</v>
      </c>
      <c r="J7" s="224">
        <f>SUM(IF(C19="",0,C19),IF(C20="",0,C20))</f>
        <v>46850</v>
      </c>
      <c r="K7" s="228">
        <f>+D19+D20</f>
        <v>5622</v>
      </c>
      <c r="L7" s="229">
        <f>+F19+F20</f>
        <v>36000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81</v>
      </c>
      <c r="C9" s="29">
        <f>IF(DigitaNICA!E8&lt;&gt;"",DigitaNICA!E8,"")</f>
        <v>51350</v>
      </c>
      <c r="D9" s="42">
        <f>IF(C9="",0,C9*J$12)</f>
        <v>6162</v>
      </c>
      <c r="E9" s="29">
        <f>IF(DigitaNICA!F8&lt;&gt;"",DigitaNICA!F8,"")</f>
        <v>250</v>
      </c>
      <c r="F9" s="42">
        <f>IF(E9="",0,E9*PREMIOS!E9)</f>
        <v>20000</v>
      </c>
      <c r="G9" s="30">
        <f t="shared" si="1"/>
        <v>25188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IF(DigitaTICA!E8&lt;&gt;"",DigitaTICA!E8,"")</f>
        <v>49150</v>
      </c>
      <c r="D11" s="42">
        <f>IF(C11="",0,C11*J$11)</f>
        <v>5898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43252</v>
      </c>
      <c r="I11" s="60" t="s">
        <v>36</v>
      </c>
      <c r="J11" s="61">
        <v>0.12</v>
      </c>
      <c r="K11" s="62">
        <f>MROUND(D7+D11+D15,50)</f>
        <v>22150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25500</v>
      </c>
    </row>
    <row r="13" spans="1:12" x14ac:dyDescent="0.35">
      <c r="A13" s="28" t="s">
        <v>50</v>
      </c>
      <c r="B13" s="132">
        <f>IF(DigitaNICA!G2&lt;&gt;"",DigitaNICA!G2,"")</f>
        <v>43</v>
      </c>
      <c r="C13" s="29">
        <f>IF(DigitaNICA!G8&lt;&gt;"",DigitaNICA!G8,"")</f>
        <v>23400</v>
      </c>
      <c r="D13" s="42">
        <f>IF(C13="",0,C13*J$12)</f>
        <v>2808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20592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5600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IF(DigitaTICA!G8&lt;&gt;"",DigitaTICA!G8,"")</f>
        <v>58450</v>
      </c>
      <c r="D15" s="42">
        <f>IF(C15="",0,C15*J$11)</f>
        <v>7014</v>
      </c>
      <c r="E15" s="29">
        <f>IF(DigitaTICA!H8&lt;&gt;"",DigitaTICA!H8,"")</f>
        <v>350</v>
      </c>
      <c r="F15" s="42">
        <f>IF(E15="",0,E15*PREMIOS!F15)</f>
        <v>29750</v>
      </c>
      <c r="G15" s="30">
        <f t="shared" si="4"/>
        <v>21686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>
        <f>IF(DigitaNICA!I8&lt;&gt;"",DigitaNICA!I8,"")</f>
        <v>57650</v>
      </c>
      <c r="D17" s="42">
        <f>IF(C17="",0,C17*J$12)</f>
        <v>6918</v>
      </c>
      <c r="E17" s="29">
        <f>IF(DigitaNICA!J8&lt;&gt;"",DigitaNICA!J8,"")</f>
        <v>250</v>
      </c>
      <c r="F17" s="42">
        <f>IF(E17="",0,E17*PREMIOS!E17)</f>
        <v>20000</v>
      </c>
      <c r="G17" s="30">
        <f t="shared" si="4"/>
        <v>30732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>
        <f>IF(DigitaPRIMERA!C8&lt;&gt;"",DigitaPRIMERA!C8,"")</f>
        <v>31600</v>
      </c>
      <c r="D19" s="42">
        <f>IF(C19="",0,C19*J$14)</f>
        <v>3792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27808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>
        <f>IF(DigitaPRIMERA!E8&lt;&gt;"",DigitaPRIMERA!E8,"")</f>
        <v>15250</v>
      </c>
      <c r="D20" s="42">
        <f>IF(C20="",0,C20*J$14)</f>
        <v>1830</v>
      </c>
      <c r="E20" s="29">
        <f>IF(DigitaPRIMERA!F8&lt;&gt;"",DigitaPRIMERA!F8,"")</f>
        <v>450</v>
      </c>
      <c r="F20" s="42">
        <f>IF(E20="",0,E20*PREMIOS!E19)</f>
        <v>36000</v>
      </c>
      <c r="G20" s="30">
        <f t="shared" si="4"/>
        <v>-22580</v>
      </c>
    </row>
    <row r="21" spans="1:7" ht="15" thickBot="1" x14ac:dyDescent="0.4">
      <c r="A21" s="121" t="s">
        <v>5</v>
      </c>
      <c r="B21" s="128"/>
      <c r="C21" s="122">
        <f>SUM(C5:C20)</f>
        <v>443850</v>
      </c>
      <c r="D21" s="122">
        <f t="shared" ref="D21:G21" si="5">SUM(D5:D20)</f>
        <v>53262</v>
      </c>
      <c r="E21" s="122">
        <f t="shared" si="5"/>
        <v>3950</v>
      </c>
      <c r="F21" s="122">
        <f t="shared" si="5"/>
        <v>325750</v>
      </c>
      <c r="G21" s="123">
        <f t="shared" si="5"/>
        <v>64838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385050</v>
      </c>
      <c r="K4" s="231">
        <f t="shared" ref="K4" si="0">D7+D11+D15</f>
        <v>46206</v>
      </c>
      <c r="L4" s="220">
        <f>F7+F11+F15</f>
        <v>110500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IF(DigitaNICA!C10&lt;&gt;"",DigitaNICA!C10,"")</f>
        <v>66600</v>
      </c>
      <c r="D5" s="42">
        <f>IF(C5="",0,C5*J$15)</f>
        <v>7992</v>
      </c>
      <c r="E5" s="29">
        <f>IF(DigitaNICA!D10&lt;&gt;"",DigitaNICA!D10,"")</f>
        <v>800</v>
      </c>
      <c r="F5" s="42">
        <f>IF(E5="",0,E5*PREMIOS!F5)</f>
        <v>68000</v>
      </c>
      <c r="G5" s="30">
        <f t="shared" ref="G5:G12" si="1">IF(OR(C5="",E5=""),0,C5-D5-F5)</f>
        <v>-9392</v>
      </c>
      <c r="I5" s="217" t="s">
        <v>37</v>
      </c>
      <c r="J5" s="221">
        <f>SUM(IF(C5="",0,C5),IF(C9="",0,C9),IF(C13="",0,C13),IF(C17="",0,C17))</f>
        <v>311200</v>
      </c>
      <c r="K5" s="225">
        <f t="shared" ref="K5" si="2">D5+D9+D13+D17</f>
        <v>37344</v>
      </c>
      <c r="L5" s="222">
        <f>F5+F9+F13+F17</f>
        <v>93500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77250</v>
      </c>
      <c r="K6" s="226">
        <f t="shared" ref="K6" si="3">+D8+D12+D16</f>
        <v>7725</v>
      </c>
      <c r="L6" s="227">
        <f>F8+F12+F16</f>
        <v>50000</v>
      </c>
    </row>
    <row r="7" spans="1:12" x14ac:dyDescent="0.35">
      <c r="A7" s="28" t="s">
        <v>46</v>
      </c>
      <c r="B7" s="132">
        <f>IF(DigitaTICA!C2&lt;&gt;"",DigitaTICA!C2,"")</f>
        <v>64</v>
      </c>
      <c r="C7" s="29">
        <f>IF(DigitaTICA!C10&lt;&gt;"",DigitaTICA!C10,"")</f>
        <v>177850</v>
      </c>
      <c r="D7" s="42">
        <f>IF(C7="",0,C7*J$14)</f>
        <v>21342</v>
      </c>
      <c r="E7" s="29">
        <f>IF(DigitaTICA!D10&lt;&gt;"",DigitaTICA!D10,"")</f>
        <v>1000</v>
      </c>
      <c r="F7" s="42">
        <f>IF(E7="",0,E7*PREMIOS!F7)</f>
        <v>85000</v>
      </c>
      <c r="G7" s="30">
        <f t="shared" si="1"/>
        <v>71508</v>
      </c>
      <c r="I7" s="217" t="s">
        <v>96</v>
      </c>
      <c r="J7" s="223">
        <f>SUM(IF(C19="",0,C19),IF(C20="",0,C20))</f>
        <v>61950</v>
      </c>
      <c r="K7" s="226">
        <f>+D19+D20</f>
        <v>7434</v>
      </c>
      <c r="L7" s="227">
        <f>+F19+F20</f>
        <v>255000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20000</v>
      </c>
      <c r="D8" s="42">
        <f>IF(C8="",0,C8*J$16)</f>
        <v>2000</v>
      </c>
      <c r="E8" s="29">
        <f>IF(DigitaREVENTADO!D10&lt;&gt;"",DigitaREVENTADO!D10,"")</f>
        <v>250</v>
      </c>
      <c r="F8" s="42">
        <f>IF(E8="",0,E8*PREMIOS!F8)</f>
        <v>50000</v>
      </c>
      <c r="G8" s="30">
        <f t="shared" si="1"/>
        <v>-32000</v>
      </c>
      <c r="I8" s="217" t="s">
        <v>104</v>
      </c>
      <c r="J8" s="223">
        <f>SUM(IF(C21="",0,C21),IF(C22="",0,C22),IF(C23="",0,C23))</f>
        <v>3850</v>
      </c>
      <c r="K8" s="226">
        <f t="shared" ref="K8" si="4">D21+D22+D23</f>
        <v>462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81</v>
      </c>
      <c r="C9" s="29">
        <f>IF(DigitaNICA!E10&lt;&gt;"",DigitaNICA!E10,"")</f>
        <v>73150</v>
      </c>
      <c r="D9" s="42">
        <f>IF(C9="",0,C9*J$15)</f>
        <v>8778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64372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IF(DigitaTICA!E10&lt;&gt;"",DigitaTICA!E10,"")</f>
        <v>71300</v>
      </c>
      <c r="D11" s="42">
        <f>IF(C11="",0,C11*J$14)</f>
        <v>8556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62744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25200</v>
      </c>
      <c r="D12" s="42">
        <f>IF(C12="",0,C12*J$16)</f>
        <v>2520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22680</v>
      </c>
    </row>
    <row r="13" spans="1:12" ht="15" thickBot="1" x14ac:dyDescent="0.4">
      <c r="A13" s="28" t="s">
        <v>50</v>
      </c>
      <c r="B13" s="132">
        <f>IF(DigitaNICA!G2&lt;&gt;"",DigitaNICA!G2,"")</f>
        <v>43</v>
      </c>
      <c r="C13" s="29">
        <f>IF(DigitaNICA!G10&lt;&gt;"",DigitaNICA!G10,"")</f>
        <v>65050</v>
      </c>
      <c r="D13" s="42">
        <f>IF(C13="",0,C13*J$15)</f>
        <v>7806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48744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46200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IF(DigitaTICA!G10&lt;&gt;"",DigitaTICA!G10,"")</f>
        <v>135900</v>
      </c>
      <c r="D15" s="42">
        <f>IF(C15="",0,C15*J$14)</f>
        <v>16308</v>
      </c>
      <c r="E15" s="29">
        <f>IF(DigitaTICA!H10&lt;&gt;"",DigitaTICA!H10,"")</f>
        <v>300</v>
      </c>
      <c r="F15" s="42">
        <f>IF(E15="",0,E15*PREMIOS!F15)</f>
        <v>25500</v>
      </c>
      <c r="G15" s="30">
        <f t="shared" si="6"/>
        <v>94092</v>
      </c>
      <c r="I15" s="63" t="s">
        <v>37</v>
      </c>
      <c r="J15" s="64">
        <v>0.12</v>
      </c>
      <c r="K15" s="30">
        <f>MROUND(D5+D9+D13+D17,50)</f>
        <v>37350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32050</v>
      </c>
      <c r="D16" s="42">
        <f>IF(C16="",0,C16*J$16)</f>
        <v>3205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28845</v>
      </c>
      <c r="I16" s="63" t="s">
        <v>38</v>
      </c>
      <c r="J16" s="64">
        <v>0.1</v>
      </c>
      <c r="K16" s="30">
        <f>MROUND(D6+D8+D10+D12+D14+D16+D18,50)</f>
        <v>7750</v>
      </c>
    </row>
    <row r="17" spans="1:11" x14ac:dyDescent="0.35">
      <c r="A17" s="28" t="s">
        <v>52</v>
      </c>
      <c r="B17" s="132">
        <f>IF(DigitaNICA!I2&lt;&gt;"",DigitaNICA!I2,"")</f>
        <v>57</v>
      </c>
      <c r="C17" s="29">
        <f>IF(DigitaNICA!I10&lt;&gt;"",DigitaNICA!I10,"")</f>
        <v>106400</v>
      </c>
      <c r="D17" s="42">
        <f>IF(C17="",0,C17*J$15)</f>
        <v>12768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76632</v>
      </c>
      <c r="I17" s="63" t="s">
        <v>96</v>
      </c>
      <c r="J17" s="64">
        <v>0.12</v>
      </c>
      <c r="K17" s="30">
        <f>MROUND(D19+D20,50)</f>
        <v>7450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450</v>
      </c>
    </row>
    <row r="19" spans="1:11" x14ac:dyDescent="0.35">
      <c r="A19" s="28" t="s">
        <v>97</v>
      </c>
      <c r="B19" s="132">
        <f>IF(DigitaPRIMERA!C2&lt;&gt;"",DigitaPRIMERA!C2,"")</f>
        <v>15</v>
      </c>
      <c r="C19" s="29">
        <f>IF(DigitaPRIMERA!$C$10&lt;&gt;"",DigitaPRIMERA!$C$10,"")</f>
        <v>36100</v>
      </c>
      <c r="D19" s="42">
        <f>IF(C19="",0,C19*J$17)</f>
        <v>4332</v>
      </c>
      <c r="E19" s="29">
        <f>IF(DigitaPRIMERA!$D$10&lt;&gt;"",DigitaPRIMERA!$D$10,"")</f>
        <v>3000</v>
      </c>
      <c r="F19" s="42">
        <f>IF(E19="",0,E19*PREMIOS!F19)</f>
        <v>255000</v>
      </c>
      <c r="G19" s="30">
        <f t="shared" ref="G19:G22" si="7">IF(OR(C19="",E19=""),0,C19-D19-F19)</f>
        <v>-223232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 t="str">
        <f>IF(DigitaPRIMERA!E2&lt;&gt;"",DigitaPRIMERA!E2,"")</f>
        <v>09</v>
      </c>
      <c r="C20" s="29">
        <f>IF(DigitaPRIMERA!$E$10&lt;&gt;"",DigitaPRIMERA!$E$10,"")</f>
        <v>25850</v>
      </c>
      <c r="D20" s="42">
        <f>IF(C20="",0,C20*J$17)</f>
        <v>3102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22748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78</v>
      </c>
      <c r="C21" s="29">
        <f>IF(DigitaHONDURAS!$C$10&lt;&gt;"",DigitaHONDURAS!$C$10,"")</f>
        <v>1000</v>
      </c>
      <c r="D21" s="42">
        <f>IF(C21="",0,C21*J$18)</f>
        <v>120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880</v>
      </c>
    </row>
    <row r="22" spans="1:11" x14ac:dyDescent="0.35">
      <c r="A22" s="28" t="s">
        <v>100</v>
      </c>
      <c r="B22" s="132">
        <f>IF(DigitaHONDURAS!E2&lt;&gt;"",DigitaHONDURAS!E2,"")</f>
        <v>12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>
        <f>IF(DigitaHONDURAS!G2&lt;&gt;"",DigitaHONDURAS!G2,"")</f>
        <v>59</v>
      </c>
      <c r="C23" s="29">
        <f>IF(DigitaHONDURAS!$G$10&lt;&gt;"",DigitaHONDURAS!$G$10,"")</f>
        <v>2850</v>
      </c>
      <c r="D23" s="42">
        <f>IF(C23="",0,C23*J$18)</f>
        <v>342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2508</v>
      </c>
    </row>
    <row r="24" spans="1:11" x14ac:dyDescent="0.35">
      <c r="A24" s="28" t="s">
        <v>107</v>
      </c>
      <c r="B24" s="132">
        <f>IF(DigitaDOMINICANA!C2&lt;&gt;"",DigitaDOMINICANA!C2,"")</f>
        <v>53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12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839300</v>
      </c>
      <c r="D27" s="68">
        <f t="shared" ref="D27:F27" si="9">SUM(D5:D26)</f>
        <v>99171</v>
      </c>
      <c r="E27" s="68">
        <f t="shared" si="9"/>
        <v>5650</v>
      </c>
      <c r="F27" s="68">
        <f t="shared" si="9"/>
        <v>509000</v>
      </c>
      <c r="G27" s="88">
        <f>SUM(G5:G26)</f>
        <v>231129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37500</v>
      </c>
      <c r="K4" s="231">
        <f t="shared" ref="K4" si="0">D7+D11+D15</f>
        <v>4500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IF(DigitaTICA!C11&lt;&gt;"",DigitaTICA!C11,"")</f>
        <v>4500</v>
      </c>
      <c r="D7" s="42">
        <f>IF(C7="",0,C7*J$11)</f>
        <v>540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3960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4500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IF(DigitaTICA!G11&lt;&gt;"",DigitaTICA!G11,"")</f>
        <v>33000</v>
      </c>
      <c r="D15" s="42">
        <f>IF(C15="",0,C15*J$11)</f>
        <v>3960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29040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37500</v>
      </c>
      <c r="D21" s="122">
        <f t="shared" ref="D21:G21" si="5">SUM(D5:D20)</f>
        <v>4500</v>
      </c>
      <c r="E21" s="122">
        <f t="shared" si="5"/>
        <v>0</v>
      </c>
      <c r="F21" s="122">
        <f t="shared" si="5"/>
        <v>0</v>
      </c>
      <c r="G21" s="123">
        <f t="shared" si="5"/>
        <v>33000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3" zoomScale="90" zoomScaleNormal="90" workbookViewId="0">
      <selection activeCell="G27" sqref="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87050</v>
      </c>
      <c r="K4" s="231">
        <f>D7+D11+D15</f>
        <v>10446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IF(DigitaNICA!C12&lt;&gt;"",DigitaNICA!C12,"")</f>
        <v>36700</v>
      </c>
      <c r="D5" s="42">
        <f>IF(C5="",0,C5*J$12)</f>
        <v>4404</v>
      </c>
      <c r="E5" s="29">
        <f>IF(DigitaNICA!D12&lt;&gt;"",DigitaNICA!D12,"")</f>
        <v>450</v>
      </c>
      <c r="F5" s="42">
        <f>IF(E5="",0,E5*PREMIOS!F5)</f>
        <v>38250</v>
      </c>
      <c r="G5" s="30">
        <f t="shared" ref="G5:G12" si="0">IF(OR(C5="",E5=""),0,C5-D5-F5)</f>
        <v>-5954</v>
      </c>
      <c r="I5" s="217" t="s">
        <v>37</v>
      </c>
      <c r="J5" s="221">
        <f>SUM(IF(C5="",0,C5),IF(C9="",0,C9),IF(C13="",0,C13),IF(C17="",0,C17))</f>
        <v>42300</v>
      </c>
      <c r="K5" s="225">
        <f t="shared" ref="K5" si="1">D5+D9+D13+D17</f>
        <v>5076</v>
      </c>
      <c r="L5" s="222">
        <f>F5+F9+F13+F17</f>
        <v>38250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500</v>
      </c>
      <c r="K6" s="226">
        <f t="shared" ref="K6" si="2">+D8+D12+D16</f>
        <v>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64</v>
      </c>
      <c r="C7" s="29">
        <f>IF(DigitaTICA!C12&lt;&gt;"",DigitaTICA!C12,"")</f>
        <v>31400</v>
      </c>
      <c r="D7" s="42">
        <f>IF(C7="",0,C7*J$11)</f>
        <v>3768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6382</v>
      </c>
      <c r="I7" s="217" t="s">
        <v>96</v>
      </c>
      <c r="J7" s="223">
        <f>SUM(IF(C19="",0,C19),IF(C20="",0,C20))</f>
        <v>31850</v>
      </c>
      <c r="K7" s="226">
        <f>+D19+D20</f>
        <v>3822</v>
      </c>
      <c r="L7" s="227">
        <f>+F19+F20</f>
        <v>34000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81</v>
      </c>
      <c r="C9" s="29">
        <f>IF(DigitaNICA!E12&lt;&gt;"",DigitaNICA!E12,"")</f>
        <v>5600</v>
      </c>
      <c r="D9" s="42">
        <f>IF(C9="",0,C9*J$12)</f>
        <v>672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4928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IF(DigitaTICA!E12&lt;&gt;"",DigitaTICA!E12,"")</f>
        <v>21400</v>
      </c>
      <c r="D11" s="42">
        <f>IF(C11="",0,C11*J$11)</f>
        <v>2568</v>
      </c>
      <c r="E11" s="29">
        <f>IF(DigitaTICA!F12&lt;&gt;"",DigitaTICA!F12,"")</f>
        <v>500</v>
      </c>
      <c r="F11" s="42">
        <f>IF(E11="",0,E11*PREMIOS!F11)</f>
        <v>42500</v>
      </c>
      <c r="G11" s="30">
        <f t="shared" si="0"/>
        <v>-23668</v>
      </c>
      <c r="I11" s="60" t="s">
        <v>36</v>
      </c>
      <c r="J11" s="61">
        <v>0.12</v>
      </c>
      <c r="K11" s="62">
        <f>MROUND(D7+D11+D15,50)</f>
        <v>10450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5100</v>
      </c>
    </row>
    <row r="13" spans="1:12" x14ac:dyDescent="0.35">
      <c r="A13" s="28" t="s">
        <v>50</v>
      </c>
      <c r="B13" s="132">
        <f>IF(DigitaNICA!G2&lt;&gt;"",DigitaNICA!G2,"")</f>
        <v>43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3800</v>
      </c>
    </row>
    <row r="15" spans="1:12" ht="15" thickBot="1" x14ac:dyDescent="0.4">
      <c r="A15" s="28" t="s">
        <v>61</v>
      </c>
      <c r="B15" s="132">
        <f>IF(DigitaTICA!G2&lt;&gt;"",DigitaTICA!G2,"")</f>
        <v>32</v>
      </c>
      <c r="C15" s="29">
        <f>IF(DigitaTICA!G12&lt;&gt;"",DigitaTICA!G12,"")</f>
        <v>34250</v>
      </c>
      <c r="D15" s="42">
        <f>IF(C15="",0,C15*J$11)</f>
        <v>4110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30140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>
        <f>IF(DigitaPRIMERA!$C$12&lt;&gt;"",DigitaPRIMERA!$C$12,"")</f>
        <v>31850</v>
      </c>
      <c r="D19" s="42">
        <f>IF(C19="",0,C19*J$14)</f>
        <v>3822</v>
      </c>
      <c r="E19" s="29">
        <f>IF(DigitaPRIMERA!$D$12&lt;&gt;"",DigitaPRIMERA!$D$12,"")</f>
        <v>400</v>
      </c>
      <c r="F19" s="42">
        <f>IF(E19="",0,E19*PREMIOS!F19)</f>
        <v>34000</v>
      </c>
      <c r="G19" s="30">
        <f t="shared" si="3"/>
        <v>-5972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78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161700</v>
      </c>
      <c r="D24" s="68">
        <f t="shared" ref="D24:G24" si="4">SUM(D5:D23)</f>
        <v>19394</v>
      </c>
      <c r="E24" s="68">
        <f t="shared" si="4"/>
        <v>1600</v>
      </c>
      <c r="F24" s="68">
        <f t="shared" si="4"/>
        <v>136000</v>
      </c>
      <c r="G24" s="88">
        <f t="shared" si="4"/>
        <v>6306</v>
      </c>
    </row>
    <row r="27" spans="1:7" x14ac:dyDescent="0.35">
      <c r="G27" s="21">
        <v>436309</v>
      </c>
    </row>
    <row r="28" spans="1:7" x14ac:dyDescent="0.35">
      <c r="G28" s="141">
        <f>+G24+G27</f>
        <v>442615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131650</v>
      </c>
      <c r="K4" s="231">
        <f t="shared" ref="K4" si="0">D7+D11+D15</f>
        <v>15798</v>
      </c>
      <c r="L4" s="220">
        <f>F7+F11+F15</f>
        <v>136000</v>
      </c>
    </row>
    <row r="5" spans="1:12" ht="15" thickBot="1" x14ac:dyDescent="0.4">
      <c r="A5" s="28" t="s">
        <v>43</v>
      </c>
      <c r="B5" s="132">
        <f>IF(DigitaNICA!C2&lt;&gt;"",DigitaNICA!C2,"")</f>
        <v>50</v>
      </c>
      <c r="C5" s="29">
        <f>IF(DigitaNICA!C13&lt;&gt;"",DigitaNICA!C13,"")</f>
        <v>43300</v>
      </c>
      <c r="D5" s="42">
        <f>IF(C5="",0,C5*J$10)</f>
        <v>5196</v>
      </c>
      <c r="E5" s="29">
        <f>IF(DigitaNICA!D13&lt;&gt;"",DigitaNICA!D13,"")</f>
        <v>450</v>
      </c>
      <c r="F5" s="42">
        <f>IF(E5="",0,E5*PREMIOS!E5)</f>
        <v>36000</v>
      </c>
      <c r="G5" s="30">
        <f t="shared" ref="G5:G12" si="1">IF(OR(C5="",E5=""),0,C5-D5-F5)</f>
        <v>2104</v>
      </c>
      <c r="I5" s="218" t="s">
        <v>37</v>
      </c>
      <c r="J5" s="232">
        <f>SUM(IF(C5="",0,C5),IF(C9="",0,C9),IF(C13="",0,C13),IF(C17="",0,C17))</f>
        <v>95050</v>
      </c>
      <c r="K5" s="233">
        <f t="shared" ref="K5" si="2">D5+D9+D13+D17</f>
        <v>11406</v>
      </c>
      <c r="L5" s="234">
        <f>F5+F9+F13+F17</f>
        <v>92000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IF(DigitaTICA!C13&lt;&gt;"",DigitaTICA!C13,"")</f>
        <v>42150</v>
      </c>
      <c r="D7" s="42">
        <f>IF(C7="",0,C7*J$9)</f>
        <v>5058</v>
      </c>
      <c r="E7" s="29">
        <f>IF(DigitaTICA!D13&lt;&gt;"",DigitaTICA!D13,"")</f>
        <v>200</v>
      </c>
      <c r="F7" s="133">
        <f>IF(E7="",0,E7*PREMIOS!F7)</f>
        <v>17000</v>
      </c>
      <c r="G7" s="30">
        <f t="shared" si="1"/>
        <v>20092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81</v>
      </c>
      <c r="C9" s="29">
        <f>IF(DigitaNICA!E13&lt;&gt;"",DigitaNICA!E13,"")</f>
        <v>35900</v>
      </c>
      <c r="D9" s="42">
        <f>IF(C9="",0,C9*J$10)</f>
        <v>4308</v>
      </c>
      <c r="E9" s="29">
        <f>IF(DigitaNICA!F13&lt;&gt;"",DigitaNICA!F13,"")</f>
        <v>600</v>
      </c>
      <c r="F9" s="133">
        <f>IF(E9="",0,E9*PREMIOS!E9)</f>
        <v>48000</v>
      </c>
      <c r="G9" s="30">
        <f t="shared" si="1"/>
        <v>-16408</v>
      </c>
      <c r="I9" s="60" t="s">
        <v>36</v>
      </c>
      <c r="J9" s="61">
        <v>0.12</v>
      </c>
      <c r="K9" s="62">
        <f>MROUND(D7+D11+D15,50)</f>
        <v>15800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11400</v>
      </c>
    </row>
    <row r="11" spans="1:12" ht="15" thickBot="1" x14ac:dyDescent="0.4">
      <c r="A11" s="28" t="s">
        <v>59</v>
      </c>
      <c r="B11" s="132">
        <f>IF(DigitaTICA!E2&lt;&gt;"",DigitaTICA!E2,"")</f>
        <v>26</v>
      </c>
      <c r="C11" s="29">
        <f>IF(DigitaTICA!E13&lt;&gt;"",DigitaTICA!E13,"")</f>
        <v>35750</v>
      </c>
      <c r="D11" s="42">
        <f>IF(C11="",0,C11*J$9)</f>
        <v>4290</v>
      </c>
      <c r="E11" s="29">
        <f>IF(DigitaTICA!F13&lt;&gt;"",DigitaTICA!F13,"")</f>
        <v>700</v>
      </c>
      <c r="F11" s="133">
        <f>IF(E11="",0,E11*PREMIOS!F11)</f>
        <v>59500</v>
      </c>
      <c r="G11" s="30">
        <f t="shared" si="1"/>
        <v>-28040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43</v>
      </c>
      <c r="C13" s="29">
        <f>IF(DigitaNICA!G13&lt;&gt;"",DigitaNICA!G13,"")</f>
        <v>15350</v>
      </c>
      <c r="D13" s="42">
        <f>IF(C13="",0,C13*J$10)</f>
        <v>1842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13508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IF(DigitaTICA!G13&lt;&gt;"",DigitaTICA!G13,"")</f>
        <v>53750</v>
      </c>
      <c r="D15" s="42">
        <f>IF(C15="",0,C15*J$9)</f>
        <v>6450</v>
      </c>
      <c r="E15" s="29">
        <f>IF(DigitaTICA!H13&lt;&gt;"",DigitaTICA!H13,"")</f>
        <v>700</v>
      </c>
      <c r="F15" s="133">
        <f>IF(E15="",0,E15*PREMIOS!F15)</f>
        <v>59500</v>
      </c>
      <c r="G15" s="30">
        <f t="shared" si="3"/>
        <v>-12200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-7560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226700</v>
      </c>
      <c r="D19" s="68">
        <f>MROUND(SUM(D5:D18),50)</f>
        <v>27200</v>
      </c>
      <c r="E19" s="68">
        <f>SUM(E5:E18)</f>
        <v>2750</v>
      </c>
      <c r="F19" s="68">
        <f>SUM(F5:F18)</f>
        <v>228000</v>
      </c>
      <c r="G19" s="88">
        <f>SUM(G5:G18)</f>
        <v>-28504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69500</v>
      </c>
      <c r="K4" s="236">
        <f t="shared" ref="K4" si="0">D7+D11+D15</f>
        <v>10425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50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IF(DigitaTICA!C14&lt;&gt;"",DigitaTICA!C14,"")</f>
        <v>31600</v>
      </c>
      <c r="D7" s="42">
        <f>IF(C7="",0,C7*J$9)</f>
        <v>4740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26860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81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10450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26</v>
      </c>
      <c r="C11" s="29">
        <f>IF(DigitaTICA!E14&lt;&gt;"",DigitaTICA!E14,"")</f>
        <v>5300</v>
      </c>
      <c r="D11" s="42">
        <f>IF(C11="",0,C11*J$9)</f>
        <v>795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4505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>
        <f>IF(DigitaTICA!G14&lt;&gt;"",DigitaTICA!G14,"")</f>
        <v>32600</v>
      </c>
      <c r="D15" s="42">
        <f>IF(C15="",0,C15*J$9)</f>
        <v>4890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27710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69500</v>
      </c>
      <c r="D19" s="68">
        <f>MROUND(SUM(D5:D18),50)</f>
        <v>10450</v>
      </c>
      <c r="E19" s="68">
        <f>SUM(E5:E18)</f>
        <v>0</v>
      </c>
      <c r="F19" s="68">
        <f>SUM(F5:F18)</f>
        <v>0</v>
      </c>
      <c r="G19" s="88">
        <f>SUM(G5:G18)</f>
        <v>59075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44300</v>
      </c>
      <c r="K4" s="231">
        <f>D7+D11+D15</f>
        <v>5316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50</v>
      </c>
      <c r="C5" s="29">
        <f>IF(DigitaNICA!C16&lt;&gt;"",DigitaNICA!C16,"")</f>
        <v>5000</v>
      </c>
      <c r="D5" s="42">
        <f>IF(C5="",0,C5*J$12)</f>
        <v>600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4400</v>
      </c>
      <c r="I5" s="63" t="s">
        <v>37</v>
      </c>
      <c r="J5" s="225">
        <f>SUM(IF(C5="",0,C5),IF(C9="",0,C9),IF(C13="",0,C13),IF(C17="",0,C17))</f>
        <v>17300</v>
      </c>
      <c r="K5" s="225">
        <f t="shared" ref="K5" si="1">D5+D9+D13+D17</f>
        <v>2076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64</v>
      </c>
      <c r="C7" s="29">
        <f>IF(DigitaTICA!C16&lt;&gt;"",DigitaTICA!C16,"")</f>
        <v>11900</v>
      </c>
      <c r="D7" s="42">
        <f>IF(C7="",0,C7*J$11)</f>
        <v>1428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10472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81</v>
      </c>
      <c r="C9" s="29">
        <f>IF(DigitaNICA!E16&lt;&gt;"",DigitaNICA!E16,"")</f>
        <v>2400</v>
      </c>
      <c r="D9" s="42">
        <f>IF(C9="",0,C9*J$12)</f>
        <v>288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2112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IF(DigitaTICA!E16&lt;&gt;"",DigitaTICA!E16,"")</f>
        <v>9000</v>
      </c>
      <c r="D11" s="42">
        <f>IF(C11="",0,C11*J$11)</f>
        <v>1080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7920</v>
      </c>
      <c r="I11" s="76" t="s">
        <v>36</v>
      </c>
      <c r="J11" s="77">
        <v>0.12</v>
      </c>
      <c r="K11" s="78">
        <f>MROUND(D7+D11+D15,50)</f>
        <v>5300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2100</v>
      </c>
    </row>
    <row r="13" spans="1:12" x14ac:dyDescent="0.35">
      <c r="A13" s="28" t="s">
        <v>50</v>
      </c>
      <c r="B13" s="132">
        <f>IF(DigitaNICA!G2&lt;&gt;"",DigitaNICA!G2,"")</f>
        <v>43</v>
      </c>
      <c r="C13" s="29">
        <f>IF(DigitaNICA!G16&lt;&gt;"",DigitaNICA!G16,"")</f>
        <v>4700</v>
      </c>
      <c r="D13" s="42">
        <f>IF(C13="",0,C13*J$12)</f>
        <v>564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4136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32</v>
      </c>
      <c r="C15" s="29">
        <f>IF(DigitaTICA!G16&lt;&gt;"",DigitaTICA!G16,"")</f>
        <v>23400</v>
      </c>
      <c r="D15" s="42">
        <f>IF(C15="",0,C15*J$11)</f>
        <v>2808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20592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>
        <f>IF(DigitaNICA!I16&lt;&gt;"",DigitaNICA!I16,"")</f>
        <v>5200</v>
      </c>
      <c r="D17" s="42">
        <f>IF(C17="",0,C17*J$12)</f>
        <v>624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4576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78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62600</v>
      </c>
      <c r="D24" s="122">
        <f t="shared" ref="D24:G24" si="5">SUM(D5:D23)</f>
        <v>7492</v>
      </c>
      <c r="E24" s="122">
        <f t="shared" si="5"/>
        <v>0</v>
      </c>
      <c r="F24" s="122">
        <f t="shared" si="5"/>
        <v>0</v>
      </c>
      <c r="G24" s="123">
        <f t="shared" si="5"/>
        <v>55108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461950</v>
      </c>
      <c r="K4" s="231">
        <f t="shared" ref="K4" si="0">D7+D11+D15</f>
        <v>55434</v>
      </c>
      <c r="L4" s="220">
        <f>F7+F11+F15</f>
        <v>301750</v>
      </c>
    </row>
    <row r="5" spans="1:12" x14ac:dyDescent="0.35">
      <c r="A5" s="28" t="s">
        <v>43</v>
      </c>
      <c r="B5" s="132">
        <f>IF(DigitaNICA!C2&lt;&gt;"",DigitaNICA!C2,"")</f>
        <v>50</v>
      </c>
      <c r="C5" s="89">
        <f>IF(DigitaNICA!C17&lt;&gt;"",DigitaNICA!C17,"")</f>
        <v>139150</v>
      </c>
      <c r="D5" s="42">
        <f>IF(C5="",0,C5*J$16)</f>
        <v>16698</v>
      </c>
      <c r="E5" s="89">
        <f>IF(DigitaNICA!D17&lt;&gt;"",DigitaNICA!D17,"")</f>
        <v>1700</v>
      </c>
      <c r="F5" s="42">
        <f>IF(E5="",0,E5*PREMIOS!F5)</f>
        <v>144500</v>
      </c>
      <c r="G5" s="90">
        <f t="shared" ref="G5:G12" si="1">IF(OR(C5="",E5=""),0,C5-D5-F5)</f>
        <v>-22048</v>
      </c>
      <c r="I5" s="217" t="s">
        <v>37</v>
      </c>
      <c r="J5" s="221">
        <f>SUM(IF(C5="",0,C5),IF(C9="",0,C9),IF(C13="",0,C13),IF(C17="",0,C17))</f>
        <v>491850</v>
      </c>
      <c r="K5" s="225">
        <f t="shared" ref="K5" si="2">D5+D9+D13+D17</f>
        <v>59022</v>
      </c>
      <c r="L5" s="222">
        <f>F5+F9+F13+F17</f>
        <v>221000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61850</v>
      </c>
      <c r="K6" s="226">
        <f t="shared" ref="K6" si="3">+D8+D12+D16</f>
        <v>6185</v>
      </c>
      <c r="L6" s="227">
        <f>+F8+F12+F16</f>
        <v>40000</v>
      </c>
    </row>
    <row r="7" spans="1:12" x14ac:dyDescent="0.35">
      <c r="A7" s="28" t="s">
        <v>46</v>
      </c>
      <c r="B7" s="132">
        <f>IF(DigitaTICA!C2&lt;&gt;"",DigitaTICA!C2,"")</f>
        <v>64</v>
      </c>
      <c r="C7" s="89">
        <f>IF(DigitaTICA!C17&lt;&gt;"",DigitaTICA!C17,"")</f>
        <v>151450</v>
      </c>
      <c r="D7" s="42">
        <f>IF(C7="",0,C7*J$15)</f>
        <v>18174</v>
      </c>
      <c r="E7" s="89">
        <f>IF(DigitaTICA!D17&lt;&gt;"",DigitaTICA!D17,"")</f>
        <v>1750</v>
      </c>
      <c r="F7" s="42">
        <f>IF(E7="",0,E7*PREMIOS!F7)</f>
        <v>148750</v>
      </c>
      <c r="G7" s="90">
        <f t="shared" si="1"/>
        <v>-15474</v>
      </c>
      <c r="I7" s="217" t="s">
        <v>96</v>
      </c>
      <c r="J7" s="223">
        <f>SUM(IF(C19="",0,C19),IF(C20="",0,C20))</f>
        <v>116250</v>
      </c>
      <c r="K7" s="226">
        <f>+D19+D20</f>
        <v>13950</v>
      </c>
      <c r="L7" s="227">
        <f>+F19+F20</f>
        <v>242250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20350</v>
      </c>
      <c r="D8" s="42">
        <f>IF(C8="",0,C8*J$17)</f>
        <v>2035</v>
      </c>
      <c r="E8" s="89">
        <f>IF(DigitaREVENTADO!D17&lt;&gt;"",DigitaREVENTADO!D17,"")</f>
        <v>200</v>
      </c>
      <c r="F8" s="42">
        <f>IF(E8="",0,E8*PREMIOS!F8)</f>
        <v>40000</v>
      </c>
      <c r="G8" s="90">
        <f t="shared" si="1"/>
        <v>-21685</v>
      </c>
      <c r="I8" s="217" t="s">
        <v>104</v>
      </c>
      <c r="J8" s="223">
        <f>SUM(IF(C21="",0,C21),IF(C22="",0,C22),IF(C23="",0,C23))</f>
        <v>102650</v>
      </c>
      <c r="K8" s="226">
        <f t="shared" ref="K8" si="4">D21+D22+D23</f>
        <v>12318</v>
      </c>
      <c r="L8" s="227">
        <f>F21+F22+F23</f>
        <v>51000</v>
      </c>
    </row>
    <row r="9" spans="1:12" x14ac:dyDescent="0.35">
      <c r="A9" s="28" t="s">
        <v>48</v>
      </c>
      <c r="B9" s="132">
        <f>IF(DigitaNICA!E2&lt;&gt;"",DigitaNICA!E2,"")</f>
        <v>81</v>
      </c>
      <c r="C9" s="89">
        <f>IF(DigitaNICA!E17&lt;&gt;"",DigitaNICA!E17,"")</f>
        <v>123900</v>
      </c>
      <c r="D9" s="42">
        <f>IF(C9="",0,C9*J$16)</f>
        <v>14868</v>
      </c>
      <c r="E9" s="89">
        <f>IF(DigitaNICA!F17&lt;&gt;"",DigitaNICA!F17,"")</f>
        <v>700</v>
      </c>
      <c r="F9" s="42">
        <f>IF(E9="",0,E9*PREMIOS!F9)</f>
        <v>59500</v>
      </c>
      <c r="G9" s="90">
        <f t="shared" si="1"/>
        <v>49532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26</v>
      </c>
      <c r="C11" s="89">
        <f>IF(DigitaTICA!E17&lt;&gt;"",DigitaTICA!E17,"")</f>
        <v>109700</v>
      </c>
      <c r="D11" s="42">
        <f>IF(C11="",0,C11*J$15)</f>
        <v>13164</v>
      </c>
      <c r="E11" s="89">
        <f>IF(DigitaTICA!F17&lt;&gt;"",DigitaTICA!F17,"")</f>
        <v>800</v>
      </c>
      <c r="F11" s="42">
        <f>IF(E11="",0,E11*PREMIOS!F11)</f>
        <v>68000</v>
      </c>
      <c r="G11" s="90">
        <f t="shared" si="1"/>
        <v>28536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15900</v>
      </c>
      <c r="D12" s="42">
        <f>IF(C12="",0,C12*J$17)</f>
        <v>1590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14310</v>
      </c>
    </row>
    <row r="13" spans="1:12" ht="15" thickBot="1" x14ac:dyDescent="0.4">
      <c r="A13" s="28" t="s">
        <v>50</v>
      </c>
      <c r="B13" s="132">
        <f>IF(DigitaNICA!G2&lt;&gt;"",DigitaNICA!G2,"")</f>
        <v>43</v>
      </c>
      <c r="C13" s="89">
        <f>IF(DigitaNICA!G17&lt;&gt;"",DigitaNICA!G17,"")</f>
        <v>59450</v>
      </c>
      <c r="D13" s="42">
        <f>IF(C13="",0,C13*J$16)</f>
        <v>7134</v>
      </c>
      <c r="E13" s="89">
        <f>IF(DigitaNICA!H17&lt;&gt;"",DigitaNICA!H17,"")</f>
        <v>0</v>
      </c>
      <c r="F13" s="42">
        <f>IF(E13="",0,E13*PREMIOS!F13)</f>
        <v>0</v>
      </c>
      <c r="G13" s="90">
        <f>IF(OR(C13="",E13=""),0,C13-D13-F13)</f>
        <v>52316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32</v>
      </c>
      <c r="C15" s="89">
        <f>IF(DigitaTICA!G17&lt;&gt;"",DigitaTICA!G17,"")</f>
        <v>200800</v>
      </c>
      <c r="D15" s="42">
        <f>IF(C15="",0,C15*J$15)</f>
        <v>24096</v>
      </c>
      <c r="E15" s="89">
        <f>IF(DigitaTICA!H17&lt;&gt;"",DigitaTICA!H17,"")</f>
        <v>1000</v>
      </c>
      <c r="F15" s="42">
        <f>IF(E15="",0,E15*PREMIOS!F15)</f>
        <v>85000</v>
      </c>
      <c r="G15" s="90">
        <f t="shared" si="6"/>
        <v>91704</v>
      </c>
      <c r="I15" s="76" t="s">
        <v>36</v>
      </c>
      <c r="J15" s="77">
        <v>0.12</v>
      </c>
      <c r="K15" s="78">
        <f>MROUND(D7+D11+D15,50)</f>
        <v>55450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25600</v>
      </c>
      <c r="D16" s="42">
        <f>IF(C16="",0,C16*J$17)</f>
        <v>2560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23040</v>
      </c>
      <c r="I16" s="63" t="s">
        <v>37</v>
      </c>
      <c r="J16" s="64">
        <v>0.12</v>
      </c>
      <c r="K16" s="30">
        <f>MROUND(D5+D9+D13+D17,50)</f>
        <v>59000</v>
      </c>
    </row>
    <row r="17" spans="1:11" x14ac:dyDescent="0.35">
      <c r="A17" s="28" t="s">
        <v>52</v>
      </c>
      <c r="B17" s="132">
        <f>IF(DigitaNICA!I2&lt;&gt;"",DigitaNICA!I2,"")</f>
        <v>57</v>
      </c>
      <c r="C17" s="89">
        <f>IF(DigitaNICA!I17&lt;&gt;"",DigitaNICA!I17,"")</f>
        <v>169350</v>
      </c>
      <c r="D17" s="42">
        <f>IF(C17="",0,C17*J$16)</f>
        <v>20322</v>
      </c>
      <c r="E17" s="89">
        <f>IF(DigitaNICA!J17&lt;&gt;"",DigitaNICA!J17,"")</f>
        <v>200</v>
      </c>
      <c r="F17" s="42">
        <f>IF(E17="",0,E17*PREMIOS!F17)</f>
        <v>17000</v>
      </c>
      <c r="G17" s="90">
        <f t="shared" si="6"/>
        <v>132028</v>
      </c>
      <c r="I17" s="63" t="s">
        <v>38</v>
      </c>
      <c r="J17" s="64">
        <v>0.1</v>
      </c>
      <c r="K17" s="30">
        <f>MROUND(D6+D8+D10+D12+D14+D16+D18,50)</f>
        <v>6200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13950</v>
      </c>
    </row>
    <row r="19" spans="1:11" x14ac:dyDescent="0.35">
      <c r="A19" s="28" t="s">
        <v>97</v>
      </c>
      <c r="B19" s="132">
        <f>IF(DigitaPRIMERA!C2&lt;&gt;"",DigitaPRIMERA!C2,"")</f>
        <v>15</v>
      </c>
      <c r="C19" s="29">
        <f>IF(DigitaPRIMERA!$C$17&lt;&gt;"",DigitaPRIMERA!$C$17,"")</f>
        <v>83400</v>
      </c>
      <c r="D19" s="42">
        <f>IF(C19="",0,C19*J$18)</f>
        <v>10008</v>
      </c>
      <c r="E19" s="29">
        <f>IF(DigitaPRIMERA!$D$17&lt;&gt;"",DigitaPRIMERA!$D$17,"")</f>
        <v>2000</v>
      </c>
      <c r="F19" s="42">
        <f>IF(E19="",0,E19*PREMIOS!F19)</f>
        <v>170000</v>
      </c>
      <c r="G19" s="30">
        <f t="shared" si="6"/>
        <v>-96608</v>
      </c>
      <c r="I19" s="63" t="s">
        <v>104</v>
      </c>
      <c r="J19" s="64">
        <v>0.12</v>
      </c>
      <c r="K19" s="30">
        <f>MROUND(D21+D22+D23,50)</f>
        <v>12300</v>
      </c>
    </row>
    <row r="20" spans="1:11" x14ac:dyDescent="0.35">
      <c r="A20" s="28" t="s">
        <v>98</v>
      </c>
      <c r="B20" s="132" t="str">
        <f>IF(DigitaPRIMERA!E2&lt;&gt;"",DigitaPRIMERA!E2,"")</f>
        <v>09</v>
      </c>
      <c r="C20" s="29">
        <f>IF(DigitaPRIMERA!$E$17&lt;&gt;"",DigitaPRIMERA!$E$17,"")</f>
        <v>32850</v>
      </c>
      <c r="D20" s="42">
        <f>IF(C20="",0,C20*J$18)</f>
        <v>3942</v>
      </c>
      <c r="E20" s="29">
        <f>IF(DigitaPRIMERA!$F$17&lt;&gt;"",DigitaPRIMERA!$F$17,"")</f>
        <v>850</v>
      </c>
      <c r="F20" s="42">
        <f>IF(E20="",0,E20*PREMIOS!F19)</f>
        <v>72250</v>
      </c>
      <c r="G20" s="30">
        <f t="shared" si="6"/>
        <v>-43342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78</v>
      </c>
      <c r="C21" s="29">
        <f>IF(DigitaHONDURAS!$C$17&lt;&gt;"",DigitaHONDURAS!$C$17,"")</f>
        <v>65800</v>
      </c>
      <c r="D21" s="42">
        <f>IF(C21="",0,C21*J$19)</f>
        <v>7896</v>
      </c>
      <c r="E21" s="29">
        <f>IF(DigitaHONDURAS!$D$17&lt;&gt;"",DigitaHONDURAS!$D$17,"")</f>
        <v>400</v>
      </c>
      <c r="F21" s="42">
        <f>IF(E21="",0,E21*PREMIOS!F20)</f>
        <v>34000</v>
      </c>
      <c r="G21" s="30">
        <f t="shared" si="6"/>
        <v>23904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12</v>
      </c>
      <c r="C22" s="29">
        <f>IF(DigitaHONDURAS!$E$17&lt;&gt;"",DigitaHONDURAS!$E$17,"")</f>
        <v>12300</v>
      </c>
      <c r="D22" s="42">
        <f>IF(C22="",0,C22*J$19)</f>
        <v>1476</v>
      </c>
      <c r="E22" s="29">
        <f>IF(DigitaHONDURAS!$F$17&lt;&gt;"",DigitaHONDURAS!$F$17,"")</f>
        <v>200</v>
      </c>
      <c r="F22" s="42">
        <f>IF(E22="",0,E22*PREMIOS!F20)</f>
        <v>17000</v>
      </c>
      <c r="G22" s="30">
        <f t="shared" si="6"/>
        <v>-6176</v>
      </c>
    </row>
    <row r="23" spans="1:11" x14ac:dyDescent="0.35">
      <c r="A23" s="28" t="s">
        <v>101</v>
      </c>
      <c r="B23" s="132">
        <f>IF(DigitaHONDURAS!G2&lt;&gt;"",DigitaHONDURAS!G2,"")</f>
        <v>59</v>
      </c>
      <c r="C23" s="29">
        <f>IF(DigitaHONDURAS!$G$17&lt;&gt;"",DigitaHONDURAS!$G$17,"")</f>
        <v>24550</v>
      </c>
      <c r="D23" s="42">
        <f>IF(C23="",0,C23*J$19)</f>
        <v>2946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21604</v>
      </c>
    </row>
    <row r="24" spans="1:11" x14ac:dyDescent="0.35">
      <c r="A24" s="28" t="s">
        <v>102</v>
      </c>
      <c r="B24" s="132">
        <f>IF(DigitaDOMINICANA!C2&lt;&gt;"",DigitaDOMINICANA!C2,"")</f>
        <v>53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1234550</v>
      </c>
      <c r="D27" s="68">
        <f t="shared" ref="D27:G27" si="7">SUM(D5:D26)</f>
        <v>146909</v>
      </c>
      <c r="E27" s="68">
        <f t="shared" si="7"/>
        <v>9800</v>
      </c>
      <c r="F27" s="68">
        <f t="shared" si="7"/>
        <v>856000</v>
      </c>
      <c r="G27" s="88">
        <f t="shared" si="7"/>
        <v>231641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166400</v>
      </c>
      <c r="K4" s="231">
        <f t="shared" ref="K4" si="0">D7+D11+D15</f>
        <v>19968</v>
      </c>
      <c r="L4" s="220">
        <f>F7+F11+F15</f>
        <v>80750</v>
      </c>
    </row>
    <row r="5" spans="1:12" x14ac:dyDescent="0.35">
      <c r="A5" s="28" t="str">
        <f>+Vendedor1!A5</f>
        <v>Nica 11am</v>
      </c>
      <c r="B5" s="132">
        <f>IF(DigitaNICA!C2&lt;&gt;"",DigitaNICA!C2,"")</f>
        <v>50</v>
      </c>
      <c r="C5" s="29">
        <f>IF(DigitaNICA!C18&lt;&gt;"",DigitaNICA!C18,"")</f>
        <v>43700</v>
      </c>
      <c r="D5" s="42">
        <f>IF(C5="",0,C5*J$16)</f>
        <v>5244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4456</v>
      </c>
      <c r="I5" s="217" t="s">
        <v>37</v>
      </c>
      <c r="J5" s="221">
        <f>SUM(IF(C5="",0,C5),IF(C9="",0,C9),IF(C13="",0,C13),IF(C17="",0,C17))</f>
        <v>147550</v>
      </c>
      <c r="K5" s="225">
        <f t="shared" ref="K5" si="2">D5+D9+D13+D17</f>
        <v>17706</v>
      </c>
      <c r="L5" s="222">
        <f>F5+F9+F13+F17</f>
        <v>46750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43900</v>
      </c>
      <c r="K6" s="226">
        <f t="shared" ref="K6" si="3">+D8+D12+D16</f>
        <v>4390</v>
      </c>
      <c r="L6" s="227">
        <f>+F8+F12+F16</f>
        <v>20000</v>
      </c>
    </row>
    <row r="7" spans="1:12" x14ac:dyDescent="0.35">
      <c r="A7" s="28" t="str">
        <f>+Vendedor1!A7</f>
        <v>Tica 1pm</v>
      </c>
      <c r="B7" s="132">
        <f>IF(DigitaTICA!C2&lt;&gt;"",DigitaTICA!C2,"")</f>
        <v>64</v>
      </c>
      <c r="C7" s="29">
        <f>IF(DigitaTICA!C18&lt;&gt;"",DigitaTICA!C18,"")</f>
        <v>54150</v>
      </c>
      <c r="D7" s="42">
        <f>IF(C7="",0,C7*J$15)</f>
        <v>6498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30652</v>
      </c>
      <c r="I7" s="217" t="s">
        <v>96</v>
      </c>
      <c r="J7" s="223">
        <f>SUM(IF(C19="",0,C19),IF(C20="",0,C20))</f>
        <v>87400</v>
      </c>
      <c r="K7" s="226">
        <f>+D19+D20</f>
        <v>10488</v>
      </c>
      <c r="L7" s="227">
        <f>+F19+F20</f>
        <v>136000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13950</v>
      </c>
      <c r="D8" s="42">
        <f>IF(C8="",0,C8*J$17)</f>
        <v>1395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12555</v>
      </c>
      <c r="I8" s="217" t="s">
        <v>104</v>
      </c>
      <c r="J8" s="223">
        <f>SUM(IF(C21="",0,C21),IF(C22="",0,C22),IF(C23="",0,C23))</f>
        <v>29650</v>
      </c>
      <c r="K8" s="226">
        <f t="shared" ref="K8" si="4">D21+D22+D23</f>
        <v>3558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81</v>
      </c>
      <c r="C9" s="29">
        <f>IF(DigitaNICA!E18&lt;&gt;"",DigitaNICA!E18,"")</f>
        <v>48200</v>
      </c>
      <c r="D9" s="42">
        <f>IF(C9="",0,C9*J$16)</f>
        <v>5784</v>
      </c>
      <c r="E9" s="29">
        <f>IF(DigitaNICA!F18&lt;&gt;"",DigitaNICA!F18,"")</f>
        <v>150</v>
      </c>
      <c r="F9" s="42">
        <f>IF(E9="",0,E9*PREMIOS!F9)</f>
        <v>12750</v>
      </c>
      <c r="G9" s="30">
        <f t="shared" si="1"/>
        <v>29666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IF(DigitaTICA!E18&lt;&gt;"",DigitaTICA!E18,"")</f>
        <v>40600</v>
      </c>
      <c r="D11" s="42">
        <f>IF(C11="",0,C11*J$15)</f>
        <v>4872</v>
      </c>
      <c r="E11" s="29">
        <f>IF(DigitaTICA!F18&lt;&gt;"",DigitaTICA!F18,"")</f>
        <v>150</v>
      </c>
      <c r="F11" s="42">
        <f>IF(E11="",0,E11*PREMIOS!F11)</f>
        <v>12750</v>
      </c>
      <c r="G11" s="30">
        <f t="shared" si="1"/>
        <v>22978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10700</v>
      </c>
      <c r="D12" s="42">
        <f>IF(C12="",0,C12*J$17)</f>
        <v>1070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9630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43</v>
      </c>
      <c r="C13" s="29">
        <f>IF(DigitaNICA!G18&lt;&gt;"",DigitaNICA!G18,"")</f>
        <v>35150</v>
      </c>
      <c r="D13" s="42">
        <f>IF(C13="",0,C13*J$16)</f>
        <v>4218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30932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32</v>
      </c>
      <c r="C15" s="29">
        <f>IF(DigitaTICA!G18&lt;&gt;"",DigitaTICA!G18,"")</f>
        <v>71650</v>
      </c>
      <c r="D15" s="42">
        <f>IF(C15="",0,C15*J$15)</f>
        <v>8598</v>
      </c>
      <c r="E15" s="29">
        <f>IF(DigitaTICA!H18&lt;&gt;"",DigitaTICA!H18,"")</f>
        <v>600</v>
      </c>
      <c r="F15" s="42">
        <f>IF(E15="",0,E15*PREMIOS!F15)</f>
        <v>51000</v>
      </c>
      <c r="G15" s="30">
        <f t="shared" si="6"/>
        <v>12052</v>
      </c>
      <c r="I15" s="76" t="s">
        <v>36</v>
      </c>
      <c r="J15" s="77">
        <v>0.12</v>
      </c>
      <c r="K15" s="78">
        <f>MROUND(D7+D11+D15,50)</f>
        <v>19950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19250</v>
      </c>
      <c r="D16" s="42">
        <f>IF(C16="",0,C16*J$17)</f>
        <v>1925</v>
      </c>
      <c r="E16" s="29">
        <f>IF(DigitaREVENTADO!H18&lt;&gt;"",DigitaREVENTADO!H18,"")</f>
        <v>100</v>
      </c>
      <c r="F16" s="42">
        <f>IF(E16="",0,E16*PREMIOS!F16)</f>
        <v>20000</v>
      </c>
      <c r="G16" s="30">
        <f t="shared" si="6"/>
        <v>-2675</v>
      </c>
      <c r="I16" s="63" t="s">
        <v>37</v>
      </c>
      <c r="J16" s="64">
        <v>0.12</v>
      </c>
      <c r="K16" s="30">
        <f>MROUND(D5+D9+D13+D17,50)</f>
        <v>17700</v>
      </c>
    </row>
    <row r="17" spans="1:11" x14ac:dyDescent="0.35">
      <c r="A17" s="28" t="str">
        <f>+Vendedor1!A17</f>
        <v>Nica 9pm</v>
      </c>
      <c r="B17" s="132">
        <f>IF(DigitaNICA!I2&lt;&gt;"",DigitaNICA!I2,"")</f>
        <v>57</v>
      </c>
      <c r="C17" s="29">
        <f>IF(DigitaNICA!I18&lt;&gt;"",DigitaNICA!I18,"")</f>
        <v>20500</v>
      </c>
      <c r="D17" s="42">
        <f>IF(C17="",0,C17*J$16)</f>
        <v>2460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18040</v>
      </c>
      <c r="I17" s="63" t="s">
        <v>38</v>
      </c>
      <c r="J17" s="64">
        <v>0.1</v>
      </c>
      <c r="K17" s="30">
        <f>MROUND(D6+D8+D10+D12+D14+D16+D18,50)</f>
        <v>4400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10500</v>
      </c>
    </row>
    <row r="19" spans="1:11" x14ac:dyDescent="0.35">
      <c r="A19" s="28" t="s">
        <v>97</v>
      </c>
      <c r="B19" s="132">
        <f>IF(DigitaPRIMERA!C2&lt;&gt;"",DigitaPRIMERA!C2,"")</f>
        <v>15</v>
      </c>
      <c r="C19" s="29">
        <f>IF(DigitaPRIMERA!$C$18&lt;&gt;"",DigitaPRIMERA!$C$18,"")</f>
        <v>46050</v>
      </c>
      <c r="D19" s="42">
        <f>IF(C19="",0,C19*J$18)</f>
        <v>5526</v>
      </c>
      <c r="E19" s="29">
        <f>IF(DigitaPRIMERA!$D$18&lt;&gt;"",DigitaPRIMERA!$D$18,"")</f>
        <v>850</v>
      </c>
      <c r="F19" s="42">
        <f>IF(E19="",0,E19*PREMIOS!F19)</f>
        <v>72250</v>
      </c>
      <c r="G19" s="30">
        <f t="shared" si="6"/>
        <v>-31726</v>
      </c>
      <c r="I19" s="63" t="s">
        <v>104</v>
      </c>
      <c r="J19" s="64">
        <v>0.12</v>
      </c>
      <c r="K19" s="30">
        <f>MROUND(D21+D22+D23,50)</f>
        <v>3550</v>
      </c>
    </row>
    <row r="20" spans="1:11" x14ac:dyDescent="0.35">
      <c r="A20" s="28" t="s">
        <v>98</v>
      </c>
      <c r="B20" s="132" t="str">
        <f>IF(DigitaPRIMERA!E2&lt;&gt;"",DigitaPRIMERA!E2,"")</f>
        <v>09</v>
      </c>
      <c r="C20" s="29">
        <f>IF(DigitaPRIMERA!$E$18&lt;&gt;"",DigitaPRIMERA!$E$18,"")</f>
        <v>41350</v>
      </c>
      <c r="D20" s="42">
        <f>IF(C20="",0,C20*J$18)</f>
        <v>4962</v>
      </c>
      <c r="E20" s="29">
        <f>IF(DigitaPRIMERA!$F$18&lt;&gt;"",DigitaPRIMERA!$F$18,"")</f>
        <v>750</v>
      </c>
      <c r="F20" s="42">
        <f>IF(E20="",0,E20*PREMIOS!F19)</f>
        <v>63750</v>
      </c>
      <c r="G20" s="30">
        <f t="shared" si="6"/>
        <v>-27362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78</v>
      </c>
      <c r="C21" s="29">
        <f>IF(DigitaHONDURAS!$C$18&lt;&gt;"",DigitaHONDURAS!$C$18,"")</f>
        <v>20350</v>
      </c>
      <c r="D21" s="42">
        <f>IF(C21="",0,C21*J$19)</f>
        <v>2442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17908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12</v>
      </c>
      <c r="C22" s="29">
        <f>IF(DigitaHONDURAS!$E$18&lt;&gt;"",DigitaHONDURAS!$E$18,"")</f>
        <v>9300</v>
      </c>
      <c r="D22" s="42">
        <f>IF(C22="",0,C22*J$19)</f>
        <v>1116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8184</v>
      </c>
    </row>
    <row r="23" spans="1:11" x14ac:dyDescent="0.35">
      <c r="A23" s="28" t="s">
        <v>101</v>
      </c>
      <c r="B23" s="132">
        <f>IF(DigitaHONDURAS!G2&lt;&gt;"",DigitaHONDURAS!G2,"")</f>
        <v>59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474900</v>
      </c>
      <c r="D27" s="68">
        <f t="shared" ref="D27:G27" si="7">SUM(D5:D26)</f>
        <v>56110</v>
      </c>
      <c r="E27" s="68">
        <f t="shared" si="7"/>
        <v>3200</v>
      </c>
      <c r="F27" s="68">
        <f t="shared" si="7"/>
        <v>283500</v>
      </c>
      <c r="G27" s="88">
        <f t="shared" si="7"/>
        <v>135290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81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43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9" sqref="C9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64</v>
      </c>
      <c r="D2" s="268"/>
      <c r="E2" s="267">
        <f>IF(PREMIOS!$B11="","",PREMIOS!$B11)</f>
        <v>26</v>
      </c>
      <c r="F2" s="268"/>
      <c r="G2" s="267">
        <f>IF(PREMIOS!$B15="","",PREMIOS!$B15)</f>
        <v>32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77200</v>
      </c>
      <c r="D4" s="78">
        <v>2500</v>
      </c>
      <c r="E4" s="189">
        <v>75500</v>
      </c>
      <c r="F4" s="78">
        <f t="shared" ref="D4:H27" si="0">IF(E4="","",0)</f>
        <v>0</v>
      </c>
      <c r="G4" s="189">
        <v>101100</v>
      </c>
      <c r="H4" s="78">
        <v>250</v>
      </c>
      <c r="J4" s="42">
        <f t="shared" ref="J4:J8" si="1">+C4+E4+G4</f>
        <v>253800</v>
      </c>
      <c r="K4" s="42">
        <f>IF(D4="",0,IF(F4="",D4,IF(H4="",D4+F4,D4+F4+H4)))</f>
        <v>2750</v>
      </c>
    </row>
    <row r="5" spans="1:11" x14ac:dyDescent="0.35">
      <c r="A5" s="47">
        <v>2</v>
      </c>
      <c r="B5" s="178" t="str">
        <f>Vendedor2!$B$2</f>
        <v>PUESTO 2</v>
      </c>
      <c r="C5" s="180">
        <v>49150</v>
      </c>
      <c r="D5" s="30">
        <v>1000</v>
      </c>
      <c r="E5" s="180">
        <v>50600</v>
      </c>
      <c r="F5" s="30">
        <f t="shared" si="0"/>
        <v>0</v>
      </c>
      <c r="G5" s="180">
        <v>51800</v>
      </c>
      <c r="H5" s="30">
        <v>250</v>
      </c>
      <c r="J5" s="42">
        <f t="shared" si="1"/>
        <v>151550</v>
      </c>
      <c r="K5" s="42">
        <f t="shared" ref="K5:K27" si="2">IF(D5="",0,IF(F5="",D5,IF(H5="",D5+F5,D5+F5+H5)))</f>
        <v>1250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77000</v>
      </c>
      <c r="D8" s="30">
        <v>1600</v>
      </c>
      <c r="E8" s="180">
        <v>49150</v>
      </c>
      <c r="F8" s="30">
        <f t="shared" si="0"/>
        <v>0</v>
      </c>
      <c r="G8" s="180">
        <v>58450</v>
      </c>
      <c r="H8" s="30">
        <v>350</v>
      </c>
      <c r="J8" s="42">
        <f t="shared" si="1"/>
        <v>184600</v>
      </c>
      <c r="K8" s="42">
        <f t="shared" si="2"/>
        <v>1950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60400+117450</f>
        <v>177850</v>
      </c>
      <c r="D10" s="30">
        <f>900+100</f>
        <v>1000</v>
      </c>
      <c r="E10" s="180">
        <f>30900+40400</f>
        <v>71300</v>
      </c>
      <c r="F10" s="30">
        <f t="shared" si="0"/>
        <v>0</v>
      </c>
      <c r="G10" s="180">
        <f>54600+81300</f>
        <v>135900</v>
      </c>
      <c r="H10" s="30">
        <v>300</v>
      </c>
      <c r="J10" s="42">
        <f t="shared" si="3"/>
        <v>385050</v>
      </c>
      <c r="K10" s="42">
        <f t="shared" si="2"/>
        <v>1300</v>
      </c>
    </row>
    <row r="11" spans="1:11" x14ac:dyDescent="0.35">
      <c r="A11" s="47">
        <v>8</v>
      </c>
      <c r="B11" s="178" t="str">
        <f>Vendedor8!$B$2</f>
        <v>ISA</v>
      </c>
      <c r="C11" s="180">
        <v>4500</v>
      </c>
      <c r="D11" s="30">
        <f t="shared" si="0"/>
        <v>0</v>
      </c>
      <c r="E11" s="180"/>
      <c r="F11" s="30" t="str">
        <f t="shared" si="0"/>
        <v/>
      </c>
      <c r="G11" s="180">
        <v>33000</v>
      </c>
      <c r="H11" s="30">
        <f t="shared" si="0"/>
        <v>0</v>
      </c>
      <c r="J11" s="42">
        <f t="shared" si="3"/>
        <v>37500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31400</v>
      </c>
      <c r="D12" s="30">
        <v>250</v>
      </c>
      <c r="E12" s="180">
        <v>21400</v>
      </c>
      <c r="F12" s="30">
        <v>500</v>
      </c>
      <c r="G12" s="180">
        <v>34250</v>
      </c>
      <c r="H12" s="30">
        <f t="shared" si="0"/>
        <v>0</v>
      </c>
      <c r="J12" s="42">
        <f t="shared" si="3"/>
        <v>87050</v>
      </c>
      <c r="K12" s="42">
        <f t="shared" si="2"/>
        <v>750</v>
      </c>
    </row>
    <row r="13" spans="1:11" x14ac:dyDescent="0.35">
      <c r="A13" s="47">
        <v>10</v>
      </c>
      <c r="B13" s="178" t="str">
        <f>Vendedor10!$B$2</f>
        <v>MARIALIZ</v>
      </c>
      <c r="C13" s="180">
        <v>42150</v>
      </c>
      <c r="D13" s="30">
        <v>200</v>
      </c>
      <c r="E13" s="180">
        <v>35750</v>
      </c>
      <c r="F13" s="30">
        <v>700</v>
      </c>
      <c r="G13" s="180">
        <v>53750</v>
      </c>
      <c r="H13" s="30">
        <v>700</v>
      </c>
      <c r="J13" s="42">
        <f t="shared" si="3"/>
        <v>131650</v>
      </c>
      <c r="K13" s="42">
        <f t="shared" si="2"/>
        <v>1600</v>
      </c>
    </row>
    <row r="14" spans="1:11" x14ac:dyDescent="0.35">
      <c r="A14" s="47">
        <v>11</v>
      </c>
      <c r="B14" s="178" t="str">
        <f>Vendedor11!$B$2</f>
        <v>CHARLY</v>
      </c>
      <c r="C14" s="180">
        <v>31600</v>
      </c>
      <c r="D14" s="30">
        <f t="shared" si="0"/>
        <v>0</v>
      </c>
      <c r="E14" s="180">
        <v>5300</v>
      </c>
      <c r="F14" s="30">
        <f t="shared" si="0"/>
        <v>0</v>
      </c>
      <c r="G14" s="180">
        <v>32600</v>
      </c>
      <c r="H14" s="30">
        <f t="shared" si="0"/>
        <v>0</v>
      </c>
      <c r="J14" s="42">
        <f t="shared" si="3"/>
        <v>69500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11900</v>
      </c>
      <c r="D16" s="30">
        <f t="shared" si="0"/>
        <v>0</v>
      </c>
      <c r="E16" s="180">
        <v>9000</v>
      </c>
      <c r="F16" s="30">
        <f t="shared" si="0"/>
        <v>0</v>
      </c>
      <c r="G16" s="180">
        <v>23400</v>
      </c>
      <c r="H16" s="30">
        <f t="shared" si="0"/>
        <v>0</v>
      </c>
      <c r="J16" s="42">
        <f t="shared" si="3"/>
        <v>44300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127900+23550</f>
        <v>151450</v>
      </c>
      <c r="D17" s="30">
        <f>1550+200</f>
        <v>1750</v>
      </c>
      <c r="E17" s="180">
        <f>92800+16900</f>
        <v>109700</v>
      </c>
      <c r="F17" s="30">
        <f>800+0</f>
        <v>800</v>
      </c>
      <c r="G17" s="180">
        <f>27900+172900</f>
        <v>200800</v>
      </c>
      <c r="H17" s="30">
        <v>1000</v>
      </c>
      <c r="J17" s="42">
        <f t="shared" si="3"/>
        <v>461950</v>
      </c>
      <c r="K17" s="42">
        <f t="shared" si="2"/>
        <v>3550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14950+39200</f>
        <v>54150</v>
      </c>
      <c r="D18" s="30">
        <v>200</v>
      </c>
      <c r="E18" s="180">
        <f>12500+28100</f>
        <v>40600</v>
      </c>
      <c r="F18" s="30">
        <v>150</v>
      </c>
      <c r="G18" s="180">
        <f>52400+19250</f>
        <v>71650</v>
      </c>
      <c r="H18" s="30">
        <f>500+100</f>
        <v>600</v>
      </c>
      <c r="J18" s="42">
        <f t="shared" si="3"/>
        <v>166400</v>
      </c>
      <c r="K18" s="42">
        <f t="shared" si="2"/>
        <v>950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708350</v>
      </c>
      <c r="D32" s="44">
        <f t="shared" si="6"/>
        <v>8500</v>
      </c>
      <c r="E32" s="43">
        <f t="shared" si="6"/>
        <v>468300</v>
      </c>
      <c r="F32" s="44">
        <f t="shared" si="6"/>
        <v>2150</v>
      </c>
      <c r="G32" s="43">
        <f t="shared" si="6"/>
        <v>796700</v>
      </c>
      <c r="H32" s="44">
        <f t="shared" si="6"/>
        <v>3450</v>
      </c>
      <c r="J32" s="95">
        <f>SUM(J4:J31)</f>
        <v>1973350</v>
      </c>
      <c r="K32" s="95"/>
    </row>
    <row r="33" spans="2:8" x14ac:dyDescent="0.35">
      <c r="D33" s="99">
        <f>+D32*85</f>
        <v>722500</v>
      </c>
      <c r="F33" s="99">
        <f>+F32*85</f>
        <v>182750</v>
      </c>
      <c r="H33" s="99">
        <f>+H32*85</f>
        <v>293250</v>
      </c>
    </row>
    <row r="34" spans="2:8" x14ac:dyDescent="0.35">
      <c r="B34" s="247" t="s">
        <v>149</v>
      </c>
      <c r="C34" s="43">
        <f t="shared" ref="C34:H34" si="7">+C4+C5+C6+C8+C13</f>
        <v>245500</v>
      </c>
      <c r="D34" s="43" t="e">
        <f t="shared" si="7"/>
        <v>#VALUE!</v>
      </c>
      <c r="E34" s="43">
        <f t="shared" si="7"/>
        <v>211000</v>
      </c>
      <c r="F34" s="43" t="e">
        <f t="shared" si="7"/>
        <v>#VALUE!</v>
      </c>
      <c r="G34" s="43">
        <f t="shared" si="7"/>
        <v>265100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241700</v>
      </c>
      <c r="D35" s="43" t="e">
        <f t="shared" ref="D35:H35" si="8">+D11+D14+D15+D17+D18</f>
        <v>#VALUE!</v>
      </c>
      <c r="E35" s="43">
        <f t="shared" si="8"/>
        <v>155600</v>
      </c>
      <c r="F35" s="43" t="e">
        <f t="shared" si="8"/>
        <v>#VALUE!</v>
      </c>
      <c r="G35" s="43">
        <f t="shared" si="8"/>
        <v>338050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209250</v>
      </c>
      <c r="D36" s="43" t="e">
        <f t="shared" ref="D36:H36" si="9">+D10+D12+D27</f>
        <v>#VALUE!</v>
      </c>
      <c r="E36" s="43">
        <f t="shared" si="9"/>
        <v>92700</v>
      </c>
      <c r="F36" s="43" t="e">
        <f t="shared" si="9"/>
        <v>#VALUE!</v>
      </c>
      <c r="G36" s="43">
        <f t="shared" si="9"/>
        <v>170150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50</v>
      </c>
      <c r="D2" s="268"/>
      <c r="E2" s="267">
        <f>IF(PREMIOS!$B9="","",PREMIOS!$B9)</f>
        <v>81</v>
      </c>
      <c r="F2" s="268"/>
      <c r="G2" s="267">
        <f>IF(PREMIOS!$B13="","",PREMIOS!$B13)</f>
        <v>43</v>
      </c>
      <c r="H2" s="268"/>
      <c r="I2" s="267">
        <f>IF(PREMIOS!$B17="","",PREMIOS!$B17)</f>
        <v>57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27100</v>
      </c>
      <c r="D4" s="78">
        <f t="shared" ref="D4:J27" si="0">IF(C4="","",0)</f>
        <v>0</v>
      </c>
      <c r="E4" s="206">
        <v>27800</v>
      </c>
      <c r="F4" s="78">
        <f t="shared" si="0"/>
        <v>0</v>
      </c>
      <c r="G4" s="189">
        <v>3400</v>
      </c>
      <c r="H4" s="78">
        <f t="shared" ref="H4:H27" si="1">IF(G4="","",0)</f>
        <v>0</v>
      </c>
      <c r="I4" s="189">
        <v>2600</v>
      </c>
      <c r="J4" s="78">
        <f t="shared" si="0"/>
        <v>0</v>
      </c>
      <c r="L4" s="42">
        <f t="shared" ref="L4:L8" si="2">+C4+E4+G4+I4</f>
        <v>60900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12300</v>
      </c>
      <c r="D5" s="30">
        <f t="shared" si="0"/>
        <v>0</v>
      </c>
      <c r="E5" s="207">
        <v>17900</v>
      </c>
      <c r="F5" s="30">
        <f t="shared" si="0"/>
        <v>0</v>
      </c>
      <c r="G5" s="180">
        <v>6100</v>
      </c>
      <c r="H5" s="30">
        <f t="shared" si="1"/>
        <v>0</v>
      </c>
      <c r="I5" s="180">
        <v>700</v>
      </c>
      <c r="J5" s="30">
        <f t="shared" ref="J5:J27" si="3">IF(I5="","",0)</f>
        <v>0</v>
      </c>
      <c r="L5" s="42">
        <f t="shared" si="2"/>
        <v>37000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80000</v>
      </c>
      <c r="D8" s="30">
        <v>1050</v>
      </c>
      <c r="E8" s="207">
        <v>51350</v>
      </c>
      <c r="F8" s="30">
        <v>250</v>
      </c>
      <c r="G8" s="180">
        <v>23400</v>
      </c>
      <c r="H8" s="30">
        <f t="shared" si="1"/>
        <v>0</v>
      </c>
      <c r="I8" s="180">
        <v>57650</v>
      </c>
      <c r="J8" s="30">
        <v>250</v>
      </c>
      <c r="L8" s="42">
        <f t="shared" si="2"/>
        <v>212400</v>
      </c>
      <c r="M8" s="42">
        <f t="shared" si="4"/>
        <v>1550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43450+23150</f>
        <v>66600</v>
      </c>
      <c r="D10" s="30">
        <f>500+300</f>
        <v>800</v>
      </c>
      <c r="E10" s="207">
        <f>40900+32250</f>
        <v>73150</v>
      </c>
      <c r="F10" s="30">
        <f t="shared" si="0"/>
        <v>0</v>
      </c>
      <c r="G10" s="180">
        <f>34600+30450</f>
        <v>65050</v>
      </c>
      <c r="H10" s="30">
        <v>100</v>
      </c>
      <c r="I10" s="180">
        <f>66400+40000</f>
        <v>106400</v>
      </c>
      <c r="J10" s="30">
        <v>200</v>
      </c>
      <c r="L10" s="42">
        <f t="shared" si="5"/>
        <v>311200</v>
      </c>
      <c r="M10" s="42">
        <f t="shared" si="4"/>
        <v>1100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36700</v>
      </c>
      <c r="D12" s="30">
        <v>450</v>
      </c>
      <c r="E12" s="207">
        <v>5600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42300</v>
      </c>
      <c r="M12" s="42">
        <f t="shared" si="4"/>
        <v>450</v>
      </c>
    </row>
    <row r="13" spans="1:13" x14ac:dyDescent="0.35">
      <c r="A13" s="47">
        <v>10</v>
      </c>
      <c r="B13" s="178" t="str">
        <f>Vendedor10!$B$2</f>
        <v>MARIALIZ</v>
      </c>
      <c r="C13" s="180">
        <v>43300</v>
      </c>
      <c r="D13" s="30">
        <v>450</v>
      </c>
      <c r="E13" s="207">
        <v>35900</v>
      </c>
      <c r="F13" s="30">
        <v>600</v>
      </c>
      <c r="G13" s="180">
        <v>15350</v>
      </c>
      <c r="H13" s="30">
        <f t="shared" si="0"/>
        <v>0</v>
      </c>
      <c r="I13" s="180">
        <v>500</v>
      </c>
      <c r="J13" s="30">
        <v>100</v>
      </c>
      <c r="L13" s="42">
        <f t="shared" si="5"/>
        <v>95050</v>
      </c>
      <c r="M13" s="42">
        <f t="shared" si="4"/>
        <v>1150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5000</v>
      </c>
      <c r="D16" s="30">
        <f t="shared" si="0"/>
        <v>0</v>
      </c>
      <c r="E16" s="207">
        <v>2400</v>
      </c>
      <c r="F16" s="30">
        <f t="shared" si="0"/>
        <v>0</v>
      </c>
      <c r="G16" s="180">
        <v>4700</v>
      </c>
      <c r="H16" s="30">
        <f t="shared" si="0"/>
        <v>0</v>
      </c>
      <c r="I16" s="180">
        <v>5200</v>
      </c>
      <c r="J16" s="30">
        <f t="shared" si="0"/>
        <v>0</v>
      </c>
      <c r="L16" s="42">
        <f t="shared" si="5"/>
        <v>17300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139150</v>
      </c>
      <c r="D17" s="30">
        <v>1700</v>
      </c>
      <c r="E17" s="207">
        <v>123900</v>
      </c>
      <c r="F17" s="30">
        <v>700</v>
      </c>
      <c r="G17" s="180">
        <v>59450</v>
      </c>
      <c r="H17" s="30">
        <f t="shared" si="0"/>
        <v>0</v>
      </c>
      <c r="I17" s="180">
        <v>169350</v>
      </c>
      <c r="J17" s="30">
        <v>200</v>
      </c>
      <c r="L17" s="42">
        <f t="shared" si="5"/>
        <v>491850</v>
      </c>
      <c r="M17" s="42">
        <f t="shared" si="4"/>
        <v>2600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43700</v>
      </c>
      <c r="D18" s="30">
        <v>400</v>
      </c>
      <c r="E18" s="207">
        <v>48200</v>
      </c>
      <c r="F18" s="30">
        <v>150</v>
      </c>
      <c r="G18" s="180">
        <v>35150</v>
      </c>
      <c r="H18" s="30">
        <f t="shared" si="0"/>
        <v>0</v>
      </c>
      <c r="I18" s="180">
        <v>20500</v>
      </c>
      <c r="J18" s="30">
        <f t="shared" si="3"/>
        <v>0</v>
      </c>
      <c r="L18" s="42">
        <f t="shared" si="5"/>
        <v>147550</v>
      </c>
      <c r="M18" s="42">
        <f t="shared" si="4"/>
        <v>550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453850</v>
      </c>
      <c r="D32" s="44">
        <f t="shared" si="7"/>
        <v>4850</v>
      </c>
      <c r="E32" s="43">
        <f t="shared" si="7"/>
        <v>386200</v>
      </c>
      <c r="F32" s="44">
        <f t="shared" si="7"/>
        <v>1700</v>
      </c>
      <c r="G32" s="43">
        <f t="shared" si="7"/>
        <v>212600</v>
      </c>
      <c r="H32" s="44">
        <f t="shared" si="7"/>
        <v>100</v>
      </c>
      <c r="I32" s="43">
        <f t="shared" si="7"/>
        <v>362900</v>
      </c>
      <c r="J32" s="44">
        <f t="shared" si="7"/>
        <v>750</v>
      </c>
      <c r="L32" s="95">
        <f>SUM(L9:L31)</f>
        <v>1105250</v>
      </c>
      <c r="M32" s="95">
        <f>SUM(M9:M31)</f>
        <v>5850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64 Roja</v>
      </c>
      <c r="D2" s="268"/>
      <c r="E2" s="267" t="str">
        <f>IF(E33=0,"",CONCATENATE(PREMIOS!$B11," ",PREMIOS!$B12))</f>
        <v>26 Roja</v>
      </c>
      <c r="F2" s="268"/>
      <c r="G2" s="267" t="str">
        <f>IF(G33=0,"",CONCATENATE(PREMIOS!$B15," ",PREMIOS!$B16))</f>
        <v>32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15750+4250</f>
        <v>20000</v>
      </c>
      <c r="D10" s="30">
        <f>250+0</f>
        <v>250</v>
      </c>
      <c r="E10" s="180">
        <f>21100+4100</f>
        <v>25200</v>
      </c>
      <c r="F10" s="30">
        <f t="shared" si="0"/>
        <v>0</v>
      </c>
      <c r="G10" s="180">
        <f>26900+5150</f>
        <v>32050</v>
      </c>
      <c r="H10" s="30">
        <f t="shared" si="0"/>
        <v>0</v>
      </c>
      <c r="J10" s="42">
        <f t="shared" si="3"/>
        <v>77250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>
        <v>500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20350</v>
      </c>
      <c r="D17" s="30">
        <v>200</v>
      </c>
      <c r="E17" s="180">
        <v>15900</v>
      </c>
      <c r="F17" s="30">
        <f t="shared" si="0"/>
        <v>0</v>
      </c>
      <c r="G17" s="180">
        <v>25600</v>
      </c>
      <c r="H17" s="30">
        <f t="shared" si="0"/>
        <v>0</v>
      </c>
      <c r="J17" s="42">
        <f t="shared" si="3"/>
        <v>61850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13950</v>
      </c>
      <c r="D18" s="30">
        <f t="shared" si="0"/>
        <v>0</v>
      </c>
      <c r="E18" s="180">
        <v>10700</v>
      </c>
      <c r="F18" s="30">
        <f t="shared" si="0"/>
        <v>0</v>
      </c>
      <c r="G18" s="180">
        <v>19250</v>
      </c>
      <c r="H18" s="30">
        <v>100</v>
      </c>
      <c r="J18" s="42">
        <f t="shared" si="3"/>
        <v>43900</v>
      </c>
      <c r="K18" s="42">
        <f t="shared" si="4"/>
        <v>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55300</v>
      </c>
      <c r="D33" s="44">
        <f t="shared" si="7"/>
        <v>450</v>
      </c>
      <c r="E33" s="43">
        <f t="shared" si="7"/>
        <v>52300</v>
      </c>
      <c r="F33" s="44">
        <f t="shared" si="7"/>
        <v>0</v>
      </c>
      <c r="G33" s="43">
        <f t="shared" si="7"/>
        <v>76900</v>
      </c>
      <c r="H33" s="44">
        <f t="shared" si="7"/>
        <v>100</v>
      </c>
      <c r="J33" s="45">
        <f>SUM(J4:J32)</f>
        <v>184500</v>
      </c>
      <c r="K33" s="95">
        <f>SUM(K4:K32)</f>
        <v>550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15</v>
      </c>
      <c r="D2" s="268"/>
      <c r="E2" s="267" t="str">
        <f>IF(PREMIOS!$C19="","",PREMIOS!$C19)</f>
        <v>09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6750</v>
      </c>
      <c r="D4" s="78">
        <v>250</v>
      </c>
      <c r="E4" s="189">
        <v>2100</v>
      </c>
      <c r="F4" s="78">
        <f t="shared" ref="D4:F27" si="0">IF(E4="","",0)</f>
        <v>0</v>
      </c>
      <c r="H4" s="42">
        <f>+C4+E4</f>
        <v>8850</v>
      </c>
      <c r="I4" s="42">
        <f>IF(D4="",0,IF(F4="",D4,D4+F4))</f>
        <v>250</v>
      </c>
    </row>
    <row r="5" spans="1:9" x14ac:dyDescent="0.35">
      <c r="A5" s="47">
        <v>2</v>
      </c>
      <c r="B5" s="178" t="str">
        <f>Vendedor2!$B$2</f>
        <v>PUESTO 2</v>
      </c>
      <c r="C5" s="180">
        <v>3800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3800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31600</v>
      </c>
      <c r="D8" s="30">
        <f t="shared" si="0"/>
        <v>0</v>
      </c>
      <c r="E8" s="194">
        <v>15250</v>
      </c>
      <c r="F8" s="195">
        <v>450</v>
      </c>
      <c r="H8" s="42">
        <f t="shared" si="2"/>
        <v>46850</v>
      </c>
      <c r="I8" s="42">
        <f t="shared" si="3"/>
        <v>450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36100</v>
      </c>
      <c r="D10" s="30">
        <v>3000</v>
      </c>
      <c r="E10" s="180">
        <v>25850</v>
      </c>
      <c r="F10" s="195">
        <f t="shared" si="1"/>
        <v>0</v>
      </c>
      <c r="H10" s="42">
        <f t="shared" si="2"/>
        <v>61950</v>
      </c>
      <c r="I10" s="42">
        <f t="shared" si="3"/>
        <v>3000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31850</v>
      </c>
      <c r="D12" s="30">
        <v>400</v>
      </c>
      <c r="E12" s="194"/>
      <c r="F12" s="30" t="str">
        <f t="shared" si="0"/>
        <v/>
      </c>
      <c r="H12" s="42">
        <f t="shared" si="2"/>
        <v>31850</v>
      </c>
      <c r="I12" s="42">
        <f t="shared" si="3"/>
        <v>400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83400</v>
      </c>
      <c r="D17" s="195">
        <v>2000</v>
      </c>
      <c r="E17" s="180">
        <v>32850</v>
      </c>
      <c r="F17" s="30">
        <v>850</v>
      </c>
      <c r="H17" s="42">
        <f t="shared" si="2"/>
        <v>116250</v>
      </c>
      <c r="I17" s="42">
        <f t="shared" si="3"/>
        <v>2850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46050</v>
      </c>
      <c r="D18" s="195">
        <v>850</v>
      </c>
      <c r="E18" s="180">
        <v>41350</v>
      </c>
      <c r="F18" s="30">
        <v>750</v>
      </c>
      <c r="H18" s="42">
        <f t="shared" si="2"/>
        <v>87400</v>
      </c>
      <c r="I18" s="42">
        <f t="shared" si="3"/>
        <v>1600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239550</v>
      </c>
      <c r="D33" s="44">
        <f>SUM(D4:D32)</f>
        <v>6500</v>
      </c>
      <c r="E33" s="43">
        <f>SUM(E4:E32)</f>
        <v>117400</v>
      </c>
      <c r="F33" s="44">
        <f>SUM(F4:F32)</f>
        <v>2050</v>
      </c>
      <c r="H33" s="95">
        <f>SUM(H4:H32)</f>
        <v>356950</v>
      </c>
      <c r="I33" s="95">
        <f>SUM(I4:I32)</f>
        <v>8550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H17" sqref="H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78</v>
      </c>
      <c r="D2" s="268"/>
      <c r="E2" s="267">
        <f>IF(PREMIOS!$C20="","",PREMIOS!$C20)</f>
        <v>12</v>
      </c>
      <c r="F2" s="268"/>
      <c r="G2" s="267">
        <f>IF(PREMIOS!$D20="","",PREMIOS!$D20)</f>
        <v>59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1000</v>
      </c>
      <c r="D10" s="195">
        <f t="shared" si="0"/>
        <v>0</v>
      </c>
      <c r="E10" s="180"/>
      <c r="F10" s="30" t="str">
        <f t="shared" si="0"/>
        <v/>
      </c>
      <c r="G10" s="180">
        <f>2500+350</f>
        <v>2850</v>
      </c>
      <c r="H10" s="195">
        <f t="shared" si="0"/>
        <v>0</v>
      </c>
      <c r="J10" s="42">
        <f t="shared" si="3"/>
        <v>3850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65800</v>
      </c>
      <c r="D17" s="195">
        <v>400</v>
      </c>
      <c r="E17" s="194">
        <v>12300</v>
      </c>
      <c r="F17" s="195">
        <v>200</v>
      </c>
      <c r="G17" s="194">
        <v>24550</v>
      </c>
      <c r="H17" s="195">
        <f t="shared" si="2"/>
        <v>0</v>
      </c>
      <c r="J17" s="42">
        <f t="shared" si="3"/>
        <v>102650</v>
      </c>
      <c r="K17" s="42">
        <f t="shared" si="4"/>
        <v>600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20350</v>
      </c>
      <c r="D18" s="195">
        <f t="shared" si="0"/>
        <v>0</v>
      </c>
      <c r="E18" s="180">
        <v>9300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29650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87150</v>
      </c>
      <c r="D33" s="44">
        <f t="shared" si="6"/>
        <v>400</v>
      </c>
      <c r="E33" s="43">
        <f t="shared" si="6"/>
        <v>21600</v>
      </c>
      <c r="F33" s="44">
        <f t="shared" si="6"/>
        <v>200</v>
      </c>
      <c r="G33" s="43">
        <f t="shared" si="6"/>
        <v>27400</v>
      </c>
      <c r="H33" s="44">
        <f t="shared" si="6"/>
        <v>0</v>
      </c>
      <c r="J33" s="45">
        <f>SUM(J4:J32)</f>
        <v>136150</v>
      </c>
      <c r="K33" s="95">
        <f>SUM(K4:K32)</f>
        <v>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53</v>
      </c>
      <c r="D2" s="268"/>
      <c r="E2" s="267">
        <f>IF(PREMIOS!$C21="","",PREMIOS!$C21)</f>
        <v>12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2026-04-27T18:31:05Z</dcterms:modified>
  <dc:language>es-CR</dc:language>
</cp:coreProperties>
</file>
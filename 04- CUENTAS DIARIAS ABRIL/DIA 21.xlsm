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76" documentId="11_2DDC36D5D45AC4EDB7FC264AA1F60B8939E9FE67" xr6:coauthVersionLast="47" xr6:coauthVersionMax="47" xr10:uidLastSave="{2C5C13D1-69C8-4512-A431-EEB8063A823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2"/>
  <c r="B2" i="21"/>
  <c r="I5" i="69"/>
  <c r="K12" i="69" l="1"/>
  <c r="G10" i="62"/>
  <c r="I10" i="61"/>
  <c r="G10" i="61"/>
  <c r="G10" i="60"/>
  <c r="H17" i="60"/>
  <c r="G17" i="60"/>
  <c r="H18" i="60"/>
  <c r="G18" i="60"/>
  <c r="E10" i="65"/>
  <c r="E10" i="64"/>
  <c r="E10" i="62"/>
  <c r="C10" i="62"/>
  <c r="E10" i="61"/>
  <c r="C10" i="61"/>
  <c r="F10" i="60"/>
  <c r="E10" i="60"/>
  <c r="C10" i="60"/>
  <c r="F17" i="60"/>
  <c r="E17" i="60"/>
  <c r="F18" i="60"/>
  <c r="E18" i="60"/>
  <c r="C17" i="60"/>
  <c r="C18" i="60"/>
  <c r="D10" i="65" l="1"/>
  <c r="C10" i="65"/>
  <c r="D18" i="65" l="1"/>
  <c r="D12" i="65"/>
  <c r="D11" i="65"/>
  <c r="D18" i="61"/>
  <c r="D10" i="61"/>
  <c r="D9" i="61"/>
  <c r="G16" i="71"/>
  <c r="D22" i="15"/>
  <c r="C23" i="15"/>
  <c r="D23" i="15" s="1"/>
  <c r="C22" i="15"/>
  <c r="E16" i="71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5" i="60"/>
  <c r="D14" i="60"/>
  <c r="D12" i="60"/>
  <c r="D11" i="60"/>
  <c r="D10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0" i="62"/>
  <c r="D5" i="61"/>
  <c r="F17" i="61"/>
  <c r="F18" i="61"/>
  <c r="F16" i="61"/>
  <c r="D6" i="60"/>
  <c r="F15" i="60"/>
  <c r="F14" i="60"/>
  <c r="F12" i="60"/>
  <c r="F11" i="60"/>
  <c r="F9" i="60"/>
  <c r="F8" i="60"/>
  <c r="F7" i="60"/>
  <c r="F6" i="60"/>
  <c r="F4" i="60"/>
  <c r="H16" i="60"/>
  <c r="H15" i="60"/>
  <c r="H14" i="60"/>
  <c r="H12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F35" i="60"/>
  <c r="D35" i="60"/>
  <c r="D36" i="60"/>
  <c r="D34" i="60"/>
  <c r="J8" i="14"/>
  <c r="D21" i="14"/>
  <c r="C12" i="71"/>
  <c r="D22" i="14"/>
  <c r="K15" i="14" s="1"/>
  <c r="G12" i="71"/>
  <c r="E19" i="16"/>
  <c r="D4" i="65"/>
  <c r="D20" i="16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L22" i="71"/>
  <c r="M22" i="71" s="1"/>
  <c r="J22" i="72"/>
  <c r="K22" i="72" s="1"/>
  <c r="J32" i="64"/>
  <c r="L6" i="6"/>
  <c r="K20" i="19"/>
  <c r="K9" i="19"/>
  <c r="L21" i="71"/>
  <c r="M21" i="71" s="1"/>
  <c r="J31" i="71"/>
  <c r="D18" i="72"/>
  <c r="J31" i="64"/>
  <c r="L9" i="19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F18" i="72"/>
  <c r="N25" i="72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K20" i="21"/>
  <c r="K10" i="21"/>
  <c r="N27" i="71"/>
  <c r="N27" i="72"/>
  <c r="K21" i="19"/>
  <c r="K10" i="19"/>
  <c r="K12" i="17"/>
  <c r="L27" i="70"/>
  <c r="I33" i="66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6" i="23" l="1"/>
  <c r="M26" i="52"/>
  <c r="J5" i="23"/>
  <c r="J4" i="23"/>
  <c r="M20" i="52"/>
  <c r="L5" i="23"/>
  <c r="M25" i="52"/>
  <c r="F17" i="52"/>
  <c r="J5" i="19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F32" i="60"/>
  <c r="G32" i="60"/>
  <c r="I32" i="61"/>
  <c r="H32" i="60"/>
  <c r="K5" i="23"/>
  <c r="G32" i="61"/>
  <c r="L6" i="25"/>
  <c r="H32" i="61"/>
  <c r="K6" i="23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D15" i="25"/>
  <c r="G15" i="25" s="1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M7" i="52"/>
  <c r="K6" i="2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4" i="52"/>
  <c r="C3" i="1" s="1"/>
  <c r="B3" i="1"/>
  <c r="F12" i="14"/>
  <c r="G12" i="14" s="1"/>
  <c r="F12" i="15"/>
  <c r="F12" i="8"/>
  <c r="F12" i="19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4" i="15"/>
  <c r="G12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<sst xmlns="http://schemas.openxmlformats.org/spreadsheetml/2006/main" count="1294" uniqueCount="161">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</sst>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261500</v>
      </c>
      <c r="C3" s="9">
        <f>+HojaTICA!K4+HojaNICA!M4+HojaREVENTADO!K4+HojaPrimera!I4+HojaHonduras!K4+HojaDominicana!I4+HojaPANA!G4</f>
        <v>34000</v>
      </c>
      <c r="D3" s="9">
        <f>+HojaTICA!N4+HojaNICA!P4+HojaREVENTADO!O4+HojaPrimera!L4+HojaHonduras!N4+HojaDominicana!L4+HojaPANA!J4</f>
        <v>79750</v>
      </c>
      <c r="F3" s="10">
        <f t="shared" ref="F3:F27" si="0">+B3-C3-D3</f>
        <v>147750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247150</v>
      </c>
      <c r="C4" s="9">
        <f>+HojaTICA!K5+HojaNICA!M5+HojaREVENTADO!K5+HojaPrimera!I5+HojaHonduras!K5+HojaDominicana!I5+HojaPANA!G5</f>
        <v>32100</v>
      </c>
      <c r="D4" s="9">
        <f>+HojaTICA!N5+HojaNICA!P5+HojaREVENTADO!O5+HojaPrimera!L5+HojaHonduras!N5+HojaDominicana!L5+HojaPANA!J5</f>
        <v>85000</v>
      </c>
      <c r="F4" s="14">
        <f t="shared" si="0"/>
        <v>130050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5000</v>
      </c>
      <c r="C6" s="9">
        <f>+HojaTICA!K7+HojaNICA!M7+HojaREVENTADO!K7+HojaPrimera!I7+HojaHonduras!K7+HojaDominicana!I7+HojaPANA!G7</f>
        <v>600</v>
      </c>
      <c r="D6" s="9">
        <f>+HojaTICA!N7+HojaNICA!P7+HojaREVENTADO!O7+HojaPrimera!L7+HojaHonduras!N7+HojaDominicana!L7+HojaPANA!J7</f>
        <v>0</v>
      </c>
      <c r="F6" s="14">
        <f t="shared" si="0"/>
        <v>4400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281200</v>
      </c>
      <c r="C7" s="9">
        <f>+HojaTICA!K8+HojaNICA!M8+HojaREVENTADO!K8+HojaPrimera!I8+HojaHonduras!K8+HojaDominicana!I8+HojaPANA!G8</f>
        <v>33750</v>
      </c>
      <c r="D7" s="9">
        <f>+HojaTICA!N8+HojaNICA!P8+HojaREVENTADO!O8+HojaPrimera!L8+HojaHonduras!N8+HojaDominicana!L8+HojaPANA!J8</f>
        <v>16000</v>
      </c>
      <c r="F7" s="14">
        <f t="shared" si="0"/>
        <v>231450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1000450</v>
      </c>
      <c r="C9" s="9">
        <f>+HojaTICA!K10+HojaNICA!M10+HojaREVENTADO!K10+HojaPrimera!I10+HojaHonduras!K10+HojaDominicana!I10+HojaPANA!G10</f>
        <v>118345</v>
      </c>
      <c r="D9" s="9">
        <f>+HojaTICA!N10+HojaNICA!P10+HojaREVENTADO!O10+HojaPrimera!L10+HojaHonduras!N10+HojaDominicana!L10+HojaPANA!J10</f>
        <v>361250</v>
      </c>
      <c r="F9" s="14">
        <f t="shared" si="0"/>
        <v>520855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14100</v>
      </c>
      <c r="C10" s="9">
        <f>+HojaTICA!K11+HojaNICA!M11+HojaREVENTADO!K11+HojaPrimera!I11+HojaHonduras!K11+HojaDominicana!I11+HojaPANA!G11</f>
        <v>1700</v>
      </c>
      <c r="D10" s="9">
        <f>+HojaTICA!N11+HojaNICA!P11+HojaREVENTADO!O11+HojaPrimera!L11+HojaHonduras!N11+HojaDominicana!L11+HojaPANA!J11</f>
        <v>0</v>
      </c>
      <c r="F10" s="14">
        <f t="shared" si="0"/>
        <v>12400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127350</v>
      </c>
      <c r="C11" s="9">
        <f>+HojaTICA!K12+HojaNICA!M12+HojaREVENTADO!K12+HojaPrimera!I12+HojaHonduras!K12+HojaDominicana!I12+HojaPANA!G12</f>
        <v>15180</v>
      </c>
      <c r="D11" s="9">
        <f>+HojaTICA!N12+HojaNICA!P12+HojaREVENTADO!O12+HojaPrimera!L12+HojaHonduras!N12+HojaDominicana!L12+HojaPANA!J12</f>
        <v>76500</v>
      </c>
      <c r="F11" s="14">
        <f t="shared" si="0"/>
        <v>35670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115700</v>
      </c>
      <c r="C12" s="9">
        <f>+HojaTICA!K13+HojaNICA!M13+HojaREVENTADO!K13+HojaPrimera!I13+HojaHonduras!K13+HojaDominicana!I13+HojaPANA!G13</f>
        <v>13900</v>
      </c>
      <c r="D12" s="9">
        <f>+HojaTICA!N13+HojaNICA!P13+HojaREVENTADO!O13+HojaPrimera!L13+HojaHonduras!N13+HojaDominicana!L13+HojaPANA!J13</f>
        <v>131250</v>
      </c>
      <c r="F12" s="14">
        <f t="shared" si="0"/>
        <v>-29450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82200</v>
      </c>
      <c r="C13" s="9">
        <f>+HojaTICA!K14+HojaNICA!M14+HojaREVENTADO!K14+HojaPrimera!I14+HojaHonduras!K14+HojaDominicana!I14+HojaPANA!G14</f>
        <v>12350</v>
      </c>
      <c r="D13" s="9">
        <f>+HojaTICA!N14+HojaNICA!P14+HojaREVENTADO!O14+HojaPrimera!L14+HojaHonduras!N14+HojaDominicana!L14+HojaPANA!J14</f>
        <v>0</v>
      </c>
      <c r="F13" s="14">
        <f t="shared" si="0"/>
        <v>69850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101400</v>
      </c>
      <c r="C15" s="9">
        <f>+HojaTICA!K16+HojaNICA!M16+HojaREVENTADO!K16+HojaPrimera!I16+HojaHonduras!K16+HojaDominicana!I16+HojaPANA!G16</f>
        <v>12050</v>
      </c>
      <c r="D15" s="9">
        <f>+HojaTICA!N16+HojaNICA!P16+HojaREVENTADO!O16+HojaPrimera!L16+HojaHonduras!N16+HojaDominicana!L16+HojaPANA!J16</f>
        <v>42500</v>
      </c>
      <c r="F15" s="14">
        <f t="shared" si="0"/>
        <v>46850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1141950</v>
      </c>
      <c r="C16" s="9">
        <f>+HojaTICA!K17+HojaNICA!M17+HojaREVENTADO!K17+HojaPrimera!I17+HojaHonduras!K17+HojaDominicana!I17+HojaPANA!G17</f>
        <v>135390</v>
      </c>
      <c r="D16" s="9">
        <f>+HojaTICA!N17+HojaNICA!P17+HojaREVENTADO!O17+HojaPrimera!L17+HojaHonduras!N17+HojaDominicana!L17+HojaPANA!J17</f>
        <v>471750</v>
      </c>
      <c r="F16" s="14">
        <f t="shared" si="0"/>
        <v>534810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445050</v>
      </c>
      <c r="C17" s="9">
        <f>+HojaTICA!K18+HojaNICA!M18+HojaREVENTADO!K18+HojaPrimera!I18+HojaHonduras!K18+HojaDominicana!I18+HojaPANA!G18</f>
        <v>52125</v>
      </c>
      <c r="D17" s="9">
        <f>+HojaTICA!N18+HojaNICA!P18+HojaREVENTADO!O18+HojaPrimera!L18+HojaHonduras!N18+HojaDominicana!L18+HojaPANA!J18</f>
        <v>93500</v>
      </c>
      <c r="F17" s="14">
        <f t="shared" si="0"/>
        <v>299425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3823050</v>
      </c>
      <c r="C28" s="17">
        <f t="shared" si="1"/>
        <v>461490</v>
      </c>
      <c r="D28" s="18">
        <f t="shared" si="1"/>
        <v>1357500</v>
      </c>
      <c r="F28" s="20">
        <f>SUM(F3:F27)</f>
        <v>2004060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97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43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73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33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17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73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Roja</v>
      </c>
      <c r="C16" s="135"/>
      <c r="D16" s="136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2">
        <v>97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83</v>
      </c>
      <c r="C19" s="132">
        <v>43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90</v>
      </c>
      <c r="C20" s="162">
        <v>50</v>
      </c>
      <c r="D20" s="165">
        <v>85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160</v>
      </c>
      <c r="C21" s="163">
        <v>80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43</v>
      </c>
      <c r="D2" s="267"/>
      <c r="E2" s="266">
        <f>DigitaTICA!E2</f>
        <v>33</v>
      </c>
      <c r="F2" s="267"/>
      <c r="G2" s="266">
        <f>DigitaTICA!G2</f>
        <v>73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59300</v>
      </c>
      <c r="D4" s="30">
        <f>IF(Vendedor1!$E$7="",0,Vendedor1!$E$7)</f>
        <v>250</v>
      </c>
      <c r="E4" s="179">
        <f>IF(Vendedor1!$C$11="",0,Vendedor1!$C$11)</f>
        <v>35600</v>
      </c>
      <c r="F4" s="30">
        <f>IF(Vendedor1!$E$11="",0,Vendedor1!$E$11)</f>
        <v>0</v>
      </c>
      <c r="G4" s="179">
        <f>IF(Vendedor1!$C$15="",0,Vendedor1!$C$15)</f>
        <v>100600</v>
      </c>
      <c r="H4" s="30">
        <f>IF(Vendedor1!$E$15="",0,Vendedor1!$E$15)</f>
        <v>500</v>
      </c>
      <c r="J4" s="42">
        <f t="shared" ref="J4:J7" si="0">+C4+E4+G4</f>
        <v>195500</v>
      </c>
      <c r="K4" s="41">
        <f>MROUND(J4*Vendedor1!J$9,50)</f>
        <v>25400</v>
      </c>
      <c r="L4" s="42">
        <f t="shared" ref="L4:L7" si="1">+D4+F4+H4</f>
        <v>750</v>
      </c>
      <c r="M4" s="42">
        <f t="shared" ref="M4:M7" si="2">+L4*85</f>
        <v>63750</v>
      </c>
      <c r="N4" s="42">
        <f>Vendedor1!$F$7+Vendedor1!$F$11+Vendedor1!$F$15</f>
        <v>63750</v>
      </c>
      <c r="P4" s="42">
        <f t="shared" ref="P4:P7" si="3">+J4-K4-N4</f>
        <v>106350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61400</v>
      </c>
      <c r="D5" s="30">
        <f>IF(Vendedor2!$E$7="",0,Vendedor2!$E$7)</f>
        <v>250</v>
      </c>
      <c r="E5" s="179">
        <f>IF(Vendedor2!$C$11="",0,Vendedor2!$C$11)</f>
        <v>27400</v>
      </c>
      <c r="F5" s="30">
        <f>IF(Vendedor2!$E$11="",0,Vendedor2!$E$11)</f>
        <v>250</v>
      </c>
      <c r="G5" s="179">
        <f>IF(Vendedor2!$C$15="",0,Vendedor2!$C$15)</f>
        <v>90950</v>
      </c>
      <c r="H5" s="30">
        <f>IF(Vendedor2!$E$15="",0,Vendedor2!$E$15)</f>
        <v>500</v>
      </c>
      <c r="J5" s="42">
        <f t="shared" si="0"/>
        <v>179750</v>
      </c>
      <c r="K5" s="41">
        <f>MROUND(J5*Vendedor2!J$9,50)</f>
        <v>23350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71400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5000</v>
      </c>
      <c r="H7" s="30">
        <f>IF(Vendedor4!$E$15="",0,Vendedor4!$E$15)</f>
        <v>0</v>
      </c>
      <c r="J7" s="42">
        <f t="shared" si="0"/>
        <v>5000</v>
      </c>
      <c r="K7" s="41">
        <f>MROUND(J7*Vendedor4!J$9,50)</f>
        <v>600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4400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51000</v>
      </c>
      <c r="D8" s="30">
        <f>IF(Vendedor5!$E$7="",0,Vendedor5!$E$7)</f>
        <v>0</v>
      </c>
      <c r="E8" s="179">
        <f>IF(Vendedor5!$C$11="",0,Vendedor5!$C$11)</f>
        <v>28600</v>
      </c>
      <c r="F8" s="30">
        <f>IF(Vendedor5!$E$11="",0,Vendedor5!$E$11)</f>
        <v>0</v>
      </c>
      <c r="G8" s="179">
        <f>IF(Vendedor5!$C$15="",0,Vendedor5!$C$15)</f>
        <v>42450</v>
      </c>
      <c r="H8" s="30">
        <f>IF(Vendedor5!$E$15="",0,Vendedor5!$E$15)</f>
        <v>0</v>
      </c>
      <c r="J8" s="42">
        <f t="shared" ref="J8" si="4">+C8+E8+G8</f>
        <v>122050</v>
      </c>
      <c r="K8" s="41">
        <f>MROUND(J8*Vendedor5!J$11,50)</f>
        <v>14650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107400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152600</v>
      </c>
      <c r="D10" s="30">
        <f>IF(Vendedor7!$E$7="",0,Vendedor7!$E$7)</f>
        <v>0</v>
      </c>
      <c r="E10" s="179">
        <f>IF(Vendedor7!$C$11="",0,Vendedor7!$C$11)</f>
        <v>107000</v>
      </c>
      <c r="F10" s="30">
        <f>IF(Vendedor7!$E$11="",0,Vendedor7!$E$11)</f>
        <v>3550</v>
      </c>
      <c r="G10" s="179">
        <f>IF(Vendedor7!$C$15="",0,Vendedor7!$C$15)</f>
        <v>227900</v>
      </c>
      <c r="H10" s="30">
        <f>IF(Vendedor7!$E$15="",0,Vendedor7!$E$15)</f>
        <v>150</v>
      </c>
      <c r="J10" s="42">
        <f t="shared" si="8"/>
        <v>487500</v>
      </c>
      <c r="K10" s="41">
        <f>MROUND(J10*Vendedor7!J$14,50)</f>
        <v>58500</v>
      </c>
      <c r="L10" s="42">
        <f t="shared" si="9"/>
        <v>3700</v>
      </c>
      <c r="M10" s="42">
        <f t="shared" si="10"/>
        <v>314500</v>
      </c>
      <c r="N10" s="42">
        <f>Vendedor7!$F$7+Vendedor7!$F$11+Vendedor7!$F$15</f>
        <v>314500</v>
      </c>
      <c r="P10" s="42">
        <f t="shared" si="11"/>
        <v>114500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3500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10600</v>
      </c>
      <c r="H11" s="30">
        <f>IF(Vendedor8!$E$15="",0,Vendedor8!$E$15)</f>
        <v>0</v>
      </c>
      <c r="J11" s="42">
        <f t="shared" si="8"/>
        <v>14100</v>
      </c>
      <c r="K11" s="41">
        <f>MROUND(J11*Vendedor8!J$11,50)</f>
        <v>1700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12400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16100</v>
      </c>
      <c r="D12" s="30">
        <f>IF(Vendedor9!$E$7="",0,Vendedor9!$E$7)</f>
        <v>0</v>
      </c>
      <c r="E12" s="179">
        <f>IF(Vendedor9!$C$11="",0,Vendedor9!$C$11)</f>
        <v>8750</v>
      </c>
      <c r="F12" s="30">
        <f>IF(Vendedor9!$E$11="",0,Vendedor9!$E$11)</f>
        <v>0</v>
      </c>
      <c r="G12" s="179">
        <f>IF(Vendedor9!$C$15="",0,Vendedor9!$C$15)</f>
        <v>18500</v>
      </c>
      <c r="H12" s="30">
        <f>IF(Vendedor9!$E$15="",0,Vendedor9!$E$15)</f>
        <v>0</v>
      </c>
      <c r="J12" s="42">
        <f t="shared" si="8"/>
        <v>43350</v>
      </c>
      <c r="K12" s="41">
        <f>MROUND(J12*Vendedor9!J$11,50)</f>
        <v>5200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38150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18600</v>
      </c>
      <c r="D13" s="30">
        <f>IF(Vendedor10!$E$7="",0,Vendedor10!$E$7)</f>
        <v>150</v>
      </c>
      <c r="E13" s="179">
        <f>IF(Vendedor10!$C$11="",0,Vendedor10!$C$11)</f>
        <v>19800</v>
      </c>
      <c r="F13" s="30">
        <f>IF(Vendedor10!$E$11="",0,Vendedor10!$E$11)</f>
        <v>1000</v>
      </c>
      <c r="G13" s="179">
        <f>IF(Vendedor10!$C$15="",0,Vendedor10!$C$15)</f>
        <v>32450</v>
      </c>
      <c r="H13" s="30">
        <f>IF(Vendedor10!$E$15="",0,Vendedor10!$E$15)</f>
        <v>300</v>
      </c>
      <c r="J13" s="42">
        <f t="shared" si="8"/>
        <v>70850</v>
      </c>
      <c r="K13" s="41">
        <f>MROUND(J13*Vendedor10!J$9,50)</f>
        <v>8500</v>
      </c>
      <c r="L13" s="42">
        <f t="shared" si="9"/>
        <v>1450</v>
      </c>
      <c r="M13" s="42">
        <f t="shared" si="10"/>
        <v>123250</v>
      </c>
      <c r="N13" s="42">
        <f>Vendedor10!$F$7+Vendedor10!$F$11+Vendedor10!$F$15</f>
        <v>123250</v>
      </c>
      <c r="P13" s="42">
        <f t="shared" si="11"/>
        <v>-60900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34950</v>
      </c>
      <c r="D14" s="30">
        <f>IF(Vendedor11!$E$7="",0,Vendedor11!$E$7)</f>
        <v>0</v>
      </c>
      <c r="E14" s="179">
        <f>IF(Vendedor11!$C$11="",0,Vendedor11!$C$11)</f>
        <v>12550</v>
      </c>
      <c r="F14" s="30">
        <f>IF(Vendedor11!$E$11="",0,Vendedor11!$E$11)</f>
        <v>0</v>
      </c>
      <c r="G14" s="179">
        <f>IF(Vendedor11!$C$15="",0,Vendedor11!$C$15)</f>
        <v>34700</v>
      </c>
      <c r="H14" s="30">
        <f>IF(Vendedor11!$E$15="",0,Vendedor11!$E$15)</f>
        <v>0</v>
      </c>
      <c r="J14" s="42">
        <f t="shared" si="8"/>
        <v>82200</v>
      </c>
      <c r="K14" s="41">
        <f>MROUND(J14*Vendedor11!J$9,50)</f>
        <v>12350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69850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10700</v>
      </c>
      <c r="D16" s="30">
        <f>IF(Vendedor13!$E$7="",0,Vendedor13!$E$7)</f>
        <v>250</v>
      </c>
      <c r="E16" s="179">
        <f>IF(Vendedor13!$C$11="",0,Vendedor13!$C$11)</f>
        <v>14250</v>
      </c>
      <c r="F16" s="30">
        <f>IF(Vendedor13!$E$11="",0,Vendedor13!$E$11)</f>
        <v>250</v>
      </c>
      <c r="G16" s="179">
        <f>IF(Vendedor13!$C$15="",0,Vendedor13!$C$15)</f>
        <v>31050</v>
      </c>
      <c r="H16" s="30">
        <f>IF(Vendedor13!$E$15="",0,Vendedor13!$E$15)</f>
        <v>0</v>
      </c>
      <c r="J16" s="42">
        <f t="shared" si="8"/>
        <v>56000</v>
      </c>
      <c r="K16" s="41">
        <f>MROUND(J16*Vendedor13!J$11,50)</f>
        <v>6700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6800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139550</v>
      </c>
      <c r="D17" s="30">
        <f>IF(Vendedor14!$E$7="",0,Vendedor14!$E$7)</f>
        <v>1000</v>
      </c>
      <c r="E17" s="179">
        <f>IF(Vendedor14!$C$11="",0,Vendedor14!$C$11)</f>
        <v>97900</v>
      </c>
      <c r="F17" s="30">
        <f>IF(Vendedor14!$E$11="",0,Vendedor14!$E$11)</f>
        <v>500</v>
      </c>
      <c r="G17" s="179">
        <f>IF(Vendedor14!$C$15="",0,Vendedor14!$C$15)</f>
        <v>201550</v>
      </c>
      <c r="H17" s="30">
        <f>IF(Vendedor14!$E$15="",0,Vendedor14!$E$15)</f>
        <v>700</v>
      </c>
      <c r="J17" s="42">
        <f t="shared" si="8"/>
        <v>439000</v>
      </c>
      <c r="K17" s="41">
        <f>MROUND(J17*Vendedor14!J$15,50)</f>
        <v>52700</v>
      </c>
      <c r="L17" s="42">
        <f t="shared" si="9"/>
        <v>2200</v>
      </c>
      <c r="M17" s="42">
        <f t="shared" si="10"/>
        <v>187000</v>
      </c>
      <c r="N17" s="42">
        <f>Vendedor14!$F$7+Vendedor14!$F$11+Vendedor14!$F$15</f>
        <v>187000</v>
      </c>
      <c r="P17" s="42">
        <f t="shared" si="11"/>
        <v>199300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57800</v>
      </c>
      <c r="D18" s="30">
        <f>IF(Vendedor15!$E$7="",0,Vendedor15!$E$7)</f>
        <v>0</v>
      </c>
      <c r="E18" s="179">
        <f>IF(Vendedor15!$C$11="",0,Vendedor15!$C$11)</f>
        <v>25650</v>
      </c>
      <c r="F18" s="30">
        <f>IF(Vendedor15!$E$11="",0,Vendedor15!$E$11)</f>
        <v>100</v>
      </c>
      <c r="G18" s="179">
        <f>IF(Vendedor15!$C$15="",0,Vendedor15!$C$15)</f>
        <v>64200</v>
      </c>
      <c r="H18" s="30">
        <f>IF(Vendedor15!$E$15="",0,Vendedor15!$E$15)</f>
        <v>300</v>
      </c>
      <c r="J18" s="42">
        <f t="shared" ref="J18" si="12">+C18+E18+G18</f>
        <v>147650</v>
      </c>
      <c r="K18" s="41">
        <f>MROUND(J18*Vendedor15!J$15,50)</f>
        <v>17700</v>
      </c>
      <c r="L18" s="42">
        <f t="shared" ref="L18" si="13">+D18+F18+H18</f>
        <v>400</v>
      </c>
      <c r="M18" s="42">
        <f t="shared" ref="M18" si="14">+L18*85</f>
        <v>34000</v>
      </c>
      <c r="N18" s="42">
        <f>Vendedor15!$F$7+Vendedor15!$F$11+Vendedor15!$F$15</f>
        <v>34000</v>
      </c>
      <c r="P18" s="42">
        <f t="shared" ref="P18" si="15">+J18-K18-N18</f>
        <v>95950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605500</v>
      </c>
      <c r="D32" s="44">
        <f t="shared" si="16"/>
        <v>1900</v>
      </c>
      <c r="E32" s="43">
        <f t="shared" si="16"/>
        <v>377500</v>
      </c>
      <c r="F32" s="44">
        <f t="shared" si="16"/>
        <v>5650</v>
      </c>
      <c r="G32" s="43">
        <f t="shared" si="16"/>
        <v>859950</v>
      </c>
      <c r="H32" s="44">
        <f t="shared" si="16"/>
        <v>2450</v>
      </c>
      <c r="J32" s="95">
        <f>SUM(J4:J31)</f>
        <v>1842950</v>
      </c>
      <c r="K32" s="45">
        <f>SUM(K7:K31)</f>
        <v>178600</v>
      </c>
      <c r="L32" s="95">
        <f>SUM(L4:L31)</f>
        <v>10000</v>
      </c>
      <c r="M32" s="95">
        <f>SUM(M4:M31)</f>
        <v>850000</v>
      </c>
      <c r="N32" s="95">
        <f>SUM(N4:N31)</f>
        <v>850000</v>
      </c>
      <c r="P32" s="79">
        <f>SUM(P4:P31)</f>
        <v>765600</v>
      </c>
    </row>
    <row r="33" spans="3:13" x14ac:dyDescent="0.35">
      <c r="D33" s="99">
        <f>+D32*85</f>
        <v>161500</v>
      </c>
      <c r="F33" s="99">
        <f>+F32*85</f>
        <v>480250</v>
      </c>
      <c r="H33" s="99">
        <f>+H32*85</f>
        <v>208250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1842950</v>
      </c>
      <c r="E36" s="43">
        <f>+D36-J4-J5-J6</f>
        <v>1467700</v>
      </c>
      <c r="G36" s="101"/>
    </row>
    <row r="37" spans="3:13" x14ac:dyDescent="0.35">
      <c r="C37" s="47" t="s">
        <v>33</v>
      </c>
      <c r="D37" s="48">
        <f>D36*13%</f>
        <v>239583.5</v>
      </c>
      <c r="E37">
        <f>+D37-K4-K5-K6</f>
        <v>190833.5</v>
      </c>
      <c r="G37" s="100"/>
      <c r="H37" s="100"/>
    </row>
    <row r="38" spans="3:13" ht="15" thickBot="1" x14ac:dyDescent="0.4">
      <c r="C38" s="47" t="s">
        <v>30</v>
      </c>
      <c r="D38" s="30">
        <f>M32</f>
        <v>850000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753366.5</v>
      </c>
      <c r="F39" s="98">
        <f>+P32-D39</f>
        <v>12233.5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753366.5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97</v>
      </c>
      <c r="D2" s="267"/>
      <c r="E2" s="266">
        <f>DigitaNICA!E2</f>
        <v>73</v>
      </c>
      <c r="F2" s="267"/>
      <c r="G2" s="266">
        <f>DigitaNICA!G2</f>
        <v>17</v>
      </c>
      <c r="H2" s="267"/>
      <c r="I2" s="266">
        <f>DigitaNICA!I2</f>
        <v>97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24150</v>
      </c>
      <c r="D4" s="78">
        <f>IF(Vendedor1!$E$5="",0,Vendedor1!$E$5)</f>
        <v>0</v>
      </c>
      <c r="E4" s="188">
        <f>IF(Vendedor1!$C$9="",0,Vendedor1!$C$9)</f>
        <v>15800</v>
      </c>
      <c r="F4" s="78">
        <f>IF(Vendedor1!$E$9="",0,Vendedor1!$E$9)</f>
        <v>0</v>
      </c>
      <c r="G4" s="188">
        <f>IF(Vendedor1!$C$13="",0,Vendedor1!$C$13)</f>
        <v>5350</v>
      </c>
      <c r="H4" s="78">
        <f>IF(Vendedor1!$E$13="",0,Vendedor1!$E$13)</f>
        <v>200</v>
      </c>
      <c r="I4" s="188">
        <f>IF(Vendedor1!$C$17="",0,Vendedor1!$C$17)</f>
        <v>7350</v>
      </c>
      <c r="J4" s="78">
        <f>IF(Vendedor1!$E$17="",0,Vendedor1!$E$17)</f>
        <v>0</v>
      </c>
      <c r="L4" s="42">
        <f t="shared" ref="L4:L7" si="0">C4+E4+G4+I4</f>
        <v>52650</v>
      </c>
      <c r="M4" s="41">
        <f>MROUND(L4*Vendedor1!J$10,50)</f>
        <v>6850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28800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33800</v>
      </c>
      <c r="D5" s="30">
        <f>IF(Vendedor2!$E$5="",0,Vendedor2!$E$5)</f>
        <v>0</v>
      </c>
      <c r="E5" s="179">
        <f>IF(Vendedor2!$C$9="",0,Vendedor2!$C$9)</f>
        <v>5500</v>
      </c>
      <c r="F5" s="30">
        <f>IF(Vendedor2!$E$9="",0,Vendedor2!$E$9)</f>
        <v>0</v>
      </c>
      <c r="G5" s="179">
        <f>IF(Vendedor2!$C$13="",0,Vendedor2!$C$13)</f>
        <v>7600</v>
      </c>
      <c r="H5" s="30">
        <f>IF(Vendedor2!$E$13="",0,Vendedor2!$E$13)</f>
        <v>0</v>
      </c>
      <c r="I5" s="179">
        <f>IF(Vendedor2!$C$17="",0,Vendedor2!$C$17)</f>
        <v>14200</v>
      </c>
      <c r="J5" s="30">
        <f>IF(Vendedor2!$E$17="",0,Vendedor2!$E$17)</f>
        <v>0</v>
      </c>
      <c r="L5" s="42">
        <f t="shared" si="0"/>
        <v>61100</v>
      </c>
      <c r="M5" s="41">
        <f>MROUND(L5*Vendedor2!J$10,50)</f>
        <v>7950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53150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66450</v>
      </c>
      <c r="D8" s="30">
        <f>IF(Vendedor5!$E$5="",0,Vendedor5!$E$5)</f>
        <v>100</v>
      </c>
      <c r="E8" s="179">
        <f>IF(Vendedor5!$C$9="",0,Vendedor5!$C$9)</f>
        <v>35950</v>
      </c>
      <c r="F8" s="30">
        <f>IF(Vendedor5!$E$9="",0,Vendedor5!$E$9)</f>
        <v>0</v>
      </c>
      <c r="G8" s="179">
        <f>IF(Vendedor5!$C$13="",0,Vendedor5!$C$13)</f>
        <v>12800</v>
      </c>
      <c r="H8" s="30">
        <f>IF(Vendedor5!$E$13="",0,Vendedor5!$E$13)</f>
        <v>0</v>
      </c>
      <c r="I8" s="179">
        <f>IF(Vendedor5!$C$17="",0,Vendedor5!$C$17)</f>
        <v>16150</v>
      </c>
      <c r="J8" s="30">
        <f>IF(Vendedor5!$E$17="",0,Vendedor5!$E$17)</f>
        <v>0</v>
      </c>
      <c r="L8" s="42">
        <f t="shared" ref="L8" si="4">C8+E8+G8+I8</f>
        <v>131350</v>
      </c>
      <c r="M8" s="41">
        <f>MROUND(L8*Vendedor5!J$12,50)</f>
        <v>15750</v>
      </c>
      <c r="N8" s="42">
        <f t="shared" ref="N8" si="5">D8+F8+H8+J8</f>
        <v>100</v>
      </c>
      <c r="O8" s="41">
        <f t="shared" si="3"/>
        <v>8500</v>
      </c>
      <c r="P8" s="42">
        <f>Vendedor5!$F$5+Vendedor5!$F$9+Vendedor5!$F$13+Vendedor5!$F$17</f>
        <v>8000</v>
      </c>
      <c r="Q8">
        <v>17</v>
      </c>
      <c r="R8" s="41">
        <f t="shared" ref="R8" si="6">+L8-M8-O8</f>
        <v>107100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82350</v>
      </c>
      <c r="D10" s="30">
        <f>IF(Vendedor7!$E$5="",0,Vendedor7!$E$5)</f>
        <v>0</v>
      </c>
      <c r="E10" s="179">
        <f>IF(Vendedor7!$C$9="",0,Vendedor7!$C$9)</f>
        <v>66050</v>
      </c>
      <c r="F10" s="30">
        <f>IF(Vendedor7!$E$9="",0,Vendedor7!$E$9)</f>
        <v>200</v>
      </c>
      <c r="G10" s="179">
        <f>IF(Vendedor7!$C$13="",0,Vendedor7!$C$13)</f>
        <v>57900</v>
      </c>
      <c r="H10" s="30">
        <f>IF(Vendedor7!$E$13="",0,Vendedor7!$E$13)</f>
        <v>0</v>
      </c>
      <c r="I10" s="179">
        <f>IF(Vendedor7!$C$17="",0,Vendedor7!$C$17)</f>
        <v>79350</v>
      </c>
      <c r="J10" s="30">
        <f>IF(Vendedor7!$E$17="",0,Vendedor7!$E$17)</f>
        <v>200</v>
      </c>
      <c r="L10" s="42">
        <f t="shared" si="7"/>
        <v>285650</v>
      </c>
      <c r="M10" s="41">
        <f>MROUND(L10*Vendedor7!J$15,50)</f>
        <v>34300</v>
      </c>
      <c r="N10" s="42">
        <f t="shared" ref="N10:N27" si="9">D10+F10+H10+J10</f>
        <v>400</v>
      </c>
      <c r="O10" s="41">
        <f t="shared" si="3"/>
        <v>34000</v>
      </c>
      <c r="P10" s="42">
        <f>Vendedor7!$F$5+Vendedor7!$F$9+Vendedor7!$F$13+Vendedor7!$F$17</f>
        <v>34000</v>
      </c>
      <c r="R10" s="41">
        <f t="shared" si="8"/>
        <v>217350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40400</v>
      </c>
      <c r="D12" s="30">
        <f>IF(Vendedor9!$E$5="",0,Vendedor9!$E$5)</f>
        <v>900</v>
      </c>
      <c r="E12" s="179">
        <f>IF(Vendedor9!$C$9="",0,Vendedor9!$C$9)</f>
        <v>5400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45800</v>
      </c>
      <c r="M12" s="41">
        <f>MROUND(L12*Vendedor9!J$12,50)</f>
        <v>5500</v>
      </c>
      <c r="N12" s="42">
        <f t="shared" si="9"/>
        <v>900</v>
      </c>
      <c r="O12" s="41">
        <f t="shared" si="3"/>
        <v>76500</v>
      </c>
      <c r="P12" s="42">
        <f>Vendedor9!$F$5+Vendedor9!$F$9+Vendedor9!$F$13+Vendedor9!$F$17</f>
        <v>76500</v>
      </c>
      <c r="R12" s="41">
        <f t="shared" si="8"/>
        <v>-36200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32150</v>
      </c>
      <c r="D13" s="30">
        <f>IF(Vendedor10!$E$5="",0,Vendedor10!$E$5)</f>
        <v>0</v>
      </c>
      <c r="E13" s="179">
        <f>IF(Vendedor10!$C$9="",0,Vendedor10!$C$9)</f>
        <v>10400</v>
      </c>
      <c r="F13" s="30">
        <f>IF(Vendedor10!$E$9="",0,Vendedor10!$E$9)</f>
        <v>0</v>
      </c>
      <c r="G13" s="179">
        <f>IF(Vendedor10!$C$13="",0,Vendedor10!$C$13)</f>
        <v>500</v>
      </c>
      <c r="H13" s="30">
        <f>IF(Vendedor10!$E$13="",0,Vendedor10!$E$13)</f>
        <v>0</v>
      </c>
      <c r="I13" s="179">
        <f>IF(Vendedor10!$C$17="",0,Vendedor10!$C$17)</f>
        <v>1800</v>
      </c>
      <c r="J13" s="30">
        <f>IF(Vendedor10!$E$17="",0,Vendedor10!$E$17)</f>
        <v>100</v>
      </c>
      <c r="L13" s="42">
        <f t="shared" si="7"/>
        <v>44850</v>
      </c>
      <c r="M13" s="41">
        <f>MROUND(L13*Vendedor10!J$10,50)</f>
        <v>5400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30950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10400</v>
      </c>
      <c r="D16" s="30">
        <f>IF(Vendedor13!$E$5="",0,Vendedor13!$E$5)</f>
        <v>0</v>
      </c>
      <c r="E16" s="179">
        <f>IF(Vendedor13!$C$9="",0,Vendedor13!$C$9)</f>
        <v>1000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20300</v>
      </c>
      <c r="J16" s="30">
        <f>IF(Vendedor13!$E$17="",0,Vendedor13!$E$17)</f>
        <v>0</v>
      </c>
      <c r="L16" s="42">
        <f t="shared" si="7"/>
        <v>31700</v>
      </c>
      <c r="M16" s="41">
        <f>MROUND(L16*Vendedor13!J$12,50)</f>
        <v>3800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27900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132000</v>
      </c>
      <c r="D17" s="30">
        <f>IF(Vendedor14!$E$5="",0,Vendedor14!$E$5)</f>
        <v>700</v>
      </c>
      <c r="E17" s="179">
        <f>IF(Vendedor14!$C$9="",0,Vendedor14!$C$9)</f>
        <v>94150</v>
      </c>
      <c r="F17" s="30">
        <f>IF(Vendedor14!$E$9="",0,Vendedor14!$E$9)</f>
        <v>0</v>
      </c>
      <c r="G17" s="179">
        <f>IF(Vendedor14!$C$13="",0,Vendedor14!$C$13)</f>
        <v>46450</v>
      </c>
      <c r="H17" s="30">
        <f>IF(Vendedor14!$E$13="",0,Vendedor14!$E$13)</f>
        <v>500</v>
      </c>
      <c r="I17" s="179">
        <f>IF(Vendedor14!$C$17="",0,Vendedor14!$C$17)</f>
        <v>142950</v>
      </c>
      <c r="J17" s="30">
        <f>IF(Vendedor14!$E$17="",0,Vendedor14!$E$17)</f>
        <v>750</v>
      </c>
      <c r="L17" s="42">
        <f>C17+E17+G17+I17</f>
        <v>415550</v>
      </c>
      <c r="M17" s="41">
        <f>MROUND(L17*Vendedor14!J$16,50)</f>
        <v>49850</v>
      </c>
      <c r="N17" s="42">
        <f t="shared" si="9"/>
        <v>1950</v>
      </c>
      <c r="O17" s="41">
        <f t="shared" si="3"/>
        <v>165750</v>
      </c>
      <c r="P17" s="42">
        <f>Vendedor14!$F$5+Vendedor14!$F$9+Vendedor14!$F$13+Vendedor14!$F$17</f>
        <v>165750</v>
      </c>
      <c r="R17" s="41">
        <f t="shared" si="8"/>
        <v>199950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57150</v>
      </c>
      <c r="D18" s="30">
        <f>IF(Vendedor15!$E$5="",0,Vendedor15!$E$5)</f>
        <v>0</v>
      </c>
      <c r="E18" s="179">
        <f>IF(Vendedor15!$C$9="",0,Vendedor15!$C$9)</f>
        <v>30300</v>
      </c>
      <c r="F18" s="30">
        <f>IF(Vendedor15!$E$9="",0,Vendedor15!$E$9)</f>
        <v>0</v>
      </c>
      <c r="G18" s="179">
        <f>IF(Vendedor15!$C$13="",0,Vendedor15!$C$13)</f>
        <v>31450</v>
      </c>
      <c r="H18" s="30">
        <f>IF(Vendedor15!$E$13="",0,Vendedor15!$E$13)</f>
        <v>300</v>
      </c>
      <c r="I18" s="179">
        <f>IF(Vendedor15!$C$17="",0,Vendedor15!$C$17)</f>
        <v>6900</v>
      </c>
      <c r="J18" s="30">
        <f>IF(Vendedor15!$E$17="",0,Vendedor15!$E$17)</f>
        <v>0</v>
      </c>
      <c r="L18" s="42">
        <f t="shared" ref="L18:L27" si="10">C18+E18+G18+I18</f>
        <v>125800</v>
      </c>
      <c r="M18" s="41">
        <f>MROUND(L18*Vendedor15!J$16,50)</f>
        <v>15100</v>
      </c>
      <c r="N18" s="42">
        <f t="shared" si="9"/>
        <v>300</v>
      </c>
      <c r="O18" s="41">
        <f t="shared" si="3"/>
        <v>25500</v>
      </c>
      <c r="P18" s="42">
        <f>Vendedor15!$F$5+Vendedor15!$F$9+Vendedor15!$F$13+Vendedor15!$F$17</f>
        <v>25500</v>
      </c>
      <c r="R18" s="41">
        <f t="shared" si="8"/>
        <v>85200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478850</v>
      </c>
      <c r="D32" s="44">
        <f t="shared" si="14"/>
        <v>1700</v>
      </c>
      <c r="E32" s="43">
        <f t="shared" si="14"/>
        <v>264550</v>
      </c>
      <c r="F32" s="44">
        <f t="shared" si="14"/>
        <v>200</v>
      </c>
      <c r="G32" s="43">
        <f t="shared" si="14"/>
        <v>162050</v>
      </c>
      <c r="H32" s="44">
        <f t="shared" si="14"/>
        <v>1000</v>
      </c>
      <c r="I32" s="43">
        <f t="shared" si="14"/>
        <v>289000</v>
      </c>
      <c r="J32" s="44">
        <f t="shared" si="14"/>
        <v>1050</v>
      </c>
      <c r="L32" s="45">
        <f>SUM(L4:L31)</f>
        <v>1194450</v>
      </c>
      <c r="M32" s="45">
        <f>SUM(M7:M31)</f>
        <v>129700</v>
      </c>
      <c r="N32" s="95">
        <f>SUM(N4:N31)</f>
        <v>3950</v>
      </c>
      <c r="O32" s="46">
        <f>SUM(O4:O31)</f>
        <v>335750</v>
      </c>
      <c r="P32" s="139">
        <f>SUM(P4:P31)</f>
        <v>333750</v>
      </c>
      <c r="R32" s="79">
        <f>SUM(R4:R31)</f>
        <v>714200</v>
      </c>
    </row>
    <row r="33" spans="3:15" x14ac:dyDescent="0.35">
      <c r="D33" s="120">
        <f>+D32*85</f>
        <v>144500</v>
      </c>
      <c r="F33" s="120">
        <f>+F32*85</f>
        <v>17000</v>
      </c>
      <c r="H33" s="120">
        <f>+H32*85</f>
        <v>85000</v>
      </c>
      <c r="J33" s="120">
        <f>+J32*85</f>
        <v>89250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1194450</v>
      </c>
      <c r="E36" s="43">
        <f>+D36-L4-L5-L6</f>
        <v>1080700</v>
      </c>
    </row>
    <row r="37" spans="3:15" x14ac:dyDescent="0.35">
      <c r="C37" s="47" t="s">
        <v>33</v>
      </c>
      <c r="D37" s="48">
        <f>D36*13%</f>
        <v>155278.5</v>
      </c>
      <c r="E37">
        <f>+D37-M4-M5-M6</f>
        <v>140478.5</v>
      </c>
    </row>
    <row r="38" spans="3:15" x14ac:dyDescent="0.35">
      <c r="C38" s="47" t="s">
        <v>30</v>
      </c>
      <c r="D38" s="30">
        <f>SUM(O4:O27)</f>
        <v>335750</v>
      </c>
      <c r="G38" s="100"/>
    </row>
    <row r="39" spans="3:15" ht="15" thickBot="1" x14ac:dyDescent="0.4">
      <c r="C39" s="49" t="s">
        <v>4</v>
      </c>
      <c r="D39" s="80">
        <f>+D36-D37-D38</f>
        <v>703421.5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703421.5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43 Blanca</v>
      </c>
      <c r="D2" s="267"/>
      <c r="E2" s="266" t="str">
        <f>IF(E33=0,"",CONCATENATE(PREMIOS!$B11," ",PREMIOS!$B12))</f>
        <v>33 Blanca</v>
      </c>
      <c r="F2" s="267"/>
      <c r="G2" s="266" t="str">
        <f>IF(G33=0,"",CONCATENATE(PREMIOS!$B15," ",PREMIOS!$B16))</f>
        <v>73 Roja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33250</v>
      </c>
      <c r="D10" s="30">
        <f>IF(Vendedor7!$E$8="",0,Vendedor7!$E$8)</f>
        <v>0</v>
      </c>
      <c r="E10" s="179">
        <f>IF(Vendedor7!$C$12="",0,Vendedor7!$C$12)</f>
        <v>19600</v>
      </c>
      <c r="F10" s="30">
        <f>IF(Vendedor7!$E$12="",0,Vendedor7!$E$12)</f>
        <v>0</v>
      </c>
      <c r="G10" s="179">
        <f>IF(Vendedor7!$C$16="",0,Vendedor7!$C$16)</f>
        <v>33100</v>
      </c>
      <c r="H10" s="30">
        <f>IF(Vendedor7!$E$16="",0,Vendedor7!$E$16)</f>
        <v>0</v>
      </c>
      <c r="J10" s="42">
        <f t="shared" si="1"/>
        <v>85950</v>
      </c>
      <c r="K10" s="41">
        <f>J10*Vendedor7!J$16</f>
        <v>8595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77355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3500</v>
      </c>
      <c r="D12" s="30">
        <f>IF(Vendedor9!$E$8="",0,Vendedor9!$E$8)</f>
        <v>0</v>
      </c>
      <c r="E12" s="179">
        <f>IF(Vendedor9!$C$12="",0,Vendedor9!$C$12)</f>
        <v>500</v>
      </c>
      <c r="F12" s="30">
        <f>IF(Vendedor9!$E$12="",0,Vendedor9!$E$12)</f>
        <v>0</v>
      </c>
      <c r="G12" s="179">
        <f>IF(Vendedor9!$C$16="",0,Vendedor9!$C$16)</f>
        <v>1800</v>
      </c>
      <c r="H12" s="30">
        <f>IF(Vendedor9!$E$16="",0,Vendedor9!$E$16)</f>
        <v>0</v>
      </c>
      <c r="J12" s="42">
        <f t="shared" si="1"/>
        <v>5800</v>
      </c>
      <c r="K12" s="41">
        <f>J12*Vendedor9!J$13</f>
        <v>580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5220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1000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3500</v>
      </c>
      <c r="H16" s="30">
        <f>IF(Vendedor13!$E$16="",0,Vendedor13!$E$16)</f>
        <v>0</v>
      </c>
      <c r="J16" s="42">
        <f t="shared" si="1"/>
        <v>4500</v>
      </c>
      <c r="K16" s="41">
        <f>J16*Vendedor13!J$13</f>
        <v>450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4050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29800</v>
      </c>
      <c r="D17" s="30">
        <f>IF(Vendedor14!$E$8="",0,Vendedor14!$E$8)</f>
        <v>0</v>
      </c>
      <c r="E17" s="179">
        <f>IF(Vendedor14!$C$12="",0,Vendedor14!$C$12)</f>
        <v>20900</v>
      </c>
      <c r="F17" s="30">
        <f>IF(Vendedor14!$E$12="",0,Vendedor14!$E$12)</f>
        <v>0</v>
      </c>
      <c r="G17" s="179">
        <f>IF(Vendedor14!$C$16="",0,Vendedor14!$C$16)</f>
        <v>30700</v>
      </c>
      <c r="H17" s="30">
        <f>IF(Vendedor14!$E$16="",0,Vendedor14!$E$16)</f>
        <v>0</v>
      </c>
      <c r="J17" s="42">
        <f t="shared" si="1"/>
        <v>81400</v>
      </c>
      <c r="K17" s="41">
        <f>J17*Vendedor14!J$17</f>
        <v>8140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73260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23450</v>
      </c>
      <c r="D18" s="30">
        <f>IF(Vendedor15!$E$8="",0,Vendedor15!$E$8)</f>
        <v>0</v>
      </c>
      <c r="E18" s="179">
        <f>IF(Vendedor15!$C$12="",0,Vendedor15!$C$12)</f>
        <v>17200</v>
      </c>
      <c r="F18" s="30">
        <f>IF(Vendedor15!$E$12="",0,Vendedor15!$E$12)</f>
        <v>100</v>
      </c>
      <c r="G18" s="179">
        <f>IF(Vendedor15!$C$16="",0,Vendedor15!$C$16)</f>
        <v>22100</v>
      </c>
      <c r="H18" s="30">
        <f>IF(Vendedor15!$E$16="",0,Vendedor15!$E$16)</f>
        <v>0</v>
      </c>
      <c r="J18" s="42">
        <f t="shared" ref="J18" si="5">+C18+E18+G18</f>
        <v>62750</v>
      </c>
      <c r="K18" s="41">
        <f>J18*Vendedor15!J$17</f>
        <v>6275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56475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91000</v>
      </c>
      <c r="D33" s="44">
        <f>IF(PREMIOS!E8&lt;&gt;0,SUM(D4:D32),0)</f>
        <v>0</v>
      </c>
      <c r="E33" s="43">
        <f>SUM(E4:E32)</f>
        <v>58200</v>
      </c>
      <c r="F33" s="44">
        <f>IF(PREMIOS!E12&lt;&gt;0,SUM(F4:F32),0)</f>
        <v>0</v>
      </c>
      <c r="G33" s="43">
        <f>SUM(G4:G32)</f>
        <v>91200</v>
      </c>
      <c r="H33" s="44">
        <f>IF(PREMIOS!E16&lt;&gt;0,SUM(H4:H32),0)</f>
        <v>0</v>
      </c>
      <c r="J33" s="45">
        <f>SUM(J4:J32)</f>
        <v>240400</v>
      </c>
      <c r="K33" s="45">
        <f>SUM(K7:K32)</f>
        <v>24040</v>
      </c>
      <c r="L33" s="95">
        <f>SUM(L7:L32)</f>
        <v>0</v>
      </c>
      <c r="M33" s="95">
        <f>SUM(M7:M32)</f>
        <v>100</v>
      </c>
      <c r="N33" s="95">
        <f>SUM(N4:N27)</f>
        <v>0</v>
      </c>
      <c r="O33" s="95">
        <f>SUM(O4:O27)</f>
        <v>0</v>
      </c>
      <c r="Q33" s="79">
        <f>SUM(Q4:Q32)</f>
        <v>216360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240400</v>
      </c>
      <c r="E37" s="43">
        <f>+D37-J4-J5-J6</f>
        <v>240400</v>
      </c>
      <c r="F37" s="274"/>
      <c r="G37" s="274"/>
    </row>
    <row r="38" spans="3:17" ht="15" thickBot="1" x14ac:dyDescent="0.4">
      <c r="C38" s="47" t="s">
        <v>33</v>
      </c>
      <c r="D38" s="30">
        <f>D37*10%</f>
        <v>24040</v>
      </c>
      <c r="E38" s="43">
        <f>+D38-K4-K5-K6</f>
        <v>24040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216360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216360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83</v>
      </c>
      <c r="D2" s="267"/>
      <c r="E2" s="266">
        <f>DigitaPRIMERA!E2</f>
        <v>43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13350</v>
      </c>
      <c r="D4" s="78">
        <f>IF(Vendedor1!$E$19="",0,Vendedor1!$E$19)</f>
        <v>0</v>
      </c>
      <c r="E4" s="188">
        <f>IF(Vendedor1!$C$20="",0,Vendedor1!$C$20)</f>
        <v>0</v>
      </c>
      <c r="F4" s="78">
        <f>IF(Vendedor1!$E$20="",0,Vendedor1!$E$20)</f>
        <v>0</v>
      </c>
      <c r="H4" s="42">
        <f>+C4+E4</f>
        <v>13350</v>
      </c>
      <c r="I4" s="41">
        <f>MROUND(H4*Vendedor1!J$9,50)</f>
        <v>1750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11600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6300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6300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5500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20500</v>
      </c>
      <c r="D8" s="30">
        <f>IF(Vendedor5!$E$19="",0,Vendedor5!$E$19)</f>
        <v>0</v>
      </c>
      <c r="E8" s="179">
        <f>IF(Vendedor5!$C$20="",0,Vendedor5!$C$20)</f>
        <v>7300</v>
      </c>
      <c r="F8" s="30">
        <f>IF(Vendedor5!$E$20="",0,Vendedor5!$E$20)</f>
        <v>100</v>
      </c>
      <c r="H8" s="133">
        <f t="shared" si="1"/>
        <v>27800</v>
      </c>
      <c r="I8" s="147">
        <f>MROUND(H8*Vendedor5!J$11,50)</f>
        <v>3350</v>
      </c>
      <c r="J8" s="133">
        <f t="shared" si="2"/>
        <v>100</v>
      </c>
      <c r="K8" s="133">
        <f t="shared" si="3"/>
        <v>8500</v>
      </c>
      <c r="L8" s="133">
        <f>Vendedor5!$F$19+Vendedor5!$F$20</f>
        <v>8000</v>
      </c>
      <c r="M8" s="154"/>
      <c r="N8" s="133">
        <f t="shared" si="0"/>
        <v>16450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42250</v>
      </c>
      <c r="D10" s="30">
        <f>IF(Vendedor7!$E$19="",0,Vendedor7!$E$19)</f>
        <v>150</v>
      </c>
      <c r="E10" s="179">
        <f>IF(Vendedor7!$C$20="",0,Vendedor7!$C$20)</f>
        <v>39350</v>
      </c>
      <c r="F10" s="30">
        <f>IF(Vendedor7!$E$20="",0,Vendedor7!$E$20)</f>
        <v>0</v>
      </c>
      <c r="H10" s="42">
        <f t="shared" si="1"/>
        <v>81600</v>
      </c>
      <c r="I10" s="41">
        <f>MROUND(H10*Vendedor7!J$14,50)</f>
        <v>9800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59050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32400</v>
      </c>
      <c r="D12" s="30">
        <f>IF(Vendedor9!$E$19="",0,Vendedor9!$E$19)</f>
        <v>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32400</v>
      </c>
      <c r="I12" s="147">
        <f>MROUND(H12*Vendedor9!J$11,50)</f>
        <v>3900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28500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9200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9200</v>
      </c>
      <c r="I16" s="147">
        <f>MROUND(H16*Vendedor13!J$11,50)</f>
        <v>1100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8100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65500</v>
      </c>
      <c r="D17" s="30">
        <f>IF(Vendedor14!$E$19="",0,Vendedor14!$E$19)</f>
        <v>150</v>
      </c>
      <c r="E17" s="179">
        <f>IF(Vendedor14!$C$20="",0,Vendedor14!$C$20)</f>
        <v>49500</v>
      </c>
      <c r="F17" s="30">
        <f>IF(Vendedor14!$E$20="",0,Vendedor14!$E$20)</f>
        <v>150</v>
      </c>
      <c r="H17" s="42">
        <f t="shared" si="1"/>
        <v>115000</v>
      </c>
      <c r="I17" s="41">
        <f>MROUND(H17*Vendedor14!J$15,50)</f>
        <v>13800</v>
      </c>
      <c r="J17" s="42">
        <f t="shared" si="2"/>
        <v>300</v>
      </c>
      <c r="K17" s="42">
        <f t="shared" si="3"/>
        <v>25500</v>
      </c>
      <c r="L17" s="42">
        <f>Vendedor14!$F$19+Vendedor14!$F$20</f>
        <v>25500</v>
      </c>
      <c r="N17" s="42">
        <f t="shared" si="0"/>
        <v>75700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52550</v>
      </c>
      <c r="D18" s="30">
        <f>IF(Vendedor15!$E$19="",0,Vendedor15!$E$19)</f>
        <v>0</v>
      </c>
      <c r="E18" s="179">
        <f>IF(Vendedor15!$C$20="",0,Vendedor15!$C$20)</f>
        <v>31100</v>
      </c>
      <c r="F18" s="30">
        <f>IF(Vendedor15!$E$20="",0,Vendedor15!$E$20)</f>
        <v>150</v>
      </c>
      <c r="H18" s="42">
        <f t="shared" si="1"/>
        <v>83650</v>
      </c>
      <c r="I18" s="41">
        <f>MROUND(H18*Vendedor15!J$15,50)</f>
        <v>10050</v>
      </c>
      <c r="J18" s="42">
        <f t="shared" si="2"/>
        <v>150</v>
      </c>
      <c r="K18" s="42">
        <f t="shared" si="3"/>
        <v>12750</v>
      </c>
      <c r="L18" s="42">
        <f>Vendedor15!$F$19+Vendedor15!$F$20</f>
        <v>12750</v>
      </c>
      <c r="N18" s="42">
        <f t="shared" si="0"/>
        <v>60850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242050</v>
      </c>
      <c r="D32" s="44">
        <f>SUM(D4:D31)</f>
        <v>300</v>
      </c>
      <c r="E32" s="43">
        <f>SUM(E4:E31)</f>
        <v>127250</v>
      </c>
      <c r="F32" s="44">
        <f>SUM(F4:F31)</f>
        <v>400</v>
      </c>
      <c r="H32" s="95">
        <f>SUM(H4:H31)</f>
        <v>369300</v>
      </c>
      <c r="I32" s="45">
        <f>SUM(I7:I31)</f>
        <v>42000</v>
      </c>
      <c r="J32" s="95"/>
      <c r="K32" s="95">
        <f>SUM(K4:K31)</f>
        <v>59500</v>
      </c>
      <c r="L32" s="95">
        <f>SUM(L4:L31)</f>
        <v>59000</v>
      </c>
      <c r="N32" s="79">
        <f>SUM(N4:N31)</f>
        <v>265750</v>
      </c>
    </row>
    <row r="33" spans="3:6" x14ac:dyDescent="0.35">
      <c r="D33" s="99">
        <f>+D32*85</f>
        <v>25500</v>
      </c>
      <c r="F33" s="99">
        <f>+F32*85</f>
        <v>34000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369300</v>
      </c>
      <c r="E36" s="43">
        <f>+D36-H4-H5-H6</f>
        <v>349650</v>
      </c>
    </row>
    <row r="37" spans="3:6" x14ac:dyDescent="0.35">
      <c r="C37" s="47" t="s">
        <v>33</v>
      </c>
      <c r="D37" s="48">
        <f>D36*13%</f>
        <v>48009</v>
      </c>
      <c r="E37">
        <f>+D37-I4-I5-I6</f>
        <v>45459</v>
      </c>
    </row>
    <row r="38" spans="3:6" ht="15" thickBot="1" x14ac:dyDescent="0.4">
      <c r="C38" s="47" t="s">
        <v>30</v>
      </c>
      <c r="D38" s="30">
        <f>SUM(K4:K27)</f>
        <v>59500</v>
      </c>
    </row>
    <row r="39" spans="3:6" ht="15" thickBot="1" x14ac:dyDescent="0.4">
      <c r="C39" s="49" t="s">
        <v>4</v>
      </c>
      <c r="D39" s="80">
        <f>+D36-D37-D38</f>
        <v>261791</v>
      </c>
      <c r="F39" s="98">
        <f>+N32-D39</f>
        <v>3959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261791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90</v>
      </c>
      <c r="D2" s="267"/>
      <c r="E2" s="266">
        <f>DigitaHONDURAS!E2</f>
        <v>50</v>
      </c>
      <c r="F2" s="267"/>
      <c r="G2" s="266">
        <f>DigitaHONDURAS!G2</f>
        <v>85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8600</v>
      </c>
      <c r="D10" s="30">
        <f>IF(Vendedor7!$E$21="",0,Vendedor7!$E$21)</f>
        <v>0</v>
      </c>
      <c r="E10" s="179">
        <f>IF(Vendedor7!$C$22="",0,Vendedor7!$C$22)</f>
        <v>6600</v>
      </c>
      <c r="F10" s="30">
        <f>IF(Vendedor7!$E$22="",0,Vendedor7!$E$22)</f>
        <v>0</v>
      </c>
      <c r="G10" s="179">
        <f>IF(Vendedor7!$C$23="",0,Vendedor7!$C$23)</f>
        <v>8200</v>
      </c>
      <c r="H10" s="30">
        <f>IF(Vendedor7!$E$23="",0,Vendedor7!$E$23)</f>
        <v>0</v>
      </c>
      <c r="J10" s="42">
        <f t="shared" si="0"/>
        <v>23400</v>
      </c>
      <c r="K10" s="41">
        <f>MROUND(J10*Vendedor7!J$14,50)</f>
        <v>2800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20600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51300</v>
      </c>
      <c r="D17" s="30">
        <f>IF(Vendedor14!$E$21="",0,Vendedor14!$E$21)</f>
        <v>800</v>
      </c>
      <c r="E17" s="179">
        <f>IF(Vendedor14!$C$22="",0,Vendedor14!$C$22)</f>
        <v>16800</v>
      </c>
      <c r="F17" s="30">
        <f>IF(Vendedor14!$E$22="",0,Vendedor14!$E$22)</f>
        <v>300</v>
      </c>
      <c r="G17" s="179">
        <f>IF(Vendedor14!$C$23="",0,Vendedor14!$C$23)</f>
        <v>22900</v>
      </c>
      <c r="H17" s="30">
        <f>IF(Vendedor14!$E$23="",0,Vendedor14!$E$23)</f>
        <v>0</v>
      </c>
      <c r="J17" s="42">
        <f t="shared" si="0"/>
        <v>91000</v>
      </c>
      <c r="K17" s="41">
        <f>MROUND(J17*Vendedor14!J$15,50)</f>
        <v>10900</v>
      </c>
      <c r="L17" s="42">
        <f t="shared" si="1"/>
        <v>1100</v>
      </c>
      <c r="M17" s="42">
        <f t="shared" si="3"/>
        <v>93500</v>
      </c>
      <c r="N17" s="42">
        <f>Vendedor14!$F$21+Vendedor14!$F$22+Vendedor14!$F$23</f>
        <v>93500</v>
      </c>
      <c r="P17" s="42">
        <f t="shared" si="2"/>
        <v>-13400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15300</v>
      </c>
      <c r="D18" s="30">
        <f>IF(Vendedor15!$E$21="",0,Vendedor15!$E$21)</f>
        <v>200</v>
      </c>
      <c r="E18" s="179">
        <f>IF(Vendedor15!$C$22="",0,Vendedor15!$C$22)</f>
        <v>1000</v>
      </c>
      <c r="F18" s="30">
        <f>IF(Vendedor15!$E$22="",0,Vendedor15!$E$22)</f>
        <v>50</v>
      </c>
      <c r="G18" s="179">
        <f>IF(Vendedor15!$C$23="",0,Vendedor15!$C$23)</f>
        <v>8900</v>
      </c>
      <c r="H18" s="30">
        <f>IF(Vendedor15!$E$23="",0,Vendedor15!$E$23)</f>
        <v>0</v>
      </c>
      <c r="J18" s="42">
        <f t="shared" si="0"/>
        <v>25200</v>
      </c>
      <c r="K18" s="41">
        <f>MROUND(J18*Vendedor15!J$15,50)</f>
        <v>3000</v>
      </c>
      <c r="L18" s="42">
        <f t="shared" si="1"/>
        <v>250</v>
      </c>
      <c r="M18" s="42">
        <f t="shared" si="3"/>
        <v>21250</v>
      </c>
      <c r="N18" s="42">
        <f>Vendedor15!$F$21+Vendedor15!$F$22+Vendedor15!$F$23</f>
        <v>21250</v>
      </c>
      <c r="P18" s="42">
        <f t="shared" si="2"/>
        <v>950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75200</v>
      </c>
      <c r="D32" s="44">
        <f t="shared" si="8"/>
        <v>1000</v>
      </c>
      <c r="E32" s="43">
        <f t="shared" si="8"/>
        <v>24400</v>
      </c>
      <c r="F32" s="44">
        <f t="shared" si="8"/>
        <v>350</v>
      </c>
      <c r="G32" s="43">
        <f t="shared" si="8"/>
        <v>40000</v>
      </c>
      <c r="H32" s="44">
        <f t="shared" si="8"/>
        <v>0</v>
      </c>
      <c r="J32" s="95">
        <f>SUM(J4:J31)</f>
        <v>139600</v>
      </c>
      <c r="K32" s="45">
        <f>SUM(K7:K31)</f>
        <v>16700</v>
      </c>
      <c r="L32" s="95"/>
      <c r="M32" s="95">
        <f>SUM(M4:M31)</f>
        <v>114750</v>
      </c>
      <c r="N32" s="95">
        <f>SUM(N4:N31)</f>
        <v>114750</v>
      </c>
      <c r="P32" s="79">
        <f>SUM(P4:P31)</f>
        <v>8150</v>
      </c>
    </row>
    <row r="33" spans="3:8" x14ac:dyDescent="0.35">
      <c r="D33" s="99">
        <f>+D32*85</f>
        <v>85000</v>
      </c>
      <c r="F33" s="99">
        <f>+F32*85</f>
        <v>29750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139600</v>
      </c>
      <c r="E36" s="43">
        <f>+D36-J4-J5-J6</f>
        <v>139600</v>
      </c>
    </row>
    <row r="37" spans="3:8" x14ac:dyDescent="0.35">
      <c r="C37" s="47" t="s">
        <v>33</v>
      </c>
      <c r="D37" s="48">
        <f>D36*13%</f>
        <v>18148</v>
      </c>
      <c r="E37">
        <f>+D37-K4-K5-K6</f>
        <v>18148</v>
      </c>
    </row>
    <row r="38" spans="3:8" ht="15" thickBot="1" x14ac:dyDescent="0.4">
      <c r="C38" s="47" t="s">
        <v>30</v>
      </c>
      <c r="D38" s="30">
        <f>SUM(M4:M27)</f>
        <v>114750</v>
      </c>
      <c r="G38" s="100"/>
    </row>
    <row r="39" spans="3:8" ht="15" thickBot="1" x14ac:dyDescent="0.4">
      <c r="C39" s="49" t="s">
        <v>4</v>
      </c>
      <c r="D39" s="80">
        <f>+D36-D37-D38</f>
        <v>6702</v>
      </c>
      <c r="F39" s="98">
        <f>+P32-D39</f>
        <v>1448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6702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06</v>
      </c>
      <c r="D2" s="267"/>
      <c r="E2" s="266">
        <f>DigitaDOMINICANA!E2</f>
        <v>80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16350</v>
      </c>
      <c r="D10" s="30">
        <f>IF(Vendedor7!$E$24="",0,Vendedor7!$E$24)</f>
        <v>0</v>
      </c>
      <c r="E10" s="179">
        <f>IF(Vendedor7!$C$25="",0,Vendedor7!$C$25)</f>
        <v>20000</v>
      </c>
      <c r="F10" s="30">
        <f>IF(Vendedor7!$E$25="",0,Vendedor7!$E$25)</f>
        <v>0</v>
      </c>
      <c r="H10" s="42">
        <f t="shared" si="1"/>
        <v>36350</v>
      </c>
      <c r="I10" s="41">
        <f>MROUND(H10*Vendedor7!J$14,50)</f>
        <v>4350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32000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16350</v>
      </c>
      <c r="D32" s="44">
        <f>SUM(D4:D31)</f>
        <v>0</v>
      </c>
      <c r="E32" s="43">
        <f>SUM(E4:E31)</f>
        <v>20000</v>
      </c>
      <c r="F32" s="44">
        <f>SUM(F4:F31)</f>
        <v>0</v>
      </c>
      <c r="H32" s="95">
        <f>SUM(H4:H31)</f>
        <v>36350</v>
      </c>
      <c r="I32" s="45">
        <f>SUM(I7:I31)</f>
        <v>4350</v>
      </c>
      <c r="J32" s="95"/>
      <c r="K32" s="95">
        <f>SUM(K4:K31)</f>
        <v>0</v>
      </c>
      <c r="L32" s="95">
        <f>SUM(L4:L31)</f>
        <v>0</v>
      </c>
      <c r="N32" s="79">
        <f>SUM(N4:N31)</f>
        <v>32000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36350</v>
      </c>
      <c r="E36" s="43">
        <f>+D36-H4-H5-H6</f>
        <v>36350</v>
      </c>
    </row>
    <row r="37" spans="3:6" x14ac:dyDescent="0.35">
      <c r="C37" s="47" t="s">
        <v>33</v>
      </c>
      <c r="D37" s="48">
        <f>D36*13%</f>
        <v>4725.5</v>
      </c>
      <c r="E37">
        <f>+D37-I4-I5-I6</f>
        <v>4725.5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31624.5</v>
      </c>
      <c r="F39" s="98">
        <f>+N32-D39</f>
        <v>375.5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31624.5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26-04-2026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1080700</v>
      </c>
      <c r="C4" s="156">
        <f>HojaNICA!M32</f>
        <v>129700</v>
      </c>
      <c r="D4" s="149">
        <f>HojaNICA!E37</f>
        <v>140478.5</v>
      </c>
      <c r="E4" s="149">
        <f>HojaNICA!P32</f>
        <v>333750</v>
      </c>
      <c r="F4" s="149">
        <f>HojaNICA!O32</f>
        <v>335750</v>
      </c>
      <c r="G4" s="150">
        <f t="shared" ref="G4:G10" si="0">+D4-C4+F4-E4</f>
        <v>12778.5</v>
      </c>
      <c r="H4" s="21"/>
      <c r="I4" s="181"/>
    </row>
    <row r="5" spans="1:9" x14ac:dyDescent="0.35">
      <c r="A5" s="28" t="s">
        <v>19</v>
      </c>
      <c r="B5" s="155">
        <f>HojaTICA!$E$36</f>
        <v>1467700</v>
      </c>
      <c r="C5" s="156">
        <f>HojaTICA!K32</f>
        <v>178600</v>
      </c>
      <c r="D5" s="149">
        <f>HojaTICA!E37</f>
        <v>190833.5</v>
      </c>
      <c r="E5" s="149">
        <f>HojaTICA!N32</f>
        <v>850000</v>
      </c>
      <c r="F5" s="149">
        <f>HojaTICA!D38</f>
        <v>850000</v>
      </c>
      <c r="G5" s="150">
        <f t="shared" si="0"/>
        <v>12233.5</v>
      </c>
      <c r="H5" s="21"/>
      <c r="I5" s="181"/>
    </row>
    <row r="6" spans="1:9" x14ac:dyDescent="0.35">
      <c r="A6" s="28" t="s">
        <v>125</v>
      </c>
      <c r="B6" s="155">
        <f>HojaREVENTADO!$E$37</f>
        <v>240400</v>
      </c>
      <c r="C6" s="156">
        <f>HojaREVENTADO!K33</f>
        <v>24040</v>
      </c>
      <c r="D6" s="149">
        <f>HojaREVENTADO!E38</f>
        <v>24040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349650</v>
      </c>
      <c r="C7" s="156">
        <f>HojaPrimera!I32</f>
        <v>42000</v>
      </c>
      <c r="D7" s="149">
        <f>HojaPrimera!E37</f>
        <v>45459</v>
      </c>
      <c r="E7" s="149">
        <f>HojaPrimera!L32</f>
        <v>59000</v>
      </c>
      <c r="F7" s="149">
        <f>HojaPrimera!K32</f>
        <v>59500</v>
      </c>
      <c r="G7" s="150">
        <f t="shared" si="0"/>
        <v>3959</v>
      </c>
      <c r="H7" s="21"/>
      <c r="I7" s="21"/>
    </row>
    <row r="8" spans="1:9" x14ac:dyDescent="0.35">
      <c r="A8" s="28" t="s">
        <v>104</v>
      </c>
      <c r="B8" s="155">
        <f>HojaHonduras!$E$36</f>
        <v>139600</v>
      </c>
      <c r="C8" s="156">
        <f>HojaHonduras!K32</f>
        <v>16700</v>
      </c>
      <c r="D8" s="149">
        <f>HojaHonduras!E37</f>
        <v>18148</v>
      </c>
      <c r="E8" s="149">
        <f>HojaHonduras!N32</f>
        <v>114750</v>
      </c>
      <c r="F8" s="149">
        <f>HojaHonduras!M32</f>
        <v>114750</v>
      </c>
      <c r="G8" s="150">
        <f t="shared" si="0"/>
        <v>1448</v>
      </c>
      <c r="H8" s="21"/>
      <c r="I8" s="21"/>
    </row>
    <row r="9" spans="1:9" x14ac:dyDescent="0.35">
      <c r="A9" s="28" t="s">
        <v>20</v>
      </c>
      <c r="B9" s="155">
        <f>HojaDominicana!$E$36</f>
        <v>36350</v>
      </c>
      <c r="C9" s="156">
        <f>HojaDominicana!I32</f>
        <v>4350</v>
      </c>
      <c r="D9" s="149">
        <f>HojaDominicana!E37</f>
        <v>4725.5</v>
      </c>
      <c r="E9" s="149">
        <f>HojaDominicana!L32</f>
        <v>0</v>
      </c>
      <c r="F9" s="149">
        <f>HojaDominicana!K32</f>
        <v>0</v>
      </c>
      <c r="G9" s="150">
        <f t="shared" si="0"/>
        <v>375.5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3314400</v>
      </c>
      <c r="C11" s="174">
        <f>SUM(C4:C10)</f>
        <v>395390</v>
      </c>
      <c r="D11" s="174">
        <f t="shared" ref="D11:F11" si="1">SUM(D4:D10)</f>
        <v>423684.5</v>
      </c>
      <c r="E11" s="174">
        <f t="shared" si="1"/>
        <v>1357500</v>
      </c>
      <c r="F11" s="174">
        <f t="shared" si="1"/>
        <v>1360000</v>
      </c>
      <c r="G11" s="175">
        <f>SUM(G4:G10)</f>
        <v>30794.5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-4205.5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261500</v>
      </c>
      <c r="E16" s="156">
        <f>+Vendedor1!D21</f>
        <v>33995</v>
      </c>
      <c r="F16" s="157">
        <f>IF(D16&lt;&gt;0,15000,0)</f>
        <v>15000</v>
      </c>
      <c r="G16" s="150">
        <f>+E16-F16</f>
        <v>18995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247150</v>
      </c>
      <c r="E17" s="156">
        <f>+Vendedor2!D21</f>
        <v>32129.5</v>
      </c>
      <c r="F17" s="157">
        <f>IF(D17&lt;&gt;0,15000,0)</f>
        <v>15000</v>
      </c>
      <c r="G17" s="150">
        <f>+E17-F17</f>
        <v>17129.5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508650</v>
      </c>
      <c r="E19" s="158">
        <f>SUM(E16:E18)</f>
        <v>66124.5</v>
      </c>
      <c r="F19" s="159">
        <f>SUM(F16:F18)</f>
        <v>30000</v>
      </c>
      <c r="G19" s="160">
        <f>SUM(G16:G18)</f>
        <v>36124.5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31919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1" sqref="K11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26-04-2026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1194450</v>
      </c>
      <c r="C5" s="149">
        <f>HojaNICA!D37</f>
        <v>155278.5</v>
      </c>
      <c r="D5" s="149">
        <f>HojaNICA!D38</f>
        <v>335750</v>
      </c>
      <c r="E5" s="149"/>
      <c r="F5" s="150">
        <f>+B5-C5-D5+E5</f>
        <v>703421.5</v>
      </c>
      <c r="H5" s="248" t="s">
        <v>105</v>
      </c>
      <c r="I5" s="242">
        <f ca="1">TODAY()-1</f>
        <v>46138</v>
      </c>
      <c r="O5" s="119"/>
    </row>
    <row r="6" spans="1:15" ht="15" thickBot="1" x14ac:dyDescent="0.4">
      <c r="A6" s="47" t="s">
        <v>36</v>
      </c>
      <c r="B6" s="149">
        <f>HojaTICA!D36</f>
        <v>1842950</v>
      </c>
      <c r="C6" s="149">
        <f>HojaTICA!D37</f>
        <v>239583.5</v>
      </c>
      <c r="D6" s="149">
        <f>HojaTICA!D38</f>
        <v>850000</v>
      </c>
      <c r="E6" s="149"/>
      <c r="F6" s="150">
        <f t="shared" ref="F6:F11" si="0">+B6-C6-D6+E6</f>
        <v>753366.5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240400</v>
      </c>
      <c r="C7" s="149">
        <f>HojaREVENTADO!D38</f>
        <v>24040</v>
      </c>
      <c r="D7" s="149">
        <f>HojaREVENTADO!D39</f>
        <v>0</v>
      </c>
      <c r="E7" s="149"/>
      <c r="F7" s="150">
        <f t="shared" si="0"/>
        <v>216360</v>
      </c>
    </row>
    <row r="8" spans="1:15" x14ac:dyDescent="0.35">
      <c r="A8" s="47" t="s">
        <v>96</v>
      </c>
      <c r="B8" s="149">
        <f>HojaPrimera!$D36</f>
        <v>369300</v>
      </c>
      <c r="C8" s="149">
        <f>HojaPrimera!$D37</f>
        <v>48009</v>
      </c>
      <c r="D8" s="149">
        <f>HojaPrimera!$D38</f>
        <v>59500</v>
      </c>
      <c r="E8" s="149"/>
      <c r="F8" s="150">
        <f t="shared" si="0"/>
        <v>261791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139600</v>
      </c>
      <c r="C9" s="149">
        <f>HojaHonduras!$D37</f>
        <v>18148</v>
      </c>
      <c r="D9" s="149">
        <f>HojaHonduras!$D38</f>
        <v>114750</v>
      </c>
      <c r="E9" s="149"/>
      <c r="F9" s="150">
        <f t="shared" si="0"/>
        <v>6702</v>
      </c>
      <c r="H9" s="249">
        <f>+K12-K10-H6</f>
        <v>1973956.6999999993</v>
      </c>
    </row>
    <row r="10" spans="1:15" ht="15" thickBot="1" x14ac:dyDescent="0.4">
      <c r="A10" s="47" t="s">
        <v>20</v>
      </c>
      <c r="B10" s="149">
        <f>HojaDominicana!$D36</f>
        <v>36350</v>
      </c>
      <c r="C10" s="149">
        <f>HojaDominicana!$D37</f>
        <v>4725.5</v>
      </c>
      <c r="D10" s="149">
        <f>HojaDominicana!$D38</f>
        <v>0</v>
      </c>
      <c r="E10" s="149"/>
      <c r="F10" s="150">
        <f t="shared" si="0"/>
        <v>31624.5</v>
      </c>
      <c r="H10" s="153"/>
      <c r="J10" t="s">
        <v>148</v>
      </c>
      <c r="K10" s="251">
        <v>6580787.25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8554052.75</v>
      </c>
    </row>
    <row r="12" spans="1:15" ht="16" thickBot="1" x14ac:dyDescent="0.4">
      <c r="A12" s="143" t="s">
        <v>5</v>
      </c>
      <c r="B12" s="151">
        <f>SUM(B5:B11)</f>
        <v>3823050</v>
      </c>
      <c r="C12" s="151">
        <f>SUM(C5:C11)</f>
        <v>489784.5</v>
      </c>
      <c r="D12" s="151">
        <f>SUM(D5:D11)</f>
        <v>1360000</v>
      </c>
      <c r="E12" s="151"/>
      <c r="F12" s="254">
        <f>SUM(F5:F11)</f>
        <v>1973265.5</v>
      </c>
      <c r="H12" s="250">
        <f>K12</f>
        <v>8554743.9499999993</v>
      </c>
      <c r="J12" t="s">
        <v>140</v>
      </c>
      <c r="K12" s="253">
        <f>1767363.93+4423480.74+785274.8+1578624.48</f>
        <v>8554743.9499999993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195500</v>
      </c>
      <c r="K4" s="230">
        <f t="shared" ref="K4" si="0">D7+D11+D15</f>
        <v>25415</v>
      </c>
      <c r="L4" s="219">
        <f>F7+F11+F15</f>
        <v>63750</v>
      </c>
    </row>
    <row r="5" spans="1:12" x14ac:dyDescent="0.35">
      <c r="A5" s="28" t="s">
        <v>43</v>
      </c>
      <c r="B5" s="132">
        <f>IF(DigitaNICA!C2&lt;&gt;"",DigitaNICA!C2,"")</f>
        <v>97</v>
      </c>
      <c r="C5" s="29">
        <f>IF(DigitaNICA!C4&lt;&gt;"",DigitaNICA!C4,"")</f>
        <v>24150</v>
      </c>
      <c r="D5" s="42">
        <f>IF(C5="",0,C5*J$10)</f>
        <v>3139.5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21010.5</v>
      </c>
      <c r="I5" s="240" t="s">
        <v>37</v>
      </c>
      <c r="J5" s="220">
        <f>SUM(IF(C5="",0,C5),IF(C9="",0,C9),IF(C13="",0,C13),IF(C17="",0,C17))</f>
        <v>52650</v>
      </c>
      <c r="K5" s="224">
        <f t="shared" ref="K5" si="2">D5+D9+D13+D17</f>
        <v>6844.5</v>
      </c>
      <c r="L5" s="221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13350</v>
      </c>
      <c r="K6" s="227">
        <f>D19+D20</f>
        <v>1735.5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IF(DigitaTICA!C4&lt;&gt;"",DigitaTICA!C4,"")</f>
        <v>59300</v>
      </c>
      <c r="D7" s="42">
        <f>IF(C7="",0,C7*J$9)</f>
        <v>7709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30341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IF(DigitaNICA!E4&lt;&gt;"",DigitaNICA!E4,"")</f>
        <v>15800</v>
      </c>
      <c r="D9" s="42">
        <f>IF(C9="",0,C9*J$10)</f>
        <v>2054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13746</v>
      </c>
      <c r="I9" s="76" t="s">
        <v>36</v>
      </c>
      <c r="J9" s="77">
        <v>0.13</v>
      </c>
      <c r="K9" s="78">
        <f>MROUND(D7+D11+D15,50)</f>
        <v>25400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6850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IF(DigitaTICA!E4&lt;&gt;"",DigitaTICA!E4,"")</f>
        <v>35600</v>
      </c>
      <c r="D11" s="42">
        <f>IF(C11="",0,C11*J$9)</f>
        <v>4628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30972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2">
        <f>IF(DigitaNICA!G2&lt;&gt;"",DigitaNICA!G2,"")</f>
        <v>17</v>
      </c>
      <c r="C13" s="29">
        <f>IF(DigitaNICA!G4&lt;&gt;"",DigitaNICA!G4,"")</f>
        <v>5350</v>
      </c>
      <c r="D13" s="42">
        <f>IF(C13="",0,C13*J$10)</f>
        <v>695.5</v>
      </c>
      <c r="E13" s="29">
        <f>IF(DigitaNICA!H4&lt;&gt;"",DigitaNICA!H4,"")</f>
        <v>200</v>
      </c>
      <c r="F13" s="42">
        <f>IF(E13="",0,E13*PREMIOS!E13)</f>
        <v>16000</v>
      </c>
      <c r="G13" s="30">
        <f>IF(OR(C13="",E13=""),0,C13-D13-F13)</f>
        <v>-11345.5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IF(DigitaTICA!G4&lt;&gt;"",DigitaTICA!G4,"")</f>
        <v>100600</v>
      </c>
      <c r="D15" s="42">
        <f>IF(C15="",0,C15*J$9)</f>
        <v>13078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45022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>
        <f>IF(DigitaNICA!I4&lt;&gt;"",DigitaNICA!I4,"")</f>
        <v>7350</v>
      </c>
      <c r="D17" s="42">
        <f>IF(C17="",0,C17*J$10)</f>
        <v>955.5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6394.5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>
        <f>IF(DigitaPRIMERA!C4&lt;&gt;"",DigitaPRIMERA!C4,"")</f>
        <v>13350</v>
      </c>
      <c r="D19" s="42">
        <f>IF(C19="",0,C19*J$12)</f>
        <v>1735.5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11614.5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261500</v>
      </c>
      <c r="D21" s="122">
        <f t="shared" ref="D21:G21" si="6">SUM(D5:D20)</f>
        <v>33995</v>
      </c>
      <c r="E21" s="122">
        <f t="shared" si="6"/>
        <v>950</v>
      </c>
      <c r="F21" s="122">
        <f t="shared" si="6"/>
        <v>79750</v>
      </c>
      <c r="G21" s="123">
        <f t="shared" si="6"/>
        <v>147755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179750</v>
      </c>
      <c r="K4" s="230">
        <f t="shared" ref="K4" si="0">D7+D11+D15</f>
        <v>23367.5</v>
      </c>
      <c r="L4" s="219">
        <f>F7+F11+F15</f>
        <v>85000</v>
      </c>
    </row>
    <row r="5" spans="1:12" x14ac:dyDescent="0.35">
      <c r="A5" s="28" t="s">
        <v>43</v>
      </c>
      <c r="B5" s="132">
        <f>IF(DigitaNICA!C2&lt;&gt;"",DigitaNICA!C2,"")</f>
        <v>97</v>
      </c>
      <c r="C5" s="29">
        <f>IF(DigitaNICA!C5&lt;&gt;"",DigitaNICA!C5,"")</f>
        <v>33800</v>
      </c>
      <c r="D5" s="42">
        <f>IF(C5="",0,C5*J$10)</f>
        <v>4394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29406</v>
      </c>
      <c r="I5" s="240" t="s">
        <v>37</v>
      </c>
      <c r="J5" s="220">
        <f>SUM(IF(C5="",0,C5),IF(C9="",0,C9),IF(C13="",0,C13),IF(C17="",0,C17))</f>
        <v>61100</v>
      </c>
      <c r="K5" s="224">
        <f t="shared" ref="K5" si="2">D5+D9+D13+D17</f>
        <v>7943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6300</v>
      </c>
      <c r="K6" s="227">
        <f>D19+D20</f>
        <v>819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IF(DigitaTICA!C5&lt;&gt;"",DigitaTICA!C5,"")</f>
        <v>61400</v>
      </c>
      <c r="D7" s="42">
        <f>IF(C7="",0,C7*J$9)</f>
        <v>7982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32168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IF(DigitaNICA!E5&lt;&gt;"",DigitaNICA!E5,"")</f>
        <v>5500</v>
      </c>
      <c r="D9" s="42">
        <f>IF(C9="",0,C9*J$10)</f>
        <v>715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4785</v>
      </c>
      <c r="I9" s="60" t="s">
        <v>36</v>
      </c>
      <c r="J9" s="61">
        <v>0.13</v>
      </c>
      <c r="K9" s="62">
        <f>MROUND(D7+D11+D15,50)</f>
        <v>23350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7950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IF(DigitaTICA!E5&lt;&gt;"",DigitaTICA!E5,"")</f>
        <v>27400</v>
      </c>
      <c r="D11" s="42">
        <f>IF(C11="",0,C11*J$9)</f>
        <v>3562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2588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17</v>
      </c>
      <c r="C13" s="29">
        <f>IF(DigitaNICA!G5&lt;&gt;"",DigitaNICA!G5,"")</f>
        <v>7600</v>
      </c>
      <c r="D13" s="42">
        <f>IF(C13="",0,C13*J$10)</f>
        <v>988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6612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IF(DigitaTICA!G5&lt;&gt;"",DigitaTICA!G5,"")</f>
        <v>90950</v>
      </c>
      <c r="D15" s="42">
        <f>IF(C15="",0,C15*J$9)</f>
        <v>11823.5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36626.5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>
        <f>IF(DigitaNICA!I5&lt;&gt;"",DigitaNICA!I5,"")</f>
        <v>14200</v>
      </c>
      <c r="D17" s="42">
        <f>IF(C17="",0,C17*J$10)</f>
        <v>1846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12354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>
        <f>IF(DigitaPRIMERA!C5&lt;&gt;"",DigitaPRIMERA!C5,"")</f>
        <v>6300</v>
      </c>
      <c r="D19" s="42">
        <f>IF(C19="",0,C19*J$12)</f>
        <v>819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5481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247150</v>
      </c>
      <c r="D21" s="68">
        <f t="shared" ref="D21:G21" si="4">SUM(D5:D20)</f>
        <v>32129.5</v>
      </c>
      <c r="E21" s="68">
        <f t="shared" si="4"/>
        <v>1000</v>
      </c>
      <c r="F21" s="68">
        <f t="shared" si="4"/>
        <v>85000</v>
      </c>
      <c r="G21" s="88">
        <f t="shared" si="4"/>
        <v>130020.5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5000</v>
      </c>
      <c r="K4" s="230">
        <f t="shared" ref="K4" si="0">D7+D11+D15</f>
        <v>600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94">
        <f>IF(DigitaTICA!G7&lt;&gt;"",DigitaTICA!G7,"")</f>
        <v>5000</v>
      </c>
      <c r="D15" s="112">
        <f>IF(C15="",0,C15*J$9)</f>
        <v>600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4400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5000</v>
      </c>
      <c r="D19" s="68">
        <f>SUM(D5:D18)</f>
        <v>600</v>
      </c>
      <c r="E19" s="68">
        <f>SUM(E5:E18)</f>
        <v>0</v>
      </c>
      <c r="F19" s="68">
        <f>SUM(F5:F18)</f>
        <v>0</v>
      </c>
      <c r="G19" s="88">
        <f>SUM(G5:G18)</f>
        <v>4400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122050</v>
      </c>
      <c r="K4" s="230">
        <f t="shared" ref="K4" si="0">D7+D11+D15</f>
        <v>14646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97</v>
      </c>
      <c r="C5" s="29">
        <f>IF(DigitaNICA!C8&lt;&gt;"",DigitaNICA!C8,"")</f>
        <v>66450</v>
      </c>
      <c r="D5" s="42">
        <f>IF(C5="",0,C5*J$12)</f>
        <v>7974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50476</v>
      </c>
      <c r="I5" s="240" t="s">
        <v>37</v>
      </c>
      <c r="J5" s="220">
        <f>SUM(IF(C5="",0,C5),IF(C9="",0,C9),IF(C13="",0,C13),IF(C17="",0,C17))</f>
        <v>131350</v>
      </c>
      <c r="K5" s="224">
        <f t="shared" ref="K5" si="2">D5+D9+D13+D17</f>
        <v>15762</v>
      </c>
      <c r="L5" s="221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IF(DigitaTICA!C8&lt;&gt;"",DigitaTICA!C8,"")</f>
        <v>51000</v>
      </c>
      <c r="D7" s="42">
        <f>IF(C7="",0,C7*J$11)</f>
        <v>6120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44880</v>
      </c>
      <c r="I7" s="241" t="s">
        <v>96</v>
      </c>
      <c r="J7" s="223">
        <f>SUM(IF(C19="",0,C19),IF(C20="",0,C20))</f>
        <v>27800</v>
      </c>
      <c r="K7" s="227">
        <f>+D19+D20</f>
        <v>3336</v>
      </c>
      <c r="L7" s="228">
        <f>+F19+F20</f>
        <v>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>
        <f>IF(DigitaNICA!E8&lt;&gt;"",DigitaNICA!E8,"")</f>
        <v>35950</v>
      </c>
      <c r="D9" s="42">
        <f>IF(C9="",0,C9*J$12)</f>
        <v>4314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31636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IF(DigitaTICA!E8&lt;&gt;"",DigitaTICA!E8,"")</f>
        <v>28600</v>
      </c>
      <c r="D11" s="42">
        <f>IF(C11="",0,C11*J$11)</f>
        <v>3432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25168</v>
      </c>
      <c r="I11" s="60" t="s">
        <v>36</v>
      </c>
      <c r="J11" s="61">
        <v>0.12</v>
      </c>
      <c r="K11" s="62">
        <f>MROUND(D7+D11+D15,50)</f>
        <v>14650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15750</v>
      </c>
    </row>
    <row r="13" spans="1:12" x14ac:dyDescent="0.35">
      <c r="A13" s="28" t="s">
        <v>50</v>
      </c>
      <c r="B13" s="132">
        <f>IF(DigitaNICA!G2&lt;&gt;"",DigitaNICA!G2,"")</f>
        <v>17</v>
      </c>
      <c r="C13" s="29">
        <f>IF(DigitaNICA!G8&lt;&gt;"",DigitaNICA!G8,"")</f>
        <v>12800</v>
      </c>
      <c r="D13" s="42">
        <f>IF(C13="",0,C13*J$12)</f>
        <v>1536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11264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3350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IF(DigitaTICA!G8&lt;&gt;"",DigitaTICA!G8,"")</f>
        <v>42450</v>
      </c>
      <c r="D15" s="42">
        <f>IF(C15="",0,C15*J$11)</f>
        <v>5094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37356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>
        <f>IF(DigitaNICA!I8&lt;&gt;"",DigitaNICA!I8,"")</f>
        <v>16150</v>
      </c>
      <c r="D17" s="42">
        <f>IF(C17="",0,C17*J$12)</f>
        <v>1938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14212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>
        <f>IF(DigitaPRIMERA!C8&lt;&gt;"",DigitaPRIMERA!C8,"")</f>
        <v>20500</v>
      </c>
      <c r="D19" s="42">
        <f>IF(C19="",0,C19*J$14)</f>
        <v>2460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18040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IF(DigitaPRIMERA!E8&lt;&gt;"",DigitaPRIMERA!E8,"")</f>
        <v>7300</v>
      </c>
      <c r="D20" s="42">
        <f>IF(C20="",0,C20*J$14)</f>
        <v>876</v>
      </c>
      <c r="E20" s="29">
        <f>IF(DigitaPRIMERA!F8&lt;&gt;"",DigitaPRIMERA!F8,"")</f>
        <v>100</v>
      </c>
      <c r="F20" s="42">
        <f>IF(E20="",0,E20*PREMIOS!E19)</f>
        <v>8000</v>
      </c>
      <c r="G20" s="30">
        <f t="shared" si="4"/>
        <v>-1576</v>
      </c>
    </row>
    <row r="21" spans="1:7" ht="15" thickBot="1" x14ac:dyDescent="0.4">
      <c r="A21" s="121" t="s">
        <v>5</v>
      </c>
      <c r="B21" s="128"/>
      <c r="C21" s="122">
        <f>SUM(C5:C20)</f>
        <v>281200</v>
      </c>
      <c r="D21" s="122">
        <f t="shared" ref="D21:G21" si="5">SUM(D5:D20)</f>
        <v>33744</v>
      </c>
      <c r="E21" s="122">
        <f t="shared" si="5"/>
        <v>200</v>
      </c>
      <c r="F21" s="122">
        <f t="shared" si="5"/>
        <v>16000</v>
      </c>
      <c r="G21" s="123">
        <f t="shared" si="5"/>
        <v>231456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159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97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487500</v>
      </c>
      <c r="K4" s="230">
        <f t="shared" ref="K4" si="0">D7+D11+D15</f>
        <v>58500</v>
      </c>
      <c r="L4" s="219">
        <f>F7+F11+F15</f>
        <v>314500</v>
      </c>
    </row>
    <row r="5" spans="1:12" x14ac:dyDescent="0.35">
      <c r="A5" s="28" t="s">
        <v>43</v>
      </c>
      <c r="B5" s="132">
        <f>IF(DigitaNICA!C2&lt;&gt;"",DigitaNICA!C2,"")</f>
        <v>97</v>
      </c>
      <c r="C5" s="29">
        <f>IF(DigitaNICA!C10&lt;&gt;"",DigitaNICA!C10,"")</f>
        <v>82350</v>
      </c>
      <c r="D5" s="42">
        <f>IF(C5="",0,C5*J$15)</f>
        <v>9882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72468</v>
      </c>
      <c r="I5" s="216" t="s">
        <v>37</v>
      </c>
      <c r="J5" s="220">
        <f>SUM(IF(C5="",0,C5),IF(C9="",0,C9),IF(C13="",0,C13),IF(C17="",0,C17))</f>
        <v>285650</v>
      </c>
      <c r="K5" s="224">
        <f t="shared" ref="K5" si="2">D5+D9+D13+D17</f>
        <v>34278</v>
      </c>
      <c r="L5" s="221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85950</v>
      </c>
      <c r="K6" s="225">
        <f t="shared" ref="K6" si="3">+D8+D12+D16</f>
        <v>8595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29">
        <f>IF(DigitaTICA!C10&lt;&gt;"",DigitaTICA!C10,"")</f>
        <v>152600</v>
      </c>
      <c r="D7" s="42">
        <f>IF(C7="",0,C7*J$14)</f>
        <v>18312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134288</v>
      </c>
      <c r="I7" s="216" t="s">
        <v>96</v>
      </c>
      <c r="J7" s="222">
        <f>SUM(IF(C19="",0,C19),IF(C20="",0,C20))</f>
        <v>81600</v>
      </c>
      <c r="K7" s="225">
        <f>+D19+D20</f>
        <v>9792</v>
      </c>
      <c r="L7" s="226">
        <f>+F19+F20</f>
        <v>12750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33250</v>
      </c>
      <c r="D8" s="42">
        <f>IF(C8="",0,C8*J$16)</f>
        <v>3325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29925</v>
      </c>
      <c r="I8" s="216" t="s">
        <v>104</v>
      </c>
      <c r="J8" s="222">
        <f>SUM(IF(C21="",0,C21),IF(C22="",0,C22),IF(C23="",0,C23))</f>
        <v>23400</v>
      </c>
      <c r="K8" s="225">
        <f t="shared" ref="K8" si="4">D21+D22+D23</f>
        <v>2808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IF(DigitaNICA!E10&lt;&gt;"",DigitaNICA!E10,"")</f>
        <v>66050</v>
      </c>
      <c r="D9" s="42">
        <f>IF(C9="",0,C9*J$15)</f>
        <v>7926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41124</v>
      </c>
      <c r="I9" s="216" t="s">
        <v>20</v>
      </c>
      <c r="J9" s="222">
        <f>SUM(IF(C24="",0,C24),IF(C25="",0,C25))</f>
        <v>36350</v>
      </c>
      <c r="K9" s="225">
        <f t="shared" ref="K9" si="5">+D24+D25</f>
        <v>4362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IF(DigitaTICA!E10&lt;&gt;"",DigitaTICA!E10,"")</f>
        <v>107000</v>
      </c>
      <c r="D11" s="42">
        <f>IF(C11="",0,C11*J$14)</f>
        <v>12840</v>
      </c>
      <c r="E11" s="29">
        <f>IF(DigitaTICA!F10&lt;&gt;"",DigitaTICA!F10,"")</f>
        <v>3550</v>
      </c>
      <c r="F11" s="42">
        <f>IF(E11="",0,E11*PREMIOS!F11)</f>
        <v>301750</v>
      </c>
      <c r="G11" s="30">
        <f t="shared" si="1"/>
        <v>-207590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19600</v>
      </c>
      <c r="D12" s="42">
        <f>IF(C12="",0,C12*J$16)</f>
        <v>1960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17640</v>
      </c>
    </row>
    <row r="13" spans="1:12" ht="15" thickBot="1" x14ac:dyDescent="0.4">
      <c r="A13" s="28" t="s">
        <v>50</v>
      </c>
      <c r="B13" s="132">
        <f>IF(DigitaNICA!G2&lt;&gt;"",DigitaNICA!G2,"")</f>
        <v>17</v>
      </c>
      <c r="C13" s="29">
        <f>IF(DigitaNICA!G10&lt;&gt;"",DigitaNICA!G10,"")</f>
        <v>57900</v>
      </c>
      <c r="D13" s="42">
        <f>IF(C13="",0,C13*J$15)</f>
        <v>6948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50952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58500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IF(DigitaTICA!G10&lt;&gt;"",DigitaTICA!G10,"")</f>
        <v>227900</v>
      </c>
      <c r="D15" s="42">
        <f>IF(C15="",0,C15*J$14)</f>
        <v>27348</v>
      </c>
      <c r="E15" s="29">
        <f>IF(DigitaTICA!H10&lt;&gt;"",DigitaTICA!H10,"")</f>
        <v>150</v>
      </c>
      <c r="F15" s="42">
        <f>IF(E15="",0,E15*PREMIOS!F15)</f>
        <v>12750</v>
      </c>
      <c r="G15" s="30">
        <f t="shared" si="6"/>
        <v>187802</v>
      </c>
      <c r="I15" s="63" t="s">
        <v>37</v>
      </c>
      <c r="J15" s="64">
        <v>0.12</v>
      </c>
      <c r="K15" s="30">
        <f>MROUND(D5+D9+D13+D17,50)</f>
        <v>34300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33100</v>
      </c>
      <c r="D16" s="42">
        <f>IF(C16="",0,C16*J$16)</f>
        <v>3310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29790</v>
      </c>
      <c r="I16" s="63" t="s">
        <v>38</v>
      </c>
      <c r="J16" s="64">
        <v>0.1</v>
      </c>
      <c r="K16" s="30">
        <f>MROUND(D6+D8+D10+D12+D14+D16+D18,50)</f>
        <v>8600</v>
      </c>
    </row>
    <row r="17" spans="1:11" x14ac:dyDescent="0.35">
      <c r="A17" s="28" t="s">
        <v>52</v>
      </c>
      <c r="B17" s="132">
        <f>IF(DigitaNICA!I2&lt;&gt;"",DigitaNICA!I2,"")</f>
        <v>97</v>
      </c>
      <c r="C17" s="29">
        <f>IF(DigitaNICA!I10&lt;&gt;"",DigitaNICA!I10,"")</f>
        <v>79350</v>
      </c>
      <c r="D17" s="42">
        <f>IF(C17="",0,C17*J$15)</f>
        <v>9522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52828</v>
      </c>
      <c r="I17" s="63" t="s">
        <v>96</v>
      </c>
      <c r="J17" s="64">
        <v>0.12</v>
      </c>
      <c r="K17" s="30">
        <f>MROUND(D19+D20,50)</f>
        <v>9800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2800</v>
      </c>
    </row>
    <row r="19" spans="1:11" x14ac:dyDescent="0.35">
      <c r="A19" s="28" t="s">
        <v>97</v>
      </c>
      <c r="B19" s="132">
        <f>IF(DigitaPRIMERA!C2&lt;&gt;"",DigitaPRIMERA!C2,"")</f>
        <v>83</v>
      </c>
      <c r="C19" s="29">
        <f>IF(DigitaPRIMERA!$C$10&lt;&gt;"",DigitaPRIMERA!$C$10,"")</f>
        <v>42250</v>
      </c>
      <c r="D19" s="42">
        <f>IF(C19="",0,C19*J$17)</f>
        <v>5070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24430</v>
      </c>
      <c r="I19" s="63" t="s">
        <v>20</v>
      </c>
      <c r="J19" s="64">
        <v>0.12</v>
      </c>
      <c r="K19" s="30">
        <f>MROUND(D24+D25,50)</f>
        <v>4350</v>
      </c>
    </row>
    <row r="20" spans="1:11" ht="15" thickBot="1" x14ac:dyDescent="0.4">
      <c r="A20" s="28" t="s">
        <v>98</v>
      </c>
      <c r="B20" s="132">
        <f>IF(DigitaPRIMERA!E2&lt;&gt;"",DigitaPRIMERA!E2,"")</f>
        <v>43</v>
      </c>
      <c r="C20" s="29">
        <f>IF(DigitaPRIMERA!$E$10&lt;&gt;"",DigitaPRIMERA!$E$10,"")</f>
        <v>39350</v>
      </c>
      <c r="D20" s="42">
        <f>IF(C20="",0,C20*J$17)</f>
        <v>4722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34628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90</v>
      </c>
      <c r="C21" s="29">
        <f>IF(DigitaHONDURAS!$C$10&lt;&gt;"",DigitaHONDURAS!$C$10,"")</f>
        <v>8600</v>
      </c>
      <c r="D21" s="42">
        <f>IF(C21="",0,C21*J$18)</f>
        <v>1032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7568</v>
      </c>
    </row>
    <row r="22" spans="1:11" x14ac:dyDescent="0.35">
      <c r="A22" s="28" t="s">
        <v>100</v>
      </c>
      <c r="B22" s="132">
        <f>IF(DigitaHONDURAS!E2&lt;&gt;"",DigitaHONDURAS!E2,"")</f>
        <v>50</v>
      </c>
      <c r="C22" s="29">
        <f>IF(DigitaHONDURAS!$E$10&lt;&gt;"",DigitaHONDURAS!$E$10,"")</f>
        <v>6600</v>
      </c>
      <c r="D22" s="42">
        <f>IF(C22="",0,C22*J$18)</f>
        <v>792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5808</v>
      </c>
    </row>
    <row r="23" spans="1:11" x14ac:dyDescent="0.35">
      <c r="A23" s="28" t="s">
        <v>101</v>
      </c>
      <c r="B23" s="132">
        <f>IF(DigitaHONDURAS!G2&lt;&gt;"",DigitaHONDURAS!G2,"")</f>
        <v>85</v>
      </c>
      <c r="C23" s="29">
        <f>IF(DigitaHONDURAS!$G$10&lt;&gt;"",DigitaHONDURAS!$G$10,"")</f>
        <v>8200</v>
      </c>
      <c r="D23" s="42">
        <f>IF(C23="",0,C23*J$18)</f>
        <v>984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7216</v>
      </c>
    </row>
    <row r="24" spans="1:11" x14ac:dyDescent="0.35">
      <c r="A24" s="28" t="s">
        <v>107</v>
      </c>
      <c r="B24" s="132" t="str">
        <f>IF(DigitaDOMINICANA!C2&lt;&gt;"",DigitaDOMINICANA!C2,"")</f>
        <v>06</v>
      </c>
      <c r="C24" s="29">
        <f>IF(DigitaDOMINICANA!$C$10&lt;&gt;"",DigitaDOMINICANA!$C$10,"")</f>
        <v>16350</v>
      </c>
      <c r="D24" s="42">
        <f>IF(C24="",0,C24*J$19)</f>
        <v>1962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14388</v>
      </c>
    </row>
    <row r="25" spans="1:11" x14ac:dyDescent="0.35">
      <c r="A25" s="28" t="s">
        <v>108</v>
      </c>
      <c r="B25" s="132">
        <f>IF(DigitaDOMINICANA!E2&lt;&gt;"",DigitaDOMINICANA!E2,"")</f>
        <v>80</v>
      </c>
      <c r="C25" s="29">
        <f>IF(DigitaDOMINICANA!$E$10&lt;&gt;"",DigitaDOMINICANA!$E$10,"")</f>
        <v>20000</v>
      </c>
      <c r="D25" s="42">
        <f>IF(C25="",0,C25*J$19)</f>
        <v>2400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17600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1000450</v>
      </c>
      <c r="D27" s="68">
        <f t="shared" ref="D27:F27" si="9">SUM(D5:D26)</f>
        <v>118335</v>
      </c>
      <c r="E27" s="68">
        <f t="shared" si="9"/>
        <v>4250</v>
      </c>
      <c r="F27" s="68">
        <f t="shared" si="9"/>
        <v>361250</v>
      </c>
      <c r="G27" s="88">
        <f>SUM(G5:G26)</f>
        <v>520865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14100</v>
      </c>
      <c r="K4" s="230">
        <f t="shared" ref="K4" si="0">D7+D11+D15</f>
        <v>1692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IF(DigitaTICA!C11&lt;&gt;"",DigitaTICA!C11,"")</f>
        <v>3500</v>
      </c>
      <c r="D7" s="42">
        <f>IF(C7="",0,C7*J$11)</f>
        <v>420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3080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IF(DigitaTICA!G11&lt;&gt;"",DigitaTICA!G11,"")</f>
        <v>10600</v>
      </c>
      <c r="D15" s="42">
        <f>IF(C15="",0,C15*J$11)</f>
        <v>1272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9328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14100</v>
      </c>
      <c r="D21" s="122">
        <f t="shared" ref="D21:G21" si="5">SUM(D5:D20)</f>
        <v>1692</v>
      </c>
      <c r="E21" s="122">
        <f t="shared" si="5"/>
        <v>0</v>
      </c>
      <c r="F21" s="122">
        <f t="shared" si="5"/>
        <v>0</v>
      </c>
      <c r="G21" s="123">
        <f t="shared" si="5"/>
        <v>12408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43350</v>
      </c>
      <c r="K4" s="230">
        <f>D7+D11+D15</f>
        <v>5202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97</v>
      </c>
      <c r="C5" s="29">
        <f>IF(DigitaNICA!C12&lt;&gt;"",DigitaNICA!C12,"")</f>
        <v>40400</v>
      </c>
      <c r="D5" s="42">
        <f>IF(C5="",0,C5*J$12)</f>
        <v>4848</v>
      </c>
      <c r="E5" s="29">
        <f>IF(DigitaNICA!D12&lt;&gt;"",DigitaNICA!D12,"")</f>
        <v>900</v>
      </c>
      <c r="F5" s="42">
        <f>IF(E5="",0,E5*PREMIOS!F5)</f>
        <v>76500</v>
      </c>
      <c r="G5" s="30">
        <f t="shared" ref="G5:G12" si="0">IF(OR(C5="",E5=""),0,C5-D5-F5)</f>
        <v>-40948</v>
      </c>
      <c r="I5" s="216" t="s">
        <v>37</v>
      </c>
      <c r="J5" s="220">
        <f>SUM(IF(C5="",0,C5),IF(C9="",0,C9),IF(C13="",0,C13),IF(C17="",0,C17))</f>
        <v>45800</v>
      </c>
      <c r="K5" s="224">
        <f t="shared" ref="K5" si="1">D5+D9+D13+D17</f>
        <v>5496</v>
      </c>
      <c r="L5" s="221">
        <f>F5+F9+F13+F17</f>
        <v>76500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5800</v>
      </c>
      <c r="K6" s="225">
        <f t="shared" ref="K6" si="2">+D8+D12+D16</f>
        <v>580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29">
        <f>IF(DigitaTICA!C12&lt;&gt;"",DigitaTICA!C12,"")</f>
        <v>16100</v>
      </c>
      <c r="D7" s="42">
        <f>IF(C7="",0,C7*J$11)</f>
        <v>1932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14168</v>
      </c>
      <c r="I7" s="216" t="s">
        <v>96</v>
      </c>
      <c r="J7" s="222">
        <f>SUM(IF(C19="",0,C19),IF(C20="",0,C20))</f>
        <v>32400</v>
      </c>
      <c r="K7" s="225">
        <f>+D19+D20</f>
        <v>3888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3500</v>
      </c>
      <c r="D8" s="42">
        <f>IF(C8="",0,C8*J$13)</f>
        <v>350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3150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>
        <f>IF(DigitaNICA!E12&lt;&gt;"",DigitaNICA!E12,"")</f>
        <v>5400</v>
      </c>
      <c r="D9" s="42">
        <f>IF(C9="",0,C9*J$12)</f>
        <v>648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4752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IF(DigitaTICA!E12&lt;&gt;"",DigitaTICA!E12,"")</f>
        <v>8750</v>
      </c>
      <c r="D11" s="42">
        <f>IF(C11="",0,C11*J$11)</f>
        <v>1050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7700</v>
      </c>
      <c r="I11" s="60" t="s">
        <v>36</v>
      </c>
      <c r="J11" s="61">
        <v>0.12</v>
      </c>
      <c r="K11" s="62">
        <f>MROUND(D7+D11+D15,50)</f>
        <v>5200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5500</v>
      </c>
    </row>
    <row r="13" spans="1:12" x14ac:dyDescent="0.35">
      <c r="A13" s="28" t="s">
        <v>50</v>
      </c>
      <c r="B13" s="132">
        <f>IF(DigitaNICA!G2&lt;&gt;"",DigitaNICA!G2,"")</f>
        <v>17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3900</v>
      </c>
    </row>
    <row r="15" spans="1:12" ht="15" thickBot="1" x14ac:dyDescent="0.4">
      <c r="A15" s="28" t="s">
        <v>61</v>
      </c>
      <c r="B15" s="132">
        <f>IF(DigitaTICA!G2&lt;&gt;"",DigitaTICA!G2,"")</f>
        <v>73</v>
      </c>
      <c r="C15" s="29">
        <f>IF(DigitaTICA!G12&lt;&gt;"",DigitaTICA!G12,"")</f>
        <v>18500</v>
      </c>
      <c r="D15" s="42">
        <f>IF(C15="",0,C15*J$11)</f>
        <v>2220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16280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1800</v>
      </c>
      <c r="D16" s="42">
        <f>IF(C16="",0,C16*J$13)</f>
        <v>180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1620</v>
      </c>
    </row>
    <row r="17" spans="1:7" x14ac:dyDescent="0.35">
      <c r="A17" s="28" t="s">
        <v>52</v>
      </c>
      <c r="B17" s="132">
        <f>IF(DigitaNICA!I2&lt;&gt;"",DigitaNICA!I2,"")</f>
        <v>97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>
        <f>IF(DigitaPRIMERA!$C$12&lt;&gt;"",DigitaPRIMERA!$C$12,"")</f>
        <v>32400</v>
      </c>
      <c r="D19" s="42">
        <f>IF(C19="",0,C19*J$14)</f>
        <v>3888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28512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127350</v>
      </c>
      <c r="D24" s="68">
        <f t="shared" ref="D24:G24" si="4">SUM(D5:D23)</f>
        <v>15166</v>
      </c>
      <c r="E24" s="68">
        <f t="shared" si="4"/>
        <v>900</v>
      </c>
      <c r="F24" s="68">
        <f t="shared" si="4"/>
        <v>76500</v>
      </c>
      <c r="G24" s="88">
        <f t="shared" si="4"/>
        <v>35684</v>
      </c>
    </row>
    <row r="27" spans="1:7" x14ac:dyDescent="0.35">
      <c r="G27" s="21">
        <v>307513</v>
      </c>
    </row>
    <row r="28" spans="1:7" x14ac:dyDescent="0.35">
      <c r="G28" s="140">
        <f>+G24+G27</f>
        <v>343197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70850</v>
      </c>
      <c r="K4" s="230">
        <f t="shared" ref="K4" si="0">D7+D11+D15</f>
        <v>8502</v>
      </c>
      <c r="L4" s="219">
        <f>F7+F11+F15</f>
        <v>123250</v>
      </c>
    </row>
    <row r="5" spans="1:12" ht="15" thickBot="1" x14ac:dyDescent="0.4">
      <c r="A5" s="28" t="s">
        <v>43</v>
      </c>
      <c r="B5" s="132">
        <f>IF(DigitaNICA!C2&lt;&gt;"",DigitaNICA!C2,"")</f>
        <v>97</v>
      </c>
      <c r="C5" s="29">
        <f>IF(DigitaNICA!C13&lt;&gt;"",DigitaNICA!C13,"")</f>
        <v>32150</v>
      </c>
      <c r="D5" s="42">
        <f>IF(C5="",0,C5*J$10)</f>
        <v>3858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28292</v>
      </c>
      <c r="I5" s="217" t="s">
        <v>37</v>
      </c>
      <c r="J5" s="231">
        <f>SUM(IF(C5="",0,C5),IF(C9="",0,C9),IF(C13="",0,C13),IF(C17="",0,C17))</f>
        <v>44850</v>
      </c>
      <c r="K5" s="232">
        <f t="shared" ref="K5" si="2">D5+D9+D13+D17</f>
        <v>5382</v>
      </c>
      <c r="L5" s="233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IF(DigitaTICA!C13&lt;&gt;"",DigitaTICA!C13,"")</f>
        <v>18600</v>
      </c>
      <c r="D7" s="42">
        <f>IF(C7="",0,C7*J$9)</f>
        <v>2232</v>
      </c>
      <c r="E7" s="29">
        <f>IF(DigitaTICA!D13&lt;&gt;"",DigitaTICA!D13,"")</f>
        <v>150</v>
      </c>
      <c r="F7" s="133">
        <f>IF(E7="",0,E7*PREMIOS!F7)</f>
        <v>12750</v>
      </c>
      <c r="G7" s="30">
        <f t="shared" si="1"/>
        <v>3618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IF(DigitaNICA!E13&lt;&gt;"",DigitaNICA!E13,"")</f>
        <v>10400</v>
      </c>
      <c r="D9" s="42">
        <f>IF(C9="",0,C9*J$10)</f>
        <v>1248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9152</v>
      </c>
      <c r="I9" s="60" t="s">
        <v>36</v>
      </c>
      <c r="J9" s="61">
        <v>0.12</v>
      </c>
      <c r="K9" s="62">
        <f>MROUND(D7+D11+D15,50)</f>
        <v>8500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5400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>
        <f>IF(DigitaTICA!E13&lt;&gt;"",DigitaTICA!E13,"")</f>
        <v>19800</v>
      </c>
      <c r="D11" s="42">
        <f>IF(C11="",0,C11*J$9)</f>
        <v>2376</v>
      </c>
      <c r="E11" s="29">
        <f>IF(DigitaTICA!F13&lt;&gt;"",DigitaTICA!F13,"")</f>
        <v>1000</v>
      </c>
      <c r="F11" s="133">
        <f>IF(E11="",0,E11*PREMIOS!F11)</f>
        <v>85000</v>
      </c>
      <c r="G11" s="30">
        <f t="shared" si="1"/>
        <v>-67576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17</v>
      </c>
      <c r="C13" s="29">
        <f>IF(DigitaNICA!G13&lt;&gt;"",DigitaNICA!G13,"")</f>
        <v>500</v>
      </c>
      <c r="D13" s="42">
        <f>IF(C13="",0,C13*J$10)</f>
        <v>60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440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IF(DigitaTICA!G13&lt;&gt;"",DigitaTICA!G13,"")</f>
        <v>32450</v>
      </c>
      <c r="D15" s="42">
        <f>IF(C15="",0,C15*J$9)</f>
        <v>3894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3056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>
        <f>IF(DigitaNICA!I13&lt;&gt;"",DigitaNICA!I13,"")</f>
        <v>1800</v>
      </c>
      <c r="D17" s="42">
        <f>IF(C17="",0,C17*J$10)</f>
        <v>216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-6416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115700</v>
      </c>
      <c r="D19" s="68">
        <f>MROUND(SUM(D5:D18),50)</f>
        <v>13900</v>
      </c>
      <c r="E19" s="68">
        <f>SUM(E5:E18)</f>
        <v>1550</v>
      </c>
      <c r="F19" s="68">
        <f>SUM(F5:F18)</f>
        <v>131250</v>
      </c>
      <c r="G19" s="88">
        <f>SUM(G5:G18)</f>
        <v>-29434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82200</v>
      </c>
      <c r="K4" s="235">
        <f t="shared" ref="K4" si="0">D7+D11+D15</f>
        <v>12330</v>
      </c>
      <c r="L4" s="236">
        <f>F7+F11+F15</f>
        <v>0</v>
      </c>
    </row>
    <row r="5" spans="1:12" x14ac:dyDescent="0.35">
      <c r="A5" s="28" t="s">
        <v>43</v>
      </c>
      <c r="B5" s="132">
        <f>IF(DigitaNICA!C2&lt;&gt;"",DigitaNICA!C2,"")</f>
        <v>97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IF(DigitaTICA!C14&lt;&gt;"",DigitaTICA!C14,"")</f>
        <v>34950</v>
      </c>
      <c r="D7" s="42">
        <f>IF(C7="",0,C7*J$9)</f>
        <v>5242.5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29707.5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>
        <f>IF(DigitaTICA!E14&lt;&gt;"",DigitaTICA!E14,"")</f>
        <v>12550</v>
      </c>
      <c r="D11" s="42">
        <f>IF(C11="",0,C11*J$9)</f>
        <v>1882.5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10667.5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>
        <f>IF(DigitaTICA!G14&lt;&gt;"",DigitaTICA!G14,"")</f>
        <v>34700</v>
      </c>
      <c r="D15" s="42">
        <f>IF(C15="",0,C15*J$9)</f>
        <v>5205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29495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82200</v>
      </c>
      <c r="D19" s="68">
        <f>MROUND(SUM(D5:D18),50)</f>
        <v>12350</v>
      </c>
      <c r="E19" s="68">
        <f>SUM(E5:E18)</f>
        <v>0</v>
      </c>
      <c r="F19" s="68">
        <f>SUM(F5:F18)</f>
        <v>0</v>
      </c>
      <c r="G19" s="88">
        <f>SUM(G5:G18)</f>
        <v>69870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56000</v>
      </c>
      <c r="K4" s="230">
        <f>D7+D11+D15</f>
        <v>6720</v>
      </c>
      <c r="L4" s="219">
        <f>F7+F11+F15</f>
        <v>42500</v>
      </c>
    </row>
    <row r="5" spans="1:12" x14ac:dyDescent="0.35">
      <c r="A5" s="28" t="s">
        <v>43</v>
      </c>
      <c r="B5" s="132">
        <f>IF(DigitaNICA!C2&lt;&gt;"",DigitaNICA!C2,"")</f>
        <v>97</v>
      </c>
      <c r="C5" s="29">
        <f>IF(DigitaNICA!C16&lt;&gt;"",DigitaNICA!C16,"")</f>
        <v>10400</v>
      </c>
      <c r="D5" s="42">
        <f>IF(C5="",0,C5*J$12)</f>
        <v>1248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9152</v>
      </c>
      <c r="I5" s="63" t="s">
        <v>37</v>
      </c>
      <c r="J5" s="224">
        <f>SUM(IF(C5="",0,C5),IF(C9="",0,C9),IF(C13="",0,C13),IF(C17="",0,C17))</f>
        <v>31700</v>
      </c>
      <c r="K5" s="224">
        <f t="shared" ref="K5" si="1">D5+D9+D13+D17</f>
        <v>3804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4500</v>
      </c>
      <c r="K6" s="225">
        <f t="shared" ref="K6" si="2">+D8+D12+D16</f>
        <v>450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29">
        <f>IF(DigitaTICA!C16&lt;&gt;"",DigitaTICA!C16,"")</f>
        <v>10700</v>
      </c>
      <c r="D7" s="42">
        <f>IF(C7="",0,C7*J$11)</f>
        <v>1284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-11834</v>
      </c>
      <c r="I7" s="63" t="s">
        <v>96</v>
      </c>
      <c r="J7" s="225">
        <f>SUM(IF(C19="",0,C19),IF(C20="",0,C20))</f>
        <v>9200</v>
      </c>
      <c r="K7" s="225">
        <f>+D19+D20</f>
        <v>1104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IF(DigitaTICA!E16&lt;&gt;"",DigitaTICA!E16,"")</f>
        <v>14250</v>
      </c>
      <c r="D11" s="42">
        <f>IF(C11="",0,C11*J$11)</f>
        <v>1710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-8710</v>
      </c>
      <c r="I11" s="76" t="s">
        <v>36</v>
      </c>
      <c r="J11" s="77">
        <v>0.12</v>
      </c>
      <c r="K11" s="78">
        <f>MROUND(D7+D11+D15,50)</f>
        <v>6700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3800</v>
      </c>
    </row>
    <row r="13" spans="1:12" x14ac:dyDescent="0.35">
      <c r="A13" s="28" t="s">
        <v>50</v>
      </c>
      <c r="B13" s="132">
        <f>IF(DigitaNICA!G2&lt;&gt;"",DigitaNICA!G2,"")</f>
        <v>17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1100</v>
      </c>
    </row>
    <row r="15" spans="1:12" ht="15" thickBot="1" x14ac:dyDescent="0.4">
      <c r="A15" s="28" t="s">
        <v>61</v>
      </c>
      <c r="B15" s="132">
        <f>IF(DigitaTICA!G2&lt;&gt;"",DigitaTICA!G2,"")</f>
        <v>73</v>
      </c>
      <c r="C15" s="29">
        <f>IF(DigitaTICA!G16&lt;&gt;"",DigitaTICA!G16,"")</f>
        <v>31050</v>
      </c>
      <c r="D15" s="42">
        <f>IF(C15="",0,C15*J$11)</f>
        <v>3726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27324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3500</v>
      </c>
      <c r="D16" s="42">
        <f>IF(C16="",0,C16*J$13)</f>
        <v>350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3150</v>
      </c>
    </row>
    <row r="17" spans="1:7" x14ac:dyDescent="0.35">
      <c r="A17" s="28" t="s">
        <v>52</v>
      </c>
      <c r="B17" s="132">
        <f>IF(DigitaNICA!I2&lt;&gt;"",DigitaNICA!I2,"")</f>
        <v>97</v>
      </c>
      <c r="C17" s="29">
        <f>IF(DigitaNICA!I16&lt;&gt;"",DigitaNICA!I16,"")</f>
        <v>20300</v>
      </c>
      <c r="D17" s="42">
        <f>IF(C17="",0,C17*J$12)</f>
        <v>2436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17864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83</v>
      </c>
      <c r="C19" s="29">
        <f>IF(DigitaPRIMERA!C16&lt;&gt;"",DigitaPRIMERA!C16,"")</f>
        <v>9200</v>
      </c>
      <c r="D19" s="42">
        <f>IF(C19="",0,C19*J$14)</f>
        <v>1104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8096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101400</v>
      </c>
      <c r="D24" s="122">
        <f t="shared" ref="D24:G24" si="5">SUM(D5:D23)</f>
        <v>12078</v>
      </c>
      <c r="E24" s="122">
        <f t="shared" si="5"/>
        <v>500</v>
      </c>
      <c r="F24" s="122">
        <f t="shared" si="5"/>
        <v>42500</v>
      </c>
      <c r="G24" s="123">
        <f t="shared" si="5"/>
        <v>46822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439000</v>
      </c>
      <c r="K4" s="230">
        <f t="shared" ref="K4" si="0">D7+D11+D15</f>
        <v>52680</v>
      </c>
      <c r="L4" s="219">
        <f>F7+F11+F15</f>
        <v>187000</v>
      </c>
    </row>
    <row r="5" spans="1:12" x14ac:dyDescent="0.35">
      <c r="A5" s="28" t="s">
        <v>43</v>
      </c>
      <c r="B5" s="132">
        <f>IF(DigitaNICA!C2&lt;&gt;"",DigitaNICA!C2,"")</f>
        <v>97</v>
      </c>
      <c r="C5" s="89">
        <f>IF(DigitaNICA!C17&lt;&gt;"",DigitaNICA!C17,"")</f>
        <v>132000</v>
      </c>
      <c r="D5" s="42">
        <f>IF(C5="",0,C5*J$16)</f>
        <v>15840</v>
      </c>
      <c r="E5" s="89">
        <f>IF(DigitaNICA!D17&lt;&gt;"",DigitaNICA!D17,"")</f>
        <v>700</v>
      </c>
      <c r="F5" s="42">
        <f>IF(E5="",0,E5*PREMIOS!F5)</f>
        <v>59500</v>
      </c>
      <c r="G5" s="90">
        <f t="shared" ref="G5:G12" si="1">IF(OR(C5="",E5=""),0,C5-D5-F5)</f>
        <v>56660</v>
      </c>
      <c r="I5" s="216" t="s">
        <v>37</v>
      </c>
      <c r="J5" s="220">
        <f>SUM(IF(C5="",0,C5),IF(C9="",0,C9),IF(C13="",0,C13),IF(C17="",0,C17))</f>
        <v>415550</v>
      </c>
      <c r="K5" s="224">
        <f t="shared" ref="K5" si="2">D5+D9+D13+D17</f>
        <v>49866</v>
      </c>
      <c r="L5" s="221">
        <f>F5+F9+F13+F17</f>
        <v>165750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81400</v>
      </c>
      <c r="K6" s="225">
        <f t="shared" ref="K6" si="3">+D8+D12+D16</f>
        <v>8140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89">
        <f>IF(DigitaTICA!C17&lt;&gt;"",DigitaTICA!C17,"")</f>
        <v>139550</v>
      </c>
      <c r="D7" s="42">
        <f>IF(C7="",0,C7*J$15)</f>
        <v>16746</v>
      </c>
      <c r="E7" s="89">
        <f>IF(DigitaTICA!D17&lt;&gt;"",DigitaTICA!D17,"")</f>
        <v>1000</v>
      </c>
      <c r="F7" s="42">
        <f>IF(E7="",0,E7*PREMIOS!F7)</f>
        <v>85000</v>
      </c>
      <c r="G7" s="90">
        <f t="shared" si="1"/>
        <v>37804</v>
      </c>
      <c r="I7" s="216" t="s">
        <v>96</v>
      </c>
      <c r="J7" s="222">
        <f>SUM(IF(C19="",0,C19),IF(C20="",0,C20))</f>
        <v>115000</v>
      </c>
      <c r="K7" s="225">
        <f>+D19+D20</f>
        <v>13800</v>
      </c>
      <c r="L7" s="226">
        <f>+F19+F20</f>
        <v>25500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29800</v>
      </c>
      <c r="D8" s="42">
        <f>IF(C8="",0,C8*J$17)</f>
        <v>2980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26820</v>
      </c>
      <c r="I8" s="216" t="s">
        <v>104</v>
      </c>
      <c r="J8" s="222">
        <f>SUM(IF(C21="",0,C21),IF(C22="",0,C22),IF(C23="",0,C23))</f>
        <v>91000</v>
      </c>
      <c r="K8" s="225">
        <f t="shared" ref="K8" si="4">D21+D22+D23</f>
        <v>10920</v>
      </c>
      <c r="L8" s="226">
        <f>F21+F22+F23</f>
        <v>93500</v>
      </c>
    </row>
    <row r="9" spans="1:12" x14ac:dyDescent="0.35">
      <c r="A9" s="28" t="s">
        <v>48</v>
      </c>
      <c r="B9" s="132">
        <f>IF(DigitaNICA!E2&lt;&gt;"",DigitaNICA!E2,"")</f>
        <v>73</v>
      </c>
      <c r="C9" s="89">
        <f>IF(DigitaNICA!E17&lt;&gt;"",DigitaNICA!E17,"")</f>
        <v>94150</v>
      </c>
      <c r="D9" s="42">
        <f>IF(C9="",0,C9*J$16)</f>
        <v>11298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82852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89">
        <f>IF(DigitaTICA!E17&lt;&gt;"",DigitaTICA!E17,"")</f>
        <v>97900</v>
      </c>
      <c r="D11" s="42">
        <f>IF(C11="",0,C11*J$15)</f>
        <v>11748</v>
      </c>
      <c r="E11" s="89">
        <f>IF(DigitaTICA!F17&lt;&gt;"",DigitaTICA!F17,"")</f>
        <v>500</v>
      </c>
      <c r="F11" s="42">
        <f>IF(E11="",0,E11*PREMIOS!F11)</f>
        <v>42500</v>
      </c>
      <c r="G11" s="90">
        <f t="shared" si="1"/>
        <v>43652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20900</v>
      </c>
      <c r="D12" s="42">
        <f>IF(C12="",0,C12*J$17)</f>
        <v>2090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18810</v>
      </c>
    </row>
    <row r="13" spans="1:12" ht="15" thickBot="1" x14ac:dyDescent="0.4">
      <c r="A13" s="28" t="s">
        <v>50</v>
      </c>
      <c r="B13" s="132">
        <f>IF(DigitaNICA!G2&lt;&gt;"",DigitaNICA!G2,"")</f>
        <v>17</v>
      </c>
      <c r="C13" s="89">
        <f>IF(DigitaNICA!G17&lt;&gt;"",DigitaNICA!G17,"")</f>
        <v>46450</v>
      </c>
      <c r="D13" s="42">
        <f>IF(C13="",0,C13*J$16)</f>
        <v>5574</v>
      </c>
      <c r="E13" s="89">
        <f>IF(DigitaNICA!H17&lt;&gt;"",DigitaNICA!H17,"")</f>
        <v>500</v>
      </c>
      <c r="F13" s="42">
        <f>IF(E13="",0,E13*PREMIOS!F13)</f>
        <v>42500</v>
      </c>
      <c r="G13" s="90">
        <f>IF(OR(C13="",E13=""),0,C13-D13-F13)</f>
        <v>-1624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73</v>
      </c>
      <c r="C15" s="89">
        <f>IF(DigitaTICA!G17&lt;&gt;"",DigitaTICA!G17,"")</f>
        <v>201550</v>
      </c>
      <c r="D15" s="42">
        <f>IF(C15="",0,C15*J$15)</f>
        <v>24186</v>
      </c>
      <c r="E15" s="89">
        <f>IF(DigitaTICA!H17&lt;&gt;"",DigitaTICA!H17,"")</f>
        <v>700</v>
      </c>
      <c r="F15" s="42">
        <f>IF(E15="",0,E15*PREMIOS!F15)</f>
        <v>59500</v>
      </c>
      <c r="G15" s="90">
        <f t="shared" si="6"/>
        <v>117864</v>
      </c>
      <c r="I15" s="76" t="s">
        <v>36</v>
      </c>
      <c r="J15" s="77">
        <v>0.12</v>
      </c>
      <c r="K15" s="78">
        <f>MROUND(D7+D11+D15,50)</f>
        <v>52700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30700</v>
      </c>
      <c r="D16" s="42">
        <f>IF(C16="",0,C16*J$17)</f>
        <v>3070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27630</v>
      </c>
      <c r="I16" s="63" t="s">
        <v>37</v>
      </c>
      <c r="J16" s="64">
        <v>0.12</v>
      </c>
      <c r="K16" s="30">
        <f>MROUND(D5+D9+D13+D17,50)</f>
        <v>49850</v>
      </c>
    </row>
    <row r="17" spans="1:11" x14ac:dyDescent="0.35">
      <c r="A17" s="28" t="s">
        <v>52</v>
      </c>
      <c r="B17" s="132">
        <f>IF(DigitaNICA!I2&lt;&gt;"",DigitaNICA!I2,"")</f>
        <v>97</v>
      </c>
      <c r="C17" s="89">
        <f>IF(DigitaNICA!I17&lt;&gt;"",DigitaNICA!I17,"")</f>
        <v>142950</v>
      </c>
      <c r="D17" s="42">
        <f>IF(C17="",0,C17*J$16)</f>
        <v>17154</v>
      </c>
      <c r="E17" s="89">
        <f>IF(DigitaNICA!J17&lt;&gt;"",DigitaNICA!J17,"")</f>
        <v>750</v>
      </c>
      <c r="F17" s="42">
        <f>IF(E17="",0,E17*PREMIOS!F17)</f>
        <v>63750</v>
      </c>
      <c r="G17" s="90">
        <f t="shared" si="6"/>
        <v>62046</v>
      </c>
      <c r="I17" s="63" t="s">
        <v>38</v>
      </c>
      <c r="J17" s="64">
        <v>0.1</v>
      </c>
      <c r="K17" s="30">
        <f>MROUND(D6+D8+D10+D12+D14+D16+D18,50)</f>
        <v>8150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13800</v>
      </c>
    </row>
    <row r="19" spans="1:11" x14ac:dyDescent="0.35">
      <c r="A19" s="28" t="s">
        <v>97</v>
      </c>
      <c r="B19" s="132">
        <f>IF(DigitaPRIMERA!C2&lt;&gt;"",DigitaPRIMERA!C2,"")</f>
        <v>83</v>
      </c>
      <c r="C19" s="29">
        <f>IF(DigitaPRIMERA!$C$17&lt;&gt;"",DigitaPRIMERA!$C$17,"")</f>
        <v>65500</v>
      </c>
      <c r="D19" s="42">
        <f>IF(C19="",0,C19*J$18)</f>
        <v>7860</v>
      </c>
      <c r="E19" s="29">
        <f>IF(DigitaPRIMERA!$D$17&lt;&gt;"",DigitaPRIMERA!$D$17,"")</f>
        <v>150</v>
      </c>
      <c r="F19" s="42">
        <f>IF(E19="",0,E19*PREMIOS!F19)</f>
        <v>12750</v>
      </c>
      <c r="G19" s="30">
        <f t="shared" si="6"/>
        <v>44890</v>
      </c>
      <c r="I19" s="63" t="s">
        <v>104</v>
      </c>
      <c r="J19" s="64">
        <v>0.12</v>
      </c>
      <c r="K19" s="30">
        <f>MROUND(D21+D22+D23,50)</f>
        <v>10900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>
        <f>IF(DigitaPRIMERA!$E$17&lt;&gt;"",DigitaPRIMERA!$E$17,"")</f>
        <v>49500</v>
      </c>
      <c r="D20" s="42">
        <f>IF(C20="",0,C20*J$18)</f>
        <v>5940</v>
      </c>
      <c r="E20" s="29">
        <f>IF(DigitaPRIMERA!$F$17&lt;&gt;"",DigitaPRIMERA!$F$17,"")</f>
        <v>150</v>
      </c>
      <c r="F20" s="42">
        <f>IF(E20="",0,E20*PREMIOS!F19)</f>
        <v>12750</v>
      </c>
      <c r="G20" s="30">
        <f t="shared" si="6"/>
        <v>30810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90</v>
      </c>
      <c r="C21" s="29">
        <f>IF(DigitaHONDURAS!$C$17&lt;&gt;"",DigitaHONDURAS!$C$17,"")</f>
        <v>51300</v>
      </c>
      <c r="D21" s="42">
        <f>IF(C21="",0,C21*J$19)</f>
        <v>6156</v>
      </c>
      <c r="E21" s="29">
        <f>IF(DigitaHONDURAS!$D$17&lt;&gt;"",DigitaHONDURAS!$D$17,"")</f>
        <v>800</v>
      </c>
      <c r="F21" s="42">
        <f>IF(E21="",0,E21*PREMIOS!F20)</f>
        <v>68000</v>
      </c>
      <c r="G21" s="30">
        <f t="shared" si="6"/>
        <v>-22856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50</v>
      </c>
      <c r="C22" s="29">
        <f>IF(DigitaHONDURAS!$E$17&lt;&gt;"",DigitaHONDURAS!$E$17,"")</f>
        <v>16800</v>
      </c>
      <c r="D22" s="42">
        <f>IF(C22="",0,C22*J$19)</f>
        <v>2016</v>
      </c>
      <c r="E22" s="29">
        <f>IF(DigitaHONDURAS!$F$17&lt;&gt;"",DigitaHONDURAS!$F$17,"")</f>
        <v>300</v>
      </c>
      <c r="F22" s="42">
        <f>IF(E22="",0,E22*PREMIOS!F20)</f>
        <v>25500</v>
      </c>
      <c r="G22" s="30">
        <f t="shared" si="6"/>
        <v>-10716</v>
      </c>
    </row>
    <row r="23" spans="1:11" x14ac:dyDescent="0.35">
      <c r="A23" s="28" t="s">
        <v>101</v>
      </c>
      <c r="B23" s="132">
        <f>IF(DigitaHONDURAS!G2&lt;&gt;"",DigitaHONDURAS!G2,"")</f>
        <v>85</v>
      </c>
      <c r="C23" s="29">
        <f>IF(DigitaHONDURAS!$G$17&lt;&gt;"",DigitaHONDURAS!$G$17,"")</f>
        <v>22900</v>
      </c>
      <c r="D23" s="42">
        <f>IF(C23="",0,C23*J$19)</f>
        <v>2748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20152</v>
      </c>
    </row>
    <row r="24" spans="1:11" x14ac:dyDescent="0.35">
      <c r="A24" s="28" t="s">
        <v>102</v>
      </c>
      <c r="B24" s="132" t="str">
        <f>IF(DigitaDOMINICANA!C2&lt;&gt;"",DigitaDOMINICANA!C2,"")</f>
        <v>06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1141950</v>
      </c>
      <c r="D27" s="68">
        <f t="shared" ref="D27:G27" si="7">SUM(D5:D26)</f>
        <v>135406</v>
      </c>
      <c r="E27" s="68">
        <f t="shared" si="7"/>
        <v>5550</v>
      </c>
      <c r="F27" s="68">
        <f t="shared" si="7"/>
        <v>471750</v>
      </c>
      <c r="G27" s="88">
        <f t="shared" si="7"/>
        <v>534794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147650</v>
      </c>
      <c r="K4" s="230">
        <f t="shared" ref="K4" si="0">D7+D11+D15</f>
        <v>17718</v>
      </c>
      <c r="L4" s="219">
        <f>F7+F11+F15</f>
        <v>34000</v>
      </c>
    </row>
    <row r="5" spans="1:12" x14ac:dyDescent="0.35">
      <c r="A5" s="28" t="str">
        <f>+Vendedor1!A5</f>
        <v>Nica 11am</v>
      </c>
      <c r="B5" s="132">
        <f>IF(DigitaNICA!C2&lt;&gt;"",DigitaNICA!C2,"")</f>
        <v>97</v>
      </c>
      <c r="C5" s="29">
        <f>IF(DigitaNICA!C18&lt;&gt;"",DigitaNICA!C18,"")</f>
        <v>57150</v>
      </c>
      <c r="D5" s="42">
        <f>IF(C5="",0,C5*J$16)</f>
        <v>6858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50292</v>
      </c>
      <c r="I5" s="216" t="s">
        <v>37</v>
      </c>
      <c r="J5" s="220">
        <f>SUM(IF(C5="",0,C5),IF(C9="",0,C9),IF(C13="",0,C13),IF(C17="",0,C17))</f>
        <v>125800</v>
      </c>
      <c r="K5" s="224">
        <f t="shared" ref="K5" si="2">D5+D9+D13+D17</f>
        <v>15096</v>
      </c>
      <c r="L5" s="221">
        <f>F5+F9+F13+F17</f>
        <v>25500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62750</v>
      </c>
      <c r="K6" s="225">
        <f t="shared" ref="K6" si="3">+D8+D12+D16</f>
        <v>6275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43</v>
      </c>
      <c r="C7" s="29">
        <f>IF(DigitaTICA!C18&lt;&gt;"",DigitaTICA!C18,"")</f>
        <v>57800</v>
      </c>
      <c r="D7" s="42">
        <f>IF(C7="",0,C7*J$15)</f>
        <v>6936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50864</v>
      </c>
      <c r="I7" s="216" t="s">
        <v>96</v>
      </c>
      <c r="J7" s="222">
        <f>SUM(IF(C19="",0,C19),IF(C20="",0,C20))</f>
        <v>83650</v>
      </c>
      <c r="K7" s="225">
        <f>+D19+D20</f>
        <v>10038</v>
      </c>
      <c r="L7" s="226">
        <f>+F19+F20</f>
        <v>12750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23450</v>
      </c>
      <c r="D8" s="42">
        <f>IF(C8="",0,C8*J$17)</f>
        <v>2345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21105</v>
      </c>
      <c r="I8" s="216" t="s">
        <v>104</v>
      </c>
      <c r="J8" s="222">
        <f>SUM(IF(C21="",0,C21),IF(C22="",0,C22),IF(C23="",0,C23))</f>
        <v>25200</v>
      </c>
      <c r="K8" s="225">
        <f t="shared" ref="K8" si="4">D21+D22+D23</f>
        <v>3024</v>
      </c>
      <c r="L8" s="226">
        <f>F21+F22+F23</f>
        <v>21250</v>
      </c>
    </row>
    <row r="9" spans="1:12" x14ac:dyDescent="0.35">
      <c r="A9" s="28" t="str">
        <f>+Vendedor1!A9</f>
        <v>Nica 3pm</v>
      </c>
      <c r="B9" s="132">
        <f>IF(DigitaNICA!E2&lt;&gt;"",DigitaNICA!E2,"")</f>
        <v>73</v>
      </c>
      <c r="C9" s="29">
        <f>IF(DigitaNICA!E18&lt;&gt;"",DigitaNICA!E18,"")</f>
        <v>30300</v>
      </c>
      <c r="D9" s="42">
        <f>IF(C9="",0,C9*J$16)</f>
        <v>3636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26664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IF(DigitaTICA!E18&lt;&gt;"",DigitaTICA!E18,"")</f>
        <v>25650</v>
      </c>
      <c r="D11" s="42">
        <f>IF(C11="",0,C11*J$15)</f>
        <v>3078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14072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17200</v>
      </c>
      <c r="D12" s="42">
        <f>IF(C12="",0,C12*J$17)</f>
        <v>1720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15480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17</v>
      </c>
      <c r="C13" s="29">
        <f>IF(DigitaNICA!G18&lt;&gt;"",DigitaNICA!G18,"")</f>
        <v>31450</v>
      </c>
      <c r="D13" s="42">
        <f>IF(C13="",0,C13*J$16)</f>
        <v>3774</v>
      </c>
      <c r="E13" s="29">
        <f>IF(DigitaNICA!H18&lt;&gt;"",DigitaNICA!H18,"")</f>
        <v>300</v>
      </c>
      <c r="F13" s="42">
        <f>IF(E13="",0,E13*PREMIOS!F13)</f>
        <v>25500</v>
      </c>
      <c r="G13" s="30">
        <f>IF(OR(C13="",E13=""),0,C13-D13-F13)</f>
        <v>2176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73</v>
      </c>
      <c r="C15" s="29">
        <f>IF(DigitaTICA!G18&lt;&gt;"",DigitaTICA!G18,"")</f>
        <v>64200</v>
      </c>
      <c r="D15" s="42">
        <f>IF(C15="",0,C15*J$15)</f>
        <v>7704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30996</v>
      </c>
      <c r="I15" s="76" t="s">
        <v>36</v>
      </c>
      <c r="J15" s="77">
        <v>0.12</v>
      </c>
      <c r="K15" s="78">
        <f>MROUND(D7+D11+D15,50)</f>
        <v>17700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22100</v>
      </c>
      <c r="D16" s="42">
        <f>IF(C16="",0,C16*J$17)</f>
        <v>2210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19890</v>
      </c>
      <c r="I16" s="63" t="s">
        <v>37</v>
      </c>
      <c r="J16" s="64">
        <v>0.12</v>
      </c>
      <c r="K16" s="30">
        <f>MROUND(D5+D9+D13+D17,50)</f>
        <v>15100</v>
      </c>
    </row>
    <row r="17" spans="1:11" x14ac:dyDescent="0.35">
      <c r="A17" s="28" t="str">
        <f>+Vendedor1!A17</f>
        <v>Nica 9pm</v>
      </c>
      <c r="B17" s="132">
        <f>IF(DigitaNICA!I2&lt;&gt;"",DigitaNICA!I2,"")</f>
        <v>97</v>
      </c>
      <c r="C17" s="29">
        <f>IF(DigitaNICA!I18&lt;&gt;"",DigitaNICA!I18,"")</f>
        <v>6900</v>
      </c>
      <c r="D17" s="42">
        <f>IF(C17="",0,C17*J$16)</f>
        <v>828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6072</v>
      </c>
      <c r="I17" s="63" t="s">
        <v>38</v>
      </c>
      <c r="J17" s="64">
        <v>0.1</v>
      </c>
      <c r="K17" s="30">
        <f>MROUND(D6+D8+D10+D12+D14+D16+D18,50)</f>
        <v>6300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10050</v>
      </c>
    </row>
    <row r="19" spans="1:11" x14ac:dyDescent="0.35">
      <c r="A19" s="28" t="s">
        <v>97</v>
      </c>
      <c r="B19" s="132">
        <f>IF(DigitaPRIMERA!C2&lt;&gt;"",DigitaPRIMERA!C2,"")</f>
        <v>83</v>
      </c>
      <c r="C19" s="29">
        <f>IF(DigitaPRIMERA!$C$18&lt;&gt;"",DigitaPRIMERA!$C$18,"")</f>
        <v>52550</v>
      </c>
      <c r="D19" s="42">
        <f>IF(C19="",0,C19*J$18)</f>
        <v>6306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46244</v>
      </c>
      <c r="I19" s="63" t="s">
        <v>104</v>
      </c>
      <c r="J19" s="64">
        <v>0.12</v>
      </c>
      <c r="K19" s="30">
        <f>MROUND(D21+D22+D23,50)</f>
        <v>3000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>
        <f>IF(DigitaPRIMERA!$E$18&lt;&gt;"",DigitaPRIMERA!$E$18,"")</f>
        <v>31100</v>
      </c>
      <c r="D20" s="42">
        <f>IF(C20="",0,C20*J$18)</f>
        <v>3732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14618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90</v>
      </c>
      <c r="C21" s="29">
        <f>IF(DigitaHONDURAS!$C$18&lt;&gt;"",DigitaHONDURAS!$C$18,"")</f>
        <v>15300</v>
      </c>
      <c r="D21" s="42">
        <f>IF(C21="",0,C21*J$19)</f>
        <v>1836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-3536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50</v>
      </c>
      <c r="C22" s="29">
        <f>IF(DigitaHONDURAS!$E$18&lt;&gt;"",DigitaHONDURAS!$E$18,"")</f>
        <v>1000</v>
      </c>
      <c r="D22" s="42">
        <f>IF(C22="",0,C22*J$19)</f>
        <v>120</v>
      </c>
      <c r="E22" s="29">
        <f>IF(DigitaHONDURAS!$F$18&lt;&gt;"",DigitaHONDURAS!$F$18,"")</f>
        <v>50</v>
      </c>
      <c r="F22" s="42">
        <f>IF(E22="",0,E22*PREMIOS!F20)</f>
        <v>4250</v>
      </c>
      <c r="G22" s="30">
        <f t="shared" si="6"/>
        <v>-3370</v>
      </c>
    </row>
    <row r="23" spans="1:11" x14ac:dyDescent="0.35">
      <c r="A23" s="28" t="s">
        <v>101</v>
      </c>
      <c r="B23" s="132">
        <f>IF(DigitaHONDURAS!G2&lt;&gt;"",DigitaHONDURAS!G2,"")</f>
        <v>85</v>
      </c>
      <c r="C23" s="29">
        <f>IF(DigitaHONDURAS!$G$18&lt;&gt;"",DigitaHONDURAS!$G$18,"")</f>
        <v>8900</v>
      </c>
      <c r="D23" s="42">
        <f>IF(C23="",0,C23*J$19)</f>
        <v>1068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7832</v>
      </c>
    </row>
    <row r="24" spans="1:11" x14ac:dyDescent="0.35">
      <c r="A24" s="28" t="s">
        <v>102</v>
      </c>
      <c r="B24" s="132" t="str">
        <f>IF(DigitaDOMINICANA!C2&lt;&gt;"",DigitaDOMINICANA!C2,"")</f>
        <v>06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445050</v>
      </c>
      <c r="D27" s="68">
        <f t="shared" ref="D27:G27" si="7">SUM(D5:D26)</f>
        <v>52151</v>
      </c>
      <c r="E27" s="68">
        <f t="shared" si="7"/>
        <v>1200</v>
      </c>
      <c r="F27" s="68">
        <f t="shared" si="7"/>
        <v>93500</v>
      </c>
      <c r="G27" s="88">
        <f t="shared" si="7"/>
        <v>299399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73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43</v>
      </c>
      <c r="D2" s="267"/>
      <c r="E2" s="266">
        <f>IF(PREMIOS!$B11="","",PREMIOS!$B11)</f>
        <v>33</v>
      </c>
      <c r="F2" s="267"/>
      <c r="G2" s="266">
        <f>IF(PREMIOS!$B15="","",PREMIOS!$B15)</f>
        <v>73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59300</v>
      </c>
      <c r="D4" s="78">
        <v>250</v>
      </c>
      <c r="E4" s="188">
        <v>35600</v>
      </c>
      <c r="F4" s="78">
        <f t="shared" ref="D4:H27" si="0">IF(E4="","",0)</f>
        <v>0</v>
      </c>
      <c r="G4" s="188">
        <v>100600</v>
      </c>
      <c r="H4" s="78">
        <v>500</v>
      </c>
      <c r="J4" s="42">
        <f t="shared" ref="J4:J8" si="1">+C4+E4+G4</f>
        <v>195500</v>
      </c>
      <c r="K4" s="42">
        <f>IF(D4="",0,IF(F4="",D4,IF(H4="",D4+F4,D4+F4+H4)))</f>
        <v>750</v>
      </c>
    </row>
    <row r="5" spans="1:11" x14ac:dyDescent="0.35">
      <c r="A5" s="47">
        <v>2</v>
      </c>
      <c r="B5" s="177" t="str">
        <f>Vendedor2!$B$2</f>
        <v>PUESTO 2</v>
      </c>
      <c r="C5" s="179">
        <v>61400</v>
      </c>
      <c r="D5" s="30">
        <v>250</v>
      </c>
      <c r="E5" s="179">
        <v>27400</v>
      </c>
      <c r="F5" s="30">
        <v>250</v>
      </c>
      <c r="G5" s="179">
        <v>90950</v>
      </c>
      <c r="H5" s="30">
        <v>500</v>
      </c>
      <c r="J5" s="42">
        <f t="shared" si="1"/>
        <v>179750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>
        <v>5000</v>
      </c>
      <c r="H7" s="30">
        <f t="shared" si="0"/>
        <v>0</v>
      </c>
      <c r="J7" s="42">
        <f t="shared" si="1"/>
        <v>5000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51000</v>
      </c>
      <c r="D8" s="30">
        <f t="shared" si="0"/>
        <v>0</v>
      </c>
      <c r="E8" s="179">
        <v>28600</v>
      </c>
      <c r="F8" s="30">
        <f t="shared" si="0"/>
        <v>0</v>
      </c>
      <c r="G8" s="179">
        <v>42450</v>
      </c>
      <c r="H8" s="30">
        <f t="shared" si="0"/>
        <v>0</v>
      </c>
      <c r="J8" s="42">
        <f t="shared" si="1"/>
        <v>122050</v>
      </c>
      <c r="K8" s="42">
        <f t="shared" si="2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66000+86600</f>
        <v>152600</v>
      </c>
      <c r="D10" s="30">
        <f t="shared" si="0"/>
        <v>0</v>
      </c>
      <c r="E10" s="179">
        <f>35350+71650</f>
        <v>107000</v>
      </c>
      <c r="F10" s="30">
        <f>2450+1100</f>
        <v>3550</v>
      </c>
      <c r="G10" s="179">
        <f>104100+123800</f>
        <v>227900</v>
      </c>
      <c r="H10" s="30">
        <v>150</v>
      </c>
      <c r="J10" s="42">
        <f t="shared" si="3"/>
        <v>487500</v>
      </c>
      <c r="K10" s="42">
        <f t="shared" si="2"/>
        <v>3700</v>
      </c>
    </row>
    <row r="11" spans="1:11" x14ac:dyDescent="0.35">
      <c r="A11" s="47">
        <v>8</v>
      </c>
      <c r="B11" s="177" t="str">
        <f>Vendedor8!$B$2</f>
        <v>ISA</v>
      </c>
      <c r="C11" s="179">
        <v>3500</v>
      </c>
      <c r="D11" s="30">
        <f t="shared" si="0"/>
        <v>0</v>
      </c>
      <c r="E11" s="179"/>
      <c r="F11" s="30" t="str">
        <f t="shared" si="0"/>
        <v/>
      </c>
      <c r="G11" s="179">
        <v>10600</v>
      </c>
      <c r="H11" s="30">
        <f t="shared" si="0"/>
        <v>0</v>
      </c>
      <c r="J11" s="42">
        <f t="shared" si="3"/>
        <v>14100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16100</v>
      </c>
      <c r="D12" s="30">
        <f t="shared" si="0"/>
        <v>0</v>
      </c>
      <c r="E12" s="179">
        <v>8750</v>
      </c>
      <c r="F12" s="30">
        <f t="shared" si="0"/>
        <v>0</v>
      </c>
      <c r="G12" s="179">
        <v>18500</v>
      </c>
      <c r="H12" s="30">
        <f t="shared" si="0"/>
        <v>0</v>
      </c>
      <c r="J12" s="42">
        <f t="shared" si="3"/>
        <v>43350</v>
      </c>
      <c r="K12" s="42">
        <f t="shared" si="2"/>
        <v>0</v>
      </c>
    </row>
    <row r="13" spans="1:11" x14ac:dyDescent="0.35">
      <c r="A13" s="47">
        <v>10</v>
      </c>
      <c r="B13" s="177" t="str">
        <f>Vendedor10!$B$2</f>
        <v>MARIALIZ</v>
      </c>
      <c r="C13" s="179">
        <v>18600</v>
      </c>
      <c r="D13" s="30">
        <v>150</v>
      </c>
      <c r="E13" s="179">
        <v>19800</v>
      </c>
      <c r="F13" s="30">
        <v>1000</v>
      </c>
      <c r="G13" s="179">
        <v>32450</v>
      </c>
      <c r="H13" s="30">
        <v>300</v>
      </c>
      <c r="J13" s="42">
        <f t="shared" si="3"/>
        <v>70850</v>
      </c>
      <c r="K13" s="42">
        <f t="shared" si="2"/>
        <v>1450</v>
      </c>
    </row>
    <row r="14" spans="1:11" x14ac:dyDescent="0.35">
      <c r="A14" s="47">
        <v>11</v>
      </c>
      <c r="B14" s="177" t="str">
        <f>Vendedor11!$B$2</f>
        <v>CHARLY</v>
      </c>
      <c r="C14" s="179">
        <v>34950</v>
      </c>
      <c r="D14" s="30">
        <f t="shared" si="0"/>
        <v>0</v>
      </c>
      <c r="E14" s="179">
        <v>12550</v>
      </c>
      <c r="F14" s="30">
        <f t="shared" si="0"/>
        <v>0</v>
      </c>
      <c r="G14" s="179">
        <v>34700</v>
      </c>
      <c r="H14" s="30">
        <f t="shared" si="0"/>
        <v>0</v>
      </c>
      <c r="J14" s="42">
        <f t="shared" si="3"/>
        <v>82200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10700</v>
      </c>
      <c r="D16" s="30">
        <v>250</v>
      </c>
      <c r="E16" s="179">
        <v>14250</v>
      </c>
      <c r="F16" s="30">
        <v>250</v>
      </c>
      <c r="G16" s="179">
        <v>31050</v>
      </c>
      <c r="H16" s="30">
        <f t="shared" si="0"/>
        <v>0</v>
      </c>
      <c r="J16" s="42">
        <f t="shared" si="3"/>
        <v>56000</v>
      </c>
      <c r="K16" s="42">
        <f t="shared" si="2"/>
        <v>500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f>33500+106050</f>
        <v>139550</v>
      </c>
      <c r="D17" s="30">
        <v>1000</v>
      </c>
      <c r="E17" s="179">
        <f>75800+22100</f>
        <v>97900</v>
      </c>
      <c r="F17" s="30">
        <f>500+0</f>
        <v>500</v>
      </c>
      <c r="G17" s="179">
        <f>161850+39700</f>
        <v>201550</v>
      </c>
      <c r="H17" s="30">
        <f>700+0</f>
        <v>700</v>
      </c>
      <c r="J17" s="42">
        <f t="shared" si="3"/>
        <v>439000</v>
      </c>
      <c r="K17" s="42">
        <f t="shared" si="2"/>
        <v>2200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f>32400+25400</f>
        <v>57800</v>
      </c>
      <c r="D18" s="30">
        <f t="shared" si="0"/>
        <v>0</v>
      </c>
      <c r="E18" s="179">
        <f>18050+7600</f>
        <v>25650</v>
      </c>
      <c r="F18" s="30">
        <f>100+0</f>
        <v>100</v>
      </c>
      <c r="G18" s="179">
        <f>40300+23900</f>
        <v>64200</v>
      </c>
      <c r="H18" s="30">
        <f>300+0</f>
        <v>300</v>
      </c>
      <c r="J18" s="42">
        <f t="shared" si="3"/>
        <v>147650</v>
      </c>
      <c r="K18" s="42">
        <f t="shared" si="2"/>
        <v>400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605500</v>
      </c>
      <c r="D32" s="44">
        <f t="shared" si="6"/>
        <v>1900</v>
      </c>
      <c r="E32" s="43">
        <f t="shared" si="6"/>
        <v>377500</v>
      </c>
      <c r="F32" s="44">
        <f t="shared" si="6"/>
        <v>5650</v>
      </c>
      <c r="G32" s="43">
        <f t="shared" si="6"/>
        <v>859950</v>
      </c>
      <c r="H32" s="44">
        <f t="shared" si="6"/>
        <v>2450</v>
      </c>
      <c r="J32" s="95">
        <f>SUM(J4:J31)</f>
        <v>1842950</v>
      </c>
      <c r="K32" s="95"/>
    </row>
    <row r="33" spans="2:8" x14ac:dyDescent="0.35">
      <c r="D33" s="99">
        <f>+D32*85</f>
        <v>161500</v>
      </c>
      <c r="F33" s="99">
        <f>+F32*85</f>
        <v>480250</v>
      </c>
      <c r="H33" s="99">
        <f>+H32*85</f>
        <v>208250</v>
      </c>
    </row>
    <row r="34" spans="2:8" x14ac:dyDescent="0.35">
      <c r="B34" s="246" t="s">
        <v>149</v>
      </c>
      <c r="C34" s="43">
        <f t="shared" ref="C34:H34" si="7">+C4+C5+C6+C8+C13</f>
        <v>190300</v>
      </c>
      <c r="D34" s="43" t="e">
        <f t="shared" si="7"/>
        <v>#VALUE!</v>
      </c>
      <c r="E34" s="43">
        <f t="shared" si="7"/>
        <v>111400</v>
      </c>
      <c r="F34" s="43" t="e">
        <f t="shared" si="7"/>
        <v>#VALUE!</v>
      </c>
      <c r="G34" s="43">
        <f t="shared" si="7"/>
        <v>266450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235800</v>
      </c>
      <c r="D35" s="43" t="e">
        <f t="shared" ref="D35:H35" si="8">+D11+D14+D15+D17+D18</f>
        <v>#VALUE!</v>
      </c>
      <c r="E35" s="43">
        <f t="shared" si="8"/>
        <v>136100</v>
      </c>
      <c r="F35" s="43" t="e">
        <f t="shared" si="8"/>
        <v>#VALUE!</v>
      </c>
      <c r="G35" s="43">
        <f t="shared" si="8"/>
        <v>311050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168700</v>
      </c>
      <c r="D36" s="43" t="e">
        <f t="shared" ref="D36:H36" si="9">+D10+D12+D27</f>
        <v>#VALUE!</v>
      </c>
      <c r="E36" s="43">
        <f t="shared" si="9"/>
        <v>115750</v>
      </c>
      <c r="F36" s="43" t="e">
        <f t="shared" si="9"/>
        <v>#VALUE!</v>
      </c>
      <c r="G36" s="43">
        <f t="shared" si="9"/>
        <v>246400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97</v>
      </c>
      <c r="D2" s="267"/>
      <c r="E2" s="266">
        <f>IF(PREMIOS!$B9="","",PREMIOS!$B9)</f>
        <v>73</v>
      </c>
      <c r="F2" s="267"/>
      <c r="G2" s="266">
        <f>IF(PREMIOS!$B13="","",PREMIOS!$B13)</f>
        <v>17</v>
      </c>
      <c r="H2" s="267"/>
      <c r="I2" s="266">
        <f>IF(PREMIOS!$B17="","",PREMIOS!$B17)</f>
        <v>97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24150</v>
      </c>
      <c r="D4" s="78">
        <f t="shared" ref="D4:J27" si="0">IF(C4="","",0)</f>
        <v>0</v>
      </c>
      <c r="E4" s="205">
        <v>15800</v>
      </c>
      <c r="F4" s="78">
        <f t="shared" si="0"/>
        <v>0</v>
      </c>
      <c r="G4" s="188">
        <v>5350</v>
      </c>
      <c r="H4" s="78">
        <v>200</v>
      </c>
      <c r="I4" s="188">
        <v>7350</v>
      </c>
      <c r="J4" s="78">
        <f t="shared" si="0"/>
        <v>0</v>
      </c>
      <c r="L4" s="42">
        <f t="shared" ref="L4:L8" si="1">+C4+E4+G4+I4</f>
        <v>52650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33800</v>
      </c>
      <c r="D5" s="30">
        <f t="shared" si="0"/>
        <v>0</v>
      </c>
      <c r="E5" s="206">
        <v>5500</v>
      </c>
      <c r="F5" s="30">
        <f t="shared" si="0"/>
        <v>0</v>
      </c>
      <c r="G5" s="179">
        <v>7600</v>
      </c>
      <c r="H5" s="30">
        <f t="shared" ref="H5:H27" si="2">IF(G5="","",0)</f>
        <v>0</v>
      </c>
      <c r="I5" s="179">
        <v>14200</v>
      </c>
      <c r="J5" s="30">
        <f t="shared" ref="J5:J27" si="3">IF(I5="","",0)</f>
        <v>0</v>
      </c>
      <c r="L5" s="42">
        <f t="shared" si="1"/>
        <v>61100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2"/>
        <v/>
      </c>
      <c r="I6" s="179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2"/>
        <v/>
      </c>
      <c r="I7" s="179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66450</v>
      </c>
      <c r="D8" s="30">
        <v>100</v>
      </c>
      <c r="E8" s="206">
        <v>35950</v>
      </c>
      <c r="F8" s="30">
        <f t="shared" si="0"/>
        <v>0</v>
      </c>
      <c r="G8" s="179">
        <v>12800</v>
      </c>
      <c r="H8" s="30">
        <f t="shared" si="2"/>
        <v>0</v>
      </c>
      <c r="I8" s="179">
        <v>16150</v>
      </c>
      <c r="J8" s="30">
        <f t="shared" si="0"/>
        <v>0</v>
      </c>
      <c r="L8" s="42">
        <f t="shared" si="1"/>
        <v>131350</v>
      </c>
      <c r="M8" s="42">
        <f t="shared" si="4"/>
        <v>100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2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39850+42500</f>
        <v>82350</v>
      </c>
      <c r="D10" s="30">
        <f t="shared" si="0"/>
        <v>0</v>
      </c>
      <c r="E10" s="206">
        <f>41600+24450</f>
        <v>66050</v>
      </c>
      <c r="F10" s="30">
        <v>200</v>
      </c>
      <c r="G10" s="179">
        <f>29500+28400</f>
        <v>57900</v>
      </c>
      <c r="H10" s="30">
        <f t="shared" si="0"/>
        <v>0</v>
      </c>
      <c r="I10" s="179">
        <f>28550+50800</f>
        <v>79350</v>
      </c>
      <c r="J10" s="30">
        <v>200</v>
      </c>
      <c r="L10" s="42">
        <f t="shared" si="5"/>
        <v>285650</v>
      </c>
      <c r="M10" s="42">
        <f t="shared" si="4"/>
        <v>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40400</v>
      </c>
      <c r="D12" s="30">
        <v>900</v>
      </c>
      <c r="E12" s="206">
        <v>5400</v>
      </c>
      <c r="F12" s="30">
        <f t="shared" si="0"/>
        <v>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45800</v>
      </c>
      <c r="M12" s="42">
        <f t="shared" si="4"/>
        <v>900</v>
      </c>
    </row>
    <row r="13" spans="1:13" x14ac:dyDescent="0.35">
      <c r="A13" s="47">
        <v>10</v>
      </c>
      <c r="B13" s="177" t="str">
        <f>Vendedor10!$B$2</f>
        <v>MARIALIZ</v>
      </c>
      <c r="C13" s="179">
        <v>32150</v>
      </c>
      <c r="D13" s="30">
        <f t="shared" si="0"/>
        <v>0</v>
      </c>
      <c r="E13" s="206">
        <v>10400</v>
      </c>
      <c r="F13" s="30">
        <f t="shared" si="0"/>
        <v>0</v>
      </c>
      <c r="G13" s="179">
        <v>500</v>
      </c>
      <c r="H13" s="30">
        <f t="shared" si="0"/>
        <v>0</v>
      </c>
      <c r="I13" s="179">
        <v>1800</v>
      </c>
      <c r="J13" s="30">
        <v>100</v>
      </c>
      <c r="L13" s="42">
        <f t="shared" si="5"/>
        <v>44850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10400</v>
      </c>
      <c r="D16" s="30">
        <f t="shared" si="0"/>
        <v>0</v>
      </c>
      <c r="E16" s="206">
        <v>1000</v>
      </c>
      <c r="F16" s="30">
        <f t="shared" si="0"/>
        <v>0</v>
      </c>
      <c r="G16" s="179"/>
      <c r="H16" s="30" t="str">
        <f t="shared" si="0"/>
        <v/>
      </c>
      <c r="I16" s="179">
        <v>20300</v>
      </c>
      <c r="J16" s="30">
        <f t="shared" si="0"/>
        <v>0</v>
      </c>
      <c r="L16" s="42">
        <f t="shared" si="5"/>
        <v>31700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>
        <v>132000</v>
      </c>
      <c r="D17" s="30">
        <v>700</v>
      </c>
      <c r="E17" s="206">
        <v>94150</v>
      </c>
      <c r="F17" s="30">
        <f t="shared" si="0"/>
        <v>0</v>
      </c>
      <c r="G17" s="179">
        <v>46450</v>
      </c>
      <c r="H17" s="30">
        <v>500</v>
      </c>
      <c r="I17" s="179">
        <v>142950</v>
      </c>
      <c r="J17" s="30">
        <v>750</v>
      </c>
      <c r="L17" s="42">
        <f t="shared" si="5"/>
        <v>415550</v>
      </c>
      <c r="M17" s="42">
        <f t="shared" si="4"/>
        <v>1950</v>
      </c>
    </row>
    <row r="18" spans="1:13" x14ac:dyDescent="0.35">
      <c r="A18" s="47">
        <v>15</v>
      </c>
      <c r="B18" s="177" t="str">
        <f>Vendedor15!$B$2</f>
        <v>EDUARDO PUESTO CENTRO</v>
      </c>
      <c r="C18" s="179">
        <v>57150</v>
      </c>
      <c r="D18" s="30">
        <f t="shared" si="0"/>
        <v>0</v>
      </c>
      <c r="E18" s="206">
        <v>30300</v>
      </c>
      <c r="F18" s="30">
        <f t="shared" si="0"/>
        <v>0</v>
      </c>
      <c r="G18" s="179">
        <v>31450</v>
      </c>
      <c r="H18" s="30">
        <v>300</v>
      </c>
      <c r="I18" s="179">
        <v>6900</v>
      </c>
      <c r="J18" s="30">
        <f t="shared" si="3"/>
        <v>0</v>
      </c>
      <c r="L18" s="42">
        <f t="shared" si="5"/>
        <v>125800</v>
      </c>
      <c r="M18" s="42">
        <f t="shared" si="4"/>
        <v>0</v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2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2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2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2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2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2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2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2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2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478850</v>
      </c>
      <c r="D32" s="44">
        <f t="shared" si="7"/>
        <v>1700</v>
      </c>
      <c r="E32" s="43">
        <f t="shared" si="7"/>
        <v>264550</v>
      </c>
      <c r="F32" s="44">
        <f t="shared" si="7"/>
        <v>200</v>
      </c>
      <c r="G32" s="43">
        <f t="shared" si="7"/>
        <v>162050</v>
      </c>
      <c r="H32" s="44">
        <f t="shared" si="7"/>
        <v>1000</v>
      </c>
      <c r="I32" s="43">
        <f t="shared" si="7"/>
        <v>289000</v>
      </c>
      <c r="J32" s="44">
        <f t="shared" si="7"/>
        <v>1050</v>
      </c>
      <c r="L32" s="95">
        <f>SUM(L9:L31)</f>
        <v>949350</v>
      </c>
      <c r="M32" s="95">
        <f>SUM(M9:M31)</f>
        <v>2850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43 Blanca</v>
      </c>
      <c r="D2" s="267"/>
      <c r="E2" s="266" t="str">
        <f>IF(E33=0,"",CONCATENATE(PREMIOS!$B11," ",PREMIOS!$B12))</f>
        <v>33 Blanca</v>
      </c>
      <c r="F2" s="267"/>
      <c r="G2" s="266" t="str">
        <f>IF(G33=0,"",CONCATENATE(PREMIOS!$B15," ",PREMIOS!$B16))</f>
        <v>73 Roja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28500+4750</f>
        <v>33250</v>
      </c>
      <c r="D10" s="30">
        <f t="shared" si="0"/>
        <v>0</v>
      </c>
      <c r="E10" s="179">
        <f>14750+4850</f>
        <v>19600</v>
      </c>
      <c r="F10" s="30">
        <f t="shared" si="0"/>
        <v>0</v>
      </c>
      <c r="G10" s="179">
        <f>24700+8400</f>
        <v>33100</v>
      </c>
      <c r="H10" s="30">
        <f t="shared" si="0"/>
        <v>0</v>
      </c>
      <c r="J10" s="42">
        <f t="shared" si="3"/>
        <v>85950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3500</v>
      </c>
      <c r="D12" s="30">
        <f t="shared" si="0"/>
        <v>0</v>
      </c>
      <c r="E12" s="179">
        <v>500</v>
      </c>
      <c r="F12" s="30">
        <f t="shared" si="1"/>
        <v>0</v>
      </c>
      <c r="G12" s="179">
        <v>1800</v>
      </c>
      <c r="H12" s="30">
        <f t="shared" si="0"/>
        <v>0</v>
      </c>
      <c r="J12" s="42">
        <f t="shared" si="3"/>
        <v>5800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1000</v>
      </c>
      <c r="D16" s="194">
        <f t="shared" si="0"/>
        <v>0</v>
      </c>
      <c r="E16" s="193">
        <v>0</v>
      </c>
      <c r="F16" s="194">
        <f t="shared" si="1"/>
        <v>0</v>
      </c>
      <c r="G16" s="193">
        <v>3500</v>
      </c>
      <c r="H16" s="194">
        <f t="shared" si="0"/>
        <v>0</v>
      </c>
      <c r="J16" s="42">
        <f t="shared" si="3"/>
        <v>4500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v>29800</v>
      </c>
      <c r="D17" s="30">
        <f t="shared" si="0"/>
        <v>0</v>
      </c>
      <c r="E17" s="179">
        <v>20900</v>
      </c>
      <c r="F17" s="30">
        <f t="shared" si="0"/>
        <v>0</v>
      </c>
      <c r="G17" s="179">
        <v>30700</v>
      </c>
      <c r="H17" s="30">
        <f t="shared" si="0"/>
        <v>0</v>
      </c>
      <c r="J17" s="42">
        <f t="shared" si="3"/>
        <v>81400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23450</v>
      </c>
      <c r="D18" s="30">
        <f t="shared" si="0"/>
        <v>0</v>
      </c>
      <c r="E18" s="179">
        <v>17200</v>
      </c>
      <c r="F18" s="30">
        <v>100</v>
      </c>
      <c r="G18" s="179">
        <v>22100</v>
      </c>
      <c r="H18" s="30">
        <f t="shared" si="0"/>
        <v>0</v>
      </c>
      <c r="J18" s="42">
        <f t="shared" si="3"/>
        <v>62750</v>
      </c>
      <c r="K18" s="42">
        <f t="shared" si="4"/>
        <v>100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91000</v>
      </c>
      <c r="D33" s="44">
        <f t="shared" si="7"/>
        <v>0</v>
      </c>
      <c r="E33" s="43">
        <f t="shared" si="7"/>
        <v>58200</v>
      </c>
      <c r="F33" s="44">
        <f t="shared" si="7"/>
        <v>100</v>
      </c>
      <c r="G33" s="43">
        <f t="shared" si="7"/>
        <v>91200</v>
      </c>
      <c r="H33" s="44">
        <f t="shared" si="7"/>
        <v>0</v>
      </c>
      <c r="J33" s="45">
        <f>SUM(J4:J32)</f>
        <v>240400</v>
      </c>
      <c r="K33" s="95">
        <f>SUM(K4:K32)</f>
        <v>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83</v>
      </c>
      <c r="D2" s="267"/>
      <c r="E2" s="266">
        <f>IF(PREMIOS!$C19="","",PREMIOS!$C19)</f>
        <v>43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13350</v>
      </c>
      <c r="D4" s="78">
        <f t="shared" ref="D4:F27" si="0">IF(C4="","",0)</f>
        <v>0</v>
      </c>
      <c r="E4" s="188"/>
      <c r="F4" s="78" t="str">
        <f t="shared" si="0"/>
        <v/>
      </c>
      <c r="H4" s="42">
        <f>+C4+E4</f>
        <v>13350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6300</v>
      </c>
      <c r="D5" s="30">
        <f t="shared" si="0"/>
        <v>0</v>
      </c>
      <c r="E5" s="179"/>
      <c r="F5" s="30" t="str">
        <f t="shared" ref="F5:F27" si="1">IF(E5="","",0)</f>
        <v/>
      </c>
      <c r="H5" s="42">
        <f t="shared" ref="H5:H32" si="2">+C5+E5</f>
        <v>6300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20500</v>
      </c>
      <c r="D8" s="30">
        <f t="shared" si="0"/>
        <v>0</v>
      </c>
      <c r="E8" s="193">
        <v>7300</v>
      </c>
      <c r="F8" s="194">
        <v>100</v>
      </c>
      <c r="H8" s="42">
        <f t="shared" si="2"/>
        <v>27800</v>
      </c>
      <c r="I8" s="42">
        <f t="shared" si="3"/>
        <v>100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24250+18000</f>
        <v>42250</v>
      </c>
      <c r="D10" s="30">
        <f>150+0</f>
        <v>150</v>
      </c>
      <c r="E10" s="179">
        <f>13000+26350</f>
        <v>39350</v>
      </c>
      <c r="F10" s="194">
        <f t="shared" si="1"/>
        <v>0</v>
      </c>
      <c r="H10" s="42">
        <f t="shared" si="2"/>
        <v>81600</v>
      </c>
      <c r="I10" s="42">
        <f t="shared" si="3"/>
        <v>150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32400</v>
      </c>
      <c r="D12" s="30">
        <f t="shared" si="0"/>
        <v>0</v>
      </c>
      <c r="E12" s="193"/>
      <c r="F12" s="30" t="str">
        <f t="shared" si="0"/>
        <v/>
      </c>
      <c r="H12" s="42">
        <f t="shared" si="2"/>
        <v>32400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9200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9200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>
        <v>65500</v>
      </c>
      <c r="D17" s="194">
        <v>150</v>
      </c>
      <c r="E17" s="179">
        <v>49500</v>
      </c>
      <c r="F17" s="30">
        <v>150</v>
      </c>
      <c r="H17" s="42">
        <f t="shared" si="2"/>
        <v>115000</v>
      </c>
      <c r="I17" s="42">
        <f t="shared" si="3"/>
        <v>300</v>
      </c>
    </row>
    <row r="18" spans="1:9" x14ac:dyDescent="0.35">
      <c r="A18" s="47">
        <v>15</v>
      </c>
      <c r="B18" s="177" t="str">
        <f>Vendedor15!$B$2</f>
        <v>EDUARDO PUESTO CENTRO</v>
      </c>
      <c r="C18" s="179">
        <v>52550</v>
      </c>
      <c r="D18" s="194">
        <f t="shared" si="0"/>
        <v>0</v>
      </c>
      <c r="E18" s="179">
        <v>31100</v>
      </c>
      <c r="F18" s="30">
        <v>150</v>
      </c>
      <c r="H18" s="42">
        <f t="shared" si="2"/>
        <v>83650</v>
      </c>
      <c r="I18" s="42">
        <f t="shared" si="3"/>
        <v>150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242050</v>
      </c>
      <c r="D33" s="44">
        <f>SUM(D4:D32)</f>
        <v>300</v>
      </c>
      <c r="E33" s="43">
        <f>SUM(E4:E32)</f>
        <v>127250</v>
      </c>
      <c r="F33" s="44">
        <f>SUM(F4:F32)</f>
        <v>400</v>
      </c>
      <c r="H33" s="95">
        <f>SUM(H4:H32)</f>
        <v>369300</v>
      </c>
      <c r="I33" s="95">
        <f>SUM(I4:I32)</f>
        <v>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90</v>
      </c>
      <c r="D2" s="267"/>
      <c r="E2" s="266">
        <f>IF(PREMIOS!$C20="","",PREMIOS!$C20)</f>
        <v>50</v>
      </c>
      <c r="F2" s="267"/>
      <c r="G2" s="266">
        <f>IF(PREMIOS!$D20="","",PREMIOS!$D20)</f>
        <v>85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8600</v>
      </c>
      <c r="D10" s="194">
        <f t="shared" si="0"/>
        <v>0</v>
      </c>
      <c r="E10" s="179">
        <f>1200+5400</f>
        <v>6600</v>
      </c>
      <c r="F10" s="30">
        <f t="shared" si="0"/>
        <v>0</v>
      </c>
      <c r="G10" s="179">
        <v>8200</v>
      </c>
      <c r="H10" s="194">
        <f t="shared" si="0"/>
        <v>0</v>
      </c>
      <c r="J10" s="42">
        <f t="shared" si="3"/>
        <v>23400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>
        <v>51300</v>
      </c>
      <c r="D17" s="194">
        <v>800</v>
      </c>
      <c r="E17" s="193">
        <v>16800</v>
      </c>
      <c r="F17" s="194">
        <v>300</v>
      </c>
      <c r="G17" s="193">
        <v>22900</v>
      </c>
      <c r="H17" s="194">
        <f t="shared" si="2"/>
        <v>0</v>
      </c>
      <c r="J17" s="42">
        <f t="shared" si="3"/>
        <v>91000</v>
      </c>
      <c r="K17" s="42">
        <f t="shared" si="4"/>
        <v>1100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15300</v>
      </c>
      <c r="D18" s="194">
        <v>200</v>
      </c>
      <c r="E18" s="179">
        <v>1000</v>
      </c>
      <c r="F18" s="30">
        <v>50</v>
      </c>
      <c r="G18" s="179">
        <v>8900</v>
      </c>
      <c r="H18" s="30">
        <f t="shared" si="2"/>
        <v>0</v>
      </c>
      <c r="J18" s="42">
        <f t="shared" si="3"/>
        <v>25200</v>
      </c>
      <c r="K18" s="42">
        <f t="shared" si="4"/>
        <v>250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75200</v>
      </c>
      <c r="D33" s="44">
        <f t="shared" si="6"/>
        <v>1000</v>
      </c>
      <c r="E33" s="43">
        <f t="shared" si="6"/>
        <v>24400</v>
      </c>
      <c r="F33" s="44">
        <f t="shared" si="6"/>
        <v>350</v>
      </c>
      <c r="G33" s="43">
        <f t="shared" si="6"/>
        <v>40000</v>
      </c>
      <c r="H33" s="44">
        <f t="shared" si="6"/>
        <v>0</v>
      </c>
      <c r="J33" s="45">
        <f>SUM(J4:J32)</f>
        <v>139600</v>
      </c>
      <c r="K33" s="95">
        <f>SUM(K4:K32)</f>
        <v>1350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F34" sqref="F3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06</v>
      </c>
      <c r="D2" s="267"/>
      <c r="E2" s="266">
        <f>IF(PREMIOS!$C21="","",PREMIOS!$C21)</f>
        <v>80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16350</v>
      </c>
      <c r="D10" s="30">
        <f t="shared" si="0"/>
        <v>0</v>
      </c>
      <c r="E10" s="179">
        <v>20000</v>
      </c>
      <c r="F10" s="30">
        <f t="shared" si="0"/>
        <v>0</v>
      </c>
      <c r="H10" s="42">
        <f t="shared" si="2"/>
        <v>36350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16350</v>
      </c>
      <c r="D33" s="44">
        <f>SUM(D4:D32)</f>
        <v>0</v>
      </c>
      <c r="E33" s="43">
        <f>SUM(E4:E32)</f>
        <v>20000</v>
      </c>
      <c r="F33" s="44">
        <f>SUM(F4:F32)</f>
        <v>0</v>
      </c>
      <c r="H33" s="45">
        <f>SUM(H4:H32)</f>
        <v>36350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2026-04-27T18:27:45Z</dcterms:modified>
  <dc:language>es-CR</dc:language>
</cp:coreProperties>
</file>
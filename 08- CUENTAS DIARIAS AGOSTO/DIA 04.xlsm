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5" documentId="11_D32D6290A03B587A4D73B50D10AC83522FADF099" xr6:coauthVersionLast="47" xr6:coauthVersionMax="47" xr10:uidLastSave="{D2614F63-9B02-4C4E-8116-EB99DE310623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I5" i="69"/>
  <c r="B2" i="7"/>
  <c r="B2" i="6"/>
  <c r="B2" i="14"/>
  <c r="B2" i="16"/>
  <c r="B2" i="21"/>
  <c r="B2" i="22"/>
  <c r="K12" i="69" l="1"/>
  <c r="I10" i="61"/>
  <c r="G10" i="62"/>
  <c r="E10" i="62"/>
  <c r="C10" i="62"/>
  <c r="E10" i="61"/>
  <c r="C10" i="61"/>
  <c r="H10" i="60"/>
  <c r="G10" i="60"/>
  <c r="E10" i="60"/>
  <c r="D10" i="60"/>
  <c r="C10" i="60"/>
  <c r="D18" i="64" l="1"/>
  <c r="D18" i="65"/>
  <c r="D11" i="65"/>
  <c r="D10" i="65"/>
  <c r="D18" i="61"/>
  <c r="D17" i="61"/>
  <c r="D9" i="61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E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E5" i="16" s="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1" i="60"/>
  <c r="E7" i="16" s="1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3" i="60"/>
  <c r="F11" i="60"/>
  <c r="F9" i="60"/>
  <c r="F7" i="60"/>
  <c r="F6" i="60"/>
  <c r="H17" i="60"/>
  <c r="H16" i="60"/>
  <c r="H15" i="60"/>
  <c r="H12" i="60"/>
  <c r="H11" i="60"/>
  <c r="H9" i="60"/>
  <c r="H7" i="60"/>
  <c r="H6" i="60"/>
  <c r="H5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1" i="62"/>
  <c r="D10" i="62"/>
  <c r="J16" i="61"/>
  <c r="J15" i="61"/>
  <c r="J14" i="61"/>
  <c r="J12" i="61"/>
  <c r="J11" i="61"/>
  <c r="J10" i="61"/>
  <c r="J9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J8" i="14" l="1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30" i="73"/>
  <c r="H29" i="73"/>
  <c r="I29" i="73" s="1"/>
  <c r="F29" i="73"/>
  <c r="F28" i="73"/>
  <c r="H26" i="73"/>
  <c r="I26" i="73" s="1"/>
  <c r="H22" i="73"/>
  <c r="I22" i="73" s="1"/>
  <c r="H20" i="73"/>
  <c r="I20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3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C30" i="73"/>
  <c r="B30" i="73"/>
  <c r="D29" i="73"/>
  <c r="C29" i="73"/>
  <c r="B29" i="73"/>
  <c r="D28" i="73"/>
  <c r="H28" i="73" s="1"/>
  <c r="I28" i="73" s="1"/>
  <c r="C28" i="73"/>
  <c r="B28" i="73"/>
  <c r="B27" i="73"/>
  <c r="D26" i="73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B4" i="73"/>
  <c r="E27" i="72"/>
  <c r="D18" i="72"/>
  <c r="H18" i="72"/>
  <c r="D17" i="72"/>
  <c r="H17" i="72"/>
  <c r="F31" i="72"/>
  <c r="E31" i="72"/>
  <c r="D31" i="72"/>
  <c r="C31" i="72"/>
  <c r="B31" i="72"/>
  <c r="H30" i="72"/>
  <c r="F30" i="72"/>
  <c r="E30" i="72"/>
  <c r="D30" i="72"/>
  <c r="C30" i="72"/>
  <c r="B30" i="72"/>
  <c r="F29" i="72"/>
  <c r="J29" i="72" s="1"/>
  <c r="K29" i="72" s="1"/>
  <c r="E29" i="72"/>
  <c r="H29" i="72" s="1"/>
  <c r="I29" i="72" s="1"/>
  <c r="D29" i="72"/>
  <c r="C29" i="72"/>
  <c r="B29" i="72"/>
  <c r="F28" i="72"/>
  <c r="E28" i="72"/>
  <c r="D28" i="72"/>
  <c r="J28" i="72" s="1"/>
  <c r="K28" i="72" s="1"/>
  <c r="C28" i="72"/>
  <c r="H28" i="72" s="1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F20" i="72"/>
  <c r="J20" i="72" s="1"/>
  <c r="K20" i="72" s="1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4" i="66"/>
  <c r="I13" i="66"/>
  <c r="I12" i="66"/>
  <c r="I11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H30" i="70" s="1"/>
  <c r="D30" i="70"/>
  <c r="J30" i="70" s="1"/>
  <c r="C30" i="70"/>
  <c r="B30" i="70"/>
  <c r="F29" i="70"/>
  <c r="J29" i="70" s="1"/>
  <c r="E29" i="70"/>
  <c r="D29" i="70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N15" i="72"/>
  <c r="H22" i="70"/>
  <c r="J25" i="70"/>
  <c r="K25" i="70" s="1"/>
  <c r="L9" i="19"/>
  <c r="L20" i="71"/>
  <c r="M20" i="71" s="1"/>
  <c r="J30" i="71"/>
  <c r="K30" i="71" s="1"/>
  <c r="I15" i="72"/>
  <c r="H24" i="72"/>
  <c r="H31" i="72"/>
  <c r="K20" i="19"/>
  <c r="K9" i="19"/>
  <c r="J31" i="64"/>
  <c r="E33" i="66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26" i="71"/>
  <c r="L29" i="71"/>
  <c r="M29" i="71" s="1"/>
  <c r="K28" i="70"/>
  <c r="F25" i="19"/>
  <c r="F18" i="72"/>
  <c r="H30" i="66"/>
  <c r="H21" i="70"/>
  <c r="J24" i="70"/>
  <c r="K24" i="70" s="1"/>
  <c r="L28" i="71"/>
  <c r="M28" i="71" s="1"/>
  <c r="H23" i="72"/>
  <c r="I23" i="72" s="1"/>
  <c r="N23" i="72" s="1"/>
  <c r="J30" i="72"/>
  <c r="K30" i="72" s="1"/>
  <c r="J22" i="71"/>
  <c r="K27" i="64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L27" i="70"/>
  <c r="N31" i="71"/>
  <c r="P31" i="71" s="1"/>
  <c r="K20" i="21"/>
  <c r="K10" i="21"/>
  <c r="L27" i="71"/>
  <c r="M27" i="71" s="1"/>
  <c r="K21" i="8"/>
  <c r="K10" i="8"/>
  <c r="P26" i="71"/>
  <c r="P30" i="7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F17" i="52" l="1"/>
  <c r="F12" i="8"/>
  <c r="J4" i="23"/>
  <c r="J5" i="19"/>
  <c r="M20" i="52"/>
  <c r="N18" i="71"/>
  <c r="P18" i="71" s="1"/>
  <c r="L5" i="23"/>
  <c r="M25" i="52"/>
  <c r="J5" i="23"/>
  <c r="J6" i="23"/>
  <c r="L4" i="23"/>
  <c r="M22" i="52"/>
  <c r="C24" i="15"/>
  <c r="M21" i="52"/>
  <c r="N17" i="71"/>
  <c r="P17" i="71" s="1"/>
  <c r="F5" i="15"/>
  <c r="L5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1" l="1"/>
  <c r="F32" i="61"/>
  <c r="L6" i="25"/>
  <c r="I32" i="61"/>
  <c r="G32" i="60"/>
  <c r="L19" i="59"/>
  <c r="H32" i="61"/>
  <c r="H19" i="70"/>
  <c r="I19" i="70" s="1"/>
  <c r="F32" i="60"/>
  <c r="H32" i="60"/>
  <c r="K5" i="23"/>
  <c r="K6" i="23"/>
  <c r="K5" i="19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M5" i="52" s="1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D15" i="25"/>
  <c r="G15" i="25" s="1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K6" i="2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5" i="58"/>
  <c r="P23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6" i="52"/>
  <c r="C25" i="1" s="1"/>
  <c r="B25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<sst xmlns="http://schemas.openxmlformats.org/spreadsheetml/2006/main" count="1292" uniqueCount="159">
  <si>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</si>
  <si>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</si>
  <si>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</si>
  <si>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</si>
  <si>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</si>
  <si>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</si>
  <si>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</si>
  <si>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</si>
  <si>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</si>
  <si>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</si>
  <si>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</si>
  <si>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</si>
  <si>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</si>
  <si>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</si>
  <si>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</si>
  <si>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</si>
  <si>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</si>
  <si>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</si>
  <si>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</si>
  <si>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</si>
  <si>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</si>
  <si>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</si>
  <si>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</si>
  <si>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</si>
  <si>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</si>
  <si>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</si>
  <si>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</si>
  <si>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</si>
  <si>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</si>
  <si>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</si>
  <si>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</si>
  <si>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</si>
  <si>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</si>
  <si>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</si>
  <si>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</si>
  <si>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</si>
  <si>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</si>
  <si>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</si>
  <si>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</si>
  <si>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</si>
  <si>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</si>
  <si>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</si>
  <si>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</si>
  <si>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</si>
  <si>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</si>
  <si>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</si>
  <si>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</si>
  <si>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</si>
  <si>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</si>
  <si>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</si>
  <si>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</si>
  <si>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</si>
  <si>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</si>
  <si>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</si>
  <si>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</si>
  <si>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</si>
  <si>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</si>
  <si>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</si>
  <si>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</si>
  <si>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</si>
  <si>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</si>
  <si>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</si>
  <si>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</si>
  <si>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</si>
  <si>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</si>
  <si>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</si>
  <si>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</si>
  <si>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</si>
  <si>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</si>
  <si>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</si>
  <si>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</si>
  <si>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</si>
  <si>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</si>
  <si>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</si>
  <si>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</si>
  <si>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</si>
  <si>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</si>
  <si>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</si>
  <si>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</si>
  <si>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</si>
  <si>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</si>
  <si>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</si>
  <si>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</si>
  <si>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</si>
  <si>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</si>
  <si>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</si>
  <si>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</si>
  <si>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</si>
  <si>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</si>
  <si>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</si>
  <si>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</si>
  <si>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</si>
  <si>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</si>
  <si>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</si>
  <si>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</si>
  <si>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</si>
  <si>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</si>
  <si>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</si>
  <si>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</si>
  <si>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</si>
  <si>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</si>
  <si>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</si>
  <si>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</si>
  <si>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</si>
  <si>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</si>
  <si>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</si>
  <si>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</si>
  <si>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</si>
  <si>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</si>
  <si>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</si>
  <si>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</si>
  <si>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</si>
  <si>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</si>
  <si>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</si>
  <si>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</si>
  <si>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</si>
  <si>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</si>
  <si>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</si>
  <si>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</si>
  <si>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</si>
  <si>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</si>
  <si>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</si>
  <si>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</si>
  <si>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</si>
  <si>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</si>
  <si>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</si>
  <si>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</si>
  <si>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</si>
  <si>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</si>
  <si>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</si>
  <si>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</si>
  <si>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</si>
  <si>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</si>
  <si>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</si>
  <si>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</si>
  <si>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</si>
  <si>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</si>
  <si>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</si>
  <si>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</si>
  <si>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</si>
  <si>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</si>
  <si>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</si>
  <si>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</si>
  <si>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</si>
  <si>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</si>
  <si>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</si>
  <si>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</si>
  <si>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</si>
  <si>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</si>
  <si>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</si>
  <si>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</si>
  <si>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</si>
  <si>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</si>
  <si>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</si>
  <si>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</si>
  <si>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</si>
  <si>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01</t>
  </si>
  <si>
    <t>04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</si>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</sst>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279950</v>
      </c>
      <c r="C3" s="9">
        <f>+HojaTICA!K4+HojaNICA!M4+HojaREVENTADO!K4+HojaPrimera!I4+HojaHonduras!K4+HojaDominicana!I4+HojaPANA!G4</f>
        <v>36400</v>
      </c>
      <c r="D3" s="9">
        <f>+HojaTICA!N4+HojaNICA!P4+HojaREVENTADO!O4+HojaPrimera!L4+HojaHonduras!N4+HojaDominicana!L4+HojaPANA!J4</f>
        <v>88750</v>
      </c>
      <c r="F3" s="10">
        <f t="shared" ref="F3:F27" si="0">+B3-C3-D3</f>
        <v>154800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214650</v>
      </c>
      <c r="C4" s="9">
        <f>+HojaTICA!K5+HojaNICA!M5+HojaREVENTADO!K5+HojaPrimera!I5+HojaHonduras!K5+HojaDominicana!I5+HojaPANA!G5</f>
        <v>27900</v>
      </c>
      <c r="D4" s="9">
        <f>+HojaTICA!N5+HojaNICA!P5+HojaREVENTADO!O5+HojaPrimera!L5+HojaHonduras!N5+HojaDominicana!L5+HojaPANA!J5</f>
        <v>42500</v>
      </c>
      <c r="F4" s="14">
        <f t="shared" si="0"/>
        <v>144250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5000</v>
      </c>
      <c r="C6" s="9">
        <f>+HojaTICA!K7+HojaNICA!M7+HojaREVENTADO!K7+HojaPrimera!I7+HojaHonduras!K7+HojaDominicana!I7+HojaPANA!G7</f>
        <v>600</v>
      </c>
      <c r="D6" s="9">
        <f>+HojaTICA!N7+HojaNICA!P7+HojaREVENTADO!O7+HojaPrimera!L7+HojaHonduras!N7+HojaDominicana!L7+HojaPANA!J7</f>
        <v>0</v>
      </c>
      <c r="F6" s="14">
        <f t="shared" si="0"/>
        <v>4400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393100</v>
      </c>
      <c r="C7" s="9">
        <f>+HojaTICA!K8+HojaNICA!M8+HojaREVENTADO!K8+HojaPrimera!I8+HojaHonduras!K8+HojaDominicana!I8+HojaPANA!G8</f>
        <v>47150</v>
      </c>
      <c r="D7" s="9">
        <f>+HojaTICA!N8+HojaNICA!P8+HojaREVENTADO!O8+HojaPrimera!L8+HojaHonduras!N8+HojaDominicana!L8+HojaPANA!J8</f>
        <v>476500</v>
      </c>
      <c r="F7" s="14">
        <f t="shared" si="0"/>
        <v>-130550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668200</v>
      </c>
      <c r="C9" s="9">
        <f>+HojaTICA!K10+HojaNICA!M10+HojaREVENTADO!K10+HojaPrimera!I10+HojaHonduras!K10+HojaDominicana!I10+HojaPANA!G10</f>
        <v>79520</v>
      </c>
      <c r="D9" s="9">
        <f>+HojaTICA!N10+HojaNICA!P10+HojaREVENTADO!O10+HojaPrimera!L10+HojaHonduras!N10+HojaDominicana!L10+HojaPANA!J10</f>
        <v>242250</v>
      </c>
      <c r="F9" s="14">
        <f t="shared" si="0"/>
        <v>346430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16300</v>
      </c>
      <c r="C10" s="9">
        <f>+HojaTICA!K11+HojaNICA!M11+HojaREVENTADO!K11+HojaPrimera!I11+HojaHonduras!K11+HojaDominicana!I11+HojaPANA!G11</f>
        <v>1950</v>
      </c>
      <c r="D10" s="9">
        <f>+HojaTICA!N11+HojaNICA!P11+HojaREVENTADO!O11+HojaPrimera!L11+HojaHonduras!N11+HojaDominicana!L11+HojaPANA!J11</f>
        <v>0</v>
      </c>
      <c r="F10" s="14">
        <f t="shared" si="0"/>
        <v>14350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244350</v>
      </c>
      <c r="C11" s="9">
        <f>+HojaTICA!K12+HojaNICA!M12+HojaREVENTADO!K12+HojaPrimera!I12+HojaHonduras!K12+HojaDominicana!I12+HojaPANA!G12</f>
        <v>29210</v>
      </c>
      <c r="D11" s="9">
        <f>+HojaTICA!N12+HojaNICA!P12+HojaREVENTADO!O12+HojaPrimera!L12+HojaHonduras!N12+HojaDominicana!L12+HojaPANA!J12</f>
        <v>123250</v>
      </c>
      <c r="F11" s="14">
        <f t="shared" si="0"/>
        <v>91890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154550</v>
      </c>
      <c r="C12" s="9">
        <f>+HojaTICA!K13+HojaNICA!M13+HojaREVENTADO!K13+HojaPrimera!I13+HojaHonduras!K13+HojaDominicana!I13+HojaPANA!G13</f>
        <v>18550</v>
      </c>
      <c r="D12" s="9">
        <f>+HojaTICA!N13+HojaNICA!P13+HojaREVENTADO!O13+HojaPrimera!L13+HojaHonduras!N13+HojaDominicana!L13+HojaPANA!J13</f>
        <v>322250</v>
      </c>
      <c r="F12" s="14">
        <f t="shared" si="0"/>
        <v>-186250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96500</v>
      </c>
      <c r="C13" s="9">
        <f>+HojaTICA!K14+HojaNICA!M14+HojaREVENTADO!K14+HojaPrimera!I14+HojaHonduras!K14+HojaDominicana!I14+HojaPANA!G14</f>
        <v>14500</v>
      </c>
      <c r="D13" s="9">
        <f>+HojaTICA!N14+HojaNICA!P14+HojaREVENTADO!O14+HojaPrimera!L14+HojaHonduras!N14+HojaDominicana!L14+HojaPANA!J14</f>
        <v>100000</v>
      </c>
      <c r="F13" s="14">
        <f t="shared" si="0"/>
        <v>-18000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81850</v>
      </c>
      <c r="C15" s="9">
        <f>+HojaTICA!K16+HojaNICA!M16+HojaREVENTADO!K16+HojaPrimera!I16+HojaHonduras!K16+HojaDominicana!I16+HojaPANA!G16</f>
        <v>9850</v>
      </c>
      <c r="D15" s="9">
        <f>+HojaTICA!N16+HojaNICA!P16+HojaREVENTADO!O16+HojaPrimera!L16+HojaHonduras!N16+HojaDominicana!L16+HojaPANA!J16</f>
        <v>59500</v>
      </c>
      <c r="F15" s="14">
        <f t="shared" si="0"/>
        <v>12500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2154450</v>
      </c>
      <c r="C28" s="17">
        <f t="shared" si="1"/>
        <v>265630</v>
      </c>
      <c r="D28" s="18">
        <f t="shared" si="1"/>
        <v>1455000</v>
      </c>
      <c r="F28" s="20">
        <f>SUM(F3:F27)</f>
        <v>433820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2" t="s">
        <v>156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30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Blanca</v>
      </c>
      <c r="C8" s="135"/>
      <c r="D8" s="136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77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40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94</v>
      </c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2">
        <v>71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>
        <v>86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39</v>
      </c>
      <c r="C19" s="132">
        <v>80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26</v>
      </c>
      <c r="C20" s="162" t="s">
        <v>158</v>
      </c>
      <c r="D20" s="165">
        <v>46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157</v>
      </c>
      <c r="C21" s="163">
        <v>31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30</v>
      </c>
      <c r="D2" s="267"/>
      <c r="E2" s="266">
        <f>DigitaTICA!E2</f>
        <v>40</v>
      </c>
      <c r="F2" s="267"/>
      <c r="G2" s="266">
        <f>DigitaTICA!G2</f>
        <v>71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82350</v>
      </c>
      <c r="D4" s="30">
        <f>IF(Vendedor1!$E$7="",0,Vendedor1!$E$7)</f>
        <v>350</v>
      </c>
      <c r="E4" s="179">
        <f>IF(Vendedor1!$C$11="",0,Vendedor1!$C$11)</f>
        <v>56250</v>
      </c>
      <c r="F4" s="30">
        <f>IF(Vendedor1!$E$11="",0,Vendedor1!$E$11)</f>
        <v>250</v>
      </c>
      <c r="G4" s="179">
        <f>IF(Vendedor1!$C$15="",0,Vendedor1!$C$15)</f>
        <v>105000</v>
      </c>
      <c r="H4" s="30">
        <f>IF(Vendedor1!$E$15="",0,Vendedor1!$E$15)</f>
        <v>350</v>
      </c>
      <c r="J4" s="42">
        <f t="shared" ref="J4:J7" si="0">+C4+E4+G4</f>
        <v>243600</v>
      </c>
      <c r="K4" s="41">
        <f>MROUND(J4*Vendedor1!J$9,50)</f>
        <v>31650</v>
      </c>
      <c r="L4" s="42">
        <f t="shared" ref="L4:L7" si="1">+D4+F4+H4</f>
        <v>950</v>
      </c>
      <c r="M4" s="42">
        <f t="shared" ref="M4:M7" si="2">+L4*85</f>
        <v>80750</v>
      </c>
      <c r="N4" s="42">
        <f>Vendedor1!$F$7+Vendedor1!$F$11+Vendedor1!$F$15</f>
        <v>80750</v>
      </c>
      <c r="P4" s="42">
        <f t="shared" ref="P4:P7" si="3">+J4-K4-N4</f>
        <v>131200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78900</v>
      </c>
      <c r="D5" s="30">
        <f>IF(Vendedor2!$E$7="",0,Vendedor2!$E$7)</f>
        <v>250</v>
      </c>
      <c r="E5" s="179">
        <f>IF(Vendedor2!$C$11="",0,Vendedor2!$C$11)</f>
        <v>28600</v>
      </c>
      <c r="F5" s="30">
        <f>IF(Vendedor2!$E$11="",0,Vendedor2!$E$11)</f>
        <v>250</v>
      </c>
      <c r="G5" s="179">
        <f>IF(Vendedor2!$C$15="",0,Vendedor2!$C$15)</f>
        <v>86850</v>
      </c>
      <c r="H5" s="30">
        <f>IF(Vendedor2!$E$15="",0,Vendedor2!$E$15)</f>
        <v>0</v>
      </c>
      <c r="J5" s="42">
        <f t="shared" si="0"/>
        <v>194350</v>
      </c>
      <c r="K5" s="41">
        <f>MROUND(J5*Vendedor2!J$9,50)</f>
        <v>25250</v>
      </c>
      <c r="L5" s="42">
        <f t="shared" si="1"/>
        <v>500</v>
      </c>
      <c r="M5" s="42">
        <f t="shared" si="2"/>
        <v>42500</v>
      </c>
      <c r="N5" s="42">
        <f>Vendedor2!$F$7+Vendedor2!$F$11+Vendedor2!$F$15</f>
        <v>42500</v>
      </c>
      <c r="P5" s="42">
        <f t="shared" si="3"/>
        <v>126600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5000</v>
      </c>
      <c r="H7" s="30">
        <f>IF(Vendedor4!$E$15="",0,Vendedor4!$E$15)</f>
        <v>0</v>
      </c>
      <c r="J7" s="42">
        <f t="shared" si="0"/>
        <v>5000</v>
      </c>
      <c r="K7" s="41">
        <f>MROUND(J7*Vendedor4!J$9,50)</f>
        <v>600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4400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64650</v>
      </c>
      <c r="D8" s="30">
        <f>IF(Vendedor5!$E$7="",0,Vendedor5!$E$7)</f>
        <v>950</v>
      </c>
      <c r="E8" s="179">
        <f>IF(Vendedor5!$C$11="",0,Vendedor5!$C$11)</f>
        <v>57600</v>
      </c>
      <c r="F8" s="30">
        <f>IF(Vendedor5!$E$11="",0,Vendedor5!$E$11)</f>
        <v>2650</v>
      </c>
      <c r="G8" s="179">
        <f>IF(Vendedor5!$C$15="",0,Vendedor5!$C$15)</f>
        <v>70750</v>
      </c>
      <c r="H8" s="30">
        <f>IF(Vendedor5!$E$15="",0,Vendedor5!$E$15)</f>
        <v>500</v>
      </c>
      <c r="J8" s="42">
        <f t="shared" ref="J8" si="4">+C8+E8+G8</f>
        <v>193000</v>
      </c>
      <c r="K8" s="41">
        <f>MROUND(J8*Vendedor5!J$11,50)</f>
        <v>23150</v>
      </c>
      <c r="L8" s="42">
        <f t="shared" ref="L8" si="5">+D8+F8+H8</f>
        <v>4100</v>
      </c>
      <c r="M8" s="42">
        <f t="shared" ref="M8" si="6">+L8*85</f>
        <v>348500</v>
      </c>
      <c r="N8" s="42">
        <f>Vendedor5!$F$7+Vendedor5!$F$11+Vendedor5!$F$15</f>
        <v>348500</v>
      </c>
      <c r="P8" s="42">
        <f t="shared" ref="P8" si="7">+J8-K8-N8</f>
        <v>-178650</v>
      </c>
    </row>
    <row r="9" spans="1:16" x14ac:dyDescent="0.35">
      <c r="A9" s="41">
        <v>6</v>
      </c>
      <c r="B9" s="177" t="str">
        <f>Vendedor6!$B$2</f>
        <v>Vendedor 06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88800</v>
      </c>
      <c r="D10" s="30">
        <f>IF(Vendedor7!$E$7="",0,Vendedor7!$E$7)</f>
        <v>250</v>
      </c>
      <c r="E10" s="179">
        <f>IF(Vendedor7!$C$11="",0,Vendedor7!$C$11)</f>
        <v>86450</v>
      </c>
      <c r="F10" s="30">
        <f>IF(Vendedor7!$E$11="",0,Vendedor7!$E$11)</f>
        <v>1200</v>
      </c>
      <c r="G10" s="179">
        <f>IF(Vendedor7!$C$15="",0,Vendedor7!$C$15)</f>
        <v>65500</v>
      </c>
      <c r="H10" s="30">
        <f>IF(Vendedor7!$E$15="",0,Vendedor7!$E$15)</f>
        <v>500</v>
      </c>
      <c r="J10" s="42">
        <f t="shared" si="8"/>
        <v>240750</v>
      </c>
      <c r="K10" s="41">
        <f>MROUND(J10*Vendedor7!J$14,50)</f>
        <v>28900</v>
      </c>
      <c r="L10" s="42">
        <f t="shared" si="9"/>
        <v>1950</v>
      </c>
      <c r="M10" s="42">
        <f t="shared" si="10"/>
        <v>165750</v>
      </c>
      <c r="N10" s="42">
        <f>Vendedor7!$F$7+Vendedor7!$F$11+Vendedor7!$F$15</f>
        <v>165750</v>
      </c>
      <c r="P10" s="42">
        <f t="shared" si="11"/>
        <v>46100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3900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12400</v>
      </c>
      <c r="H11" s="30">
        <f>IF(Vendedor8!$E$15="",0,Vendedor8!$E$15)</f>
        <v>0</v>
      </c>
      <c r="J11" s="42">
        <f t="shared" si="8"/>
        <v>16300</v>
      </c>
      <c r="K11" s="41">
        <f>MROUND(J11*Vendedor8!J$11,50)</f>
        <v>1950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14350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57750</v>
      </c>
      <c r="D12" s="30">
        <f>IF(Vendedor9!$E$7="",0,Vendedor9!$E$7)</f>
        <v>250</v>
      </c>
      <c r="E12" s="179">
        <f>IF(Vendedor9!$C$11="",0,Vendedor9!$C$11)</f>
        <v>23100</v>
      </c>
      <c r="F12" s="30">
        <f>IF(Vendedor9!$E$11="",0,Vendedor9!$E$11)</f>
        <v>250</v>
      </c>
      <c r="G12" s="179">
        <f>IF(Vendedor9!$C$15="",0,Vendedor9!$C$15)</f>
        <v>26500</v>
      </c>
      <c r="H12" s="30">
        <f>IF(Vendedor9!$E$15="",0,Vendedor9!$E$15)</f>
        <v>0</v>
      </c>
      <c r="J12" s="42">
        <f t="shared" si="8"/>
        <v>107350</v>
      </c>
      <c r="K12" s="41">
        <f>MROUND(J12*Vendedor9!J$11,50)</f>
        <v>12900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51950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52450</v>
      </c>
      <c r="D13" s="30">
        <f>IF(Vendedor10!$E$7="",0,Vendedor10!$E$7)</f>
        <v>2550</v>
      </c>
      <c r="E13" s="179">
        <f>IF(Vendedor10!$C$11="",0,Vendedor10!$C$11)</f>
        <v>25200</v>
      </c>
      <c r="F13" s="30">
        <f>IF(Vendedor10!$E$11="",0,Vendedor10!$E$11)</f>
        <v>0</v>
      </c>
      <c r="G13" s="179">
        <f>IF(Vendedor10!$C$15="",0,Vendedor10!$C$15)</f>
        <v>29500</v>
      </c>
      <c r="H13" s="30">
        <f>IF(Vendedor10!$E$15="",0,Vendedor10!$E$15)</f>
        <v>300</v>
      </c>
      <c r="J13" s="42">
        <f t="shared" si="8"/>
        <v>107150</v>
      </c>
      <c r="K13" s="41">
        <f>MROUND(J13*Vendedor10!J$9,50)</f>
        <v>12850</v>
      </c>
      <c r="L13" s="42">
        <f t="shared" si="9"/>
        <v>2850</v>
      </c>
      <c r="M13" s="42">
        <f t="shared" si="10"/>
        <v>242250</v>
      </c>
      <c r="N13" s="42">
        <f>Vendedor10!$F$7+Vendedor10!$F$11+Vendedor10!$F$15</f>
        <v>242250</v>
      </c>
      <c r="P13" s="42">
        <f t="shared" si="11"/>
        <v>-147950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34300</v>
      </c>
      <c r="D14" s="30">
        <f>IF(Vendedor11!$E$7="",0,Vendedor11!$E$7)</f>
        <v>0</v>
      </c>
      <c r="E14" s="179">
        <f>IF(Vendedor11!$C$11="",0,Vendedor11!$C$11)</f>
        <v>19250</v>
      </c>
      <c r="F14" s="30">
        <f>IF(Vendedor11!$E$11="",0,Vendedor11!$E$11)</f>
        <v>250</v>
      </c>
      <c r="G14" s="179">
        <f>IF(Vendedor11!$C$15="",0,Vendedor11!$C$15)</f>
        <v>42950</v>
      </c>
      <c r="H14" s="30">
        <f>IF(Vendedor11!$E$15="",0,Vendedor11!$E$15)</f>
        <v>1000</v>
      </c>
      <c r="J14" s="42">
        <f t="shared" si="8"/>
        <v>96500</v>
      </c>
      <c r="K14" s="41">
        <f>MROUND(J14*Vendedor11!J$9,50)</f>
        <v>14500</v>
      </c>
      <c r="L14" s="42">
        <f t="shared" si="9"/>
        <v>1250</v>
      </c>
      <c r="M14" s="42">
        <f t="shared" si="10"/>
        <v>106250</v>
      </c>
      <c r="N14" s="42">
        <f>Vendedor11!$F$7+Vendedor11!$F$11+Vendedor11!$F$15</f>
        <v>100000</v>
      </c>
      <c r="P14" s="42">
        <f t="shared" si="11"/>
        <v>-18000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17950</v>
      </c>
      <c r="D16" s="30">
        <f>IF(Vendedor13!$E$7="",0,Vendedor13!$E$7)</f>
        <v>450</v>
      </c>
      <c r="E16" s="179">
        <f>IF(Vendedor13!$C$11="",0,Vendedor13!$C$11)</f>
        <v>12550</v>
      </c>
      <c r="F16" s="30">
        <f>IF(Vendedor13!$E$11="",0,Vendedor13!$E$11)</f>
        <v>250</v>
      </c>
      <c r="G16" s="179">
        <f>IF(Vendedor13!$C$15="",0,Vendedor13!$C$15)</f>
        <v>24300</v>
      </c>
      <c r="H16" s="30">
        <f>IF(Vendedor13!$E$15="",0,Vendedor13!$E$15)</f>
        <v>0</v>
      </c>
      <c r="J16" s="42">
        <f t="shared" si="8"/>
        <v>54800</v>
      </c>
      <c r="K16" s="41">
        <f>MROUND(J16*Vendedor13!J$11,50)</f>
        <v>6600</v>
      </c>
      <c r="L16" s="42">
        <f t="shared" si="9"/>
        <v>700</v>
      </c>
      <c r="M16" s="42">
        <f t="shared" si="10"/>
        <v>59500</v>
      </c>
      <c r="N16" s="42">
        <f>Vendedor13!$F$7+Vendedor13!$F$11+Vendedor13!$F$15</f>
        <v>59500</v>
      </c>
      <c r="P16" s="42">
        <f t="shared" si="11"/>
        <v>-11300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481050</v>
      </c>
      <c r="D32" s="44">
        <f t="shared" si="16"/>
        <v>5050</v>
      </c>
      <c r="E32" s="43">
        <f t="shared" si="16"/>
        <v>309000</v>
      </c>
      <c r="F32" s="44">
        <f t="shared" si="16"/>
        <v>5100</v>
      </c>
      <c r="G32" s="43">
        <f t="shared" si="16"/>
        <v>468750</v>
      </c>
      <c r="H32" s="44">
        <f t="shared" si="16"/>
        <v>2650</v>
      </c>
      <c r="J32" s="95">
        <f>SUM(J4:J31)</f>
        <v>1258800</v>
      </c>
      <c r="K32" s="45">
        <f>SUM(K7:K31)</f>
        <v>101450</v>
      </c>
      <c r="L32" s="95">
        <f>SUM(L4:L31)</f>
        <v>12800</v>
      </c>
      <c r="M32" s="95">
        <f>SUM(M4:M31)</f>
        <v>1088000</v>
      </c>
      <c r="N32" s="95">
        <f>SUM(N4:N31)</f>
        <v>1081750</v>
      </c>
      <c r="P32" s="79">
        <f>SUM(P4:P31)</f>
        <v>18700</v>
      </c>
    </row>
    <row r="33" spans="3:13" x14ac:dyDescent="0.35">
      <c r="D33" s="99">
        <f>+D32*85</f>
        <v>429250</v>
      </c>
      <c r="F33" s="99">
        <f>+F32*85</f>
        <v>433500</v>
      </c>
      <c r="H33" s="99">
        <f>+H32*85</f>
        <v>225250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1258800</v>
      </c>
      <c r="E36" s="43">
        <f>+D36-J4-J5-J6</f>
        <v>820850</v>
      </c>
      <c r="G36" s="101"/>
    </row>
    <row r="37" spans="3:13" x14ac:dyDescent="0.35">
      <c r="C37" s="47" t="s">
        <v>33</v>
      </c>
      <c r="D37" s="48">
        <f>D36*13%</f>
        <v>163644</v>
      </c>
      <c r="E37">
        <f>+D37-K4-K5-K6</f>
        <v>106744</v>
      </c>
      <c r="G37" s="100"/>
      <c r="H37" s="100"/>
    </row>
    <row r="38" spans="3:13" ht="15" thickBot="1" x14ac:dyDescent="0.4">
      <c r="C38" s="47" t="s">
        <v>30</v>
      </c>
      <c r="D38" s="30">
        <f>M32</f>
        <v>1088000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7156</v>
      </c>
      <c r="F39" s="98">
        <f>+P32-D39</f>
        <v>11544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7156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 t="str">
        <f>DigitaNICA!C2</f>
        <v>01</v>
      </c>
      <c r="D2" s="267"/>
      <c r="E2" s="266">
        <f>DigitaNICA!E2</f>
        <v>77</v>
      </c>
      <c r="F2" s="267"/>
      <c r="G2" s="266">
        <f>DigitaNICA!G2</f>
        <v>94</v>
      </c>
      <c r="H2" s="267"/>
      <c r="I2" s="266">
        <f>DigitaNICA!I2</f>
        <v>86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15650</v>
      </c>
      <c r="D4" s="78">
        <f>IF(Vendedor1!$E$5="",0,Vendedor1!$E$5)</f>
        <v>100</v>
      </c>
      <c r="E4" s="188">
        <f>IF(Vendedor1!$C$9="",0,Vendedor1!$C$9)</f>
        <v>9150</v>
      </c>
      <c r="F4" s="78">
        <f>IF(Vendedor1!$E$9="",0,Vendedor1!$E$9)</f>
        <v>0</v>
      </c>
      <c r="G4" s="188">
        <f>IF(Vendedor1!$C$13="",0,Vendedor1!$C$13)</f>
        <v>2600</v>
      </c>
      <c r="H4" s="78">
        <f>IF(Vendedor1!$E$13="",0,Vendedor1!$E$13)</f>
        <v>0</v>
      </c>
      <c r="I4" s="188">
        <f>IF(Vendedor1!$C$17="",0,Vendedor1!$C$17)</f>
        <v>2100</v>
      </c>
      <c r="J4" s="78">
        <f>IF(Vendedor1!$E$17="",0,Vendedor1!$E$17)</f>
        <v>0</v>
      </c>
      <c r="L4" s="42">
        <f t="shared" ref="L4:L7" si="0">C4+E4+G4+I4</f>
        <v>29500</v>
      </c>
      <c r="M4" s="41">
        <f>MROUND(L4*Vendedor1!J$10,50)</f>
        <v>3850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17150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15800</v>
      </c>
      <c r="D5" s="30">
        <f>IF(Vendedor2!$E$5="",0,Vendedor2!$E$5)</f>
        <v>0</v>
      </c>
      <c r="E5" s="179">
        <f>IF(Vendedor2!$C$9="",0,Vendedor2!$C$9)</f>
        <v>0</v>
      </c>
      <c r="F5" s="30">
        <f>IF(Vendedor2!$E$9="",0,Vendedor2!$E$9)</f>
        <v>0</v>
      </c>
      <c r="G5" s="179">
        <f>IF(Vendedor2!$C$13="",0,Vendedor2!$C$13)</f>
        <v>1000</v>
      </c>
      <c r="H5" s="30">
        <f>IF(Vendedor2!$E$13="",0,Vendedor2!$E$13)</f>
        <v>0</v>
      </c>
      <c r="I5" s="179">
        <f>IF(Vendedor2!$C$17="",0,Vendedor2!$C$17)</f>
        <v>1700</v>
      </c>
      <c r="J5" s="30">
        <f>IF(Vendedor2!$E$17="",0,Vendedor2!$E$17)</f>
        <v>0</v>
      </c>
      <c r="L5" s="42">
        <f t="shared" si="0"/>
        <v>18500</v>
      </c>
      <c r="M5" s="41">
        <f>MROUND(L5*Vendedor2!J$10,50)</f>
        <v>2400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16100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71350</v>
      </c>
      <c r="D8" s="30">
        <f>IF(Vendedor5!$E$5="",0,Vendedor5!$E$5)</f>
        <v>1100</v>
      </c>
      <c r="E8" s="179">
        <f>IF(Vendedor5!$C$9="",0,Vendedor5!$C$9)</f>
        <v>50350</v>
      </c>
      <c r="F8" s="30">
        <f>IF(Vendedor5!$E$9="",0,Vendedor5!$E$9)</f>
        <v>0</v>
      </c>
      <c r="G8" s="179">
        <f>IF(Vendedor5!$C$13="",0,Vendedor5!$C$13)</f>
        <v>4950</v>
      </c>
      <c r="H8" s="30">
        <f>IF(Vendedor5!$E$13="",0,Vendedor5!$E$13)</f>
        <v>0</v>
      </c>
      <c r="I8" s="179">
        <f>IF(Vendedor5!$C$17="",0,Vendedor5!$C$17)</f>
        <v>42500</v>
      </c>
      <c r="J8" s="30">
        <f>IF(Vendedor5!$E$17="",0,Vendedor5!$E$17)</f>
        <v>500</v>
      </c>
      <c r="L8" s="42">
        <f t="shared" ref="L8" si="4">C8+E8+G8+I8</f>
        <v>169150</v>
      </c>
      <c r="M8" s="41">
        <f>MROUND(L8*Vendedor5!J$12,50)</f>
        <v>20300</v>
      </c>
      <c r="N8" s="42">
        <f t="shared" ref="N8" si="5">D8+F8+H8+J8</f>
        <v>1600</v>
      </c>
      <c r="O8" s="41">
        <f t="shared" si="3"/>
        <v>136000</v>
      </c>
      <c r="P8" s="42">
        <f>Vendedor5!$F$5+Vendedor5!$F$9+Vendedor5!$F$13+Vendedor5!$F$17</f>
        <v>128000</v>
      </c>
      <c r="Q8">
        <v>17</v>
      </c>
      <c r="R8" s="41">
        <f t="shared" ref="R8" si="6">+L8-M8-O8</f>
        <v>12850</v>
      </c>
    </row>
    <row r="9" spans="1:18" x14ac:dyDescent="0.35">
      <c r="A9" s="47">
        <v>6</v>
      </c>
      <c r="B9" s="177" t="str">
        <f>Vendedor6!$B$2</f>
        <v>Vendedor 06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68400</v>
      </c>
      <c r="D10" s="30">
        <f>IF(Vendedor7!$E$5="",0,Vendedor7!$E$5)</f>
        <v>250</v>
      </c>
      <c r="E10" s="179">
        <f>IF(Vendedor7!$C$9="",0,Vendedor7!$C$9)</f>
        <v>88900</v>
      </c>
      <c r="F10" s="30">
        <f>IF(Vendedor7!$E$9="",0,Vendedor7!$E$9)</f>
        <v>100</v>
      </c>
      <c r="G10" s="179">
        <f>IF(Vendedor7!$C$13="",0,Vendedor7!$C$13)</f>
        <v>7450</v>
      </c>
      <c r="H10" s="30">
        <f>IF(Vendedor7!$E$13="",0,Vendedor7!$E$13)</f>
        <v>0</v>
      </c>
      <c r="I10" s="179">
        <f>IF(Vendedor7!$C$17="",0,Vendedor7!$C$17)</f>
        <v>57250</v>
      </c>
      <c r="J10" s="30">
        <f>IF(Vendedor7!$E$17="",0,Vendedor7!$E$17)</f>
        <v>0</v>
      </c>
      <c r="L10" s="42">
        <f t="shared" si="7"/>
        <v>222000</v>
      </c>
      <c r="M10" s="41">
        <f>MROUND(L10*Vendedor7!J$15,50)</f>
        <v>26650</v>
      </c>
      <c r="N10" s="42">
        <f t="shared" ref="N10:N27" si="9">D10+F10+H10+J10</f>
        <v>350</v>
      </c>
      <c r="O10" s="41">
        <f t="shared" si="3"/>
        <v>29750</v>
      </c>
      <c r="P10" s="42">
        <f>Vendedor7!$F$5+Vendedor7!$F$9+Vendedor7!$F$13+Vendedor7!$F$17</f>
        <v>29750</v>
      </c>
      <c r="R10" s="41">
        <f t="shared" si="8"/>
        <v>165600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35550</v>
      </c>
      <c r="D12" s="30">
        <f>IF(Vendedor9!$E$5="",0,Vendedor9!$E$5)</f>
        <v>250</v>
      </c>
      <c r="E12" s="179">
        <f>IF(Vendedor9!$C$9="",0,Vendedor9!$C$9)</f>
        <v>35850</v>
      </c>
      <c r="F12" s="30">
        <f>IF(Vendedor9!$E$9="",0,Vendedor9!$E$9)</f>
        <v>250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71400</v>
      </c>
      <c r="M12" s="41">
        <f>MROUND(L12*Vendedor9!J$12,50)</f>
        <v>8550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20350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25350</v>
      </c>
      <c r="D13" s="30">
        <f>IF(Vendedor10!$E$5="",0,Vendedor10!$E$5)</f>
        <v>900</v>
      </c>
      <c r="E13" s="179">
        <f>IF(Vendedor10!$C$9="",0,Vendedor10!$C$9)</f>
        <v>19450</v>
      </c>
      <c r="F13" s="30">
        <f>IF(Vendedor10!$E$9="",0,Vendedor10!$E$9)</f>
        <v>0</v>
      </c>
      <c r="G13" s="179">
        <f>IF(Vendedor10!$C$13="",0,Vendedor10!$C$13)</f>
        <v>0</v>
      </c>
      <c r="H13" s="30">
        <f>IF(Vendedor10!$E$13="",0,Vendedor10!$E$13)</f>
        <v>0</v>
      </c>
      <c r="I13" s="179">
        <f>IF(Vendedor10!$C$17="",0,Vendedor10!$C$17)</f>
        <v>2600</v>
      </c>
      <c r="J13" s="30">
        <f>IF(Vendedor10!$E$17="",0,Vendedor10!$E$17)</f>
        <v>100</v>
      </c>
      <c r="L13" s="42">
        <f t="shared" si="7"/>
        <v>47400</v>
      </c>
      <c r="M13" s="41">
        <f>MROUND(L13*Vendedor10!J$10,50)</f>
        <v>5700</v>
      </c>
      <c r="N13" s="42">
        <f t="shared" si="9"/>
        <v>1000</v>
      </c>
      <c r="O13" s="41">
        <f t="shared" si="3"/>
        <v>85000</v>
      </c>
      <c r="P13" s="42">
        <f>Vendedor10!$F$5+Vendedor10!$F$9+Vendedor10!$F$13+Vendedor10!$F$17</f>
        <v>80000</v>
      </c>
      <c r="R13" s="41">
        <f t="shared" si="8"/>
        <v>-43300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6000</v>
      </c>
      <c r="D16" s="30">
        <f>IF(Vendedor13!$E$5="",0,Vendedor13!$E$5)</f>
        <v>0</v>
      </c>
      <c r="E16" s="179">
        <f>IF(Vendedor13!$C$9="",0,Vendedor13!$C$9)</f>
        <v>5000</v>
      </c>
      <c r="F16" s="30">
        <f>IF(Vendedor13!$E$9="",0,Vendedor13!$E$9)</f>
        <v>0</v>
      </c>
      <c r="G16" s="179">
        <f>IF(Vendedor13!$C$13="",0,Vendedor13!$C$13)</f>
        <v>0</v>
      </c>
      <c r="H16" s="30">
        <f>IF(Vendedor13!$E$13="",0,Vendedor13!$E$13)</f>
        <v>0</v>
      </c>
      <c r="I16" s="179">
        <f>IF(Vendedor13!$C$17="",0,Vendedor13!$C$17)</f>
        <v>15550</v>
      </c>
      <c r="J16" s="30">
        <f>IF(Vendedor13!$E$17="",0,Vendedor13!$E$17)</f>
        <v>0</v>
      </c>
      <c r="L16" s="42">
        <f t="shared" si="7"/>
        <v>26550</v>
      </c>
      <c r="M16" s="41">
        <f>MROUND(L16*Vendedor13!J$12,50)</f>
        <v>3200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23350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238100</v>
      </c>
      <c r="D32" s="44">
        <f t="shared" si="14"/>
        <v>2600</v>
      </c>
      <c r="E32" s="43">
        <f t="shared" si="14"/>
        <v>208700</v>
      </c>
      <c r="F32" s="44">
        <f t="shared" si="14"/>
        <v>350</v>
      </c>
      <c r="G32" s="43">
        <f t="shared" si="14"/>
        <v>16000</v>
      </c>
      <c r="H32" s="44">
        <f t="shared" si="14"/>
        <v>0</v>
      </c>
      <c r="I32" s="43">
        <f t="shared" si="14"/>
        <v>121700</v>
      </c>
      <c r="J32" s="44">
        <f t="shared" si="14"/>
        <v>600</v>
      </c>
      <c r="L32" s="45">
        <f>SUM(L4:L31)</f>
        <v>584500</v>
      </c>
      <c r="M32" s="45">
        <f>SUM(M7:M31)</f>
        <v>64400</v>
      </c>
      <c r="N32" s="95">
        <f>SUM(N4:N31)</f>
        <v>3550</v>
      </c>
      <c r="O32" s="46">
        <f>SUM(O4:O31)</f>
        <v>301750</v>
      </c>
      <c r="P32" s="139">
        <f>SUM(P4:P31)</f>
        <v>288250</v>
      </c>
      <c r="R32" s="79">
        <f>SUM(R4:R31)</f>
        <v>212100</v>
      </c>
    </row>
    <row r="33" spans="3:15" x14ac:dyDescent="0.35">
      <c r="D33" s="120">
        <f>+D32*85</f>
        <v>221000</v>
      </c>
      <c r="F33" s="120">
        <f>+F32*85</f>
        <v>29750</v>
      </c>
      <c r="H33" s="120">
        <f>+H32*85</f>
        <v>0</v>
      </c>
      <c r="J33" s="120">
        <f>+J32*85</f>
        <v>51000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584500</v>
      </c>
      <c r="E36" s="43">
        <f>+D36-L4-L5-L6</f>
        <v>536500</v>
      </c>
    </row>
    <row r="37" spans="3:15" x14ac:dyDescent="0.35">
      <c r="C37" s="47" t="s">
        <v>33</v>
      </c>
      <c r="D37" s="48">
        <f>D36*13%</f>
        <v>75985</v>
      </c>
      <c r="E37">
        <f>+D37-M4-M5-M6</f>
        <v>69735</v>
      </c>
    </row>
    <row r="38" spans="3:15" x14ac:dyDescent="0.35">
      <c r="C38" s="47" t="s">
        <v>30</v>
      </c>
      <c r="D38" s="30">
        <f>SUM(O4:O27)</f>
        <v>301750</v>
      </c>
      <c r="G38" s="100"/>
    </row>
    <row r="39" spans="3:15" ht="15" thickBot="1" x14ac:dyDescent="0.4">
      <c r="C39" s="49" t="s">
        <v>4</v>
      </c>
      <c r="D39" s="80">
        <f>+D36-D37-D38</f>
        <v>206765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206765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30 Blanca</v>
      </c>
      <c r="D2" s="267"/>
      <c r="E2" s="266" t="str">
        <f>IF(E33=0,"",CONCATENATE(PREMIOS!$B11," ",PREMIOS!$B12))</f>
        <v>40 Blanca</v>
      </c>
      <c r="F2" s="267"/>
      <c r="G2" s="266" t="str">
        <f>IF(G33=0,"",CONCATENATE(PREMIOS!$B15," ",PREMIOS!$B16))</f>
        <v>71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Vendedor 06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11800</v>
      </c>
      <c r="D10" s="30">
        <f>IF(Vendedor7!$E$8="",0,Vendedor7!$E$8)</f>
        <v>0</v>
      </c>
      <c r="E10" s="179">
        <f>IF(Vendedor7!$C$12="",0,Vendedor7!$C$12)</f>
        <v>14600</v>
      </c>
      <c r="F10" s="30">
        <f>IF(Vendedor7!$E$12="",0,Vendedor7!$E$12)</f>
        <v>0</v>
      </c>
      <c r="G10" s="179">
        <f>IF(Vendedor7!$C$16="",0,Vendedor7!$C$16)</f>
        <v>9800</v>
      </c>
      <c r="H10" s="30">
        <f>IF(Vendedor7!$E$16="",0,Vendedor7!$E$16)</f>
        <v>500</v>
      </c>
      <c r="J10" s="42">
        <f t="shared" si="1"/>
        <v>36200</v>
      </c>
      <c r="K10" s="41">
        <f>J10*Vendedor7!J$16</f>
        <v>3620</v>
      </c>
      <c r="L10" s="42">
        <f t="shared" si="2"/>
        <v>0</v>
      </c>
      <c r="M10" s="42">
        <f t="shared" si="3"/>
        <v>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32580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5100</v>
      </c>
      <c r="D12" s="30">
        <f>IF(Vendedor9!$E$8="",0,Vendedor9!$E$8)</f>
        <v>250</v>
      </c>
      <c r="E12" s="179">
        <f>IF(Vendedor9!$C$12="",0,Vendedor9!$C$12)</f>
        <v>0</v>
      </c>
      <c r="F12" s="30">
        <f>IF(Vendedor9!$E$12="",0,Vendedor9!$E$12)</f>
        <v>0</v>
      </c>
      <c r="G12" s="179">
        <f>IF(Vendedor9!$C$16="",0,Vendedor9!$C$16)</f>
        <v>0</v>
      </c>
      <c r="H12" s="30">
        <f>IF(Vendedor9!$E$16="",0,Vendedor9!$E$16)</f>
        <v>0</v>
      </c>
      <c r="J12" s="42">
        <f t="shared" si="1"/>
        <v>5100</v>
      </c>
      <c r="K12" s="41">
        <f>J12*Vendedor9!J$13</f>
        <v>510</v>
      </c>
      <c r="L12" s="42">
        <f t="shared" si="2"/>
        <v>0</v>
      </c>
      <c r="M12" s="42">
        <f t="shared" si="3"/>
        <v>250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4590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500</v>
      </c>
      <c r="D16" s="30">
        <f>IF(Vendedor13!$E$8="",0,Vendedor13!$E$8)</f>
        <v>0</v>
      </c>
      <c r="E16" s="179">
        <f>IF(Vendedor13!$C$12="",0,Vendedor13!$C$12)</f>
        <v>0</v>
      </c>
      <c r="F16" s="30">
        <f>IF(Vendedor13!$E$12="",0,Vendedor13!$E$12)</f>
        <v>0</v>
      </c>
      <c r="G16" s="179">
        <f>IF(Vendedor13!$C$16="",0,Vendedor13!$C$16)</f>
        <v>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17400</v>
      </c>
      <c r="D33" s="44">
        <f>IF(PREMIOS!E8&lt;&gt;0,SUM(D4:D32),0)</f>
        <v>0</v>
      </c>
      <c r="E33" s="43">
        <f>SUM(E4:E32)</f>
        <v>14600</v>
      </c>
      <c r="F33" s="44">
        <f>IF(PREMIOS!E12&lt;&gt;0,SUM(F4:F32),0)</f>
        <v>0</v>
      </c>
      <c r="G33" s="43">
        <f>SUM(G4:G32)</f>
        <v>9800</v>
      </c>
      <c r="H33" s="44">
        <f>IF(PREMIOS!E16&lt;&gt;0,SUM(H4:H32),0)</f>
        <v>0</v>
      </c>
      <c r="J33" s="45">
        <f>SUM(J4:J32)</f>
        <v>41800</v>
      </c>
      <c r="K33" s="45">
        <f>SUM(K7:K32)</f>
        <v>4180</v>
      </c>
      <c r="L33" s="95">
        <f>SUM(L7:L32)</f>
        <v>0</v>
      </c>
      <c r="M33" s="95">
        <f>SUM(M7:M32)</f>
        <v>750</v>
      </c>
      <c r="N33" s="95">
        <f>SUM(N4:N27)</f>
        <v>0</v>
      </c>
      <c r="O33" s="95">
        <f>SUM(O4:O27)</f>
        <v>0</v>
      </c>
      <c r="Q33" s="79">
        <f>SUM(Q4:Q32)</f>
        <v>37620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41800</v>
      </c>
      <c r="E37" s="43">
        <f>+D37-J4-J5-J6</f>
        <v>41800</v>
      </c>
      <c r="F37" s="274"/>
      <c r="G37" s="274"/>
    </row>
    <row r="38" spans="3:17" ht="15" thickBot="1" x14ac:dyDescent="0.4">
      <c r="C38" s="47" t="s">
        <v>33</v>
      </c>
      <c r="D38" s="30">
        <f>D37*10%</f>
        <v>4180</v>
      </c>
      <c r="E38" s="43">
        <f>+D38-K4-K5-K6</f>
        <v>4180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37620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37620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39</v>
      </c>
      <c r="D2" s="267"/>
      <c r="E2" s="266">
        <f>DigitaPRIMERA!E2</f>
        <v>80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6350</v>
      </c>
      <c r="D4" s="78">
        <f>IF(Vendedor1!$E$19="",0,Vendedor1!$E$19)</f>
        <v>0</v>
      </c>
      <c r="E4" s="188">
        <f>IF(Vendedor1!$C$20="",0,Vendedor1!$C$20)</f>
        <v>500</v>
      </c>
      <c r="F4" s="78">
        <f>IF(Vendedor1!$E$20="",0,Vendedor1!$E$20)</f>
        <v>0</v>
      </c>
      <c r="H4" s="42">
        <f>+C4+E4</f>
        <v>6850</v>
      </c>
      <c r="I4" s="41">
        <f>MROUND(H4*Vendedor1!J$9,50)</f>
        <v>900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5950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1800</v>
      </c>
      <c r="D5" s="30">
        <f>IF(Vendedor2!$E$19="",0,Vendedor2!$E$19)</f>
        <v>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1800</v>
      </c>
      <c r="I5" s="41">
        <f>MROUND(H5*Vendedor2!J$9,50)</f>
        <v>250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1550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22300</v>
      </c>
      <c r="D8" s="30">
        <f>IF(Vendedor5!$E$19="",0,Vendedor5!$E$19)</f>
        <v>0</v>
      </c>
      <c r="E8" s="179">
        <f>IF(Vendedor5!$C$20="",0,Vendedor5!$C$20)</f>
        <v>8650</v>
      </c>
      <c r="F8" s="30">
        <f>IF(Vendedor5!$E$20="",0,Vendedor5!$E$20)</f>
        <v>0</v>
      </c>
      <c r="H8" s="133">
        <f t="shared" si="1"/>
        <v>30950</v>
      </c>
      <c r="I8" s="147">
        <f>MROUND(H8*Vendedor5!J$11,50)</f>
        <v>3700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4"/>
      <c r="N8" s="133">
        <f t="shared" si="0"/>
        <v>27250</v>
      </c>
    </row>
    <row r="9" spans="1:14" x14ac:dyDescent="0.35">
      <c r="A9" s="202">
        <v>6</v>
      </c>
      <c r="B9" s="195" t="str">
        <f>Vendedor6!$B$2</f>
        <v>Vendedor 06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18200</v>
      </c>
      <c r="D10" s="30">
        <f>IF(Vendedor7!$E$19="",0,Vendedor7!$E$19)</f>
        <v>0</v>
      </c>
      <c r="E10" s="179">
        <f>IF(Vendedor7!$C$20="",0,Vendedor7!$C$20)</f>
        <v>15350</v>
      </c>
      <c r="F10" s="30">
        <f>IF(Vendedor7!$E$20="",0,Vendedor7!$E$20)</f>
        <v>300</v>
      </c>
      <c r="H10" s="42">
        <f t="shared" si="1"/>
        <v>33550</v>
      </c>
      <c r="I10" s="41">
        <f>MROUND(H10*Vendedor7!J$14,50)</f>
        <v>4050</v>
      </c>
      <c r="J10" s="42">
        <f t="shared" si="2"/>
        <v>300</v>
      </c>
      <c r="K10" s="42">
        <f t="shared" si="3"/>
        <v>25500</v>
      </c>
      <c r="L10" s="42">
        <f>Vendedor7!$F$19+Vendedor7!$F$20</f>
        <v>25500</v>
      </c>
      <c r="N10" s="42">
        <f t="shared" si="0"/>
        <v>4000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60500</v>
      </c>
      <c r="D12" s="30">
        <f>IF(Vendedor9!$E$19="",0,Vendedor9!$E$19)</f>
        <v>450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60500</v>
      </c>
      <c r="I12" s="147">
        <f>MROUND(H12*Vendedor9!J$11,50)</f>
        <v>7250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4"/>
      <c r="N12" s="133">
        <f t="shared" si="0"/>
        <v>15000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7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109150</v>
      </c>
      <c r="D32" s="44">
        <f>SUM(D4:D31)</f>
        <v>450</v>
      </c>
      <c r="E32" s="43">
        <f>SUM(E4:E31)</f>
        <v>24500</v>
      </c>
      <c r="F32" s="44">
        <f>SUM(F4:F31)</f>
        <v>300</v>
      </c>
      <c r="H32" s="95">
        <f>SUM(H4:H31)</f>
        <v>133650</v>
      </c>
      <c r="I32" s="45">
        <f>SUM(I7:I31)</f>
        <v>15000</v>
      </c>
      <c r="J32" s="95"/>
      <c r="K32" s="95">
        <f>SUM(K4:K31)</f>
        <v>63750</v>
      </c>
      <c r="L32" s="95">
        <f>SUM(L4:L31)</f>
        <v>63750</v>
      </c>
      <c r="N32" s="79">
        <f>SUM(N4:N31)</f>
        <v>53750</v>
      </c>
    </row>
    <row r="33" spans="3:6" x14ac:dyDescent="0.35">
      <c r="D33" s="99">
        <f>+D32*85</f>
        <v>38250</v>
      </c>
      <c r="F33" s="99">
        <f>+F32*85</f>
        <v>25500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133650</v>
      </c>
      <c r="E36" s="43">
        <f>+D36-H4-H5-H6</f>
        <v>125000</v>
      </c>
    </row>
    <row r="37" spans="3:6" x14ac:dyDescent="0.35">
      <c r="C37" s="47" t="s">
        <v>33</v>
      </c>
      <c r="D37" s="48">
        <f>D36*13%</f>
        <v>17374.5</v>
      </c>
      <c r="E37">
        <f>+D37-I4-I5-I6</f>
        <v>16224.5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52525.5</v>
      </c>
      <c r="F39" s="98">
        <f>+N32-D39</f>
        <v>1224.5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52525.5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26</v>
      </c>
      <c r="D2" s="267"/>
      <c r="E2" s="266" t="str">
        <f>DigitaHONDURAS!E2</f>
        <v>07</v>
      </c>
      <c r="F2" s="267"/>
      <c r="G2" s="266">
        <f>DigitaHONDURAS!G2</f>
        <v>46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Vendedor 06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9750</v>
      </c>
      <c r="D10" s="30">
        <f>IF(Vendedor7!$E$21="",0,Vendedor7!$E$21)</f>
        <v>0</v>
      </c>
      <c r="E10" s="179">
        <f>IF(Vendedor7!$C$22="",0,Vendedor7!$C$22)</f>
        <v>9450</v>
      </c>
      <c r="F10" s="30">
        <f>IF(Vendedor7!$E$22="",0,Vendedor7!$E$22)</f>
        <v>250</v>
      </c>
      <c r="G10" s="179">
        <f>IF(Vendedor7!$C$23="",0,Vendedor7!$C$23)</f>
        <v>6500</v>
      </c>
      <c r="H10" s="30">
        <f>IF(Vendedor7!$E$23="",0,Vendedor7!$E$23)</f>
        <v>0</v>
      </c>
      <c r="J10" s="42">
        <f t="shared" si="0"/>
        <v>25700</v>
      </c>
      <c r="K10" s="41">
        <f>MROUND(J10*Vendedor7!J$14,50)</f>
        <v>3100</v>
      </c>
      <c r="L10" s="42">
        <f t="shared" si="1"/>
        <v>250</v>
      </c>
      <c r="M10" s="42">
        <f t="shared" si="3"/>
        <v>21250</v>
      </c>
      <c r="N10" s="42">
        <f>Vendedor7!$F$21+Vendedor7!$F$22+Vendedor7!$F$23</f>
        <v>21250</v>
      </c>
      <c r="P10" s="42">
        <f t="shared" si="2"/>
        <v>1350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9750</v>
      </c>
      <c r="D32" s="44">
        <f t="shared" si="8"/>
        <v>0</v>
      </c>
      <c r="E32" s="43">
        <f t="shared" si="8"/>
        <v>9450</v>
      </c>
      <c r="F32" s="44">
        <f t="shared" si="8"/>
        <v>250</v>
      </c>
      <c r="G32" s="43">
        <f t="shared" si="8"/>
        <v>6500</v>
      </c>
      <c r="H32" s="44">
        <f t="shared" si="8"/>
        <v>0</v>
      </c>
      <c r="J32" s="95">
        <f>SUM(J4:J31)</f>
        <v>25700</v>
      </c>
      <c r="K32" s="45">
        <f>SUM(K7:K31)</f>
        <v>3100</v>
      </c>
      <c r="L32" s="95"/>
      <c r="M32" s="95">
        <f>SUM(M4:M31)</f>
        <v>21250</v>
      </c>
      <c r="N32" s="95">
        <f>SUM(N4:N31)</f>
        <v>21250</v>
      </c>
      <c r="P32" s="79">
        <f>SUM(P4:P31)</f>
        <v>1350</v>
      </c>
    </row>
    <row r="33" spans="3:8" x14ac:dyDescent="0.35">
      <c r="D33" s="99">
        <f>+D32*85</f>
        <v>0</v>
      </c>
      <c r="F33" s="99">
        <f>+F32*85</f>
        <v>21250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25700</v>
      </c>
      <c r="E36" s="43">
        <f>+D36-J4-J5-J6</f>
        <v>25700</v>
      </c>
    </row>
    <row r="37" spans="3:8" x14ac:dyDescent="0.35">
      <c r="C37" s="47" t="s">
        <v>33</v>
      </c>
      <c r="D37" s="48">
        <f>D36*13%</f>
        <v>3341</v>
      </c>
      <c r="E37">
        <f>+D37-K4-K5-K6</f>
        <v>3341</v>
      </c>
    </row>
    <row r="38" spans="3:8" ht="15" thickBot="1" x14ac:dyDescent="0.4">
      <c r="C38" s="47" t="s">
        <v>30</v>
      </c>
      <c r="D38" s="30">
        <f>SUM(M4:M27)</f>
        <v>21250</v>
      </c>
      <c r="G38" s="100"/>
    </row>
    <row r="39" spans="3:8" ht="15" thickBot="1" x14ac:dyDescent="0.4">
      <c r="C39" s="49" t="s">
        <v>4</v>
      </c>
      <c r="D39" s="80">
        <f>+D36-D37-D38</f>
        <v>1109</v>
      </c>
      <c r="F39" s="98">
        <f>+P32-D39</f>
        <v>241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1109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04</v>
      </c>
      <c r="D2" s="267"/>
      <c r="E2" s="266">
        <f>DigitaDOMINICANA!E2</f>
        <v>31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Vendedor 06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54000</v>
      </c>
      <c r="D10" s="30">
        <f>IF(Vendedor7!$E$24="",0,Vendedor7!$E$24)</f>
        <v>0</v>
      </c>
      <c r="E10" s="179">
        <f>IF(Vendedor7!$C$25="",0,Vendedor7!$C$25)</f>
        <v>56000</v>
      </c>
      <c r="F10" s="30">
        <f>IF(Vendedor7!$E$25="",0,Vendedor7!$E$25)</f>
        <v>0</v>
      </c>
      <c r="H10" s="42">
        <f t="shared" si="1"/>
        <v>110000</v>
      </c>
      <c r="I10" s="41">
        <f>MROUND(H10*Vendedor7!J$14,50)</f>
        <v>13200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96800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54000</v>
      </c>
      <c r="D32" s="44">
        <f>SUM(D4:D31)</f>
        <v>0</v>
      </c>
      <c r="E32" s="43">
        <f>SUM(E4:E31)</f>
        <v>56000</v>
      </c>
      <c r="F32" s="44">
        <f>SUM(F4:F31)</f>
        <v>0</v>
      </c>
      <c r="H32" s="95">
        <f>SUM(H4:H31)</f>
        <v>110000</v>
      </c>
      <c r="I32" s="45">
        <f>SUM(I7:I31)</f>
        <v>13200</v>
      </c>
      <c r="J32" s="95"/>
      <c r="K32" s="95">
        <f>SUM(K4:K31)</f>
        <v>0</v>
      </c>
      <c r="L32" s="95">
        <f>SUM(L4:L31)</f>
        <v>0</v>
      </c>
      <c r="N32" s="79">
        <f>SUM(N4:N31)</f>
        <v>96800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110000</v>
      </c>
      <c r="E36" s="43">
        <f>+D36-H4-H5-H6</f>
        <v>110000</v>
      </c>
    </row>
    <row r="37" spans="3:6" x14ac:dyDescent="0.35">
      <c r="C37" s="47" t="s">
        <v>33</v>
      </c>
      <c r="D37" s="48">
        <f>D36*13%</f>
        <v>14300</v>
      </c>
      <c r="E37">
        <f>+D37-I4-I5-I6</f>
        <v>14300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95700</v>
      </c>
      <c r="F39" s="98">
        <f>+N32-D39</f>
        <v>1100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95700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 t="str">
        <f>DigitaPANAMENA!C2</f>
        <v/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Vendedor 06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5" t="str">
        <f ca="1">CONCATENATE("Cuentas ALI ",TEXT('Ctas Banca'!I5,"dd-mm-yyyy"))</f>
        <v>Cuentas ALI 06-08-2026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536500</v>
      </c>
      <c r="C4" s="156">
        <f>HojaNICA!M32</f>
        <v>64400</v>
      </c>
      <c r="D4" s="149">
        <f>HojaNICA!E37</f>
        <v>69735</v>
      </c>
      <c r="E4" s="149">
        <f>HojaNICA!P32</f>
        <v>288250</v>
      </c>
      <c r="F4" s="149">
        <f>HojaNICA!O32</f>
        <v>301750</v>
      </c>
      <c r="G4" s="150">
        <f t="shared" ref="G4:G10" si="0">+D4-C4+F4-E4</f>
        <v>18835</v>
      </c>
      <c r="H4" s="21"/>
      <c r="I4" s="181"/>
    </row>
    <row r="5" spans="1:9" x14ac:dyDescent="0.35">
      <c r="A5" s="28" t="s">
        <v>19</v>
      </c>
      <c r="B5" s="155">
        <f>HojaTICA!$E$36</f>
        <v>820850</v>
      </c>
      <c r="C5" s="156">
        <f>HojaTICA!K32</f>
        <v>101450</v>
      </c>
      <c r="D5" s="149">
        <f>HojaTICA!E37</f>
        <v>106744</v>
      </c>
      <c r="E5" s="149">
        <f>HojaTICA!N32</f>
        <v>1081750</v>
      </c>
      <c r="F5" s="149">
        <f>HojaTICA!D38</f>
        <v>1088000</v>
      </c>
      <c r="G5" s="150">
        <f t="shared" si="0"/>
        <v>11544</v>
      </c>
      <c r="H5" s="21"/>
      <c r="I5" s="181"/>
    </row>
    <row r="6" spans="1:9" x14ac:dyDescent="0.35">
      <c r="A6" s="28" t="s">
        <v>125</v>
      </c>
      <c r="B6" s="155">
        <f>HojaREVENTADO!$E$37</f>
        <v>41800</v>
      </c>
      <c r="C6" s="156">
        <f>HojaREVENTADO!K33</f>
        <v>4180</v>
      </c>
      <c r="D6" s="149">
        <f>HojaREVENTADO!E38</f>
        <v>4180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x14ac:dyDescent="0.35">
      <c r="A7" s="28" t="s">
        <v>96</v>
      </c>
      <c r="B7" s="155">
        <f>HojaPrimera!$E$36</f>
        <v>125000</v>
      </c>
      <c r="C7" s="156">
        <f>HojaPrimera!I32</f>
        <v>15000</v>
      </c>
      <c r="D7" s="149">
        <f>HojaPrimera!E37</f>
        <v>16224.5</v>
      </c>
      <c r="E7" s="149">
        <f>HojaPrimera!L32</f>
        <v>63750</v>
      </c>
      <c r="F7" s="149">
        <f>HojaPrimera!K32</f>
        <v>63750</v>
      </c>
      <c r="G7" s="150">
        <f t="shared" si="0"/>
        <v>1224.5</v>
      </c>
      <c r="H7" s="21"/>
      <c r="I7" s="21"/>
    </row>
    <row r="8" spans="1:9" x14ac:dyDescent="0.35">
      <c r="A8" s="28" t="s">
        <v>104</v>
      </c>
      <c r="B8" s="155">
        <f>HojaHonduras!$E$36</f>
        <v>25700</v>
      </c>
      <c r="C8" s="156">
        <f>HojaHonduras!K32</f>
        <v>3100</v>
      </c>
      <c r="D8" s="149">
        <f>HojaHonduras!E37</f>
        <v>3341</v>
      </c>
      <c r="E8" s="149">
        <f>HojaHonduras!N32</f>
        <v>21250</v>
      </c>
      <c r="F8" s="149">
        <f>HojaHonduras!M32</f>
        <v>21250</v>
      </c>
      <c r="G8" s="150">
        <f t="shared" si="0"/>
        <v>241</v>
      </c>
      <c r="H8" s="21"/>
      <c r="I8" s="21"/>
    </row>
    <row r="9" spans="1:9" x14ac:dyDescent="0.35">
      <c r="A9" s="28" t="s">
        <v>20</v>
      </c>
      <c r="B9" s="155">
        <f>HojaDominicana!$E$36</f>
        <v>110000</v>
      </c>
      <c r="C9" s="156">
        <f>HojaDominicana!I32</f>
        <v>13200</v>
      </c>
      <c r="D9" s="149">
        <f>HojaDominicana!E37</f>
        <v>14300</v>
      </c>
      <c r="E9" s="149">
        <f>HojaDominicana!L32</f>
        <v>0</v>
      </c>
      <c r="F9" s="149">
        <f>HojaDominicana!K32</f>
        <v>0</v>
      </c>
      <c r="G9" s="150">
        <f t="shared" si="0"/>
        <v>1100</v>
      </c>
      <c r="H9" s="21"/>
      <c r="I9" s="21"/>
    </row>
    <row r="10" spans="1:9" ht="15" thickBot="1" x14ac:dyDescent="0.4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" thickBot="1" x14ac:dyDescent="0.5">
      <c r="A11" s="173" t="s">
        <v>32</v>
      </c>
      <c r="B11" s="174">
        <f>SUM(B4:B10)</f>
        <v>1659850</v>
      </c>
      <c r="C11" s="174">
        <f>SUM(C4:C10)</f>
        <v>201330</v>
      </c>
      <c r="D11" s="174">
        <f t="shared" ref="D11:F11" si="1">SUM(D4:D10)</f>
        <v>214524.5</v>
      </c>
      <c r="E11" s="174">
        <f t="shared" si="1"/>
        <v>1455000</v>
      </c>
      <c r="F11" s="174">
        <f t="shared" si="1"/>
        <v>1474750</v>
      </c>
      <c r="G11" s="175">
        <f>SUM(G4:G10)</f>
        <v>32944.5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-2055.5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279950</v>
      </c>
      <c r="E16" s="156">
        <f>+Vendedor1!D21</f>
        <v>36393.5</v>
      </c>
      <c r="F16" s="157">
        <f>IF(D16&lt;&gt;0,15000,0)</f>
        <v>15000</v>
      </c>
      <c r="G16" s="150">
        <f>+E16-F16</f>
        <v>21393.5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214650</v>
      </c>
      <c r="E17" s="156">
        <f>+Vendedor2!D21</f>
        <v>27904.5</v>
      </c>
      <c r="F17" s="157">
        <f>IF(D17&lt;&gt;0,15000,0)</f>
        <v>15000</v>
      </c>
      <c r="G17" s="150">
        <f>+E17-F17</f>
        <v>12904.5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494600</v>
      </c>
      <c r="E19" s="158">
        <f>SUM(E16:E18)</f>
        <v>64298</v>
      </c>
      <c r="F19" s="159">
        <f>SUM(F16:F18)</f>
        <v>30000</v>
      </c>
      <c r="G19" s="160">
        <f>SUM(G16:G18)</f>
        <v>34298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32242.5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7" t="str">
        <f ca="1">CONCATENATE("Tiempos Pana ",TEXT(I5,"dd-mm-yyyy"))</f>
        <v>Tiempos Pana 06-08-2026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584500</v>
      </c>
      <c r="C5" s="149">
        <f>HojaNICA!D37</f>
        <v>75985</v>
      </c>
      <c r="D5" s="149">
        <f>HojaNICA!D38</f>
        <v>301750</v>
      </c>
      <c r="E5" s="149"/>
      <c r="F5" s="150">
        <f>+B5-C5-D5+E5</f>
        <v>206765</v>
      </c>
      <c r="H5" s="248" t="s">
        <v>105</v>
      </c>
      <c r="I5" s="242">
        <f ca="1">TODAY()-2</f>
        <v>46240</v>
      </c>
      <c r="O5" s="119"/>
    </row>
    <row r="6" spans="1:15" ht="15" thickBot="1" x14ac:dyDescent="0.4">
      <c r="A6" s="47" t="s">
        <v>36</v>
      </c>
      <c r="B6" s="149">
        <f>HojaTICA!D36</f>
        <v>1258800</v>
      </c>
      <c r="C6" s="149">
        <f>HojaTICA!D37</f>
        <v>163644</v>
      </c>
      <c r="D6" s="149">
        <f>HojaTICA!D38</f>
        <v>1088000</v>
      </c>
      <c r="E6" s="149"/>
      <c r="F6" s="150">
        <f t="shared" ref="F6:F11" si="0">+B6-C6-D6+E6</f>
        <v>7156</v>
      </c>
      <c r="H6" s="255">
        <v>-196000</v>
      </c>
    </row>
    <row r="7" spans="1:15" ht="15" thickBot="1" x14ac:dyDescent="0.4">
      <c r="A7" s="47" t="s">
        <v>38</v>
      </c>
      <c r="B7" s="149">
        <f>HojaREVENTADO!D37</f>
        <v>41800</v>
      </c>
      <c r="C7" s="149">
        <f>HojaREVENTADO!D38</f>
        <v>4180</v>
      </c>
      <c r="D7" s="149">
        <f>HojaREVENTADO!D39</f>
        <v>0</v>
      </c>
      <c r="E7" s="149"/>
      <c r="F7" s="150">
        <f t="shared" si="0"/>
        <v>37620</v>
      </c>
    </row>
    <row r="8" spans="1:15" x14ac:dyDescent="0.35">
      <c r="A8" s="47" t="s">
        <v>96</v>
      </c>
      <c r="B8" s="149">
        <f>HojaPrimera!$D36</f>
        <v>133650</v>
      </c>
      <c r="C8" s="149">
        <f>HojaPrimera!$D37</f>
        <v>17374.5</v>
      </c>
      <c r="D8" s="149">
        <f>HojaPrimera!$D38</f>
        <v>63750</v>
      </c>
      <c r="E8" s="149"/>
      <c r="F8" s="150">
        <f t="shared" si="0"/>
        <v>52525.5</v>
      </c>
      <c r="H8" s="248" t="s">
        <v>149</v>
      </c>
    </row>
    <row r="9" spans="1:15" ht="15" thickBot="1" x14ac:dyDescent="0.4">
      <c r="A9" s="47" t="s">
        <v>104</v>
      </c>
      <c r="B9" s="149">
        <f>HojaHonduras!$D36</f>
        <v>25700</v>
      </c>
      <c r="C9" s="149">
        <f>HojaHonduras!$D37</f>
        <v>3341</v>
      </c>
      <c r="D9" s="149">
        <f>HojaHonduras!$D38</f>
        <v>21250</v>
      </c>
      <c r="E9" s="149"/>
      <c r="F9" s="150">
        <f t="shared" si="0"/>
        <v>1109</v>
      </c>
      <c r="H9" s="249">
        <f>+K12-K10-H6</f>
        <v>400875.5</v>
      </c>
    </row>
    <row r="10" spans="1:15" ht="15" thickBot="1" x14ac:dyDescent="0.4">
      <c r="A10" s="47" t="s">
        <v>20</v>
      </c>
      <c r="B10" s="149">
        <f>HojaDominicana!$D36</f>
        <v>110000</v>
      </c>
      <c r="C10" s="149">
        <f>HojaDominicana!$D37</f>
        <v>14300</v>
      </c>
      <c r="D10" s="149">
        <f>HojaDominicana!$D38</f>
        <v>0</v>
      </c>
      <c r="E10" s="149"/>
      <c r="F10" s="150">
        <f t="shared" si="0"/>
        <v>95700</v>
      </c>
      <c r="H10" s="153"/>
      <c r="J10" t="s">
        <v>147</v>
      </c>
      <c r="K10" s="251">
        <v>4487208.5</v>
      </c>
    </row>
    <row r="11" spans="1:15" ht="15" thickBot="1" x14ac:dyDescent="0.4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150</v>
      </c>
      <c r="J11" t="s">
        <v>154</v>
      </c>
      <c r="K11" s="252">
        <f>+K10+F12+H6</f>
        <v>4692084</v>
      </c>
    </row>
    <row r="12" spans="1:15" ht="16" thickBot="1" x14ac:dyDescent="0.4">
      <c r="A12" s="143" t="s">
        <v>5</v>
      </c>
      <c r="B12" s="151">
        <f>SUM(B5:B11)</f>
        <v>2154450</v>
      </c>
      <c r="C12" s="151">
        <f>SUM(C5:C11)</f>
        <v>278824.5</v>
      </c>
      <c r="D12" s="151">
        <f>SUM(D5:D11)</f>
        <v>1474750</v>
      </c>
      <c r="E12" s="151"/>
      <c r="F12" s="254">
        <f>SUM(F5:F11)</f>
        <v>400875.5</v>
      </c>
      <c r="H12" s="250">
        <f>K12</f>
        <v>4692084</v>
      </c>
      <c r="J12" t="s">
        <v>140</v>
      </c>
      <c r="K12" s="253">
        <f>-2068720.07+201261.59+3897719.5+2661822.98</f>
        <v>4692084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243600</v>
      </c>
      <c r="K4" s="230">
        <f t="shared" ref="K4" si="0">D7+D11+D15</f>
        <v>31668</v>
      </c>
      <c r="L4" s="219">
        <f>F7+F11+F15</f>
        <v>80750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IF(DigitaNICA!C4&lt;&gt;"",DigitaNICA!C4,"")</f>
        <v>15650</v>
      </c>
      <c r="D5" s="42">
        <f>IF(C5="",0,C5*J$10)</f>
        <v>2034.5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5615.5</v>
      </c>
      <c r="I5" s="240" t="s">
        <v>37</v>
      </c>
      <c r="J5" s="220">
        <f>SUM(IF(C5="",0,C5),IF(C9="",0,C9),IF(C13="",0,C13),IF(C17="",0,C17))</f>
        <v>29500</v>
      </c>
      <c r="K5" s="224">
        <f t="shared" ref="K5" si="2">D5+D9+D13+D17</f>
        <v>3835</v>
      </c>
      <c r="L5" s="221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6850</v>
      </c>
      <c r="K6" s="227">
        <f>D19+D20</f>
        <v>890.5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>
        <f>IF(DigitaTICA!C4&lt;&gt;"",DigitaTICA!C4,"")</f>
        <v>82350</v>
      </c>
      <c r="D7" s="42">
        <f>IF(C7="",0,C7*J$9)</f>
        <v>10705.5</v>
      </c>
      <c r="E7" s="29">
        <f>IF(DigitaTICA!D4&lt;&gt;"",DigitaTICA!D4,"")</f>
        <v>350</v>
      </c>
      <c r="F7" s="42">
        <f>IF(E7="",0,E7*PREMIOS!F7)</f>
        <v>29750</v>
      </c>
      <c r="G7" s="30">
        <f t="shared" si="1"/>
        <v>41894.5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IF(DigitaNICA!E4&lt;&gt;"",DigitaNICA!E4,"")</f>
        <v>9150</v>
      </c>
      <c r="D9" s="42">
        <f>IF(C9="",0,C9*J$10)</f>
        <v>1189.5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7960.5</v>
      </c>
      <c r="I9" s="76" t="s">
        <v>36</v>
      </c>
      <c r="J9" s="77">
        <v>0.13</v>
      </c>
      <c r="K9" s="78">
        <f>MROUND(D7+D11+D15,50)</f>
        <v>31650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3850</v>
      </c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IF(DigitaTICA!E4&lt;&gt;"",DigitaTICA!E4,"")</f>
        <v>56250</v>
      </c>
      <c r="D11" s="42">
        <f>IF(C11="",0,C11*J$9)</f>
        <v>7312.5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27687.5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900</v>
      </c>
    </row>
    <row r="13" spans="1:12" x14ac:dyDescent="0.35">
      <c r="A13" s="28" t="s">
        <v>50</v>
      </c>
      <c r="B13" s="132">
        <f>IF(DigitaNICA!G2&lt;&gt;"",DigitaNICA!G2,"")</f>
        <v>94</v>
      </c>
      <c r="C13" s="29">
        <f>IF(DigitaNICA!G4&lt;&gt;"",DigitaNICA!G4,"")</f>
        <v>2600</v>
      </c>
      <c r="D13" s="42">
        <f>IF(C13="",0,C13*J$10)</f>
        <v>338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2262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IF(DigitaTICA!G4&lt;&gt;"",DigitaTICA!G4,"")</f>
        <v>105000</v>
      </c>
      <c r="D15" s="42">
        <f>IF(C15="",0,C15*J$9)</f>
        <v>13650</v>
      </c>
      <c r="E15" s="29">
        <f>IF(DigitaTICA!H4&lt;&gt;"",DigitaTICA!H4,"")</f>
        <v>350</v>
      </c>
      <c r="F15" s="42">
        <f>IF(E15="",0,E15*PREMIOS!F15)</f>
        <v>29750</v>
      </c>
      <c r="G15" s="30">
        <f t="shared" si="3"/>
        <v>61600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IF(DigitaNICA!I4&lt;&gt;"",DigitaNICA!I4,"")</f>
        <v>2100</v>
      </c>
      <c r="D17" s="42">
        <f>IF(C17="",0,C17*J$10)</f>
        <v>273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1827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IF(DigitaPRIMERA!C4&lt;&gt;"",DigitaPRIMERA!C4,"")</f>
        <v>6350</v>
      </c>
      <c r="D19" s="42">
        <f>IF(C19="",0,C19*J$12)</f>
        <v>825.5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5524.5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>
        <f>IF(DigitaPRIMERA!E4&lt;&gt;"",DigitaPRIMERA!E4,"")</f>
        <v>500</v>
      </c>
      <c r="D20" s="42">
        <f>IF(C20="",0,C20*J$12)</f>
        <v>65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435</v>
      </c>
    </row>
    <row r="21" spans="1:7" ht="15" thickBot="1" x14ac:dyDescent="0.4">
      <c r="A21" s="121" t="s">
        <v>5</v>
      </c>
      <c r="B21" s="128"/>
      <c r="C21" s="122">
        <f>SUM(C5:C20)</f>
        <v>279950</v>
      </c>
      <c r="D21" s="122">
        <f t="shared" ref="D21:G21" si="6">SUM(D5:D20)</f>
        <v>36393.5</v>
      </c>
      <c r="E21" s="122">
        <f t="shared" si="6"/>
        <v>1050</v>
      </c>
      <c r="F21" s="122">
        <f t="shared" si="6"/>
        <v>88750</v>
      </c>
      <c r="G21" s="123">
        <f t="shared" si="6"/>
        <v>154806.5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194350</v>
      </c>
      <c r="K4" s="230">
        <f t="shared" ref="K4" si="0">D7+D11+D15</f>
        <v>25265.5</v>
      </c>
      <c r="L4" s="219">
        <f>F7+F11+F15</f>
        <v>42500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IF(DigitaNICA!C5&lt;&gt;"",DigitaNICA!C5,"")</f>
        <v>15800</v>
      </c>
      <c r="D5" s="42">
        <f>IF(C5="",0,C5*J$10)</f>
        <v>2054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13746</v>
      </c>
      <c r="I5" s="240" t="s">
        <v>37</v>
      </c>
      <c r="J5" s="220">
        <f>SUM(IF(C5="",0,C5),IF(C9="",0,C9),IF(C13="",0,C13),IF(C17="",0,C17))</f>
        <v>18500</v>
      </c>
      <c r="K5" s="224">
        <f t="shared" ref="K5" si="2">D5+D9+D13+D17</f>
        <v>2405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1800</v>
      </c>
      <c r="K6" s="227">
        <f>D19+D20</f>
        <v>234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>
        <f>IF(DigitaTICA!C5&lt;&gt;"",DigitaTICA!C5,"")</f>
        <v>78900</v>
      </c>
      <c r="D7" s="42">
        <f>IF(C7="",0,C7*J$9)</f>
        <v>10257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47393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25250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2400</v>
      </c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IF(DigitaTICA!E5&lt;&gt;"",DigitaTICA!E5,"")</f>
        <v>28600</v>
      </c>
      <c r="D11" s="42">
        <f>IF(C11="",0,C11*J$9)</f>
        <v>3718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3632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2">
        <f>IF(DigitaNICA!G2&lt;&gt;"",DigitaNICA!G2,"")</f>
        <v>94</v>
      </c>
      <c r="C13" s="29">
        <f>IF(DigitaNICA!G5&lt;&gt;"",DigitaNICA!G5,"")</f>
        <v>1000</v>
      </c>
      <c r="D13" s="42">
        <f>IF(C13="",0,C13*J$10)</f>
        <v>130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870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IF(DigitaTICA!G5&lt;&gt;"",DigitaTICA!G5,"")</f>
        <v>86850</v>
      </c>
      <c r="D15" s="42">
        <f>IF(C15="",0,C15*J$9)</f>
        <v>11290.5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75559.5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IF(DigitaNICA!I5&lt;&gt;"",DigitaNICA!I5,"")</f>
        <v>1700</v>
      </c>
      <c r="D17" s="42">
        <f>IF(C17="",0,C17*J$10)</f>
        <v>221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1479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IF(DigitaPRIMERA!C5&lt;&gt;"",DigitaPRIMERA!C5,"")</f>
        <v>1800</v>
      </c>
      <c r="D19" s="42">
        <f>IF(C19="",0,C19*J$12)</f>
        <v>234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1566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214650</v>
      </c>
      <c r="D21" s="68">
        <f t="shared" ref="D21:G21" si="4">SUM(D5:D20)</f>
        <v>27904.5</v>
      </c>
      <c r="E21" s="68">
        <f t="shared" si="4"/>
        <v>500</v>
      </c>
      <c r="F21" s="68">
        <f t="shared" si="4"/>
        <v>42500</v>
      </c>
      <c r="G21" s="88">
        <f t="shared" si="4"/>
        <v>144245.5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148</v>
      </c>
      <c r="C2" s="279"/>
      <c r="D2" s="280"/>
      <c r="J2" s="21" t="s">
        <v>148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94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5000</v>
      </c>
      <c r="K4" s="230">
        <f t="shared" ref="K4" si="0">D7+D11+D15</f>
        <v>600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94">
        <f>IF(DigitaTICA!G7&lt;&gt;"",DigitaTICA!G7,"")</f>
        <v>5000</v>
      </c>
      <c r="D15" s="112">
        <f>IF(C15="",0,C15*J$9)</f>
        <v>600</v>
      </c>
      <c r="E15" s="113">
        <f>IF(DigitaTICA!H7&lt;&gt;"",DigitaTICA!H7,"")</f>
        <v>0</v>
      </c>
      <c r="F15" s="112">
        <f>IF(E15="",0,E15*PREMIOS!F15)</f>
        <v>0</v>
      </c>
      <c r="G15" s="114">
        <f t="shared" si="4"/>
        <v>4400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5000</v>
      </c>
      <c r="D19" s="68">
        <f>SUM(D5:D18)</f>
        <v>600</v>
      </c>
      <c r="E19" s="68">
        <f>SUM(E5:E18)</f>
        <v>0</v>
      </c>
      <c r="F19" s="68">
        <f>SUM(F5:F18)</f>
        <v>0</v>
      </c>
      <c r="G19" s="88">
        <f>SUM(G5:G18)</f>
        <v>4400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193000</v>
      </c>
      <c r="K4" s="230">
        <f t="shared" ref="K4" si="0">D7+D11+D15</f>
        <v>23160</v>
      </c>
      <c r="L4" s="219">
        <f>F7+F11+F15</f>
        <v>348500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IF(DigitaNICA!C8&lt;&gt;"",DigitaNICA!C8,"")</f>
        <v>71350</v>
      </c>
      <c r="D5" s="42">
        <f>IF(C5="",0,C5*J$12)</f>
        <v>8562</v>
      </c>
      <c r="E5" s="29">
        <f>IF(DigitaNICA!D8&lt;&gt;"",DigitaNICA!D8,"")</f>
        <v>1100</v>
      </c>
      <c r="F5" s="42">
        <f>IF(E5="",0,E5*PREMIOS!E5)</f>
        <v>88000</v>
      </c>
      <c r="G5" s="30">
        <f t="shared" ref="G5:G12" si="1">IF(OR(C5="",E5=""),0,C5-D5-F5)</f>
        <v>-25212</v>
      </c>
      <c r="I5" s="240" t="s">
        <v>37</v>
      </c>
      <c r="J5" s="220">
        <f>SUM(IF(C5="",0,C5),IF(C9="",0,C9),IF(C13="",0,C13),IF(C17="",0,C17))</f>
        <v>169150</v>
      </c>
      <c r="K5" s="224">
        <f t="shared" ref="K5" si="2">D5+D9+D13+D17</f>
        <v>20298</v>
      </c>
      <c r="L5" s="221">
        <f>F5+F9+F13+F17</f>
        <v>128000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>
        <f>IF(DigitaTICA!C8&lt;&gt;"",DigitaTICA!C8,"")</f>
        <v>64650</v>
      </c>
      <c r="D7" s="42">
        <f>IF(C7="",0,C7*J$11)</f>
        <v>7758</v>
      </c>
      <c r="E7" s="29">
        <f>IF(DigitaTICA!D8&lt;&gt;"",DigitaTICA!D8,"")</f>
        <v>950</v>
      </c>
      <c r="F7" s="42">
        <f>IF(E7="",0,E7*PREMIOS!F7)</f>
        <v>80750</v>
      </c>
      <c r="G7" s="30">
        <f t="shared" si="1"/>
        <v>-23858</v>
      </c>
      <c r="I7" s="241" t="s">
        <v>96</v>
      </c>
      <c r="J7" s="223">
        <f>SUM(IF(C19="",0,C19),IF(C20="",0,C20))</f>
        <v>30950</v>
      </c>
      <c r="K7" s="227">
        <f>+D19+D20</f>
        <v>3714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IF(DigitaNICA!E8&lt;&gt;"",DigitaNICA!E8,"")</f>
        <v>50350</v>
      </c>
      <c r="D9" s="42">
        <f>IF(C9="",0,C9*J$12)</f>
        <v>6042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44308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IF(DigitaTICA!E8&lt;&gt;"",DigitaTICA!E8,"")</f>
        <v>57600</v>
      </c>
      <c r="D11" s="42">
        <f>IF(C11="",0,C11*J$11)</f>
        <v>6912</v>
      </c>
      <c r="E11" s="29">
        <f>IF(DigitaTICA!F8&lt;&gt;"",DigitaTICA!F8,"")</f>
        <v>2650</v>
      </c>
      <c r="F11" s="42">
        <f>IF(E11="",0,E11*PREMIOS!F11)</f>
        <v>225250</v>
      </c>
      <c r="G11" s="30">
        <f t="shared" si="1"/>
        <v>-174562</v>
      </c>
      <c r="I11" s="60" t="s">
        <v>36</v>
      </c>
      <c r="J11" s="61">
        <v>0.12</v>
      </c>
      <c r="K11" s="62">
        <f>MROUND(D7+D11+D15,50)</f>
        <v>23150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20300</v>
      </c>
    </row>
    <row r="13" spans="1:12" x14ac:dyDescent="0.35">
      <c r="A13" s="28" t="s">
        <v>50</v>
      </c>
      <c r="B13" s="132">
        <f>IF(DigitaNICA!G2&lt;&gt;"",DigitaNICA!G2,"")</f>
        <v>94</v>
      </c>
      <c r="C13" s="29">
        <f>IF(DigitaNICA!G8&lt;&gt;"",DigitaNICA!G8,"")</f>
        <v>4950</v>
      </c>
      <c r="D13" s="42">
        <f>IF(C13="",0,C13*J$12)</f>
        <v>594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4356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3700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IF(DigitaTICA!G8&lt;&gt;"",DigitaTICA!G8,"")</f>
        <v>70750</v>
      </c>
      <c r="D15" s="42">
        <f>IF(C15="",0,C15*J$11)</f>
        <v>8490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19760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IF(DigitaNICA!I8&lt;&gt;"",DigitaNICA!I8,"")</f>
        <v>42500</v>
      </c>
      <c r="D17" s="42">
        <f>IF(C17="",0,C17*J$12)</f>
        <v>5100</v>
      </c>
      <c r="E17" s="29">
        <f>IF(DigitaNICA!J8&lt;&gt;"",DigitaNICA!J8,"")</f>
        <v>500</v>
      </c>
      <c r="F17" s="42">
        <f>IF(E17="",0,E17*PREMIOS!E17)</f>
        <v>40000</v>
      </c>
      <c r="G17" s="30">
        <f t="shared" si="4"/>
        <v>-2600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IF(DigitaPRIMERA!C8&lt;&gt;"",DigitaPRIMERA!C8,"")</f>
        <v>22300</v>
      </c>
      <c r="D19" s="42">
        <f>IF(C19="",0,C19*J$14)</f>
        <v>2676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19624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>
        <f>IF(DigitaPRIMERA!E8&lt;&gt;"",DigitaPRIMERA!E8,"")</f>
        <v>8650</v>
      </c>
      <c r="D20" s="42">
        <f>IF(C20="",0,C20*J$14)</f>
        <v>1038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7612</v>
      </c>
    </row>
    <row r="21" spans="1:7" ht="15" thickBot="1" x14ac:dyDescent="0.4">
      <c r="A21" s="121" t="s">
        <v>5</v>
      </c>
      <c r="B21" s="128"/>
      <c r="C21" s="122">
        <f>SUM(C5:C20)</f>
        <v>393100</v>
      </c>
      <c r="D21" s="122">
        <f t="shared" ref="D21:G21" si="5">SUM(D5:D20)</f>
        <v>47172</v>
      </c>
      <c r="E21" s="122">
        <f t="shared" si="5"/>
        <v>5700</v>
      </c>
      <c r="F21" s="122">
        <f t="shared" si="5"/>
        <v>476500</v>
      </c>
      <c r="G21" s="123">
        <f t="shared" si="5"/>
        <v>-130572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Vendedor 06</v>
      </c>
      <c r="C2" s="279"/>
      <c r="D2" s="280"/>
      <c r="J2" s="21" t="s">
        <v>155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40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240750</v>
      </c>
      <c r="K4" s="230">
        <f t="shared" ref="K4" si="0">D7+D11+D15</f>
        <v>28890</v>
      </c>
      <c r="L4" s="219">
        <f>F7+F11+F15</f>
        <v>165750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IF(DigitaNICA!C10&lt;&gt;"",DigitaNICA!C10,"")</f>
        <v>68400</v>
      </c>
      <c r="D5" s="42">
        <f>IF(C5="",0,C5*J$15)</f>
        <v>8208</v>
      </c>
      <c r="E5" s="29">
        <f>IF(DigitaNICA!D10&lt;&gt;"",DigitaNICA!D10,"")</f>
        <v>250</v>
      </c>
      <c r="F5" s="42">
        <f>IF(E5="",0,E5*PREMIOS!F5)</f>
        <v>21250</v>
      </c>
      <c r="G5" s="30">
        <f t="shared" ref="G5:G12" si="1">IF(OR(C5="",E5=""),0,C5-D5-F5)</f>
        <v>38942</v>
      </c>
      <c r="I5" s="216" t="s">
        <v>37</v>
      </c>
      <c r="J5" s="220">
        <f>SUM(IF(C5="",0,C5),IF(C9="",0,C9),IF(C13="",0,C13),IF(C17="",0,C17))</f>
        <v>222000</v>
      </c>
      <c r="K5" s="224">
        <f t="shared" ref="K5" si="2">D5+D9+D13+D17</f>
        <v>26640</v>
      </c>
      <c r="L5" s="221">
        <f>F5+F9+F13+F17</f>
        <v>29750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36200</v>
      </c>
      <c r="K6" s="225">
        <f t="shared" ref="K6" si="3">+D8+D12+D16</f>
        <v>3620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30</v>
      </c>
      <c r="C7" s="29">
        <f>IF(DigitaTICA!C10&lt;&gt;"",DigitaTICA!C10,"")</f>
        <v>88800</v>
      </c>
      <c r="D7" s="42">
        <f>IF(C7="",0,C7*J$14)</f>
        <v>10656</v>
      </c>
      <c r="E7" s="29">
        <f>IF(DigitaTICA!D10&lt;&gt;"",DigitaTICA!D10,"")</f>
        <v>250</v>
      </c>
      <c r="F7" s="42">
        <f>IF(E7="",0,E7*PREMIOS!F7)</f>
        <v>21250</v>
      </c>
      <c r="G7" s="30">
        <f t="shared" si="1"/>
        <v>56894</v>
      </c>
      <c r="I7" s="216" t="s">
        <v>96</v>
      </c>
      <c r="J7" s="222">
        <f>SUM(IF(C19="",0,C19),IF(C20="",0,C20))</f>
        <v>33550</v>
      </c>
      <c r="K7" s="225">
        <f>+D19+D20</f>
        <v>4026</v>
      </c>
      <c r="L7" s="226">
        <f>+F19+F20</f>
        <v>25500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11800</v>
      </c>
      <c r="D8" s="42">
        <f>IF(C8="",0,C8*J$16)</f>
        <v>1180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10620</v>
      </c>
      <c r="I8" s="216" t="s">
        <v>104</v>
      </c>
      <c r="J8" s="222">
        <f>SUM(IF(C21="",0,C21),IF(C22="",0,C22),IF(C23="",0,C23))</f>
        <v>25700</v>
      </c>
      <c r="K8" s="225">
        <f t="shared" ref="K8" si="4">D21+D22+D23</f>
        <v>3084</v>
      </c>
      <c r="L8" s="226">
        <f>F21+F22+F23</f>
        <v>21250</v>
      </c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IF(DigitaNICA!E10&lt;&gt;"",DigitaNICA!E10,"")</f>
        <v>88900</v>
      </c>
      <c r="D9" s="42">
        <f>IF(C9="",0,C9*J$15)</f>
        <v>10668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69732</v>
      </c>
      <c r="I9" s="216" t="s">
        <v>20</v>
      </c>
      <c r="J9" s="222">
        <f>SUM(IF(C24="",0,C24),IF(C25="",0,C25))</f>
        <v>110000</v>
      </c>
      <c r="K9" s="225">
        <f t="shared" ref="K9" si="5">+D24+D25</f>
        <v>13200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IF(DigitaTICA!E10&lt;&gt;"",DigitaTICA!E10,"")</f>
        <v>86450</v>
      </c>
      <c r="D11" s="42">
        <f>IF(C11="",0,C11*J$14)</f>
        <v>10374</v>
      </c>
      <c r="E11" s="29">
        <f>IF(DigitaTICA!F10&lt;&gt;"",DigitaTICA!F10,"")</f>
        <v>1200</v>
      </c>
      <c r="F11" s="42">
        <f>IF(E11="",0,E11*PREMIOS!F11)</f>
        <v>102000</v>
      </c>
      <c r="G11" s="30">
        <f t="shared" si="1"/>
        <v>-25924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14600</v>
      </c>
      <c r="D12" s="42">
        <f>IF(C12="",0,C12*J$16)</f>
        <v>1460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13140</v>
      </c>
    </row>
    <row r="13" spans="1:12" ht="15" thickBot="1" x14ac:dyDescent="0.4">
      <c r="A13" s="28" t="s">
        <v>50</v>
      </c>
      <c r="B13" s="132">
        <f>IF(DigitaNICA!G2&lt;&gt;"",DigitaNICA!G2,"")</f>
        <v>94</v>
      </c>
      <c r="C13" s="29">
        <f>IF(DigitaNICA!G10&lt;&gt;"",DigitaNICA!G10,"")</f>
        <v>7450</v>
      </c>
      <c r="D13" s="42">
        <f>IF(C13="",0,C13*J$15)</f>
        <v>894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6556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28900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IF(DigitaTICA!G10&lt;&gt;"",DigitaTICA!G10,"")</f>
        <v>65500</v>
      </c>
      <c r="D15" s="42">
        <f>IF(C15="",0,C15*J$14)</f>
        <v>7860</v>
      </c>
      <c r="E15" s="29">
        <f>IF(DigitaTICA!H10&lt;&gt;"",DigitaTICA!H10,"")</f>
        <v>500</v>
      </c>
      <c r="F15" s="42">
        <f>IF(E15="",0,E15*PREMIOS!F15)</f>
        <v>42500</v>
      </c>
      <c r="G15" s="30">
        <f t="shared" si="6"/>
        <v>15140</v>
      </c>
      <c r="I15" s="63" t="s">
        <v>37</v>
      </c>
      <c r="J15" s="64">
        <v>0.12</v>
      </c>
      <c r="K15" s="30">
        <f>MROUND(D5+D9+D13+D17,50)</f>
        <v>26650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9800</v>
      </c>
      <c r="D16" s="42">
        <f>IF(C16="",0,C16*J$16)</f>
        <v>980</v>
      </c>
      <c r="E16" s="29">
        <f>IF(DigitaREVENTADO!H10&lt;&gt;"",DigitaREVENTADO!H10,"")</f>
        <v>500</v>
      </c>
      <c r="F16" s="42">
        <f>IF(E16="",0,E16*PREMIOS!F16)</f>
        <v>0</v>
      </c>
      <c r="G16" s="30">
        <f t="shared" si="6"/>
        <v>8820</v>
      </c>
      <c r="I16" s="63" t="s">
        <v>38</v>
      </c>
      <c r="J16" s="64">
        <v>0.1</v>
      </c>
      <c r="K16" s="30">
        <f>MROUND(D6+D8+D10+D12+D14+D16+D18,50)</f>
        <v>3600</v>
      </c>
    </row>
    <row r="17" spans="1:11" x14ac:dyDescent="0.35">
      <c r="A17" s="28" t="s">
        <v>52</v>
      </c>
      <c r="B17" s="132">
        <f>IF(DigitaNICA!I2&lt;&gt;"",DigitaNICA!I2,"")</f>
        <v>86</v>
      </c>
      <c r="C17" s="29">
        <f>IF(DigitaNICA!I10&lt;&gt;"",DigitaNICA!I10,"")</f>
        <v>57250</v>
      </c>
      <c r="D17" s="42">
        <f>IF(C17="",0,C17*J$15)</f>
        <v>6870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50380</v>
      </c>
      <c r="I17" s="63" t="s">
        <v>96</v>
      </c>
      <c r="J17" s="64">
        <v>0.12</v>
      </c>
      <c r="K17" s="30">
        <f>MROUND(D19+D20,50)</f>
        <v>4050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3100</v>
      </c>
    </row>
    <row r="19" spans="1:11" x14ac:dyDescent="0.35">
      <c r="A19" s="28" t="s">
        <v>97</v>
      </c>
      <c r="B19" s="132">
        <f>IF(DigitaPRIMERA!C2&lt;&gt;"",DigitaPRIMERA!C2,"")</f>
        <v>39</v>
      </c>
      <c r="C19" s="29">
        <f>IF(DigitaPRIMERA!$C$10&lt;&gt;"",DigitaPRIMERA!$C$10,"")</f>
        <v>18200</v>
      </c>
      <c r="D19" s="42">
        <f>IF(C19="",0,C19*J$17)</f>
        <v>2184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16016</v>
      </c>
      <c r="I19" s="63" t="s">
        <v>20</v>
      </c>
      <c r="J19" s="64">
        <v>0.12</v>
      </c>
      <c r="K19" s="30">
        <f>MROUND(D24+D25,50)</f>
        <v>13200</v>
      </c>
    </row>
    <row r="20" spans="1:11" ht="15" thickBot="1" x14ac:dyDescent="0.4">
      <c r="A20" s="28" t="s">
        <v>98</v>
      </c>
      <c r="B20" s="132">
        <f>IF(DigitaPRIMERA!E2&lt;&gt;"",DigitaPRIMERA!E2,"")</f>
        <v>80</v>
      </c>
      <c r="C20" s="29">
        <f>IF(DigitaPRIMERA!$E$10&lt;&gt;"",DigitaPRIMERA!$E$10,"")</f>
        <v>15350</v>
      </c>
      <c r="D20" s="42">
        <f>IF(C20="",0,C20*J$17)</f>
        <v>1842</v>
      </c>
      <c r="E20" s="29">
        <f>IF(DigitaPRIMERA!$F$10&lt;&gt;"",DigitaPRIMERA!$F$10,"")</f>
        <v>300</v>
      </c>
      <c r="F20" s="42">
        <f>IF(E20="",0,E20*PREMIOS!F19)</f>
        <v>25500</v>
      </c>
      <c r="G20" s="30">
        <f t="shared" si="7"/>
        <v>-11992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26</v>
      </c>
      <c r="C21" s="29">
        <f>IF(DigitaHONDURAS!$C$10&lt;&gt;"",DigitaHONDURAS!$C$10,"")</f>
        <v>9750</v>
      </c>
      <c r="D21" s="42">
        <f>IF(C21="",0,C21*J$18)</f>
        <v>1170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8580</v>
      </c>
    </row>
    <row r="22" spans="1:11" x14ac:dyDescent="0.35">
      <c r="A22" s="28" t="s">
        <v>100</v>
      </c>
      <c r="B22" s="132" t="str">
        <f>IF(DigitaHONDURAS!E2&lt;&gt;"",DigitaHONDURAS!E2,"")</f>
        <v>07</v>
      </c>
      <c r="C22" s="29">
        <f>IF(DigitaHONDURAS!$E$10&lt;&gt;"",DigitaHONDURAS!$E$10,"")</f>
        <v>9450</v>
      </c>
      <c r="D22" s="42">
        <f>IF(C22="",0,C22*J$18)</f>
        <v>1134</v>
      </c>
      <c r="E22" s="29">
        <f>IF(DigitaHONDURAS!$F$10&lt;&gt;"",DigitaHONDURAS!$F$10,"")</f>
        <v>250</v>
      </c>
      <c r="F22" s="42">
        <f>IF(E22="",0,E22*PREMIOS!F20)</f>
        <v>21250</v>
      </c>
      <c r="G22" s="30">
        <f t="shared" si="7"/>
        <v>-12934</v>
      </c>
    </row>
    <row r="23" spans="1:11" x14ac:dyDescent="0.35">
      <c r="A23" s="28" t="s">
        <v>101</v>
      </c>
      <c r="B23" s="132">
        <f>IF(DigitaHONDURAS!G2&lt;&gt;"",DigitaHONDURAS!G2,"")</f>
        <v>46</v>
      </c>
      <c r="C23" s="29">
        <f>IF(DigitaHONDURAS!$G$10&lt;&gt;"",DigitaHONDURAS!$G$10,"")</f>
        <v>6500</v>
      </c>
      <c r="D23" s="42">
        <f>IF(C23="",0,C23*J$18)</f>
        <v>780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5720</v>
      </c>
    </row>
    <row r="24" spans="1:11" x14ac:dyDescent="0.35">
      <c r="A24" s="28" t="s">
        <v>107</v>
      </c>
      <c r="B24" s="132" t="str">
        <f>IF(DigitaDOMINICANA!C2&lt;&gt;"",DigitaDOMINICANA!C2,"")</f>
        <v>04</v>
      </c>
      <c r="C24" s="29">
        <f>IF(DigitaDOMINICANA!$C$10&lt;&gt;"",DigitaDOMINICANA!$C$10,"")</f>
        <v>54000</v>
      </c>
      <c r="D24" s="42">
        <f>IF(C24="",0,C24*J$19)</f>
        <v>6480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47520</v>
      </c>
    </row>
    <row r="25" spans="1:11" x14ac:dyDescent="0.35">
      <c r="A25" s="28" t="s">
        <v>108</v>
      </c>
      <c r="B25" s="132">
        <f>IF(DigitaDOMINICANA!E2&lt;&gt;"",DigitaDOMINICANA!E2,"")</f>
        <v>31</v>
      </c>
      <c r="C25" s="29">
        <f>IF(DigitaDOMINICANA!$E$10&lt;&gt;"",DigitaDOMINICANA!$E$10,"")</f>
        <v>56000</v>
      </c>
      <c r="D25" s="42">
        <f>IF(C25="",0,C25*J$19)</f>
        <v>6720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49280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668200</v>
      </c>
      <c r="D27" s="68">
        <f t="shared" ref="D27:F27" si="9">SUM(D5:D26)</f>
        <v>79460</v>
      </c>
      <c r="E27" s="68">
        <f t="shared" si="9"/>
        <v>3350</v>
      </c>
      <c r="F27" s="68">
        <f t="shared" si="9"/>
        <v>242250</v>
      </c>
      <c r="G27" s="88">
        <f>SUM(G5:G26)</f>
        <v>346490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16300</v>
      </c>
      <c r="K4" s="230">
        <f t="shared" ref="K4" si="0">D7+D11+D15</f>
        <v>1956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>
        <f>IF(DigitaTICA!C11&lt;&gt;"",DigitaTICA!C11,"")</f>
        <v>3900</v>
      </c>
      <c r="D7" s="42">
        <f>IF(C7="",0,C7*J$11)</f>
        <v>468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3432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40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1950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IF(DigitaTICA!G11&lt;&gt;"",DigitaTICA!G11,"")</f>
        <v>12400</v>
      </c>
      <c r="D15" s="42">
        <f>IF(C15="",0,C15*J$11)</f>
        <v>1488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10912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16300</v>
      </c>
      <c r="D21" s="122">
        <f t="shared" ref="D21:G21" si="5">SUM(D5:D20)</f>
        <v>1956</v>
      </c>
      <c r="E21" s="122">
        <f t="shared" si="5"/>
        <v>0</v>
      </c>
      <c r="F21" s="122">
        <f t="shared" si="5"/>
        <v>0</v>
      </c>
      <c r="G21" s="123">
        <f t="shared" si="5"/>
        <v>14344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107350</v>
      </c>
      <c r="K4" s="230">
        <f>D7+D11+D15</f>
        <v>12882</v>
      </c>
      <c r="L4" s="219">
        <f>F7+F11+F15</f>
        <v>42500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IF(DigitaNICA!C12&lt;&gt;"",DigitaNICA!C12,"")</f>
        <v>35550</v>
      </c>
      <c r="D5" s="42">
        <f>IF(C5="",0,C5*J$12)</f>
        <v>4266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10034</v>
      </c>
      <c r="I5" s="216" t="s">
        <v>37</v>
      </c>
      <c r="J5" s="220">
        <f>SUM(IF(C5="",0,C5),IF(C9="",0,C9),IF(C13="",0,C13),IF(C17="",0,C17))</f>
        <v>71400</v>
      </c>
      <c r="K5" s="224">
        <f t="shared" ref="K5" si="1">D5+D9+D13+D17</f>
        <v>8568</v>
      </c>
      <c r="L5" s="221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5100</v>
      </c>
      <c r="K6" s="225">
        <f t="shared" ref="K6" si="2">+D8+D12+D16</f>
        <v>510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30</v>
      </c>
      <c r="C7" s="29">
        <f>IF(DigitaTICA!C12&lt;&gt;"",DigitaTICA!C12,"")</f>
        <v>57750</v>
      </c>
      <c r="D7" s="42">
        <f>IF(C7="",0,C7*J$11)</f>
        <v>6930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29570</v>
      </c>
      <c r="I7" s="216" t="s">
        <v>96</v>
      </c>
      <c r="J7" s="222">
        <f>SUM(IF(C19="",0,C19),IF(C20="",0,C20))</f>
        <v>60500</v>
      </c>
      <c r="K7" s="225">
        <f>+D19+D20</f>
        <v>7260</v>
      </c>
      <c r="L7" s="226">
        <f>+F19+F20</f>
        <v>38250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5100</v>
      </c>
      <c r="D8" s="42">
        <f>IF(C8="",0,C8*J$13)</f>
        <v>510</v>
      </c>
      <c r="E8" s="29">
        <f>IF(DigitaREVENTADO!D12&lt;&gt;"",DigitaREVENTADO!D12,"")</f>
        <v>250</v>
      </c>
      <c r="F8" s="42">
        <f>IF(E8="",0,E8*PREMIOS!F8)</f>
        <v>0</v>
      </c>
      <c r="G8" s="30">
        <f t="shared" si="0"/>
        <v>4590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IF(DigitaNICA!E12&lt;&gt;"",DigitaNICA!E12,"")</f>
        <v>35850</v>
      </c>
      <c r="D9" s="42">
        <f>IF(C9="",0,C9*J$12)</f>
        <v>4302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10298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IF(DigitaTICA!E12&lt;&gt;"",DigitaTICA!E12,"")</f>
        <v>23100</v>
      </c>
      <c r="D11" s="42">
        <f>IF(C11="",0,C11*J$11)</f>
        <v>2772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-922</v>
      </c>
      <c r="I11" s="60" t="s">
        <v>36</v>
      </c>
      <c r="J11" s="61">
        <v>0.12</v>
      </c>
      <c r="K11" s="62">
        <f>MROUND(D7+D11+D15,50)</f>
        <v>12900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8550</v>
      </c>
    </row>
    <row r="13" spans="1:12" x14ac:dyDescent="0.35">
      <c r="A13" s="28" t="s">
        <v>50</v>
      </c>
      <c r="B13" s="132">
        <f>IF(DigitaNICA!G2&lt;&gt;"",DigitaNICA!G2,"")</f>
        <v>94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7250</v>
      </c>
    </row>
    <row r="15" spans="1:12" ht="15" thickBot="1" x14ac:dyDescent="0.4">
      <c r="A15" s="28" t="s">
        <v>61</v>
      </c>
      <c r="B15" s="132">
        <f>IF(DigitaTICA!G2&lt;&gt;"",DigitaTICA!G2,"")</f>
        <v>71</v>
      </c>
      <c r="C15" s="29">
        <f>IF(DigitaTICA!G12&lt;&gt;"",DigitaTICA!G12,"")</f>
        <v>26500</v>
      </c>
      <c r="D15" s="42">
        <f>IF(C15="",0,C15*J$11)</f>
        <v>3180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23320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IF(DigitaPRIMERA!$C$12&lt;&gt;"",DigitaPRIMERA!$C$12,"")</f>
        <v>60500</v>
      </c>
      <c r="D19" s="42">
        <f>IF(C19="",0,C19*J$14)</f>
        <v>7260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14990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244350</v>
      </c>
      <c r="D24" s="68">
        <f t="shared" ref="D24:G24" si="4">SUM(D5:D23)</f>
        <v>29220</v>
      </c>
      <c r="E24" s="68">
        <f t="shared" si="4"/>
        <v>1700</v>
      </c>
      <c r="F24" s="68">
        <f t="shared" si="4"/>
        <v>123250</v>
      </c>
      <c r="G24" s="88">
        <f t="shared" si="4"/>
        <v>91880</v>
      </c>
    </row>
    <row r="27" spans="1:7" x14ac:dyDescent="0.35">
      <c r="G27" s="21">
        <v>36592</v>
      </c>
    </row>
    <row r="28" spans="1:7" x14ac:dyDescent="0.35">
      <c r="G28" s="140">
        <f>+G24+G27</f>
        <v>128472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107150</v>
      </c>
      <c r="K4" s="230">
        <f t="shared" ref="K4" si="0">D7+D11+D15</f>
        <v>12858</v>
      </c>
      <c r="L4" s="219">
        <f>F7+F11+F15</f>
        <v>242250</v>
      </c>
    </row>
    <row r="5" spans="1:12" ht="15" thickBot="1" x14ac:dyDescent="0.4">
      <c r="A5" s="28" t="s">
        <v>43</v>
      </c>
      <c r="B5" s="132" t="str">
        <f>IF(DigitaNICA!C2&lt;&gt;"",DigitaNICA!C2,"")</f>
        <v>01</v>
      </c>
      <c r="C5" s="29">
        <f>IF(DigitaNICA!C13&lt;&gt;"",DigitaNICA!C13,"")</f>
        <v>25350</v>
      </c>
      <c r="D5" s="42">
        <f>IF(C5="",0,C5*J$10)</f>
        <v>3042</v>
      </c>
      <c r="E5" s="29">
        <f>IF(DigitaNICA!D13&lt;&gt;"",DigitaNICA!D13,"")</f>
        <v>900</v>
      </c>
      <c r="F5" s="42">
        <f>IF(E5="",0,E5*PREMIOS!E5)</f>
        <v>72000</v>
      </c>
      <c r="G5" s="30">
        <f t="shared" ref="G5:G12" si="1">IF(OR(C5="",E5=""),0,C5-D5-F5)</f>
        <v>-49692</v>
      </c>
      <c r="I5" s="217" t="s">
        <v>37</v>
      </c>
      <c r="J5" s="231">
        <f>SUM(IF(C5="",0,C5),IF(C9="",0,C9),IF(C13="",0,C13),IF(C17="",0,C17))</f>
        <v>47400</v>
      </c>
      <c r="K5" s="232">
        <f t="shared" ref="K5" si="2">D5+D9+D13+D17</f>
        <v>5688</v>
      </c>
      <c r="L5" s="233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>
        <f>IF(DigitaTICA!C13&lt;&gt;"",DigitaTICA!C13,"")</f>
        <v>52450</v>
      </c>
      <c r="D7" s="42">
        <f>IF(C7="",0,C7*J$9)</f>
        <v>6294</v>
      </c>
      <c r="E7" s="29">
        <f>IF(DigitaTICA!D13&lt;&gt;"",DigitaTICA!D13,"")</f>
        <v>2550</v>
      </c>
      <c r="F7" s="133">
        <f>IF(E7="",0,E7*PREMIOS!F7)</f>
        <v>216750</v>
      </c>
      <c r="G7" s="30">
        <f t="shared" si="1"/>
        <v>-170594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IF(DigitaNICA!E13&lt;&gt;"",DigitaNICA!E13,"")</f>
        <v>19450</v>
      </c>
      <c r="D9" s="42">
        <f>IF(C9="",0,C9*J$10)</f>
        <v>2334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17116</v>
      </c>
      <c r="I9" s="60" t="s">
        <v>36</v>
      </c>
      <c r="J9" s="61">
        <v>0.12</v>
      </c>
      <c r="K9" s="62">
        <f>MROUND(D7+D11+D15,50)</f>
        <v>12850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5700</v>
      </c>
    </row>
    <row r="11" spans="1:12" ht="15" thickBot="1" x14ac:dyDescent="0.4">
      <c r="A11" s="28" t="s">
        <v>59</v>
      </c>
      <c r="B11" s="132">
        <f>IF(DigitaTICA!E2&lt;&gt;"",DigitaTICA!E2,"")</f>
        <v>40</v>
      </c>
      <c r="C11" s="29">
        <f>IF(DigitaTICA!E13&lt;&gt;"",DigitaTICA!E13,"")</f>
        <v>25200</v>
      </c>
      <c r="D11" s="42">
        <f>IF(C11="",0,C11*J$9)</f>
        <v>3024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22176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94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IF(DigitaTICA!G13&lt;&gt;"",DigitaTICA!G13,"")</f>
        <v>29500</v>
      </c>
      <c r="D15" s="42">
        <f>IF(C15="",0,C15*J$9)</f>
        <v>3540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460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IF(DigitaNICA!I13&lt;&gt;"",DigitaNICA!I13,"")</f>
        <v>2600</v>
      </c>
      <c r="D17" s="42">
        <f>IF(C17="",0,C17*J$10)</f>
        <v>312</v>
      </c>
      <c r="E17" s="29">
        <f>IF(DigitaNICA!J13&lt;&gt;"",DigitaNICA!J13,"")</f>
        <v>100</v>
      </c>
      <c r="F17" s="42">
        <f>IF(E17="",0,E17*PREMIOS!E17)</f>
        <v>8000</v>
      </c>
      <c r="G17" s="30">
        <f t="shared" si="3"/>
        <v>-5712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154550</v>
      </c>
      <c r="D19" s="68">
        <f>MROUND(SUM(D5:D18),50)</f>
        <v>18550</v>
      </c>
      <c r="E19" s="68">
        <f>SUM(E5:E18)</f>
        <v>3850</v>
      </c>
      <c r="F19" s="68">
        <f>SUM(F5:F18)</f>
        <v>322250</v>
      </c>
      <c r="G19" s="88">
        <f>SUM(G5:G18)</f>
        <v>-186246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96500</v>
      </c>
      <c r="K4" s="235">
        <f t="shared" ref="K4" si="0">D7+D11+D15</f>
        <v>14475</v>
      </c>
      <c r="L4" s="236">
        <f>F7+F11+F15</f>
        <v>100000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>
        <f>IF(DigitaTICA!C14&lt;&gt;"",DigitaTICA!C14,"")</f>
        <v>34300</v>
      </c>
      <c r="D7" s="42">
        <f>IF(C7="",0,C7*J$9)</f>
        <v>5145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29155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14500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40</v>
      </c>
      <c r="C11" s="29">
        <f>IF(DigitaTICA!E14&lt;&gt;"",DigitaTICA!E14,"")</f>
        <v>19250</v>
      </c>
      <c r="D11" s="42">
        <f>IF(C11="",0,C11*J$9)</f>
        <v>2887.5</v>
      </c>
      <c r="E11" s="29">
        <f>IF(DigitaTICA!F14&lt;&gt;"",DigitaTICA!F14,"")</f>
        <v>250</v>
      </c>
      <c r="F11" s="42">
        <f>IF(E11="",0,E11*PREMIOS!E11)</f>
        <v>20000</v>
      </c>
      <c r="G11" s="30">
        <f t="shared" si="1"/>
        <v>-3637.5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94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IF(DigitaTICA!G14&lt;&gt;"",DigitaTICA!G14,"")</f>
        <v>42950</v>
      </c>
      <c r="D15" s="42">
        <f>IF(C15="",0,C15*J$9)</f>
        <v>6442.5</v>
      </c>
      <c r="E15" s="29">
        <f>IF(DigitaTICA!H14&lt;&gt;"",DigitaTICA!H14,"")</f>
        <v>1000</v>
      </c>
      <c r="F15" s="42">
        <f>IF(E15="",0,E15*PREMIOS!E15)</f>
        <v>80000</v>
      </c>
      <c r="G15" s="30">
        <f t="shared" si="2"/>
        <v>-43492.5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96500</v>
      </c>
      <c r="D19" s="68">
        <f>MROUND(SUM(D5:D18),50)</f>
        <v>14500</v>
      </c>
      <c r="E19" s="68">
        <f>SUM(E5:E18)</f>
        <v>1250</v>
      </c>
      <c r="F19" s="68">
        <f>SUM(F5:F18)</f>
        <v>100000</v>
      </c>
      <c r="G19" s="88">
        <f>SUM(G5:G18)</f>
        <v>-17975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54800</v>
      </c>
      <c r="K4" s="230">
        <f>D7+D11+D15</f>
        <v>6576</v>
      </c>
      <c r="L4" s="219">
        <f>F7+F11+F15</f>
        <v>59500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IF(DigitaNICA!C16&lt;&gt;"",DigitaNICA!C16,"")</f>
        <v>6000</v>
      </c>
      <c r="D5" s="42">
        <f>IF(C5="",0,C5*J$12)</f>
        <v>720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5280</v>
      </c>
      <c r="I5" s="63" t="s">
        <v>37</v>
      </c>
      <c r="J5" s="224">
        <f>SUM(IF(C5="",0,C5),IF(C9="",0,C9),IF(C13="",0,C13),IF(C17="",0,C17))</f>
        <v>26550</v>
      </c>
      <c r="K5" s="224">
        <f t="shared" ref="K5" si="1">D5+D9+D13+D17</f>
        <v>3186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500</v>
      </c>
      <c r="K6" s="225">
        <f t="shared" ref="K6" si="2">+D8+D12+D16</f>
        <v>50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30</v>
      </c>
      <c r="C7" s="29">
        <f>IF(DigitaTICA!C16&lt;&gt;"",DigitaTICA!C16,"")</f>
        <v>17950</v>
      </c>
      <c r="D7" s="42">
        <f>IF(C7="",0,C7*J$11)</f>
        <v>2154</v>
      </c>
      <c r="E7" s="29">
        <f>IF(DigitaTICA!D16&lt;&gt;"",DigitaTICA!D16,"")</f>
        <v>450</v>
      </c>
      <c r="F7" s="133">
        <f>IF(E7="",0,E7*PREMIOS!F7)</f>
        <v>38250</v>
      </c>
      <c r="G7" s="30">
        <f t="shared" si="0"/>
        <v>-22454</v>
      </c>
      <c r="I7" s="63" t="s">
        <v>96</v>
      </c>
      <c r="J7" s="225">
        <f>SUM(IF(C19="",0,C19),IF(C20="",0,C20))</f>
        <v>0</v>
      </c>
      <c r="K7" s="225">
        <f>+D19+D20</f>
        <v>0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IF(DigitaNICA!E16&lt;&gt;"",DigitaNICA!E16,"")</f>
        <v>5000</v>
      </c>
      <c r="D9" s="42">
        <f>IF(C9="",0,C9*J$12)</f>
        <v>600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4400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IF(DigitaTICA!E16&lt;&gt;"",DigitaTICA!E16,"")</f>
        <v>12550</v>
      </c>
      <c r="D11" s="42">
        <f>IF(C11="",0,C11*J$11)</f>
        <v>1506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-10206</v>
      </c>
      <c r="I11" s="76" t="s">
        <v>36</v>
      </c>
      <c r="J11" s="77">
        <v>0.12</v>
      </c>
      <c r="K11" s="78">
        <f>MROUND(D7+D11+D15,50)</f>
        <v>6600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3200</v>
      </c>
    </row>
    <row r="13" spans="1:12" x14ac:dyDescent="0.35">
      <c r="A13" s="28" t="s">
        <v>50</v>
      </c>
      <c r="B13" s="132">
        <f>IF(DigitaNICA!G2&lt;&gt;"",DigitaNICA!G2,"")</f>
        <v>94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71</v>
      </c>
      <c r="C15" s="29">
        <f>IF(DigitaTICA!G16&lt;&gt;"",DigitaTICA!G16,"")</f>
        <v>24300</v>
      </c>
      <c r="D15" s="42">
        <f>IF(C15="",0,C15*J$11)</f>
        <v>2916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21384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IF(DigitaNICA!I16&lt;&gt;"",DigitaNICA!I16,"")</f>
        <v>15550</v>
      </c>
      <c r="D17" s="42">
        <f>IF(C17="",0,C17*J$12)</f>
        <v>1866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13684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81850</v>
      </c>
      <c r="D24" s="122">
        <f t="shared" ref="D24:G24" si="5">SUM(D5:D23)</f>
        <v>9812</v>
      </c>
      <c r="E24" s="122">
        <f t="shared" si="5"/>
        <v>700</v>
      </c>
      <c r="F24" s="122">
        <f t="shared" si="5"/>
        <v>59500</v>
      </c>
      <c r="G24" s="123">
        <f t="shared" si="5"/>
        <v>12538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30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77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40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94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71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86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39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80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07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46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01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30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77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40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94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71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86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39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80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07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46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77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94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71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30</v>
      </c>
      <c r="D2" s="267"/>
      <c r="E2" s="266">
        <f>IF(PREMIOS!$B11="","",PREMIOS!$B11)</f>
        <v>40</v>
      </c>
      <c r="F2" s="267"/>
      <c r="G2" s="266">
        <f>IF(PREMIOS!$B15="","",PREMIOS!$B15)</f>
        <v>71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82350</v>
      </c>
      <c r="D4" s="78">
        <v>350</v>
      </c>
      <c r="E4" s="188">
        <v>56250</v>
      </c>
      <c r="F4" s="78">
        <v>250</v>
      </c>
      <c r="G4" s="188">
        <v>105000</v>
      </c>
      <c r="H4" s="78">
        <v>350</v>
      </c>
      <c r="J4" s="42">
        <f t="shared" ref="J4:J8" si="0">+C4+E4+G4</f>
        <v>243600</v>
      </c>
      <c r="K4" s="42">
        <f>IF(D4="",0,IF(F4="",D4,IF(H4="",D4+F4,D4+F4+H4)))</f>
        <v>950</v>
      </c>
    </row>
    <row r="5" spans="1:11" x14ac:dyDescent="0.35">
      <c r="A5" s="47">
        <v>2</v>
      </c>
      <c r="B5" s="177" t="str">
        <f>Vendedor2!$B$2</f>
        <v>PUESTO 2</v>
      </c>
      <c r="C5" s="179">
        <v>78900</v>
      </c>
      <c r="D5" s="30">
        <v>250</v>
      </c>
      <c r="E5" s="179">
        <v>28600</v>
      </c>
      <c r="F5" s="30">
        <v>250</v>
      </c>
      <c r="G5" s="179">
        <v>86850</v>
      </c>
      <c r="H5" s="30">
        <f t="shared" ref="D5:H27" si="1">IF(G5="","",0)</f>
        <v>0</v>
      </c>
      <c r="J5" s="42">
        <f t="shared" si="0"/>
        <v>194350</v>
      </c>
      <c r="K5" s="42">
        <f t="shared" ref="K5:K27" si="2">IF(D5="",0,IF(F5="",D5,IF(H5="",D5+F5,D5+F5+H5)))</f>
        <v>500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1"/>
        <v/>
      </c>
      <c r="E6" s="179"/>
      <c r="F6" s="30" t="str">
        <f t="shared" si="1"/>
        <v/>
      </c>
      <c r="G6" s="179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1"/>
        <v/>
      </c>
      <c r="E7" s="179"/>
      <c r="F7" s="30" t="str">
        <f t="shared" si="1"/>
        <v/>
      </c>
      <c r="G7" s="179">
        <v>5000</v>
      </c>
      <c r="H7" s="30">
        <f t="shared" si="1"/>
        <v>0</v>
      </c>
      <c r="J7" s="42">
        <f t="shared" si="0"/>
        <v>5000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64650</v>
      </c>
      <c r="D8" s="30">
        <v>950</v>
      </c>
      <c r="E8" s="179">
        <v>57600</v>
      </c>
      <c r="F8" s="30">
        <v>2650</v>
      </c>
      <c r="G8" s="179">
        <v>70750</v>
      </c>
      <c r="H8" s="30">
        <v>500</v>
      </c>
      <c r="J8" s="42">
        <f t="shared" si="0"/>
        <v>193000</v>
      </c>
      <c r="K8" s="42">
        <f t="shared" si="2"/>
        <v>4100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1"/>
        <v/>
      </c>
      <c r="E9" s="179"/>
      <c r="F9" s="30" t="str">
        <f t="shared" si="1"/>
        <v/>
      </c>
      <c r="G9" s="179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64750+24050</f>
        <v>88800</v>
      </c>
      <c r="D10" s="30">
        <f>250+0</f>
        <v>250</v>
      </c>
      <c r="E10" s="179">
        <f>20450+66000</f>
        <v>86450</v>
      </c>
      <c r="F10" s="30">
        <v>1200</v>
      </c>
      <c r="G10" s="179">
        <f>7700+57800</f>
        <v>65500</v>
      </c>
      <c r="H10" s="30">
        <f>500+0</f>
        <v>500</v>
      </c>
      <c r="J10" s="42">
        <f t="shared" si="3"/>
        <v>240750</v>
      </c>
      <c r="K10" s="42">
        <f t="shared" si="2"/>
        <v>1950</v>
      </c>
    </row>
    <row r="11" spans="1:11" x14ac:dyDescent="0.35">
      <c r="A11" s="47">
        <v>8</v>
      </c>
      <c r="B11" s="177" t="str">
        <f>Vendedor8!$B$2</f>
        <v>ISA</v>
      </c>
      <c r="C11" s="179">
        <v>3900</v>
      </c>
      <c r="D11" s="30">
        <f t="shared" si="1"/>
        <v>0</v>
      </c>
      <c r="E11" s="179"/>
      <c r="F11" s="30" t="str">
        <f t="shared" si="1"/>
        <v/>
      </c>
      <c r="G11" s="179">
        <v>12400</v>
      </c>
      <c r="H11" s="30">
        <f t="shared" si="1"/>
        <v>0</v>
      </c>
      <c r="J11" s="42">
        <f t="shared" si="3"/>
        <v>16300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57750</v>
      </c>
      <c r="D12" s="30">
        <v>250</v>
      </c>
      <c r="E12" s="179">
        <v>23100</v>
      </c>
      <c r="F12" s="30">
        <v>250</v>
      </c>
      <c r="G12" s="179">
        <v>26500</v>
      </c>
      <c r="H12" s="30">
        <f t="shared" si="1"/>
        <v>0</v>
      </c>
      <c r="J12" s="42">
        <f t="shared" si="3"/>
        <v>107350</v>
      </c>
      <c r="K12" s="42">
        <f t="shared" si="2"/>
        <v>500</v>
      </c>
    </row>
    <row r="13" spans="1:11" x14ac:dyDescent="0.35">
      <c r="A13" s="47">
        <v>10</v>
      </c>
      <c r="B13" s="177" t="str">
        <f>Vendedor10!$B$2</f>
        <v>MARIALIZ</v>
      </c>
      <c r="C13" s="179">
        <v>52450</v>
      </c>
      <c r="D13" s="30">
        <v>2550</v>
      </c>
      <c r="E13" s="179">
        <v>25200</v>
      </c>
      <c r="F13" s="30">
        <f t="shared" si="1"/>
        <v>0</v>
      </c>
      <c r="G13" s="179">
        <v>29500</v>
      </c>
      <c r="H13" s="30">
        <v>300</v>
      </c>
      <c r="J13" s="42">
        <f t="shared" si="3"/>
        <v>107150</v>
      </c>
      <c r="K13" s="42">
        <f t="shared" si="2"/>
        <v>2850</v>
      </c>
    </row>
    <row r="14" spans="1:11" x14ac:dyDescent="0.35">
      <c r="A14" s="47">
        <v>11</v>
      </c>
      <c r="B14" s="177" t="str">
        <f>Vendedor11!$B$2</f>
        <v>CHARLY</v>
      </c>
      <c r="C14" s="179">
        <v>34300</v>
      </c>
      <c r="D14" s="30">
        <f t="shared" si="1"/>
        <v>0</v>
      </c>
      <c r="E14" s="179">
        <v>19250</v>
      </c>
      <c r="F14" s="30">
        <v>250</v>
      </c>
      <c r="G14" s="179">
        <v>42950</v>
      </c>
      <c r="H14" s="30">
        <v>1000</v>
      </c>
      <c r="J14" s="42">
        <f t="shared" si="3"/>
        <v>96500</v>
      </c>
      <c r="K14" s="42">
        <f t="shared" si="2"/>
        <v>1250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1"/>
        <v/>
      </c>
      <c r="E15" s="179"/>
      <c r="F15" s="30" t="str">
        <f t="shared" si="1"/>
        <v/>
      </c>
      <c r="G15" s="179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17950</v>
      </c>
      <c r="D16" s="30">
        <v>450</v>
      </c>
      <c r="E16" s="179">
        <v>12550</v>
      </c>
      <c r="F16" s="30">
        <v>250</v>
      </c>
      <c r="G16" s="179">
        <v>24300</v>
      </c>
      <c r="H16" s="30">
        <f t="shared" si="1"/>
        <v>0</v>
      </c>
      <c r="J16" s="42">
        <f t="shared" si="3"/>
        <v>54800</v>
      </c>
      <c r="K16" s="42">
        <f t="shared" si="2"/>
        <v>700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1"/>
        <v/>
      </c>
      <c r="E17" s="179"/>
      <c r="F17" s="30" t="str">
        <f t="shared" si="1"/>
        <v/>
      </c>
      <c r="G17" s="179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1"/>
        <v/>
      </c>
      <c r="E18" s="179"/>
      <c r="F18" s="30" t="str">
        <f t="shared" si="1"/>
        <v/>
      </c>
      <c r="G18" s="179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1"/>
        <v/>
      </c>
      <c r="E19" s="179"/>
      <c r="F19" s="30" t="str">
        <f t="shared" si="1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1"/>
        <v/>
      </c>
      <c r="E20" s="179"/>
      <c r="F20" s="30" t="str">
        <f t="shared" si="1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1"/>
        <v/>
      </c>
      <c r="E21" s="179"/>
      <c r="F21" s="30" t="str">
        <f t="shared" si="1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1"/>
        <v/>
      </c>
      <c r="E22" s="179"/>
      <c r="F22" s="30" t="str">
        <f t="shared" si="1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1"/>
        <v/>
      </c>
      <c r="E23" s="179"/>
      <c r="F23" s="30" t="str">
        <f t="shared" si="1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1"/>
        <v/>
      </c>
      <c r="E24" s="179"/>
      <c r="F24" s="30" t="str">
        <f t="shared" si="1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1"/>
        <v/>
      </c>
      <c r="E25" s="179"/>
      <c r="F25" s="30" t="str">
        <f t="shared" si="1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1"/>
        <v/>
      </c>
      <c r="E26" s="179"/>
      <c r="F26" s="30" t="str">
        <f t="shared" si="1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1"/>
        <v/>
      </c>
      <c r="E27" s="180"/>
      <c r="F27" s="50" t="str">
        <f t="shared" si="1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481050</v>
      </c>
      <c r="D32" s="44">
        <f t="shared" si="6"/>
        <v>5050</v>
      </c>
      <c r="E32" s="43">
        <f t="shared" si="6"/>
        <v>309000</v>
      </c>
      <c r="F32" s="44">
        <f t="shared" si="6"/>
        <v>5100</v>
      </c>
      <c r="G32" s="43">
        <f t="shared" si="6"/>
        <v>468750</v>
      </c>
      <c r="H32" s="44">
        <f t="shared" si="6"/>
        <v>2650</v>
      </c>
      <c r="J32" s="95">
        <f>SUM(J4:J31)</f>
        <v>1258800</v>
      </c>
      <c r="K32" s="95"/>
    </row>
    <row r="33" spans="2:8" x14ac:dyDescent="0.35">
      <c r="D33" s="99">
        <f>+D32*85</f>
        <v>429250</v>
      </c>
      <c r="F33" s="99">
        <f>+F32*85</f>
        <v>433500</v>
      </c>
      <c r="H33" s="99">
        <f>+H32*85</f>
        <v>225250</v>
      </c>
    </row>
    <row r="34" spans="2:8" x14ac:dyDescent="0.35">
      <c r="B34" s="246"/>
      <c r="C34" s="43"/>
      <c r="D34" s="43"/>
      <c r="E34" s="43"/>
      <c r="F34" s="43"/>
      <c r="G34" s="43"/>
      <c r="H34" s="43"/>
    </row>
    <row r="35" spans="2:8" x14ac:dyDescent="0.35">
      <c r="B35" s="246"/>
      <c r="C35" s="43"/>
      <c r="D35" s="43"/>
      <c r="E35" s="43"/>
      <c r="F35" s="43"/>
      <c r="G35" s="43"/>
      <c r="H35" s="43"/>
    </row>
    <row r="36" spans="2:8" x14ac:dyDescent="0.35">
      <c r="B36" s="246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 t="str">
        <f>IF(PREMIOS!$B5="","",PREMIOS!$B5)</f>
        <v>01</v>
      </c>
      <c r="D2" s="267"/>
      <c r="E2" s="266">
        <f>IF(PREMIOS!$B9="","",PREMIOS!$B9)</f>
        <v>77</v>
      </c>
      <c r="F2" s="267"/>
      <c r="G2" s="266">
        <f>IF(PREMIOS!$B13="","",PREMIOS!$B13)</f>
        <v>94</v>
      </c>
      <c r="H2" s="267"/>
      <c r="I2" s="266">
        <f>IF(PREMIOS!$B17="","",PREMIOS!$B17)</f>
        <v>86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15650</v>
      </c>
      <c r="D4" s="78">
        <v>100</v>
      </c>
      <c r="E4" s="205">
        <v>9150</v>
      </c>
      <c r="F4" s="78">
        <f t="shared" ref="D4:J27" si="0">IF(E4="","",0)</f>
        <v>0</v>
      </c>
      <c r="G4" s="188">
        <v>2600</v>
      </c>
      <c r="H4" s="78">
        <f t="shared" ref="H4:H27" si="1">IF(G4="","",0)</f>
        <v>0</v>
      </c>
      <c r="I4" s="188">
        <v>2100</v>
      </c>
      <c r="J4" s="78">
        <f t="shared" si="0"/>
        <v>0</v>
      </c>
      <c r="L4" s="42">
        <f t="shared" ref="L4:L8" si="2">+C4+E4+G4+I4</f>
        <v>29500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7" t="str">
        <f>Vendedor2!$B$2</f>
        <v>PUESTO 2</v>
      </c>
      <c r="C5" s="179">
        <v>15800</v>
      </c>
      <c r="D5" s="30">
        <f t="shared" si="0"/>
        <v>0</v>
      </c>
      <c r="E5" s="206"/>
      <c r="F5" s="30" t="str">
        <f t="shared" si="0"/>
        <v/>
      </c>
      <c r="G5" s="179">
        <v>1000</v>
      </c>
      <c r="H5" s="30">
        <f t="shared" si="1"/>
        <v>0</v>
      </c>
      <c r="I5" s="179">
        <v>1700</v>
      </c>
      <c r="J5" s="30">
        <f t="shared" ref="J5:J27" si="3">IF(I5="","",0)</f>
        <v>0</v>
      </c>
      <c r="L5" s="42">
        <f t="shared" si="2"/>
        <v>18500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71350</v>
      </c>
      <c r="D8" s="30">
        <v>1100</v>
      </c>
      <c r="E8" s="206">
        <v>50350</v>
      </c>
      <c r="F8" s="30">
        <f t="shared" si="0"/>
        <v>0</v>
      </c>
      <c r="G8" s="179">
        <v>4950</v>
      </c>
      <c r="H8" s="30">
        <f t="shared" si="1"/>
        <v>0</v>
      </c>
      <c r="I8" s="179">
        <v>42500</v>
      </c>
      <c r="J8" s="30">
        <v>500</v>
      </c>
      <c r="L8" s="42">
        <f t="shared" si="2"/>
        <v>169150</v>
      </c>
      <c r="M8" s="42">
        <f t="shared" si="4"/>
        <v>1600</v>
      </c>
    </row>
    <row r="9" spans="1:13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13000+55400</f>
        <v>68400</v>
      </c>
      <c r="D10" s="30">
        <v>250</v>
      </c>
      <c r="E10" s="206">
        <f>18000+70900</f>
        <v>88900</v>
      </c>
      <c r="F10" s="30">
        <v>100</v>
      </c>
      <c r="G10" s="179">
        <v>7450</v>
      </c>
      <c r="H10" s="30">
        <f t="shared" si="0"/>
        <v>0</v>
      </c>
      <c r="I10" s="179">
        <f>26550+30700</f>
        <v>57250</v>
      </c>
      <c r="J10" s="30">
        <f t="shared" si="0"/>
        <v>0</v>
      </c>
      <c r="L10" s="42">
        <f t="shared" si="5"/>
        <v>222000</v>
      </c>
      <c r="M10" s="42">
        <f t="shared" si="4"/>
        <v>350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35550</v>
      </c>
      <c r="D12" s="30">
        <v>250</v>
      </c>
      <c r="E12" s="206">
        <v>35850</v>
      </c>
      <c r="F12" s="30">
        <v>250</v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71400</v>
      </c>
      <c r="M12" s="42">
        <f t="shared" si="4"/>
        <v>500</v>
      </c>
    </row>
    <row r="13" spans="1:13" x14ac:dyDescent="0.35">
      <c r="A13" s="47">
        <v>10</v>
      </c>
      <c r="B13" s="177" t="str">
        <f>Vendedor10!$B$2</f>
        <v>MARIALIZ</v>
      </c>
      <c r="C13" s="179">
        <v>25350</v>
      </c>
      <c r="D13" s="30">
        <v>900</v>
      </c>
      <c r="E13" s="206">
        <v>19450</v>
      </c>
      <c r="F13" s="30">
        <f t="shared" si="0"/>
        <v>0</v>
      </c>
      <c r="G13" s="179"/>
      <c r="H13" s="30" t="str">
        <f t="shared" si="0"/>
        <v/>
      </c>
      <c r="I13" s="179">
        <v>2600</v>
      </c>
      <c r="J13" s="30">
        <v>100</v>
      </c>
      <c r="L13" s="42">
        <f t="shared" si="5"/>
        <v>47400</v>
      </c>
      <c r="M13" s="42">
        <f t="shared" si="4"/>
        <v>900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6000</v>
      </c>
      <c r="D16" s="30">
        <f t="shared" si="0"/>
        <v>0</v>
      </c>
      <c r="E16" s="206">
        <v>5000</v>
      </c>
      <c r="F16" s="30">
        <f t="shared" si="0"/>
        <v>0</v>
      </c>
      <c r="G16" s="179"/>
      <c r="H16" s="30" t="str">
        <f t="shared" si="0"/>
        <v/>
      </c>
      <c r="I16" s="179">
        <v>15550</v>
      </c>
      <c r="J16" s="30">
        <f t="shared" si="0"/>
        <v>0</v>
      </c>
      <c r="L16" s="42">
        <f t="shared" si="5"/>
        <v>26550</v>
      </c>
      <c r="M16" s="42">
        <f t="shared" si="4"/>
        <v>0</v>
      </c>
    </row>
    <row r="17" spans="1:13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238100</v>
      </c>
      <c r="D32" s="44">
        <f t="shared" si="7"/>
        <v>2600</v>
      </c>
      <c r="E32" s="43">
        <f t="shared" si="7"/>
        <v>208700</v>
      </c>
      <c r="F32" s="44">
        <f t="shared" si="7"/>
        <v>350</v>
      </c>
      <c r="G32" s="43">
        <f t="shared" si="7"/>
        <v>16000</v>
      </c>
      <c r="H32" s="44">
        <f t="shared" si="7"/>
        <v>0</v>
      </c>
      <c r="I32" s="43">
        <f t="shared" si="7"/>
        <v>121700</v>
      </c>
      <c r="J32" s="44">
        <f t="shared" si="7"/>
        <v>600</v>
      </c>
      <c r="L32" s="95">
        <f>SUM(L9:L31)</f>
        <v>367350</v>
      </c>
      <c r="M32" s="95">
        <f>SUM(M9:M31)</f>
        <v>1750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30 Blanca</v>
      </c>
      <c r="D2" s="267"/>
      <c r="E2" s="266" t="str">
        <f>IF(E33=0,"",CONCATENATE(PREMIOS!$B11," ",PREMIOS!$B12))</f>
        <v>40 Blanca</v>
      </c>
      <c r="F2" s="267"/>
      <c r="G2" s="266" t="str">
        <f>IF(G33=0,"",CONCATENATE(PREMIOS!$B15," ",PREMIOS!$B16))</f>
        <v>71 Blanca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6650+5150</f>
        <v>11800</v>
      </c>
      <c r="D10" s="30">
        <f t="shared" si="0"/>
        <v>0</v>
      </c>
      <c r="E10" s="179">
        <f>3950+10650</f>
        <v>14600</v>
      </c>
      <c r="F10" s="30">
        <f t="shared" si="0"/>
        <v>0</v>
      </c>
      <c r="G10" s="179">
        <f>1000+8800</f>
        <v>9800</v>
      </c>
      <c r="H10" s="30">
        <v>500</v>
      </c>
      <c r="J10" s="42">
        <f t="shared" si="3"/>
        <v>36200</v>
      </c>
      <c r="K10" s="42">
        <f t="shared" si="4"/>
        <v>500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5100</v>
      </c>
      <c r="D12" s="30">
        <v>250</v>
      </c>
      <c r="E12" s="179"/>
      <c r="F12" s="30" t="str">
        <f t="shared" si="1"/>
        <v/>
      </c>
      <c r="G12" s="179"/>
      <c r="H12" s="30" t="str">
        <f t="shared" si="0"/>
        <v/>
      </c>
      <c r="J12" s="42">
        <f t="shared" si="3"/>
        <v>5100</v>
      </c>
      <c r="K12" s="42">
        <f t="shared" si="4"/>
        <v>250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500</v>
      </c>
      <c r="D16" s="194">
        <f t="shared" si="0"/>
        <v>0</v>
      </c>
      <c r="E16" s="193"/>
      <c r="F16" s="194" t="str">
        <f t="shared" si="1"/>
        <v/>
      </c>
      <c r="G16" s="193"/>
      <c r="H16" s="194" t="str">
        <f t="shared" si="0"/>
        <v/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17400</v>
      </c>
      <c r="D33" s="44">
        <f t="shared" si="7"/>
        <v>250</v>
      </c>
      <c r="E33" s="43">
        <f t="shared" si="7"/>
        <v>14600</v>
      </c>
      <c r="F33" s="44">
        <f t="shared" si="7"/>
        <v>0</v>
      </c>
      <c r="G33" s="43">
        <f t="shared" si="7"/>
        <v>9800</v>
      </c>
      <c r="H33" s="44">
        <f t="shared" si="7"/>
        <v>500</v>
      </c>
      <c r="J33" s="45">
        <f>SUM(J4:J32)</f>
        <v>41800</v>
      </c>
      <c r="K33" s="95">
        <f>SUM(K4:K32)</f>
        <v>750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39</v>
      </c>
      <c r="D2" s="267"/>
      <c r="E2" s="266">
        <f>IF(PREMIOS!$C19="","",PREMIOS!$C19)</f>
        <v>80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6350</v>
      </c>
      <c r="D4" s="78">
        <f t="shared" ref="D4:F27" si="0">IF(C4="","",0)</f>
        <v>0</v>
      </c>
      <c r="E4" s="188">
        <v>500</v>
      </c>
      <c r="F4" s="78">
        <f t="shared" si="0"/>
        <v>0</v>
      </c>
      <c r="H4" s="42">
        <f>+C4+E4</f>
        <v>6850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>
        <v>1800</v>
      </c>
      <c r="D5" s="30">
        <f t="shared" si="0"/>
        <v>0</v>
      </c>
      <c r="E5" s="179"/>
      <c r="F5" s="30" t="str">
        <f t="shared" ref="F5:F27" si="1">IF(E5="","",0)</f>
        <v/>
      </c>
      <c r="H5" s="42">
        <f t="shared" ref="H5:H32" si="2">+C5+E5</f>
        <v>1800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22300</v>
      </c>
      <c r="D8" s="30">
        <f t="shared" si="0"/>
        <v>0</v>
      </c>
      <c r="E8" s="193">
        <v>8650</v>
      </c>
      <c r="F8" s="194">
        <f t="shared" si="1"/>
        <v>0</v>
      </c>
      <c r="H8" s="42">
        <f t="shared" si="2"/>
        <v>30950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18200</v>
      </c>
      <c r="D10" s="30">
        <f t="shared" si="0"/>
        <v>0</v>
      </c>
      <c r="E10" s="179">
        <v>15350</v>
      </c>
      <c r="F10" s="194">
        <v>300</v>
      </c>
      <c r="H10" s="42">
        <f t="shared" si="2"/>
        <v>33550</v>
      </c>
      <c r="I10" s="42">
        <f t="shared" si="3"/>
        <v>300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60500</v>
      </c>
      <c r="D12" s="30">
        <v>450</v>
      </c>
      <c r="E12" s="193"/>
      <c r="F12" s="30" t="str">
        <f t="shared" si="0"/>
        <v/>
      </c>
      <c r="H12" s="42">
        <f t="shared" si="2"/>
        <v>60500</v>
      </c>
      <c r="I12" s="42">
        <f t="shared" si="3"/>
        <v>450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109150</v>
      </c>
      <c r="D33" s="44">
        <f>SUM(D4:D32)</f>
        <v>450</v>
      </c>
      <c r="E33" s="43">
        <f>SUM(E4:E32)</f>
        <v>24500</v>
      </c>
      <c r="F33" s="44">
        <f>SUM(F4:F32)</f>
        <v>300</v>
      </c>
      <c r="H33" s="95">
        <f>SUM(H4:H32)</f>
        <v>133650</v>
      </c>
      <c r="I33" s="95">
        <f>SUM(I4:I32)</f>
        <v>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26</v>
      </c>
      <c r="D2" s="267"/>
      <c r="E2" s="266" t="str">
        <f>IF(PREMIOS!$C20="","",PREMIOS!$C20)</f>
        <v>07</v>
      </c>
      <c r="F2" s="267"/>
      <c r="G2" s="266">
        <f>IF(PREMIOS!$D20="","",PREMIOS!$D20)</f>
        <v>46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9750</v>
      </c>
      <c r="D10" s="194">
        <f t="shared" si="0"/>
        <v>0</v>
      </c>
      <c r="E10" s="179">
        <v>9450</v>
      </c>
      <c r="F10" s="30">
        <v>250</v>
      </c>
      <c r="G10" s="179">
        <v>6500</v>
      </c>
      <c r="H10" s="194">
        <f t="shared" si="0"/>
        <v>0</v>
      </c>
      <c r="J10" s="42">
        <f t="shared" si="3"/>
        <v>25700</v>
      </c>
      <c r="K10" s="42">
        <f t="shared" si="4"/>
        <v>250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9750</v>
      </c>
      <c r="D33" s="44">
        <f t="shared" si="6"/>
        <v>0</v>
      </c>
      <c r="E33" s="43">
        <f t="shared" si="6"/>
        <v>9450</v>
      </c>
      <c r="F33" s="44">
        <f t="shared" si="6"/>
        <v>250</v>
      </c>
      <c r="G33" s="43">
        <f t="shared" si="6"/>
        <v>6500</v>
      </c>
      <c r="H33" s="44">
        <f t="shared" si="6"/>
        <v>0</v>
      </c>
      <c r="J33" s="45">
        <f>SUM(J4:J32)</f>
        <v>25700</v>
      </c>
      <c r="K33" s="95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04</v>
      </c>
      <c r="D2" s="267"/>
      <c r="E2" s="266">
        <f>IF(PREMIOS!$C21="","",PREMIOS!$C21)</f>
        <v>31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F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54000</v>
      </c>
      <c r="D10" s="30">
        <f t="shared" si="0"/>
        <v>0</v>
      </c>
      <c r="E10" s="179">
        <v>56000</v>
      </c>
      <c r="F10" s="30">
        <f t="shared" si="0"/>
        <v>0</v>
      </c>
      <c r="H10" s="42">
        <f t="shared" si="2"/>
        <v>110000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54000</v>
      </c>
      <c r="D33" s="44">
        <f>SUM(D4:D32)</f>
        <v>0</v>
      </c>
      <c r="E33" s="43">
        <f>SUM(E4:E32)</f>
        <v>56000</v>
      </c>
      <c r="F33" s="44">
        <f>SUM(F4:F32)</f>
        <v>0</v>
      </c>
      <c r="H33" s="45">
        <f>SUM(H4:H32)</f>
        <v>110000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 t="str">
        <f>IF(PREMIOS!$B22="","",PREMIOS!$B22)</f>
        <v/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2026-08-08T21:01:56Z</dcterms:modified>
  <dc:language>es-CR</dc:language>
</cp:coreProperties>
</file>
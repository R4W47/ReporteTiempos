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pivotTables/pivotTable1.xml" ContentType="application/vnd.openxmlformats-officedocument.spreadsheetml.pivotTable+xml"/>
  <Override PartName="/xl/drawings/drawing4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ul Watson\OneDrive\panaguanacastelj@gmail.com - Google Drive\08- CUENTAS DIARIAS AGOSTO\"/>
    </mc:Choice>
  </mc:AlternateContent>
  <bookViews>
    <workbookView xWindow="-105" yWindow="-105" windowWidth="19425" windowHeight="10305" tabRatio="581" firstSheet="2" activeTab="2"/>
  </bookViews>
  <sheets>
    <sheet name="Vendedor15 (2)" sheetId="66" r:id="rId1"/>
    <sheet name="Vendedor14 (2)" sheetId="65" r:id="rId2"/>
    <sheet name="Resumen" sheetId="2" r:id="rId3"/>
    <sheet name="PuestosALI" sheetId="45" r:id="rId4"/>
    <sheet name="Gráfico Ventas" sheetId="49" r:id="rId5"/>
    <sheet name="Vendedor1" sheetId="5" r:id="rId6"/>
    <sheet name="Vendedor2" sheetId="6" r:id="rId7"/>
    <sheet name="Vendedor3" sheetId="7" r:id="rId8"/>
    <sheet name="Vendedor4" sheetId="8" r:id="rId9"/>
    <sheet name="Vendedor5" sheetId="9" r:id="rId10"/>
    <sheet name="Vendedor6" sheetId="10" r:id="rId11"/>
    <sheet name="Vendedor7" sheetId="11" r:id="rId12"/>
    <sheet name="Vendedor8" sheetId="12" r:id="rId13"/>
    <sheet name="Vendedor9" sheetId="13" r:id="rId14"/>
    <sheet name="Vendedor10" sheetId="14" r:id="rId15"/>
    <sheet name="Vendedor11" sheetId="15" r:id="rId16"/>
    <sheet name="Vendedor12" sheetId="16" r:id="rId17"/>
    <sheet name="Vendedor13" sheetId="51" r:id="rId18"/>
    <sheet name="Vendedor14" sheetId="18" r:id="rId19"/>
    <sheet name="Vendedor15" sheetId="19" r:id="rId20"/>
    <sheet name="Vendedor16" sheetId="20" r:id="rId21"/>
    <sheet name="Vendedor17" sheetId="21" r:id="rId22"/>
    <sheet name="Vendedor18" sheetId="22" r:id="rId23"/>
    <sheet name="Vendedor19" sheetId="23" r:id="rId24"/>
    <sheet name="Vendedor20" sheetId="24" r:id="rId25"/>
    <sheet name="Vendedor21" sheetId="25" r:id="rId26"/>
    <sheet name="Vendedor22" sheetId="26" r:id="rId27"/>
    <sheet name="Vendedor23" sheetId="27" r:id="rId28"/>
    <sheet name="Vendedor24" sheetId="28" r:id="rId29"/>
    <sheet name="Vendedor25" sheetId="29" r:id="rId30"/>
    <sheet name="Vendedor26" sheetId="30" r:id="rId31"/>
    <sheet name="Vendedor27" sheetId="31" r:id="rId32"/>
    <sheet name="Vendedor28" sheetId="32" r:id="rId33"/>
    <sheet name="Vendedor29" sheetId="33" r:id="rId34"/>
    <sheet name="Vendedor30" sheetId="34" r:id="rId35"/>
    <sheet name="Vendedor31" sheetId="35" r:id="rId36"/>
    <sheet name="Vendedor32" sheetId="36" r:id="rId37"/>
    <sheet name="Vendedor33" sheetId="37" r:id="rId38"/>
    <sheet name="Vendedor34" sheetId="38" r:id="rId39"/>
    <sheet name="Vendedor35" sheetId="39" r:id="rId40"/>
    <sheet name="Vendedor36" sheetId="40" r:id="rId41"/>
    <sheet name="Vendedor37" sheetId="41" r:id="rId42"/>
    <sheet name="Vendedor38" sheetId="42" r:id="rId43"/>
    <sheet name="Vendedor39" sheetId="43" r:id="rId44"/>
    <sheet name="Vendedor40" sheetId="44" r:id="rId45"/>
    <sheet name="Grafico Dinámico" sheetId="55" r:id="rId46"/>
    <sheet name="PuestosALI RESUMEN" sheetId="48" r:id="rId47"/>
  </sheets>
  <externalReferences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</externalReferences>
  <calcPr calcId="162913"/>
  <pivotCaches>
    <pivotCache cacheId="0" r:id="rId7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P36" i="51" l="1"/>
  <c r="P35" i="51"/>
  <c r="P34" i="51"/>
  <c r="P33" i="51"/>
  <c r="P32" i="51"/>
  <c r="P31" i="51"/>
  <c r="P30" i="51"/>
  <c r="P29" i="51"/>
  <c r="P28" i="51"/>
  <c r="P27" i="51"/>
  <c r="P26" i="51"/>
  <c r="P25" i="51"/>
  <c r="P24" i="51"/>
  <c r="P23" i="51"/>
  <c r="P22" i="51"/>
  <c r="P21" i="51"/>
  <c r="P20" i="51"/>
  <c r="P19" i="51"/>
  <c r="P18" i="51"/>
  <c r="P17" i="51"/>
  <c r="P16" i="51"/>
  <c r="P15" i="51"/>
  <c r="P14" i="51"/>
  <c r="P13" i="51"/>
  <c r="P12" i="51"/>
  <c r="P11" i="51"/>
  <c r="P10" i="51"/>
  <c r="P9" i="51"/>
  <c r="P8" i="51"/>
  <c r="P7" i="51"/>
  <c r="P6" i="51"/>
  <c r="O36" i="51"/>
  <c r="O35" i="51"/>
  <c r="O34" i="51"/>
  <c r="O33" i="51"/>
  <c r="O32" i="51"/>
  <c r="O31" i="51"/>
  <c r="O30" i="51"/>
  <c r="O29" i="51"/>
  <c r="O28" i="51"/>
  <c r="O27" i="51"/>
  <c r="O26" i="51"/>
  <c r="O25" i="51"/>
  <c r="O24" i="51"/>
  <c r="O23" i="51"/>
  <c r="O22" i="51"/>
  <c r="O21" i="51"/>
  <c r="O20" i="51"/>
  <c r="O19" i="51"/>
  <c r="O18" i="51"/>
  <c r="O17" i="51"/>
  <c r="O16" i="51"/>
  <c r="O15" i="51"/>
  <c r="O14" i="51"/>
  <c r="O13" i="51"/>
  <c r="O12" i="51"/>
  <c r="O11" i="51"/>
  <c r="O10" i="51"/>
  <c r="O9" i="51"/>
  <c r="O8" i="51"/>
  <c r="O6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L36" i="51"/>
  <c r="L35" i="51"/>
  <c r="L34" i="51"/>
  <c r="L33" i="51"/>
  <c r="L32" i="51"/>
  <c r="L31" i="51"/>
  <c r="L30" i="51"/>
  <c r="L29" i="51"/>
  <c r="L28" i="51"/>
  <c r="L27" i="51"/>
  <c r="L26" i="51"/>
  <c r="L25" i="51"/>
  <c r="L24" i="51"/>
  <c r="L23" i="51"/>
  <c r="L22" i="51"/>
  <c r="L21" i="51"/>
  <c r="L20" i="51"/>
  <c r="L19" i="51"/>
  <c r="L18" i="51"/>
  <c r="L17" i="51"/>
  <c r="L16" i="51"/>
  <c r="L15" i="51"/>
  <c r="L14" i="51"/>
  <c r="L13" i="51"/>
  <c r="L12" i="51"/>
  <c r="L11" i="51"/>
  <c r="L10" i="51"/>
  <c r="L9" i="51"/>
  <c r="L8" i="51"/>
  <c r="L7" i="51"/>
  <c r="L6" i="51"/>
  <c r="K36" i="51"/>
  <c r="K35" i="51"/>
  <c r="K34" i="51"/>
  <c r="K33" i="51"/>
  <c r="K32" i="51"/>
  <c r="K31" i="51"/>
  <c r="K30" i="51"/>
  <c r="K29" i="51"/>
  <c r="K28" i="51"/>
  <c r="K27" i="51"/>
  <c r="K26" i="51"/>
  <c r="K25" i="51"/>
  <c r="K24" i="51"/>
  <c r="K23" i="51"/>
  <c r="K22" i="51"/>
  <c r="K21" i="51"/>
  <c r="K20" i="51"/>
  <c r="K19" i="51"/>
  <c r="K18" i="51"/>
  <c r="K17" i="51"/>
  <c r="K16" i="51"/>
  <c r="K15" i="51"/>
  <c r="K14" i="51"/>
  <c r="K13" i="51"/>
  <c r="K12" i="51"/>
  <c r="K11" i="51"/>
  <c r="K10" i="51"/>
  <c r="K9" i="51"/>
  <c r="K8" i="51"/>
  <c r="K7" i="51"/>
  <c r="K6" i="51"/>
  <c r="O7" i="51"/>
  <c r="N36" i="51"/>
  <c r="N35" i="51"/>
  <c r="N34" i="51"/>
  <c r="N33" i="51"/>
  <c r="N32" i="51"/>
  <c r="N31" i="51"/>
  <c r="N30" i="51"/>
  <c r="N29" i="51"/>
  <c r="N28" i="51"/>
  <c r="N27" i="51"/>
  <c r="N26" i="51"/>
  <c r="N25" i="51"/>
  <c r="N24" i="51"/>
  <c r="N23" i="51"/>
  <c r="N22" i="51"/>
  <c r="N21" i="51"/>
  <c r="N20" i="51"/>
  <c r="N19" i="51"/>
  <c r="N18" i="51"/>
  <c r="N17" i="51"/>
  <c r="N16" i="51"/>
  <c r="N15" i="51"/>
  <c r="N14" i="51"/>
  <c r="N13" i="51"/>
  <c r="N12" i="51"/>
  <c r="N11" i="51"/>
  <c r="N10" i="51"/>
  <c r="N9" i="51"/>
  <c r="N8" i="51"/>
  <c r="N7" i="51"/>
  <c r="N6" i="51"/>
  <c r="P37" i="51" l="1"/>
  <c r="O37" i="51"/>
  <c r="N37" i="51"/>
  <c r="W15" i="66"/>
  <c r="S14" i="66"/>
  <c r="R14" i="66"/>
  <c r="Q14" i="66"/>
  <c r="P14" i="66"/>
  <c r="O14" i="66"/>
  <c r="N14" i="66"/>
  <c r="M14" i="66"/>
  <c r="L14" i="66"/>
  <c r="K14" i="66"/>
  <c r="J14" i="66"/>
  <c r="I14" i="66"/>
  <c r="H14" i="66"/>
  <c r="G14" i="66"/>
  <c r="F14" i="66"/>
  <c r="E14" i="66"/>
  <c r="D14" i="66"/>
  <c r="C14" i="66"/>
  <c r="B14" i="66"/>
  <c r="S13" i="66"/>
  <c r="R13" i="66"/>
  <c r="Q13" i="66"/>
  <c r="P13" i="66"/>
  <c r="O13" i="66"/>
  <c r="N13" i="66"/>
  <c r="M13" i="66"/>
  <c r="L13" i="66"/>
  <c r="K13" i="66"/>
  <c r="J13" i="66"/>
  <c r="I13" i="66"/>
  <c r="H13" i="66"/>
  <c r="G13" i="66"/>
  <c r="F13" i="66"/>
  <c r="E13" i="66"/>
  <c r="D13" i="66"/>
  <c r="C13" i="66"/>
  <c r="B13" i="66"/>
  <c r="S12" i="66"/>
  <c r="R12" i="66"/>
  <c r="Q12" i="66"/>
  <c r="P12" i="66"/>
  <c r="O12" i="66"/>
  <c r="N12" i="66"/>
  <c r="M12" i="66"/>
  <c r="L12" i="66"/>
  <c r="K12" i="66"/>
  <c r="J12" i="66"/>
  <c r="I12" i="66"/>
  <c r="H12" i="66"/>
  <c r="G12" i="66"/>
  <c r="F12" i="66"/>
  <c r="E12" i="66"/>
  <c r="D12" i="66"/>
  <c r="C12" i="66"/>
  <c r="B12" i="66"/>
  <c r="S11" i="66"/>
  <c r="R11" i="66"/>
  <c r="Q11" i="66"/>
  <c r="P11" i="66"/>
  <c r="O11" i="66"/>
  <c r="N11" i="66"/>
  <c r="M11" i="66"/>
  <c r="L11" i="66"/>
  <c r="K11" i="66"/>
  <c r="J11" i="66"/>
  <c r="I11" i="66"/>
  <c r="H11" i="66"/>
  <c r="G11" i="66"/>
  <c r="F11" i="66"/>
  <c r="E11" i="66"/>
  <c r="D11" i="66"/>
  <c r="C11" i="66"/>
  <c r="B11" i="66"/>
  <c r="S10" i="66"/>
  <c r="R10" i="66"/>
  <c r="Q10" i="66"/>
  <c r="P10" i="66"/>
  <c r="O10" i="66"/>
  <c r="N10" i="66"/>
  <c r="M10" i="66"/>
  <c r="L10" i="66"/>
  <c r="K10" i="66"/>
  <c r="J10" i="66"/>
  <c r="I10" i="66"/>
  <c r="H10" i="66"/>
  <c r="G10" i="66"/>
  <c r="F10" i="66"/>
  <c r="E10" i="66"/>
  <c r="D10" i="66"/>
  <c r="C10" i="66"/>
  <c r="B10" i="66"/>
  <c r="S9" i="66"/>
  <c r="R9" i="66"/>
  <c r="Q9" i="66"/>
  <c r="P9" i="66"/>
  <c r="O9" i="66"/>
  <c r="N9" i="66"/>
  <c r="M9" i="66"/>
  <c r="L9" i="66"/>
  <c r="K9" i="66"/>
  <c r="J9" i="66"/>
  <c r="I9" i="66"/>
  <c r="H9" i="66"/>
  <c r="G9" i="66"/>
  <c r="F9" i="66"/>
  <c r="E9" i="66"/>
  <c r="D9" i="66"/>
  <c r="C9" i="66"/>
  <c r="B9" i="66"/>
  <c r="S8" i="66"/>
  <c r="R8" i="66"/>
  <c r="Q8" i="66"/>
  <c r="P8" i="66"/>
  <c r="O8" i="66"/>
  <c r="N8" i="66"/>
  <c r="M8" i="66"/>
  <c r="L8" i="66"/>
  <c r="K8" i="66"/>
  <c r="J8" i="66"/>
  <c r="I8" i="66"/>
  <c r="H8" i="66"/>
  <c r="G8" i="66"/>
  <c r="F8" i="66"/>
  <c r="E8" i="66"/>
  <c r="D8" i="66"/>
  <c r="C8" i="66"/>
  <c r="B8" i="66"/>
  <c r="S7" i="66"/>
  <c r="R7" i="66"/>
  <c r="Q7" i="66"/>
  <c r="P7" i="66"/>
  <c r="O7" i="66"/>
  <c r="N7" i="66"/>
  <c r="M7" i="66"/>
  <c r="L7" i="66"/>
  <c r="K7" i="66"/>
  <c r="J7" i="66"/>
  <c r="I7" i="66"/>
  <c r="H7" i="66"/>
  <c r="G7" i="66"/>
  <c r="F7" i="66"/>
  <c r="E7" i="66"/>
  <c r="D7" i="66"/>
  <c r="C7" i="66"/>
  <c r="B7" i="66"/>
  <c r="S6" i="66"/>
  <c r="R6" i="66"/>
  <c r="Q6" i="66"/>
  <c r="P6" i="66"/>
  <c r="O6" i="66"/>
  <c r="N6" i="66"/>
  <c r="M6" i="66"/>
  <c r="L6" i="66"/>
  <c r="K6" i="66"/>
  <c r="J6" i="66"/>
  <c r="I6" i="66"/>
  <c r="H6" i="66"/>
  <c r="G6" i="66"/>
  <c r="F6" i="66"/>
  <c r="E6" i="66"/>
  <c r="D6" i="66"/>
  <c r="C6" i="66"/>
  <c r="B6" i="66"/>
  <c r="X5" i="66"/>
  <c r="W15" i="65"/>
  <c r="S14" i="65"/>
  <c r="R14" i="65"/>
  <c r="Q14" i="65"/>
  <c r="P14" i="65"/>
  <c r="O14" i="65"/>
  <c r="N14" i="65"/>
  <c r="M14" i="65"/>
  <c r="L14" i="65"/>
  <c r="K14" i="65"/>
  <c r="J14" i="65"/>
  <c r="I14" i="65"/>
  <c r="H14" i="65"/>
  <c r="G14" i="65"/>
  <c r="F14" i="65"/>
  <c r="E14" i="65"/>
  <c r="D14" i="65"/>
  <c r="C14" i="65"/>
  <c r="B14" i="65"/>
  <c r="S13" i="65"/>
  <c r="R13" i="65"/>
  <c r="Q13" i="65"/>
  <c r="P13" i="65"/>
  <c r="O13" i="65"/>
  <c r="N13" i="65"/>
  <c r="M13" i="65"/>
  <c r="L13" i="65"/>
  <c r="K13" i="65"/>
  <c r="J13" i="65"/>
  <c r="I13" i="65"/>
  <c r="H13" i="65"/>
  <c r="G13" i="65"/>
  <c r="F13" i="65"/>
  <c r="E13" i="65"/>
  <c r="D13" i="65"/>
  <c r="C13" i="65"/>
  <c r="B13" i="65"/>
  <c r="S12" i="65"/>
  <c r="R12" i="65"/>
  <c r="Q12" i="65"/>
  <c r="P12" i="65"/>
  <c r="O12" i="65"/>
  <c r="N12" i="65"/>
  <c r="M12" i="65"/>
  <c r="L12" i="65"/>
  <c r="K12" i="65"/>
  <c r="J12" i="65"/>
  <c r="I12" i="65"/>
  <c r="H12" i="65"/>
  <c r="G12" i="65"/>
  <c r="F12" i="65"/>
  <c r="E12" i="65"/>
  <c r="D12" i="65"/>
  <c r="C12" i="65"/>
  <c r="B12" i="65"/>
  <c r="S11" i="65"/>
  <c r="R11" i="65"/>
  <c r="Q11" i="65"/>
  <c r="P11" i="65"/>
  <c r="O11" i="65"/>
  <c r="N11" i="65"/>
  <c r="M11" i="65"/>
  <c r="L11" i="65"/>
  <c r="K11" i="65"/>
  <c r="J11" i="65"/>
  <c r="I11" i="65"/>
  <c r="H11" i="65"/>
  <c r="G11" i="65"/>
  <c r="F11" i="65"/>
  <c r="E11" i="65"/>
  <c r="D11" i="65"/>
  <c r="C11" i="65"/>
  <c r="B11" i="65"/>
  <c r="S10" i="65"/>
  <c r="R10" i="65"/>
  <c r="Q10" i="65"/>
  <c r="P10" i="65"/>
  <c r="O10" i="65"/>
  <c r="N10" i="65"/>
  <c r="M10" i="65"/>
  <c r="L10" i="65"/>
  <c r="K10" i="65"/>
  <c r="J10" i="65"/>
  <c r="I10" i="65"/>
  <c r="H10" i="65"/>
  <c r="G10" i="65"/>
  <c r="F10" i="65"/>
  <c r="E10" i="65"/>
  <c r="D10" i="65"/>
  <c r="C10" i="65"/>
  <c r="B10" i="65"/>
  <c r="S9" i="65"/>
  <c r="R9" i="65"/>
  <c r="Q9" i="65"/>
  <c r="P9" i="65"/>
  <c r="O9" i="65"/>
  <c r="N9" i="65"/>
  <c r="M9" i="65"/>
  <c r="L9" i="65"/>
  <c r="K9" i="65"/>
  <c r="J9" i="65"/>
  <c r="I9" i="65"/>
  <c r="H9" i="65"/>
  <c r="G9" i="65"/>
  <c r="F9" i="65"/>
  <c r="E9" i="65"/>
  <c r="D9" i="65"/>
  <c r="C9" i="65"/>
  <c r="B9" i="65"/>
  <c r="S8" i="65"/>
  <c r="R8" i="65"/>
  <c r="Q8" i="65"/>
  <c r="P8" i="65"/>
  <c r="O8" i="65"/>
  <c r="N8" i="65"/>
  <c r="M8" i="65"/>
  <c r="L8" i="65"/>
  <c r="K8" i="65"/>
  <c r="J8" i="65"/>
  <c r="I8" i="65"/>
  <c r="H8" i="65"/>
  <c r="G8" i="65"/>
  <c r="F8" i="65"/>
  <c r="E8" i="65"/>
  <c r="D8" i="65"/>
  <c r="C8" i="65"/>
  <c r="B8" i="65"/>
  <c r="S7" i="65"/>
  <c r="R7" i="65"/>
  <c r="Q7" i="65"/>
  <c r="P7" i="65"/>
  <c r="O7" i="65"/>
  <c r="N7" i="65"/>
  <c r="M7" i="65"/>
  <c r="L7" i="65"/>
  <c r="K7" i="65"/>
  <c r="J7" i="65"/>
  <c r="I7" i="65"/>
  <c r="H7" i="65"/>
  <c r="G7" i="65"/>
  <c r="F7" i="65"/>
  <c r="E7" i="65"/>
  <c r="D7" i="65"/>
  <c r="C7" i="65"/>
  <c r="B7" i="65"/>
  <c r="S6" i="65"/>
  <c r="R6" i="65"/>
  <c r="Q6" i="65"/>
  <c r="P6" i="65"/>
  <c r="O6" i="65"/>
  <c r="N6" i="65"/>
  <c r="M6" i="65"/>
  <c r="L6" i="65"/>
  <c r="K6" i="65"/>
  <c r="J6" i="65"/>
  <c r="I6" i="65"/>
  <c r="H6" i="65"/>
  <c r="G6" i="65"/>
  <c r="F6" i="65"/>
  <c r="E6" i="65"/>
  <c r="D6" i="65"/>
  <c r="C6" i="65"/>
  <c r="B6" i="65"/>
  <c r="X5" i="65"/>
  <c r="U7" i="65" l="1"/>
  <c r="U7" i="66"/>
  <c r="T8" i="65"/>
  <c r="V11" i="65"/>
  <c r="U11" i="65"/>
  <c r="O15" i="65"/>
  <c r="G15" i="65"/>
  <c r="V14" i="66"/>
  <c r="F15" i="66"/>
  <c r="N15" i="66"/>
  <c r="V7" i="66"/>
  <c r="U11" i="66"/>
  <c r="G15" i="66"/>
  <c r="V11" i="66"/>
  <c r="H15" i="66"/>
  <c r="P15" i="66"/>
  <c r="U8" i="66"/>
  <c r="I15" i="66"/>
  <c r="Q15" i="66"/>
  <c r="T12" i="66"/>
  <c r="V8" i="66"/>
  <c r="B15" i="66"/>
  <c r="J15" i="66"/>
  <c r="R15" i="66"/>
  <c r="U9" i="66"/>
  <c r="V12" i="66"/>
  <c r="T13" i="66"/>
  <c r="T9" i="66"/>
  <c r="C15" i="66"/>
  <c r="K15" i="66"/>
  <c r="S15" i="66"/>
  <c r="V9" i="66"/>
  <c r="T10" i="66"/>
  <c r="U13" i="66"/>
  <c r="O15" i="66"/>
  <c r="U12" i="66"/>
  <c r="D15" i="66"/>
  <c r="L15" i="66"/>
  <c r="T7" i="66"/>
  <c r="U10" i="66"/>
  <c r="V13" i="66"/>
  <c r="T14" i="66"/>
  <c r="T8" i="66"/>
  <c r="E15" i="66"/>
  <c r="M15" i="66"/>
  <c r="V10" i="66"/>
  <c r="T11" i="66"/>
  <c r="U14" i="66"/>
  <c r="T6" i="66"/>
  <c r="U6" i="66"/>
  <c r="V6" i="66"/>
  <c r="H15" i="65"/>
  <c r="P15" i="65"/>
  <c r="U8" i="65"/>
  <c r="I15" i="65"/>
  <c r="Q15" i="65"/>
  <c r="T12" i="65"/>
  <c r="T9" i="65"/>
  <c r="B15" i="65"/>
  <c r="J15" i="65"/>
  <c r="R15" i="65"/>
  <c r="U9" i="65"/>
  <c r="V12" i="65"/>
  <c r="T13" i="65"/>
  <c r="U12" i="65"/>
  <c r="C15" i="65"/>
  <c r="K15" i="65"/>
  <c r="S15" i="65"/>
  <c r="V9" i="65"/>
  <c r="T10" i="65"/>
  <c r="U13" i="65"/>
  <c r="D15" i="65"/>
  <c r="L15" i="65"/>
  <c r="T7" i="65"/>
  <c r="U10" i="65"/>
  <c r="V13" i="65"/>
  <c r="T14" i="65"/>
  <c r="V8" i="65"/>
  <c r="E15" i="65"/>
  <c r="M15" i="65"/>
  <c r="V10" i="65"/>
  <c r="T11" i="65"/>
  <c r="U14" i="65"/>
  <c r="F15" i="65"/>
  <c r="N15" i="65"/>
  <c r="V7" i="65"/>
  <c r="V14" i="65"/>
  <c r="T6" i="65"/>
  <c r="U6" i="65"/>
  <c r="V6" i="65"/>
  <c r="G8" i="48"/>
  <c r="G7" i="48"/>
  <c r="D5" i="48"/>
  <c r="X7" i="66" l="1"/>
  <c r="X8" i="65"/>
  <c r="X9" i="66"/>
  <c r="X7" i="65"/>
  <c r="X14" i="66"/>
  <c r="U15" i="66"/>
  <c r="X11" i="65"/>
  <c r="X9" i="65"/>
  <c r="X11" i="66"/>
  <c r="X14" i="65"/>
  <c r="X10" i="65"/>
  <c r="X12" i="65"/>
  <c r="X13" i="66"/>
  <c r="X13" i="65"/>
  <c r="X10" i="66"/>
  <c r="X8" i="66"/>
  <c r="X12" i="66"/>
  <c r="V15" i="66"/>
  <c r="X6" i="66"/>
  <c r="T15" i="66"/>
  <c r="V15" i="65"/>
  <c r="U15" i="65"/>
  <c r="X6" i="65"/>
  <c r="T15" i="65"/>
  <c r="F9" i="48"/>
  <c r="G9" i="48"/>
  <c r="F8" i="48"/>
  <c r="F7" i="48"/>
  <c r="N75" i="7"/>
  <c r="N74" i="7"/>
  <c r="N73" i="7"/>
  <c r="N72" i="7"/>
  <c r="N71" i="7"/>
  <c r="N70" i="7"/>
  <c r="N69" i="7"/>
  <c r="N68" i="7"/>
  <c r="N67" i="7"/>
  <c r="N66" i="7"/>
  <c r="N65" i="7"/>
  <c r="N64" i="7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M44" i="7"/>
  <c r="L44" i="7"/>
  <c r="K44" i="7"/>
  <c r="J44" i="7"/>
  <c r="I44" i="7"/>
  <c r="H44" i="7"/>
  <c r="G44" i="7"/>
  <c r="F44" i="7"/>
  <c r="E44" i="7"/>
  <c r="D44" i="7"/>
  <c r="C44" i="7"/>
  <c r="B44" i="7"/>
  <c r="N75" i="6"/>
  <c r="N74" i="6"/>
  <c r="N73" i="6"/>
  <c r="N72" i="6"/>
  <c r="N71" i="6"/>
  <c r="N70" i="6"/>
  <c r="N69" i="6"/>
  <c r="N68" i="6"/>
  <c r="N67" i="6"/>
  <c r="N66" i="6"/>
  <c r="N65" i="6"/>
  <c r="N64" i="6"/>
  <c r="N63" i="6"/>
  <c r="N62" i="6"/>
  <c r="N61" i="6"/>
  <c r="N60" i="6"/>
  <c r="N59" i="6"/>
  <c r="N58" i="6"/>
  <c r="N57" i="6"/>
  <c r="N56" i="6"/>
  <c r="N55" i="6"/>
  <c r="N54" i="6"/>
  <c r="N53" i="6"/>
  <c r="N52" i="6"/>
  <c r="N51" i="6"/>
  <c r="N50" i="6"/>
  <c r="N49" i="6"/>
  <c r="N48" i="6"/>
  <c r="N47" i="6"/>
  <c r="N46" i="6"/>
  <c r="N45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N75" i="5"/>
  <c r="N74" i="5"/>
  <c r="N73" i="5"/>
  <c r="N72" i="5"/>
  <c r="N71" i="5"/>
  <c r="N70" i="5"/>
  <c r="N69" i="5"/>
  <c r="N68" i="5"/>
  <c r="N67" i="5"/>
  <c r="N66" i="5"/>
  <c r="N65" i="5"/>
  <c r="N64" i="5"/>
  <c r="N63" i="5"/>
  <c r="N62" i="5"/>
  <c r="N61" i="5"/>
  <c r="N60" i="5"/>
  <c r="N59" i="5"/>
  <c r="N58" i="5"/>
  <c r="N57" i="5"/>
  <c r="N56" i="5"/>
  <c r="N55" i="5"/>
  <c r="N54" i="5"/>
  <c r="N53" i="5"/>
  <c r="N52" i="5"/>
  <c r="N51" i="5"/>
  <c r="N50" i="5"/>
  <c r="N49" i="5"/>
  <c r="N48" i="5"/>
  <c r="N47" i="5"/>
  <c r="N46" i="5"/>
  <c r="N45" i="5"/>
  <c r="N44" i="5"/>
  <c r="M44" i="5"/>
  <c r="L44" i="5"/>
  <c r="K44" i="5"/>
  <c r="J44" i="5"/>
  <c r="I44" i="5"/>
  <c r="H44" i="5"/>
  <c r="G44" i="5"/>
  <c r="F44" i="5"/>
  <c r="E44" i="5"/>
  <c r="D44" i="5"/>
  <c r="C44" i="5"/>
  <c r="B44" i="5"/>
  <c r="X15" i="66" l="1"/>
  <c r="X15" i="65"/>
  <c r="J36" i="9"/>
  <c r="I36" i="9"/>
  <c r="H36" i="9"/>
  <c r="J35" i="9"/>
  <c r="I35" i="9"/>
  <c r="H35" i="9"/>
  <c r="J34" i="9"/>
  <c r="I34" i="9"/>
  <c r="H34" i="9"/>
  <c r="J33" i="9"/>
  <c r="I33" i="9"/>
  <c r="H33" i="9"/>
  <c r="J32" i="9"/>
  <c r="I32" i="9"/>
  <c r="H32" i="9"/>
  <c r="J31" i="9"/>
  <c r="I31" i="9"/>
  <c r="H31" i="9"/>
  <c r="J30" i="9"/>
  <c r="I30" i="9"/>
  <c r="H30" i="9"/>
  <c r="J29" i="9"/>
  <c r="I29" i="9"/>
  <c r="H29" i="9"/>
  <c r="J28" i="9"/>
  <c r="I28" i="9"/>
  <c r="H28" i="9"/>
  <c r="J27" i="9"/>
  <c r="I27" i="9"/>
  <c r="H27" i="9"/>
  <c r="J26" i="9"/>
  <c r="I26" i="9"/>
  <c r="H26" i="9"/>
  <c r="J25" i="9"/>
  <c r="I25" i="9"/>
  <c r="H25" i="9"/>
  <c r="J24" i="9"/>
  <c r="I24" i="9"/>
  <c r="H24" i="9"/>
  <c r="J23" i="9"/>
  <c r="I23" i="9"/>
  <c r="H23" i="9"/>
  <c r="J22" i="9"/>
  <c r="I22" i="9"/>
  <c r="H22" i="9"/>
  <c r="J21" i="9"/>
  <c r="I21" i="9"/>
  <c r="H21" i="9"/>
  <c r="J20" i="9"/>
  <c r="I20" i="9"/>
  <c r="H20" i="9"/>
  <c r="J19" i="9"/>
  <c r="I19" i="9"/>
  <c r="H19" i="9"/>
  <c r="J18" i="9"/>
  <c r="I18" i="9"/>
  <c r="H18" i="9"/>
  <c r="J17" i="9"/>
  <c r="I17" i="9"/>
  <c r="H17" i="9"/>
  <c r="J16" i="9"/>
  <c r="I16" i="9"/>
  <c r="H16" i="9"/>
  <c r="J15" i="9"/>
  <c r="I15" i="9"/>
  <c r="H15" i="9"/>
  <c r="J14" i="9"/>
  <c r="I14" i="9"/>
  <c r="H14" i="9"/>
  <c r="J13" i="9"/>
  <c r="I13" i="9"/>
  <c r="H13" i="9"/>
  <c r="J12" i="9"/>
  <c r="I12" i="9"/>
  <c r="H12" i="9"/>
  <c r="J11" i="9"/>
  <c r="I11" i="9"/>
  <c r="H11" i="9"/>
  <c r="J10" i="9"/>
  <c r="I10" i="9"/>
  <c r="H10" i="9"/>
  <c r="J9" i="9"/>
  <c r="I9" i="9"/>
  <c r="H9" i="9"/>
  <c r="J8" i="9"/>
  <c r="I8" i="9"/>
  <c r="H8" i="9"/>
  <c r="J7" i="9"/>
  <c r="I7" i="9"/>
  <c r="H7" i="9"/>
  <c r="J6" i="9"/>
  <c r="I6" i="9"/>
  <c r="H6" i="9"/>
  <c r="G36" i="9" l="1"/>
  <c r="F36" i="9"/>
  <c r="E36" i="9"/>
  <c r="D36" i="9"/>
  <c r="C36" i="9"/>
  <c r="B36" i="9"/>
  <c r="G35" i="9"/>
  <c r="F35" i="9"/>
  <c r="E35" i="9"/>
  <c r="D35" i="9"/>
  <c r="C35" i="9"/>
  <c r="B35" i="9"/>
  <c r="G34" i="9"/>
  <c r="F34" i="9"/>
  <c r="E34" i="9"/>
  <c r="D34" i="9"/>
  <c r="C34" i="9"/>
  <c r="B34" i="9"/>
  <c r="G33" i="9"/>
  <c r="F33" i="9"/>
  <c r="E33" i="9"/>
  <c r="D33" i="9"/>
  <c r="C33" i="9"/>
  <c r="B33" i="9"/>
  <c r="G32" i="9"/>
  <c r="F32" i="9"/>
  <c r="E32" i="9"/>
  <c r="D32" i="9"/>
  <c r="C32" i="9"/>
  <c r="B32" i="9"/>
  <c r="G31" i="9"/>
  <c r="F31" i="9"/>
  <c r="E31" i="9"/>
  <c r="D31" i="9"/>
  <c r="C31" i="9"/>
  <c r="B31" i="9"/>
  <c r="G30" i="9"/>
  <c r="F30" i="9"/>
  <c r="E30" i="9"/>
  <c r="D30" i="9"/>
  <c r="C30" i="9"/>
  <c r="B30" i="9"/>
  <c r="G29" i="9"/>
  <c r="F29" i="9"/>
  <c r="E29" i="9"/>
  <c r="D29" i="9"/>
  <c r="C29" i="9"/>
  <c r="B29" i="9"/>
  <c r="G28" i="9"/>
  <c r="F28" i="9"/>
  <c r="E28" i="9"/>
  <c r="D28" i="9"/>
  <c r="C28" i="9"/>
  <c r="B28" i="9"/>
  <c r="G27" i="9"/>
  <c r="F27" i="9"/>
  <c r="E27" i="9"/>
  <c r="D27" i="9"/>
  <c r="C27" i="9"/>
  <c r="B27" i="9"/>
  <c r="G26" i="9"/>
  <c r="F26" i="9"/>
  <c r="E26" i="9"/>
  <c r="D26" i="9"/>
  <c r="C26" i="9"/>
  <c r="B26" i="9"/>
  <c r="G25" i="9"/>
  <c r="F25" i="9"/>
  <c r="E25" i="9"/>
  <c r="D25" i="9"/>
  <c r="C25" i="9"/>
  <c r="B25" i="9"/>
  <c r="G24" i="9"/>
  <c r="F24" i="9"/>
  <c r="E24" i="9"/>
  <c r="D24" i="9"/>
  <c r="C24" i="9"/>
  <c r="B24" i="9"/>
  <c r="G23" i="9"/>
  <c r="F23" i="9"/>
  <c r="E23" i="9"/>
  <c r="D23" i="9"/>
  <c r="C23" i="9"/>
  <c r="B23" i="9"/>
  <c r="G22" i="9"/>
  <c r="F22" i="9"/>
  <c r="E22" i="9"/>
  <c r="D22" i="9"/>
  <c r="C22" i="9"/>
  <c r="B22" i="9"/>
  <c r="G21" i="9"/>
  <c r="F21" i="9"/>
  <c r="E21" i="9"/>
  <c r="D21" i="9"/>
  <c r="C21" i="9"/>
  <c r="B21" i="9"/>
  <c r="G20" i="9"/>
  <c r="F20" i="9"/>
  <c r="E20" i="9"/>
  <c r="D20" i="9"/>
  <c r="C20" i="9"/>
  <c r="B20" i="9"/>
  <c r="G19" i="9"/>
  <c r="F19" i="9"/>
  <c r="E19" i="9"/>
  <c r="D19" i="9"/>
  <c r="C19" i="9"/>
  <c r="B19" i="9"/>
  <c r="G18" i="9"/>
  <c r="F18" i="9"/>
  <c r="E18" i="9"/>
  <c r="D18" i="9"/>
  <c r="C18" i="9"/>
  <c r="B18" i="9"/>
  <c r="G17" i="9"/>
  <c r="F17" i="9"/>
  <c r="E17" i="9"/>
  <c r="D17" i="9"/>
  <c r="C17" i="9"/>
  <c r="B17" i="9"/>
  <c r="G16" i="9"/>
  <c r="F16" i="9"/>
  <c r="E16" i="9"/>
  <c r="D16" i="9"/>
  <c r="C16" i="9"/>
  <c r="B16" i="9"/>
  <c r="G15" i="9"/>
  <c r="F15" i="9"/>
  <c r="E15" i="9"/>
  <c r="D15" i="9"/>
  <c r="C15" i="9"/>
  <c r="B15" i="9"/>
  <c r="G14" i="9"/>
  <c r="F14" i="9"/>
  <c r="E14" i="9"/>
  <c r="D14" i="9"/>
  <c r="C14" i="9"/>
  <c r="B14" i="9"/>
  <c r="G13" i="9"/>
  <c r="F13" i="9"/>
  <c r="E13" i="9"/>
  <c r="D13" i="9"/>
  <c r="C13" i="9"/>
  <c r="B13" i="9"/>
  <c r="G12" i="9"/>
  <c r="F12" i="9"/>
  <c r="E12" i="9"/>
  <c r="D12" i="9"/>
  <c r="C12" i="9"/>
  <c r="B12" i="9"/>
  <c r="G11" i="9"/>
  <c r="F11" i="9"/>
  <c r="E11" i="9"/>
  <c r="D11" i="9"/>
  <c r="C11" i="9"/>
  <c r="B11" i="9"/>
  <c r="G10" i="9"/>
  <c r="F10" i="9"/>
  <c r="E10" i="9"/>
  <c r="D10" i="9"/>
  <c r="C10" i="9"/>
  <c r="B10" i="9"/>
  <c r="J37" i="9"/>
  <c r="G9" i="9"/>
  <c r="F9" i="9"/>
  <c r="E9" i="9"/>
  <c r="D9" i="9"/>
  <c r="C9" i="9"/>
  <c r="B9" i="9"/>
  <c r="G8" i="9"/>
  <c r="F8" i="9"/>
  <c r="E8" i="9"/>
  <c r="D8" i="9"/>
  <c r="C8" i="9"/>
  <c r="B8" i="9"/>
  <c r="G7" i="9"/>
  <c r="F7" i="9"/>
  <c r="E7" i="9"/>
  <c r="D7" i="9"/>
  <c r="C7" i="9"/>
  <c r="B7" i="9"/>
  <c r="G6" i="9"/>
  <c r="F6" i="9"/>
  <c r="E6" i="9"/>
  <c r="D6" i="9"/>
  <c r="C6" i="9"/>
  <c r="B6" i="9"/>
  <c r="N37" i="9"/>
  <c r="H37" i="9"/>
  <c r="O5" i="9"/>
  <c r="O5" i="8"/>
  <c r="B6" i="8"/>
  <c r="C6" i="8"/>
  <c r="D6" i="8"/>
  <c r="E6" i="8"/>
  <c r="F6" i="8"/>
  <c r="G6" i="8"/>
  <c r="H6" i="8"/>
  <c r="I6" i="8"/>
  <c r="J6" i="8"/>
  <c r="B7" i="8"/>
  <c r="C7" i="8"/>
  <c r="D7" i="8"/>
  <c r="E7" i="8"/>
  <c r="F7" i="8"/>
  <c r="G7" i="8"/>
  <c r="H7" i="8"/>
  <c r="I7" i="8"/>
  <c r="J7" i="8"/>
  <c r="B8" i="8"/>
  <c r="C8" i="8"/>
  <c r="D8" i="8"/>
  <c r="E8" i="8"/>
  <c r="F8" i="8"/>
  <c r="G8" i="8"/>
  <c r="H8" i="8"/>
  <c r="I8" i="8"/>
  <c r="J8" i="8"/>
  <c r="B9" i="8"/>
  <c r="C9" i="8"/>
  <c r="D9" i="8"/>
  <c r="E9" i="8"/>
  <c r="F9" i="8"/>
  <c r="G9" i="8"/>
  <c r="H9" i="8"/>
  <c r="I9" i="8"/>
  <c r="J9" i="8"/>
  <c r="B10" i="8"/>
  <c r="C10" i="8"/>
  <c r="D10" i="8"/>
  <c r="E10" i="8"/>
  <c r="F10" i="8"/>
  <c r="G10" i="8"/>
  <c r="H10" i="8"/>
  <c r="I10" i="8"/>
  <c r="J10" i="8"/>
  <c r="B11" i="8"/>
  <c r="C11" i="8"/>
  <c r="D11" i="8"/>
  <c r="E11" i="8"/>
  <c r="F11" i="8"/>
  <c r="G11" i="8"/>
  <c r="H11" i="8"/>
  <c r="I11" i="8"/>
  <c r="J11" i="8"/>
  <c r="B12" i="8"/>
  <c r="C12" i="8"/>
  <c r="D12" i="8"/>
  <c r="E12" i="8"/>
  <c r="F12" i="8"/>
  <c r="G12" i="8"/>
  <c r="H12" i="8"/>
  <c r="I12" i="8"/>
  <c r="J12" i="8"/>
  <c r="B13" i="8"/>
  <c r="C13" i="8"/>
  <c r="D13" i="8"/>
  <c r="E13" i="8"/>
  <c r="F13" i="8"/>
  <c r="G13" i="8"/>
  <c r="H13" i="8"/>
  <c r="I13" i="8"/>
  <c r="J13" i="8"/>
  <c r="B14" i="8"/>
  <c r="C14" i="8"/>
  <c r="D14" i="8"/>
  <c r="E14" i="8"/>
  <c r="F14" i="8"/>
  <c r="G14" i="8"/>
  <c r="H14" i="8"/>
  <c r="I14" i="8"/>
  <c r="J14" i="8"/>
  <c r="B15" i="8"/>
  <c r="C15" i="8"/>
  <c r="D15" i="8"/>
  <c r="E15" i="8"/>
  <c r="F15" i="8"/>
  <c r="G15" i="8"/>
  <c r="H15" i="8"/>
  <c r="I15" i="8"/>
  <c r="J15" i="8"/>
  <c r="B16" i="8"/>
  <c r="C16" i="8"/>
  <c r="D16" i="8"/>
  <c r="E16" i="8"/>
  <c r="F16" i="8"/>
  <c r="G16" i="8"/>
  <c r="H16" i="8"/>
  <c r="I16" i="8"/>
  <c r="J16" i="8"/>
  <c r="B17" i="8"/>
  <c r="C17" i="8"/>
  <c r="D17" i="8"/>
  <c r="E17" i="8"/>
  <c r="F17" i="8"/>
  <c r="G17" i="8"/>
  <c r="H17" i="8"/>
  <c r="I17" i="8"/>
  <c r="J17" i="8"/>
  <c r="B18" i="8"/>
  <c r="C18" i="8"/>
  <c r="D18" i="8"/>
  <c r="E18" i="8"/>
  <c r="F18" i="8"/>
  <c r="G18" i="8"/>
  <c r="H18" i="8"/>
  <c r="I18" i="8"/>
  <c r="J18" i="8"/>
  <c r="B19" i="8"/>
  <c r="C19" i="8"/>
  <c r="D19" i="8"/>
  <c r="E19" i="8"/>
  <c r="F19" i="8"/>
  <c r="G19" i="8"/>
  <c r="H19" i="8"/>
  <c r="I19" i="8"/>
  <c r="J19" i="8"/>
  <c r="B20" i="8"/>
  <c r="C20" i="8"/>
  <c r="D20" i="8"/>
  <c r="E20" i="8"/>
  <c r="F20" i="8"/>
  <c r="G20" i="8"/>
  <c r="H20" i="8"/>
  <c r="I20" i="8"/>
  <c r="J20" i="8"/>
  <c r="B21" i="8"/>
  <c r="C21" i="8"/>
  <c r="D21" i="8"/>
  <c r="E21" i="8"/>
  <c r="F21" i="8"/>
  <c r="G21" i="8"/>
  <c r="H21" i="8"/>
  <c r="I21" i="8"/>
  <c r="J21" i="8"/>
  <c r="B22" i="8"/>
  <c r="C22" i="8"/>
  <c r="D22" i="8"/>
  <c r="E22" i="8"/>
  <c r="F22" i="8"/>
  <c r="G22" i="8"/>
  <c r="H22" i="8"/>
  <c r="I22" i="8"/>
  <c r="J22" i="8"/>
  <c r="B23" i="8"/>
  <c r="C23" i="8"/>
  <c r="D23" i="8"/>
  <c r="E23" i="8"/>
  <c r="F23" i="8"/>
  <c r="G23" i="8"/>
  <c r="H23" i="8"/>
  <c r="I23" i="8"/>
  <c r="J23" i="8"/>
  <c r="B24" i="8"/>
  <c r="C24" i="8"/>
  <c r="D24" i="8"/>
  <c r="E24" i="8"/>
  <c r="F24" i="8"/>
  <c r="G24" i="8"/>
  <c r="H24" i="8"/>
  <c r="I24" i="8"/>
  <c r="J24" i="8"/>
  <c r="B25" i="8"/>
  <c r="C25" i="8"/>
  <c r="D25" i="8"/>
  <c r="E25" i="8"/>
  <c r="F25" i="8"/>
  <c r="G25" i="8"/>
  <c r="H25" i="8"/>
  <c r="I25" i="8"/>
  <c r="J25" i="8"/>
  <c r="B26" i="8"/>
  <c r="C26" i="8"/>
  <c r="D26" i="8"/>
  <c r="E26" i="8"/>
  <c r="F26" i="8"/>
  <c r="G26" i="8"/>
  <c r="H26" i="8"/>
  <c r="I26" i="8"/>
  <c r="J26" i="8"/>
  <c r="B27" i="8"/>
  <c r="C27" i="8"/>
  <c r="D27" i="8"/>
  <c r="E27" i="8"/>
  <c r="F27" i="8"/>
  <c r="G27" i="8"/>
  <c r="H27" i="8"/>
  <c r="I27" i="8"/>
  <c r="J27" i="8"/>
  <c r="B28" i="8"/>
  <c r="C28" i="8"/>
  <c r="D28" i="8"/>
  <c r="E28" i="8"/>
  <c r="F28" i="8"/>
  <c r="G28" i="8"/>
  <c r="H28" i="8"/>
  <c r="I28" i="8"/>
  <c r="J28" i="8"/>
  <c r="B29" i="8"/>
  <c r="C29" i="8"/>
  <c r="D29" i="8"/>
  <c r="E29" i="8"/>
  <c r="F29" i="8"/>
  <c r="G29" i="8"/>
  <c r="H29" i="8"/>
  <c r="I29" i="8"/>
  <c r="J29" i="8"/>
  <c r="B30" i="8"/>
  <c r="C30" i="8"/>
  <c r="D30" i="8"/>
  <c r="E30" i="8"/>
  <c r="F30" i="8"/>
  <c r="G30" i="8"/>
  <c r="H30" i="8"/>
  <c r="I30" i="8"/>
  <c r="J30" i="8"/>
  <c r="B31" i="8"/>
  <c r="C31" i="8"/>
  <c r="D31" i="8"/>
  <c r="E31" i="8"/>
  <c r="F31" i="8"/>
  <c r="G31" i="8"/>
  <c r="H31" i="8"/>
  <c r="I31" i="8"/>
  <c r="J31" i="8"/>
  <c r="B32" i="8"/>
  <c r="C32" i="8"/>
  <c r="D32" i="8"/>
  <c r="E32" i="8"/>
  <c r="F32" i="8"/>
  <c r="G32" i="8"/>
  <c r="H32" i="8"/>
  <c r="I32" i="8"/>
  <c r="J32" i="8"/>
  <c r="B33" i="8"/>
  <c r="C33" i="8"/>
  <c r="D33" i="8"/>
  <c r="E33" i="8"/>
  <c r="F33" i="8"/>
  <c r="G33" i="8"/>
  <c r="H33" i="8"/>
  <c r="I33" i="8"/>
  <c r="J33" i="8"/>
  <c r="B34" i="8"/>
  <c r="C34" i="8"/>
  <c r="D34" i="8"/>
  <c r="E34" i="8"/>
  <c r="F34" i="8"/>
  <c r="G34" i="8"/>
  <c r="H34" i="8"/>
  <c r="I34" i="8"/>
  <c r="J34" i="8"/>
  <c r="L19" i="8" l="1"/>
  <c r="L7" i="8"/>
  <c r="L33" i="8"/>
  <c r="L29" i="8"/>
  <c r="L25" i="8"/>
  <c r="L21" i="8"/>
  <c r="L17" i="8"/>
  <c r="L13" i="8"/>
  <c r="L9" i="8"/>
  <c r="L32" i="8"/>
  <c r="L28" i="8"/>
  <c r="L24" i="8"/>
  <c r="L20" i="8"/>
  <c r="L16" i="8"/>
  <c r="L12" i="8"/>
  <c r="L8" i="8"/>
  <c r="L31" i="8"/>
  <c r="L27" i="8"/>
  <c r="L23" i="8"/>
  <c r="L15" i="8"/>
  <c r="L11" i="8"/>
  <c r="L34" i="8"/>
  <c r="L30" i="8"/>
  <c r="L26" i="8"/>
  <c r="L22" i="8"/>
  <c r="L18" i="8"/>
  <c r="L14" i="8"/>
  <c r="L10" i="8"/>
  <c r="L6" i="8"/>
  <c r="L36" i="9"/>
  <c r="K9" i="9"/>
  <c r="L14" i="9"/>
  <c r="L18" i="9"/>
  <c r="L22" i="9"/>
  <c r="L26" i="9"/>
  <c r="K28" i="9"/>
  <c r="M29" i="9"/>
  <c r="L30" i="9"/>
  <c r="L34" i="9"/>
  <c r="K18" i="8"/>
  <c r="K36" i="9"/>
  <c r="K32" i="9"/>
  <c r="K33" i="8"/>
  <c r="M23" i="8"/>
  <c r="L6" i="9"/>
  <c r="L15" i="9"/>
  <c r="L35" i="9"/>
  <c r="M21" i="8"/>
  <c r="K15" i="8"/>
  <c r="M13" i="8"/>
  <c r="L28" i="9"/>
  <c r="L7" i="9"/>
  <c r="M10" i="9"/>
  <c r="K11" i="9"/>
  <c r="K13" i="9"/>
  <c r="M14" i="9"/>
  <c r="K15" i="9"/>
  <c r="K17" i="9"/>
  <c r="M18" i="9"/>
  <c r="K19" i="9"/>
  <c r="L19" i="9"/>
  <c r="K21" i="9"/>
  <c r="M22" i="9"/>
  <c r="K23" i="9"/>
  <c r="L23" i="9"/>
  <c r="K25" i="9"/>
  <c r="M26" i="9"/>
  <c r="K27" i="9"/>
  <c r="L27" i="9"/>
  <c r="K29" i="9"/>
  <c r="M30" i="9"/>
  <c r="K31" i="9"/>
  <c r="L31" i="9"/>
  <c r="K33" i="9"/>
  <c r="M34" i="9"/>
  <c r="K12" i="9"/>
  <c r="M13" i="9"/>
  <c r="K16" i="9"/>
  <c r="M17" i="9"/>
  <c r="K20" i="9"/>
  <c r="M21" i="9"/>
  <c r="K24" i="9"/>
  <c r="M25" i="9"/>
  <c r="M33" i="9"/>
  <c r="K27" i="8"/>
  <c r="M8" i="8"/>
  <c r="K31" i="8"/>
  <c r="K23" i="8"/>
  <c r="M20" i="8"/>
  <c r="L13" i="9"/>
  <c r="L17" i="9"/>
  <c r="L21" i="9"/>
  <c r="L25" i="9"/>
  <c r="L29" i="9"/>
  <c r="L33" i="9"/>
  <c r="K11" i="8"/>
  <c r="M9" i="8"/>
  <c r="K34" i="8"/>
  <c r="M32" i="8"/>
  <c r="K32" i="8"/>
  <c r="L12" i="9"/>
  <c r="L20" i="9"/>
  <c r="M28" i="8"/>
  <c r="M6" i="9"/>
  <c r="K35" i="9"/>
  <c r="M33" i="8"/>
  <c r="M29" i="8"/>
  <c r="M27" i="8"/>
  <c r="K26" i="8"/>
  <c r="K19" i="8"/>
  <c r="M17" i="8"/>
  <c r="M15" i="8"/>
  <c r="K7" i="8"/>
  <c r="K8" i="9"/>
  <c r="K10" i="9"/>
  <c r="L11" i="9"/>
  <c r="K18" i="9"/>
  <c r="K26" i="9"/>
  <c r="K34" i="9"/>
  <c r="M25" i="8"/>
  <c r="K9" i="8"/>
  <c r="K13" i="8"/>
  <c r="M12" i="8"/>
  <c r="M10" i="8"/>
  <c r="K7" i="9"/>
  <c r="L10" i="9"/>
  <c r="M34" i="8"/>
  <c r="K29" i="8"/>
  <c r="K28" i="8"/>
  <c r="M18" i="8"/>
  <c r="K12" i="8"/>
  <c r="K22" i="8"/>
  <c r="M22" i="8"/>
  <c r="K17" i="8"/>
  <c r="M16" i="8"/>
  <c r="K16" i="8"/>
  <c r="M11" i="8"/>
  <c r="K10" i="8"/>
  <c r="M11" i="9"/>
  <c r="K14" i="9"/>
  <c r="L16" i="9"/>
  <c r="M16" i="9"/>
  <c r="M19" i="9"/>
  <c r="K22" i="9"/>
  <c r="L24" i="9"/>
  <c r="M24" i="9"/>
  <c r="M27" i="9"/>
  <c r="K30" i="9"/>
  <c r="L32" i="9"/>
  <c r="M32" i="9"/>
  <c r="M31" i="8"/>
  <c r="M26" i="8"/>
  <c r="K20" i="8"/>
  <c r="K30" i="8"/>
  <c r="M30" i="8"/>
  <c r="K25" i="8"/>
  <c r="M24" i="8"/>
  <c r="K24" i="8"/>
  <c r="M19" i="8"/>
  <c r="K14" i="8"/>
  <c r="M14" i="8"/>
  <c r="K8" i="8"/>
  <c r="M7" i="8"/>
  <c r="M7" i="9"/>
  <c r="M12" i="9"/>
  <c r="M15" i="9"/>
  <c r="M20" i="9"/>
  <c r="M23" i="9"/>
  <c r="M28" i="9"/>
  <c r="M31" i="9"/>
  <c r="M36" i="9"/>
  <c r="E37" i="9"/>
  <c r="C37" i="9"/>
  <c r="M35" i="9"/>
  <c r="G37" i="9"/>
  <c r="D37" i="9"/>
  <c r="K21" i="8"/>
  <c r="B37" i="9"/>
  <c r="F37" i="9"/>
  <c r="K6" i="8"/>
  <c r="M6" i="8"/>
  <c r="K6" i="9"/>
  <c r="L9" i="9"/>
  <c r="I37" i="9"/>
  <c r="L8" i="9"/>
  <c r="M9" i="9"/>
  <c r="M8" i="9"/>
  <c r="N76" i="6"/>
  <c r="O44" i="6"/>
  <c r="N76" i="5"/>
  <c r="O44" i="5"/>
  <c r="N76" i="7"/>
  <c r="O44" i="7"/>
  <c r="J36" i="7"/>
  <c r="J75" i="7" s="1"/>
  <c r="I36" i="7"/>
  <c r="I75" i="7" s="1"/>
  <c r="H36" i="7"/>
  <c r="H75" i="7" s="1"/>
  <c r="G36" i="7"/>
  <c r="G75" i="7" s="1"/>
  <c r="F36" i="7"/>
  <c r="F75" i="7" s="1"/>
  <c r="E36" i="7"/>
  <c r="E75" i="7" s="1"/>
  <c r="D36" i="7"/>
  <c r="D75" i="7" s="1"/>
  <c r="C36" i="7"/>
  <c r="C75" i="7" s="1"/>
  <c r="B36" i="7"/>
  <c r="B75" i="7" s="1"/>
  <c r="J35" i="7"/>
  <c r="J74" i="7" s="1"/>
  <c r="I35" i="7"/>
  <c r="I74" i="7" s="1"/>
  <c r="H35" i="7"/>
  <c r="H74" i="7" s="1"/>
  <c r="G35" i="7"/>
  <c r="G74" i="7" s="1"/>
  <c r="F35" i="7"/>
  <c r="F74" i="7" s="1"/>
  <c r="E35" i="7"/>
  <c r="E74" i="7" s="1"/>
  <c r="D35" i="7"/>
  <c r="D74" i="7" s="1"/>
  <c r="C35" i="7"/>
  <c r="C74" i="7" s="1"/>
  <c r="B35" i="7"/>
  <c r="B74" i="7" s="1"/>
  <c r="J34" i="7"/>
  <c r="J73" i="7" s="1"/>
  <c r="I34" i="7"/>
  <c r="I73" i="7" s="1"/>
  <c r="H34" i="7"/>
  <c r="H73" i="7" s="1"/>
  <c r="G34" i="7"/>
  <c r="G73" i="7" s="1"/>
  <c r="F34" i="7"/>
  <c r="F73" i="7" s="1"/>
  <c r="E34" i="7"/>
  <c r="E73" i="7" s="1"/>
  <c r="D34" i="7"/>
  <c r="D73" i="7" s="1"/>
  <c r="C34" i="7"/>
  <c r="C73" i="7" s="1"/>
  <c r="B34" i="7"/>
  <c r="B73" i="7" s="1"/>
  <c r="J33" i="7"/>
  <c r="J72" i="7" s="1"/>
  <c r="I33" i="7"/>
  <c r="I72" i="7" s="1"/>
  <c r="H33" i="7"/>
  <c r="H72" i="7" s="1"/>
  <c r="G33" i="7"/>
  <c r="G72" i="7" s="1"/>
  <c r="F33" i="7"/>
  <c r="F72" i="7" s="1"/>
  <c r="E33" i="7"/>
  <c r="E72" i="7" s="1"/>
  <c r="D33" i="7"/>
  <c r="D72" i="7" s="1"/>
  <c r="C33" i="7"/>
  <c r="C72" i="7" s="1"/>
  <c r="B33" i="7"/>
  <c r="B72" i="7" s="1"/>
  <c r="J32" i="7"/>
  <c r="J71" i="7" s="1"/>
  <c r="I32" i="7"/>
  <c r="I71" i="7" s="1"/>
  <c r="H32" i="7"/>
  <c r="H71" i="7" s="1"/>
  <c r="G32" i="7"/>
  <c r="G71" i="7" s="1"/>
  <c r="F32" i="7"/>
  <c r="F71" i="7" s="1"/>
  <c r="E32" i="7"/>
  <c r="E71" i="7" s="1"/>
  <c r="D32" i="7"/>
  <c r="D71" i="7" s="1"/>
  <c r="C32" i="7"/>
  <c r="C71" i="7" s="1"/>
  <c r="B32" i="7"/>
  <c r="B71" i="7" s="1"/>
  <c r="J31" i="7"/>
  <c r="J70" i="7" s="1"/>
  <c r="I31" i="7"/>
  <c r="I70" i="7" s="1"/>
  <c r="H31" i="7"/>
  <c r="H70" i="7" s="1"/>
  <c r="G31" i="7"/>
  <c r="G70" i="7" s="1"/>
  <c r="F31" i="7"/>
  <c r="F70" i="7" s="1"/>
  <c r="E31" i="7"/>
  <c r="E70" i="7" s="1"/>
  <c r="D31" i="7"/>
  <c r="D70" i="7" s="1"/>
  <c r="C31" i="7"/>
  <c r="C70" i="7" s="1"/>
  <c r="B31" i="7"/>
  <c r="B70" i="7" s="1"/>
  <c r="J30" i="7"/>
  <c r="J69" i="7" s="1"/>
  <c r="I30" i="7"/>
  <c r="I69" i="7" s="1"/>
  <c r="H30" i="7"/>
  <c r="H69" i="7" s="1"/>
  <c r="G30" i="7"/>
  <c r="G69" i="7" s="1"/>
  <c r="F30" i="7"/>
  <c r="F69" i="7" s="1"/>
  <c r="E30" i="7"/>
  <c r="E69" i="7" s="1"/>
  <c r="D30" i="7"/>
  <c r="D69" i="7" s="1"/>
  <c r="C30" i="7"/>
  <c r="C69" i="7" s="1"/>
  <c r="B30" i="7"/>
  <c r="B69" i="7" s="1"/>
  <c r="J29" i="7"/>
  <c r="J68" i="7" s="1"/>
  <c r="I29" i="7"/>
  <c r="I68" i="7" s="1"/>
  <c r="H29" i="7"/>
  <c r="H68" i="7" s="1"/>
  <c r="G29" i="7"/>
  <c r="G68" i="7" s="1"/>
  <c r="F29" i="7"/>
  <c r="F68" i="7" s="1"/>
  <c r="E29" i="7"/>
  <c r="E68" i="7" s="1"/>
  <c r="D29" i="7"/>
  <c r="D68" i="7" s="1"/>
  <c r="C29" i="7"/>
  <c r="C68" i="7" s="1"/>
  <c r="B29" i="7"/>
  <c r="B68" i="7" s="1"/>
  <c r="J28" i="7"/>
  <c r="J67" i="7" s="1"/>
  <c r="I28" i="7"/>
  <c r="I67" i="7" s="1"/>
  <c r="H28" i="7"/>
  <c r="H67" i="7" s="1"/>
  <c r="G28" i="7"/>
  <c r="G67" i="7" s="1"/>
  <c r="F28" i="7"/>
  <c r="F67" i="7" s="1"/>
  <c r="E28" i="7"/>
  <c r="E67" i="7" s="1"/>
  <c r="D28" i="7"/>
  <c r="D67" i="7" s="1"/>
  <c r="C28" i="7"/>
  <c r="C67" i="7" s="1"/>
  <c r="B28" i="7"/>
  <c r="B67" i="7" s="1"/>
  <c r="J27" i="7"/>
  <c r="J66" i="7" s="1"/>
  <c r="I27" i="7"/>
  <c r="I66" i="7" s="1"/>
  <c r="H27" i="7"/>
  <c r="H66" i="7" s="1"/>
  <c r="G27" i="7"/>
  <c r="G66" i="7" s="1"/>
  <c r="F27" i="7"/>
  <c r="F66" i="7" s="1"/>
  <c r="E27" i="7"/>
  <c r="E66" i="7" s="1"/>
  <c r="D27" i="7"/>
  <c r="D66" i="7" s="1"/>
  <c r="C27" i="7"/>
  <c r="C66" i="7" s="1"/>
  <c r="B27" i="7"/>
  <c r="B66" i="7" s="1"/>
  <c r="J26" i="7"/>
  <c r="J65" i="7" s="1"/>
  <c r="I26" i="7"/>
  <c r="I65" i="7" s="1"/>
  <c r="H26" i="7"/>
  <c r="H65" i="7" s="1"/>
  <c r="G26" i="7"/>
  <c r="G65" i="7" s="1"/>
  <c r="F26" i="7"/>
  <c r="F65" i="7" s="1"/>
  <c r="E26" i="7"/>
  <c r="E65" i="7" s="1"/>
  <c r="D26" i="7"/>
  <c r="D65" i="7" s="1"/>
  <c r="C26" i="7"/>
  <c r="C65" i="7" s="1"/>
  <c r="B26" i="7"/>
  <c r="B65" i="7" s="1"/>
  <c r="J25" i="7"/>
  <c r="J64" i="7" s="1"/>
  <c r="I25" i="7"/>
  <c r="I64" i="7" s="1"/>
  <c r="H25" i="7"/>
  <c r="H64" i="7" s="1"/>
  <c r="G25" i="7"/>
  <c r="G64" i="7" s="1"/>
  <c r="F25" i="7"/>
  <c r="F64" i="7" s="1"/>
  <c r="E25" i="7"/>
  <c r="E64" i="7" s="1"/>
  <c r="D25" i="7"/>
  <c r="D64" i="7" s="1"/>
  <c r="C25" i="7"/>
  <c r="C64" i="7" s="1"/>
  <c r="B25" i="7"/>
  <c r="B64" i="7" s="1"/>
  <c r="J24" i="7"/>
  <c r="J63" i="7" s="1"/>
  <c r="I24" i="7"/>
  <c r="I63" i="7" s="1"/>
  <c r="H24" i="7"/>
  <c r="H63" i="7" s="1"/>
  <c r="G24" i="7"/>
  <c r="G63" i="7" s="1"/>
  <c r="F24" i="7"/>
  <c r="F63" i="7" s="1"/>
  <c r="E24" i="7"/>
  <c r="E63" i="7" s="1"/>
  <c r="D24" i="7"/>
  <c r="D63" i="7" s="1"/>
  <c r="C24" i="7"/>
  <c r="C63" i="7" s="1"/>
  <c r="B24" i="7"/>
  <c r="B63" i="7" s="1"/>
  <c r="J23" i="7"/>
  <c r="J62" i="7" s="1"/>
  <c r="I23" i="7"/>
  <c r="I62" i="7" s="1"/>
  <c r="H23" i="7"/>
  <c r="H62" i="7" s="1"/>
  <c r="G23" i="7"/>
  <c r="G62" i="7" s="1"/>
  <c r="F23" i="7"/>
  <c r="F62" i="7" s="1"/>
  <c r="E23" i="7"/>
  <c r="E62" i="7" s="1"/>
  <c r="D23" i="7"/>
  <c r="D62" i="7" s="1"/>
  <c r="C23" i="7"/>
  <c r="C62" i="7" s="1"/>
  <c r="B23" i="7"/>
  <c r="B62" i="7" s="1"/>
  <c r="J22" i="7"/>
  <c r="J61" i="7" s="1"/>
  <c r="I22" i="7"/>
  <c r="I61" i="7" s="1"/>
  <c r="H22" i="7"/>
  <c r="H61" i="7" s="1"/>
  <c r="G22" i="7"/>
  <c r="G61" i="7" s="1"/>
  <c r="F22" i="7"/>
  <c r="F61" i="7" s="1"/>
  <c r="E22" i="7"/>
  <c r="E61" i="7" s="1"/>
  <c r="D22" i="7"/>
  <c r="D61" i="7" s="1"/>
  <c r="C22" i="7"/>
  <c r="C61" i="7" s="1"/>
  <c r="B22" i="7"/>
  <c r="B61" i="7" s="1"/>
  <c r="J21" i="7"/>
  <c r="J60" i="7" s="1"/>
  <c r="I21" i="7"/>
  <c r="I60" i="7" s="1"/>
  <c r="H21" i="7"/>
  <c r="H60" i="7" s="1"/>
  <c r="G21" i="7"/>
  <c r="G60" i="7" s="1"/>
  <c r="F21" i="7"/>
  <c r="F60" i="7" s="1"/>
  <c r="E21" i="7"/>
  <c r="E60" i="7" s="1"/>
  <c r="D21" i="7"/>
  <c r="D60" i="7" s="1"/>
  <c r="C21" i="7"/>
  <c r="C60" i="7" s="1"/>
  <c r="B21" i="7"/>
  <c r="B60" i="7" s="1"/>
  <c r="J20" i="7"/>
  <c r="J59" i="7" s="1"/>
  <c r="I20" i="7"/>
  <c r="I59" i="7" s="1"/>
  <c r="H20" i="7"/>
  <c r="H59" i="7" s="1"/>
  <c r="G20" i="7"/>
  <c r="G59" i="7" s="1"/>
  <c r="F20" i="7"/>
  <c r="F59" i="7" s="1"/>
  <c r="E20" i="7"/>
  <c r="E59" i="7" s="1"/>
  <c r="D20" i="7"/>
  <c r="D59" i="7" s="1"/>
  <c r="C20" i="7"/>
  <c r="C59" i="7" s="1"/>
  <c r="B20" i="7"/>
  <c r="B59" i="7" s="1"/>
  <c r="J19" i="7"/>
  <c r="J58" i="7" s="1"/>
  <c r="I19" i="7"/>
  <c r="I58" i="7" s="1"/>
  <c r="H19" i="7"/>
  <c r="H58" i="7" s="1"/>
  <c r="G19" i="7"/>
  <c r="G58" i="7" s="1"/>
  <c r="F19" i="7"/>
  <c r="F58" i="7" s="1"/>
  <c r="E19" i="7"/>
  <c r="E58" i="7" s="1"/>
  <c r="D19" i="7"/>
  <c r="D58" i="7" s="1"/>
  <c r="C19" i="7"/>
  <c r="C58" i="7" s="1"/>
  <c r="B19" i="7"/>
  <c r="B58" i="7" s="1"/>
  <c r="J18" i="7"/>
  <c r="J57" i="7" s="1"/>
  <c r="I18" i="7"/>
  <c r="I57" i="7" s="1"/>
  <c r="H18" i="7"/>
  <c r="H57" i="7" s="1"/>
  <c r="G18" i="7"/>
  <c r="G57" i="7" s="1"/>
  <c r="F18" i="7"/>
  <c r="F57" i="7" s="1"/>
  <c r="E18" i="7"/>
  <c r="E57" i="7" s="1"/>
  <c r="D18" i="7"/>
  <c r="D57" i="7" s="1"/>
  <c r="C18" i="7"/>
  <c r="C57" i="7" s="1"/>
  <c r="B18" i="7"/>
  <c r="B57" i="7" s="1"/>
  <c r="J17" i="7"/>
  <c r="J56" i="7" s="1"/>
  <c r="I17" i="7"/>
  <c r="I56" i="7" s="1"/>
  <c r="H17" i="7"/>
  <c r="H56" i="7" s="1"/>
  <c r="G17" i="7"/>
  <c r="G56" i="7" s="1"/>
  <c r="F17" i="7"/>
  <c r="F56" i="7" s="1"/>
  <c r="E17" i="7"/>
  <c r="E56" i="7" s="1"/>
  <c r="D17" i="7"/>
  <c r="D56" i="7" s="1"/>
  <c r="C17" i="7"/>
  <c r="C56" i="7" s="1"/>
  <c r="B17" i="7"/>
  <c r="B56" i="7" s="1"/>
  <c r="J16" i="7"/>
  <c r="J55" i="7" s="1"/>
  <c r="I16" i="7"/>
  <c r="I55" i="7" s="1"/>
  <c r="H16" i="7"/>
  <c r="H55" i="7" s="1"/>
  <c r="G16" i="7"/>
  <c r="G55" i="7" s="1"/>
  <c r="F16" i="7"/>
  <c r="F55" i="7" s="1"/>
  <c r="E16" i="7"/>
  <c r="E55" i="7" s="1"/>
  <c r="D16" i="7"/>
  <c r="D55" i="7" s="1"/>
  <c r="C16" i="7"/>
  <c r="C55" i="7" s="1"/>
  <c r="B16" i="7"/>
  <c r="B55" i="7" s="1"/>
  <c r="J15" i="7"/>
  <c r="J54" i="7" s="1"/>
  <c r="I15" i="7"/>
  <c r="I54" i="7" s="1"/>
  <c r="H15" i="7"/>
  <c r="H54" i="7" s="1"/>
  <c r="G15" i="7"/>
  <c r="G54" i="7" s="1"/>
  <c r="F15" i="7"/>
  <c r="F54" i="7" s="1"/>
  <c r="E15" i="7"/>
  <c r="E54" i="7" s="1"/>
  <c r="D15" i="7"/>
  <c r="D54" i="7" s="1"/>
  <c r="C15" i="7"/>
  <c r="C54" i="7" s="1"/>
  <c r="B15" i="7"/>
  <c r="B54" i="7" s="1"/>
  <c r="J14" i="7"/>
  <c r="J53" i="7" s="1"/>
  <c r="I14" i="7"/>
  <c r="I53" i="7" s="1"/>
  <c r="H14" i="7"/>
  <c r="H53" i="7" s="1"/>
  <c r="G14" i="7"/>
  <c r="G53" i="7" s="1"/>
  <c r="F14" i="7"/>
  <c r="F53" i="7" s="1"/>
  <c r="E14" i="7"/>
  <c r="E53" i="7" s="1"/>
  <c r="D14" i="7"/>
  <c r="D53" i="7" s="1"/>
  <c r="C14" i="7"/>
  <c r="C53" i="7" s="1"/>
  <c r="B14" i="7"/>
  <c r="B53" i="7" s="1"/>
  <c r="J13" i="7"/>
  <c r="J52" i="7" s="1"/>
  <c r="I13" i="7"/>
  <c r="I52" i="7" s="1"/>
  <c r="H13" i="7"/>
  <c r="H52" i="7" s="1"/>
  <c r="G13" i="7"/>
  <c r="G52" i="7" s="1"/>
  <c r="F13" i="7"/>
  <c r="F52" i="7" s="1"/>
  <c r="E13" i="7"/>
  <c r="E52" i="7" s="1"/>
  <c r="D13" i="7"/>
  <c r="D52" i="7" s="1"/>
  <c r="C13" i="7"/>
  <c r="C52" i="7" s="1"/>
  <c r="B13" i="7"/>
  <c r="B52" i="7" s="1"/>
  <c r="J12" i="7"/>
  <c r="J51" i="7" s="1"/>
  <c r="I12" i="7"/>
  <c r="I51" i="7" s="1"/>
  <c r="H12" i="7"/>
  <c r="H51" i="7" s="1"/>
  <c r="G12" i="7"/>
  <c r="G51" i="7" s="1"/>
  <c r="F12" i="7"/>
  <c r="F51" i="7" s="1"/>
  <c r="E12" i="7"/>
  <c r="E51" i="7" s="1"/>
  <c r="D12" i="7"/>
  <c r="D51" i="7" s="1"/>
  <c r="C12" i="7"/>
  <c r="C51" i="7" s="1"/>
  <c r="B12" i="7"/>
  <c r="B51" i="7" s="1"/>
  <c r="J11" i="7"/>
  <c r="J50" i="7" s="1"/>
  <c r="I11" i="7"/>
  <c r="I50" i="7" s="1"/>
  <c r="H11" i="7"/>
  <c r="H50" i="7" s="1"/>
  <c r="G11" i="7"/>
  <c r="G50" i="7" s="1"/>
  <c r="F11" i="7"/>
  <c r="F50" i="7" s="1"/>
  <c r="E11" i="7"/>
  <c r="E50" i="7" s="1"/>
  <c r="D11" i="7"/>
  <c r="D50" i="7" s="1"/>
  <c r="C11" i="7"/>
  <c r="C50" i="7" s="1"/>
  <c r="B11" i="7"/>
  <c r="B50" i="7" s="1"/>
  <c r="J10" i="7"/>
  <c r="J49" i="7" s="1"/>
  <c r="I10" i="7"/>
  <c r="I49" i="7" s="1"/>
  <c r="H10" i="7"/>
  <c r="H49" i="7" s="1"/>
  <c r="G10" i="7"/>
  <c r="G49" i="7" s="1"/>
  <c r="F10" i="7"/>
  <c r="F49" i="7" s="1"/>
  <c r="E10" i="7"/>
  <c r="E49" i="7" s="1"/>
  <c r="D10" i="7"/>
  <c r="D49" i="7" s="1"/>
  <c r="C10" i="7"/>
  <c r="C49" i="7" s="1"/>
  <c r="B10" i="7"/>
  <c r="B49" i="7" s="1"/>
  <c r="J9" i="7"/>
  <c r="J48" i="7" s="1"/>
  <c r="I9" i="7"/>
  <c r="I48" i="7" s="1"/>
  <c r="H9" i="7"/>
  <c r="H48" i="7" s="1"/>
  <c r="G9" i="7"/>
  <c r="G48" i="7" s="1"/>
  <c r="F9" i="7"/>
  <c r="F48" i="7" s="1"/>
  <c r="E9" i="7"/>
  <c r="E48" i="7" s="1"/>
  <c r="D9" i="7"/>
  <c r="D48" i="7" s="1"/>
  <c r="C9" i="7"/>
  <c r="C48" i="7" s="1"/>
  <c r="B9" i="7"/>
  <c r="B48" i="7" s="1"/>
  <c r="J8" i="7"/>
  <c r="J47" i="7" s="1"/>
  <c r="I8" i="7"/>
  <c r="I47" i="7" s="1"/>
  <c r="H8" i="7"/>
  <c r="H47" i="7" s="1"/>
  <c r="G8" i="7"/>
  <c r="G47" i="7" s="1"/>
  <c r="F8" i="7"/>
  <c r="F47" i="7" s="1"/>
  <c r="E8" i="7"/>
  <c r="E47" i="7" s="1"/>
  <c r="D8" i="7"/>
  <c r="D47" i="7" s="1"/>
  <c r="C8" i="7"/>
  <c r="C47" i="7" s="1"/>
  <c r="B8" i="7"/>
  <c r="B47" i="7" s="1"/>
  <c r="J7" i="7"/>
  <c r="J46" i="7" s="1"/>
  <c r="I7" i="7"/>
  <c r="I46" i="7" s="1"/>
  <c r="H7" i="7"/>
  <c r="H46" i="7" s="1"/>
  <c r="G7" i="7"/>
  <c r="G46" i="7" s="1"/>
  <c r="F7" i="7"/>
  <c r="F46" i="7" s="1"/>
  <c r="E7" i="7"/>
  <c r="E46" i="7" s="1"/>
  <c r="D7" i="7"/>
  <c r="D46" i="7" s="1"/>
  <c r="C7" i="7"/>
  <c r="C46" i="7" s="1"/>
  <c r="B7" i="7"/>
  <c r="B46" i="7" s="1"/>
  <c r="J6" i="7"/>
  <c r="J45" i="7" s="1"/>
  <c r="I6" i="7"/>
  <c r="I45" i="7" s="1"/>
  <c r="H6" i="7"/>
  <c r="H45" i="7" s="1"/>
  <c r="G6" i="7"/>
  <c r="G45" i="7" s="1"/>
  <c r="F6" i="7"/>
  <c r="F45" i="7" s="1"/>
  <c r="E6" i="7"/>
  <c r="E45" i="7" s="1"/>
  <c r="D6" i="7"/>
  <c r="D45" i="7" s="1"/>
  <c r="C6" i="7"/>
  <c r="C45" i="7" s="1"/>
  <c r="B6" i="7"/>
  <c r="B45" i="7" s="1"/>
  <c r="N37" i="7"/>
  <c r="O5" i="7"/>
  <c r="O36" i="9" l="1"/>
  <c r="O28" i="9"/>
  <c r="O20" i="9"/>
  <c r="O26" i="8"/>
  <c r="O20" i="8"/>
  <c r="O19" i="9"/>
  <c r="O34" i="9"/>
  <c r="O18" i="9"/>
  <c r="O10" i="8"/>
  <c r="O12" i="9"/>
  <c r="O13" i="8"/>
  <c r="O32" i="8"/>
  <c r="O14" i="9"/>
  <c r="O22" i="9"/>
  <c r="O9" i="8"/>
  <c r="O29" i="9"/>
  <c r="O21" i="9"/>
  <c r="O23" i="9"/>
  <c r="O10" i="9"/>
  <c r="O33" i="8"/>
  <c r="O28" i="8"/>
  <c r="O11" i="9"/>
  <c r="O13" i="9"/>
  <c r="O9" i="9"/>
  <c r="O12" i="8"/>
  <c r="O33" i="9"/>
  <c r="O17" i="9"/>
  <c r="O25" i="9"/>
  <c r="O29" i="8"/>
  <c r="O6" i="9"/>
  <c r="O25" i="8"/>
  <c r="O30" i="9"/>
  <c r="O17" i="8"/>
  <c r="O26" i="9"/>
  <c r="O27" i="8"/>
  <c r="O7" i="8"/>
  <c r="O18" i="8"/>
  <c r="O31" i="9"/>
  <c r="O15" i="9"/>
  <c r="O8" i="8"/>
  <c r="O23" i="8"/>
  <c r="O34" i="8"/>
  <c r="O15" i="8"/>
  <c r="O27" i="9"/>
  <c r="O14" i="8"/>
  <c r="O19" i="8"/>
  <c r="O35" i="9"/>
  <c r="O21" i="8"/>
  <c r="O7" i="9"/>
  <c r="O24" i="8"/>
  <c r="O31" i="8"/>
  <c r="O32" i="9"/>
  <c r="O24" i="9"/>
  <c r="O16" i="9"/>
  <c r="O11" i="8"/>
  <c r="O16" i="8"/>
  <c r="O22" i="8"/>
  <c r="L37" i="9"/>
  <c r="O30" i="8"/>
  <c r="F76" i="7"/>
  <c r="B76" i="7"/>
  <c r="M37" i="9"/>
  <c r="D76" i="7"/>
  <c r="E76" i="7"/>
  <c r="I76" i="7"/>
  <c r="H76" i="7"/>
  <c r="C76" i="7"/>
  <c r="G76" i="7"/>
  <c r="J76" i="7"/>
  <c r="O6" i="8"/>
  <c r="O8" i="9"/>
  <c r="K37" i="9"/>
  <c r="M6" i="7"/>
  <c r="M45" i="7" s="1"/>
  <c r="L7" i="7"/>
  <c r="L46" i="7" s="1"/>
  <c r="K8" i="7"/>
  <c r="K47" i="7" s="1"/>
  <c r="M9" i="7"/>
  <c r="M48" i="7" s="1"/>
  <c r="L10" i="7"/>
  <c r="L49" i="7" s="1"/>
  <c r="K11" i="7"/>
  <c r="K50" i="7" s="1"/>
  <c r="M12" i="7"/>
  <c r="M51" i="7" s="1"/>
  <c r="L13" i="7"/>
  <c r="L52" i="7" s="1"/>
  <c r="K14" i="7"/>
  <c r="K53" i="7" s="1"/>
  <c r="K16" i="7"/>
  <c r="K55" i="7" s="1"/>
  <c r="M17" i="7"/>
  <c r="M56" i="7" s="1"/>
  <c r="L18" i="7"/>
  <c r="L57" i="7" s="1"/>
  <c r="K19" i="7"/>
  <c r="K58" i="7" s="1"/>
  <c r="M20" i="7"/>
  <c r="M59" i="7" s="1"/>
  <c r="L21" i="7"/>
  <c r="L60" i="7" s="1"/>
  <c r="M25" i="7"/>
  <c r="M64" i="7" s="1"/>
  <c r="L26" i="7"/>
  <c r="L65" i="7" s="1"/>
  <c r="L29" i="7"/>
  <c r="L68" i="7" s="1"/>
  <c r="K30" i="7"/>
  <c r="K69" i="7" s="1"/>
  <c r="K35" i="7"/>
  <c r="K74" i="7" s="1"/>
  <c r="M36" i="7"/>
  <c r="M75" i="7" s="1"/>
  <c r="K6" i="7"/>
  <c r="K45" i="7" s="1"/>
  <c r="M7" i="7"/>
  <c r="M46" i="7" s="1"/>
  <c r="L8" i="7"/>
  <c r="L47" i="7" s="1"/>
  <c r="K9" i="7"/>
  <c r="K48" i="7" s="1"/>
  <c r="M10" i="7"/>
  <c r="M49" i="7" s="1"/>
  <c r="L11" i="7"/>
  <c r="L50" i="7" s="1"/>
  <c r="K12" i="7"/>
  <c r="L16" i="7"/>
  <c r="L55" i="7" s="1"/>
  <c r="K17" i="7"/>
  <c r="M18" i="7"/>
  <c r="M57" i="7" s="1"/>
  <c r="L19" i="7"/>
  <c r="L58" i="7" s="1"/>
  <c r="K20" i="7"/>
  <c r="M23" i="7"/>
  <c r="M62" i="7" s="1"/>
  <c r="K25" i="7"/>
  <c r="K64" i="7" s="1"/>
  <c r="M26" i="7"/>
  <c r="M65" i="7" s="1"/>
  <c r="L27" i="7"/>
  <c r="L66" i="7" s="1"/>
  <c r="K28" i="7"/>
  <c r="K67" i="7" s="1"/>
  <c r="M31" i="7"/>
  <c r="M70" i="7" s="1"/>
  <c r="L32" i="7"/>
  <c r="L71" i="7" s="1"/>
  <c r="K33" i="7"/>
  <c r="K72" i="7" s="1"/>
  <c r="M34" i="7"/>
  <c r="M73" i="7" s="1"/>
  <c r="L35" i="7"/>
  <c r="L74" i="7" s="1"/>
  <c r="K36" i="7"/>
  <c r="K75" i="7" s="1"/>
  <c r="M30" i="7"/>
  <c r="M69" i="7" s="1"/>
  <c r="K22" i="7"/>
  <c r="K61" i="7" s="1"/>
  <c r="M28" i="7"/>
  <c r="M67" i="7" s="1"/>
  <c r="M14" i="7"/>
  <c r="M53" i="7" s="1"/>
  <c r="L15" i="7"/>
  <c r="L54" i="7" s="1"/>
  <c r="K24" i="7"/>
  <c r="K63" i="7" s="1"/>
  <c r="L31" i="7"/>
  <c r="L70" i="7" s="1"/>
  <c r="K32" i="7"/>
  <c r="K71" i="7" s="1"/>
  <c r="L6" i="7"/>
  <c r="L45" i="7" s="1"/>
  <c r="K7" i="7"/>
  <c r="M8" i="7"/>
  <c r="M47" i="7" s="1"/>
  <c r="L9" i="7"/>
  <c r="L48" i="7" s="1"/>
  <c r="E37" i="7"/>
  <c r="D37" i="7"/>
  <c r="L12" i="7"/>
  <c r="L51" i="7" s="1"/>
  <c r="K13" i="7"/>
  <c r="K52" i="7" s="1"/>
  <c r="J37" i="7"/>
  <c r="L14" i="7"/>
  <c r="L53" i="7" s="1"/>
  <c r="K15" i="7"/>
  <c r="K54" i="7" s="1"/>
  <c r="M16" i="7"/>
  <c r="M55" i="7" s="1"/>
  <c r="L17" i="7"/>
  <c r="L56" i="7" s="1"/>
  <c r="K18" i="7"/>
  <c r="M19" i="7"/>
  <c r="M58" i="7" s="1"/>
  <c r="L20" i="7"/>
  <c r="L59" i="7" s="1"/>
  <c r="K21" i="7"/>
  <c r="K60" i="7" s="1"/>
  <c r="M21" i="7"/>
  <c r="M60" i="7" s="1"/>
  <c r="L22" i="7"/>
  <c r="L61" i="7" s="1"/>
  <c r="K23" i="7"/>
  <c r="K62" i="7" s="1"/>
  <c r="M24" i="7"/>
  <c r="M63" i="7" s="1"/>
  <c r="L25" i="7"/>
  <c r="L64" i="7" s="1"/>
  <c r="K26" i="7"/>
  <c r="K65" i="7" s="1"/>
  <c r="M27" i="7"/>
  <c r="M66" i="7" s="1"/>
  <c r="L28" i="7"/>
  <c r="L67" i="7" s="1"/>
  <c r="K29" i="7"/>
  <c r="K68" i="7" s="1"/>
  <c r="M29" i="7"/>
  <c r="M68" i="7" s="1"/>
  <c r="L30" i="7"/>
  <c r="L69" i="7" s="1"/>
  <c r="K31" i="7"/>
  <c r="K70" i="7" s="1"/>
  <c r="M32" i="7"/>
  <c r="M71" i="7" s="1"/>
  <c r="L33" i="7"/>
  <c r="L72" i="7" s="1"/>
  <c r="K34" i="7"/>
  <c r="K73" i="7" s="1"/>
  <c r="M35" i="7"/>
  <c r="M74" i="7" s="1"/>
  <c r="L36" i="7"/>
  <c r="L75" i="7" s="1"/>
  <c r="M22" i="7"/>
  <c r="M61" i="7" s="1"/>
  <c r="L23" i="7"/>
  <c r="L62" i="7" s="1"/>
  <c r="K27" i="7"/>
  <c r="K66" i="7" s="1"/>
  <c r="M33" i="7"/>
  <c r="M72" i="7" s="1"/>
  <c r="L34" i="7"/>
  <c r="L73" i="7" s="1"/>
  <c r="L24" i="7"/>
  <c r="L63" i="7" s="1"/>
  <c r="M15" i="7"/>
  <c r="M54" i="7" s="1"/>
  <c r="F37" i="7"/>
  <c r="G37" i="7"/>
  <c r="M13" i="7"/>
  <c r="M52" i="7" s="1"/>
  <c r="H37" i="7"/>
  <c r="M11" i="7"/>
  <c r="M50" i="7" s="1"/>
  <c r="I37" i="7"/>
  <c r="K10" i="7"/>
  <c r="B37" i="7"/>
  <c r="C37" i="7"/>
  <c r="A15" i="2"/>
  <c r="K51" i="7" l="1"/>
  <c r="O51" i="7" s="1"/>
  <c r="K49" i="7"/>
  <c r="O49" i="7" s="1"/>
  <c r="K57" i="7"/>
  <c r="O57" i="7" s="1"/>
  <c r="K46" i="7"/>
  <c r="K56" i="7"/>
  <c r="O56" i="7" s="1"/>
  <c r="O45" i="7"/>
  <c r="K59" i="7"/>
  <c r="O59" i="7" s="1"/>
  <c r="O37" i="9"/>
  <c r="O54" i="7"/>
  <c r="O47" i="7"/>
  <c r="O55" i="7"/>
  <c r="O50" i="7"/>
  <c r="O52" i="7"/>
  <c r="O48" i="7"/>
  <c r="O58" i="7"/>
  <c r="O53" i="7"/>
  <c r="M76" i="7"/>
  <c r="L76" i="7"/>
  <c r="O25" i="7"/>
  <c r="O64" i="7" s="1"/>
  <c r="O11" i="7"/>
  <c r="O6" i="7"/>
  <c r="O20" i="7"/>
  <c r="O28" i="7"/>
  <c r="O67" i="7" s="1"/>
  <c r="O33" i="7"/>
  <c r="O72" i="7" s="1"/>
  <c r="O26" i="7"/>
  <c r="O65" i="7" s="1"/>
  <c r="O12" i="7"/>
  <c r="O16" i="7"/>
  <c r="O9" i="7"/>
  <c r="O19" i="7"/>
  <c r="O17" i="7"/>
  <c r="O30" i="7"/>
  <c r="O69" i="7" s="1"/>
  <c r="O8" i="7"/>
  <c r="O36" i="7"/>
  <c r="O75" i="7" s="1"/>
  <c r="O35" i="7"/>
  <c r="O74" i="7" s="1"/>
  <c r="O10" i="7"/>
  <c r="O24" i="7"/>
  <c r="O63" i="7" s="1"/>
  <c r="O34" i="7"/>
  <c r="O73" i="7" s="1"/>
  <c r="O18" i="7"/>
  <c r="O14" i="7"/>
  <c r="O31" i="7"/>
  <c r="O70" i="7" s="1"/>
  <c r="O32" i="7"/>
  <c r="O71" i="7" s="1"/>
  <c r="O27" i="7"/>
  <c r="O66" i="7" s="1"/>
  <c r="O15" i="7"/>
  <c r="O22" i="7"/>
  <c r="O61" i="7" s="1"/>
  <c r="O21" i="7"/>
  <c r="O60" i="7" s="1"/>
  <c r="O29" i="7"/>
  <c r="O68" i="7" s="1"/>
  <c r="O13" i="7"/>
  <c r="K37" i="7"/>
  <c r="O23" i="7"/>
  <c r="O62" i="7" s="1"/>
  <c r="O7" i="7"/>
  <c r="L37" i="7"/>
  <c r="M37" i="7"/>
  <c r="J36" i="51"/>
  <c r="I36" i="51"/>
  <c r="H36" i="51"/>
  <c r="G36" i="51"/>
  <c r="F36" i="51"/>
  <c r="E36" i="51"/>
  <c r="D36" i="51"/>
  <c r="C36" i="51"/>
  <c r="B36" i="51"/>
  <c r="J35" i="51"/>
  <c r="I35" i="51"/>
  <c r="H35" i="51"/>
  <c r="G35" i="51"/>
  <c r="F35" i="51"/>
  <c r="E35" i="51"/>
  <c r="D35" i="51"/>
  <c r="C35" i="51"/>
  <c r="B35" i="51"/>
  <c r="J34" i="51"/>
  <c r="I34" i="51"/>
  <c r="H34" i="51"/>
  <c r="G34" i="51"/>
  <c r="F34" i="51"/>
  <c r="E34" i="51"/>
  <c r="D34" i="51"/>
  <c r="C34" i="51"/>
  <c r="B34" i="51"/>
  <c r="J33" i="51"/>
  <c r="I33" i="51"/>
  <c r="H33" i="51"/>
  <c r="G33" i="51"/>
  <c r="F33" i="51"/>
  <c r="E33" i="51"/>
  <c r="D33" i="51"/>
  <c r="C33" i="51"/>
  <c r="B33" i="51"/>
  <c r="J32" i="51"/>
  <c r="I32" i="51"/>
  <c r="H32" i="51"/>
  <c r="G32" i="51"/>
  <c r="F32" i="51"/>
  <c r="E32" i="51"/>
  <c r="D32" i="51"/>
  <c r="C32" i="51"/>
  <c r="B32" i="51"/>
  <c r="J31" i="51"/>
  <c r="I31" i="51"/>
  <c r="H31" i="51"/>
  <c r="G31" i="51"/>
  <c r="F31" i="51"/>
  <c r="E31" i="51"/>
  <c r="D31" i="51"/>
  <c r="C31" i="51"/>
  <c r="B31" i="51"/>
  <c r="J30" i="51"/>
  <c r="I30" i="51"/>
  <c r="H30" i="51"/>
  <c r="G30" i="51"/>
  <c r="F30" i="51"/>
  <c r="E30" i="51"/>
  <c r="D30" i="51"/>
  <c r="C30" i="51"/>
  <c r="B30" i="51"/>
  <c r="J29" i="51"/>
  <c r="I29" i="51"/>
  <c r="H29" i="51"/>
  <c r="G29" i="51"/>
  <c r="F29" i="51"/>
  <c r="E29" i="51"/>
  <c r="D29" i="51"/>
  <c r="C29" i="51"/>
  <c r="B29" i="51"/>
  <c r="J28" i="51"/>
  <c r="I28" i="51"/>
  <c r="H28" i="51"/>
  <c r="G28" i="51"/>
  <c r="F28" i="51"/>
  <c r="E28" i="51"/>
  <c r="D28" i="51"/>
  <c r="C28" i="51"/>
  <c r="B28" i="51"/>
  <c r="J27" i="51"/>
  <c r="I27" i="51"/>
  <c r="H27" i="51"/>
  <c r="G27" i="51"/>
  <c r="F27" i="51"/>
  <c r="E27" i="51"/>
  <c r="D27" i="51"/>
  <c r="C27" i="51"/>
  <c r="B27" i="51"/>
  <c r="J26" i="51"/>
  <c r="I26" i="51"/>
  <c r="H26" i="51"/>
  <c r="G26" i="51"/>
  <c r="F26" i="51"/>
  <c r="E26" i="51"/>
  <c r="D26" i="51"/>
  <c r="C26" i="51"/>
  <c r="B26" i="51"/>
  <c r="J25" i="51"/>
  <c r="I25" i="51"/>
  <c r="H25" i="51"/>
  <c r="G25" i="51"/>
  <c r="F25" i="51"/>
  <c r="E25" i="51"/>
  <c r="D25" i="51"/>
  <c r="C25" i="51"/>
  <c r="B25" i="51"/>
  <c r="J24" i="51"/>
  <c r="I24" i="51"/>
  <c r="H24" i="51"/>
  <c r="G24" i="51"/>
  <c r="F24" i="51"/>
  <c r="E24" i="51"/>
  <c r="D24" i="51"/>
  <c r="C24" i="51"/>
  <c r="B24" i="51"/>
  <c r="J23" i="51"/>
  <c r="I23" i="51"/>
  <c r="H23" i="51"/>
  <c r="G23" i="51"/>
  <c r="F23" i="51"/>
  <c r="E23" i="51"/>
  <c r="D23" i="51"/>
  <c r="C23" i="51"/>
  <c r="B23" i="51"/>
  <c r="J22" i="51"/>
  <c r="I22" i="51"/>
  <c r="H22" i="51"/>
  <c r="G22" i="51"/>
  <c r="F22" i="51"/>
  <c r="E22" i="51"/>
  <c r="D22" i="51"/>
  <c r="C22" i="51"/>
  <c r="B22" i="51"/>
  <c r="J21" i="51"/>
  <c r="I21" i="51"/>
  <c r="H21" i="51"/>
  <c r="G21" i="51"/>
  <c r="F21" i="51"/>
  <c r="E21" i="51"/>
  <c r="D21" i="51"/>
  <c r="C21" i="51"/>
  <c r="B21" i="51"/>
  <c r="J20" i="51"/>
  <c r="I20" i="51"/>
  <c r="H20" i="51"/>
  <c r="G20" i="51"/>
  <c r="F20" i="51"/>
  <c r="E20" i="51"/>
  <c r="D20" i="51"/>
  <c r="C20" i="51"/>
  <c r="B20" i="51"/>
  <c r="J19" i="51"/>
  <c r="I19" i="51"/>
  <c r="H19" i="51"/>
  <c r="G19" i="51"/>
  <c r="F19" i="51"/>
  <c r="E19" i="51"/>
  <c r="D19" i="51"/>
  <c r="C19" i="51"/>
  <c r="B19" i="51"/>
  <c r="J18" i="51"/>
  <c r="I18" i="51"/>
  <c r="H18" i="51"/>
  <c r="G18" i="51"/>
  <c r="F18" i="51"/>
  <c r="E18" i="51"/>
  <c r="D18" i="51"/>
  <c r="C18" i="51"/>
  <c r="B18" i="51"/>
  <c r="J17" i="51"/>
  <c r="I17" i="51"/>
  <c r="H17" i="51"/>
  <c r="G17" i="51"/>
  <c r="F17" i="51"/>
  <c r="E17" i="51"/>
  <c r="D17" i="51"/>
  <c r="C17" i="51"/>
  <c r="B17" i="51"/>
  <c r="J16" i="51"/>
  <c r="I16" i="51"/>
  <c r="H16" i="51"/>
  <c r="G16" i="51"/>
  <c r="F16" i="51"/>
  <c r="E16" i="51"/>
  <c r="D16" i="51"/>
  <c r="C16" i="51"/>
  <c r="B16" i="51"/>
  <c r="J15" i="51"/>
  <c r="I15" i="51"/>
  <c r="H15" i="51"/>
  <c r="G15" i="51"/>
  <c r="F15" i="51"/>
  <c r="E15" i="51"/>
  <c r="D15" i="51"/>
  <c r="C15" i="51"/>
  <c r="B15" i="51"/>
  <c r="J14" i="51"/>
  <c r="I14" i="51"/>
  <c r="H14" i="51"/>
  <c r="G14" i="51"/>
  <c r="F14" i="51"/>
  <c r="E14" i="51"/>
  <c r="D14" i="51"/>
  <c r="C14" i="51"/>
  <c r="B14" i="51"/>
  <c r="J13" i="51"/>
  <c r="I13" i="51"/>
  <c r="H13" i="51"/>
  <c r="G13" i="51"/>
  <c r="F13" i="51"/>
  <c r="E13" i="51"/>
  <c r="D13" i="51"/>
  <c r="C13" i="51"/>
  <c r="B13" i="51"/>
  <c r="J12" i="51"/>
  <c r="I12" i="51"/>
  <c r="H12" i="51"/>
  <c r="G12" i="51"/>
  <c r="F12" i="51"/>
  <c r="E12" i="51"/>
  <c r="D12" i="51"/>
  <c r="C12" i="51"/>
  <c r="B12" i="51"/>
  <c r="J11" i="51"/>
  <c r="I11" i="51"/>
  <c r="H11" i="51"/>
  <c r="G11" i="51"/>
  <c r="F11" i="51"/>
  <c r="E11" i="51"/>
  <c r="D11" i="51"/>
  <c r="C11" i="51"/>
  <c r="B11" i="51"/>
  <c r="J10" i="51"/>
  <c r="I10" i="51"/>
  <c r="H10" i="51"/>
  <c r="G10" i="51"/>
  <c r="F10" i="51"/>
  <c r="E10" i="51"/>
  <c r="D10" i="51"/>
  <c r="C10" i="51"/>
  <c r="B10" i="51"/>
  <c r="J9" i="51"/>
  <c r="I9" i="51"/>
  <c r="H9" i="51"/>
  <c r="G9" i="51"/>
  <c r="F9" i="51"/>
  <c r="E9" i="51"/>
  <c r="D9" i="51"/>
  <c r="C9" i="51"/>
  <c r="B9" i="51"/>
  <c r="J8" i="51"/>
  <c r="I8" i="51"/>
  <c r="H8" i="51"/>
  <c r="G8" i="51"/>
  <c r="F8" i="51"/>
  <c r="E8" i="51"/>
  <c r="D8" i="51"/>
  <c r="C8" i="51"/>
  <c r="B8" i="51"/>
  <c r="J7" i="51"/>
  <c r="I7" i="51"/>
  <c r="H7" i="51"/>
  <c r="G7" i="51"/>
  <c r="F7" i="51"/>
  <c r="E7" i="51"/>
  <c r="D7" i="51"/>
  <c r="C7" i="51"/>
  <c r="B7" i="51"/>
  <c r="J6" i="51"/>
  <c r="I6" i="51"/>
  <c r="H6" i="51"/>
  <c r="G6" i="51"/>
  <c r="F6" i="51"/>
  <c r="E6" i="51"/>
  <c r="D6" i="51"/>
  <c r="C6" i="51"/>
  <c r="B6" i="51"/>
  <c r="T37" i="51"/>
  <c r="E15" i="2" s="1"/>
  <c r="U5" i="51"/>
  <c r="I35" i="48"/>
  <c r="I34" i="48"/>
  <c r="I33" i="48"/>
  <c r="I32" i="48"/>
  <c r="I31" i="48"/>
  <c r="I30" i="48"/>
  <c r="I29" i="48"/>
  <c r="I28" i="48"/>
  <c r="I27" i="48"/>
  <c r="I26" i="48"/>
  <c r="I25" i="48"/>
  <c r="I24" i="48"/>
  <c r="I23" i="48"/>
  <c r="I22" i="48"/>
  <c r="I21" i="48"/>
  <c r="I20" i="48"/>
  <c r="I19" i="48"/>
  <c r="I18" i="48"/>
  <c r="I17" i="48"/>
  <c r="I16" i="48"/>
  <c r="I15" i="48"/>
  <c r="I14" i="48"/>
  <c r="I13" i="48"/>
  <c r="I12" i="48"/>
  <c r="I11" i="48"/>
  <c r="I10" i="48"/>
  <c r="I9" i="48"/>
  <c r="I8" i="48"/>
  <c r="I7" i="48"/>
  <c r="I6" i="48"/>
  <c r="I5" i="48"/>
  <c r="S7" i="51" l="1"/>
  <c r="R8" i="51"/>
  <c r="S15" i="51"/>
  <c r="R16" i="51"/>
  <c r="Q17" i="51"/>
  <c r="S23" i="51"/>
  <c r="R24" i="51"/>
  <c r="Q25" i="51"/>
  <c r="S31" i="51"/>
  <c r="R32" i="51"/>
  <c r="Q33" i="51"/>
  <c r="S16" i="51"/>
  <c r="R17" i="51"/>
  <c r="Q18" i="51"/>
  <c r="S24" i="51"/>
  <c r="R25" i="51"/>
  <c r="Q26" i="51"/>
  <c r="S32" i="51"/>
  <c r="R33" i="51"/>
  <c r="Q34" i="51"/>
  <c r="Q9" i="51"/>
  <c r="S8" i="51"/>
  <c r="R9" i="51"/>
  <c r="Q10" i="51"/>
  <c r="S10" i="51"/>
  <c r="R11" i="51"/>
  <c r="Q12" i="51"/>
  <c r="S18" i="51"/>
  <c r="R19" i="51"/>
  <c r="Q20" i="51"/>
  <c r="S26" i="51"/>
  <c r="R27" i="51"/>
  <c r="Q28" i="51"/>
  <c r="S11" i="51"/>
  <c r="R12" i="51"/>
  <c r="Q13" i="51"/>
  <c r="R6" i="51"/>
  <c r="Q7" i="51"/>
  <c r="S13" i="51"/>
  <c r="R14" i="51"/>
  <c r="Q15" i="51"/>
  <c r="S21" i="51"/>
  <c r="R22" i="51"/>
  <c r="Q23" i="51"/>
  <c r="S6" i="51"/>
  <c r="R7" i="51"/>
  <c r="S9" i="51"/>
  <c r="R10" i="51"/>
  <c r="Q11" i="51"/>
  <c r="S17" i="51"/>
  <c r="R18" i="51"/>
  <c r="Q19" i="51"/>
  <c r="S25" i="51"/>
  <c r="R26" i="51"/>
  <c r="Q27" i="51"/>
  <c r="S33" i="51"/>
  <c r="R34" i="51"/>
  <c r="Q35" i="51"/>
  <c r="S34" i="51"/>
  <c r="R35" i="51"/>
  <c r="Q36" i="51"/>
  <c r="S19" i="51"/>
  <c r="R20" i="51"/>
  <c r="Q21" i="51"/>
  <c r="S27" i="51"/>
  <c r="R28" i="51"/>
  <c r="Q29" i="51"/>
  <c r="S35" i="51"/>
  <c r="R36" i="51"/>
  <c r="Q6" i="51"/>
  <c r="S12" i="51"/>
  <c r="R13" i="51"/>
  <c r="Q14" i="51"/>
  <c r="S20" i="51"/>
  <c r="R21" i="51"/>
  <c r="Q22" i="51"/>
  <c r="S28" i="51"/>
  <c r="R29" i="51"/>
  <c r="Q30" i="51"/>
  <c r="S36" i="51"/>
  <c r="S29" i="51"/>
  <c r="R30" i="51"/>
  <c r="Q31" i="51"/>
  <c r="Q8" i="51"/>
  <c r="S14" i="51"/>
  <c r="R15" i="51"/>
  <c r="Q16" i="51"/>
  <c r="S22" i="51"/>
  <c r="R23" i="51"/>
  <c r="Q24" i="51"/>
  <c r="S30" i="51"/>
  <c r="R31" i="51"/>
  <c r="Q32" i="51"/>
  <c r="K76" i="7"/>
  <c r="O46" i="7"/>
  <c r="O76" i="7" s="1"/>
  <c r="O37" i="7"/>
  <c r="J37" i="51"/>
  <c r="B37" i="51"/>
  <c r="I37" i="51"/>
  <c r="K37" i="51"/>
  <c r="C37" i="51"/>
  <c r="F37" i="51"/>
  <c r="E37" i="51"/>
  <c r="M37" i="51"/>
  <c r="H37" i="51"/>
  <c r="G37" i="51"/>
  <c r="L37" i="51"/>
  <c r="D37" i="51"/>
  <c r="I36" i="48"/>
  <c r="G35" i="48"/>
  <c r="G34" i="48"/>
  <c r="G33" i="48"/>
  <c r="G32" i="48"/>
  <c r="G31" i="48"/>
  <c r="G30" i="48"/>
  <c r="G29" i="48"/>
  <c r="G28" i="48"/>
  <c r="G27" i="48"/>
  <c r="G26" i="48"/>
  <c r="G25" i="48"/>
  <c r="G24" i="48"/>
  <c r="G23" i="48"/>
  <c r="G22" i="48"/>
  <c r="G21" i="48"/>
  <c r="G20" i="48"/>
  <c r="G19" i="48"/>
  <c r="G18" i="48"/>
  <c r="G17" i="48"/>
  <c r="G16" i="48"/>
  <c r="G15" i="48"/>
  <c r="G14" i="48"/>
  <c r="G13" i="48"/>
  <c r="G12" i="48"/>
  <c r="G11" i="48"/>
  <c r="G10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F13" i="48"/>
  <c r="F12" i="48"/>
  <c r="F11" i="48"/>
  <c r="F10" i="48"/>
  <c r="G6" i="48"/>
  <c r="F6" i="48"/>
  <c r="G5" i="48"/>
  <c r="F5" i="48"/>
  <c r="U16" i="51" l="1"/>
  <c r="U12" i="51"/>
  <c r="U21" i="51"/>
  <c r="U10" i="51"/>
  <c r="U11" i="51"/>
  <c r="U22" i="51"/>
  <c r="U32" i="51"/>
  <c r="U26" i="51"/>
  <c r="U28" i="51"/>
  <c r="U24" i="51"/>
  <c r="U17" i="51"/>
  <c r="U8" i="51"/>
  <c r="U30" i="51"/>
  <c r="U25" i="51"/>
  <c r="U9" i="51"/>
  <c r="U14" i="51"/>
  <c r="U18" i="51"/>
  <c r="U36" i="51"/>
  <c r="U35" i="51"/>
  <c r="U19" i="51"/>
  <c r="U34" i="51"/>
  <c r="U33" i="51"/>
  <c r="U20" i="51"/>
  <c r="U13" i="51"/>
  <c r="U23" i="51"/>
  <c r="S37" i="51"/>
  <c r="D15" i="2" s="1"/>
  <c r="U29" i="51"/>
  <c r="U27" i="51"/>
  <c r="U31" i="51"/>
  <c r="U15" i="51"/>
  <c r="R37" i="51"/>
  <c r="C15" i="2" s="1"/>
  <c r="U7" i="51"/>
  <c r="U6" i="51"/>
  <c r="Q37" i="51"/>
  <c r="B15" i="2" s="1"/>
  <c r="H9" i="48"/>
  <c r="H10" i="48"/>
  <c r="H18" i="48"/>
  <c r="H26" i="48"/>
  <c r="H34" i="48"/>
  <c r="H17" i="48"/>
  <c r="H24" i="48"/>
  <c r="H15" i="48"/>
  <c r="H11" i="48"/>
  <c r="H19" i="48"/>
  <c r="H13" i="48"/>
  <c r="H27" i="48"/>
  <c r="H35" i="48"/>
  <c r="H21" i="48"/>
  <c r="H8" i="48"/>
  <c r="H29" i="48"/>
  <c r="H6" i="48"/>
  <c r="H7" i="48"/>
  <c r="H25" i="48"/>
  <c r="H33" i="48"/>
  <c r="H16" i="48"/>
  <c r="H32" i="48"/>
  <c r="H23" i="48"/>
  <c r="H31" i="48"/>
  <c r="H14" i="48"/>
  <c r="H22" i="48"/>
  <c r="H30" i="48"/>
  <c r="H12" i="48"/>
  <c r="H20" i="48"/>
  <c r="H28" i="48"/>
  <c r="G36" i="48"/>
  <c r="H5" i="48"/>
  <c r="F36" i="48"/>
  <c r="U37" i="51" l="1"/>
  <c r="F15" i="2" s="1"/>
  <c r="H36" i="48"/>
  <c r="D35" i="48" l="1"/>
  <c r="C35" i="48"/>
  <c r="B35" i="48"/>
  <c r="D34" i="48"/>
  <c r="C34" i="48"/>
  <c r="B34" i="48"/>
  <c r="D33" i="48"/>
  <c r="C33" i="48"/>
  <c r="B33" i="48"/>
  <c r="D32" i="48"/>
  <c r="C32" i="48"/>
  <c r="B32" i="48"/>
  <c r="D31" i="48"/>
  <c r="C31" i="48"/>
  <c r="B31" i="48"/>
  <c r="D30" i="48"/>
  <c r="C30" i="48"/>
  <c r="B30" i="48"/>
  <c r="D29" i="48"/>
  <c r="C29" i="48"/>
  <c r="B29" i="48"/>
  <c r="D28" i="48"/>
  <c r="C28" i="48"/>
  <c r="B28" i="48"/>
  <c r="D27" i="48"/>
  <c r="C27" i="48"/>
  <c r="B27" i="48"/>
  <c r="D26" i="48"/>
  <c r="C26" i="48"/>
  <c r="B26" i="48"/>
  <c r="D25" i="48"/>
  <c r="C25" i="48"/>
  <c r="B25" i="48"/>
  <c r="D24" i="48"/>
  <c r="C24" i="48"/>
  <c r="B24" i="48"/>
  <c r="D23" i="48"/>
  <c r="C23" i="48"/>
  <c r="B23" i="48"/>
  <c r="D22" i="48"/>
  <c r="C22" i="48"/>
  <c r="B22" i="48"/>
  <c r="D21" i="48"/>
  <c r="C21" i="48"/>
  <c r="B21" i="48"/>
  <c r="D20" i="48"/>
  <c r="C20" i="48"/>
  <c r="B20" i="48"/>
  <c r="D19" i="48"/>
  <c r="C19" i="48"/>
  <c r="B19" i="48"/>
  <c r="D18" i="48"/>
  <c r="C18" i="48"/>
  <c r="B18" i="48"/>
  <c r="D17" i="48"/>
  <c r="C17" i="48"/>
  <c r="B17" i="48"/>
  <c r="D16" i="48"/>
  <c r="C16" i="48"/>
  <c r="B16" i="48"/>
  <c r="D15" i="48"/>
  <c r="C15" i="48"/>
  <c r="B15" i="48"/>
  <c r="D14" i="48"/>
  <c r="C14" i="48"/>
  <c r="B14" i="48"/>
  <c r="D13" i="48"/>
  <c r="C13" i="48"/>
  <c r="B13" i="48"/>
  <c r="D12" i="48"/>
  <c r="C12" i="48"/>
  <c r="B12" i="48"/>
  <c r="D11" i="48"/>
  <c r="C11" i="48"/>
  <c r="B11" i="48"/>
  <c r="D10" i="48"/>
  <c r="C10" i="48"/>
  <c r="B10" i="48"/>
  <c r="D9" i="48"/>
  <c r="C9" i="48"/>
  <c r="B9" i="48"/>
  <c r="D8" i="48"/>
  <c r="C8" i="48"/>
  <c r="B8" i="48"/>
  <c r="D7" i="48"/>
  <c r="C7" i="48"/>
  <c r="B7" i="48"/>
  <c r="D6" i="48"/>
  <c r="C6" i="48"/>
  <c r="B6" i="48"/>
  <c r="C5" i="48"/>
  <c r="B5" i="48"/>
  <c r="E9" i="48" l="1"/>
  <c r="J9" i="48" s="1"/>
  <c r="E25" i="48"/>
  <c r="J25" i="48" s="1"/>
  <c r="E17" i="48"/>
  <c r="J17" i="48" s="1"/>
  <c r="E33" i="48"/>
  <c r="J33" i="48" s="1"/>
  <c r="E10" i="48"/>
  <c r="J10" i="48" s="1"/>
  <c r="E18" i="48"/>
  <c r="J18" i="48" s="1"/>
  <c r="E7" i="48"/>
  <c r="J7" i="48" s="1"/>
  <c r="E26" i="48"/>
  <c r="J26" i="48" s="1"/>
  <c r="E34" i="48"/>
  <c r="J34" i="48" s="1"/>
  <c r="E5" i="48"/>
  <c r="J5" i="48" s="1"/>
  <c r="E13" i="48"/>
  <c r="J13" i="48" s="1"/>
  <c r="E21" i="48"/>
  <c r="J21" i="48" s="1"/>
  <c r="E29" i="48"/>
  <c r="J29" i="48" s="1"/>
  <c r="E11" i="48"/>
  <c r="J11" i="48" s="1"/>
  <c r="E19" i="48"/>
  <c r="J19" i="48" s="1"/>
  <c r="E27" i="48"/>
  <c r="J27" i="48" s="1"/>
  <c r="E35" i="48"/>
  <c r="J35" i="48" s="1"/>
  <c r="E8" i="48"/>
  <c r="J8" i="48" s="1"/>
  <c r="E15" i="48"/>
  <c r="J15" i="48" s="1"/>
  <c r="E23" i="48"/>
  <c r="J23" i="48" s="1"/>
  <c r="E31" i="48"/>
  <c r="J31" i="48" s="1"/>
  <c r="E16" i="48"/>
  <c r="J16" i="48" s="1"/>
  <c r="E24" i="48"/>
  <c r="J24" i="48" s="1"/>
  <c r="E32" i="48"/>
  <c r="J32" i="48" s="1"/>
  <c r="E6" i="48"/>
  <c r="J6" i="48" s="1"/>
  <c r="E14" i="48"/>
  <c r="J14" i="48" s="1"/>
  <c r="E22" i="48"/>
  <c r="J22" i="48" s="1"/>
  <c r="E12" i="48"/>
  <c r="J12" i="48" s="1"/>
  <c r="E20" i="48"/>
  <c r="J20" i="48" s="1"/>
  <c r="E28" i="48"/>
  <c r="J28" i="48" s="1"/>
  <c r="E30" i="48"/>
  <c r="J30" i="48" s="1"/>
  <c r="D36" i="48"/>
  <c r="B36" i="48"/>
  <c r="B39" i="48" s="1"/>
  <c r="C36" i="48"/>
  <c r="E36" i="48" l="1"/>
  <c r="J36" i="48"/>
  <c r="N37" i="45"/>
  <c r="J36" i="45"/>
  <c r="I36" i="45"/>
  <c r="H36" i="45"/>
  <c r="G36" i="45"/>
  <c r="F36" i="45"/>
  <c r="E36" i="45"/>
  <c r="D36" i="45"/>
  <c r="C36" i="45"/>
  <c r="B36" i="45"/>
  <c r="J35" i="45"/>
  <c r="I35" i="45"/>
  <c r="H35" i="45"/>
  <c r="G35" i="45"/>
  <c r="F35" i="45"/>
  <c r="E35" i="45"/>
  <c r="D35" i="45"/>
  <c r="C35" i="45"/>
  <c r="B35" i="45"/>
  <c r="O5" i="45"/>
  <c r="J35" i="28"/>
  <c r="I35" i="28"/>
  <c r="H35" i="28"/>
  <c r="G35" i="28"/>
  <c r="F35" i="28"/>
  <c r="E35" i="28"/>
  <c r="D35" i="28"/>
  <c r="C35" i="28"/>
  <c r="B35" i="28"/>
  <c r="J34" i="28"/>
  <c r="I34" i="28"/>
  <c r="H34" i="28"/>
  <c r="G34" i="28"/>
  <c r="F34" i="28"/>
  <c r="E34" i="28"/>
  <c r="D34" i="28"/>
  <c r="C34" i="28"/>
  <c r="B34" i="28"/>
  <c r="J33" i="28"/>
  <c r="I33" i="28"/>
  <c r="H33" i="28"/>
  <c r="G33" i="28"/>
  <c r="F33" i="28"/>
  <c r="E33" i="28"/>
  <c r="D33" i="28"/>
  <c r="C33" i="28"/>
  <c r="B33" i="28"/>
  <c r="J32" i="28"/>
  <c r="I32" i="28"/>
  <c r="H32" i="28"/>
  <c r="G32" i="28"/>
  <c r="F32" i="28"/>
  <c r="E32" i="28"/>
  <c r="D32" i="28"/>
  <c r="C32" i="28"/>
  <c r="B32" i="28"/>
  <c r="J31" i="28"/>
  <c r="I31" i="28"/>
  <c r="H31" i="28"/>
  <c r="G31" i="28"/>
  <c r="F31" i="28"/>
  <c r="E31" i="28"/>
  <c r="D31" i="28"/>
  <c r="C31" i="28"/>
  <c r="B31" i="28"/>
  <c r="J30" i="28"/>
  <c r="I30" i="28"/>
  <c r="H30" i="28"/>
  <c r="G30" i="28"/>
  <c r="F30" i="28"/>
  <c r="E30" i="28"/>
  <c r="D30" i="28"/>
  <c r="C30" i="28"/>
  <c r="B30" i="28"/>
  <c r="J29" i="28"/>
  <c r="I29" i="28"/>
  <c r="H29" i="28"/>
  <c r="G29" i="28"/>
  <c r="F29" i="28"/>
  <c r="E29" i="28"/>
  <c r="D29" i="28"/>
  <c r="C29" i="28"/>
  <c r="B29" i="28"/>
  <c r="J28" i="28"/>
  <c r="I28" i="28"/>
  <c r="H28" i="28"/>
  <c r="G28" i="28"/>
  <c r="F28" i="28"/>
  <c r="E28" i="28"/>
  <c r="D28" i="28"/>
  <c r="C28" i="28"/>
  <c r="B28" i="28"/>
  <c r="J27" i="28"/>
  <c r="I27" i="28"/>
  <c r="H27" i="28"/>
  <c r="G27" i="28"/>
  <c r="F27" i="28"/>
  <c r="E27" i="28"/>
  <c r="D27" i="28"/>
  <c r="C27" i="28"/>
  <c r="B27" i="28"/>
  <c r="J26" i="28"/>
  <c r="I26" i="28"/>
  <c r="H26" i="28"/>
  <c r="G26" i="28"/>
  <c r="F26" i="28"/>
  <c r="E26" i="28"/>
  <c r="D26" i="28"/>
  <c r="C26" i="28"/>
  <c r="B26" i="28"/>
  <c r="J25" i="28"/>
  <c r="I25" i="28"/>
  <c r="H25" i="28"/>
  <c r="G25" i="28"/>
  <c r="F25" i="28"/>
  <c r="E25" i="28"/>
  <c r="D25" i="28"/>
  <c r="C25" i="28"/>
  <c r="B25" i="28"/>
  <c r="J24" i="28"/>
  <c r="I24" i="28"/>
  <c r="H24" i="28"/>
  <c r="G24" i="28"/>
  <c r="F24" i="28"/>
  <c r="E24" i="28"/>
  <c r="D24" i="28"/>
  <c r="C24" i="28"/>
  <c r="B24" i="28"/>
  <c r="J23" i="28"/>
  <c r="I23" i="28"/>
  <c r="H23" i="28"/>
  <c r="G23" i="28"/>
  <c r="F23" i="28"/>
  <c r="E23" i="28"/>
  <c r="D23" i="28"/>
  <c r="C23" i="28"/>
  <c r="B23" i="28"/>
  <c r="J22" i="28"/>
  <c r="I22" i="28"/>
  <c r="H22" i="28"/>
  <c r="G22" i="28"/>
  <c r="F22" i="28"/>
  <c r="E22" i="28"/>
  <c r="D22" i="28"/>
  <c r="C22" i="28"/>
  <c r="B22" i="28"/>
  <c r="J21" i="28"/>
  <c r="I21" i="28"/>
  <c r="H21" i="28"/>
  <c r="G21" i="28"/>
  <c r="F21" i="28"/>
  <c r="E21" i="28"/>
  <c r="D21" i="28"/>
  <c r="C21" i="28"/>
  <c r="B21" i="28"/>
  <c r="J20" i="28"/>
  <c r="I20" i="28"/>
  <c r="H20" i="28"/>
  <c r="G20" i="28"/>
  <c r="F20" i="28"/>
  <c r="E20" i="28"/>
  <c r="D20" i="28"/>
  <c r="C20" i="28"/>
  <c r="B20" i="28"/>
  <c r="J19" i="28"/>
  <c r="I19" i="28"/>
  <c r="H19" i="28"/>
  <c r="G19" i="28"/>
  <c r="F19" i="28"/>
  <c r="E19" i="28"/>
  <c r="D19" i="28"/>
  <c r="C19" i="28"/>
  <c r="B19" i="28"/>
  <c r="J18" i="28"/>
  <c r="I18" i="28"/>
  <c r="H18" i="28"/>
  <c r="G18" i="28"/>
  <c r="F18" i="28"/>
  <c r="E18" i="28"/>
  <c r="D18" i="28"/>
  <c r="C18" i="28"/>
  <c r="B18" i="28"/>
  <c r="J17" i="28"/>
  <c r="I17" i="28"/>
  <c r="H17" i="28"/>
  <c r="G17" i="28"/>
  <c r="F17" i="28"/>
  <c r="E17" i="28"/>
  <c r="D17" i="28"/>
  <c r="C17" i="28"/>
  <c r="B17" i="28"/>
  <c r="J16" i="28"/>
  <c r="I16" i="28"/>
  <c r="H16" i="28"/>
  <c r="G16" i="28"/>
  <c r="F16" i="28"/>
  <c r="E16" i="28"/>
  <c r="D16" i="28"/>
  <c r="C16" i="28"/>
  <c r="B16" i="28"/>
  <c r="J15" i="28"/>
  <c r="I15" i="28"/>
  <c r="H15" i="28"/>
  <c r="G15" i="28"/>
  <c r="F15" i="28"/>
  <c r="E15" i="28"/>
  <c r="D15" i="28"/>
  <c r="C15" i="28"/>
  <c r="B15" i="28"/>
  <c r="J14" i="28"/>
  <c r="I14" i="28"/>
  <c r="H14" i="28"/>
  <c r="G14" i="28"/>
  <c r="F14" i="28"/>
  <c r="E14" i="28"/>
  <c r="D14" i="28"/>
  <c r="C14" i="28"/>
  <c r="B14" i="28"/>
  <c r="J13" i="28"/>
  <c r="I13" i="28"/>
  <c r="H13" i="28"/>
  <c r="G13" i="28"/>
  <c r="F13" i="28"/>
  <c r="E13" i="28"/>
  <c r="D13" i="28"/>
  <c r="C13" i="28"/>
  <c r="B13" i="28"/>
  <c r="J12" i="28"/>
  <c r="I12" i="28"/>
  <c r="H12" i="28"/>
  <c r="G12" i="28"/>
  <c r="F12" i="28"/>
  <c r="E12" i="28"/>
  <c r="D12" i="28"/>
  <c r="C12" i="28"/>
  <c r="B12" i="28"/>
  <c r="J11" i="28"/>
  <c r="I11" i="28"/>
  <c r="H11" i="28"/>
  <c r="G11" i="28"/>
  <c r="F11" i="28"/>
  <c r="E11" i="28"/>
  <c r="D11" i="28"/>
  <c r="C11" i="28"/>
  <c r="B11" i="28"/>
  <c r="J10" i="28"/>
  <c r="I10" i="28"/>
  <c r="H10" i="28"/>
  <c r="G10" i="28"/>
  <c r="F10" i="28"/>
  <c r="E10" i="28"/>
  <c r="D10" i="28"/>
  <c r="C10" i="28"/>
  <c r="B10" i="28"/>
  <c r="J9" i="28"/>
  <c r="I9" i="28"/>
  <c r="H9" i="28"/>
  <c r="G9" i="28"/>
  <c r="F9" i="28"/>
  <c r="E9" i="28"/>
  <c r="D9" i="28"/>
  <c r="C9" i="28"/>
  <c r="B9" i="28"/>
  <c r="J8" i="28"/>
  <c r="I8" i="28"/>
  <c r="H8" i="28"/>
  <c r="G8" i="28"/>
  <c r="F8" i="28"/>
  <c r="E8" i="28"/>
  <c r="D8" i="28"/>
  <c r="C8" i="28"/>
  <c r="B8" i="28"/>
  <c r="J7" i="28"/>
  <c r="I7" i="28"/>
  <c r="H7" i="28"/>
  <c r="G7" i="28"/>
  <c r="F7" i="28"/>
  <c r="E7" i="28"/>
  <c r="D7" i="28"/>
  <c r="C7" i="28"/>
  <c r="B7" i="28"/>
  <c r="J6" i="28"/>
  <c r="I6" i="28"/>
  <c r="H6" i="28"/>
  <c r="G6" i="28"/>
  <c r="F6" i="28"/>
  <c r="E6" i="28"/>
  <c r="D6" i="28"/>
  <c r="C6" i="28"/>
  <c r="B6" i="28"/>
  <c r="J5" i="28"/>
  <c r="I5" i="28"/>
  <c r="H5" i="28"/>
  <c r="G5" i="28"/>
  <c r="F5" i="28"/>
  <c r="E5" i="28"/>
  <c r="D5" i="28"/>
  <c r="C5" i="28"/>
  <c r="B5" i="28"/>
  <c r="L17" i="28" l="1"/>
  <c r="L9" i="28"/>
  <c r="L11" i="28"/>
  <c r="L19" i="28"/>
  <c r="L27" i="28"/>
  <c r="L35" i="28"/>
  <c r="L12" i="28"/>
  <c r="L28" i="28"/>
  <c r="L5" i="28"/>
  <c r="L13" i="28"/>
  <c r="L21" i="28"/>
  <c r="L29" i="28"/>
  <c r="L6" i="28"/>
  <c r="L14" i="28"/>
  <c r="L8" i="28"/>
  <c r="L20" i="28"/>
  <c r="L22" i="28"/>
  <c r="L30" i="28"/>
  <c r="L7" i="28"/>
  <c r="L15" i="28"/>
  <c r="L23" i="28"/>
  <c r="L31" i="28"/>
  <c r="L16" i="28"/>
  <c r="L24" i="28"/>
  <c r="L32" i="28"/>
  <c r="L25" i="28"/>
  <c r="L33" i="28"/>
  <c r="L10" i="28"/>
  <c r="L18" i="28"/>
  <c r="L26" i="28"/>
  <c r="L34" i="28"/>
  <c r="K35" i="45"/>
  <c r="K36" i="45"/>
  <c r="M35" i="45"/>
  <c r="L36" i="45"/>
  <c r="M36" i="45"/>
  <c r="L35" i="45"/>
  <c r="M27" i="28"/>
  <c r="K22" i="28"/>
  <c r="K14" i="28"/>
  <c r="K30" i="28"/>
  <c r="M5" i="28"/>
  <c r="K7" i="28"/>
  <c r="M8" i="28"/>
  <c r="K10" i="28"/>
  <c r="K5" i="28"/>
  <c r="M6" i="28"/>
  <c r="K8" i="28"/>
  <c r="M9" i="28"/>
  <c r="K11" i="28"/>
  <c r="M11" i="28"/>
  <c r="K13" i="28"/>
  <c r="M14" i="28"/>
  <c r="K16" i="28"/>
  <c r="M17" i="28"/>
  <c r="K19" i="28"/>
  <c r="M19" i="28"/>
  <c r="K21" i="28"/>
  <c r="M22" i="28"/>
  <c r="K24" i="28"/>
  <c r="M25" i="28"/>
  <c r="K27" i="28"/>
  <c r="K29" i="28"/>
  <c r="M30" i="28"/>
  <c r="K32" i="28"/>
  <c r="M33" i="28"/>
  <c r="M35" i="28"/>
  <c r="K35" i="28"/>
  <c r="M12" i="28"/>
  <c r="M13" i="28"/>
  <c r="K15" i="28"/>
  <c r="M16" i="28"/>
  <c r="K18" i="28"/>
  <c r="M21" i="28"/>
  <c r="K23" i="28"/>
  <c r="M24" i="28"/>
  <c r="K26" i="28"/>
  <c r="M29" i="28"/>
  <c r="K31" i="28"/>
  <c r="M32" i="28"/>
  <c r="K34" i="28"/>
  <c r="M23" i="28"/>
  <c r="K6" i="28"/>
  <c r="M7" i="28"/>
  <c r="K9" i="28"/>
  <c r="M10" i="28"/>
  <c r="K12" i="28"/>
  <c r="M18" i="28"/>
  <c r="K20" i="28"/>
  <c r="M26" i="28"/>
  <c r="K28" i="28"/>
  <c r="M34" i="28"/>
  <c r="M15" i="28"/>
  <c r="K17" i="28"/>
  <c r="M20" i="28"/>
  <c r="K25" i="28"/>
  <c r="M28" i="28"/>
  <c r="M31" i="28"/>
  <c r="K33" i="28"/>
  <c r="J35" i="30"/>
  <c r="I35" i="30"/>
  <c r="H35" i="30"/>
  <c r="G35" i="30"/>
  <c r="F35" i="30"/>
  <c r="E35" i="30"/>
  <c r="D35" i="30"/>
  <c r="C35" i="30"/>
  <c r="B35" i="30"/>
  <c r="J34" i="30"/>
  <c r="I34" i="30"/>
  <c r="H34" i="30"/>
  <c r="G34" i="30"/>
  <c r="F34" i="30"/>
  <c r="E34" i="30"/>
  <c r="D34" i="30"/>
  <c r="C34" i="30"/>
  <c r="B34" i="30"/>
  <c r="J33" i="30"/>
  <c r="I33" i="30"/>
  <c r="H33" i="30"/>
  <c r="G33" i="30"/>
  <c r="F33" i="30"/>
  <c r="E33" i="30"/>
  <c r="D33" i="30"/>
  <c r="C33" i="30"/>
  <c r="B33" i="30"/>
  <c r="J32" i="30"/>
  <c r="I32" i="30"/>
  <c r="H32" i="30"/>
  <c r="G32" i="30"/>
  <c r="F32" i="30"/>
  <c r="E32" i="30"/>
  <c r="D32" i="30"/>
  <c r="C32" i="30"/>
  <c r="B32" i="30"/>
  <c r="J31" i="30"/>
  <c r="I31" i="30"/>
  <c r="H31" i="30"/>
  <c r="G31" i="30"/>
  <c r="F31" i="30"/>
  <c r="E31" i="30"/>
  <c r="D31" i="30"/>
  <c r="C31" i="30"/>
  <c r="B31" i="30"/>
  <c r="J30" i="30"/>
  <c r="I30" i="30"/>
  <c r="H30" i="30"/>
  <c r="G30" i="30"/>
  <c r="F30" i="30"/>
  <c r="E30" i="30"/>
  <c r="D30" i="30"/>
  <c r="C30" i="30"/>
  <c r="B30" i="30"/>
  <c r="J29" i="30"/>
  <c r="I29" i="30"/>
  <c r="H29" i="30"/>
  <c r="G29" i="30"/>
  <c r="F29" i="30"/>
  <c r="E29" i="30"/>
  <c r="D29" i="30"/>
  <c r="C29" i="30"/>
  <c r="B29" i="30"/>
  <c r="J28" i="30"/>
  <c r="I28" i="30"/>
  <c r="H28" i="30"/>
  <c r="G28" i="30"/>
  <c r="F28" i="30"/>
  <c r="E28" i="30"/>
  <c r="D28" i="30"/>
  <c r="C28" i="30"/>
  <c r="B28" i="30"/>
  <c r="J27" i="30"/>
  <c r="I27" i="30"/>
  <c r="H27" i="30"/>
  <c r="G27" i="30"/>
  <c r="F27" i="30"/>
  <c r="E27" i="30"/>
  <c r="D27" i="30"/>
  <c r="C27" i="30"/>
  <c r="B27" i="30"/>
  <c r="J26" i="30"/>
  <c r="I26" i="30"/>
  <c r="H26" i="30"/>
  <c r="G26" i="30"/>
  <c r="F26" i="30"/>
  <c r="E26" i="30"/>
  <c r="D26" i="30"/>
  <c r="C26" i="30"/>
  <c r="B26" i="30"/>
  <c r="J25" i="30"/>
  <c r="I25" i="30"/>
  <c r="H25" i="30"/>
  <c r="G25" i="30"/>
  <c r="F25" i="30"/>
  <c r="E25" i="30"/>
  <c r="D25" i="30"/>
  <c r="C25" i="30"/>
  <c r="B25" i="30"/>
  <c r="J24" i="30"/>
  <c r="I24" i="30"/>
  <c r="H24" i="30"/>
  <c r="G24" i="30"/>
  <c r="F24" i="30"/>
  <c r="E24" i="30"/>
  <c r="D24" i="30"/>
  <c r="C24" i="30"/>
  <c r="B24" i="30"/>
  <c r="J23" i="30"/>
  <c r="I23" i="30"/>
  <c r="H23" i="30"/>
  <c r="G23" i="30"/>
  <c r="F23" i="30"/>
  <c r="E23" i="30"/>
  <c r="D23" i="30"/>
  <c r="C23" i="30"/>
  <c r="B23" i="30"/>
  <c r="J22" i="30"/>
  <c r="I22" i="30"/>
  <c r="H22" i="30"/>
  <c r="G22" i="30"/>
  <c r="F22" i="30"/>
  <c r="E22" i="30"/>
  <c r="D22" i="30"/>
  <c r="C22" i="30"/>
  <c r="B22" i="30"/>
  <c r="J21" i="30"/>
  <c r="I21" i="30"/>
  <c r="H21" i="30"/>
  <c r="G21" i="30"/>
  <c r="F21" i="30"/>
  <c r="E21" i="30"/>
  <c r="D21" i="30"/>
  <c r="C21" i="30"/>
  <c r="B21" i="30"/>
  <c r="J20" i="30"/>
  <c r="I20" i="30"/>
  <c r="H20" i="30"/>
  <c r="G20" i="30"/>
  <c r="F20" i="30"/>
  <c r="E20" i="30"/>
  <c r="D20" i="30"/>
  <c r="C20" i="30"/>
  <c r="B20" i="30"/>
  <c r="J19" i="30"/>
  <c r="I19" i="30"/>
  <c r="H19" i="30"/>
  <c r="G19" i="30"/>
  <c r="F19" i="30"/>
  <c r="E19" i="30"/>
  <c r="D19" i="30"/>
  <c r="C19" i="30"/>
  <c r="B19" i="30"/>
  <c r="J18" i="30"/>
  <c r="I18" i="30"/>
  <c r="H18" i="30"/>
  <c r="G18" i="30"/>
  <c r="F18" i="30"/>
  <c r="E18" i="30"/>
  <c r="D18" i="30"/>
  <c r="C18" i="30"/>
  <c r="B18" i="30"/>
  <c r="J17" i="30"/>
  <c r="I17" i="30"/>
  <c r="H17" i="30"/>
  <c r="G17" i="30"/>
  <c r="F17" i="30"/>
  <c r="E17" i="30"/>
  <c r="D17" i="30"/>
  <c r="C17" i="30"/>
  <c r="B17" i="30"/>
  <c r="J16" i="30"/>
  <c r="I16" i="30"/>
  <c r="H16" i="30"/>
  <c r="G16" i="30"/>
  <c r="F16" i="30"/>
  <c r="E16" i="30"/>
  <c r="D16" i="30"/>
  <c r="C16" i="30"/>
  <c r="B16" i="30"/>
  <c r="J15" i="30"/>
  <c r="I15" i="30"/>
  <c r="H15" i="30"/>
  <c r="G15" i="30"/>
  <c r="F15" i="30"/>
  <c r="E15" i="30"/>
  <c r="D15" i="30"/>
  <c r="C15" i="30"/>
  <c r="B15" i="30"/>
  <c r="J14" i="30"/>
  <c r="I14" i="30"/>
  <c r="H14" i="30"/>
  <c r="G14" i="30"/>
  <c r="F14" i="30"/>
  <c r="E14" i="30"/>
  <c r="D14" i="30"/>
  <c r="C14" i="30"/>
  <c r="B14" i="30"/>
  <c r="J13" i="30"/>
  <c r="I13" i="30"/>
  <c r="H13" i="30"/>
  <c r="G13" i="30"/>
  <c r="F13" i="30"/>
  <c r="E13" i="30"/>
  <c r="D13" i="30"/>
  <c r="C13" i="30"/>
  <c r="B13" i="30"/>
  <c r="J12" i="30"/>
  <c r="I12" i="30"/>
  <c r="H12" i="30"/>
  <c r="G12" i="30"/>
  <c r="F12" i="30"/>
  <c r="E12" i="30"/>
  <c r="D12" i="30"/>
  <c r="C12" i="30"/>
  <c r="B12" i="30"/>
  <c r="J11" i="30"/>
  <c r="I11" i="30"/>
  <c r="H11" i="30"/>
  <c r="G11" i="30"/>
  <c r="F11" i="30"/>
  <c r="E11" i="30"/>
  <c r="D11" i="30"/>
  <c r="C11" i="30"/>
  <c r="B11" i="30"/>
  <c r="J10" i="30"/>
  <c r="I10" i="30"/>
  <c r="H10" i="30"/>
  <c r="G10" i="30"/>
  <c r="F10" i="30"/>
  <c r="E10" i="30"/>
  <c r="D10" i="30"/>
  <c r="C10" i="30"/>
  <c r="B10" i="30"/>
  <c r="J9" i="30"/>
  <c r="I9" i="30"/>
  <c r="H9" i="30"/>
  <c r="G9" i="30"/>
  <c r="F9" i="30"/>
  <c r="E9" i="30"/>
  <c r="D9" i="30"/>
  <c r="C9" i="30"/>
  <c r="B9" i="30"/>
  <c r="J8" i="30"/>
  <c r="I8" i="30"/>
  <c r="H8" i="30"/>
  <c r="G8" i="30"/>
  <c r="F8" i="30"/>
  <c r="E8" i="30"/>
  <c r="D8" i="30"/>
  <c r="C8" i="30"/>
  <c r="B8" i="30"/>
  <c r="J7" i="30"/>
  <c r="I7" i="30"/>
  <c r="H7" i="30"/>
  <c r="G7" i="30"/>
  <c r="F7" i="30"/>
  <c r="E7" i="30"/>
  <c r="D7" i="30"/>
  <c r="C7" i="30"/>
  <c r="B7" i="30"/>
  <c r="J6" i="30"/>
  <c r="I6" i="30"/>
  <c r="H6" i="30"/>
  <c r="G6" i="30"/>
  <c r="F6" i="30"/>
  <c r="E6" i="30"/>
  <c r="D6" i="30"/>
  <c r="C6" i="30"/>
  <c r="B6" i="30"/>
  <c r="J5" i="30"/>
  <c r="I5" i="30"/>
  <c r="H5" i="30"/>
  <c r="G5" i="30"/>
  <c r="F5" i="30"/>
  <c r="E5" i="30"/>
  <c r="D5" i="30"/>
  <c r="C5" i="30"/>
  <c r="B5" i="30"/>
  <c r="J35" i="25"/>
  <c r="I35" i="25"/>
  <c r="H35" i="25"/>
  <c r="G35" i="25"/>
  <c r="F35" i="25"/>
  <c r="E35" i="25"/>
  <c r="D35" i="25"/>
  <c r="C35" i="25"/>
  <c r="B35" i="25"/>
  <c r="J34" i="25"/>
  <c r="I34" i="25"/>
  <c r="H34" i="25"/>
  <c r="G34" i="25"/>
  <c r="F34" i="25"/>
  <c r="E34" i="25"/>
  <c r="D34" i="25"/>
  <c r="C34" i="25"/>
  <c r="B34" i="25"/>
  <c r="J33" i="25"/>
  <c r="I33" i="25"/>
  <c r="H33" i="25"/>
  <c r="G33" i="25"/>
  <c r="F33" i="25"/>
  <c r="E33" i="25"/>
  <c r="D33" i="25"/>
  <c r="C33" i="25"/>
  <c r="B33" i="25"/>
  <c r="J32" i="25"/>
  <c r="I32" i="25"/>
  <c r="H32" i="25"/>
  <c r="G32" i="25"/>
  <c r="F32" i="25"/>
  <c r="E32" i="25"/>
  <c r="D32" i="25"/>
  <c r="C32" i="25"/>
  <c r="B32" i="25"/>
  <c r="J31" i="25"/>
  <c r="I31" i="25"/>
  <c r="H31" i="25"/>
  <c r="G31" i="25"/>
  <c r="F31" i="25"/>
  <c r="E31" i="25"/>
  <c r="D31" i="25"/>
  <c r="C31" i="25"/>
  <c r="B31" i="25"/>
  <c r="J30" i="25"/>
  <c r="I30" i="25"/>
  <c r="H30" i="25"/>
  <c r="G30" i="25"/>
  <c r="F30" i="25"/>
  <c r="E30" i="25"/>
  <c r="D30" i="25"/>
  <c r="C30" i="25"/>
  <c r="B30" i="25"/>
  <c r="J29" i="25"/>
  <c r="I29" i="25"/>
  <c r="H29" i="25"/>
  <c r="G29" i="25"/>
  <c r="F29" i="25"/>
  <c r="E29" i="25"/>
  <c r="D29" i="25"/>
  <c r="C29" i="25"/>
  <c r="B29" i="25"/>
  <c r="J28" i="25"/>
  <c r="I28" i="25"/>
  <c r="H28" i="25"/>
  <c r="G28" i="25"/>
  <c r="F28" i="25"/>
  <c r="E28" i="25"/>
  <c r="D28" i="25"/>
  <c r="C28" i="25"/>
  <c r="B28" i="25"/>
  <c r="J27" i="25"/>
  <c r="I27" i="25"/>
  <c r="H27" i="25"/>
  <c r="G27" i="25"/>
  <c r="F27" i="25"/>
  <c r="E27" i="25"/>
  <c r="D27" i="25"/>
  <c r="C27" i="25"/>
  <c r="B27" i="25"/>
  <c r="J26" i="25"/>
  <c r="I26" i="25"/>
  <c r="H26" i="25"/>
  <c r="G26" i="25"/>
  <c r="F26" i="25"/>
  <c r="E26" i="25"/>
  <c r="D26" i="25"/>
  <c r="C26" i="25"/>
  <c r="B26" i="25"/>
  <c r="J25" i="25"/>
  <c r="I25" i="25"/>
  <c r="H25" i="25"/>
  <c r="G25" i="25"/>
  <c r="F25" i="25"/>
  <c r="E25" i="25"/>
  <c r="D25" i="25"/>
  <c r="C25" i="25"/>
  <c r="B25" i="25"/>
  <c r="J24" i="25"/>
  <c r="I24" i="25"/>
  <c r="H24" i="25"/>
  <c r="G24" i="25"/>
  <c r="F24" i="25"/>
  <c r="E24" i="25"/>
  <c r="D24" i="25"/>
  <c r="C24" i="25"/>
  <c r="B24" i="25"/>
  <c r="J23" i="25"/>
  <c r="I23" i="25"/>
  <c r="H23" i="25"/>
  <c r="G23" i="25"/>
  <c r="F23" i="25"/>
  <c r="E23" i="25"/>
  <c r="D23" i="25"/>
  <c r="C23" i="25"/>
  <c r="B23" i="25"/>
  <c r="J22" i="25"/>
  <c r="I22" i="25"/>
  <c r="H22" i="25"/>
  <c r="G22" i="25"/>
  <c r="F22" i="25"/>
  <c r="E22" i="25"/>
  <c r="D22" i="25"/>
  <c r="C22" i="25"/>
  <c r="B22" i="25"/>
  <c r="J21" i="25"/>
  <c r="I21" i="25"/>
  <c r="H21" i="25"/>
  <c r="G21" i="25"/>
  <c r="F21" i="25"/>
  <c r="E21" i="25"/>
  <c r="D21" i="25"/>
  <c r="C21" i="25"/>
  <c r="B21" i="25"/>
  <c r="J20" i="25"/>
  <c r="I20" i="25"/>
  <c r="H20" i="25"/>
  <c r="G20" i="25"/>
  <c r="F20" i="25"/>
  <c r="E20" i="25"/>
  <c r="D20" i="25"/>
  <c r="C20" i="25"/>
  <c r="B20" i="25"/>
  <c r="J19" i="25"/>
  <c r="I19" i="25"/>
  <c r="H19" i="25"/>
  <c r="G19" i="25"/>
  <c r="F19" i="25"/>
  <c r="E19" i="25"/>
  <c r="D19" i="25"/>
  <c r="C19" i="25"/>
  <c r="B19" i="25"/>
  <c r="J18" i="25"/>
  <c r="I18" i="25"/>
  <c r="H18" i="25"/>
  <c r="G18" i="25"/>
  <c r="F18" i="25"/>
  <c r="E18" i="25"/>
  <c r="D18" i="25"/>
  <c r="C18" i="25"/>
  <c r="B18" i="25"/>
  <c r="J17" i="25"/>
  <c r="I17" i="25"/>
  <c r="H17" i="25"/>
  <c r="G17" i="25"/>
  <c r="F17" i="25"/>
  <c r="E17" i="25"/>
  <c r="D17" i="25"/>
  <c r="C17" i="25"/>
  <c r="B17" i="25"/>
  <c r="J16" i="25"/>
  <c r="I16" i="25"/>
  <c r="H16" i="25"/>
  <c r="G16" i="25"/>
  <c r="F16" i="25"/>
  <c r="E16" i="25"/>
  <c r="D16" i="25"/>
  <c r="C16" i="25"/>
  <c r="B16" i="25"/>
  <c r="J15" i="25"/>
  <c r="I15" i="25"/>
  <c r="H15" i="25"/>
  <c r="G15" i="25"/>
  <c r="F15" i="25"/>
  <c r="E15" i="25"/>
  <c r="D15" i="25"/>
  <c r="C15" i="25"/>
  <c r="B15" i="25"/>
  <c r="J14" i="25"/>
  <c r="I14" i="25"/>
  <c r="H14" i="25"/>
  <c r="G14" i="25"/>
  <c r="F14" i="25"/>
  <c r="E14" i="25"/>
  <c r="D14" i="25"/>
  <c r="C14" i="25"/>
  <c r="B14" i="25"/>
  <c r="J13" i="25"/>
  <c r="I13" i="25"/>
  <c r="H13" i="25"/>
  <c r="G13" i="25"/>
  <c r="F13" i="25"/>
  <c r="E13" i="25"/>
  <c r="D13" i="25"/>
  <c r="C13" i="25"/>
  <c r="B13" i="25"/>
  <c r="J12" i="25"/>
  <c r="I12" i="25"/>
  <c r="H12" i="25"/>
  <c r="G12" i="25"/>
  <c r="F12" i="25"/>
  <c r="E12" i="25"/>
  <c r="D12" i="25"/>
  <c r="C12" i="25"/>
  <c r="B12" i="25"/>
  <c r="J11" i="25"/>
  <c r="I11" i="25"/>
  <c r="H11" i="25"/>
  <c r="G11" i="25"/>
  <c r="F11" i="25"/>
  <c r="E11" i="25"/>
  <c r="D11" i="25"/>
  <c r="C11" i="25"/>
  <c r="B11" i="25"/>
  <c r="J10" i="25"/>
  <c r="I10" i="25"/>
  <c r="H10" i="25"/>
  <c r="G10" i="25"/>
  <c r="F10" i="25"/>
  <c r="E10" i="25"/>
  <c r="D10" i="25"/>
  <c r="C10" i="25"/>
  <c r="B10" i="25"/>
  <c r="J9" i="25"/>
  <c r="I9" i="25"/>
  <c r="H9" i="25"/>
  <c r="G9" i="25"/>
  <c r="F9" i="25"/>
  <c r="E9" i="25"/>
  <c r="D9" i="25"/>
  <c r="C9" i="25"/>
  <c r="B9" i="25"/>
  <c r="J8" i="25"/>
  <c r="I8" i="25"/>
  <c r="H8" i="25"/>
  <c r="G8" i="25"/>
  <c r="F8" i="25"/>
  <c r="E8" i="25"/>
  <c r="D8" i="25"/>
  <c r="C8" i="25"/>
  <c r="B8" i="25"/>
  <c r="J7" i="25"/>
  <c r="I7" i="25"/>
  <c r="H7" i="25"/>
  <c r="G7" i="25"/>
  <c r="F7" i="25"/>
  <c r="E7" i="25"/>
  <c r="D7" i="25"/>
  <c r="C7" i="25"/>
  <c r="B7" i="25"/>
  <c r="J6" i="25"/>
  <c r="I6" i="25"/>
  <c r="H6" i="25"/>
  <c r="G6" i="25"/>
  <c r="F6" i="25"/>
  <c r="E6" i="25"/>
  <c r="D6" i="25"/>
  <c r="C6" i="25"/>
  <c r="B6" i="25"/>
  <c r="J5" i="25"/>
  <c r="I5" i="25"/>
  <c r="H5" i="25"/>
  <c r="G5" i="25"/>
  <c r="F5" i="25"/>
  <c r="E5" i="25"/>
  <c r="D5" i="25"/>
  <c r="C5" i="25"/>
  <c r="B5" i="25"/>
  <c r="J20" i="6"/>
  <c r="J59" i="6" s="1"/>
  <c r="I20" i="6"/>
  <c r="I59" i="6" s="1"/>
  <c r="H20" i="6"/>
  <c r="H59" i="6" s="1"/>
  <c r="G20" i="6"/>
  <c r="G59" i="6" s="1"/>
  <c r="F20" i="6"/>
  <c r="F59" i="6" s="1"/>
  <c r="E20" i="6"/>
  <c r="E59" i="6" s="1"/>
  <c r="D20" i="6"/>
  <c r="D59" i="6" s="1"/>
  <c r="C20" i="6"/>
  <c r="C59" i="6" s="1"/>
  <c r="B20" i="6"/>
  <c r="B59" i="6" s="1"/>
  <c r="J19" i="6"/>
  <c r="J58" i="6" s="1"/>
  <c r="I19" i="6"/>
  <c r="I58" i="6" s="1"/>
  <c r="H19" i="6"/>
  <c r="H58" i="6" s="1"/>
  <c r="G19" i="6"/>
  <c r="G58" i="6" s="1"/>
  <c r="F19" i="6"/>
  <c r="F58" i="6" s="1"/>
  <c r="E19" i="6"/>
  <c r="E58" i="6" s="1"/>
  <c r="D19" i="6"/>
  <c r="D58" i="6" s="1"/>
  <c r="C19" i="6"/>
  <c r="C58" i="6" s="1"/>
  <c r="B19" i="6"/>
  <c r="B58" i="6" s="1"/>
  <c r="J18" i="6"/>
  <c r="J57" i="6" s="1"/>
  <c r="I18" i="6"/>
  <c r="I57" i="6" s="1"/>
  <c r="H18" i="6"/>
  <c r="H57" i="6" s="1"/>
  <c r="G18" i="6"/>
  <c r="G57" i="6" s="1"/>
  <c r="F18" i="6"/>
  <c r="F57" i="6" s="1"/>
  <c r="E18" i="6"/>
  <c r="E57" i="6" s="1"/>
  <c r="D18" i="6"/>
  <c r="D57" i="6" s="1"/>
  <c r="C18" i="6"/>
  <c r="C57" i="6" s="1"/>
  <c r="B18" i="6"/>
  <c r="B57" i="6" s="1"/>
  <c r="J17" i="6"/>
  <c r="J56" i="6" s="1"/>
  <c r="I17" i="6"/>
  <c r="I56" i="6" s="1"/>
  <c r="H17" i="6"/>
  <c r="H56" i="6" s="1"/>
  <c r="G17" i="6"/>
  <c r="G56" i="6" s="1"/>
  <c r="F17" i="6"/>
  <c r="F56" i="6" s="1"/>
  <c r="E17" i="6"/>
  <c r="E56" i="6" s="1"/>
  <c r="D17" i="6"/>
  <c r="D56" i="6" s="1"/>
  <c r="C17" i="6"/>
  <c r="C56" i="6" s="1"/>
  <c r="B17" i="6"/>
  <c r="B56" i="6" s="1"/>
  <c r="J16" i="6"/>
  <c r="J55" i="6" s="1"/>
  <c r="I16" i="6"/>
  <c r="I55" i="6" s="1"/>
  <c r="H16" i="6"/>
  <c r="H55" i="6" s="1"/>
  <c r="G16" i="6"/>
  <c r="G55" i="6" s="1"/>
  <c r="F16" i="6"/>
  <c r="F55" i="6" s="1"/>
  <c r="E16" i="6"/>
  <c r="E55" i="6" s="1"/>
  <c r="D16" i="6"/>
  <c r="D55" i="6" s="1"/>
  <c r="C16" i="6"/>
  <c r="C55" i="6" s="1"/>
  <c r="B16" i="6"/>
  <c r="B55" i="6" s="1"/>
  <c r="J15" i="6"/>
  <c r="J54" i="6" s="1"/>
  <c r="I15" i="6"/>
  <c r="I54" i="6" s="1"/>
  <c r="H15" i="6"/>
  <c r="H54" i="6" s="1"/>
  <c r="G15" i="6"/>
  <c r="G54" i="6" s="1"/>
  <c r="F15" i="6"/>
  <c r="F54" i="6" s="1"/>
  <c r="E15" i="6"/>
  <c r="E54" i="6" s="1"/>
  <c r="D15" i="6"/>
  <c r="D54" i="6" s="1"/>
  <c r="C15" i="6"/>
  <c r="C54" i="6" s="1"/>
  <c r="B15" i="6"/>
  <c r="B54" i="6" s="1"/>
  <c r="J14" i="6"/>
  <c r="J53" i="6" s="1"/>
  <c r="I14" i="6"/>
  <c r="I53" i="6" s="1"/>
  <c r="H14" i="6"/>
  <c r="H53" i="6" s="1"/>
  <c r="G14" i="6"/>
  <c r="G53" i="6" s="1"/>
  <c r="F14" i="6"/>
  <c r="F53" i="6" s="1"/>
  <c r="E14" i="6"/>
  <c r="E53" i="6" s="1"/>
  <c r="D14" i="6"/>
  <c r="D53" i="6" s="1"/>
  <c r="C14" i="6"/>
  <c r="C53" i="6" s="1"/>
  <c r="B14" i="6"/>
  <c r="B53" i="6" s="1"/>
  <c r="J13" i="6"/>
  <c r="J52" i="6" s="1"/>
  <c r="I13" i="6"/>
  <c r="I52" i="6" s="1"/>
  <c r="H13" i="6"/>
  <c r="H52" i="6" s="1"/>
  <c r="G13" i="6"/>
  <c r="G52" i="6" s="1"/>
  <c r="F13" i="6"/>
  <c r="F52" i="6" s="1"/>
  <c r="E13" i="6"/>
  <c r="E52" i="6" s="1"/>
  <c r="D13" i="6"/>
  <c r="D52" i="6" s="1"/>
  <c r="C13" i="6"/>
  <c r="C52" i="6" s="1"/>
  <c r="B13" i="6"/>
  <c r="B52" i="6" s="1"/>
  <c r="J12" i="6"/>
  <c r="J51" i="6" s="1"/>
  <c r="I12" i="6"/>
  <c r="I51" i="6" s="1"/>
  <c r="H12" i="6"/>
  <c r="H51" i="6" s="1"/>
  <c r="G12" i="6"/>
  <c r="G51" i="6" s="1"/>
  <c r="F12" i="6"/>
  <c r="F51" i="6" s="1"/>
  <c r="E12" i="6"/>
  <c r="E51" i="6" s="1"/>
  <c r="D12" i="6"/>
  <c r="D51" i="6" s="1"/>
  <c r="C12" i="6"/>
  <c r="C51" i="6" s="1"/>
  <c r="B12" i="6"/>
  <c r="B51" i="6" s="1"/>
  <c r="J11" i="6"/>
  <c r="J50" i="6" s="1"/>
  <c r="I11" i="6"/>
  <c r="I50" i="6" s="1"/>
  <c r="H11" i="6"/>
  <c r="H50" i="6" s="1"/>
  <c r="G11" i="6"/>
  <c r="G50" i="6" s="1"/>
  <c r="F11" i="6"/>
  <c r="F50" i="6" s="1"/>
  <c r="E11" i="6"/>
  <c r="E50" i="6" s="1"/>
  <c r="D11" i="6"/>
  <c r="D50" i="6" s="1"/>
  <c r="C11" i="6"/>
  <c r="C50" i="6" s="1"/>
  <c r="B11" i="6"/>
  <c r="B50" i="6" s="1"/>
  <c r="J10" i="6"/>
  <c r="J49" i="6" s="1"/>
  <c r="I10" i="6"/>
  <c r="I49" i="6" s="1"/>
  <c r="H10" i="6"/>
  <c r="H49" i="6" s="1"/>
  <c r="G10" i="6"/>
  <c r="G49" i="6" s="1"/>
  <c r="F10" i="6"/>
  <c r="F49" i="6" s="1"/>
  <c r="E10" i="6"/>
  <c r="E49" i="6" s="1"/>
  <c r="D10" i="6"/>
  <c r="D49" i="6" s="1"/>
  <c r="C10" i="6"/>
  <c r="C49" i="6" s="1"/>
  <c r="B10" i="6"/>
  <c r="B49" i="6" s="1"/>
  <c r="J9" i="6"/>
  <c r="J48" i="6" s="1"/>
  <c r="I9" i="6"/>
  <c r="I48" i="6" s="1"/>
  <c r="H9" i="6"/>
  <c r="H48" i="6" s="1"/>
  <c r="G9" i="6"/>
  <c r="G48" i="6" s="1"/>
  <c r="F9" i="6"/>
  <c r="F48" i="6" s="1"/>
  <c r="E9" i="6"/>
  <c r="E48" i="6" s="1"/>
  <c r="D9" i="6"/>
  <c r="D48" i="6" s="1"/>
  <c r="C9" i="6"/>
  <c r="C48" i="6" s="1"/>
  <c r="B9" i="6"/>
  <c r="B48" i="6" s="1"/>
  <c r="J8" i="6"/>
  <c r="J47" i="6" s="1"/>
  <c r="I8" i="6"/>
  <c r="I47" i="6" s="1"/>
  <c r="H8" i="6"/>
  <c r="H47" i="6" s="1"/>
  <c r="G8" i="6"/>
  <c r="G47" i="6" s="1"/>
  <c r="F8" i="6"/>
  <c r="F47" i="6" s="1"/>
  <c r="E8" i="6"/>
  <c r="E47" i="6" s="1"/>
  <c r="D8" i="6"/>
  <c r="D47" i="6" s="1"/>
  <c r="C8" i="6"/>
  <c r="C47" i="6" s="1"/>
  <c r="B8" i="6"/>
  <c r="B47" i="6" s="1"/>
  <c r="J7" i="6"/>
  <c r="J46" i="6" s="1"/>
  <c r="I7" i="6"/>
  <c r="I46" i="6" s="1"/>
  <c r="H7" i="6"/>
  <c r="H46" i="6" s="1"/>
  <c r="G7" i="6"/>
  <c r="G46" i="6" s="1"/>
  <c r="F7" i="6"/>
  <c r="F46" i="6" s="1"/>
  <c r="E7" i="6"/>
  <c r="E46" i="6" s="1"/>
  <c r="D7" i="6"/>
  <c r="D46" i="6" s="1"/>
  <c r="C7" i="6"/>
  <c r="C46" i="6" s="1"/>
  <c r="B7" i="6"/>
  <c r="B46" i="6" s="1"/>
  <c r="J6" i="6"/>
  <c r="J45" i="6" s="1"/>
  <c r="I6" i="6"/>
  <c r="I45" i="6" s="1"/>
  <c r="H6" i="6"/>
  <c r="H45" i="6" s="1"/>
  <c r="G6" i="6"/>
  <c r="G45" i="6" s="1"/>
  <c r="F6" i="6"/>
  <c r="F45" i="6" s="1"/>
  <c r="E6" i="6"/>
  <c r="E45" i="6" s="1"/>
  <c r="D6" i="6"/>
  <c r="D45" i="6" s="1"/>
  <c r="C6" i="6"/>
  <c r="C45" i="6" s="1"/>
  <c r="B6" i="6"/>
  <c r="B45" i="6" s="1"/>
  <c r="B6" i="19"/>
  <c r="S36" i="19"/>
  <c r="R36" i="19"/>
  <c r="Q36" i="19"/>
  <c r="P36" i="19"/>
  <c r="O36" i="19"/>
  <c r="N36" i="19"/>
  <c r="M36" i="19"/>
  <c r="L36" i="19"/>
  <c r="K36" i="19"/>
  <c r="J36" i="19"/>
  <c r="I36" i="19"/>
  <c r="H36" i="19"/>
  <c r="G36" i="19"/>
  <c r="F36" i="19"/>
  <c r="E36" i="19"/>
  <c r="D36" i="19"/>
  <c r="C36" i="19"/>
  <c r="B36" i="19"/>
  <c r="S35" i="19"/>
  <c r="R35" i="19"/>
  <c r="Q35" i="19"/>
  <c r="P35" i="19"/>
  <c r="O35" i="19"/>
  <c r="N35" i="19"/>
  <c r="M35" i="19"/>
  <c r="L35" i="19"/>
  <c r="K35" i="19"/>
  <c r="J35" i="19"/>
  <c r="I35" i="19"/>
  <c r="H35" i="19"/>
  <c r="G35" i="19"/>
  <c r="F35" i="19"/>
  <c r="E35" i="19"/>
  <c r="D35" i="19"/>
  <c r="C35" i="19"/>
  <c r="B35" i="19"/>
  <c r="S34" i="19"/>
  <c r="R34" i="19"/>
  <c r="Q34" i="19"/>
  <c r="P34" i="19"/>
  <c r="O34" i="19"/>
  <c r="N34" i="19"/>
  <c r="M34" i="19"/>
  <c r="L34" i="19"/>
  <c r="K34" i="19"/>
  <c r="J34" i="19"/>
  <c r="I34" i="19"/>
  <c r="H34" i="19"/>
  <c r="G34" i="19"/>
  <c r="F34" i="19"/>
  <c r="E34" i="19"/>
  <c r="D34" i="19"/>
  <c r="C34" i="19"/>
  <c r="B34" i="19"/>
  <c r="S33" i="19"/>
  <c r="R33" i="19"/>
  <c r="Q33" i="19"/>
  <c r="P33" i="19"/>
  <c r="O33" i="19"/>
  <c r="N33" i="19"/>
  <c r="M33" i="19"/>
  <c r="L33" i="19"/>
  <c r="K33" i="19"/>
  <c r="J33" i="19"/>
  <c r="I33" i="19"/>
  <c r="H33" i="19"/>
  <c r="G33" i="19"/>
  <c r="F33" i="19"/>
  <c r="E33" i="19"/>
  <c r="D33" i="19"/>
  <c r="C33" i="19"/>
  <c r="B33" i="19"/>
  <c r="S32" i="19"/>
  <c r="R32" i="19"/>
  <c r="Q32" i="19"/>
  <c r="P32" i="19"/>
  <c r="O32" i="19"/>
  <c r="N32" i="19"/>
  <c r="M32" i="19"/>
  <c r="L32" i="19"/>
  <c r="K32" i="19"/>
  <c r="J32" i="19"/>
  <c r="I32" i="19"/>
  <c r="H32" i="19"/>
  <c r="G32" i="19"/>
  <c r="F32" i="19"/>
  <c r="E32" i="19"/>
  <c r="D32" i="19"/>
  <c r="C32" i="19"/>
  <c r="B32" i="19"/>
  <c r="S31" i="19"/>
  <c r="R31" i="19"/>
  <c r="Q31" i="19"/>
  <c r="P31" i="19"/>
  <c r="O31" i="19"/>
  <c r="N31" i="19"/>
  <c r="M31" i="19"/>
  <c r="L31" i="19"/>
  <c r="K31" i="19"/>
  <c r="J31" i="19"/>
  <c r="I31" i="19"/>
  <c r="H31" i="19"/>
  <c r="G31" i="19"/>
  <c r="F31" i="19"/>
  <c r="E31" i="19"/>
  <c r="D31" i="19"/>
  <c r="C31" i="19"/>
  <c r="B31" i="19"/>
  <c r="S30" i="19"/>
  <c r="R30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B30" i="19"/>
  <c r="S29" i="19"/>
  <c r="R29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B29" i="19"/>
  <c r="S28" i="19"/>
  <c r="R28" i="19"/>
  <c r="Q28" i="19"/>
  <c r="P28" i="19"/>
  <c r="O28" i="19"/>
  <c r="N28" i="19"/>
  <c r="M28" i="19"/>
  <c r="L28" i="19"/>
  <c r="K28" i="19"/>
  <c r="J28" i="19"/>
  <c r="I28" i="19"/>
  <c r="H28" i="19"/>
  <c r="G28" i="19"/>
  <c r="F28" i="19"/>
  <c r="E28" i="19"/>
  <c r="D28" i="19"/>
  <c r="C28" i="19"/>
  <c r="B28" i="19"/>
  <c r="S27" i="19"/>
  <c r="R27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C27" i="19"/>
  <c r="B27" i="19"/>
  <c r="S26" i="19"/>
  <c r="R26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C26" i="19"/>
  <c r="B26" i="19"/>
  <c r="S25" i="19"/>
  <c r="R25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C25" i="19"/>
  <c r="B25" i="19"/>
  <c r="S24" i="19"/>
  <c r="R24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C24" i="19"/>
  <c r="B24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C23" i="19"/>
  <c r="B23" i="19"/>
  <c r="S22" i="19"/>
  <c r="R22" i="19"/>
  <c r="Q22" i="19"/>
  <c r="P22" i="19"/>
  <c r="O22" i="19"/>
  <c r="N22" i="19"/>
  <c r="M22" i="19"/>
  <c r="L22" i="19"/>
  <c r="K22" i="19"/>
  <c r="J22" i="19"/>
  <c r="I22" i="19"/>
  <c r="H22" i="19"/>
  <c r="G22" i="19"/>
  <c r="F22" i="19"/>
  <c r="E22" i="19"/>
  <c r="D22" i="19"/>
  <c r="C22" i="19"/>
  <c r="B22" i="19"/>
  <c r="S21" i="19"/>
  <c r="R21" i="19"/>
  <c r="Q21" i="19"/>
  <c r="P21" i="19"/>
  <c r="O21" i="19"/>
  <c r="N21" i="19"/>
  <c r="M21" i="19"/>
  <c r="L21" i="19"/>
  <c r="K21" i="19"/>
  <c r="J21" i="19"/>
  <c r="I21" i="19"/>
  <c r="H21" i="19"/>
  <c r="G21" i="19"/>
  <c r="F21" i="19"/>
  <c r="E21" i="19"/>
  <c r="D21" i="19"/>
  <c r="C21" i="19"/>
  <c r="B21" i="19"/>
  <c r="S20" i="19"/>
  <c r="R20" i="19"/>
  <c r="Q20" i="19"/>
  <c r="P20" i="19"/>
  <c r="O20" i="19"/>
  <c r="N20" i="19"/>
  <c r="M20" i="19"/>
  <c r="L20" i="19"/>
  <c r="K20" i="19"/>
  <c r="J20" i="19"/>
  <c r="I20" i="19"/>
  <c r="H20" i="19"/>
  <c r="G20" i="19"/>
  <c r="F20" i="19"/>
  <c r="E20" i="19"/>
  <c r="D20" i="19"/>
  <c r="C20" i="19"/>
  <c r="B20" i="19"/>
  <c r="S19" i="19"/>
  <c r="R19" i="19"/>
  <c r="Q19" i="19"/>
  <c r="P19" i="19"/>
  <c r="O19" i="19"/>
  <c r="N19" i="19"/>
  <c r="M19" i="19"/>
  <c r="L19" i="19"/>
  <c r="K19" i="19"/>
  <c r="J19" i="19"/>
  <c r="I19" i="19"/>
  <c r="H19" i="19"/>
  <c r="G19" i="19"/>
  <c r="F19" i="19"/>
  <c r="E19" i="19"/>
  <c r="D19" i="19"/>
  <c r="C19" i="19"/>
  <c r="B19" i="19"/>
  <c r="S18" i="19"/>
  <c r="R18" i="19"/>
  <c r="Q18" i="19"/>
  <c r="P18" i="19"/>
  <c r="O18" i="19"/>
  <c r="N18" i="19"/>
  <c r="M18" i="19"/>
  <c r="L18" i="19"/>
  <c r="K18" i="19"/>
  <c r="J18" i="19"/>
  <c r="I18" i="19"/>
  <c r="H18" i="19"/>
  <c r="G18" i="19"/>
  <c r="F18" i="19"/>
  <c r="E18" i="19"/>
  <c r="D18" i="19"/>
  <c r="C18" i="19"/>
  <c r="B18" i="19"/>
  <c r="S17" i="19"/>
  <c r="R17" i="19"/>
  <c r="Q17" i="19"/>
  <c r="P17" i="19"/>
  <c r="O17" i="19"/>
  <c r="N17" i="19"/>
  <c r="M17" i="19"/>
  <c r="L17" i="19"/>
  <c r="K17" i="19"/>
  <c r="J17" i="19"/>
  <c r="I17" i="19"/>
  <c r="H17" i="19"/>
  <c r="G17" i="19"/>
  <c r="F17" i="19"/>
  <c r="E17" i="19"/>
  <c r="D17" i="19"/>
  <c r="C17" i="19"/>
  <c r="B17" i="19"/>
  <c r="S16" i="19"/>
  <c r="R16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S15" i="19"/>
  <c r="R15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S14" i="19"/>
  <c r="R14" i="19"/>
  <c r="Q14" i="19"/>
  <c r="P14" i="19"/>
  <c r="O14" i="19"/>
  <c r="N14" i="19"/>
  <c r="M14" i="19"/>
  <c r="L14" i="19"/>
  <c r="K14" i="19"/>
  <c r="J14" i="19"/>
  <c r="I14" i="19"/>
  <c r="H14" i="19"/>
  <c r="G14" i="19"/>
  <c r="F14" i="19"/>
  <c r="E14" i="19"/>
  <c r="D14" i="19"/>
  <c r="C14" i="19"/>
  <c r="B14" i="19"/>
  <c r="S13" i="19"/>
  <c r="R13" i="19"/>
  <c r="Q13" i="19"/>
  <c r="P13" i="19"/>
  <c r="O13" i="19"/>
  <c r="N13" i="19"/>
  <c r="M13" i="19"/>
  <c r="L13" i="19"/>
  <c r="K13" i="19"/>
  <c r="J13" i="19"/>
  <c r="I13" i="19"/>
  <c r="H13" i="19"/>
  <c r="G13" i="19"/>
  <c r="F13" i="19"/>
  <c r="E13" i="19"/>
  <c r="D13" i="19"/>
  <c r="C13" i="19"/>
  <c r="B13" i="19"/>
  <c r="S12" i="19"/>
  <c r="R12" i="19"/>
  <c r="Q12" i="19"/>
  <c r="P12" i="19"/>
  <c r="O12" i="19"/>
  <c r="N12" i="19"/>
  <c r="M12" i="19"/>
  <c r="L12" i="19"/>
  <c r="K12" i="19"/>
  <c r="J12" i="19"/>
  <c r="I12" i="19"/>
  <c r="H12" i="19"/>
  <c r="G12" i="19"/>
  <c r="F12" i="19"/>
  <c r="E12" i="19"/>
  <c r="D12" i="19"/>
  <c r="C12" i="19"/>
  <c r="B12" i="19"/>
  <c r="S11" i="19"/>
  <c r="R11" i="19"/>
  <c r="Q11" i="19"/>
  <c r="P11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C11" i="19"/>
  <c r="B11" i="19"/>
  <c r="S10" i="19"/>
  <c r="R10" i="19"/>
  <c r="Q10" i="19"/>
  <c r="P10" i="19"/>
  <c r="O10" i="19"/>
  <c r="N10" i="19"/>
  <c r="M10" i="19"/>
  <c r="L10" i="19"/>
  <c r="K10" i="19"/>
  <c r="J10" i="19"/>
  <c r="I10" i="19"/>
  <c r="H10" i="19"/>
  <c r="G10" i="19"/>
  <c r="F10" i="19"/>
  <c r="E10" i="19"/>
  <c r="D10" i="19"/>
  <c r="C10" i="19"/>
  <c r="B10" i="19"/>
  <c r="S9" i="19"/>
  <c r="R9" i="19"/>
  <c r="Q9" i="19"/>
  <c r="P9" i="19"/>
  <c r="O9" i="19"/>
  <c r="N9" i="19"/>
  <c r="M9" i="19"/>
  <c r="L9" i="19"/>
  <c r="K9" i="19"/>
  <c r="J9" i="19"/>
  <c r="I9" i="19"/>
  <c r="H9" i="19"/>
  <c r="G9" i="19"/>
  <c r="F9" i="19"/>
  <c r="E9" i="19"/>
  <c r="D9" i="19"/>
  <c r="C9" i="19"/>
  <c r="B9" i="19"/>
  <c r="S8" i="19"/>
  <c r="R8" i="19"/>
  <c r="Q8" i="19"/>
  <c r="P8" i="19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S7" i="19"/>
  <c r="R7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C7" i="19"/>
  <c r="B7" i="19"/>
  <c r="S6" i="19"/>
  <c r="R6" i="19"/>
  <c r="Q6" i="19"/>
  <c r="P6" i="19"/>
  <c r="O6" i="19"/>
  <c r="N6" i="19"/>
  <c r="M6" i="19"/>
  <c r="L6" i="19"/>
  <c r="K6" i="19"/>
  <c r="J6" i="19"/>
  <c r="I6" i="19"/>
  <c r="H6" i="19"/>
  <c r="G6" i="19"/>
  <c r="F6" i="19"/>
  <c r="E6" i="19"/>
  <c r="D6" i="19"/>
  <c r="C6" i="19"/>
  <c r="S20" i="18"/>
  <c r="R20" i="18"/>
  <c r="Q20" i="18"/>
  <c r="P20" i="18"/>
  <c r="O20" i="18"/>
  <c r="N20" i="18"/>
  <c r="M20" i="18"/>
  <c r="L20" i="18"/>
  <c r="K20" i="18"/>
  <c r="J20" i="18"/>
  <c r="I20" i="18"/>
  <c r="H20" i="18"/>
  <c r="G20" i="18"/>
  <c r="F20" i="18"/>
  <c r="E20" i="18"/>
  <c r="D20" i="18"/>
  <c r="C20" i="18"/>
  <c r="B20" i="18"/>
  <c r="S18" i="18"/>
  <c r="R18" i="18"/>
  <c r="Q18" i="18"/>
  <c r="P18" i="18"/>
  <c r="O18" i="18"/>
  <c r="N18" i="18"/>
  <c r="M18" i="18"/>
  <c r="L18" i="18"/>
  <c r="K18" i="18"/>
  <c r="J18" i="18"/>
  <c r="I18" i="18"/>
  <c r="H18" i="18"/>
  <c r="G18" i="18"/>
  <c r="F18" i="18"/>
  <c r="E18" i="18"/>
  <c r="D18" i="18"/>
  <c r="C18" i="18"/>
  <c r="B18" i="18"/>
  <c r="S17" i="18"/>
  <c r="R17" i="18"/>
  <c r="Q17" i="18"/>
  <c r="P17" i="18"/>
  <c r="O17" i="18"/>
  <c r="N17" i="18"/>
  <c r="M17" i="18"/>
  <c r="L17" i="18"/>
  <c r="K17" i="18"/>
  <c r="J17" i="18"/>
  <c r="I17" i="18"/>
  <c r="H17" i="18"/>
  <c r="G17" i="18"/>
  <c r="F17" i="18"/>
  <c r="E17" i="18"/>
  <c r="D17" i="18"/>
  <c r="C17" i="18"/>
  <c r="B17" i="18"/>
  <c r="S19" i="18"/>
  <c r="R19" i="18"/>
  <c r="Q19" i="18"/>
  <c r="P19" i="18"/>
  <c r="O19" i="18"/>
  <c r="N19" i="18"/>
  <c r="M19" i="18"/>
  <c r="L19" i="18"/>
  <c r="K19" i="18"/>
  <c r="J19" i="18"/>
  <c r="I19" i="18"/>
  <c r="H19" i="18"/>
  <c r="G19" i="18"/>
  <c r="F19" i="18"/>
  <c r="E19" i="18"/>
  <c r="D19" i="18"/>
  <c r="C19" i="18"/>
  <c r="B19" i="18"/>
  <c r="S16" i="18"/>
  <c r="R16" i="18"/>
  <c r="Q16" i="18"/>
  <c r="P16" i="18"/>
  <c r="O16" i="18"/>
  <c r="N16" i="18"/>
  <c r="M16" i="18"/>
  <c r="L16" i="18"/>
  <c r="K16" i="18"/>
  <c r="J16" i="18"/>
  <c r="I16" i="18"/>
  <c r="H16" i="18"/>
  <c r="G16" i="18"/>
  <c r="F16" i="18"/>
  <c r="E16" i="18"/>
  <c r="D16" i="18"/>
  <c r="C16" i="18"/>
  <c r="B16" i="18"/>
  <c r="S15" i="18"/>
  <c r="R15" i="18"/>
  <c r="Q15" i="18"/>
  <c r="P15" i="18"/>
  <c r="O15" i="18"/>
  <c r="N15" i="18"/>
  <c r="M15" i="18"/>
  <c r="L15" i="18"/>
  <c r="K15" i="18"/>
  <c r="J15" i="18"/>
  <c r="I15" i="18"/>
  <c r="H15" i="18"/>
  <c r="G15" i="18"/>
  <c r="F15" i="18"/>
  <c r="E15" i="18"/>
  <c r="D15" i="18"/>
  <c r="C15" i="18"/>
  <c r="B15" i="18"/>
  <c r="S14" i="18"/>
  <c r="R14" i="18"/>
  <c r="Q14" i="18"/>
  <c r="P14" i="18"/>
  <c r="O14" i="18"/>
  <c r="N14" i="18"/>
  <c r="M14" i="18"/>
  <c r="L14" i="18"/>
  <c r="K14" i="18"/>
  <c r="J14" i="18"/>
  <c r="I14" i="18"/>
  <c r="H14" i="18"/>
  <c r="G14" i="18"/>
  <c r="F14" i="18"/>
  <c r="E14" i="18"/>
  <c r="D14" i="18"/>
  <c r="C14" i="18"/>
  <c r="B14" i="18"/>
  <c r="S13" i="18"/>
  <c r="R13" i="18"/>
  <c r="Q13" i="18"/>
  <c r="P13" i="18"/>
  <c r="O13" i="18"/>
  <c r="N13" i="18"/>
  <c r="M13" i="18"/>
  <c r="L13" i="18"/>
  <c r="K13" i="18"/>
  <c r="J13" i="18"/>
  <c r="I13" i="18"/>
  <c r="H13" i="18"/>
  <c r="G13" i="18"/>
  <c r="F13" i="18"/>
  <c r="E13" i="18"/>
  <c r="D13" i="18"/>
  <c r="C13" i="18"/>
  <c r="B13" i="18"/>
  <c r="S12" i="18"/>
  <c r="R12" i="18"/>
  <c r="Q12" i="18"/>
  <c r="P12" i="18"/>
  <c r="O12" i="18"/>
  <c r="N12" i="18"/>
  <c r="M12" i="18"/>
  <c r="L12" i="18"/>
  <c r="K12" i="18"/>
  <c r="J12" i="18"/>
  <c r="I12" i="18"/>
  <c r="H12" i="18"/>
  <c r="G12" i="18"/>
  <c r="F12" i="18"/>
  <c r="E12" i="18"/>
  <c r="D12" i="18"/>
  <c r="C12" i="18"/>
  <c r="B12" i="18"/>
  <c r="S11" i="18"/>
  <c r="R11" i="18"/>
  <c r="Q11" i="18"/>
  <c r="P11" i="18"/>
  <c r="O11" i="18"/>
  <c r="N11" i="18"/>
  <c r="M11" i="18"/>
  <c r="L11" i="18"/>
  <c r="K11" i="18"/>
  <c r="J11" i="18"/>
  <c r="I11" i="18"/>
  <c r="H11" i="18"/>
  <c r="G11" i="18"/>
  <c r="F11" i="18"/>
  <c r="E11" i="18"/>
  <c r="D11" i="18"/>
  <c r="C11" i="18"/>
  <c r="B11" i="18"/>
  <c r="S10" i="18"/>
  <c r="R10" i="18"/>
  <c r="Q10" i="18"/>
  <c r="P10" i="18"/>
  <c r="O10" i="18"/>
  <c r="N10" i="18"/>
  <c r="M10" i="18"/>
  <c r="L10" i="18"/>
  <c r="K10" i="18"/>
  <c r="J10" i="18"/>
  <c r="I10" i="18"/>
  <c r="H10" i="18"/>
  <c r="G10" i="18"/>
  <c r="F10" i="18"/>
  <c r="E10" i="18"/>
  <c r="D10" i="18"/>
  <c r="C10" i="18"/>
  <c r="B10" i="18"/>
  <c r="S9" i="18"/>
  <c r="R9" i="18"/>
  <c r="Q9" i="18"/>
  <c r="P9" i="18"/>
  <c r="O9" i="18"/>
  <c r="N9" i="18"/>
  <c r="M9" i="18"/>
  <c r="L9" i="18"/>
  <c r="K9" i="18"/>
  <c r="J9" i="18"/>
  <c r="I9" i="18"/>
  <c r="H9" i="18"/>
  <c r="G9" i="18"/>
  <c r="F9" i="18"/>
  <c r="E9" i="18"/>
  <c r="D9" i="18"/>
  <c r="C9" i="18"/>
  <c r="B9" i="18"/>
  <c r="S8" i="18"/>
  <c r="R8" i="18"/>
  <c r="Q8" i="18"/>
  <c r="P8" i="18"/>
  <c r="O8" i="18"/>
  <c r="N8" i="18"/>
  <c r="M8" i="18"/>
  <c r="L8" i="18"/>
  <c r="K8" i="18"/>
  <c r="J8" i="18"/>
  <c r="I8" i="18"/>
  <c r="H8" i="18"/>
  <c r="G8" i="18"/>
  <c r="F8" i="18"/>
  <c r="E8" i="18"/>
  <c r="D8" i="18"/>
  <c r="C8" i="18"/>
  <c r="B8" i="18"/>
  <c r="S7" i="18"/>
  <c r="R7" i="18"/>
  <c r="Q7" i="18"/>
  <c r="P7" i="18"/>
  <c r="O7" i="18"/>
  <c r="N7" i="18"/>
  <c r="M7" i="18"/>
  <c r="L7" i="18"/>
  <c r="K7" i="18"/>
  <c r="J7" i="18"/>
  <c r="I7" i="18"/>
  <c r="H7" i="18"/>
  <c r="G7" i="18"/>
  <c r="F7" i="18"/>
  <c r="E7" i="18"/>
  <c r="D7" i="18"/>
  <c r="C7" i="18"/>
  <c r="B7" i="18"/>
  <c r="S6" i="18"/>
  <c r="R6" i="18"/>
  <c r="Q6" i="18"/>
  <c r="P6" i="18"/>
  <c r="O6" i="18"/>
  <c r="N6" i="18"/>
  <c r="M6" i="18"/>
  <c r="L6" i="18"/>
  <c r="K6" i="18"/>
  <c r="J6" i="18"/>
  <c r="I6" i="18"/>
  <c r="H6" i="18"/>
  <c r="G6" i="18"/>
  <c r="F6" i="18"/>
  <c r="E6" i="18"/>
  <c r="D6" i="18"/>
  <c r="C6" i="18"/>
  <c r="B6" i="18"/>
  <c r="K8" i="30" l="1"/>
  <c r="O5" i="28"/>
  <c r="O35" i="45"/>
  <c r="O36" i="45"/>
  <c r="O6" i="28"/>
  <c r="O29" i="28"/>
  <c r="L31" i="30"/>
  <c r="O21" i="28"/>
  <c r="O30" i="28"/>
  <c r="L12" i="25"/>
  <c r="O8" i="28"/>
  <c r="O7" i="28"/>
  <c r="M14" i="6"/>
  <c r="M53" i="6" s="1"/>
  <c r="O14" i="28"/>
  <c r="L9" i="30"/>
  <c r="L14" i="30"/>
  <c r="M16" i="30"/>
  <c r="L17" i="30"/>
  <c r="K18" i="30"/>
  <c r="K26" i="30"/>
  <c r="M22" i="30"/>
  <c r="K5" i="25"/>
  <c r="L18" i="6"/>
  <c r="L57" i="6" s="1"/>
  <c r="K19" i="6"/>
  <c r="K58" i="6" s="1"/>
  <c r="M17" i="6"/>
  <c r="M56" i="6" s="1"/>
  <c r="O12" i="28"/>
  <c r="M27" i="25"/>
  <c r="L28" i="25"/>
  <c r="K29" i="25"/>
  <c r="M35" i="25"/>
  <c r="M14" i="30"/>
  <c r="L15" i="30"/>
  <c r="L23" i="30"/>
  <c r="L6" i="6"/>
  <c r="L45" i="6" s="1"/>
  <c r="M13" i="6"/>
  <c r="M52" i="6" s="1"/>
  <c r="L14" i="6"/>
  <c r="L53" i="6" s="1"/>
  <c r="L9" i="6"/>
  <c r="L48" i="6" s="1"/>
  <c r="K18" i="6"/>
  <c r="K57" i="6" s="1"/>
  <c r="M19" i="6"/>
  <c r="M58" i="6" s="1"/>
  <c r="L20" i="6"/>
  <c r="L59" i="6" s="1"/>
  <c r="L33" i="25"/>
  <c r="M11" i="30"/>
  <c r="L20" i="30"/>
  <c r="O19" i="28"/>
  <c r="O25" i="28"/>
  <c r="M11" i="6"/>
  <c r="M50" i="6" s="1"/>
  <c r="M16" i="25"/>
  <c r="O27" i="28"/>
  <c r="O32" i="28"/>
  <c r="O22" i="28"/>
  <c r="L28" i="30"/>
  <c r="M30" i="30"/>
  <c r="O18" i="28"/>
  <c r="O35" i="28"/>
  <c r="O10" i="28"/>
  <c r="L11" i="6"/>
  <c r="L50" i="6" s="1"/>
  <c r="L19" i="6"/>
  <c r="L58" i="6" s="1"/>
  <c r="K20" i="6"/>
  <c r="K59" i="6" s="1"/>
  <c r="L35" i="30"/>
  <c r="K33" i="25"/>
  <c r="O11" i="28"/>
  <c r="O31" i="28"/>
  <c r="O13" i="28"/>
  <c r="O16" i="28"/>
  <c r="K16" i="30"/>
  <c r="K24" i="30"/>
  <c r="K32" i="30"/>
  <c r="O26" i="28"/>
  <c r="M11" i="25"/>
  <c r="M19" i="25"/>
  <c r="L20" i="25"/>
  <c r="M5" i="30"/>
  <c r="L6" i="30"/>
  <c r="M13" i="30"/>
  <c r="M21" i="30"/>
  <c r="L22" i="30"/>
  <c r="O15" i="28"/>
  <c r="K25" i="25"/>
  <c r="O9" i="28"/>
  <c r="L10" i="30"/>
  <c r="K11" i="30"/>
  <c r="M17" i="30"/>
  <c r="L18" i="30"/>
  <c r="K19" i="30"/>
  <c r="K25" i="30"/>
  <c r="M25" i="30"/>
  <c r="L26" i="30"/>
  <c r="K27" i="30"/>
  <c r="M33" i="30"/>
  <c r="L34" i="30"/>
  <c r="K35" i="30"/>
  <c r="M8" i="25"/>
  <c r="L9" i="25"/>
  <c r="K10" i="25"/>
  <c r="K15" i="25"/>
  <c r="L17" i="25"/>
  <c r="K18" i="25"/>
  <c r="M21" i="25"/>
  <c r="M24" i="25"/>
  <c r="L25" i="25"/>
  <c r="K26" i="25"/>
  <c r="M29" i="25"/>
  <c r="L30" i="25"/>
  <c r="K31" i="25"/>
  <c r="M32" i="25"/>
  <c r="K34" i="25"/>
  <c r="M10" i="30"/>
  <c r="L11" i="30"/>
  <c r="K12" i="30"/>
  <c r="M18" i="30"/>
  <c r="L19" i="30"/>
  <c r="K20" i="30"/>
  <c r="M26" i="30"/>
  <c r="K10" i="6"/>
  <c r="K49" i="6" s="1"/>
  <c r="K13" i="25"/>
  <c r="K21" i="25"/>
  <c r="M7" i="6"/>
  <c r="M46" i="6" s="1"/>
  <c r="M15" i="6"/>
  <c r="M54" i="6" s="1"/>
  <c r="K17" i="6"/>
  <c r="L27" i="30"/>
  <c r="K28" i="30"/>
  <c r="O24" i="28"/>
  <c r="O34" i="28"/>
  <c r="L8" i="6"/>
  <c r="L47" i="6" s="1"/>
  <c r="K5" i="30"/>
  <c r="L12" i="30"/>
  <c r="K13" i="30"/>
  <c r="K15" i="30"/>
  <c r="M19" i="30"/>
  <c r="K21" i="30"/>
  <c r="K23" i="30"/>
  <c r="M24" i="30"/>
  <c r="L25" i="30"/>
  <c r="M27" i="30"/>
  <c r="K29" i="30"/>
  <c r="M29" i="30"/>
  <c r="L30" i="30"/>
  <c r="K31" i="30"/>
  <c r="M32" i="30"/>
  <c r="L33" i="30"/>
  <c r="K34" i="30"/>
  <c r="M35" i="30"/>
  <c r="M18" i="6"/>
  <c r="M57" i="6" s="1"/>
  <c r="M5" i="25"/>
  <c r="L6" i="25"/>
  <c r="K7" i="25"/>
  <c r="M13" i="25"/>
  <c r="L14" i="25"/>
  <c r="K17" i="25"/>
  <c r="L22" i="25"/>
  <c r="K23" i="25"/>
  <c r="M6" i="30"/>
  <c r="L7" i="30"/>
  <c r="O33" i="28"/>
  <c r="O17" i="28"/>
  <c r="O23" i="28"/>
  <c r="M8" i="6"/>
  <c r="M47" i="6" s="1"/>
  <c r="L17" i="6"/>
  <c r="L56" i="6" s="1"/>
  <c r="M7" i="25"/>
  <c r="L8" i="25"/>
  <c r="M10" i="25"/>
  <c r="L11" i="25"/>
  <c r="K12" i="25"/>
  <c r="M15" i="25"/>
  <c r="L16" i="25"/>
  <c r="M18" i="25"/>
  <c r="L19" i="25"/>
  <c r="K20" i="25"/>
  <c r="M23" i="25"/>
  <c r="L24" i="25"/>
  <c r="M26" i="25"/>
  <c r="L27" i="25"/>
  <c r="K28" i="25"/>
  <c r="M31" i="25"/>
  <c r="L32" i="25"/>
  <c r="M34" i="25"/>
  <c r="L35" i="25"/>
  <c r="L7" i="6"/>
  <c r="L46" i="6" s="1"/>
  <c r="K8" i="6"/>
  <c r="L15" i="6"/>
  <c r="L54" i="6" s="1"/>
  <c r="M6" i="25"/>
  <c r="L7" i="25"/>
  <c r="K8" i="25"/>
  <c r="M9" i="25"/>
  <c r="L10" i="25"/>
  <c r="K11" i="25"/>
  <c r="M14" i="25"/>
  <c r="L15" i="25"/>
  <c r="K16" i="25"/>
  <c r="M17" i="25"/>
  <c r="L18" i="25"/>
  <c r="K19" i="25"/>
  <c r="M22" i="25"/>
  <c r="L23" i="25"/>
  <c r="K24" i="25"/>
  <c r="M25" i="25"/>
  <c r="L26" i="25"/>
  <c r="K27" i="25"/>
  <c r="M30" i="25"/>
  <c r="L31" i="25"/>
  <c r="K32" i="25"/>
  <c r="M33" i="25"/>
  <c r="L34" i="25"/>
  <c r="K35" i="25"/>
  <c r="L12" i="6"/>
  <c r="L51" i="6" s="1"/>
  <c r="K15" i="6"/>
  <c r="K54" i="6" s="1"/>
  <c r="M8" i="30"/>
  <c r="K10" i="30"/>
  <c r="O28" i="28"/>
  <c r="M7" i="30"/>
  <c r="L8" i="30"/>
  <c r="L13" i="30"/>
  <c r="M15" i="30"/>
  <c r="L16" i="30"/>
  <c r="K17" i="30"/>
  <c r="M20" i="30"/>
  <c r="L21" i="30"/>
  <c r="K22" i="30"/>
  <c r="M23" i="30"/>
  <c r="L24" i="30"/>
  <c r="M28" i="30"/>
  <c r="L29" i="30"/>
  <c r="K30" i="30"/>
  <c r="M31" i="30"/>
  <c r="L32" i="30"/>
  <c r="K33" i="30"/>
  <c r="M34" i="30"/>
  <c r="K7" i="6"/>
  <c r="K46" i="6" s="1"/>
  <c r="K9" i="25"/>
  <c r="M9" i="6"/>
  <c r="M48" i="6" s="1"/>
  <c r="L10" i="6"/>
  <c r="L49" i="6" s="1"/>
  <c r="K11" i="6"/>
  <c r="K50" i="6" s="1"/>
  <c r="L5" i="30"/>
  <c r="K6" i="30"/>
  <c r="M12" i="30"/>
  <c r="K14" i="30"/>
  <c r="K6" i="6"/>
  <c r="K45" i="6" s="1"/>
  <c r="K9" i="6"/>
  <c r="M10" i="6"/>
  <c r="M49" i="6" s="1"/>
  <c r="L13" i="6"/>
  <c r="L52" i="6" s="1"/>
  <c r="L16" i="6"/>
  <c r="L55" i="6" s="1"/>
  <c r="M16" i="6"/>
  <c r="M55" i="6" s="1"/>
  <c r="O20" i="28"/>
  <c r="M6" i="6"/>
  <c r="M45" i="6" s="1"/>
  <c r="M12" i="6"/>
  <c r="M51" i="6" s="1"/>
  <c r="K14" i="6"/>
  <c r="K16" i="6"/>
  <c r="K55" i="6" s="1"/>
  <c r="M20" i="6"/>
  <c r="M59" i="6" s="1"/>
  <c r="K9" i="30"/>
  <c r="K12" i="6"/>
  <c r="L5" i="25"/>
  <c r="K6" i="25"/>
  <c r="M12" i="25"/>
  <c r="L13" i="25"/>
  <c r="K14" i="25"/>
  <c r="M20" i="25"/>
  <c r="L21" i="25"/>
  <c r="K22" i="25"/>
  <c r="M28" i="25"/>
  <c r="L29" i="25"/>
  <c r="K30" i="25"/>
  <c r="K7" i="30"/>
  <c r="K13" i="6"/>
  <c r="K52" i="6" s="1"/>
  <c r="M9" i="30"/>
  <c r="S37" i="19"/>
  <c r="Q37" i="19"/>
  <c r="R37" i="19"/>
  <c r="S36" i="18"/>
  <c r="R36" i="18"/>
  <c r="Q36" i="18"/>
  <c r="S35" i="18"/>
  <c r="R35" i="18"/>
  <c r="Q35" i="18"/>
  <c r="S34" i="18"/>
  <c r="R34" i="18"/>
  <c r="Q34" i="18"/>
  <c r="S33" i="18"/>
  <c r="R33" i="18"/>
  <c r="Q33" i="18"/>
  <c r="S32" i="18"/>
  <c r="R32" i="18"/>
  <c r="Q32" i="18"/>
  <c r="S31" i="18"/>
  <c r="R31" i="18"/>
  <c r="Q31" i="18"/>
  <c r="S30" i="18"/>
  <c r="R30" i="18"/>
  <c r="Q30" i="18"/>
  <c r="S29" i="18"/>
  <c r="R29" i="18"/>
  <c r="Q29" i="18"/>
  <c r="S28" i="18"/>
  <c r="R28" i="18"/>
  <c r="Q28" i="18"/>
  <c r="S27" i="18"/>
  <c r="R27" i="18"/>
  <c r="Q27" i="18"/>
  <c r="S26" i="18"/>
  <c r="R26" i="18"/>
  <c r="Q26" i="18"/>
  <c r="S25" i="18"/>
  <c r="R25" i="18"/>
  <c r="Q25" i="18"/>
  <c r="S24" i="18"/>
  <c r="R24" i="18"/>
  <c r="Q24" i="18"/>
  <c r="S23" i="18"/>
  <c r="R23" i="18"/>
  <c r="Q23" i="18"/>
  <c r="S22" i="18"/>
  <c r="R22" i="18"/>
  <c r="Q22" i="18"/>
  <c r="S21" i="18"/>
  <c r="R21" i="18"/>
  <c r="Q21" i="18"/>
  <c r="O45" i="6" l="1"/>
  <c r="K47" i="6"/>
  <c r="O47" i="6" s="1"/>
  <c r="O57" i="6"/>
  <c r="K56" i="6"/>
  <c r="O56" i="6" s="1"/>
  <c r="O52" i="6"/>
  <c r="K51" i="6"/>
  <c r="O51" i="6" s="1"/>
  <c r="O54" i="6"/>
  <c r="K53" i="6"/>
  <c r="O53" i="6" s="1"/>
  <c r="O49" i="6"/>
  <c r="K48" i="6"/>
  <c r="O48" i="6" s="1"/>
  <c r="O59" i="6"/>
  <c r="O55" i="6"/>
  <c r="O50" i="6"/>
  <c r="O58" i="6"/>
  <c r="O46" i="6"/>
  <c r="O20" i="30"/>
  <c r="O14" i="6"/>
  <c r="O22" i="30"/>
  <c r="O14" i="30"/>
  <c r="O5" i="25"/>
  <c r="O18" i="30"/>
  <c r="O15" i="30"/>
  <c r="O31" i="30"/>
  <c r="O31" i="25"/>
  <c r="O7" i="25"/>
  <c r="O27" i="30"/>
  <c r="O9" i="6"/>
  <c r="O17" i="30"/>
  <c r="O11" i="6"/>
  <c r="O32" i="30"/>
  <c r="O21" i="30"/>
  <c r="O18" i="6"/>
  <c r="O10" i="30"/>
  <c r="O16" i="30"/>
  <c r="O19" i="6"/>
  <c r="O33" i="25"/>
  <c r="O28" i="30"/>
  <c r="O21" i="25"/>
  <c r="O24" i="30"/>
  <c r="O33" i="30"/>
  <c r="O11" i="30"/>
  <c r="O35" i="30"/>
  <c r="O10" i="6"/>
  <c r="O25" i="25"/>
  <c r="O29" i="25"/>
  <c r="O6" i="6"/>
  <c r="O24" i="25"/>
  <c r="O19" i="25"/>
  <c r="O25" i="30"/>
  <c r="O19" i="30"/>
  <c r="O6" i="25"/>
  <c r="O30" i="30"/>
  <c r="O23" i="25"/>
  <c r="O5" i="30"/>
  <c r="O17" i="6"/>
  <c r="O26" i="30"/>
  <c r="O17" i="25"/>
  <c r="O12" i="30"/>
  <c r="O11" i="25"/>
  <c r="O20" i="6"/>
  <c r="O60" i="6" s="1"/>
  <c r="O6" i="30"/>
  <c r="O34" i="30"/>
  <c r="O23" i="30"/>
  <c r="O18" i="25"/>
  <c r="O14" i="25"/>
  <c r="O15" i="25"/>
  <c r="O9" i="25"/>
  <c r="O8" i="30"/>
  <c r="O12" i="25"/>
  <c r="O13" i="6"/>
  <c r="O13" i="25"/>
  <c r="O30" i="25"/>
  <c r="O26" i="25"/>
  <c r="O29" i="30"/>
  <c r="O34" i="25"/>
  <c r="O20" i="25"/>
  <c r="O8" i="25"/>
  <c r="O7" i="6"/>
  <c r="O32" i="25"/>
  <c r="O10" i="25"/>
  <c r="O8" i="6"/>
  <c r="O22" i="25"/>
  <c r="O28" i="25"/>
  <c r="O13" i="30"/>
  <c r="O15" i="6"/>
  <c r="O27" i="25"/>
  <c r="O16" i="6"/>
  <c r="O7" i="30"/>
  <c r="O12" i="6"/>
  <c r="O16" i="25"/>
  <c r="O35" i="25"/>
  <c r="O9" i="30"/>
  <c r="R37" i="18"/>
  <c r="S37" i="18"/>
  <c r="Q37" i="18"/>
  <c r="P36" i="13"/>
  <c r="O36" i="13"/>
  <c r="N36" i="13"/>
  <c r="P35" i="13"/>
  <c r="O35" i="13"/>
  <c r="N35" i="13"/>
  <c r="P34" i="13"/>
  <c r="O34" i="13"/>
  <c r="N34" i="13"/>
  <c r="P33" i="13"/>
  <c r="O33" i="13"/>
  <c r="N33" i="13"/>
  <c r="P32" i="13"/>
  <c r="O32" i="13"/>
  <c r="N32" i="13"/>
  <c r="P31" i="13"/>
  <c r="O31" i="13"/>
  <c r="N31" i="13"/>
  <c r="P30" i="13"/>
  <c r="O30" i="13"/>
  <c r="N30" i="13"/>
  <c r="P29" i="13"/>
  <c r="O29" i="13"/>
  <c r="N29" i="13"/>
  <c r="P28" i="13"/>
  <c r="O28" i="13"/>
  <c r="N28" i="13"/>
  <c r="P27" i="13"/>
  <c r="O27" i="13"/>
  <c r="N27" i="13"/>
  <c r="P26" i="13"/>
  <c r="O26" i="13"/>
  <c r="N26" i="13"/>
  <c r="P25" i="13"/>
  <c r="O25" i="13"/>
  <c r="N25" i="13"/>
  <c r="P24" i="13"/>
  <c r="O24" i="13"/>
  <c r="N24" i="13"/>
  <c r="P23" i="13"/>
  <c r="O23" i="13"/>
  <c r="N23" i="13"/>
  <c r="P22" i="13"/>
  <c r="O22" i="13"/>
  <c r="N22" i="13"/>
  <c r="P21" i="13"/>
  <c r="O21" i="13"/>
  <c r="N21" i="13"/>
  <c r="P20" i="13"/>
  <c r="O20" i="13"/>
  <c r="N20" i="13"/>
  <c r="P19" i="13"/>
  <c r="O19" i="13"/>
  <c r="N19" i="13"/>
  <c r="P18" i="13"/>
  <c r="O18" i="13"/>
  <c r="N18" i="13"/>
  <c r="P17" i="13"/>
  <c r="O17" i="13"/>
  <c r="N17" i="13"/>
  <c r="P16" i="13"/>
  <c r="O16" i="13"/>
  <c r="N16" i="13"/>
  <c r="P15" i="13"/>
  <c r="O15" i="13"/>
  <c r="N15" i="13"/>
  <c r="P14" i="13"/>
  <c r="O14" i="13"/>
  <c r="N14" i="13"/>
  <c r="P13" i="13"/>
  <c r="O13" i="13"/>
  <c r="N13" i="13"/>
  <c r="P12" i="13"/>
  <c r="O12" i="13"/>
  <c r="N12" i="13"/>
  <c r="P11" i="13"/>
  <c r="O11" i="13"/>
  <c r="N11" i="13"/>
  <c r="P10" i="13"/>
  <c r="O10" i="13"/>
  <c r="N10" i="13"/>
  <c r="P9" i="13"/>
  <c r="O9" i="13"/>
  <c r="N9" i="13"/>
  <c r="P8" i="13"/>
  <c r="O8" i="13"/>
  <c r="N8" i="13"/>
  <c r="P7" i="13"/>
  <c r="O7" i="13"/>
  <c r="N7" i="13"/>
  <c r="P6" i="13"/>
  <c r="O6" i="13"/>
  <c r="N6" i="13"/>
  <c r="P37" i="13" l="1"/>
  <c r="J20" i="5"/>
  <c r="J59" i="5" s="1"/>
  <c r="J19" i="5"/>
  <c r="J58" i="5" s="1"/>
  <c r="J18" i="5"/>
  <c r="J57" i="5" s="1"/>
  <c r="J17" i="5"/>
  <c r="J56" i="5" s="1"/>
  <c r="J16" i="5"/>
  <c r="J55" i="5" s="1"/>
  <c r="J15" i="5"/>
  <c r="J54" i="5" s="1"/>
  <c r="J14" i="5"/>
  <c r="J53" i="5" s="1"/>
  <c r="J13" i="5"/>
  <c r="J52" i="5" s="1"/>
  <c r="J12" i="5"/>
  <c r="J51" i="5" s="1"/>
  <c r="J11" i="5"/>
  <c r="J50" i="5" s="1"/>
  <c r="J10" i="5"/>
  <c r="J49" i="5" s="1"/>
  <c r="J9" i="5"/>
  <c r="J48" i="5" s="1"/>
  <c r="J8" i="5"/>
  <c r="J47" i="5" s="1"/>
  <c r="J7" i="5"/>
  <c r="J46" i="5" s="1"/>
  <c r="J6" i="5"/>
  <c r="J45" i="5" s="1"/>
  <c r="I20" i="5"/>
  <c r="I59" i="5" s="1"/>
  <c r="I19" i="5"/>
  <c r="I58" i="5" s="1"/>
  <c r="I18" i="5"/>
  <c r="I57" i="5" s="1"/>
  <c r="I17" i="5"/>
  <c r="I56" i="5" s="1"/>
  <c r="I16" i="5"/>
  <c r="I55" i="5" s="1"/>
  <c r="I15" i="5"/>
  <c r="I54" i="5" s="1"/>
  <c r="I14" i="5"/>
  <c r="I53" i="5" s="1"/>
  <c r="I13" i="5"/>
  <c r="I52" i="5" s="1"/>
  <c r="I12" i="5"/>
  <c r="I51" i="5" s="1"/>
  <c r="I11" i="5"/>
  <c r="I50" i="5" s="1"/>
  <c r="I10" i="5"/>
  <c r="I49" i="5" s="1"/>
  <c r="I9" i="5"/>
  <c r="I48" i="5" s="1"/>
  <c r="I8" i="5"/>
  <c r="I47" i="5" s="1"/>
  <c r="I7" i="5"/>
  <c r="I46" i="5" s="1"/>
  <c r="I6" i="5"/>
  <c r="I45" i="5" s="1"/>
  <c r="H20" i="5"/>
  <c r="H59" i="5" s="1"/>
  <c r="H19" i="5"/>
  <c r="H58" i="5" s="1"/>
  <c r="H18" i="5"/>
  <c r="H57" i="5" s="1"/>
  <c r="H17" i="5"/>
  <c r="H56" i="5" s="1"/>
  <c r="H16" i="5"/>
  <c r="H55" i="5" s="1"/>
  <c r="H15" i="5"/>
  <c r="H54" i="5" s="1"/>
  <c r="H14" i="5"/>
  <c r="H53" i="5" s="1"/>
  <c r="H13" i="5"/>
  <c r="H52" i="5" s="1"/>
  <c r="H12" i="5"/>
  <c r="H51" i="5" s="1"/>
  <c r="H11" i="5"/>
  <c r="H50" i="5" s="1"/>
  <c r="H10" i="5"/>
  <c r="H49" i="5" s="1"/>
  <c r="H9" i="5"/>
  <c r="H48" i="5" s="1"/>
  <c r="H8" i="5"/>
  <c r="H47" i="5" s="1"/>
  <c r="H7" i="5"/>
  <c r="H46" i="5" s="1"/>
  <c r="H6" i="5"/>
  <c r="H45" i="5" s="1"/>
  <c r="H21" i="5"/>
  <c r="H60" i="5" s="1"/>
  <c r="G20" i="5"/>
  <c r="G59" i="5" s="1"/>
  <c r="G19" i="5"/>
  <c r="G58" i="5" s="1"/>
  <c r="G18" i="5"/>
  <c r="G57" i="5" s="1"/>
  <c r="G17" i="5"/>
  <c r="G56" i="5" s="1"/>
  <c r="G16" i="5"/>
  <c r="G55" i="5" s="1"/>
  <c r="G15" i="5"/>
  <c r="G54" i="5" s="1"/>
  <c r="G14" i="5"/>
  <c r="G53" i="5" s="1"/>
  <c r="G13" i="5"/>
  <c r="G52" i="5" s="1"/>
  <c r="G12" i="5"/>
  <c r="G51" i="5" s="1"/>
  <c r="G11" i="5"/>
  <c r="G50" i="5" s="1"/>
  <c r="G10" i="5"/>
  <c r="G49" i="5" s="1"/>
  <c r="G9" i="5"/>
  <c r="G48" i="5" s="1"/>
  <c r="G8" i="5"/>
  <c r="G47" i="5" s="1"/>
  <c r="G7" i="5"/>
  <c r="G46" i="5" s="1"/>
  <c r="G6" i="5"/>
  <c r="G45" i="5" s="1"/>
  <c r="F20" i="5"/>
  <c r="F59" i="5" s="1"/>
  <c r="F19" i="5"/>
  <c r="F58" i="5" s="1"/>
  <c r="F18" i="5"/>
  <c r="F57" i="5" s="1"/>
  <c r="F17" i="5"/>
  <c r="F56" i="5" s="1"/>
  <c r="F16" i="5"/>
  <c r="F55" i="5" s="1"/>
  <c r="F15" i="5"/>
  <c r="F54" i="5" s="1"/>
  <c r="F14" i="5"/>
  <c r="F53" i="5" s="1"/>
  <c r="F13" i="5"/>
  <c r="F52" i="5" s="1"/>
  <c r="F12" i="5"/>
  <c r="F51" i="5" s="1"/>
  <c r="F11" i="5"/>
  <c r="F50" i="5" s="1"/>
  <c r="F10" i="5"/>
  <c r="F49" i="5" s="1"/>
  <c r="F9" i="5"/>
  <c r="F48" i="5" s="1"/>
  <c r="F8" i="5"/>
  <c r="F47" i="5" s="1"/>
  <c r="F7" i="5"/>
  <c r="F46" i="5" s="1"/>
  <c r="F6" i="5"/>
  <c r="F45" i="5" s="1"/>
  <c r="E20" i="5"/>
  <c r="E59" i="5" s="1"/>
  <c r="E19" i="5"/>
  <c r="E58" i="5" s="1"/>
  <c r="E18" i="5"/>
  <c r="E57" i="5" s="1"/>
  <c r="E17" i="5"/>
  <c r="E56" i="5" s="1"/>
  <c r="E16" i="5"/>
  <c r="E55" i="5" s="1"/>
  <c r="E15" i="5"/>
  <c r="E54" i="5" s="1"/>
  <c r="E14" i="5"/>
  <c r="E53" i="5" s="1"/>
  <c r="E13" i="5"/>
  <c r="E52" i="5" s="1"/>
  <c r="E12" i="5"/>
  <c r="E51" i="5" s="1"/>
  <c r="E11" i="5"/>
  <c r="E50" i="5" s="1"/>
  <c r="E10" i="5"/>
  <c r="E49" i="5" s="1"/>
  <c r="E9" i="5"/>
  <c r="E48" i="5" s="1"/>
  <c r="E8" i="5"/>
  <c r="E47" i="5" s="1"/>
  <c r="E7" i="5"/>
  <c r="E46" i="5" s="1"/>
  <c r="E6" i="5"/>
  <c r="E45" i="5" s="1"/>
  <c r="E22" i="5"/>
  <c r="E61" i="5" s="1"/>
  <c r="D20" i="5"/>
  <c r="D59" i="5" s="1"/>
  <c r="D19" i="5"/>
  <c r="D58" i="5" s="1"/>
  <c r="D18" i="5"/>
  <c r="D57" i="5" s="1"/>
  <c r="D17" i="5"/>
  <c r="D56" i="5" s="1"/>
  <c r="D16" i="5"/>
  <c r="D55" i="5" s="1"/>
  <c r="D15" i="5"/>
  <c r="D54" i="5" s="1"/>
  <c r="D14" i="5"/>
  <c r="D53" i="5" s="1"/>
  <c r="D13" i="5"/>
  <c r="D52" i="5" s="1"/>
  <c r="D12" i="5"/>
  <c r="D51" i="5" s="1"/>
  <c r="D11" i="5"/>
  <c r="D50" i="5" s="1"/>
  <c r="D10" i="5"/>
  <c r="D49" i="5" s="1"/>
  <c r="D9" i="5"/>
  <c r="D48" i="5" s="1"/>
  <c r="D8" i="5"/>
  <c r="D47" i="5" s="1"/>
  <c r="D7" i="5"/>
  <c r="D46" i="5" s="1"/>
  <c r="D6" i="5"/>
  <c r="D45" i="5" s="1"/>
  <c r="C20" i="5"/>
  <c r="C59" i="5" s="1"/>
  <c r="C19" i="5"/>
  <c r="C58" i="5" s="1"/>
  <c r="C18" i="5"/>
  <c r="C57" i="5" s="1"/>
  <c r="C17" i="5"/>
  <c r="C56" i="5" s="1"/>
  <c r="C16" i="5"/>
  <c r="C55" i="5" s="1"/>
  <c r="C15" i="5"/>
  <c r="C54" i="5" s="1"/>
  <c r="C14" i="5"/>
  <c r="C53" i="5" s="1"/>
  <c r="C13" i="5"/>
  <c r="C52" i="5" s="1"/>
  <c r="C12" i="5"/>
  <c r="C51" i="5" s="1"/>
  <c r="C11" i="5"/>
  <c r="C50" i="5" s="1"/>
  <c r="C10" i="5"/>
  <c r="C49" i="5" s="1"/>
  <c r="C9" i="5"/>
  <c r="C48" i="5" s="1"/>
  <c r="C8" i="5"/>
  <c r="C47" i="5" s="1"/>
  <c r="C7" i="5"/>
  <c r="C46" i="5" s="1"/>
  <c r="C6" i="5"/>
  <c r="C45" i="5" s="1"/>
  <c r="B20" i="5"/>
  <c r="B59" i="5" s="1"/>
  <c r="B19" i="5"/>
  <c r="B58" i="5" s="1"/>
  <c r="B18" i="5"/>
  <c r="B57" i="5" s="1"/>
  <c r="B17" i="5"/>
  <c r="B56" i="5" s="1"/>
  <c r="B16" i="5"/>
  <c r="B55" i="5" s="1"/>
  <c r="B15" i="5"/>
  <c r="B54" i="5" s="1"/>
  <c r="B14" i="5"/>
  <c r="B53" i="5" s="1"/>
  <c r="B13" i="5"/>
  <c r="B52" i="5" s="1"/>
  <c r="B12" i="5"/>
  <c r="B51" i="5" s="1"/>
  <c r="B11" i="5"/>
  <c r="B50" i="5" s="1"/>
  <c r="B16" i="45" l="1"/>
  <c r="E10" i="45"/>
  <c r="F11" i="45"/>
  <c r="G12" i="45"/>
  <c r="J10" i="45"/>
  <c r="D7" i="45"/>
  <c r="E11" i="45"/>
  <c r="F8" i="45"/>
  <c r="F12" i="45"/>
  <c r="F16" i="45"/>
  <c r="F20" i="45"/>
  <c r="G9" i="45"/>
  <c r="G13" i="45"/>
  <c r="G17" i="45"/>
  <c r="H9" i="45"/>
  <c r="H13" i="45"/>
  <c r="H17" i="45"/>
  <c r="I10" i="45"/>
  <c r="I14" i="45"/>
  <c r="I18" i="45"/>
  <c r="J7" i="45"/>
  <c r="J11" i="45"/>
  <c r="J15" i="45"/>
  <c r="J19" i="45"/>
  <c r="B12" i="45"/>
  <c r="C9" i="45"/>
  <c r="C17" i="45"/>
  <c r="D14" i="45"/>
  <c r="E18" i="45"/>
  <c r="F15" i="45"/>
  <c r="G8" i="45"/>
  <c r="G20" i="45"/>
  <c r="H12" i="45"/>
  <c r="H20" i="45"/>
  <c r="I13" i="45"/>
  <c r="I17" i="45"/>
  <c r="J14" i="45"/>
  <c r="B13" i="45"/>
  <c r="C14" i="45"/>
  <c r="D11" i="45"/>
  <c r="E7" i="45"/>
  <c r="E15" i="45"/>
  <c r="B14" i="45"/>
  <c r="B18" i="45"/>
  <c r="C7" i="45"/>
  <c r="C11" i="45"/>
  <c r="C15" i="45"/>
  <c r="C19" i="45"/>
  <c r="D8" i="45"/>
  <c r="D12" i="45"/>
  <c r="D16" i="45"/>
  <c r="D20" i="45"/>
  <c r="E8" i="45"/>
  <c r="E12" i="45"/>
  <c r="E16" i="45"/>
  <c r="E20" i="45"/>
  <c r="F9" i="45"/>
  <c r="F13" i="45"/>
  <c r="F17" i="45"/>
  <c r="G10" i="45"/>
  <c r="G14" i="45"/>
  <c r="G18" i="45"/>
  <c r="H10" i="45"/>
  <c r="H14" i="45"/>
  <c r="H18" i="45"/>
  <c r="I7" i="45"/>
  <c r="I11" i="45"/>
  <c r="I15" i="45"/>
  <c r="I19" i="45"/>
  <c r="J8" i="45"/>
  <c r="J12" i="45"/>
  <c r="J16" i="45"/>
  <c r="J20" i="45"/>
  <c r="B20" i="45"/>
  <c r="C13" i="45"/>
  <c r="D10" i="45"/>
  <c r="D18" i="45"/>
  <c r="E14" i="45"/>
  <c r="F7" i="45"/>
  <c r="F19" i="45"/>
  <c r="G16" i="45"/>
  <c r="H8" i="45"/>
  <c r="H16" i="45"/>
  <c r="I9" i="45"/>
  <c r="J18" i="45"/>
  <c r="B17" i="45"/>
  <c r="C10" i="45"/>
  <c r="C18" i="45"/>
  <c r="D15" i="45"/>
  <c r="D19" i="45"/>
  <c r="E19" i="45"/>
  <c r="B11" i="45"/>
  <c r="B15" i="45"/>
  <c r="B19" i="45"/>
  <c r="C8" i="45"/>
  <c r="C12" i="45"/>
  <c r="C16" i="45"/>
  <c r="C20" i="45"/>
  <c r="D9" i="45"/>
  <c r="D13" i="45"/>
  <c r="D17" i="45"/>
  <c r="E9" i="45"/>
  <c r="E13" i="45"/>
  <c r="E17" i="45"/>
  <c r="F10" i="45"/>
  <c r="F14" i="45"/>
  <c r="F18" i="45"/>
  <c r="G7" i="45"/>
  <c r="G11" i="45"/>
  <c r="G15" i="45"/>
  <c r="G19" i="45"/>
  <c r="H7" i="45"/>
  <c r="H11" i="45"/>
  <c r="H15" i="45"/>
  <c r="H19" i="45"/>
  <c r="I8" i="45"/>
  <c r="I12" i="45"/>
  <c r="I16" i="45"/>
  <c r="I20" i="45"/>
  <c r="J9" i="45"/>
  <c r="J13" i="45"/>
  <c r="J17" i="45"/>
  <c r="D6" i="45"/>
  <c r="J6" i="45"/>
  <c r="C6" i="45"/>
  <c r="I6" i="45"/>
  <c r="G6" i="45"/>
  <c r="H6" i="45"/>
  <c r="E6" i="45"/>
  <c r="F6" i="45"/>
  <c r="O37" i="13"/>
  <c r="N37" i="13"/>
  <c r="B10" i="5"/>
  <c r="B49" i="5" s="1"/>
  <c r="B9" i="5"/>
  <c r="B48" i="5" s="1"/>
  <c r="B8" i="5"/>
  <c r="B47" i="5" s="1"/>
  <c r="B7" i="5"/>
  <c r="B46" i="5" s="1"/>
  <c r="B6" i="5"/>
  <c r="B45" i="5" s="1"/>
  <c r="K12" i="45" l="1"/>
  <c r="L13" i="45"/>
  <c r="L9" i="45"/>
  <c r="M8" i="45"/>
  <c r="K17" i="45"/>
  <c r="L7" i="45"/>
  <c r="M10" i="45"/>
  <c r="L12" i="45"/>
  <c r="K20" i="45"/>
  <c r="K18" i="45"/>
  <c r="L11" i="45"/>
  <c r="M17" i="45"/>
  <c r="M19" i="45"/>
  <c r="M15" i="45"/>
  <c r="M7" i="45"/>
  <c r="L17" i="45"/>
  <c r="K11" i="45"/>
  <c r="M14" i="45"/>
  <c r="L10" i="45"/>
  <c r="L14" i="45"/>
  <c r="L15" i="45"/>
  <c r="K19" i="45"/>
  <c r="K16" i="45"/>
  <c r="K15" i="45"/>
  <c r="L8" i="45"/>
  <c r="L6" i="45"/>
  <c r="M20" i="45"/>
  <c r="K13" i="45"/>
  <c r="M11" i="45"/>
  <c r="L18" i="45"/>
  <c r="M13" i="45"/>
  <c r="L19" i="45"/>
  <c r="M6" i="45"/>
  <c r="M9" i="45"/>
  <c r="M16" i="45"/>
  <c r="K14" i="45"/>
  <c r="L20" i="45"/>
  <c r="M12" i="45"/>
  <c r="L16" i="45"/>
  <c r="M18" i="45"/>
  <c r="B8" i="45"/>
  <c r="K8" i="45" s="1"/>
  <c r="B9" i="45"/>
  <c r="K9" i="45" s="1"/>
  <c r="B10" i="45"/>
  <c r="K10" i="45" s="1"/>
  <c r="B7" i="45"/>
  <c r="K7" i="45" s="1"/>
  <c r="B6" i="45"/>
  <c r="K6" i="45" s="1"/>
  <c r="J36" i="12"/>
  <c r="J35" i="12"/>
  <c r="J34" i="12"/>
  <c r="J33" i="12"/>
  <c r="J32" i="12"/>
  <c r="J31" i="12"/>
  <c r="J30" i="12"/>
  <c r="J29" i="12"/>
  <c r="J28" i="12"/>
  <c r="J27" i="12"/>
  <c r="J26" i="12"/>
  <c r="J25" i="12"/>
  <c r="J24" i="12"/>
  <c r="J23" i="12"/>
  <c r="J22" i="12"/>
  <c r="J21" i="12"/>
  <c r="J20" i="12"/>
  <c r="J19" i="12"/>
  <c r="J18" i="12"/>
  <c r="J17" i="12"/>
  <c r="J16" i="12"/>
  <c r="J15" i="12"/>
  <c r="J14" i="12"/>
  <c r="J13" i="12"/>
  <c r="J12" i="12"/>
  <c r="J11" i="12"/>
  <c r="J10" i="12"/>
  <c r="J9" i="12"/>
  <c r="J8" i="12"/>
  <c r="J7" i="12"/>
  <c r="J6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13" i="12"/>
  <c r="I12" i="12"/>
  <c r="I11" i="12"/>
  <c r="I10" i="12"/>
  <c r="I9" i="12"/>
  <c r="I8" i="12"/>
  <c r="I6" i="12"/>
  <c r="H36" i="12"/>
  <c r="H35" i="12"/>
  <c r="H34" i="12"/>
  <c r="H33" i="12"/>
  <c r="H32" i="12"/>
  <c r="H31" i="12"/>
  <c r="H30" i="12"/>
  <c r="H29" i="12"/>
  <c r="H28" i="12"/>
  <c r="H27" i="12"/>
  <c r="H26" i="12"/>
  <c r="H25" i="12"/>
  <c r="H24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11" i="12"/>
  <c r="H10" i="12"/>
  <c r="H9" i="12"/>
  <c r="H8" i="12"/>
  <c r="H7" i="12"/>
  <c r="H6" i="12"/>
  <c r="O10" i="45" l="1"/>
  <c r="O8" i="45"/>
  <c r="O15" i="45"/>
  <c r="O17" i="45"/>
  <c r="O12" i="45"/>
  <c r="O11" i="45"/>
  <c r="O7" i="45"/>
  <c r="O14" i="45"/>
  <c r="O13" i="45"/>
  <c r="O9" i="45"/>
  <c r="O18" i="45"/>
  <c r="O19" i="45"/>
  <c r="O20" i="45"/>
  <c r="O16" i="45"/>
  <c r="O6" i="45"/>
  <c r="I7" i="12"/>
  <c r="J20" i="16" l="1"/>
  <c r="I20" i="16"/>
  <c r="H20" i="16"/>
  <c r="G20" i="16"/>
  <c r="F20" i="16"/>
  <c r="E20" i="16"/>
  <c r="D20" i="16"/>
  <c r="C20" i="16"/>
  <c r="B20" i="16"/>
  <c r="J19" i="16"/>
  <c r="I19" i="16"/>
  <c r="H19" i="16"/>
  <c r="G19" i="16"/>
  <c r="F19" i="16"/>
  <c r="E19" i="16"/>
  <c r="D19" i="16"/>
  <c r="C19" i="16"/>
  <c r="B19" i="16"/>
  <c r="J18" i="16"/>
  <c r="I18" i="16"/>
  <c r="H18" i="16"/>
  <c r="G18" i="16"/>
  <c r="F18" i="16"/>
  <c r="E18" i="16"/>
  <c r="D18" i="16"/>
  <c r="C18" i="16"/>
  <c r="B18" i="16"/>
  <c r="J17" i="16"/>
  <c r="I17" i="16"/>
  <c r="H17" i="16"/>
  <c r="G17" i="16"/>
  <c r="F17" i="16"/>
  <c r="E17" i="16"/>
  <c r="D17" i="16"/>
  <c r="C17" i="16"/>
  <c r="B17" i="16"/>
  <c r="J16" i="16"/>
  <c r="I16" i="16"/>
  <c r="H16" i="16"/>
  <c r="G16" i="16"/>
  <c r="F16" i="16"/>
  <c r="E16" i="16"/>
  <c r="D16" i="16"/>
  <c r="C16" i="16"/>
  <c r="B16" i="16"/>
  <c r="J15" i="16"/>
  <c r="I15" i="16"/>
  <c r="H15" i="16"/>
  <c r="G15" i="16"/>
  <c r="F15" i="16"/>
  <c r="E15" i="16"/>
  <c r="D15" i="16"/>
  <c r="C15" i="16"/>
  <c r="B15" i="16"/>
  <c r="J14" i="16"/>
  <c r="I14" i="16"/>
  <c r="H14" i="16"/>
  <c r="G14" i="16"/>
  <c r="F14" i="16"/>
  <c r="E14" i="16"/>
  <c r="D14" i="16"/>
  <c r="C14" i="16"/>
  <c r="B14" i="16"/>
  <c r="J13" i="16"/>
  <c r="I13" i="16"/>
  <c r="H13" i="16"/>
  <c r="G13" i="16"/>
  <c r="F13" i="16"/>
  <c r="E13" i="16"/>
  <c r="D13" i="16"/>
  <c r="C13" i="16"/>
  <c r="B13" i="16"/>
  <c r="J12" i="16"/>
  <c r="I12" i="16"/>
  <c r="H12" i="16"/>
  <c r="G12" i="16"/>
  <c r="F12" i="16"/>
  <c r="E12" i="16"/>
  <c r="D12" i="16"/>
  <c r="C12" i="16"/>
  <c r="B12" i="16"/>
  <c r="J11" i="16"/>
  <c r="I11" i="16"/>
  <c r="H11" i="16"/>
  <c r="G11" i="16"/>
  <c r="F11" i="16"/>
  <c r="E11" i="16"/>
  <c r="D11" i="16"/>
  <c r="C11" i="16"/>
  <c r="B11" i="16"/>
  <c r="J10" i="16"/>
  <c r="I10" i="16"/>
  <c r="H10" i="16"/>
  <c r="G10" i="16"/>
  <c r="F10" i="16"/>
  <c r="E10" i="16"/>
  <c r="D10" i="16"/>
  <c r="C10" i="16"/>
  <c r="B10" i="16"/>
  <c r="J9" i="16"/>
  <c r="I9" i="16"/>
  <c r="H9" i="16"/>
  <c r="G9" i="16"/>
  <c r="F9" i="16"/>
  <c r="E9" i="16"/>
  <c r="D9" i="16"/>
  <c r="C9" i="16"/>
  <c r="B9" i="16"/>
  <c r="J8" i="16"/>
  <c r="I8" i="16"/>
  <c r="H8" i="16"/>
  <c r="G8" i="16"/>
  <c r="F8" i="16"/>
  <c r="E8" i="16"/>
  <c r="D8" i="16"/>
  <c r="C8" i="16"/>
  <c r="B8" i="16"/>
  <c r="J7" i="16"/>
  <c r="I7" i="16"/>
  <c r="H7" i="16"/>
  <c r="G7" i="16"/>
  <c r="F7" i="16"/>
  <c r="E7" i="16"/>
  <c r="D7" i="16"/>
  <c r="C7" i="16"/>
  <c r="B7" i="16"/>
  <c r="J6" i="16"/>
  <c r="I6" i="16"/>
  <c r="H6" i="16"/>
  <c r="G6" i="16"/>
  <c r="F6" i="16"/>
  <c r="E6" i="16"/>
  <c r="D6" i="16"/>
  <c r="C6" i="16"/>
  <c r="B6" i="16"/>
  <c r="J20" i="15"/>
  <c r="I20" i="15"/>
  <c r="H20" i="15"/>
  <c r="G20" i="15"/>
  <c r="F20" i="15"/>
  <c r="E20" i="15"/>
  <c r="D20" i="15"/>
  <c r="C20" i="15"/>
  <c r="B20" i="15"/>
  <c r="J19" i="15"/>
  <c r="I19" i="15"/>
  <c r="H19" i="15"/>
  <c r="G19" i="15"/>
  <c r="F19" i="15"/>
  <c r="E19" i="15"/>
  <c r="D19" i="15"/>
  <c r="C19" i="15"/>
  <c r="B19" i="15"/>
  <c r="J18" i="15"/>
  <c r="I18" i="15"/>
  <c r="H18" i="15"/>
  <c r="G18" i="15"/>
  <c r="F18" i="15"/>
  <c r="E18" i="15"/>
  <c r="D18" i="15"/>
  <c r="C18" i="15"/>
  <c r="B18" i="15"/>
  <c r="J17" i="15"/>
  <c r="I17" i="15"/>
  <c r="H17" i="15"/>
  <c r="G17" i="15"/>
  <c r="F17" i="15"/>
  <c r="E17" i="15"/>
  <c r="D17" i="15"/>
  <c r="C17" i="15"/>
  <c r="B17" i="15"/>
  <c r="J16" i="15"/>
  <c r="I16" i="15"/>
  <c r="H16" i="15"/>
  <c r="G16" i="15"/>
  <c r="F16" i="15"/>
  <c r="E16" i="15"/>
  <c r="D16" i="15"/>
  <c r="C16" i="15"/>
  <c r="B16" i="15"/>
  <c r="J15" i="15"/>
  <c r="I15" i="15"/>
  <c r="H15" i="15"/>
  <c r="G15" i="15"/>
  <c r="F15" i="15"/>
  <c r="E15" i="15"/>
  <c r="D15" i="15"/>
  <c r="C15" i="15"/>
  <c r="B15" i="15"/>
  <c r="J14" i="15"/>
  <c r="I14" i="15"/>
  <c r="H14" i="15"/>
  <c r="G14" i="15"/>
  <c r="F14" i="15"/>
  <c r="E14" i="15"/>
  <c r="D14" i="15"/>
  <c r="C14" i="15"/>
  <c r="B14" i="15"/>
  <c r="J13" i="15"/>
  <c r="I13" i="15"/>
  <c r="H13" i="15"/>
  <c r="G13" i="15"/>
  <c r="F13" i="15"/>
  <c r="E13" i="15"/>
  <c r="D13" i="15"/>
  <c r="C13" i="15"/>
  <c r="B13" i="15"/>
  <c r="J12" i="15"/>
  <c r="I12" i="15"/>
  <c r="H12" i="15"/>
  <c r="G12" i="15"/>
  <c r="F12" i="15"/>
  <c r="E12" i="15"/>
  <c r="D12" i="15"/>
  <c r="C12" i="15"/>
  <c r="B12" i="15"/>
  <c r="J11" i="15"/>
  <c r="I11" i="15"/>
  <c r="H11" i="15"/>
  <c r="G11" i="15"/>
  <c r="F11" i="15"/>
  <c r="E11" i="15"/>
  <c r="D11" i="15"/>
  <c r="C11" i="15"/>
  <c r="B11" i="15"/>
  <c r="J10" i="15"/>
  <c r="I10" i="15"/>
  <c r="H10" i="15"/>
  <c r="G10" i="15"/>
  <c r="F10" i="15"/>
  <c r="E10" i="15"/>
  <c r="D10" i="15"/>
  <c r="C10" i="15"/>
  <c r="B10" i="15"/>
  <c r="J9" i="15"/>
  <c r="I9" i="15"/>
  <c r="H9" i="15"/>
  <c r="G9" i="15"/>
  <c r="F9" i="15"/>
  <c r="E9" i="15"/>
  <c r="D9" i="15"/>
  <c r="C9" i="15"/>
  <c r="B9" i="15"/>
  <c r="J8" i="15"/>
  <c r="I8" i="15"/>
  <c r="H8" i="15"/>
  <c r="G8" i="15"/>
  <c r="F8" i="15"/>
  <c r="E8" i="15"/>
  <c r="D8" i="15"/>
  <c r="C8" i="15"/>
  <c r="B8" i="15"/>
  <c r="J7" i="15"/>
  <c r="I7" i="15"/>
  <c r="H7" i="15"/>
  <c r="G7" i="15"/>
  <c r="F7" i="15"/>
  <c r="E7" i="15"/>
  <c r="D7" i="15"/>
  <c r="C7" i="15"/>
  <c r="B7" i="15"/>
  <c r="J6" i="15"/>
  <c r="I6" i="15"/>
  <c r="H6" i="15"/>
  <c r="G6" i="15"/>
  <c r="F6" i="15"/>
  <c r="E6" i="15"/>
  <c r="D6" i="15"/>
  <c r="C6" i="15"/>
  <c r="B6" i="15"/>
  <c r="J20" i="14"/>
  <c r="I20" i="14"/>
  <c r="H20" i="14"/>
  <c r="G20" i="14"/>
  <c r="F20" i="14"/>
  <c r="E20" i="14"/>
  <c r="D20" i="14"/>
  <c r="C20" i="14"/>
  <c r="B20" i="14"/>
  <c r="J19" i="14"/>
  <c r="I19" i="14"/>
  <c r="H19" i="14"/>
  <c r="G19" i="14"/>
  <c r="F19" i="14"/>
  <c r="E19" i="14"/>
  <c r="D19" i="14"/>
  <c r="C19" i="14"/>
  <c r="B19" i="14"/>
  <c r="J18" i="14"/>
  <c r="I18" i="14"/>
  <c r="H18" i="14"/>
  <c r="G18" i="14"/>
  <c r="F18" i="14"/>
  <c r="E18" i="14"/>
  <c r="D18" i="14"/>
  <c r="C18" i="14"/>
  <c r="B18" i="14"/>
  <c r="J17" i="14"/>
  <c r="I17" i="14"/>
  <c r="H17" i="14"/>
  <c r="G17" i="14"/>
  <c r="F17" i="14"/>
  <c r="E17" i="14"/>
  <c r="D17" i="14"/>
  <c r="C17" i="14"/>
  <c r="B17" i="14"/>
  <c r="J16" i="14"/>
  <c r="I16" i="14"/>
  <c r="H16" i="14"/>
  <c r="G16" i="14"/>
  <c r="F16" i="14"/>
  <c r="E16" i="14"/>
  <c r="D16" i="14"/>
  <c r="C16" i="14"/>
  <c r="B16" i="14"/>
  <c r="J15" i="14"/>
  <c r="I15" i="14"/>
  <c r="H15" i="14"/>
  <c r="G15" i="14"/>
  <c r="F15" i="14"/>
  <c r="E15" i="14"/>
  <c r="D15" i="14"/>
  <c r="C15" i="14"/>
  <c r="B15" i="14"/>
  <c r="J14" i="14"/>
  <c r="I14" i="14"/>
  <c r="H14" i="14"/>
  <c r="G14" i="14"/>
  <c r="F14" i="14"/>
  <c r="E14" i="14"/>
  <c r="D14" i="14"/>
  <c r="C14" i="14"/>
  <c r="B14" i="14"/>
  <c r="J13" i="14"/>
  <c r="I13" i="14"/>
  <c r="H13" i="14"/>
  <c r="G13" i="14"/>
  <c r="F13" i="14"/>
  <c r="E13" i="14"/>
  <c r="D13" i="14"/>
  <c r="C13" i="14"/>
  <c r="B13" i="14"/>
  <c r="J12" i="14"/>
  <c r="I12" i="14"/>
  <c r="H12" i="14"/>
  <c r="G12" i="14"/>
  <c r="F12" i="14"/>
  <c r="E12" i="14"/>
  <c r="D12" i="14"/>
  <c r="C12" i="14"/>
  <c r="B12" i="14"/>
  <c r="J11" i="14"/>
  <c r="I11" i="14"/>
  <c r="H11" i="14"/>
  <c r="G11" i="14"/>
  <c r="F11" i="14"/>
  <c r="E11" i="14"/>
  <c r="D11" i="14"/>
  <c r="C11" i="14"/>
  <c r="B11" i="14"/>
  <c r="J10" i="14"/>
  <c r="I10" i="14"/>
  <c r="H10" i="14"/>
  <c r="G10" i="14"/>
  <c r="F10" i="14"/>
  <c r="E10" i="14"/>
  <c r="D10" i="14"/>
  <c r="C10" i="14"/>
  <c r="B10" i="14"/>
  <c r="J9" i="14"/>
  <c r="I9" i="14"/>
  <c r="H9" i="14"/>
  <c r="G9" i="14"/>
  <c r="F9" i="14"/>
  <c r="E9" i="14"/>
  <c r="D9" i="14"/>
  <c r="C9" i="14"/>
  <c r="B9" i="14"/>
  <c r="J8" i="14"/>
  <c r="I8" i="14"/>
  <c r="H8" i="14"/>
  <c r="G8" i="14"/>
  <c r="F8" i="14"/>
  <c r="E8" i="14"/>
  <c r="D8" i="14"/>
  <c r="C8" i="14"/>
  <c r="B8" i="14"/>
  <c r="J7" i="14"/>
  <c r="I7" i="14"/>
  <c r="H7" i="14"/>
  <c r="G7" i="14"/>
  <c r="F7" i="14"/>
  <c r="E7" i="14"/>
  <c r="D7" i="14"/>
  <c r="C7" i="14"/>
  <c r="B7" i="14"/>
  <c r="J6" i="14"/>
  <c r="I6" i="14"/>
  <c r="H6" i="14"/>
  <c r="G6" i="14"/>
  <c r="F6" i="14"/>
  <c r="E6" i="14"/>
  <c r="D6" i="14"/>
  <c r="C6" i="14"/>
  <c r="B6" i="14"/>
  <c r="M20" i="13"/>
  <c r="L20" i="13"/>
  <c r="K20" i="13"/>
  <c r="J20" i="13"/>
  <c r="I20" i="13"/>
  <c r="H20" i="13"/>
  <c r="G20" i="13"/>
  <c r="F20" i="13"/>
  <c r="E20" i="13"/>
  <c r="D20" i="13"/>
  <c r="C20" i="13"/>
  <c r="B20" i="13"/>
  <c r="M19" i="13"/>
  <c r="L19" i="13"/>
  <c r="K19" i="13"/>
  <c r="J19" i="13"/>
  <c r="I19" i="13"/>
  <c r="H19" i="13"/>
  <c r="G19" i="13"/>
  <c r="F19" i="13"/>
  <c r="E19" i="13"/>
  <c r="D19" i="13"/>
  <c r="C19" i="13"/>
  <c r="B19" i="13"/>
  <c r="M18" i="13"/>
  <c r="L18" i="13"/>
  <c r="K18" i="13"/>
  <c r="J18" i="13"/>
  <c r="I18" i="13"/>
  <c r="H18" i="13"/>
  <c r="G18" i="13"/>
  <c r="F18" i="13"/>
  <c r="E18" i="13"/>
  <c r="D18" i="13"/>
  <c r="C18" i="13"/>
  <c r="B18" i="13"/>
  <c r="M17" i="13"/>
  <c r="L17" i="13"/>
  <c r="K17" i="13"/>
  <c r="J17" i="13"/>
  <c r="I17" i="13"/>
  <c r="H17" i="13"/>
  <c r="G17" i="13"/>
  <c r="F17" i="13"/>
  <c r="E17" i="13"/>
  <c r="D17" i="13"/>
  <c r="C17" i="13"/>
  <c r="B17" i="13"/>
  <c r="M16" i="13"/>
  <c r="L16" i="13"/>
  <c r="K16" i="13"/>
  <c r="J16" i="13"/>
  <c r="I16" i="13"/>
  <c r="H16" i="13"/>
  <c r="G16" i="13"/>
  <c r="F16" i="13"/>
  <c r="E16" i="13"/>
  <c r="D16" i="13"/>
  <c r="C16" i="13"/>
  <c r="B16" i="13"/>
  <c r="M15" i="13"/>
  <c r="L15" i="13"/>
  <c r="K15" i="13"/>
  <c r="J15" i="13"/>
  <c r="I15" i="13"/>
  <c r="H15" i="13"/>
  <c r="G15" i="13"/>
  <c r="F15" i="13"/>
  <c r="E15" i="13"/>
  <c r="D15" i="13"/>
  <c r="C15" i="13"/>
  <c r="B15" i="13"/>
  <c r="M14" i="13"/>
  <c r="L14" i="13"/>
  <c r="K14" i="13"/>
  <c r="J14" i="13"/>
  <c r="I14" i="13"/>
  <c r="H14" i="13"/>
  <c r="G14" i="13"/>
  <c r="F14" i="13"/>
  <c r="E14" i="13"/>
  <c r="D14" i="13"/>
  <c r="C14" i="13"/>
  <c r="B14" i="13"/>
  <c r="M13" i="13"/>
  <c r="L13" i="13"/>
  <c r="K13" i="13"/>
  <c r="J13" i="13"/>
  <c r="I13" i="13"/>
  <c r="H13" i="13"/>
  <c r="G13" i="13"/>
  <c r="F13" i="13"/>
  <c r="E13" i="13"/>
  <c r="D13" i="13"/>
  <c r="C13" i="13"/>
  <c r="B13" i="13"/>
  <c r="M12" i="13"/>
  <c r="L12" i="13"/>
  <c r="K12" i="13"/>
  <c r="J12" i="13"/>
  <c r="I12" i="13"/>
  <c r="H12" i="13"/>
  <c r="G12" i="13"/>
  <c r="F12" i="13"/>
  <c r="E12" i="13"/>
  <c r="D12" i="13"/>
  <c r="C12" i="13"/>
  <c r="B12" i="13"/>
  <c r="M11" i="13"/>
  <c r="L11" i="13"/>
  <c r="K11" i="13"/>
  <c r="J11" i="13"/>
  <c r="I11" i="13"/>
  <c r="H11" i="13"/>
  <c r="G11" i="13"/>
  <c r="F11" i="13"/>
  <c r="E11" i="13"/>
  <c r="D11" i="13"/>
  <c r="C11" i="13"/>
  <c r="B11" i="13"/>
  <c r="M10" i="13"/>
  <c r="L10" i="13"/>
  <c r="K10" i="13"/>
  <c r="J10" i="13"/>
  <c r="I10" i="13"/>
  <c r="H10" i="13"/>
  <c r="G10" i="13"/>
  <c r="F10" i="13"/>
  <c r="E10" i="13"/>
  <c r="D10" i="13"/>
  <c r="C10" i="13"/>
  <c r="B10" i="13"/>
  <c r="M9" i="13"/>
  <c r="L9" i="13"/>
  <c r="K9" i="13"/>
  <c r="J9" i="13"/>
  <c r="I9" i="13"/>
  <c r="H9" i="13"/>
  <c r="G9" i="13"/>
  <c r="F9" i="13"/>
  <c r="E9" i="13"/>
  <c r="D9" i="13"/>
  <c r="C9" i="13"/>
  <c r="B9" i="13"/>
  <c r="M8" i="13"/>
  <c r="L8" i="13"/>
  <c r="K8" i="13"/>
  <c r="J8" i="13"/>
  <c r="I8" i="13"/>
  <c r="H8" i="13"/>
  <c r="G8" i="13"/>
  <c r="F8" i="13"/>
  <c r="E8" i="13"/>
  <c r="D8" i="13"/>
  <c r="C8" i="13"/>
  <c r="B8" i="13"/>
  <c r="M7" i="13"/>
  <c r="L7" i="13"/>
  <c r="K7" i="13"/>
  <c r="J7" i="13"/>
  <c r="I7" i="13"/>
  <c r="H7" i="13"/>
  <c r="G7" i="13"/>
  <c r="F7" i="13"/>
  <c r="E7" i="13"/>
  <c r="D7" i="13"/>
  <c r="C7" i="13"/>
  <c r="B7" i="13"/>
  <c r="M6" i="13"/>
  <c r="L6" i="13"/>
  <c r="K6" i="13"/>
  <c r="J6" i="13"/>
  <c r="I6" i="13"/>
  <c r="H6" i="13"/>
  <c r="G6" i="13"/>
  <c r="F6" i="13"/>
  <c r="E6" i="13"/>
  <c r="D6" i="13"/>
  <c r="C6" i="13"/>
  <c r="B6" i="13"/>
  <c r="V20" i="11"/>
  <c r="U20" i="11"/>
  <c r="T20" i="11"/>
  <c r="S20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E20" i="11"/>
  <c r="D20" i="11"/>
  <c r="C20" i="11"/>
  <c r="B20" i="11"/>
  <c r="V19" i="11"/>
  <c r="U19" i="11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E19" i="11"/>
  <c r="D19" i="11"/>
  <c r="C19" i="11"/>
  <c r="B19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B18" i="11"/>
  <c r="V17" i="11"/>
  <c r="U17" i="11"/>
  <c r="T17" i="11"/>
  <c r="S17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E17" i="11"/>
  <c r="D17" i="11"/>
  <c r="C17" i="11"/>
  <c r="B17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C16" i="11"/>
  <c r="B16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B15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E14" i="11"/>
  <c r="D14" i="11"/>
  <c r="C14" i="11"/>
  <c r="B14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E13" i="11"/>
  <c r="D13" i="11"/>
  <c r="C13" i="11"/>
  <c r="B13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B12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E11" i="11"/>
  <c r="D11" i="11"/>
  <c r="C11" i="11"/>
  <c r="B11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E10" i="11"/>
  <c r="D10" i="11"/>
  <c r="C10" i="11"/>
  <c r="B10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B9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E7" i="11"/>
  <c r="D7" i="11"/>
  <c r="C7" i="11"/>
  <c r="B7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B6" i="11"/>
  <c r="M20" i="10"/>
  <c r="L20" i="10"/>
  <c r="K20" i="10"/>
  <c r="J20" i="10"/>
  <c r="I20" i="10"/>
  <c r="H20" i="10"/>
  <c r="G20" i="10"/>
  <c r="F20" i="10"/>
  <c r="E20" i="10"/>
  <c r="D20" i="10"/>
  <c r="C20" i="10"/>
  <c r="B20" i="10"/>
  <c r="M19" i="10"/>
  <c r="L19" i="10"/>
  <c r="K19" i="10"/>
  <c r="J19" i="10"/>
  <c r="I19" i="10"/>
  <c r="H19" i="10"/>
  <c r="G19" i="10"/>
  <c r="F19" i="10"/>
  <c r="E19" i="10"/>
  <c r="D19" i="10"/>
  <c r="C19" i="10"/>
  <c r="B19" i="10"/>
  <c r="M18" i="10"/>
  <c r="L18" i="10"/>
  <c r="K18" i="10"/>
  <c r="J18" i="10"/>
  <c r="I18" i="10"/>
  <c r="H18" i="10"/>
  <c r="G18" i="10"/>
  <c r="F18" i="10"/>
  <c r="E18" i="10"/>
  <c r="D18" i="10"/>
  <c r="C18" i="10"/>
  <c r="B18" i="10"/>
  <c r="M17" i="10"/>
  <c r="L17" i="10"/>
  <c r="K17" i="10"/>
  <c r="J17" i="10"/>
  <c r="I17" i="10"/>
  <c r="H17" i="10"/>
  <c r="G17" i="10"/>
  <c r="F17" i="10"/>
  <c r="E17" i="10"/>
  <c r="D17" i="10"/>
  <c r="C17" i="10"/>
  <c r="B17" i="10"/>
  <c r="M16" i="10"/>
  <c r="L16" i="10"/>
  <c r="K16" i="10"/>
  <c r="J16" i="10"/>
  <c r="I16" i="10"/>
  <c r="H16" i="10"/>
  <c r="G16" i="10"/>
  <c r="F16" i="10"/>
  <c r="E16" i="10"/>
  <c r="D16" i="10"/>
  <c r="C16" i="10"/>
  <c r="B16" i="10"/>
  <c r="M15" i="10"/>
  <c r="L15" i="10"/>
  <c r="K15" i="10"/>
  <c r="J15" i="10"/>
  <c r="I15" i="10"/>
  <c r="H15" i="10"/>
  <c r="G15" i="10"/>
  <c r="F15" i="10"/>
  <c r="E15" i="10"/>
  <c r="D15" i="10"/>
  <c r="C15" i="10"/>
  <c r="B15" i="10"/>
  <c r="M14" i="10"/>
  <c r="L14" i="10"/>
  <c r="K14" i="10"/>
  <c r="J14" i="10"/>
  <c r="I14" i="10"/>
  <c r="H14" i="10"/>
  <c r="G14" i="10"/>
  <c r="F14" i="10"/>
  <c r="E14" i="10"/>
  <c r="D14" i="10"/>
  <c r="C14" i="10"/>
  <c r="B14" i="10"/>
  <c r="M13" i="10"/>
  <c r="L13" i="10"/>
  <c r="K13" i="10"/>
  <c r="J13" i="10"/>
  <c r="I13" i="10"/>
  <c r="H13" i="10"/>
  <c r="G13" i="10"/>
  <c r="F13" i="10"/>
  <c r="E13" i="10"/>
  <c r="D13" i="10"/>
  <c r="C13" i="10"/>
  <c r="B13" i="10"/>
  <c r="M12" i="10"/>
  <c r="L12" i="10"/>
  <c r="K12" i="10"/>
  <c r="J12" i="10"/>
  <c r="I12" i="10"/>
  <c r="H12" i="10"/>
  <c r="G12" i="10"/>
  <c r="F12" i="10"/>
  <c r="E12" i="10"/>
  <c r="D12" i="10"/>
  <c r="C12" i="10"/>
  <c r="B12" i="10"/>
  <c r="M11" i="10"/>
  <c r="L11" i="10"/>
  <c r="K11" i="10"/>
  <c r="J11" i="10"/>
  <c r="I11" i="10"/>
  <c r="H11" i="10"/>
  <c r="G11" i="10"/>
  <c r="F11" i="10"/>
  <c r="E11" i="10"/>
  <c r="D11" i="10"/>
  <c r="C11" i="10"/>
  <c r="B11" i="10"/>
  <c r="M10" i="10"/>
  <c r="L10" i="10"/>
  <c r="K10" i="10"/>
  <c r="J10" i="10"/>
  <c r="I10" i="10"/>
  <c r="H10" i="10"/>
  <c r="G10" i="10"/>
  <c r="F10" i="10"/>
  <c r="E10" i="10"/>
  <c r="D10" i="10"/>
  <c r="C10" i="10"/>
  <c r="B10" i="10"/>
  <c r="M9" i="10"/>
  <c r="L9" i="10"/>
  <c r="K9" i="10"/>
  <c r="J9" i="10"/>
  <c r="I9" i="10"/>
  <c r="H9" i="10"/>
  <c r="G9" i="10"/>
  <c r="F9" i="10"/>
  <c r="E9" i="10"/>
  <c r="D9" i="10"/>
  <c r="C9" i="10"/>
  <c r="B9" i="10"/>
  <c r="M8" i="10"/>
  <c r="L8" i="10"/>
  <c r="K8" i="10"/>
  <c r="J8" i="10"/>
  <c r="I8" i="10"/>
  <c r="H8" i="10"/>
  <c r="G8" i="10"/>
  <c r="F8" i="10"/>
  <c r="E8" i="10"/>
  <c r="D8" i="10"/>
  <c r="C8" i="10"/>
  <c r="B8" i="10"/>
  <c r="M7" i="10"/>
  <c r="L7" i="10"/>
  <c r="K7" i="10"/>
  <c r="J7" i="10"/>
  <c r="I7" i="10"/>
  <c r="H7" i="10"/>
  <c r="G7" i="10"/>
  <c r="F7" i="10"/>
  <c r="E7" i="10"/>
  <c r="D7" i="10"/>
  <c r="C7" i="10"/>
  <c r="B7" i="10"/>
  <c r="M6" i="10"/>
  <c r="L6" i="10"/>
  <c r="K6" i="10"/>
  <c r="J6" i="10"/>
  <c r="I6" i="10"/>
  <c r="H6" i="10"/>
  <c r="G6" i="10"/>
  <c r="F6" i="10"/>
  <c r="E6" i="10"/>
  <c r="D6" i="10"/>
  <c r="C6" i="10"/>
  <c r="B6" i="10"/>
  <c r="G20" i="12"/>
  <c r="F20" i="12"/>
  <c r="E20" i="12"/>
  <c r="D20" i="12"/>
  <c r="C20" i="12"/>
  <c r="B20" i="12"/>
  <c r="G19" i="12"/>
  <c r="F19" i="12"/>
  <c r="E19" i="12"/>
  <c r="D19" i="12"/>
  <c r="C19" i="12"/>
  <c r="B19" i="12"/>
  <c r="G18" i="12"/>
  <c r="F18" i="12"/>
  <c r="E18" i="12"/>
  <c r="D18" i="12"/>
  <c r="C18" i="12"/>
  <c r="B18" i="12"/>
  <c r="G17" i="12"/>
  <c r="F17" i="12"/>
  <c r="E17" i="12"/>
  <c r="D17" i="12"/>
  <c r="C17" i="12"/>
  <c r="B17" i="12"/>
  <c r="G16" i="12"/>
  <c r="F16" i="12"/>
  <c r="E16" i="12"/>
  <c r="D16" i="12"/>
  <c r="C16" i="12"/>
  <c r="B16" i="12"/>
  <c r="G15" i="12"/>
  <c r="F15" i="12"/>
  <c r="E15" i="12"/>
  <c r="D15" i="12"/>
  <c r="C15" i="12"/>
  <c r="B15" i="12"/>
  <c r="G14" i="12"/>
  <c r="F14" i="12"/>
  <c r="E14" i="12"/>
  <c r="D14" i="12"/>
  <c r="C14" i="12"/>
  <c r="B14" i="12"/>
  <c r="G13" i="12"/>
  <c r="F13" i="12"/>
  <c r="E13" i="12"/>
  <c r="D13" i="12"/>
  <c r="C13" i="12"/>
  <c r="B13" i="12"/>
  <c r="G12" i="12"/>
  <c r="F12" i="12"/>
  <c r="E12" i="12"/>
  <c r="D12" i="12"/>
  <c r="C12" i="12"/>
  <c r="B12" i="12"/>
  <c r="G11" i="12"/>
  <c r="F11" i="12"/>
  <c r="E11" i="12"/>
  <c r="D11" i="12"/>
  <c r="C11" i="12"/>
  <c r="B11" i="12"/>
  <c r="G10" i="12"/>
  <c r="F10" i="12"/>
  <c r="E10" i="12"/>
  <c r="D10" i="12"/>
  <c r="C10" i="12"/>
  <c r="B10" i="12"/>
  <c r="G9" i="12"/>
  <c r="F9" i="12"/>
  <c r="E9" i="12"/>
  <c r="D9" i="12"/>
  <c r="C9" i="12"/>
  <c r="B9" i="12"/>
  <c r="G8" i="12"/>
  <c r="F8" i="12"/>
  <c r="E8" i="12"/>
  <c r="D8" i="12"/>
  <c r="C8" i="12"/>
  <c r="B8" i="12"/>
  <c r="G6" i="12"/>
  <c r="F6" i="12"/>
  <c r="E6" i="12"/>
  <c r="D6" i="12"/>
  <c r="C6" i="12"/>
  <c r="B6" i="12"/>
  <c r="N10" i="10" l="1"/>
  <c r="N16" i="10"/>
  <c r="N18" i="10"/>
  <c r="N20" i="10"/>
  <c r="P13" i="10"/>
  <c r="P8" i="10"/>
  <c r="P12" i="10"/>
  <c r="P14" i="10"/>
  <c r="O13" i="10"/>
  <c r="O10" i="10"/>
  <c r="N6" i="10"/>
  <c r="N12" i="10"/>
  <c r="O17" i="10"/>
  <c r="O19" i="10"/>
  <c r="N19" i="10"/>
  <c r="O12" i="10"/>
  <c r="P17" i="10"/>
  <c r="N8" i="10"/>
  <c r="O7" i="10"/>
  <c r="N7" i="10"/>
  <c r="N9" i="10"/>
  <c r="N13" i="10"/>
  <c r="N17" i="10"/>
  <c r="O9" i="10"/>
  <c r="O6" i="10"/>
  <c r="O16" i="10"/>
  <c r="O18" i="10"/>
  <c r="O20" i="10"/>
  <c r="P6" i="10"/>
  <c r="N11" i="10"/>
  <c r="P16" i="10"/>
  <c r="P18" i="10"/>
  <c r="P20" i="10"/>
  <c r="O11" i="10"/>
  <c r="O15" i="10"/>
  <c r="P10" i="10"/>
  <c r="N15" i="10"/>
  <c r="O8" i="10"/>
  <c r="O14" i="10"/>
  <c r="P7" i="10"/>
  <c r="P9" i="10"/>
  <c r="P11" i="10"/>
  <c r="N14" i="10"/>
  <c r="P15" i="10"/>
  <c r="P19" i="10"/>
  <c r="J36" i="5"/>
  <c r="J75" i="5" s="1"/>
  <c r="I36" i="5"/>
  <c r="I75" i="5" s="1"/>
  <c r="H36" i="5"/>
  <c r="H75" i="5" s="1"/>
  <c r="G36" i="5"/>
  <c r="G75" i="5" s="1"/>
  <c r="F36" i="5"/>
  <c r="F75" i="5" s="1"/>
  <c r="E36" i="5"/>
  <c r="E75" i="5" s="1"/>
  <c r="D36" i="5"/>
  <c r="D75" i="5" s="1"/>
  <c r="C36" i="5"/>
  <c r="C75" i="5" s="1"/>
  <c r="B36" i="5"/>
  <c r="B75" i="5" s="1"/>
  <c r="J35" i="5"/>
  <c r="J74" i="5" s="1"/>
  <c r="I35" i="5"/>
  <c r="I74" i="5" s="1"/>
  <c r="H35" i="5"/>
  <c r="H74" i="5" s="1"/>
  <c r="G35" i="5"/>
  <c r="G74" i="5" s="1"/>
  <c r="F35" i="5"/>
  <c r="F74" i="5" s="1"/>
  <c r="E35" i="5"/>
  <c r="E74" i="5" s="1"/>
  <c r="D35" i="5"/>
  <c r="D74" i="5" s="1"/>
  <c r="C35" i="5"/>
  <c r="C74" i="5" s="1"/>
  <c r="B35" i="5"/>
  <c r="B74" i="5" s="1"/>
  <c r="J34" i="5"/>
  <c r="J73" i="5" s="1"/>
  <c r="I34" i="5"/>
  <c r="I73" i="5" s="1"/>
  <c r="H34" i="5"/>
  <c r="H73" i="5" s="1"/>
  <c r="G34" i="5"/>
  <c r="G73" i="5" s="1"/>
  <c r="F34" i="5"/>
  <c r="F73" i="5" s="1"/>
  <c r="E34" i="5"/>
  <c r="E73" i="5" s="1"/>
  <c r="D34" i="5"/>
  <c r="D73" i="5" s="1"/>
  <c r="C34" i="5"/>
  <c r="C73" i="5" s="1"/>
  <c r="B34" i="5"/>
  <c r="B73" i="5" s="1"/>
  <c r="J33" i="5"/>
  <c r="J72" i="5" s="1"/>
  <c r="I33" i="5"/>
  <c r="I72" i="5" s="1"/>
  <c r="H33" i="5"/>
  <c r="H72" i="5" s="1"/>
  <c r="G33" i="5"/>
  <c r="G72" i="5" s="1"/>
  <c r="F33" i="5"/>
  <c r="F72" i="5" s="1"/>
  <c r="E33" i="5"/>
  <c r="E72" i="5" s="1"/>
  <c r="D33" i="5"/>
  <c r="D72" i="5" s="1"/>
  <c r="C33" i="5"/>
  <c r="C72" i="5" s="1"/>
  <c r="B33" i="5"/>
  <c r="B72" i="5" s="1"/>
  <c r="J32" i="5"/>
  <c r="J71" i="5" s="1"/>
  <c r="I32" i="5"/>
  <c r="I71" i="5" s="1"/>
  <c r="H32" i="5"/>
  <c r="H71" i="5" s="1"/>
  <c r="G32" i="5"/>
  <c r="G71" i="5" s="1"/>
  <c r="F32" i="5"/>
  <c r="F71" i="5" s="1"/>
  <c r="E32" i="5"/>
  <c r="E71" i="5" s="1"/>
  <c r="D32" i="5"/>
  <c r="D71" i="5" s="1"/>
  <c r="C32" i="5"/>
  <c r="C71" i="5" s="1"/>
  <c r="B32" i="5"/>
  <c r="B71" i="5" s="1"/>
  <c r="J31" i="5"/>
  <c r="J70" i="5" s="1"/>
  <c r="I31" i="5"/>
  <c r="I70" i="5" s="1"/>
  <c r="H31" i="5"/>
  <c r="H70" i="5" s="1"/>
  <c r="G31" i="5"/>
  <c r="G70" i="5" s="1"/>
  <c r="F31" i="5"/>
  <c r="F70" i="5" s="1"/>
  <c r="E31" i="5"/>
  <c r="E70" i="5" s="1"/>
  <c r="D31" i="5"/>
  <c r="D70" i="5" s="1"/>
  <c r="C31" i="5"/>
  <c r="C70" i="5" s="1"/>
  <c r="B31" i="5"/>
  <c r="B70" i="5" s="1"/>
  <c r="J30" i="5"/>
  <c r="J69" i="5" s="1"/>
  <c r="I30" i="5"/>
  <c r="I69" i="5" s="1"/>
  <c r="H30" i="5"/>
  <c r="H69" i="5" s="1"/>
  <c r="G30" i="5"/>
  <c r="G69" i="5" s="1"/>
  <c r="F30" i="5"/>
  <c r="F69" i="5" s="1"/>
  <c r="E30" i="5"/>
  <c r="E69" i="5" s="1"/>
  <c r="D30" i="5"/>
  <c r="D69" i="5" s="1"/>
  <c r="C30" i="5"/>
  <c r="C69" i="5" s="1"/>
  <c r="B30" i="5"/>
  <c r="B69" i="5" s="1"/>
  <c r="J29" i="5"/>
  <c r="J68" i="5" s="1"/>
  <c r="I29" i="5"/>
  <c r="I68" i="5" s="1"/>
  <c r="H29" i="5"/>
  <c r="H68" i="5" s="1"/>
  <c r="G29" i="5"/>
  <c r="G68" i="5" s="1"/>
  <c r="F29" i="5"/>
  <c r="F68" i="5" s="1"/>
  <c r="E29" i="5"/>
  <c r="E68" i="5" s="1"/>
  <c r="D29" i="5"/>
  <c r="D68" i="5" s="1"/>
  <c r="C29" i="5"/>
  <c r="C68" i="5" s="1"/>
  <c r="B29" i="5"/>
  <c r="B68" i="5" s="1"/>
  <c r="J28" i="5"/>
  <c r="J67" i="5" s="1"/>
  <c r="I28" i="5"/>
  <c r="I67" i="5" s="1"/>
  <c r="H28" i="5"/>
  <c r="H67" i="5" s="1"/>
  <c r="G28" i="5"/>
  <c r="G67" i="5" s="1"/>
  <c r="F28" i="5"/>
  <c r="F67" i="5" s="1"/>
  <c r="E28" i="5"/>
  <c r="E67" i="5" s="1"/>
  <c r="D28" i="5"/>
  <c r="D67" i="5" s="1"/>
  <c r="C28" i="5"/>
  <c r="C67" i="5" s="1"/>
  <c r="B28" i="5"/>
  <c r="B67" i="5" s="1"/>
  <c r="J27" i="5"/>
  <c r="J66" i="5" s="1"/>
  <c r="I27" i="5"/>
  <c r="I66" i="5" s="1"/>
  <c r="H27" i="5"/>
  <c r="H66" i="5" s="1"/>
  <c r="G27" i="5"/>
  <c r="G66" i="5" s="1"/>
  <c r="F27" i="5"/>
  <c r="F66" i="5" s="1"/>
  <c r="E27" i="5"/>
  <c r="E66" i="5" s="1"/>
  <c r="D27" i="5"/>
  <c r="D66" i="5" s="1"/>
  <c r="C27" i="5"/>
  <c r="C66" i="5" s="1"/>
  <c r="B27" i="5"/>
  <c r="B66" i="5" s="1"/>
  <c r="J26" i="5"/>
  <c r="J65" i="5" s="1"/>
  <c r="I26" i="5"/>
  <c r="I65" i="5" s="1"/>
  <c r="H26" i="5"/>
  <c r="H65" i="5" s="1"/>
  <c r="G26" i="5"/>
  <c r="G65" i="5" s="1"/>
  <c r="F26" i="5"/>
  <c r="F65" i="5" s="1"/>
  <c r="E26" i="5"/>
  <c r="E65" i="5" s="1"/>
  <c r="D26" i="5"/>
  <c r="D65" i="5" s="1"/>
  <c r="C26" i="5"/>
  <c r="C65" i="5" s="1"/>
  <c r="B26" i="5"/>
  <c r="B65" i="5" s="1"/>
  <c r="J25" i="5"/>
  <c r="J64" i="5" s="1"/>
  <c r="I25" i="5"/>
  <c r="I64" i="5" s="1"/>
  <c r="H25" i="5"/>
  <c r="H64" i="5" s="1"/>
  <c r="G25" i="5"/>
  <c r="G64" i="5" s="1"/>
  <c r="F25" i="5"/>
  <c r="F64" i="5" s="1"/>
  <c r="E25" i="5"/>
  <c r="E64" i="5" s="1"/>
  <c r="D25" i="5"/>
  <c r="D64" i="5" s="1"/>
  <c r="C25" i="5"/>
  <c r="C64" i="5" s="1"/>
  <c r="B25" i="5"/>
  <c r="B64" i="5" s="1"/>
  <c r="J24" i="5"/>
  <c r="J63" i="5" s="1"/>
  <c r="I24" i="5"/>
  <c r="I63" i="5" s="1"/>
  <c r="H24" i="5"/>
  <c r="H63" i="5" s="1"/>
  <c r="G24" i="5"/>
  <c r="G63" i="5" s="1"/>
  <c r="F24" i="5"/>
  <c r="F63" i="5" s="1"/>
  <c r="E24" i="5"/>
  <c r="E63" i="5" s="1"/>
  <c r="D24" i="5"/>
  <c r="D63" i="5" s="1"/>
  <c r="C24" i="5"/>
  <c r="C63" i="5" s="1"/>
  <c r="B24" i="5"/>
  <c r="B63" i="5" s="1"/>
  <c r="J23" i="5"/>
  <c r="J62" i="5" s="1"/>
  <c r="I23" i="5"/>
  <c r="I62" i="5" s="1"/>
  <c r="H23" i="5"/>
  <c r="H62" i="5" s="1"/>
  <c r="G23" i="5"/>
  <c r="G62" i="5" s="1"/>
  <c r="F23" i="5"/>
  <c r="F62" i="5" s="1"/>
  <c r="E23" i="5"/>
  <c r="E62" i="5" s="1"/>
  <c r="D23" i="5"/>
  <c r="D62" i="5" s="1"/>
  <c r="C23" i="5"/>
  <c r="C62" i="5" s="1"/>
  <c r="B23" i="5"/>
  <c r="B62" i="5" s="1"/>
  <c r="J22" i="5"/>
  <c r="J61" i="5" s="1"/>
  <c r="I22" i="5"/>
  <c r="I61" i="5" s="1"/>
  <c r="H22" i="5"/>
  <c r="H61" i="5" s="1"/>
  <c r="G22" i="5"/>
  <c r="G61" i="5" s="1"/>
  <c r="F22" i="5"/>
  <c r="F61" i="5" s="1"/>
  <c r="D22" i="5"/>
  <c r="D61" i="5" s="1"/>
  <c r="C22" i="5"/>
  <c r="C61" i="5" s="1"/>
  <c r="B22" i="5"/>
  <c r="B61" i="5" s="1"/>
  <c r="J21" i="5"/>
  <c r="J60" i="5" s="1"/>
  <c r="I21" i="5"/>
  <c r="I60" i="5" s="1"/>
  <c r="G21" i="5"/>
  <c r="G60" i="5" s="1"/>
  <c r="F21" i="5"/>
  <c r="F60" i="5" s="1"/>
  <c r="E21" i="5"/>
  <c r="E60" i="5" s="1"/>
  <c r="D21" i="5"/>
  <c r="D60" i="5" s="1"/>
  <c r="C21" i="5"/>
  <c r="C60" i="5" s="1"/>
  <c r="B21" i="5"/>
  <c r="B60" i="5" s="1"/>
  <c r="J36" i="6"/>
  <c r="J75" i="6" s="1"/>
  <c r="I36" i="6"/>
  <c r="I75" i="6" s="1"/>
  <c r="H36" i="6"/>
  <c r="H75" i="6" s="1"/>
  <c r="G36" i="6"/>
  <c r="G75" i="6" s="1"/>
  <c r="F36" i="6"/>
  <c r="F75" i="6" s="1"/>
  <c r="E36" i="6"/>
  <c r="E75" i="6" s="1"/>
  <c r="D36" i="6"/>
  <c r="D75" i="6" s="1"/>
  <c r="C36" i="6"/>
  <c r="C75" i="6" s="1"/>
  <c r="B36" i="6"/>
  <c r="B75" i="6" s="1"/>
  <c r="J35" i="6"/>
  <c r="J74" i="6" s="1"/>
  <c r="I35" i="6"/>
  <c r="I74" i="6" s="1"/>
  <c r="H35" i="6"/>
  <c r="H74" i="6" s="1"/>
  <c r="G35" i="6"/>
  <c r="G74" i="6" s="1"/>
  <c r="F35" i="6"/>
  <c r="F74" i="6" s="1"/>
  <c r="E35" i="6"/>
  <c r="E74" i="6" s="1"/>
  <c r="D35" i="6"/>
  <c r="D74" i="6" s="1"/>
  <c r="C35" i="6"/>
  <c r="C74" i="6" s="1"/>
  <c r="B35" i="6"/>
  <c r="B74" i="6" s="1"/>
  <c r="J34" i="6"/>
  <c r="J73" i="6" s="1"/>
  <c r="I34" i="6"/>
  <c r="I73" i="6" s="1"/>
  <c r="H34" i="6"/>
  <c r="H73" i="6" s="1"/>
  <c r="G34" i="6"/>
  <c r="G73" i="6" s="1"/>
  <c r="F34" i="6"/>
  <c r="F73" i="6" s="1"/>
  <c r="E34" i="6"/>
  <c r="E73" i="6" s="1"/>
  <c r="D34" i="6"/>
  <c r="D73" i="6" s="1"/>
  <c r="C34" i="6"/>
  <c r="C73" i="6" s="1"/>
  <c r="B34" i="6"/>
  <c r="B73" i="6" s="1"/>
  <c r="J33" i="6"/>
  <c r="J72" i="6" s="1"/>
  <c r="I33" i="6"/>
  <c r="I72" i="6" s="1"/>
  <c r="H33" i="6"/>
  <c r="H72" i="6" s="1"/>
  <c r="G33" i="6"/>
  <c r="G72" i="6" s="1"/>
  <c r="F33" i="6"/>
  <c r="F72" i="6" s="1"/>
  <c r="E33" i="6"/>
  <c r="E72" i="6" s="1"/>
  <c r="D33" i="6"/>
  <c r="D72" i="6" s="1"/>
  <c r="C33" i="6"/>
  <c r="C72" i="6" s="1"/>
  <c r="B33" i="6"/>
  <c r="B72" i="6" s="1"/>
  <c r="J32" i="6"/>
  <c r="J71" i="6" s="1"/>
  <c r="I32" i="6"/>
  <c r="I71" i="6" s="1"/>
  <c r="H32" i="6"/>
  <c r="H71" i="6" s="1"/>
  <c r="G32" i="6"/>
  <c r="G71" i="6" s="1"/>
  <c r="F32" i="6"/>
  <c r="F71" i="6" s="1"/>
  <c r="E32" i="6"/>
  <c r="E71" i="6" s="1"/>
  <c r="D32" i="6"/>
  <c r="D71" i="6" s="1"/>
  <c r="C32" i="6"/>
  <c r="C71" i="6" s="1"/>
  <c r="B32" i="6"/>
  <c r="B71" i="6" s="1"/>
  <c r="J31" i="6"/>
  <c r="J70" i="6" s="1"/>
  <c r="I31" i="6"/>
  <c r="I70" i="6" s="1"/>
  <c r="H31" i="6"/>
  <c r="H70" i="6" s="1"/>
  <c r="G31" i="6"/>
  <c r="G70" i="6" s="1"/>
  <c r="F31" i="6"/>
  <c r="F70" i="6" s="1"/>
  <c r="E31" i="6"/>
  <c r="E70" i="6" s="1"/>
  <c r="D31" i="6"/>
  <c r="D70" i="6" s="1"/>
  <c r="C31" i="6"/>
  <c r="C70" i="6" s="1"/>
  <c r="B31" i="6"/>
  <c r="B70" i="6" s="1"/>
  <c r="J30" i="6"/>
  <c r="J69" i="6" s="1"/>
  <c r="I30" i="6"/>
  <c r="I69" i="6" s="1"/>
  <c r="H30" i="6"/>
  <c r="H69" i="6" s="1"/>
  <c r="G30" i="6"/>
  <c r="G69" i="6" s="1"/>
  <c r="F30" i="6"/>
  <c r="F69" i="6" s="1"/>
  <c r="E30" i="6"/>
  <c r="E69" i="6" s="1"/>
  <c r="D30" i="6"/>
  <c r="D69" i="6" s="1"/>
  <c r="C30" i="6"/>
  <c r="C69" i="6" s="1"/>
  <c r="B30" i="6"/>
  <c r="B69" i="6" s="1"/>
  <c r="J29" i="6"/>
  <c r="J68" i="6" s="1"/>
  <c r="I29" i="6"/>
  <c r="I68" i="6" s="1"/>
  <c r="H29" i="6"/>
  <c r="H68" i="6" s="1"/>
  <c r="G29" i="6"/>
  <c r="G68" i="6" s="1"/>
  <c r="F29" i="6"/>
  <c r="F68" i="6" s="1"/>
  <c r="E29" i="6"/>
  <c r="E68" i="6" s="1"/>
  <c r="D29" i="6"/>
  <c r="D68" i="6" s="1"/>
  <c r="C29" i="6"/>
  <c r="C68" i="6" s="1"/>
  <c r="B29" i="6"/>
  <c r="B68" i="6" s="1"/>
  <c r="J28" i="6"/>
  <c r="J67" i="6" s="1"/>
  <c r="I28" i="6"/>
  <c r="I67" i="6" s="1"/>
  <c r="H28" i="6"/>
  <c r="H67" i="6" s="1"/>
  <c r="G28" i="6"/>
  <c r="G67" i="6" s="1"/>
  <c r="F28" i="6"/>
  <c r="F67" i="6" s="1"/>
  <c r="E28" i="6"/>
  <c r="E67" i="6" s="1"/>
  <c r="D28" i="6"/>
  <c r="D67" i="6" s="1"/>
  <c r="C28" i="6"/>
  <c r="C67" i="6" s="1"/>
  <c r="B28" i="6"/>
  <c r="B67" i="6" s="1"/>
  <c r="J27" i="6"/>
  <c r="J66" i="6" s="1"/>
  <c r="I27" i="6"/>
  <c r="I66" i="6" s="1"/>
  <c r="H27" i="6"/>
  <c r="H66" i="6" s="1"/>
  <c r="G27" i="6"/>
  <c r="G66" i="6" s="1"/>
  <c r="F27" i="6"/>
  <c r="F66" i="6" s="1"/>
  <c r="E27" i="6"/>
  <c r="E66" i="6" s="1"/>
  <c r="D27" i="6"/>
  <c r="D66" i="6" s="1"/>
  <c r="C27" i="6"/>
  <c r="C66" i="6" s="1"/>
  <c r="B27" i="6"/>
  <c r="B66" i="6" s="1"/>
  <c r="J26" i="6"/>
  <c r="J65" i="6" s="1"/>
  <c r="I26" i="6"/>
  <c r="I65" i="6" s="1"/>
  <c r="H26" i="6"/>
  <c r="H65" i="6" s="1"/>
  <c r="G26" i="6"/>
  <c r="G65" i="6" s="1"/>
  <c r="F26" i="6"/>
  <c r="F65" i="6" s="1"/>
  <c r="E26" i="6"/>
  <c r="E65" i="6" s="1"/>
  <c r="D26" i="6"/>
  <c r="D65" i="6" s="1"/>
  <c r="C26" i="6"/>
  <c r="C65" i="6" s="1"/>
  <c r="B26" i="6"/>
  <c r="B65" i="6" s="1"/>
  <c r="J25" i="6"/>
  <c r="J64" i="6" s="1"/>
  <c r="I25" i="6"/>
  <c r="I64" i="6" s="1"/>
  <c r="H25" i="6"/>
  <c r="H64" i="6" s="1"/>
  <c r="G25" i="6"/>
  <c r="G64" i="6" s="1"/>
  <c r="F25" i="6"/>
  <c r="F64" i="6" s="1"/>
  <c r="E25" i="6"/>
  <c r="E64" i="6" s="1"/>
  <c r="D25" i="6"/>
  <c r="D64" i="6" s="1"/>
  <c r="C25" i="6"/>
  <c r="C64" i="6" s="1"/>
  <c r="B25" i="6"/>
  <c r="B64" i="6" s="1"/>
  <c r="J24" i="6"/>
  <c r="J63" i="6" s="1"/>
  <c r="I24" i="6"/>
  <c r="I63" i="6" s="1"/>
  <c r="H24" i="6"/>
  <c r="H63" i="6" s="1"/>
  <c r="G24" i="6"/>
  <c r="G63" i="6" s="1"/>
  <c r="F24" i="6"/>
  <c r="F63" i="6" s="1"/>
  <c r="E24" i="6"/>
  <c r="E63" i="6" s="1"/>
  <c r="D24" i="6"/>
  <c r="D63" i="6" s="1"/>
  <c r="C24" i="6"/>
  <c r="C63" i="6" s="1"/>
  <c r="B24" i="6"/>
  <c r="B63" i="6" s="1"/>
  <c r="J23" i="6"/>
  <c r="J62" i="6" s="1"/>
  <c r="I23" i="6"/>
  <c r="I62" i="6" s="1"/>
  <c r="H23" i="6"/>
  <c r="H62" i="6" s="1"/>
  <c r="G23" i="6"/>
  <c r="G62" i="6" s="1"/>
  <c r="F23" i="6"/>
  <c r="F62" i="6" s="1"/>
  <c r="E23" i="6"/>
  <c r="E62" i="6" s="1"/>
  <c r="D23" i="6"/>
  <c r="D62" i="6" s="1"/>
  <c r="C23" i="6"/>
  <c r="C62" i="6" s="1"/>
  <c r="B23" i="6"/>
  <c r="B62" i="6" s="1"/>
  <c r="J22" i="6"/>
  <c r="J61" i="6" s="1"/>
  <c r="I22" i="6"/>
  <c r="I61" i="6" s="1"/>
  <c r="H22" i="6"/>
  <c r="H61" i="6" s="1"/>
  <c r="G22" i="6"/>
  <c r="G61" i="6" s="1"/>
  <c r="F22" i="6"/>
  <c r="F61" i="6" s="1"/>
  <c r="E22" i="6"/>
  <c r="E61" i="6" s="1"/>
  <c r="D22" i="6"/>
  <c r="D61" i="6" s="1"/>
  <c r="C22" i="6"/>
  <c r="C61" i="6" s="1"/>
  <c r="B22" i="6"/>
  <c r="B61" i="6" s="1"/>
  <c r="J21" i="6"/>
  <c r="J60" i="6" s="1"/>
  <c r="I21" i="6"/>
  <c r="I60" i="6" s="1"/>
  <c r="H21" i="6"/>
  <c r="H60" i="6" s="1"/>
  <c r="G21" i="6"/>
  <c r="G60" i="6" s="1"/>
  <c r="F21" i="6"/>
  <c r="F60" i="6" s="1"/>
  <c r="E21" i="6"/>
  <c r="E60" i="6" s="1"/>
  <c r="D21" i="6"/>
  <c r="D60" i="6" s="1"/>
  <c r="C21" i="6"/>
  <c r="C60" i="6" s="1"/>
  <c r="B21" i="6"/>
  <c r="B60" i="6" s="1"/>
  <c r="J36" i="8"/>
  <c r="I36" i="8"/>
  <c r="H36" i="8"/>
  <c r="G36" i="8"/>
  <c r="F36" i="8"/>
  <c r="E36" i="8"/>
  <c r="D36" i="8"/>
  <c r="C36" i="8"/>
  <c r="B36" i="8"/>
  <c r="J35" i="8"/>
  <c r="I35" i="8"/>
  <c r="H35" i="8"/>
  <c r="G35" i="8"/>
  <c r="F35" i="8"/>
  <c r="E35" i="8"/>
  <c r="D35" i="8"/>
  <c r="C35" i="8"/>
  <c r="B35" i="8"/>
  <c r="M36" i="10"/>
  <c r="L36" i="10"/>
  <c r="K36" i="10"/>
  <c r="J36" i="10"/>
  <c r="I36" i="10"/>
  <c r="H36" i="10"/>
  <c r="G36" i="10"/>
  <c r="F36" i="10"/>
  <c r="E36" i="10"/>
  <c r="D36" i="10"/>
  <c r="C36" i="10"/>
  <c r="B36" i="10"/>
  <c r="M35" i="10"/>
  <c r="L35" i="10"/>
  <c r="K35" i="10"/>
  <c r="J35" i="10"/>
  <c r="I35" i="10"/>
  <c r="H35" i="10"/>
  <c r="G35" i="10"/>
  <c r="F35" i="10"/>
  <c r="E35" i="10"/>
  <c r="D35" i="10"/>
  <c r="C35" i="10"/>
  <c r="B35" i="10"/>
  <c r="M34" i="10"/>
  <c r="L34" i="10"/>
  <c r="K34" i="10"/>
  <c r="J34" i="10"/>
  <c r="I34" i="10"/>
  <c r="H34" i="10"/>
  <c r="G34" i="10"/>
  <c r="F34" i="10"/>
  <c r="E34" i="10"/>
  <c r="D34" i="10"/>
  <c r="C34" i="10"/>
  <c r="B34" i="10"/>
  <c r="M33" i="10"/>
  <c r="L33" i="10"/>
  <c r="K33" i="10"/>
  <c r="J33" i="10"/>
  <c r="I33" i="10"/>
  <c r="H33" i="10"/>
  <c r="G33" i="10"/>
  <c r="F33" i="10"/>
  <c r="E33" i="10"/>
  <c r="D33" i="10"/>
  <c r="C33" i="10"/>
  <c r="B33" i="10"/>
  <c r="M32" i="10"/>
  <c r="L32" i="10"/>
  <c r="K32" i="10"/>
  <c r="J32" i="10"/>
  <c r="I32" i="10"/>
  <c r="H32" i="10"/>
  <c r="G32" i="10"/>
  <c r="F32" i="10"/>
  <c r="E32" i="10"/>
  <c r="D32" i="10"/>
  <c r="C32" i="10"/>
  <c r="B32" i="10"/>
  <c r="M31" i="10"/>
  <c r="L31" i="10"/>
  <c r="K31" i="10"/>
  <c r="J31" i="10"/>
  <c r="I31" i="10"/>
  <c r="H31" i="10"/>
  <c r="G31" i="10"/>
  <c r="F31" i="10"/>
  <c r="E31" i="10"/>
  <c r="D31" i="10"/>
  <c r="C31" i="10"/>
  <c r="B31" i="10"/>
  <c r="M30" i="10"/>
  <c r="L30" i="10"/>
  <c r="K30" i="10"/>
  <c r="J30" i="10"/>
  <c r="I30" i="10"/>
  <c r="H30" i="10"/>
  <c r="G30" i="10"/>
  <c r="F30" i="10"/>
  <c r="E30" i="10"/>
  <c r="D30" i="10"/>
  <c r="C30" i="10"/>
  <c r="B30" i="10"/>
  <c r="M29" i="10"/>
  <c r="L29" i="10"/>
  <c r="K29" i="10"/>
  <c r="J29" i="10"/>
  <c r="I29" i="10"/>
  <c r="H29" i="10"/>
  <c r="G29" i="10"/>
  <c r="F29" i="10"/>
  <c r="E29" i="10"/>
  <c r="D29" i="10"/>
  <c r="C29" i="10"/>
  <c r="B29" i="10"/>
  <c r="M28" i="10"/>
  <c r="L28" i="10"/>
  <c r="K28" i="10"/>
  <c r="J28" i="10"/>
  <c r="I28" i="10"/>
  <c r="H28" i="10"/>
  <c r="G28" i="10"/>
  <c r="F28" i="10"/>
  <c r="E28" i="10"/>
  <c r="D28" i="10"/>
  <c r="C28" i="10"/>
  <c r="B28" i="10"/>
  <c r="M27" i="10"/>
  <c r="L27" i="10"/>
  <c r="K27" i="10"/>
  <c r="J27" i="10"/>
  <c r="I27" i="10"/>
  <c r="H27" i="10"/>
  <c r="G27" i="10"/>
  <c r="F27" i="10"/>
  <c r="E27" i="10"/>
  <c r="D27" i="10"/>
  <c r="C27" i="10"/>
  <c r="B27" i="10"/>
  <c r="M26" i="10"/>
  <c r="L26" i="10"/>
  <c r="K26" i="10"/>
  <c r="J26" i="10"/>
  <c r="I26" i="10"/>
  <c r="H26" i="10"/>
  <c r="G26" i="10"/>
  <c r="F26" i="10"/>
  <c r="E26" i="10"/>
  <c r="D26" i="10"/>
  <c r="C26" i="10"/>
  <c r="B26" i="10"/>
  <c r="M25" i="10"/>
  <c r="L25" i="10"/>
  <c r="K25" i="10"/>
  <c r="J25" i="10"/>
  <c r="I25" i="10"/>
  <c r="H25" i="10"/>
  <c r="G25" i="10"/>
  <c r="F25" i="10"/>
  <c r="E25" i="10"/>
  <c r="D25" i="10"/>
  <c r="C25" i="10"/>
  <c r="B25" i="10"/>
  <c r="M24" i="10"/>
  <c r="L24" i="10"/>
  <c r="K24" i="10"/>
  <c r="J24" i="10"/>
  <c r="I24" i="10"/>
  <c r="H24" i="10"/>
  <c r="G24" i="10"/>
  <c r="F24" i="10"/>
  <c r="E24" i="10"/>
  <c r="D24" i="10"/>
  <c r="C24" i="10"/>
  <c r="B24" i="10"/>
  <c r="M23" i="10"/>
  <c r="L23" i="10"/>
  <c r="K23" i="10"/>
  <c r="J23" i="10"/>
  <c r="I23" i="10"/>
  <c r="H23" i="10"/>
  <c r="G23" i="10"/>
  <c r="F23" i="10"/>
  <c r="E23" i="10"/>
  <c r="D23" i="10"/>
  <c r="C23" i="10"/>
  <c r="B23" i="10"/>
  <c r="M22" i="10"/>
  <c r="L22" i="10"/>
  <c r="K22" i="10"/>
  <c r="J22" i="10"/>
  <c r="I22" i="10"/>
  <c r="H22" i="10"/>
  <c r="G22" i="10"/>
  <c r="F22" i="10"/>
  <c r="E22" i="10"/>
  <c r="D22" i="10"/>
  <c r="C22" i="10"/>
  <c r="B22" i="10"/>
  <c r="M21" i="10"/>
  <c r="L21" i="10"/>
  <c r="K21" i="10"/>
  <c r="J21" i="10"/>
  <c r="I21" i="10"/>
  <c r="H21" i="10"/>
  <c r="G21" i="10"/>
  <c r="F21" i="10"/>
  <c r="E21" i="10"/>
  <c r="D21" i="10"/>
  <c r="C21" i="10"/>
  <c r="B21" i="10"/>
  <c r="V36" i="19"/>
  <c r="U36" i="19"/>
  <c r="T36" i="19"/>
  <c r="V34" i="19"/>
  <c r="U34" i="19"/>
  <c r="T34" i="19"/>
  <c r="U33" i="19"/>
  <c r="V32" i="19"/>
  <c r="U32" i="19"/>
  <c r="V30" i="19"/>
  <c r="U30" i="19"/>
  <c r="V28" i="19"/>
  <c r="U28" i="19"/>
  <c r="V24" i="19"/>
  <c r="U24" i="19"/>
  <c r="V22" i="19"/>
  <c r="U22" i="19"/>
  <c r="P36" i="18"/>
  <c r="O36" i="18"/>
  <c r="N36" i="18"/>
  <c r="M36" i="18"/>
  <c r="L36" i="18"/>
  <c r="K36" i="18"/>
  <c r="J36" i="18"/>
  <c r="I36" i="18"/>
  <c r="H36" i="18"/>
  <c r="G36" i="18"/>
  <c r="F36" i="18"/>
  <c r="E36" i="18"/>
  <c r="D36" i="18"/>
  <c r="C36" i="18"/>
  <c r="B36" i="18"/>
  <c r="P35" i="18"/>
  <c r="O35" i="18"/>
  <c r="N35" i="18"/>
  <c r="M35" i="18"/>
  <c r="L35" i="18"/>
  <c r="K35" i="18"/>
  <c r="J35" i="18"/>
  <c r="I35" i="18"/>
  <c r="H35" i="18"/>
  <c r="G35" i="18"/>
  <c r="F35" i="18"/>
  <c r="E35" i="18"/>
  <c r="D35" i="18"/>
  <c r="C35" i="18"/>
  <c r="B35" i="18"/>
  <c r="P34" i="18"/>
  <c r="O34" i="18"/>
  <c r="N34" i="18"/>
  <c r="M34" i="18"/>
  <c r="L34" i="18"/>
  <c r="K34" i="18"/>
  <c r="J34" i="18"/>
  <c r="I34" i="18"/>
  <c r="H34" i="18"/>
  <c r="G34" i="18"/>
  <c r="F34" i="18"/>
  <c r="E34" i="18"/>
  <c r="D34" i="18"/>
  <c r="C34" i="18"/>
  <c r="B34" i="18"/>
  <c r="P33" i="18"/>
  <c r="O33" i="18"/>
  <c r="N33" i="18"/>
  <c r="M33" i="18"/>
  <c r="L33" i="18"/>
  <c r="K33" i="18"/>
  <c r="J33" i="18"/>
  <c r="I33" i="18"/>
  <c r="H33" i="18"/>
  <c r="G33" i="18"/>
  <c r="F33" i="18"/>
  <c r="E33" i="18"/>
  <c r="D33" i="18"/>
  <c r="C33" i="18"/>
  <c r="B33" i="18"/>
  <c r="P32" i="18"/>
  <c r="O32" i="18"/>
  <c r="N32" i="18"/>
  <c r="M32" i="18"/>
  <c r="L32" i="18"/>
  <c r="K32" i="18"/>
  <c r="J32" i="18"/>
  <c r="I32" i="18"/>
  <c r="H32" i="18"/>
  <c r="G32" i="18"/>
  <c r="F32" i="18"/>
  <c r="E32" i="18"/>
  <c r="D32" i="18"/>
  <c r="C32" i="18"/>
  <c r="B32" i="18"/>
  <c r="P31" i="18"/>
  <c r="O31" i="18"/>
  <c r="N31" i="18"/>
  <c r="M31" i="18"/>
  <c r="L31" i="18"/>
  <c r="K31" i="18"/>
  <c r="J31" i="18"/>
  <c r="I31" i="18"/>
  <c r="H31" i="18"/>
  <c r="G31" i="18"/>
  <c r="F31" i="18"/>
  <c r="E31" i="18"/>
  <c r="D31" i="18"/>
  <c r="C31" i="18"/>
  <c r="B31" i="18"/>
  <c r="P30" i="18"/>
  <c r="O30" i="18"/>
  <c r="N30" i="18"/>
  <c r="M30" i="18"/>
  <c r="L30" i="18"/>
  <c r="K30" i="18"/>
  <c r="J30" i="18"/>
  <c r="I30" i="18"/>
  <c r="H30" i="18"/>
  <c r="G30" i="18"/>
  <c r="F30" i="18"/>
  <c r="E30" i="18"/>
  <c r="D30" i="18"/>
  <c r="C30" i="18"/>
  <c r="B30" i="18"/>
  <c r="P29" i="18"/>
  <c r="O29" i="18"/>
  <c r="N29" i="18"/>
  <c r="M29" i="18"/>
  <c r="L29" i="18"/>
  <c r="K29" i="18"/>
  <c r="J29" i="18"/>
  <c r="I29" i="18"/>
  <c r="H29" i="18"/>
  <c r="G29" i="18"/>
  <c r="F29" i="18"/>
  <c r="E29" i="18"/>
  <c r="D29" i="18"/>
  <c r="C29" i="18"/>
  <c r="B29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B28" i="18"/>
  <c r="P27" i="18"/>
  <c r="O27" i="18"/>
  <c r="N27" i="18"/>
  <c r="M27" i="18"/>
  <c r="L27" i="18"/>
  <c r="K27" i="18"/>
  <c r="J27" i="18"/>
  <c r="I27" i="18"/>
  <c r="H27" i="18"/>
  <c r="G27" i="18"/>
  <c r="F27" i="18"/>
  <c r="E27" i="18"/>
  <c r="D27" i="18"/>
  <c r="C27" i="18"/>
  <c r="B27" i="18"/>
  <c r="P26" i="18"/>
  <c r="O26" i="18"/>
  <c r="N26" i="18"/>
  <c r="M26" i="18"/>
  <c r="L26" i="18"/>
  <c r="K26" i="18"/>
  <c r="J26" i="18"/>
  <c r="I26" i="18"/>
  <c r="H26" i="18"/>
  <c r="G26" i="18"/>
  <c r="F26" i="18"/>
  <c r="E26" i="18"/>
  <c r="D26" i="18"/>
  <c r="C26" i="18"/>
  <c r="B26" i="18"/>
  <c r="P25" i="18"/>
  <c r="O25" i="18"/>
  <c r="N25" i="18"/>
  <c r="M25" i="18"/>
  <c r="L25" i="18"/>
  <c r="K25" i="18"/>
  <c r="J25" i="18"/>
  <c r="I25" i="18"/>
  <c r="H25" i="18"/>
  <c r="G25" i="18"/>
  <c r="F25" i="18"/>
  <c r="E25" i="18"/>
  <c r="D25" i="18"/>
  <c r="C25" i="18"/>
  <c r="B25" i="18"/>
  <c r="P24" i="18"/>
  <c r="O24" i="18"/>
  <c r="N24" i="18"/>
  <c r="M24" i="18"/>
  <c r="L24" i="18"/>
  <c r="K24" i="18"/>
  <c r="J24" i="18"/>
  <c r="I24" i="18"/>
  <c r="H24" i="18"/>
  <c r="G24" i="18"/>
  <c r="F24" i="18"/>
  <c r="E24" i="18"/>
  <c r="D24" i="18"/>
  <c r="C24" i="18"/>
  <c r="B24" i="18"/>
  <c r="P23" i="18"/>
  <c r="O23" i="18"/>
  <c r="N23" i="18"/>
  <c r="M23" i="18"/>
  <c r="L23" i="18"/>
  <c r="K23" i="18"/>
  <c r="J23" i="18"/>
  <c r="I23" i="18"/>
  <c r="H23" i="18"/>
  <c r="G23" i="18"/>
  <c r="F23" i="18"/>
  <c r="E23" i="18"/>
  <c r="D23" i="18"/>
  <c r="C23" i="18"/>
  <c r="B23" i="18"/>
  <c r="P22" i="18"/>
  <c r="O22" i="18"/>
  <c r="N22" i="18"/>
  <c r="M22" i="18"/>
  <c r="L22" i="18"/>
  <c r="K22" i="18"/>
  <c r="J22" i="18"/>
  <c r="I22" i="18"/>
  <c r="H22" i="18"/>
  <c r="G22" i="18"/>
  <c r="F22" i="18"/>
  <c r="E22" i="18"/>
  <c r="D22" i="18"/>
  <c r="C22" i="18"/>
  <c r="B22" i="18"/>
  <c r="P21" i="18"/>
  <c r="O21" i="18"/>
  <c r="N21" i="18"/>
  <c r="M21" i="18"/>
  <c r="L21" i="18"/>
  <c r="K21" i="18"/>
  <c r="J21" i="18"/>
  <c r="I21" i="18"/>
  <c r="H21" i="18"/>
  <c r="G21" i="18"/>
  <c r="F21" i="18"/>
  <c r="E21" i="18"/>
  <c r="D21" i="18"/>
  <c r="C21" i="18"/>
  <c r="B21" i="18"/>
  <c r="J36" i="16"/>
  <c r="I36" i="16"/>
  <c r="H36" i="16"/>
  <c r="G36" i="16"/>
  <c r="F36" i="16"/>
  <c r="E36" i="16"/>
  <c r="D36" i="16"/>
  <c r="C36" i="16"/>
  <c r="B36" i="16"/>
  <c r="J35" i="16"/>
  <c r="I35" i="16"/>
  <c r="H35" i="16"/>
  <c r="G35" i="16"/>
  <c r="F35" i="16"/>
  <c r="E35" i="16"/>
  <c r="D35" i="16"/>
  <c r="C35" i="16"/>
  <c r="B35" i="16"/>
  <c r="J34" i="16"/>
  <c r="I34" i="16"/>
  <c r="H34" i="16"/>
  <c r="G34" i="16"/>
  <c r="F34" i="16"/>
  <c r="E34" i="16"/>
  <c r="D34" i="16"/>
  <c r="C34" i="16"/>
  <c r="B34" i="16"/>
  <c r="J33" i="16"/>
  <c r="I33" i="16"/>
  <c r="H33" i="16"/>
  <c r="G33" i="16"/>
  <c r="F33" i="16"/>
  <c r="E33" i="16"/>
  <c r="D33" i="16"/>
  <c r="C33" i="16"/>
  <c r="B33" i="16"/>
  <c r="J32" i="16"/>
  <c r="I32" i="16"/>
  <c r="H32" i="16"/>
  <c r="G32" i="16"/>
  <c r="F32" i="16"/>
  <c r="E32" i="16"/>
  <c r="D32" i="16"/>
  <c r="C32" i="16"/>
  <c r="B32" i="16"/>
  <c r="J31" i="16"/>
  <c r="I31" i="16"/>
  <c r="H31" i="16"/>
  <c r="G31" i="16"/>
  <c r="F31" i="16"/>
  <c r="E31" i="16"/>
  <c r="D31" i="16"/>
  <c r="C31" i="16"/>
  <c r="B31" i="16"/>
  <c r="J30" i="16"/>
  <c r="I30" i="16"/>
  <c r="H30" i="16"/>
  <c r="G30" i="16"/>
  <c r="F30" i="16"/>
  <c r="E30" i="16"/>
  <c r="D30" i="16"/>
  <c r="C30" i="16"/>
  <c r="B30" i="16"/>
  <c r="J29" i="16"/>
  <c r="I29" i="16"/>
  <c r="H29" i="16"/>
  <c r="G29" i="16"/>
  <c r="F29" i="16"/>
  <c r="E29" i="16"/>
  <c r="D29" i="16"/>
  <c r="C29" i="16"/>
  <c r="B29" i="16"/>
  <c r="J28" i="16"/>
  <c r="I28" i="16"/>
  <c r="H28" i="16"/>
  <c r="G28" i="16"/>
  <c r="F28" i="16"/>
  <c r="E28" i="16"/>
  <c r="D28" i="16"/>
  <c r="C28" i="16"/>
  <c r="B28" i="16"/>
  <c r="J27" i="16"/>
  <c r="I27" i="16"/>
  <c r="H27" i="16"/>
  <c r="G27" i="16"/>
  <c r="F27" i="16"/>
  <c r="E27" i="16"/>
  <c r="D27" i="16"/>
  <c r="C27" i="16"/>
  <c r="B27" i="16"/>
  <c r="J26" i="16"/>
  <c r="I26" i="16"/>
  <c r="H26" i="16"/>
  <c r="G26" i="16"/>
  <c r="F26" i="16"/>
  <c r="E26" i="16"/>
  <c r="D26" i="16"/>
  <c r="C26" i="16"/>
  <c r="B26" i="16"/>
  <c r="J25" i="16"/>
  <c r="I25" i="16"/>
  <c r="H25" i="16"/>
  <c r="G25" i="16"/>
  <c r="F25" i="16"/>
  <c r="E25" i="16"/>
  <c r="D25" i="16"/>
  <c r="C25" i="16"/>
  <c r="B25" i="16"/>
  <c r="J24" i="16"/>
  <c r="I24" i="16"/>
  <c r="H24" i="16"/>
  <c r="G24" i="16"/>
  <c r="F24" i="16"/>
  <c r="E24" i="16"/>
  <c r="D24" i="16"/>
  <c r="C24" i="16"/>
  <c r="B24" i="16"/>
  <c r="J23" i="16"/>
  <c r="I23" i="16"/>
  <c r="H23" i="16"/>
  <c r="G23" i="16"/>
  <c r="F23" i="16"/>
  <c r="E23" i="16"/>
  <c r="D23" i="16"/>
  <c r="C23" i="16"/>
  <c r="B23" i="16"/>
  <c r="J22" i="16"/>
  <c r="I22" i="16"/>
  <c r="H22" i="16"/>
  <c r="G22" i="16"/>
  <c r="F22" i="16"/>
  <c r="E22" i="16"/>
  <c r="D22" i="16"/>
  <c r="C22" i="16"/>
  <c r="B22" i="16"/>
  <c r="J21" i="16"/>
  <c r="I21" i="16"/>
  <c r="H21" i="16"/>
  <c r="G21" i="16"/>
  <c r="F21" i="16"/>
  <c r="E21" i="16"/>
  <c r="D21" i="16"/>
  <c r="C21" i="16"/>
  <c r="B21" i="16"/>
  <c r="J36" i="15"/>
  <c r="I36" i="15"/>
  <c r="H36" i="15"/>
  <c r="G36" i="15"/>
  <c r="F36" i="15"/>
  <c r="E36" i="15"/>
  <c r="D36" i="15"/>
  <c r="C36" i="15"/>
  <c r="B36" i="15"/>
  <c r="J35" i="15"/>
  <c r="I35" i="15"/>
  <c r="H35" i="15"/>
  <c r="G35" i="15"/>
  <c r="F35" i="15"/>
  <c r="E35" i="15"/>
  <c r="D35" i="15"/>
  <c r="C35" i="15"/>
  <c r="B35" i="15"/>
  <c r="J34" i="15"/>
  <c r="I34" i="15"/>
  <c r="H34" i="15"/>
  <c r="G34" i="15"/>
  <c r="F34" i="15"/>
  <c r="E34" i="15"/>
  <c r="D34" i="15"/>
  <c r="C34" i="15"/>
  <c r="B34" i="15"/>
  <c r="J33" i="15"/>
  <c r="I33" i="15"/>
  <c r="H33" i="15"/>
  <c r="G33" i="15"/>
  <c r="F33" i="15"/>
  <c r="E33" i="15"/>
  <c r="D33" i="15"/>
  <c r="C33" i="15"/>
  <c r="B33" i="15"/>
  <c r="J32" i="15"/>
  <c r="I32" i="15"/>
  <c r="H32" i="15"/>
  <c r="G32" i="15"/>
  <c r="F32" i="15"/>
  <c r="E32" i="15"/>
  <c r="D32" i="15"/>
  <c r="C32" i="15"/>
  <c r="B32" i="15"/>
  <c r="J31" i="15"/>
  <c r="I31" i="15"/>
  <c r="H31" i="15"/>
  <c r="G31" i="15"/>
  <c r="F31" i="15"/>
  <c r="E31" i="15"/>
  <c r="D31" i="15"/>
  <c r="C31" i="15"/>
  <c r="B31" i="15"/>
  <c r="J30" i="15"/>
  <c r="I30" i="15"/>
  <c r="H30" i="15"/>
  <c r="G30" i="15"/>
  <c r="F30" i="15"/>
  <c r="E30" i="15"/>
  <c r="D30" i="15"/>
  <c r="C30" i="15"/>
  <c r="B30" i="15"/>
  <c r="J29" i="15"/>
  <c r="I29" i="15"/>
  <c r="H29" i="15"/>
  <c r="G29" i="15"/>
  <c r="F29" i="15"/>
  <c r="E29" i="15"/>
  <c r="D29" i="15"/>
  <c r="C29" i="15"/>
  <c r="B29" i="15"/>
  <c r="J28" i="15"/>
  <c r="I28" i="15"/>
  <c r="H28" i="15"/>
  <c r="G28" i="15"/>
  <c r="F28" i="15"/>
  <c r="E28" i="15"/>
  <c r="D28" i="15"/>
  <c r="C28" i="15"/>
  <c r="B28" i="15"/>
  <c r="J27" i="15"/>
  <c r="I27" i="15"/>
  <c r="H27" i="15"/>
  <c r="G27" i="15"/>
  <c r="F27" i="15"/>
  <c r="E27" i="15"/>
  <c r="D27" i="15"/>
  <c r="C27" i="15"/>
  <c r="B27" i="15"/>
  <c r="J26" i="15"/>
  <c r="I26" i="15"/>
  <c r="H26" i="15"/>
  <c r="G26" i="15"/>
  <c r="F26" i="15"/>
  <c r="E26" i="15"/>
  <c r="D26" i="15"/>
  <c r="C26" i="15"/>
  <c r="B26" i="15"/>
  <c r="J25" i="15"/>
  <c r="I25" i="15"/>
  <c r="H25" i="15"/>
  <c r="G25" i="15"/>
  <c r="F25" i="15"/>
  <c r="E25" i="15"/>
  <c r="D25" i="15"/>
  <c r="C25" i="15"/>
  <c r="B25" i="15"/>
  <c r="J24" i="15"/>
  <c r="I24" i="15"/>
  <c r="H24" i="15"/>
  <c r="G24" i="15"/>
  <c r="F24" i="15"/>
  <c r="E24" i="15"/>
  <c r="D24" i="15"/>
  <c r="C24" i="15"/>
  <c r="B24" i="15"/>
  <c r="J23" i="15"/>
  <c r="I23" i="15"/>
  <c r="H23" i="15"/>
  <c r="G23" i="15"/>
  <c r="F23" i="15"/>
  <c r="E23" i="15"/>
  <c r="D23" i="15"/>
  <c r="C23" i="15"/>
  <c r="B23" i="15"/>
  <c r="J22" i="15"/>
  <c r="I22" i="15"/>
  <c r="H22" i="15"/>
  <c r="G22" i="15"/>
  <c r="F22" i="15"/>
  <c r="E22" i="15"/>
  <c r="D22" i="15"/>
  <c r="C22" i="15"/>
  <c r="B22" i="15"/>
  <c r="J21" i="15"/>
  <c r="I21" i="15"/>
  <c r="H21" i="15"/>
  <c r="G21" i="15"/>
  <c r="F21" i="15"/>
  <c r="E21" i="15"/>
  <c r="D21" i="15"/>
  <c r="C21" i="15"/>
  <c r="B21" i="15"/>
  <c r="G35" i="12"/>
  <c r="F35" i="12"/>
  <c r="E35" i="12"/>
  <c r="D35" i="12"/>
  <c r="C35" i="12"/>
  <c r="B35" i="12"/>
  <c r="G34" i="12"/>
  <c r="F34" i="12"/>
  <c r="E34" i="12"/>
  <c r="D34" i="12"/>
  <c r="C34" i="12"/>
  <c r="B34" i="12"/>
  <c r="G33" i="12"/>
  <c r="F33" i="12"/>
  <c r="E33" i="12"/>
  <c r="D33" i="12"/>
  <c r="C33" i="12"/>
  <c r="B33" i="12"/>
  <c r="G32" i="12"/>
  <c r="F32" i="12"/>
  <c r="E32" i="12"/>
  <c r="D32" i="12"/>
  <c r="C32" i="12"/>
  <c r="B32" i="12"/>
  <c r="G31" i="12"/>
  <c r="F31" i="12"/>
  <c r="E31" i="12"/>
  <c r="D31" i="12"/>
  <c r="C31" i="12"/>
  <c r="B31" i="12"/>
  <c r="G30" i="12"/>
  <c r="F30" i="12"/>
  <c r="E30" i="12"/>
  <c r="D30" i="12"/>
  <c r="C30" i="12"/>
  <c r="B30" i="12"/>
  <c r="G29" i="12"/>
  <c r="F29" i="12"/>
  <c r="E29" i="12"/>
  <c r="D29" i="12"/>
  <c r="C29" i="12"/>
  <c r="B29" i="12"/>
  <c r="G28" i="12"/>
  <c r="F28" i="12"/>
  <c r="E28" i="12"/>
  <c r="D28" i="12"/>
  <c r="C28" i="12"/>
  <c r="B28" i="12"/>
  <c r="G27" i="12"/>
  <c r="F27" i="12"/>
  <c r="E27" i="12"/>
  <c r="D27" i="12"/>
  <c r="C27" i="12"/>
  <c r="B27" i="12"/>
  <c r="G26" i="12"/>
  <c r="F26" i="12"/>
  <c r="E26" i="12"/>
  <c r="D26" i="12"/>
  <c r="C26" i="12"/>
  <c r="B26" i="12"/>
  <c r="G25" i="12"/>
  <c r="F25" i="12"/>
  <c r="E25" i="12"/>
  <c r="D25" i="12"/>
  <c r="C25" i="12"/>
  <c r="B25" i="12"/>
  <c r="G24" i="12"/>
  <c r="F24" i="12"/>
  <c r="E24" i="12"/>
  <c r="D24" i="12"/>
  <c r="C24" i="12"/>
  <c r="B24" i="12"/>
  <c r="G23" i="12"/>
  <c r="F23" i="12"/>
  <c r="E23" i="12"/>
  <c r="D23" i="12"/>
  <c r="C23" i="12"/>
  <c r="B23" i="12"/>
  <c r="G22" i="12"/>
  <c r="F22" i="12"/>
  <c r="E22" i="12"/>
  <c r="D22" i="12"/>
  <c r="C22" i="12"/>
  <c r="B22" i="12"/>
  <c r="G21" i="12"/>
  <c r="F21" i="12"/>
  <c r="E21" i="12"/>
  <c r="D21" i="12"/>
  <c r="C21" i="12"/>
  <c r="B21" i="12"/>
  <c r="J36" i="14"/>
  <c r="I36" i="14"/>
  <c r="H36" i="14"/>
  <c r="G36" i="14"/>
  <c r="F36" i="14"/>
  <c r="E36" i="14"/>
  <c r="D36" i="14"/>
  <c r="C36" i="14"/>
  <c r="B36" i="14"/>
  <c r="J35" i="14"/>
  <c r="I35" i="14"/>
  <c r="H35" i="14"/>
  <c r="G35" i="14"/>
  <c r="F35" i="14"/>
  <c r="E35" i="14"/>
  <c r="D35" i="14"/>
  <c r="C35" i="14"/>
  <c r="B35" i="14"/>
  <c r="J34" i="14"/>
  <c r="I34" i="14"/>
  <c r="H34" i="14"/>
  <c r="G34" i="14"/>
  <c r="F34" i="14"/>
  <c r="E34" i="14"/>
  <c r="D34" i="14"/>
  <c r="C34" i="14"/>
  <c r="B34" i="14"/>
  <c r="J33" i="14"/>
  <c r="I33" i="14"/>
  <c r="H33" i="14"/>
  <c r="G33" i="14"/>
  <c r="F33" i="14"/>
  <c r="E33" i="14"/>
  <c r="D33" i="14"/>
  <c r="C33" i="14"/>
  <c r="B33" i="14"/>
  <c r="J32" i="14"/>
  <c r="I32" i="14"/>
  <c r="H32" i="14"/>
  <c r="G32" i="14"/>
  <c r="F32" i="14"/>
  <c r="E32" i="14"/>
  <c r="D32" i="14"/>
  <c r="C32" i="14"/>
  <c r="B32" i="14"/>
  <c r="J31" i="14"/>
  <c r="I31" i="14"/>
  <c r="H31" i="14"/>
  <c r="G31" i="14"/>
  <c r="F31" i="14"/>
  <c r="E31" i="14"/>
  <c r="D31" i="14"/>
  <c r="C31" i="14"/>
  <c r="B31" i="14"/>
  <c r="J30" i="14"/>
  <c r="I30" i="14"/>
  <c r="H30" i="14"/>
  <c r="G30" i="14"/>
  <c r="F30" i="14"/>
  <c r="E30" i="14"/>
  <c r="D30" i="14"/>
  <c r="C30" i="14"/>
  <c r="B30" i="14"/>
  <c r="J29" i="14"/>
  <c r="I29" i="14"/>
  <c r="H29" i="14"/>
  <c r="G29" i="14"/>
  <c r="F29" i="14"/>
  <c r="E29" i="14"/>
  <c r="D29" i="14"/>
  <c r="C29" i="14"/>
  <c r="B29" i="14"/>
  <c r="J28" i="14"/>
  <c r="I28" i="14"/>
  <c r="H28" i="14"/>
  <c r="G28" i="14"/>
  <c r="F28" i="14"/>
  <c r="E28" i="14"/>
  <c r="D28" i="14"/>
  <c r="C28" i="14"/>
  <c r="B28" i="14"/>
  <c r="J27" i="14"/>
  <c r="I27" i="14"/>
  <c r="H27" i="14"/>
  <c r="G27" i="14"/>
  <c r="F27" i="14"/>
  <c r="E27" i="14"/>
  <c r="D27" i="14"/>
  <c r="C27" i="14"/>
  <c r="B27" i="14"/>
  <c r="J26" i="14"/>
  <c r="I26" i="14"/>
  <c r="H26" i="14"/>
  <c r="G26" i="14"/>
  <c r="F26" i="14"/>
  <c r="E26" i="14"/>
  <c r="D26" i="14"/>
  <c r="C26" i="14"/>
  <c r="B26" i="14"/>
  <c r="J25" i="14"/>
  <c r="I25" i="14"/>
  <c r="H25" i="14"/>
  <c r="G25" i="14"/>
  <c r="F25" i="14"/>
  <c r="E25" i="14"/>
  <c r="D25" i="14"/>
  <c r="C25" i="14"/>
  <c r="B25" i="14"/>
  <c r="J24" i="14"/>
  <c r="I24" i="14"/>
  <c r="H24" i="14"/>
  <c r="G24" i="14"/>
  <c r="F24" i="14"/>
  <c r="E24" i="14"/>
  <c r="D24" i="14"/>
  <c r="C24" i="14"/>
  <c r="B24" i="14"/>
  <c r="J23" i="14"/>
  <c r="I23" i="14"/>
  <c r="H23" i="14"/>
  <c r="G23" i="14"/>
  <c r="F23" i="14"/>
  <c r="E23" i="14"/>
  <c r="D23" i="14"/>
  <c r="C23" i="14"/>
  <c r="B23" i="14"/>
  <c r="J22" i="14"/>
  <c r="I22" i="14"/>
  <c r="H22" i="14"/>
  <c r="G22" i="14"/>
  <c r="F22" i="14"/>
  <c r="E22" i="14"/>
  <c r="D22" i="14"/>
  <c r="C22" i="14"/>
  <c r="B22" i="14"/>
  <c r="J21" i="14"/>
  <c r="I21" i="14"/>
  <c r="H21" i="14"/>
  <c r="G21" i="14"/>
  <c r="F21" i="14"/>
  <c r="E21" i="14"/>
  <c r="D21" i="14"/>
  <c r="C21" i="14"/>
  <c r="B21" i="14"/>
  <c r="L36" i="8" l="1"/>
  <c r="L35" i="8"/>
  <c r="B76" i="6"/>
  <c r="F76" i="6"/>
  <c r="J76" i="6"/>
  <c r="H76" i="5"/>
  <c r="E76" i="5"/>
  <c r="D76" i="6"/>
  <c r="H76" i="6"/>
  <c r="B76" i="5"/>
  <c r="F76" i="5"/>
  <c r="J76" i="5"/>
  <c r="E76" i="6"/>
  <c r="I76" i="6"/>
  <c r="C76" i="5"/>
  <c r="G76" i="5"/>
  <c r="D76" i="5"/>
  <c r="C76" i="6"/>
  <c r="G76" i="6"/>
  <c r="I76" i="5"/>
  <c r="D22" i="45"/>
  <c r="D23" i="45"/>
  <c r="B25" i="45"/>
  <c r="J25" i="45"/>
  <c r="I26" i="45"/>
  <c r="H27" i="45"/>
  <c r="G28" i="45"/>
  <c r="F29" i="45"/>
  <c r="E30" i="45"/>
  <c r="D31" i="45"/>
  <c r="C32" i="45"/>
  <c r="B33" i="45"/>
  <c r="J33" i="45"/>
  <c r="I34" i="45"/>
  <c r="F22" i="45"/>
  <c r="E23" i="45"/>
  <c r="C25" i="45"/>
  <c r="B26" i="45"/>
  <c r="J26" i="45"/>
  <c r="I27" i="45"/>
  <c r="H28" i="45"/>
  <c r="G29" i="45"/>
  <c r="F30" i="45"/>
  <c r="E31" i="45"/>
  <c r="D32" i="45"/>
  <c r="C33" i="45"/>
  <c r="B34" i="45"/>
  <c r="J34" i="45"/>
  <c r="B22" i="45"/>
  <c r="B23" i="45"/>
  <c r="J23" i="45"/>
  <c r="I24" i="45"/>
  <c r="H25" i="45"/>
  <c r="G26" i="45"/>
  <c r="F27" i="45"/>
  <c r="E28" i="45"/>
  <c r="D29" i="45"/>
  <c r="C30" i="45"/>
  <c r="B31" i="45"/>
  <c r="J31" i="45"/>
  <c r="I32" i="45"/>
  <c r="H33" i="45"/>
  <c r="G34" i="45"/>
  <c r="C22" i="45"/>
  <c r="C23" i="45"/>
  <c r="B24" i="45"/>
  <c r="J24" i="45"/>
  <c r="I25" i="45"/>
  <c r="H26" i="45"/>
  <c r="G27" i="45"/>
  <c r="F28" i="45"/>
  <c r="E29" i="45"/>
  <c r="D30" i="45"/>
  <c r="C31" i="45"/>
  <c r="B32" i="45"/>
  <c r="J32" i="45"/>
  <c r="I33" i="45"/>
  <c r="H34" i="45"/>
  <c r="E22" i="45"/>
  <c r="G22" i="45"/>
  <c r="F23" i="45"/>
  <c r="D25" i="45"/>
  <c r="C26" i="45"/>
  <c r="B27" i="45"/>
  <c r="J27" i="45"/>
  <c r="I28" i="45"/>
  <c r="H29" i="45"/>
  <c r="G30" i="45"/>
  <c r="F31" i="45"/>
  <c r="E32" i="45"/>
  <c r="D33" i="45"/>
  <c r="C34" i="45"/>
  <c r="H22" i="45"/>
  <c r="G23" i="45"/>
  <c r="E25" i="45"/>
  <c r="D26" i="45"/>
  <c r="C27" i="45"/>
  <c r="B28" i="45"/>
  <c r="J28" i="45"/>
  <c r="I29" i="45"/>
  <c r="H30" i="45"/>
  <c r="G31" i="45"/>
  <c r="F32" i="45"/>
  <c r="E33" i="45"/>
  <c r="D34" i="45"/>
  <c r="I22" i="45"/>
  <c r="H23" i="45"/>
  <c r="F25" i="45"/>
  <c r="E26" i="45"/>
  <c r="D27" i="45"/>
  <c r="C28" i="45"/>
  <c r="B29" i="45"/>
  <c r="J29" i="45"/>
  <c r="I30" i="45"/>
  <c r="H31" i="45"/>
  <c r="G32" i="45"/>
  <c r="F33" i="45"/>
  <c r="E34" i="45"/>
  <c r="J22" i="45"/>
  <c r="I23" i="45"/>
  <c r="G25" i="45"/>
  <c r="F26" i="45"/>
  <c r="E27" i="45"/>
  <c r="D28" i="45"/>
  <c r="C29" i="45"/>
  <c r="B30" i="45"/>
  <c r="J30" i="45"/>
  <c r="I31" i="45"/>
  <c r="H32" i="45"/>
  <c r="G33" i="45"/>
  <c r="F34" i="45"/>
  <c r="C24" i="45"/>
  <c r="D24" i="45"/>
  <c r="D21" i="45"/>
  <c r="E21" i="45"/>
  <c r="C21" i="45"/>
  <c r="G21" i="45"/>
  <c r="F21" i="45"/>
  <c r="H21" i="45"/>
  <c r="I21" i="45"/>
  <c r="B21" i="45"/>
  <c r="J21" i="45"/>
  <c r="E24" i="45"/>
  <c r="F24" i="45"/>
  <c r="G24" i="45"/>
  <c r="H24" i="45"/>
  <c r="T32" i="18"/>
  <c r="T21" i="18"/>
  <c r="U22" i="18"/>
  <c r="V23" i="18"/>
  <c r="U30" i="18"/>
  <c r="T24" i="18"/>
  <c r="T22" i="18"/>
  <c r="U23" i="18"/>
  <c r="V24" i="18"/>
  <c r="T30" i="18"/>
  <c r="U31" i="18"/>
  <c r="V32" i="18"/>
  <c r="T21" i="19"/>
  <c r="T23" i="19"/>
  <c r="T25" i="19"/>
  <c r="T27" i="19"/>
  <c r="T31" i="19"/>
  <c r="T35" i="19"/>
  <c r="U21" i="19"/>
  <c r="U23" i="19"/>
  <c r="U25" i="19"/>
  <c r="U27" i="19"/>
  <c r="U29" i="19"/>
  <c r="U31" i="19"/>
  <c r="U35" i="19"/>
  <c r="V21" i="18"/>
  <c r="T27" i="18"/>
  <c r="U28" i="18"/>
  <c r="V29" i="18"/>
  <c r="T35" i="18"/>
  <c r="U36" i="18"/>
  <c r="V21" i="19"/>
  <c r="V23" i="19"/>
  <c r="V25" i="19"/>
  <c r="V27" i="19"/>
  <c r="V29" i="19"/>
  <c r="V31" i="19"/>
  <c r="V33" i="19"/>
  <c r="V35" i="19"/>
  <c r="T22" i="19"/>
  <c r="T24" i="19"/>
  <c r="T28" i="19"/>
  <c r="T30" i="19"/>
  <c r="T32" i="19"/>
  <c r="T33" i="19"/>
  <c r="U33" i="18"/>
  <c r="T29" i="18"/>
  <c r="T29" i="19"/>
  <c r="T26" i="19"/>
  <c r="V26" i="18"/>
  <c r="U26" i="19"/>
  <c r="V26" i="19"/>
  <c r="V31" i="18"/>
  <c r="U21" i="18"/>
  <c r="V22" i="18"/>
  <c r="T28" i="18"/>
  <c r="U29" i="18"/>
  <c r="V30" i="18"/>
  <c r="T36" i="18"/>
  <c r="T26" i="18"/>
  <c r="U27" i="18"/>
  <c r="V28" i="18"/>
  <c r="T34" i="18"/>
  <c r="U35" i="18"/>
  <c r="V36" i="18"/>
  <c r="U26" i="18"/>
  <c r="V27" i="18"/>
  <c r="T33" i="18"/>
  <c r="U34" i="18"/>
  <c r="V35" i="18"/>
  <c r="V34" i="18"/>
  <c r="T23" i="18"/>
  <c r="U24" i="18"/>
  <c r="T31" i="18"/>
  <c r="U32" i="18"/>
  <c r="V33" i="18"/>
  <c r="T25" i="18"/>
  <c r="V25" i="18"/>
  <c r="U25" i="18"/>
  <c r="R18" i="10"/>
  <c r="R14" i="10"/>
  <c r="R17" i="10"/>
  <c r="R10" i="10"/>
  <c r="R13" i="10"/>
  <c r="R16" i="10"/>
  <c r="R8" i="10"/>
  <c r="R11" i="10"/>
  <c r="R12" i="10"/>
  <c r="R7" i="10"/>
  <c r="R19" i="10"/>
  <c r="R20" i="10"/>
  <c r="R9" i="10"/>
  <c r="R6" i="10"/>
  <c r="R15" i="10"/>
  <c r="M36" i="13"/>
  <c r="L36" i="13"/>
  <c r="K36" i="13"/>
  <c r="J36" i="13"/>
  <c r="I36" i="13"/>
  <c r="H36" i="13"/>
  <c r="G36" i="13"/>
  <c r="F36" i="13"/>
  <c r="E36" i="13"/>
  <c r="D36" i="13"/>
  <c r="C36" i="13"/>
  <c r="B36" i="13"/>
  <c r="M35" i="13"/>
  <c r="L35" i="13"/>
  <c r="K35" i="13"/>
  <c r="J35" i="13"/>
  <c r="I35" i="13"/>
  <c r="H35" i="13"/>
  <c r="G35" i="13"/>
  <c r="F35" i="13"/>
  <c r="E35" i="13"/>
  <c r="D35" i="13"/>
  <c r="C35" i="13"/>
  <c r="B35" i="13"/>
  <c r="M34" i="13"/>
  <c r="L34" i="13"/>
  <c r="K34" i="13"/>
  <c r="J34" i="13"/>
  <c r="I34" i="13"/>
  <c r="H34" i="13"/>
  <c r="G34" i="13"/>
  <c r="F34" i="13"/>
  <c r="E34" i="13"/>
  <c r="D34" i="13"/>
  <c r="C34" i="13"/>
  <c r="B34" i="13"/>
  <c r="M33" i="13"/>
  <c r="L33" i="13"/>
  <c r="K33" i="13"/>
  <c r="J33" i="13"/>
  <c r="I33" i="13"/>
  <c r="H33" i="13"/>
  <c r="G33" i="13"/>
  <c r="F33" i="13"/>
  <c r="E33" i="13"/>
  <c r="D33" i="13"/>
  <c r="C33" i="13"/>
  <c r="B33" i="13"/>
  <c r="M32" i="13"/>
  <c r="L32" i="13"/>
  <c r="K32" i="13"/>
  <c r="J32" i="13"/>
  <c r="I32" i="13"/>
  <c r="H32" i="13"/>
  <c r="G32" i="13"/>
  <c r="F32" i="13"/>
  <c r="E32" i="13"/>
  <c r="D32" i="13"/>
  <c r="C32" i="13"/>
  <c r="B32" i="13"/>
  <c r="M31" i="13"/>
  <c r="L31" i="13"/>
  <c r="K31" i="13"/>
  <c r="J31" i="13"/>
  <c r="I31" i="13"/>
  <c r="H31" i="13"/>
  <c r="G31" i="13"/>
  <c r="F31" i="13"/>
  <c r="E31" i="13"/>
  <c r="D31" i="13"/>
  <c r="C31" i="13"/>
  <c r="B31" i="13"/>
  <c r="M30" i="13"/>
  <c r="L30" i="13"/>
  <c r="K30" i="13"/>
  <c r="J30" i="13"/>
  <c r="I30" i="13"/>
  <c r="H30" i="13"/>
  <c r="G30" i="13"/>
  <c r="F30" i="13"/>
  <c r="E30" i="13"/>
  <c r="D30" i="13"/>
  <c r="C30" i="13"/>
  <c r="B30" i="13"/>
  <c r="M29" i="13"/>
  <c r="L29" i="13"/>
  <c r="K29" i="13"/>
  <c r="J29" i="13"/>
  <c r="I29" i="13"/>
  <c r="H29" i="13"/>
  <c r="G29" i="13"/>
  <c r="F29" i="13"/>
  <c r="E29" i="13"/>
  <c r="D29" i="13"/>
  <c r="C29" i="13"/>
  <c r="B29" i="13"/>
  <c r="M28" i="13"/>
  <c r="L28" i="13"/>
  <c r="K28" i="13"/>
  <c r="J28" i="13"/>
  <c r="I28" i="13"/>
  <c r="H28" i="13"/>
  <c r="G28" i="13"/>
  <c r="F28" i="13"/>
  <c r="E28" i="13"/>
  <c r="D28" i="13"/>
  <c r="C28" i="13"/>
  <c r="B28" i="13"/>
  <c r="M27" i="13"/>
  <c r="L27" i="13"/>
  <c r="K27" i="13"/>
  <c r="J27" i="13"/>
  <c r="I27" i="13"/>
  <c r="H27" i="13"/>
  <c r="G27" i="13"/>
  <c r="F27" i="13"/>
  <c r="E27" i="13"/>
  <c r="D27" i="13"/>
  <c r="C27" i="13"/>
  <c r="B27" i="13"/>
  <c r="M26" i="13"/>
  <c r="L26" i="13"/>
  <c r="K26" i="13"/>
  <c r="J26" i="13"/>
  <c r="I26" i="13"/>
  <c r="H26" i="13"/>
  <c r="G26" i="13"/>
  <c r="F26" i="13"/>
  <c r="E26" i="13"/>
  <c r="D26" i="13"/>
  <c r="C26" i="13"/>
  <c r="B26" i="13"/>
  <c r="M25" i="13"/>
  <c r="L25" i="13"/>
  <c r="K25" i="13"/>
  <c r="J25" i="13"/>
  <c r="I25" i="13"/>
  <c r="H25" i="13"/>
  <c r="G25" i="13"/>
  <c r="F25" i="13"/>
  <c r="E25" i="13"/>
  <c r="D25" i="13"/>
  <c r="C25" i="13"/>
  <c r="B25" i="13"/>
  <c r="M24" i="13"/>
  <c r="L24" i="13"/>
  <c r="K24" i="13"/>
  <c r="J24" i="13"/>
  <c r="I24" i="13"/>
  <c r="H24" i="13"/>
  <c r="G24" i="13"/>
  <c r="F24" i="13"/>
  <c r="E24" i="13"/>
  <c r="D24" i="13"/>
  <c r="C24" i="13"/>
  <c r="B24" i="13"/>
  <c r="M23" i="13"/>
  <c r="L23" i="13"/>
  <c r="K23" i="13"/>
  <c r="J23" i="13"/>
  <c r="I23" i="13"/>
  <c r="H23" i="13"/>
  <c r="G23" i="13"/>
  <c r="F23" i="13"/>
  <c r="E23" i="13"/>
  <c r="D23" i="13"/>
  <c r="C23" i="13"/>
  <c r="B23" i="13"/>
  <c r="M22" i="13"/>
  <c r="L22" i="13"/>
  <c r="K22" i="13"/>
  <c r="J22" i="13"/>
  <c r="I22" i="13"/>
  <c r="H22" i="13"/>
  <c r="G22" i="13"/>
  <c r="F22" i="13"/>
  <c r="E22" i="13"/>
  <c r="D22" i="13"/>
  <c r="C22" i="13"/>
  <c r="B22" i="13"/>
  <c r="M21" i="13"/>
  <c r="L21" i="13"/>
  <c r="K21" i="13"/>
  <c r="J21" i="13"/>
  <c r="I21" i="13"/>
  <c r="H21" i="13"/>
  <c r="G21" i="13"/>
  <c r="F21" i="13"/>
  <c r="E21" i="13"/>
  <c r="D21" i="13"/>
  <c r="C21" i="13"/>
  <c r="B21" i="13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B36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E35" i="11"/>
  <c r="D35" i="11"/>
  <c r="C35" i="11"/>
  <c r="B35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E34" i="11"/>
  <c r="D34" i="11"/>
  <c r="C34" i="11"/>
  <c r="B34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B33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E32" i="11"/>
  <c r="D32" i="11"/>
  <c r="C32" i="11"/>
  <c r="B32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E31" i="11"/>
  <c r="D31" i="11"/>
  <c r="C31" i="11"/>
  <c r="B31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B30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C29" i="11"/>
  <c r="B29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E28" i="11"/>
  <c r="D28" i="11"/>
  <c r="C28" i="11"/>
  <c r="B28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B27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E26" i="11"/>
  <c r="D26" i="11"/>
  <c r="C26" i="11"/>
  <c r="B26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E25" i="11"/>
  <c r="D25" i="11"/>
  <c r="C25" i="11"/>
  <c r="B25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B24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C23" i="11"/>
  <c r="B23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C22" i="11"/>
  <c r="B22" i="11"/>
  <c r="T21" i="11"/>
  <c r="V21" i="11"/>
  <c r="U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B21" i="11"/>
  <c r="K33" i="45" l="1"/>
  <c r="L33" i="45"/>
  <c r="K26" i="45"/>
  <c r="K28" i="45"/>
  <c r="M34" i="45"/>
  <c r="L27" i="45"/>
  <c r="M26" i="45"/>
  <c r="K34" i="45"/>
  <c r="M28" i="45"/>
  <c r="L32" i="45"/>
  <c r="K25" i="45"/>
  <c r="L25" i="45"/>
  <c r="M32" i="45"/>
  <c r="J37" i="45"/>
  <c r="K32" i="45"/>
  <c r="M25" i="45"/>
  <c r="M30" i="45"/>
  <c r="M22" i="45"/>
  <c r="K29" i="45"/>
  <c r="M31" i="45"/>
  <c r="M23" i="45"/>
  <c r="L28" i="45"/>
  <c r="M24" i="45"/>
  <c r="L29" i="45"/>
  <c r="H37" i="45"/>
  <c r="B37" i="45"/>
  <c r="K30" i="45"/>
  <c r="I37" i="45"/>
  <c r="L31" i="45"/>
  <c r="L23" i="45"/>
  <c r="L22" i="45"/>
  <c r="L30" i="45"/>
  <c r="K23" i="45"/>
  <c r="K31" i="45"/>
  <c r="M27" i="45"/>
  <c r="M29" i="45"/>
  <c r="K22" i="45"/>
  <c r="D37" i="45"/>
  <c r="C37" i="45"/>
  <c r="L34" i="45"/>
  <c r="K27" i="45"/>
  <c r="M33" i="45"/>
  <c r="L26" i="45"/>
  <c r="L21" i="45"/>
  <c r="M21" i="45"/>
  <c r="G37" i="45"/>
  <c r="F37" i="45"/>
  <c r="K21" i="45"/>
  <c r="K24" i="45"/>
  <c r="E37" i="45"/>
  <c r="L24" i="45"/>
  <c r="P37" i="19"/>
  <c r="N37" i="19"/>
  <c r="M37" i="19"/>
  <c r="K37" i="19"/>
  <c r="O37" i="19"/>
  <c r="L37" i="19"/>
  <c r="O34" i="45" l="1"/>
  <c r="O33" i="45"/>
  <c r="O26" i="45"/>
  <c r="O28" i="45"/>
  <c r="O32" i="45"/>
  <c r="O25" i="45"/>
  <c r="O21" i="45"/>
  <c r="O23" i="45"/>
  <c r="O31" i="45"/>
  <c r="O30" i="45"/>
  <c r="O27" i="45"/>
  <c r="O29" i="45"/>
  <c r="M37" i="45"/>
  <c r="O22" i="45"/>
  <c r="L37" i="45"/>
  <c r="O24" i="45"/>
  <c r="K37" i="45"/>
  <c r="M37" i="18"/>
  <c r="L37" i="18"/>
  <c r="P37" i="18"/>
  <c r="K37" i="18"/>
  <c r="N37" i="18"/>
  <c r="O37" i="18"/>
  <c r="O37" i="45" l="1"/>
  <c r="W6" i="11"/>
  <c r="Y6" i="11" l="1"/>
  <c r="X6" i="11"/>
  <c r="V37" i="11"/>
  <c r="U37" i="11"/>
  <c r="T37" i="11"/>
  <c r="R37" i="11"/>
  <c r="S37" i="11"/>
  <c r="O37" i="11"/>
  <c r="N37" i="11"/>
  <c r="P37" i="11"/>
  <c r="Q37" i="11"/>
  <c r="K37" i="13" l="1"/>
  <c r="L37" i="11"/>
  <c r="K37" i="11"/>
  <c r="M37" i="11"/>
  <c r="L37" i="13"/>
  <c r="M37" i="13"/>
  <c r="K37" i="10" l="1"/>
  <c r="L37" i="10"/>
  <c r="M37" i="10"/>
  <c r="N37" i="24" l="1"/>
  <c r="O5" i="24"/>
  <c r="N37" i="23"/>
  <c r="O5" i="23"/>
  <c r="N37" i="22"/>
  <c r="O5" i="22"/>
  <c r="N37" i="21"/>
  <c r="O5" i="21"/>
  <c r="N37" i="20"/>
  <c r="O5" i="20"/>
  <c r="W37" i="19"/>
  <c r="X5" i="19"/>
  <c r="W37" i="18"/>
  <c r="X5" i="18"/>
  <c r="N37" i="16"/>
  <c r="O5" i="16"/>
  <c r="N37" i="15"/>
  <c r="O5" i="15"/>
  <c r="N37" i="14"/>
  <c r="O5" i="14"/>
  <c r="T37" i="13"/>
  <c r="U5" i="13"/>
  <c r="N37" i="12"/>
  <c r="O5" i="12"/>
  <c r="Z37" i="11"/>
  <c r="AA5" i="11"/>
  <c r="Q37" i="10"/>
  <c r="R5" i="10"/>
  <c r="N37" i="8"/>
  <c r="N37" i="6"/>
  <c r="O5" i="6"/>
  <c r="N37" i="5"/>
  <c r="O5" i="5"/>
  <c r="J30" i="44" l="1"/>
  <c r="I30" i="44"/>
  <c r="H30" i="44"/>
  <c r="G30" i="44"/>
  <c r="F30" i="44"/>
  <c r="E30" i="44"/>
  <c r="D30" i="44"/>
  <c r="C30" i="44"/>
  <c r="B30" i="44"/>
  <c r="J30" i="43"/>
  <c r="I30" i="43"/>
  <c r="H30" i="43"/>
  <c r="G30" i="43"/>
  <c r="F30" i="43"/>
  <c r="E30" i="43"/>
  <c r="D30" i="43"/>
  <c r="C30" i="43"/>
  <c r="B30" i="43"/>
  <c r="J30" i="42"/>
  <c r="I30" i="42"/>
  <c r="H30" i="42"/>
  <c r="G30" i="42"/>
  <c r="F30" i="42"/>
  <c r="E30" i="42"/>
  <c r="D30" i="42"/>
  <c r="C30" i="42"/>
  <c r="B30" i="42"/>
  <c r="J30" i="41"/>
  <c r="I30" i="41"/>
  <c r="H30" i="41"/>
  <c r="G30" i="41"/>
  <c r="F30" i="41"/>
  <c r="E30" i="41"/>
  <c r="D30" i="41"/>
  <c r="C30" i="41"/>
  <c r="B30" i="41"/>
  <c r="J30" i="40"/>
  <c r="I30" i="40"/>
  <c r="H30" i="40"/>
  <c r="G30" i="40"/>
  <c r="F30" i="40"/>
  <c r="E30" i="40"/>
  <c r="D30" i="40"/>
  <c r="C30" i="40"/>
  <c r="B30" i="40"/>
  <c r="J30" i="39"/>
  <c r="I30" i="39"/>
  <c r="H30" i="39"/>
  <c r="G30" i="39"/>
  <c r="F30" i="39"/>
  <c r="E30" i="39"/>
  <c r="D30" i="39"/>
  <c r="C30" i="39"/>
  <c r="B30" i="39"/>
  <c r="J30" i="38"/>
  <c r="I30" i="38"/>
  <c r="H30" i="38"/>
  <c r="G30" i="38"/>
  <c r="F30" i="38"/>
  <c r="E30" i="38"/>
  <c r="D30" i="38"/>
  <c r="C30" i="38"/>
  <c r="B30" i="38"/>
  <c r="J30" i="37"/>
  <c r="I30" i="37"/>
  <c r="H30" i="37"/>
  <c r="G30" i="37"/>
  <c r="F30" i="37"/>
  <c r="E30" i="37"/>
  <c r="D30" i="37"/>
  <c r="C30" i="37"/>
  <c r="B30" i="37"/>
  <c r="J30" i="36"/>
  <c r="I30" i="36"/>
  <c r="H30" i="36"/>
  <c r="G30" i="36"/>
  <c r="F30" i="36"/>
  <c r="E30" i="36"/>
  <c r="D30" i="36"/>
  <c r="C30" i="36"/>
  <c r="B30" i="36"/>
  <c r="J30" i="35"/>
  <c r="I30" i="35"/>
  <c r="H30" i="35"/>
  <c r="G30" i="35"/>
  <c r="F30" i="35"/>
  <c r="E30" i="35"/>
  <c r="D30" i="35"/>
  <c r="C30" i="35"/>
  <c r="B30" i="35"/>
  <c r="J30" i="34"/>
  <c r="I30" i="34"/>
  <c r="H30" i="34"/>
  <c r="G30" i="34"/>
  <c r="F30" i="34"/>
  <c r="E30" i="34"/>
  <c r="D30" i="34"/>
  <c r="C30" i="34"/>
  <c r="B30" i="34"/>
  <c r="J30" i="33"/>
  <c r="I30" i="33"/>
  <c r="H30" i="33"/>
  <c r="G30" i="33"/>
  <c r="F30" i="33"/>
  <c r="E30" i="33"/>
  <c r="D30" i="33"/>
  <c r="C30" i="33"/>
  <c r="B30" i="33"/>
  <c r="J30" i="32"/>
  <c r="I30" i="32"/>
  <c r="H30" i="32"/>
  <c r="G30" i="32"/>
  <c r="F30" i="32"/>
  <c r="E30" i="32"/>
  <c r="D30" i="32"/>
  <c r="C30" i="32"/>
  <c r="B30" i="32"/>
  <c r="J30" i="31"/>
  <c r="I30" i="31"/>
  <c r="H30" i="31"/>
  <c r="G30" i="31"/>
  <c r="F30" i="31"/>
  <c r="E30" i="31"/>
  <c r="D30" i="31"/>
  <c r="C30" i="31"/>
  <c r="B30" i="31"/>
  <c r="J30" i="29"/>
  <c r="I30" i="29"/>
  <c r="H30" i="29"/>
  <c r="G30" i="29"/>
  <c r="F30" i="29"/>
  <c r="E30" i="29"/>
  <c r="D30" i="29"/>
  <c r="C30" i="29"/>
  <c r="B30" i="29"/>
  <c r="J30" i="27"/>
  <c r="I30" i="27"/>
  <c r="H30" i="27"/>
  <c r="G30" i="27"/>
  <c r="F30" i="27"/>
  <c r="E30" i="27"/>
  <c r="D30" i="27"/>
  <c r="C30" i="27"/>
  <c r="B30" i="27"/>
  <c r="J30" i="26"/>
  <c r="I30" i="26"/>
  <c r="H30" i="26"/>
  <c r="G30" i="26"/>
  <c r="F30" i="26"/>
  <c r="E30" i="26"/>
  <c r="D30" i="26"/>
  <c r="C30" i="26"/>
  <c r="B30" i="26"/>
  <c r="J31" i="24"/>
  <c r="I31" i="24"/>
  <c r="H31" i="24"/>
  <c r="G31" i="24"/>
  <c r="F31" i="24"/>
  <c r="E31" i="24"/>
  <c r="D31" i="24"/>
  <c r="C31" i="24"/>
  <c r="B31" i="24"/>
  <c r="J31" i="23"/>
  <c r="I31" i="23"/>
  <c r="H31" i="23"/>
  <c r="G31" i="23"/>
  <c r="F31" i="23"/>
  <c r="E31" i="23"/>
  <c r="D31" i="23"/>
  <c r="C31" i="23"/>
  <c r="B31" i="23"/>
  <c r="J31" i="22"/>
  <c r="I31" i="22"/>
  <c r="H31" i="22"/>
  <c r="G31" i="22"/>
  <c r="F31" i="22"/>
  <c r="E31" i="22"/>
  <c r="D31" i="22"/>
  <c r="C31" i="22"/>
  <c r="B31" i="22"/>
  <c r="J31" i="21"/>
  <c r="I31" i="21"/>
  <c r="H31" i="21"/>
  <c r="G31" i="21"/>
  <c r="F31" i="21"/>
  <c r="E31" i="21"/>
  <c r="D31" i="21"/>
  <c r="C31" i="21"/>
  <c r="B31" i="21"/>
  <c r="J31" i="20"/>
  <c r="I31" i="20"/>
  <c r="H31" i="20"/>
  <c r="G31" i="20"/>
  <c r="F31" i="20"/>
  <c r="E31" i="20"/>
  <c r="D31" i="20"/>
  <c r="C31" i="20"/>
  <c r="B31" i="20"/>
  <c r="J29" i="44"/>
  <c r="I29" i="44"/>
  <c r="H29" i="44"/>
  <c r="G29" i="44"/>
  <c r="F29" i="44"/>
  <c r="E29" i="44"/>
  <c r="D29" i="44"/>
  <c r="C29" i="44"/>
  <c r="B29" i="44"/>
  <c r="J29" i="43"/>
  <c r="I29" i="43"/>
  <c r="H29" i="43"/>
  <c r="G29" i="43"/>
  <c r="F29" i="43"/>
  <c r="E29" i="43"/>
  <c r="D29" i="43"/>
  <c r="C29" i="43"/>
  <c r="B29" i="43"/>
  <c r="J29" i="42"/>
  <c r="I29" i="42"/>
  <c r="H29" i="42"/>
  <c r="G29" i="42"/>
  <c r="F29" i="42"/>
  <c r="E29" i="42"/>
  <c r="D29" i="42"/>
  <c r="C29" i="42"/>
  <c r="B29" i="42"/>
  <c r="J29" i="41"/>
  <c r="I29" i="41"/>
  <c r="H29" i="41"/>
  <c r="G29" i="41"/>
  <c r="F29" i="41"/>
  <c r="E29" i="41"/>
  <c r="D29" i="41"/>
  <c r="C29" i="41"/>
  <c r="B29" i="41"/>
  <c r="J29" i="40"/>
  <c r="I29" i="40"/>
  <c r="H29" i="40"/>
  <c r="G29" i="40"/>
  <c r="F29" i="40"/>
  <c r="E29" i="40"/>
  <c r="D29" i="40"/>
  <c r="C29" i="40"/>
  <c r="B29" i="40"/>
  <c r="J29" i="39"/>
  <c r="I29" i="39"/>
  <c r="H29" i="39"/>
  <c r="G29" i="39"/>
  <c r="F29" i="39"/>
  <c r="E29" i="39"/>
  <c r="D29" i="39"/>
  <c r="C29" i="39"/>
  <c r="B29" i="39"/>
  <c r="J29" i="38"/>
  <c r="I29" i="38"/>
  <c r="H29" i="38"/>
  <c r="G29" i="38"/>
  <c r="F29" i="38"/>
  <c r="E29" i="38"/>
  <c r="D29" i="38"/>
  <c r="C29" i="38"/>
  <c r="B29" i="38"/>
  <c r="J29" i="37"/>
  <c r="I29" i="37"/>
  <c r="H29" i="37"/>
  <c r="G29" i="37"/>
  <c r="F29" i="37"/>
  <c r="E29" i="37"/>
  <c r="D29" i="37"/>
  <c r="C29" i="37"/>
  <c r="B29" i="37"/>
  <c r="J29" i="36"/>
  <c r="I29" i="36"/>
  <c r="H29" i="36"/>
  <c r="G29" i="36"/>
  <c r="F29" i="36"/>
  <c r="E29" i="36"/>
  <c r="D29" i="36"/>
  <c r="C29" i="36"/>
  <c r="B29" i="36"/>
  <c r="J29" i="35"/>
  <c r="I29" i="35"/>
  <c r="H29" i="35"/>
  <c r="G29" i="35"/>
  <c r="F29" i="35"/>
  <c r="E29" i="35"/>
  <c r="D29" i="35"/>
  <c r="C29" i="35"/>
  <c r="B29" i="35"/>
  <c r="J29" i="34"/>
  <c r="I29" i="34"/>
  <c r="H29" i="34"/>
  <c r="G29" i="34"/>
  <c r="F29" i="34"/>
  <c r="E29" i="34"/>
  <c r="D29" i="34"/>
  <c r="C29" i="34"/>
  <c r="B29" i="34"/>
  <c r="J29" i="33"/>
  <c r="I29" i="33"/>
  <c r="H29" i="33"/>
  <c r="G29" i="33"/>
  <c r="F29" i="33"/>
  <c r="E29" i="33"/>
  <c r="D29" i="33"/>
  <c r="C29" i="33"/>
  <c r="B29" i="33"/>
  <c r="J29" i="32"/>
  <c r="I29" i="32"/>
  <c r="H29" i="32"/>
  <c r="G29" i="32"/>
  <c r="F29" i="32"/>
  <c r="E29" i="32"/>
  <c r="D29" i="32"/>
  <c r="C29" i="32"/>
  <c r="B29" i="32"/>
  <c r="J29" i="31"/>
  <c r="I29" i="31"/>
  <c r="H29" i="31"/>
  <c r="G29" i="31"/>
  <c r="F29" i="31"/>
  <c r="E29" i="31"/>
  <c r="D29" i="31"/>
  <c r="C29" i="31"/>
  <c r="B29" i="31"/>
  <c r="J29" i="29"/>
  <c r="I29" i="29"/>
  <c r="H29" i="29"/>
  <c r="G29" i="29"/>
  <c r="F29" i="29"/>
  <c r="E29" i="29"/>
  <c r="D29" i="29"/>
  <c r="C29" i="29"/>
  <c r="B29" i="29"/>
  <c r="J29" i="27"/>
  <c r="I29" i="27"/>
  <c r="H29" i="27"/>
  <c r="G29" i="27"/>
  <c r="F29" i="27"/>
  <c r="E29" i="27"/>
  <c r="D29" i="27"/>
  <c r="C29" i="27"/>
  <c r="B29" i="27"/>
  <c r="J29" i="26"/>
  <c r="I29" i="26"/>
  <c r="H29" i="26"/>
  <c r="G29" i="26"/>
  <c r="F29" i="26"/>
  <c r="E29" i="26"/>
  <c r="D29" i="26"/>
  <c r="C29" i="26"/>
  <c r="B29" i="26"/>
  <c r="J30" i="24"/>
  <c r="I30" i="24"/>
  <c r="H30" i="24"/>
  <c r="G30" i="24"/>
  <c r="F30" i="24"/>
  <c r="E30" i="24"/>
  <c r="D30" i="24"/>
  <c r="C30" i="24"/>
  <c r="B30" i="24"/>
  <c r="J30" i="23"/>
  <c r="I30" i="23"/>
  <c r="H30" i="23"/>
  <c r="G30" i="23"/>
  <c r="F30" i="23"/>
  <c r="E30" i="23"/>
  <c r="D30" i="23"/>
  <c r="C30" i="23"/>
  <c r="B30" i="23"/>
  <c r="J30" i="22"/>
  <c r="I30" i="22"/>
  <c r="H30" i="22"/>
  <c r="G30" i="22"/>
  <c r="F30" i="22"/>
  <c r="E30" i="22"/>
  <c r="D30" i="22"/>
  <c r="C30" i="22"/>
  <c r="B30" i="22"/>
  <c r="J30" i="21"/>
  <c r="I30" i="21"/>
  <c r="H30" i="21"/>
  <c r="G30" i="21"/>
  <c r="F30" i="21"/>
  <c r="E30" i="21"/>
  <c r="D30" i="21"/>
  <c r="C30" i="21"/>
  <c r="B30" i="21"/>
  <c r="J30" i="20"/>
  <c r="I30" i="20"/>
  <c r="H30" i="20"/>
  <c r="G30" i="20"/>
  <c r="F30" i="20"/>
  <c r="E30" i="20"/>
  <c r="D30" i="20"/>
  <c r="C30" i="20"/>
  <c r="B30" i="20"/>
  <c r="J28" i="44"/>
  <c r="I28" i="44"/>
  <c r="H28" i="44"/>
  <c r="G28" i="44"/>
  <c r="F28" i="44"/>
  <c r="E28" i="44"/>
  <c r="D28" i="44"/>
  <c r="C28" i="44"/>
  <c r="B28" i="44"/>
  <c r="J28" i="43"/>
  <c r="I28" i="43"/>
  <c r="H28" i="43"/>
  <c r="G28" i="43"/>
  <c r="F28" i="43"/>
  <c r="E28" i="43"/>
  <c r="D28" i="43"/>
  <c r="C28" i="43"/>
  <c r="B28" i="43"/>
  <c r="J28" i="42"/>
  <c r="I28" i="42"/>
  <c r="H28" i="42"/>
  <c r="G28" i="42"/>
  <c r="F28" i="42"/>
  <c r="E28" i="42"/>
  <c r="D28" i="42"/>
  <c r="C28" i="42"/>
  <c r="B28" i="42"/>
  <c r="J28" i="41"/>
  <c r="I28" i="41"/>
  <c r="H28" i="41"/>
  <c r="G28" i="41"/>
  <c r="F28" i="41"/>
  <c r="E28" i="41"/>
  <c r="D28" i="41"/>
  <c r="C28" i="41"/>
  <c r="B28" i="41"/>
  <c r="J28" i="40"/>
  <c r="I28" i="40"/>
  <c r="H28" i="40"/>
  <c r="G28" i="40"/>
  <c r="F28" i="40"/>
  <c r="E28" i="40"/>
  <c r="D28" i="40"/>
  <c r="C28" i="40"/>
  <c r="B28" i="40"/>
  <c r="J28" i="39"/>
  <c r="I28" i="39"/>
  <c r="H28" i="39"/>
  <c r="G28" i="39"/>
  <c r="F28" i="39"/>
  <c r="E28" i="39"/>
  <c r="D28" i="39"/>
  <c r="C28" i="39"/>
  <c r="B28" i="39"/>
  <c r="J28" i="38"/>
  <c r="I28" i="38"/>
  <c r="H28" i="38"/>
  <c r="G28" i="38"/>
  <c r="F28" i="38"/>
  <c r="E28" i="38"/>
  <c r="D28" i="38"/>
  <c r="C28" i="38"/>
  <c r="B28" i="38"/>
  <c r="J28" i="37"/>
  <c r="I28" i="37"/>
  <c r="H28" i="37"/>
  <c r="G28" i="37"/>
  <c r="F28" i="37"/>
  <c r="E28" i="37"/>
  <c r="D28" i="37"/>
  <c r="C28" i="37"/>
  <c r="B28" i="37"/>
  <c r="J28" i="36"/>
  <c r="I28" i="36"/>
  <c r="H28" i="36"/>
  <c r="G28" i="36"/>
  <c r="F28" i="36"/>
  <c r="E28" i="36"/>
  <c r="D28" i="36"/>
  <c r="C28" i="36"/>
  <c r="B28" i="36"/>
  <c r="J28" i="35"/>
  <c r="I28" i="35"/>
  <c r="H28" i="35"/>
  <c r="G28" i="35"/>
  <c r="F28" i="35"/>
  <c r="E28" i="35"/>
  <c r="D28" i="35"/>
  <c r="C28" i="35"/>
  <c r="B28" i="35"/>
  <c r="J28" i="34"/>
  <c r="I28" i="34"/>
  <c r="H28" i="34"/>
  <c r="G28" i="34"/>
  <c r="F28" i="34"/>
  <c r="E28" i="34"/>
  <c r="D28" i="34"/>
  <c r="C28" i="34"/>
  <c r="B28" i="34"/>
  <c r="J28" i="33"/>
  <c r="I28" i="33"/>
  <c r="H28" i="33"/>
  <c r="G28" i="33"/>
  <c r="F28" i="33"/>
  <c r="E28" i="33"/>
  <c r="D28" i="33"/>
  <c r="C28" i="33"/>
  <c r="B28" i="33"/>
  <c r="J28" i="32"/>
  <c r="I28" i="32"/>
  <c r="H28" i="32"/>
  <c r="G28" i="32"/>
  <c r="F28" i="32"/>
  <c r="E28" i="32"/>
  <c r="D28" i="32"/>
  <c r="C28" i="32"/>
  <c r="B28" i="32"/>
  <c r="J28" i="31"/>
  <c r="I28" i="31"/>
  <c r="H28" i="31"/>
  <c r="G28" i="31"/>
  <c r="F28" i="31"/>
  <c r="E28" i="31"/>
  <c r="D28" i="31"/>
  <c r="C28" i="31"/>
  <c r="B28" i="31"/>
  <c r="J28" i="29"/>
  <c r="I28" i="29"/>
  <c r="H28" i="29"/>
  <c r="G28" i="29"/>
  <c r="F28" i="29"/>
  <c r="E28" i="29"/>
  <c r="D28" i="29"/>
  <c r="C28" i="29"/>
  <c r="B28" i="29"/>
  <c r="J28" i="27"/>
  <c r="I28" i="27"/>
  <c r="H28" i="27"/>
  <c r="G28" i="27"/>
  <c r="F28" i="27"/>
  <c r="E28" i="27"/>
  <c r="D28" i="27"/>
  <c r="C28" i="27"/>
  <c r="B28" i="27"/>
  <c r="J28" i="26"/>
  <c r="I28" i="26"/>
  <c r="H28" i="26"/>
  <c r="G28" i="26"/>
  <c r="F28" i="26"/>
  <c r="E28" i="26"/>
  <c r="D28" i="26"/>
  <c r="C28" i="26"/>
  <c r="B28" i="26"/>
  <c r="J29" i="24"/>
  <c r="I29" i="24"/>
  <c r="H29" i="24"/>
  <c r="G29" i="24"/>
  <c r="F29" i="24"/>
  <c r="E29" i="24"/>
  <c r="D29" i="24"/>
  <c r="C29" i="24"/>
  <c r="B29" i="24"/>
  <c r="J29" i="23"/>
  <c r="I29" i="23"/>
  <c r="H29" i="23"/>
  <c r="G29" i="23"/>
  <c r="F29" i="23"/>
  <c r="E29" i="23"/>
  <c r="D29" i="23"/>
  <c r="C29" i="23"/>
  <c r="B29" i="23"/>
  <c r="J29" i="22"/>
  <c r="I29" i="22"/>
  <c r="H29" i="22"/>
  <c r="G29" i="22"/>
  <c r="F29" i="22"/>
  <c r="E29" i="22"/>
  <c r="D29" i="22"/>
  <c r="C29" i="22"/>
  <c r="B29" i="22"/>
  <c r="J29" i="21"/>
  <c r="I29" i="21"/>
  <c r="H29" i="21"/>
  <c r="G29" i="21"/>
  <c r="F29" i="21"/>
  <c r="E29" i="21"/>
  <c r="D29" i="21"/>
  <c r="C29" i="21"/>
  <c r="B29" i="21"/>
  <c r="J29" i="20"/>
  <c r="I29" i="20"/>
  <c r="H29" i="20"/>
  <c r="G29" i="20"/>
  <c r="F29" i="20"/>
  <c r="E29" i="20"/>
  <c r="D29" i="20"/>
  <c r="C29" i="20"/>
  <c r="B29" i="20"/>
  <c r="J27" i="44"/>
  <c r="I27" i="44"/>
  <c r="H27" i="44"/>
  <c r="G27" i="44"/>
  <c r="F27" i="44"/>
  <c r="E27" i="44"/>
  <c r="D27" i="44"/>
  <c r="C27" i="44"/>
  <c r="B27" i="44"/>
  <c r="J27" i="43"/>
  <c r="I27" i="43"/>
  <c r="H27" i="43"/>
  <c r="G27" i="43"/>
  <c r="F27" i="43"/>
  <c r="E27" i="43"/>
  <c r="D27" i="43"/>
  <c r="C27" i="43"/>
  <c r="B27" i="43"/>
  <c r="J27" i="42"/>
  <c r="I27" i="42"/>
  <c r="H27" i="42"/>
  <c r="G27" i="42"/>
  <c r="F27" i="42"/>
  <c r="E27" i="42"/>
  <c r="D27" i="42"/>
  <c r="C27" i="42"/>
  <c r="B27" i="42"/>
  <c r="J27" i="41"/>
  <c r="I27" i="41"/>
  <c r="H27" i="41"/>
  <c r="G27" i="41"/>
  <c r="F27" i="41"/>
  <c r="E27" i="41"/>
  <c r="D27" i="41"/>
  <c r="C27" i="41"/>
  <c r="B27" i="41"/>
  <c r="J27" i="40"/>
  <c r="I27" i="40"/>
  <c r="H27" i="40"/>
  <c r="G27" i="40"/>
  <c r="F27" i="40"/>
  <c r="E27" i="40"/>
  <c r="D27" i="40"/>
  <c r="C27" i="40"/>
  <c r="B27" i="40"/>
  <c r="J27" i="39"/>
  <c r="I27" i="39"/>
  <c r="H27" i="39"/>
  <c r="G27" i="39"/>
  <c r="F27" i="39"/>
  <c r="E27" i="39"/>
  <c r="D27" i="39"/>
  <c r="C27" i="39"/>
  <c r="B27" i="39"/>
  <c r="J27" i="38"/>
  <c r="I27" i="38"/>
  <c r="H27" i="38"/>
  <c r="G27" i="38"/>
  <c r="F27" i="38"/>
  <c r="E27" i="38"/>
  <c r="D27" i="38"/>
  <c r="C27" i="38"/>
  <c r="B27" i="38"/>
  <c r="J27" i="37"/>
  <c r="I27" i="37"/>
  <c r="H27" i="37"/>
  <c r="G27" i="37"/>
  <c r="F27" i="37"/>
  <c r="E27" i="37"/>
  <c r="D27" i="37"/>
  <c r="C27" i="37"/>
  <c r="B27" i="37"/>
  <c r="J27" i="36"/>
  <c r="I27" i="36"/>
  <c r="H27" i="36"/>
  <c r="G27" i="36"/>
  <c r="F27" i="36"/>
  <c r="E27" i="36"/>
  <c r="D27" i="36"/>
  <c r="C27" i="36"/>
  <c r="B27" i="36"/>
  <c r="J27" i="35"/>
  <c r="I27" i="35"/>
  <c r="H27" i="35"/>
  <c r="G27" i="35"/>
  <c r="F27" i="35"/>
  <c r="E27" i="35"/>
  <c r="D27" i="35"/>
  <c r="C27" i="35"/>
  <c r="B27" i="35"/>
  <c r="J27" i="34"/>
  <c r="I27" i="34"/>
  <c r="H27" i="34"/>
  <c r="G27" i="34"/>
  <c r="F27" i="34"/>
  <c r="E27" i="34"/>
  <c r="D27" i="34"/>
  <c r="C27" i="34"/>
  <c r="B27" i="34"/>
  <c r="J27" i="33"/>
  <c r="I27" i="33"/>
  <c r="H27" i="33"/>
  <c r="G27" i="33"/>
  <c r="F27" i="33"/>
  <c r="E27" i="33"/>
  <c r="D27" i="33"/>
  <c r="C27" i="33"/>
  <c r="B27" i="33"/>
  <c r="J27" i="32"/>
  <c r="I27" i="32"/>
  <c r="H27" i="32"/>
  <c r="G27" i="32"/>
  <c r="F27" i="32"/>
  <c r="E27" i="32"/>
  <c r="D27" i="32"/>
  <c r="C27" i="32"/>
  <c r="B27" i="32"/>
  <c r="J27" i="31"/>
  <c r="I27" i="31"/>
  <c r="H27" i="31"/>
  <c r="G27" i="31"/>
  <c r="F27" i="31"/>
  <c r="E27" i="31"/>
  <c r="D27" i="31"/>
  <c r="C27" i="31"/>
  <c r="B27" i="31"/>
  <c r="J27" i="29"/>
  <c r="I27" i="29"/>
  <c r="H27" i="29"/>
  <c r="G27" i="29"/>
  <c r="F27" i="29"/>
  <c r="E27" i="29"/>
  <c r="D27" i="29"/>
  <c r="C27" i="29"/>
  <c r="B27" i="29"/>
  <c r="J27" i="27"/>
  <c r="I27" i="27"/>
  <c r="H27" i="27"/>
  <c r="G27" i="27"/>
  <c r="F27" i="27"/>
  <c r="E27" i="27"/>
  <c r="D27" i="27"/>
  <c r="C27" i="27"/>
  <c r="B27" i="27"/>
  <c r="J27" i="26"/>
  <c r="I27" i="26"/>
  <c r="H27" i="26"/>
  <c r="G27" i="26"/>
  <c r="F27" i="26"/>
  <c r="E27" i="26"/>
  <c r="D27" i="26"/>
  <c r="C27" i="26"/>
  <c r="B27" i="26"/>
  <c r="J28" i="24"/>
  <c r="I28" i="24"/>
  <c r="H28" i="24"/>
  <c r="G28" i="24"/>
  <c r="F28" i="24"/>
  <c r="E28" i="24"/>
  <c r="D28" i="24"/>
  <c r="C28" i="24"/>
  <c r="B28" i="24"/>
  <c r="J28" i="23"/>
  <c r="I28" i="23"/>
  <c r="H28" i="23"/>
  <c r="G28" i="23"/>
  <c r="F28" i="23"/>
  <c r="E28" i="23"/>
  <c r="D28" i="23"/>
  <c r="C28" i="23"/>
  <c r="B28" i="23"/>
  <c r="J28" i="22"/>
  <c r="I28" i="22"/>
  <c r="H28" i="22"/>
  <c r="G28" i="22"/>
  <c r="F28" i="22"/>
  <c r="E28" i="22"/>
  <c r="D28" i="22"/>
  <c r="C28" i="22"/>
  <c r="B28" i="22"/>
  <c r="J28" i="21"/>
  <c r="I28" i="21"/>
  <c r="H28" i="21"/>
  <c r="G28" i="21"/>
  <c r="F28" i="21"/>
  <c r="E28" i="21"/>
  <c r="D28" i="21"/>
  <c r="C28" i="21"/>
  <c r="B28" i="21"/>
  <c r="J28" i="20"/>
  <c r="I28" i="20"/>
  <c r="H28" i="20"/>
  <c r="G28" i="20"/>
  <c r="F28" i="20"/>
  <c r="E28" i="20"/>
  <c r="D28" i="20"/>
  <c r="C28" i="20"/>
  <c r="B28" i="20"/>
  <c r="J26" i="44"/>
  <c r="I26" i="44"/>
  <c r="H26" i="44"/>
  <c r="G26" i="44"/>
  <c r="F26" i="44"/>
  <c r="E26" i="44"/>
  <c r="D26" i="44"/>
  <c r="C26" i="44"/>
  <c r="B26" i="44"/>
  <c r="J26" i="43"/>
  <c r="I26" i="43"/>
  <c r="H26" i="43"/>
  <c r="G26" i="43"/>
  <c r="F26" i="43"/>
  <c r="E26" i="43"/>
  <c r="D26" i="43"/>
  <c r="C26" i="43"/>
  <c r="B26" i="43"/>
  <c r="J26" i="42"/>
  <c r="I26" i="42"/>
  <c r="H26" i="42"/>
  <c r="G26" i="42"/>
  <c r="F26" i="42"/>
  <c r="E26" i="42"/>
  <c r="D26" i="42"/>
  <c r="C26" i="42"/>
  <c r="B26" i="42"/>
  <c r="J26" i="41"/>
  <c r="I26" i="41"/>
  <c r="H26" i="41"/>
  <c r="G26" i="41"/>
  <c r="F26" i="41"/>
  <c r="E26" i="41"/>
  <c r="D26" i="41"/>
  <c r="C26" i="41"/>
  <c r="B26" i="41"/>
  <c r="J26" i="40"/>
  <c r="I26" i="40"/>
  <c r="H26" i="40"/>
  <c r="G26" i="40"/>
  <c r="F26" i="40"/>
  <c r="E26" i="40"/>
  <c r="D26" i="40"/>
  <c r="C26" i="40"/>
  <c r="B26" i="40"/>
  <c r="J26" i="39"/>
  <c r="I26" i="39"/>
  <c r="H26" i="39"/>
  <c r="G26" i="39"/>
  <c r="F26" i="39"/>
  <c r="E26" i="39"/>
  <c r="D26" i="39"/>
  <c r="C26" i="39"/>
  <c r="B26" i="39"/>
  <c r="J26" i="38"/>
  <c r="I26" i="38"/>
  <c r="H26" i="38"/>
  <c r="G26" i="38"/>
  <c r="F26" i="38"/>
  <c r="E26" i="38"/>
  <c r="D26" i="38"/>
  <c r="C26" i="38"/>
  <c r="B26" i="38"/>
  <c r="J26" i="37"/>
  <c r="I26" i="37"/>
  <c r="H26" i="37"/>
  <c r="G26" i="37"/>
  <c r="F26" i="37"/>
  <c r="E26" i="37"/>
  <c r="D26" i="37"/>
  <c r="C26" i="37"/>
  <c r="B26" i="37"/>
  <c r="J26" i="36"/>
  <c r="I26" i="36"/>
  <c r="H26" i="36"/>
  <c r="G26" i="36"/>
  <c r="F26" i="36"/>
  <c r="E26" i="36"/>
  <c r="D26" i="36"/>
  <c r="C26" i="36"/>
  <c r="B26" i="36"/>
  <c r="J26" i="35"/>
  <c r="I26" i="35"/>
  <c r="H26" i="35"/>
  <c r="G26" i="35"/>
  <c r="F26" i="35"/>
  <c r="E26" i="35"/>
  <c r="D26" i="35"/>
  <c r="C26" i="35"/>
  <c r="B26" i="35"/>
  <c r="J26" i="34"/>
  <c r="I26" i="34"/>
  <c r="H26" i="34"/>
  <c r="G26" i="34"/>
  <c r="F26" i="34"/>
  <c r="E26" i="34"/>
  <c r="D26" i="34"/>
  <c r="C26" i="34"/>
  <c r="B26" i="34"/>
  <c r="J26" i="33"/>
  <c r="I26" i="33"/>
  <c r="H26" i="33"/>
  <c r="G26" i="33"/>
  <c r="F26" i="33"/>
  <c r="E26" i="33"/>
  <c r="D26" i="33"/>
  <c r="C26" i="33"/>
  <c r="B26" i="33"/>
  <c r="J26" i="32"/>
  <c r="I26" i="32"/>
  <c r="H26" i="32"/>
  <c r="G26" i="32"/>
  <c r="F26" i="32"/>
  <c r="E26" i="32"/>
  <c r="D26" i="32"/>
  <c r="C26" i="32"/>
  <c r="B26" i="32"/>
  <c r="J26" i="31"/>
  <c r="I26" i="31"/>
  <c r="H26" i="31"/>
  <c r="G26" i="31"/>
  <c r="F26" i="31"/>
  <c r="E26" i="31"/>
  <c r="D26" i="31"/>
  <c r="C26" i="31"/>
  <c r="B26" i="31"/>
  <c r="J26" i="29"/>
  <c r="I26" i="29"/>
  <c r="H26" i="29"/>
  <c r="G26" i="29"/>
  <c r="F26" i="29"/>
  <c r="E26" i="29"/>
  <c r="D26" i="29"/>
  <c r="C26" i="29"/>
  <c r="B26" i="29"/>
  <c r="J26" i="27"/>
  <c r="I26" i="27"/>
  <c r="H26" i="27"/>
  <c r="G26" i="27"/>
  <c r="F26" i="27"/>
  <c r="E26" i="27"/>
  <c r="D26" i="27"/>
  <c r="C26" i="27"/>
  <c r="B26" i="27"/>
  <c r="J26" i="26"/>
  <c r="I26" i="26"/>
  <c r="H26" i="26"/>
  <c r="G26" i="26"/>
  <c r="F26" i="26"/>
  <c r="E26" i="26"/>
  <c r="D26" i="26"/>
  <c r="C26" i="26"/>
  <c r="B26" i="26"/>
  <c r="J27" i="24"/>
  <c r="I27" i="24"/>
  <c r="H27" i="24"/>
  <c r="G27" i="24"/>
  <c r="F27" i="24"/>
  <c r="E27" i="24"/>
  <c r="D27" i="24"/>
  <c r="C27" i="24"/>
  <c r="B27" i="24"/>
  <c r="J27" i="23"/>
  <c r="I27" i="23"/>
  <c r="H27" i="23"/>
  <c r="G27" i="23"/>
  <c r="F27" i="23"/>
  <c r="E27" i="23"/>
  <c r="D27" i="23"/>
  <c r="C27" i="23"/>
  <c r="B27" i="23"/>
  <c r="J27" i="22"/>
  <c r="I27" i="22"/>
  <c r="H27" i="22"/>
  <c r="G27" i="22"/>
  <c r="F27" i="22"/>
  <c r="E27" i="22"/>
  <c r="D27" i="22"/>
  <c r="C27" i="22"/>
  <c r="B27" i="22"/>
  <c r="J27" i="21"/>
  <c r="I27" i="21"/>
  <c r="H27" i="21"/>
  <c r="G27" i="21"/>
  <c r="F27" i="21"/>
  <c r="E27" i="21"/>
  <c r="D27" i="21"/>
  <c r="C27" i="21"/>
  <c r="B27" i="21"/>
  <c r="J27" i="20"/>
  <c r="I27" i="20"/>
  <c r="H27" i="20"/>
  <c r="G27" i="20"/>
  <c r="F27" i="20"/>
  <c r="E27" i="20"/>
  <c r="D27" i="20"/>
  <c r="C27" i="20"/>
  <c r="B27" i="20"/>
  <c r="J25" i="44"/>
  <c r="I25" i="44"/>
  <c r="H25" i="44"/>
  <c r="G25" i="44"/>
  <c r="F25" i="44"/>
  <c r="E25" i="44"/>
  <c r="D25" i="44"/>
  <c r="C25" i="44"/>
  <c r="B25" i="44"/>
  <c r="J25" i="43"/>
  <c r="I25" i="43"/>
  <c r="H25" i="43"/>
  <c r="G25" i="43"/>
  <c r="F25" i="43"/>
  <c r="E25" i="43"/>
  <c r="D25" i="43"/>
  <c r="C25" i="43"/>
  <c r="B25" i="43"/>
  <c r="J25" i="42"/>
  <c r="I25" i="42"/>
  <c r="H25" i="42"/>
  <c r="G25" i="42"/>
  <c r="F25" i="42"/>
  <c r="E25" i="42"/>
  <c r="D25" i="42"/>
  <c r="C25" i="42"/>
  <c r="B25" i="42"/>
  <c r="J25" i="41"/>
  <c r="I25" i="41"/>
  <c r="H25" i="41"/>
  <c r="G25" i="41"/>
  <c r="F25" i="41"/>
  <c r="E25" i="41"/>
  <c r="D25" i="41"/>
  <c r="C25" i="41"/>
  <c r="B25" i="41"/>
  <c r="J25" i="40"/>
  <c r="I25" i="40"/>
  <c r="H25" i="40"/>
  <c r="G25" i="40"/>
  <c r="F25" i="40"/>
  <c r="E25" i="40"/>
  <c r="D25" i="40"/>
  <c r="C25" i="40"/>
  <c r="B25" i="40"/>
  <c r="J25" i="39"/>
  <c r="I25" i="39"/>
  <c r="H25" i="39"/>
  <c r="G25" i="39"/>
  <c r="F25" i="39"/>
  <c r="E25" i="39"/>
  <c r="D25" i="39"/>
  <c r="C25" i="39"/>
  <c r="B25" i="39"/>
  <c r="J25" i="38"/>
  <c r="I25" i="38"/>
  <c r="H25" i="38"/>
  <c r="G25" i="38"/>
  <c r="F25" i="38"/>
  <c r="E25" i="38"/>
  <c r="D25" i="38"/>
  <c r="C25" i="38"/>
  <c r="B25" i="38"/>
  <c r="J25" i="37"/>
  <c r="I25" i="37"/>
  <c r="H25" i="37"/>
  <c r="G25" i="37"/>
  <c r="F25" i="37"/>
  <c r="E25" i="37"/>
  <c r="D25" i="37"/>
  <c r="C25" i="37"/>
  <c r="B25" i="37"/>
  <c r="J25" i="36"/>
  <c r="I25" i="36"/>
  <c r="H25" i="36"/>
  <c r="G25" i="36"/>
  <c r="F25" i="36"/>
  <c r="E25" i="36"/>
  <c r="D25" i="36"/>
  <c r="C25" i="36"/>
  <c r="B25" i="36"/>
  <c r="J25" i="35"/>
  <c r="I25" i="35"/>
  <c r="H25" i="35"/>
  <c r="G25" i="35"/>
  <c r="F25" i="35"/>
  <c r="E25" i="35"/>
  <c r="D25" i="35"/>
  <c r="C25" i="35"/>
  <c r="B25" i="35"/>
  <c r="J25" i="34"/>
  <c r="I25" i="34"/>
  <c r="H25" i="34"/>
  <c r="G25" i="34"/>
  <c r="F25" i="34"/>
  <c r="E25" i="34"/>
  <c r="D25" i="34"/>
  <c r="C25" i="34"/>
  <c r="B25" i="34"/>
  <c r="J25" i="33"/>
  <c r="I25" i="33"/>
  <c r="H25" i="33"/>
  <c r="G25" i="33"/>
  <c r="F25" i="33"/>
  <c r="E25" i="33"/>
  <c r="D25" i="33"/>
  <c r="C25" i="33"/>
  <c r="B25" i="33"/>
  <c r="J25" i="32"/>
  <c r="I25" i="32"/>
  <c r="H25" i="32"/>
  <c r="G25" i="32"/>
  <c r="F25" i="32"/>
  <c r="E25" i="32"/>
  <c r="D25" i="32"/>
  <c r="C25" i="32"/>
  <c r="B25" i="32"/>
  <c r="J25" i="31"/>
  <c r="I25" i="31"/>
  <c r="H25" i="31"/>
  <c r="G25" i="31"/>
  <c r="F25" i="31"/>
  <c r="E25" i="31"/>
  <c r="D25" i="31"/>
  <c r="C25" i="31"/>
  <c r="B25" i="31"/>
  <c r="J25" i="29"/>
  <c r="I25" i="29"/>
  <c r="H25" i="29"/>
  <c r="G25" i="29"/>
  <c r="F25" i="29"/>
  <c r="E25" i="29"/>
  <c r="D25" i="29"/>
  <c r="C25" i="29"/>
  <c r="B25" i="29"/>
  <c r="J25" i="27"/>
  <c r="I25" i="27"/>
  <c r="H25" i="27"/>
  <c r="G25" i="27"/>
  <c r="F25" i="27"/>
  <c r="E25" i="27"/>
  <c r="D25" i="27"/>
  <c r="C25" i="27"/>
  <c r="B25" i="27"/>
  <c r="J25" i="26"/>
  <c r="I25" i="26"/>
  <c r="H25" i="26"/>
  <c r="G25" i="26"/>
  <c r="F25" i="26"/>
  <c r="E25" i="26"/>
  <c r="D25" i="26"/>
  <c r="C25" i="26"/>
  <c r="B25" i="26"/>
  <c r="J26" i="24"/>
  <c r="I26" i="24"/>
  <c r="H26" i="24"/>
  <c r="G26" i="24"/>
  <c r="F26" i="24"/>
  <c r="E26" i="24"/>
  <c r="D26" i="24"/>
  <c r="C26" i="24"/>
  <c r="B26" i="24"/>
  <c r="J26" i="23"/>
  <c r="I26" i="23"/>
  <c r="H26" i="23"/>
  <c r="G26" i="23"/>
  <c r="F26" i="23"/>
  <c r="E26" i="23"/>
  <c r="D26" i="23"/>
  <c r="C26" i="23"/>
  <c r="B26" i="23"/>
  <c r="J26" i="22"/>
  <c r="I26" i="22"/>
  <c r="H26" i="22"/>
  <c r="G26" i="22"/>
  <c r="F26" i="22"/>
  <c r="E26" i="22"/>
  <c r="D26" i="22"/>
  <c r="C26" i="22"/>
  <c r="B26" i="22"/>
  <c r="J26" i="21"/>
  <c r="I26" i="21"/>
  <c r="H26" i="21"/>
  <c r="G26" i="21"/>
  <c r="F26" i="21"/>
  <c r="E26" i="21"/>
  <c r="D26" i="21"/>
  <c r="C26" i="21"/>
  <c r="B26" i="21"/>
  <c r="J26" i="20"/>
  <c r="I26" i="20"/>
  <c r="H26" i="20"/>
  <c r="G26" i="20"/>
  <c r="F26" i="20"/>
  <c r="E26" i="20"/>
  <c r="D26" i="20"/>
  <c r="C26" i="20"/>
  <c r="B26" i="20"/>
  <c r="J24" i="44"/>
  <c r="I24" i="44"/>
  <c r="H24" i="44"/>
  <c r="G24" i="44"/>
  <c r="F24" i="44"/>
  <c r="E24" i="44"/>
  <c r="D24" i="44"/>
  <c r="C24" i="44"/>
  <c r="B24" i="44"/>
  <c r="J24" i="43"/>
  <c r="I24" i="43"/>
  <c r="H24" i="43"/>
  <c r="G24" i="43"/>
  <c r="F24" i="43"/>
  <c r="E24" i="43"/>
  <c r="D24" i="43"/>
  <c r="C24" i="43"/>
  <c r="B24" i="43"/>
  <c r="J24" i="42"/>
  <c r="I24" i="42"/>
  <c r="H24" i="42"/>
  <c r="G24" i="42"/>
  <c r="F24" i="42"/>
  <c r="E24" i="42"/>
  <c r="D24" i="42"/>
  <c r="C24" i="42"/>
  <c r="B24" i="42"/>
  <c r="J24" i="41"/>
  <c r="I24" i="41"/>
  <c r="H24" i="41"/>
  <c r="G24" i="41"/>
  <c r="F24" i="41"/>
  <c r="E24" i="41"/>
  <c r="D24" i="41"/>
  <c r="C24" i="41"/>
  <c r="B24" i="41"/>
  <c r="J24" i="40"/>
  <c r="I24" i="40"/>
  <c r="H24" i="40"/>
  <c r="G24" i="40"/>
  <c r="F24" i="40"/>
  <c r="E24" i="40"/>
  <c r="D24" i="40"/>
  <c r="C24" i="40"/>
  <c r="B24" i="40"/>
  <c r="J24" i="39"/>
  <c r="I24" i="39"/>
  <c r="H24" i="39"/>
  <c r="G24" i="39"/>
  <c r="F24" i="39"/>
  <c r="E24" i="39"/>
  <c r="D24" i="39"/>
  <c r="C24" i="39"/>
  <c r="B24" i="39"/>
  <c r="J24" i="38"/>
  <c r="I24" i="38"/>
  <c r="H24" i="38"/>
  <c r="G24" i="38"/>
  <c r="F24" i="38"/>
  <c r="E24" i="38"/>
  <c r="D24" i="38"/>
  <c r="C24" i="38"/>
  <c r="B24" i="38"/>
  <c r="J24" i="37"/>
  <c r="I24" i="37"/>
  <c r="H24" i="37"/>
  <c r="G24" i="37"/>
  <c r="F24" i="37"/>
  <c r="E24" i="37"/>
  <c r="D24" i="37"/>
  <c r="C24" i="37"/>
  <c r="B24" i="37"/>
  <c r="J24" i="36"/>
  <c r="I24" i="36"/>
  <c r="H24" i="36"/>
  <c r="G24" i="36"/>
  <c r="F24" i="36"/>
  <c r="E24" i="36"/>
  <c r="D24" i="36"/>
  <c r="C24" i="36"/>
  <c r="B24" i="36"/>
  <c r="J24" i="35"/>
  <c r="I24" i="35"/>
  <c r="H24" i="35"/>
  <c r="G24" i="35"/>
  <c r="F24" i="35"/>
  <c r="E24" i="35"/>
  <c r="D24" i="35"/>
  <c r="C24" i="35"/>
  <c r="B24" i="35"/>
  <c r="J24" i="34"/>
  <c r="I24" i="34"/>
  <c r="H24" i="34"/>
  <c r="G24" i="34"/>
  <c r="F24" i="34"/>
  <c r="E24" i="34"/>
  <c r="D24" i="34"/>
  <c r="C24" i="34"/>
  <c r="B24" i="34"/>
  <c r="J24" i="33"/>
  <c r="I24" i="33"/>
  <c r="H24" i="33"/>
  <c r="G24" i="33"/>
  <c r="F24" i="33"/>
  <c r="E24" i="33"/>
  <c r="D24" i="33"/>
  <c r="C24" i="33"/>
  <c r="B24" i="33"/>
  <c r="J24" i="32"/>
  <c r="I24" i="32"/>
  <c r="H24" i="32"/>
  <c r="G24" i="32"/>
  <c r="F24" i="32"/>
  <c r="E24" i="32"/>
  <c r="D24" i="32"/>
  <c r="C24" i="32"/>
  <c r="B24" i="32"/>
  <c r="J24" i="31"/>
  <c r="I24" i="31"/>
  <c r="H24" i="31"/>
  <c r="G24" i="31"/>
  <c r="F24" i="31"/>
  <c r="E24" i="31"/>
  <c r="D24" i="31"/>
  <c r="C24" i="31"/>
  <c r="B24" i="31"/>
  <c r="J24" i="29"/>
  <c r="I24" i="29"/>
  <c r="H24" i="29"/>
  <c r="G24" i="29"/>
  <c r="F24" i="29"/>
  <c r="E24" i="29"/>
  <c r="D24" i="29"/>
  <c r="C24" i="29"/>
  <c r="B24" i="29"/>
  <c r="J24" i="27"/>
  <c r="I24" i="27"/>
  <c r="H24" i="27"/>
  <c r="G24" i="27"/>
  <c r="F24" i="27"/>
  <c r="E24" i="27"/>
  <c r="D24" i="27"/>
  <c r="C24" i="27"/>
  <c r="B24" i="27"/>
  <c r="J24" i="26"/>
  <c r="I24" i="26"/>
  <c r="H24" i="26"/>
  <c r="G24" i="26"/>
  <c r="F24" i="26"/>
  <c r="E24" i="26"/>
  <c r="D24" i="26"/>
  <c r="C24" i="26"/>
  <c r="B24" i="26"/>
  <c r="J25" i="24"/>
  <c r="I25" i="24"/>
  <c r="H25" i="24"/>
  <c r="G25" i="24"/>
  <c r="F25" i="24"/>
  <c r="E25" i="24"/>
  <c r="D25" i="24"/>
  <c r="C25" i="24"/>
  <c r="B25" i="24"/>
  <c r="J25" i="23"/>
  <c r="I25" i="23"/>
  <c r="H25" i="23"/>
  <c r="G25" i="23"/>
  <c r="F25" i="23"/>
  <c r="E25" i="23"/>
  <c r="D25" i="23"/>
  <c r="C25" i="23"/>
  <c r="B25" i="23"/>
  <c r="J25" i="22"/>
  <c r="I25" i="22"/>
  <c r="H25" i="22"/>
  <c r="G25" i="22"/>
  <c r="F25" i="22"/>
  <c r="E25" i="22"/>
  <c r="D25" i="22"/>
  <c r="C25" i="22"/>
  <c r="B25" i="22"/>
  <c r="J25" i="21"/>
  <c r="I25" i="21"/>
  <c r="H25" i="21"/>
  <c r="G25" i="21"/>
  <c r="F25" i="21"/>
  <c r="E25" i="21"/>
  <c r="D25" i="21"/>
  <c r="C25" i="21"/>
  <c r="B25" i="21"/>
  <c r="J25" i="20"/>
  <c r="I25" i="20"/>
  <c r="H25" i="20"/>
  <c r="G25" i="20"/>
  <c r="F25" i="20"/>
  <c r="E25" i="20"/>
  <c r="D25" i="20"/>
  <c r="C25" i="20"/>
  <c r="B25" i="20"/>
  <c r="J23" i="44"/>
  <c r="I23" i="44"/>
  <c r="H23" i="44"/>
  <c r="G23" i="44"/>
  <c r="F23" i="44"/>
  <c r="E23" i="44"/>
  <c r="D23" i="44"/>
  <c r="C23" i="44"/>
  <c r="B23" i="44"/>
  <c r="J23" i="43"/>
  <c r="I23" i="43"/>
  <c r="H23" i="43"/>
  <c r="G23" i="43"/>
  <c r="F23" i="43"/>
  <c r="E23" i="43"/>
  <c r="D23" i="43"/>
  <c r="C23" i="43"/>
  <c r="B23" i="43"/>
  <c r="J23" i="42"/>
  <c r="I23" i="42"/>
  <c r="H23" i="42"/>
  <c r="G23" i="42"/>
  <c r="F23" i="42"/>
  <c r="E23" i="42"/>
  <c r="D23" i="42"/>
  <c r="C23" i="42"/>
  <c r="B23" i="42"/>
  <c r="J23" i="41"/>
  <c r="I23" i="41"/>
  <c r="H23" i="41"/>
  <c r="G23" i="41"/>
  <c r="F23" i="41"/>
  <c r="E23" i="41"/>
  <c r="D23" i="41"/>
  <c r="C23" i="41"/>
  <c r="B23" i="41"/>
  <c r="J23" i="40"/>
  <c r="I23" i="40"/>
  <c r="H23" i="40"/>
  <c r="G23" i="40"/>
  <c r="F23" i="40"/>
  <c r="E23" i="40"/>
  <c r="D23" i="40"/>
  <c r="C23" i="40"/>
  <c r="B23" i="40"/>
  <c r="J23" i="39"/>
  <c r="I23" i="39"/>
  <c r="H23" i="39"/>
  <c r="G23" i="39"/>
  <c r="F23" i="39"/>
  <c r="E23" i="39"/>
  <c r="D23" i="39"/>
  <c r="C23" i="39"/>
  <c r="B23" i="39"/>
  <c r="J23" i="38"/>
  <c r="I23" i="38"/>
  <c r="H23" i="38"/>
  <c r="G23" i="38"/>
  <c r="F23" i="38"/>
  <c r="E23" i="38"/>
  <c r="D23" i="38"/>
  <c r="C23" i="38"/>
  <c r="B23" i="38"/>
  <c r="J23" i="37"/>
  <c r="I23" i="37"/>
  <c r="H23" i="37"/>
  <c r="G23" i="37"/>
  <c r="F23" i="37"/>
  <c r="E23" i="37"/>
  <c r="D23" i="37"/>
  <c r="C23" i="37"/>
  <c r="B23" i="37"/>
  <c r="J23" i="36"/>
  <c r="I23" i="36"/>
  <c r="H23" i="36"/>
  <c r="G23" i="36"/>
  <c r="F23" i="36"/>
  <c r="E23" i="36"/>
  <c r="D23" i="36"/>
  <c r="C23" i="36"/>
  <c r="B23" i="36"/>
  <c r="J23" i="35"/>
  <c r="I23" i="35"/>
  <c r="H23" i="35"/>
  <c r="G23" i="35"/>
  <c r="F23" i="35"/>
  <c r="E23" i="35"/>
  <c r="D23" i="35"/>
  <c r="C23" i="35"/>
  <c r="B23" i="35"/>
  <c r="J23" i="34"/>
  <c r="I23" i="34"/>
  <c r="H23" i="34"/>
  <c r="G23" i="34"/>
  <c r="F23" i="34"/>
  <c r="E23" i="34"/>
  <c r="D23" i="34"/>
  <c r="C23" i="34"/>
  <c r="B23" i="34"/>
  <c r="J23" i="33"/>
  <c r="I23" i="33"/>
  <c r="H23" i="33"/>
  <c r="G23" i="33"/>
  <c r="F23" i="33"/>
  <c r="E23" i="33"/>
  <c r="D23" i="33"/>
  <c r="C23" i="33"/>
  <c r="B23" i="33"/>
  <c r="J23" i="32"/>
  <c r="I23" i="32"/>
  <c r="H23" i="32"/>
  <c r="G23" i="32"/>
  <c r="F23" i="32"/>
  <c r="E23" i="32"/>
  <c r="D23" i="32"/>
  <c r="C23" i="32"/>
  <c r="B23" i="32"/>
  <c r="J23" i="31"/>
  <c r="I23" i="31"/>
  <c r="H23" i="31"/>
  <c r="G23" i="31"/>
  <c r="F23" i="31"/>
  <c r="E23" i="31"/>
  <c r="D23" i="31"/>
  <c r="C23" i="31"/>
  <c r="B23" i="31"/>
  <c r="J23" i="29"/>
  <c r="I23" i="29"/>
  <c r="H23" i="29"/>
  <c r="G23" i="29"/>
  <c r="F23" i="29"/>
  <c r="E23" i="29"/>
  <c r="D23" i="29"/>
  <c r="C23" i="29"/>
  <c r="B23" i="29"/>
  <c r="J23" i="27"/>
  <c r="I23" i="27"/>
  <c r="H23" i="27"/>
  <c r="G23" i="27"/>
  <c r="F23" i="27"/>
  <c r="E23" i="27"/>
  <c r="D23" i="27"/>
  <c r="C23" i="27"/>
  <c r="B23" i="27"/>
  <c r="J23" i="26"/>
  <c r="I23" i="26"/>
  <c r="H23" i="26"/>
  <c r="G23" i="26"/>
  <c r="F23" i="26"/>
  <c r="E23" i="26"/>
  <c r="D23" i="26"/>
  <c r="C23" i="26"/>
  <c r="B23" i="26"/>
  <c r="J24" i="24"/>
  <c r="I24" i="24"/>
  <c r="H24" i="24"/>
  <c r="G24" i="24"/>
  <c r="F24" i="24"/>
  <c r="E24" i="24"/>
  <c r="D24" i="24"/>
  <c r="C24" i="24"/>
  <c r="B24" i="24"/>
  <c r="J24" i="23"/>
  <c r="I24" i="23"/>
  <c r="H24" i="23"/>
  <c r="G24" i="23"/>
  <c r="F24" i="23"/>
  <c r="E24" i="23"/>
  <c r="D24" i="23"/>
  <c r="C24" i="23"/>
  <c r="B24" i="23"/>
  <c r="J24" i="22"/>
  <c r="I24" i="22"/>
  <c r="H24" i="22"/>
  <c r="G24" i="22"/>
  <c r="F24" i="22"/>
  <c r="E24" i="22"/>
  <c r="D24" i="22"/>
  <c r="C24" i="22"/>
  <c r="B24" i="22"/>
  <c r="J24" i="21"/>
  <c r="I24" i="21"/>
  <c r="H24" i="21"/>
  <c r="G24" i="21"/>
  <c r="F24" i="21"/>
  <c r="E24" i="21"/>
  <c r="D24" i="21"/>
  <c r="C24" i="21"/>
  <c r="B24" i="21"/>
  <c r="J24" i="20"/>
  <c r="I24" i="20"/>
  <c r="H24" i="20"/>
  <c r="G24" i="20"/>
  <c r="F24" i="20"/>
  <c r="E24" i="20"/>
  <c r="D24" i="20"/>
  <c r="C24" i="20"/>
  <c r="B24" i="20"/>
  <c r="J22" i="44"/>
  <c r="I22" i="44"/>
  <c r="H22" i="44"/>
  <c r="G22" i="44"/>
  <c r="F22" i="44"/>
  <c r="E22" i="44"/>
  <c r="D22" i="44"/>
  <c r="C22" i="44"/>
  <c r="B22" i="44"/>
  <c r="J22" i="43"/>
  <c r="I22" i="43"/>
  <c r="H22" i="43"/>
  <c r="G22" i="43"/>
  <c r="F22" i="43"/>
  <c r="E22" i="43"/>
  <c r="D22" i="43"/>
  <c r="C22" i="43"/>
  <c r="B22" i="43"/>
  <c r="J22" i="42"/>
  <c r="I22" i="42"/>
  <c r="H22" i="42"/>
  <c r="G22" i="42"/>
  <c r="F22" i="42"/>
  <c r="E22" i="42"/>
  <c r="D22" i="42"/>
  <c r="C22" i="42"/>
  <c r="B22" i="42"/>
  <c r="J22" i="41"/>
  <c r="I22" i="41"/>
  <c r="H22" i="41"/>
  <c r="G22" i="41"/>
  <c r="F22" i="41"/>
  <c r="E22" i="41"/>
  <c r="D22" i="41"/>
  <c r="C22" i="41"/>
  <c r="B22" i="41"/>
  <c r="J22" i="40"/>
  <c r="I22" i="40"/>
  <c r="H22" i="40"/>
  <c r="G22" i="40"/>
  <c r="F22" i="40"/>
  <c r="E22" i="40"/>
  <c r="D22" i="40"/>
  <c r="C22" i="40"/>
  <c r="B22" i="40"/>
  <c r="J22" i="39"/>
  <c r="I22" i="39"/>
  <c r="H22" i="39"/>
  <c r="G22" i="39"/>
  <c r="F22" i="39"/>
  <c r="E22" i="39"/>
  <c r="D22" i="39"/>
  <c r="C22" i="39"/>
  <c r="B22" i="39"/>
  <c r="J22" i="38"/>
  <c r="I22" i="38"/>
  <c r="H22" i="38"/>
  <c r="G22" i="38"/>
  <c r="F22" i="38"/>
  <c r="E22" i="38"/>
  <c r="D22" i="38"/>
  <c r="C22" i="38"/>
  <c r="B22" i="38"/>
  <c r="J22" i="37"/>
  <c r="I22" i="37"/>
  <c r="H22" i="37"/>
  <c r="G22" i="37"/>
  <c r="F22" i="37"/>
  <c r="E22" i="37"/>
  <c r="D22" i="37"/>
  <c r="C22" i="37"/>
  <c r="B22" i="37"/>
  <c r="J22" i="36"/>
  <c r="I22" i="36"/>
  <c r="H22" i="36"/>
  <c r="G22" i="36"/>
  <c r="F22" i="36"/>
  <c r="E22" i="36"/>
  <c r="D22" i="36"/>
  <c r="C22" i="36"/>
  <c r="B22" i="36"/>
  <c r="J22" i="35"/>
  <c r="I22" i="35"/>
  <c r="H22" i="35"/>
  <c r="G22" i="35"/>
  <c r="F22" i="35"/>
  <c r="E22" i="35"/>
  <c r="D22" i="35"/>
  <c r="C22" i="35"/>
  <c r="B22" i="35"/>
  <c r="J22" i="34"/>
  <c r="I22" i="34"/>
  <c r="H22" i="34"/>
  <c r="G22" i="34"/>
  <c r="F22" i="34"/>
  <c r="E22" i="34"/>
  <c r="D22" i="34"/>
  <c r="C22" i="34"/>
  <c r="B22" i="34"/>
  <c r="J22" i="33"/>
  <c r="I22" i="33"/>
  <c r="H22" i="33"/>
  <c r="G22" i="33"/>
  <c r="F22" i="33"/>
  <c r="E22" i="33"/>
  <c r="D22" i="33"/>
  <c r="C22" i="33"/>
  <c r="B22" i="33"/>
  <c r="J22" i="32"/>
  <c r="I22" i="32"/>
  <c r="H22" i="32"/>
  <c r="G22" i="32"/>
  <c r="F22" i="32"/>
  <c r="E22" i="32"/>
  <c r="D22" i="32"/>
  <c r="C22" i="32"/>
  <c r="B22" i="32"/>
  <c r="J22" i="31"/>
  <c r="I22" i="31"/>
  <c r="H22" i="31"/>
  <c r="G22" i="31"/>
  <c r="F22" i="31"/>
  <c r="E22" i="31"/>
  <c r="D22" i="31"/>
  <c r="C22" i="31"/>
  <c r="B22" i="31"/>
  <c r="J22" i="29"/>
  <c r="I22" i="29"/>
  <c r="H22" i="29"/>
  <c r="G22" i="29"/>
  <c r="F22" i="29"/>
  <c r="E22" i="29"/>
  <c r="D22" i="29"/>
  <c r="C22" i="29"/>
  <c r="B22" i="29"/>
  <c r="J22" i="27"/>
  <c r="I22" i="27"/>
  <c r="H22" i="27"/>
  <c r="G22" i="27"/>
  <c r="F22" i="27"/>
  <c r="E22" i="27"/>
  <c r="D22" i="27"/>
  <c r="C22" i="27"/>
  <c r="B22" i="27"/>
  <c r="J22" i="26"/>
  <c r="I22" i="26"/>
  <c r="H22" i="26"/>
  <c r="G22" i="26"/>
  <c r="F22" i="26"/>
  <c r="E22" i="26"/>
  <c r="D22" i="26"/>
  <c r="C22" i="26"/>
  <c r="B22" i="26"/>
  <c r="J23" i="24"/>
  <c r="I23" i="24"/>
  <c r="H23" i="24"/>
  <c r="G23" i="24"/>
  <c r="F23" i="24"/>
  <c r="E23" i="24"/>
  <c r="D23" i="24"/>
  <c r="C23" i="24"/>
  <c r="B23" i="24"/>
  <c r="J23" i="23"/>
  <c r="I23" i="23"/>
  <c r="H23" i="23"/>
  <c r="G23" i="23"/>
  <c r="F23" i="23"/>
  <c r="E23" i="23"/>
  <c r="D23" i="23"/>
  <c r="C23" i="23"/>
  <c r="B23" i="23"/>
  <c r="J23" i="22"/>
  <c r="I23" i="22"/>
  <c r="H23" i="22"/>
  <c r="G23" i="22"/>
  <c r="F23" i="22"/>
  <c r="E23" i="22"/>
  <c r="D23" i="22"/>
  <c r="C23" i="22"/>
  <c r="B23" i="22"/>
  <c r="J23" i="21"/>
  <c r="I23" i="21"/>
  <c r="H23" i="21"/>
  <c r="G23" i="21"/>
  <c r="F23" i="21"/>
  <c r="E23" i="21"/>
  <c r="D23" i="21"/>
  <c r="C23" i="21"/>
  <c r="B23" i="21"/>
  <c r="J23" i="20"/>
  <c r="I23" i="20"/>
  <c r="H23" i="20"/>
  <c r="G23" i="20"/>
  <c r="F23" i="20"/>
  <c r="E23" i="20"/>
  <c r="D23" i="20"/>
  <c r="C23" i="20"/>
  <c r="B23" i="20"/>
  <c r="J21" i="44"/>
  <c r="I21" i="44"/>
  <c r="H21" i="44"/>
  <c r="G21" i="44"/>
  <c r="F21" i="44"/>
  <c r="E21" i="44"/>
  <c r="D21" i="44"/>
  <c r="C21" i="44"/>
  <c r="B21" i="44"/>
  <c r="J21" i="43"/>
  <c r="I21" i="43"/>
  <c r="H21" i="43"/>
  <c r="G21" i="43"/>
  <c r="F21" i="43"/>
  <c r="E21" i="43"/>
  <c r="D21" i="43"/>
  <c r="C21" i="43"/>
  <c r="B21" i="43"/>
  <c r="J21" i="42"/>
  <c r="I21" i="42"/>
  <c r="H21" i="42"/>
  <c r="G21" i="42"/>
  <c r="F21" i="42"/>
  <c r="E21" i="42"/>
  <c r="D21" i="42"/>
  <c r="C21" i="42"/>
  <c r="B21" i="42"/>
  <c r="J21" i="41"/>
  <c r="I21" i="41"/>
  <c r="H21" i="41"/>
  <c r="G21" i="41"/>
  <c r="F21" i="41"/>
  <c r="E21" i="41"/>
  <c r="D21" i="41"/>
  <c r="C21" i="41"/>
  <c r="B21" i="41"/>
  <c r="J21" i="40"/>
  <c r="I21" i="40"/>
  <c r="H21" i="40"/>
  <c r="G21" i="40"/>
  <c r="F21" i="40"/>
  <c r="E21" i="40"/>
  <c r="D21" i="40"/>
  <c r="C21" i="40"/>
  <c r="B21" i="40"/>
  <c r="J21" i="39"/>
  <c r="I21" i="39"/>
  <c r="H21" i="39"/>
  <c r="G21" i="39"/>
  <c r="F21" i="39"/>
  <c r="E21" i="39"/>
  <c r="D21" i="39"/>
  <c r="C21" i="39"/>
  <c r="B21" i="39"/>
  <c r="J21" i="38"/>
  <c r="I21" i="38"/>
  <c r="H21" i="38"/>
  <c r="G21" i="38"/>
  <c r="F21" i="38"/>
  <c r="E21" i="38"/>
  <c r="D21" i="38"/>
  <c r="C21" i="38"/>
  <c r="B21" i="38"/>
  <c r="J21" i="37"/>
  <c r="I21" i="37"/>
  <c r="H21" i="37"/>
  <c r="G21" i="37"/>
  <c r="F21" i="37"/>
  <c r="E21" i="37"/>
  <c r="D21" i="37"/>
  <c r="C21" i="37"/>
  <c r="B21" i="37"/>
  <c r="J21" i="36"/>
  <c r="I21" i="36"/>
  <c r="H21" i="36"/>
  <c r="G21" i="36"/>
  <c r="F21" i="36"/>
  <c r="E21" i="36"/>
  <c r="D21" i="36"/>
  <c r="C21" i="36"/>
  <c r="B21" i="36"/>
  <c r="J21" i="35"/>
  <c r="I21" i="35"/>
  <c r="H21" i="35"/>
  <c r="G21" i="35"/>
  <c r="F21" i="35"/>
  <c r="E21" i="35"/>
  <c r="D21" i="35"/>
  <c r="C21" i="35"/>
  <c r="B21" i="35"/>
  <c r="J21" i="34"/>
  <c r="I21" i="34"/>
  <c r="H21" i="34"/>
  <c r="G21" i="34"/>
  <c r="F21" i="34"/>
  <c r="E21" i="34"/>
  <c r="D21" i="34"/>
  <c r="C21" i="34"/>
  <c r="B21" i="34"/>
  <c r="J21" i="33"/>
  <c r="I21" i="33"/>
  <c r="H21" i="33"/>
  <c r="G21" i="33"/>
  <c r="F21" i="33"/>
  <c r="E21" i="33"/>
  <c r="D21" i="33"/>
  <c r="C21" i="33"/>
  <c r="B21" i="33"/>
  <c r="J21" i="32"/>
  <c r="I21" i="32"/>
  <c r="H21" i="32"/>
  <c r="G21" i="32"/>
  <c r="F21" i="32"/>
  <c r="E21" i="32"/>
  <c r="D21" i="32"/>
  <c r="C21" i="32"/>
  <c r="B21" i="32"/>
  <c r="J21" i="31"/>
  <c r="I21" i="31"/>
  <c r="H21" i="31"/>
  <c r="G21" i="31"/>
  <c r="F21" i="31"/>
  <c r="E21" i="31"/>
  <c r="D21" i="31"/>
  <c r="C21" i="31"/>
  <c r="B21" i="31"/>
  <c r="J21" i="29"/>
  <c r="I21" i="29"/>
  <c r="H21" i="29"/>
  <c r="G21" i="29"/>
  <c r="F21" i="29"/>
  <c r="E21" i="29"/>
  <c r="D21" i="29"/>
  <c r="C21" i="29"/>
  <c r="B21" i="29"/>
  <c r="J21" i="27"/>
  <c r="I21" i="27"/>
  <c r="H21" i="27"/>
  <c r="G21" i="27"/>
  <c r="F21" i="27"/>
  <c r="E21" i="27"/>
  <c r="D21" i="27"/>
  <c r="C21" i="27"/>
  <c r="B21" i="27"/>
  <c r="J21" i="26"/>
  <c r="I21" i="26"/>
  <c r="H21" i="26"/>
  <c r="G21" i="26"/>
  <c r="F21" i="26"/>
  <c r="E21" i="26"/>
  <c r="D21" i="26"/>
  <c r="C21" i="26"/>
  <c r="B21" i="26"/>
  <c r="J22" i="24"/>
  <c r="I22" i="24"/>
  <c r="H22" i="24"/>
  <c r="G22" i="24"/>
  <c r="F22" i="24"/>
  <c r="E22" i="24"/>
  <c r="D22" i="24"/>
  <c r="C22" i="24"/>
  <c r="B22" i="24"/>
  <c r="J22" i="23"/>
  <c r="I22" i="23"/>
  <c r="H22" i="23"/>
  <c r="G22" i="23"/>
  <c r="F22" i="23"/>
  <c r="E22" i="23"/>
  <c r="D22" i="23"/>
  <c r="C22" i="23"/>
  <c r="B22" i="23"/>
  <c r="J22" i="22"/>
  <c r="I22" i="22"/>
  <c r="H22" i="22"/>
  <c r="G22" i="22"/>
  <c r="F22" i="22"/>
  <c r="E22" i="22"/>
  <c r="D22" i="22"/>
  <c r="C22" i="22"/>
  <c r="B22" i="22"/>
  <c r="J22" i="21"/>
  <c r="I22" i="21"/>
  <c r="H22" i="21"/>
  <c r="G22" i="21"/>
  <c r="F22" i="21"/>
  <c r="E22" i="21"/>
  <c r="D22" i="21"/>
  <c r="C22" i="21"/>
  <c r="B22" i="21"/>
  <c r="J22" i="20"/>
  <c r="I22" i="20"/>
  <c r="H22" i="20"/>
  <c r="G22" i="20"/>
  <c r="F22" i="20"/>
  <c r="E22" i="20"/>
  <c r="D22" i="20"/>
  <c r="C22" i="20"/>
  <c r="B22" i="20"/>
  <c r="J20" i="44"/>
  <c r="I20" i="44"/>
  <c r="H20" i="44"/>
  <c r="G20" i="44"/>
  <c r="F20" i="44"/>
  <c r="E20" i="44"/>
  <c r="D20" i="44"/>
  <c r="C20" i="44"/>
  <c r="B20" i="44"/>
  <c r="J20" i="43"/>
  <c r="I20" i="43"/>
  <c r="H20" i="43"/>
  <c r="G20" i="43"/>
  <c r="F20" i="43"/>
  <c r="E20" i="43"/>
  <c r="D20" i="43"/>
  <c r="C20" i="43"/>
  <c r="B20" i="43"/>
  <c r="J20" i="42"/>
  <c r="I20" i="42"/>
  <c r="H20" i="42"/>
  <c r="G20" i="42"/>
  <c r="F20" i="42"/>
  <c r="E20" i="42"/>
  <c r="D20" i="42"/>
  <c r="C20" i="42"/>
  <c r="B20" i="42"/>
  <c r="J20" i="41"/>
  <c r="I20" i="41"/>
  <c r="H20" i="41"/>
  <c r="G20" i="41"/>
  <c r="F20" i="41"/>
  <c r="E20" i="41"/>
  <c r="D20" i="41"/>
  <c r="C20" i="41"/>
  <c r="B20" i="41"/>
  <c r="J20" i="40"/>
  <c r="I20" i="40"/>
  <c r="H20" i="40"/>
  <c r="G20" i="40"/>
  <c r="F20" i="40"/>
  <c r="E20" i="40"/>
  <c r="D20" i="40"/>
  <c r="C20" i="40"/>
  <c r="B20" i="40"/>
  <c r="J20" i="39"/>
  <c r="I20" i="39"/>
  <c r="H20" i="39"/>
  <c r="G20" i="39"/>
  <c r="F20" i="39"/>
  <c r="E20" i="39"/>
  <c r="D20" i="39"/>
  <c r="C20" i="39"/>
  <c r="B20" i="39"/>
  <c r="J20" i="38"/>
  <c r="I20" i="38"/>
  <c r="H20" i="38"/>
  <c r="G20" i="38"/>
  <c r="F20" i="38"/>
  <c r="E20" i="38"/>
  <c r="D20" i="38"/>
  <c r="C20" i="38"/>
  <c r="B20" i="38"/>
  <c r="J20" i="37"/>
  <c r="I20" i="37"/>
  <c r="H20" i="37"/>
  <c r="G20" i="37"/>
  <c r="F20" i="37"/>
  <c r="E20" i="37"/>
  <c r="D20" i="37"/>
  <c r="C20" i="37"/>
  <c r="B20" i="37"/>
  <c r="J20" i="36"/>
  <c r="I20" i="36"/>
  <c r="H20" i="36"/>
  <c r="G20" i="36"/>
  <c r="F20" i="36"/>
  <c r="E20" i="36"/>
  <c r="D20" i="36"/>
  <c r="C20" i="36"/>
  <c r="B20" i="36"/>
  <c r="J20" i="35"/>
  <c r="I20" i="35"/>
  <c r="H20" i="35"/>
  <c r="G20" i="35"/>
  <c r="F20" i="35"/>
  <c r="E20" i="35"/>
  <c r="D20" i="35"/>
  <c r="C20" i="35"/>
  <c r="B20" i="35"/>
  <c r="J20" i="34"/>
  <c r="I20" i="34"/>
  <c r="H20" i="34"/>
  <c r="G20" i="34"/>
  <c r="F20" i="34"/>
  <c r="E20" i="34"/>
  <c r="D20" i="34"/>
  <c r="C20" i="34"/>
  <c r="B20" i="34"/>
  <c r="J20" i="33"/>
  <c r="I20" i="33"/>
  <c r="H20" i="33"/>
  <c r="G20" i="33"/>
  <c r="F20" i="33"/>
  <c r="E20" i="33"/>
  <c r="D20" i="33"/>
  <c r="C20" i="33"/>
  <c r="B20" i="33"/>
  <c r="J20" i="32"/>
  <c r="I20" i="32"/>
  <c r="H20" i="32"/>
  <c r="G20" i="32"/>
  <c r="F20" i="32"/>
  <c r="E20" i="32"/>
  <c r="D20" i="32"/>
  <c r="C20" i="32"/>
  <c r="B20" i="32"/>
  <c r="J20" i="31"/>
  <c r="I20" i="31"/>
  <c r="H20" i="31"/>
  <c r="G20" i="31"/>
  <c r="F20" i="31"/>
  <c r="E20" i="31"/>
  <c r="D20" i="31"/>
  <c r="C20" i="31"/>
  <c r="B20" i="31"/>
  <c r="J20" i="29"/>
  <c r="I20" i="29"/>
  <c r="H20" i="29"/>
  <c r="G20" i="29"/>
  <c r="F20" i="29"/>
  <c r="E20" i="29"/>
  <c r="D20" i="29"/>
  <c r="C20" i="29"/>
  <c r="B20" i="29"/>
  <c r="J20" i="27"/>
  <c r="I20" i="27"/>
  <c r="H20" i="27"/>
  <c r="G20" i="27"/>
  <c r="F20" i="27"/>
  <c r="E20" i="27"/>
  <c r="D20" i="27"/>
  <c r="C20" i="27"/>
  <c r="B20" i="27"/>
  <c r="J20" i="26"/>
  <c r="I20" i="26"/>
  <c r="H20" i="26"/>
  <c r="G20" i="26"/>
  <c r="F20" i="26"/>
  <c r="E20" i="26"/>
  <c r="D20" i="26"/>
  <c r="C20" i="26"/>
  <c r="B20" i="26"/>
  <c r="J21" i="24"/>
  <c r="I21" i="24"/>
  <c r="H21" i="24"/>
  <c r="G21" i="24"/>
  <c r="F21" i="24"/>
  <c r="E21" i="24"/>
  <c r="D21" i="24"/>
  <c r="C21" i="24"/>
  <c r="B21" i="24"/>
  <c r="J21" i="23"/>
  <c r="I21" i="23"/>
  <c r="H21" i="23"/>
  <c r="G21" i="23"/>
  <c r="F21" i="23"/>
  <c r="E21" i="23"/>
  <c r="D21" i="23"/>
  <c r="C21" i="23"/>
  <c r="B21" i="23"/>
  <c r="J21" i="22"/>
  <c r="I21" i="22"/>
  <c r="H21" i="22"/>
  <c r="G21" i="22"/>
  <c r="F21" i="22"/>
  <c r="E21" i="22"/>
  <c r="D21" i="22"/>
  <c r="C21" i="22"/>
  <c r="B21" i="22"/>
  <c r="J21" i="21"/>
  <c r="I21" i="21"/>
  <c r="H21" i="21"/>
  <c r="G21" i="21"/>
  <c r="F21" i="21"/>
  <c r="E21" i="21"/>
  <c r="D21" i="21"/>
  <c r="C21" i="21"/>
  <c r="B21" i="21"/>
  <c r="J21" i="20"/>
  <c r="I21" i="20"/>
  <c r="H21" i="20"/>
  <c r="G21" i="20"/>
  <c r="F21" i="20"/>
  <c r="E21" i="20"/>
  <c r="D21" i="20"/>
  <c r="C21" i="20"/>
  <c r="B21" i="20"/>
  <c r="J19" i="44"/>
  <c r="I19" i="44"/>
  <c r="H19" i="44"/>
  <c r="G19" i="44"/>
  <c r="F19" i="44"/>
  <c r="E19" i="44"/>
  <c r="D19" i="44"/>
  <c r="C19" i="44"/>
  <c r="B19" i="44"/>
  <c r="J19" i="43"/>
  <c r="I19" i="43"/>
  <c r="H19" i="43"/>
  <c r="G19" i="43"/>
  <c r="F19" i="43"/>
  <c r="E19" i="43"/>
  <c r="D19" i="43"/>
  <c r="C19" i="43"/>
  <c r="B19" i="43"/>
  <c r="J19" i="42"/>
  <c r="I19" i="42"/>
  <c r="H19" i="42"/>
  <c r="G19" i="42"/>
  <c r="F19" i="42"/>
  <c r="E19" i="42"/>
  <c r="D19" i="42"/>
  <c r="C19" i="42"/>
  <c r="B19" i="42"/>
  <c r="J19" i="41"/>
  <c r="I19" i="41"/>
  <c r="H19" i="41"/>
  <c r="G19" i="41"/>
  <c r="F19" i="41"/>
  <c r="E19" i="41"/>
  <c r="D19" i="41"/>
  <c r="C19" i="41"/>
  <c r="B19" i="41"/>
  <c r="J19" i="40"/>
  <c r="I19" i="40"/>
  <c r="H19" i="40"/>
  <c r="G19" i="40"/>
  <c r="F19" i="40"/>
  <c r="E19" i="40"/>
  <c r="D19" i="40"/>
  <c r="C19" i="40"/>
  <c r="B19" i="40"/>
  <c r="J19" i="39"/>
  <c r="I19" i="39"/>
  <c r="H19" i="39"/>
  <c r="G19" i="39"/>
  <c r="F19" i="39"/>
  <c r="E19" i="39"/>
  <c r="D19" i="39"/>
  <c r="C19" i="39"/>
  <c r="B19" i="39"/>
  <c r="J19" i="38"/>
  <c r="I19" i="38"/>
  <c r="H19" i="38"/>
  <c r="G19" i="38"/>
  <c r="F19" i="38"/>
  <c r="E19" i="38"/>
  <c r="D19" i="38"/>
  <c r="C19" i="38"/>
  <c r="B19" i="38"/>
  <c r="J19" i="37"/>
  <c r="I19" i="37"/>
  <c r="H19" i="37"/>
  <c r="G19" i="37"/>
  <c r="F19" i="37"/>
  <c r="E19" i="37"/>
  <c r="D19" i="37"/>
  <c r="C19" i="37"/>
  <c r="B19" i="37"/>
  <c r="J19" i="36"/>
  <c r="I19" i="36"/>
  <c r="H19" i="36"/>
  <c r="G19" i="36"/>
  <c r="F19" i="36"/>
  <c r="E19" i="36"/>
  <c r="D19" i="36"/>
  <c r="C19" i="36"/>
  <c r="B19" i="36"/>
  <c r="J19" i="35"/>
  <c r="I19" i="35"/>
  <c r="H19" i="35"/>
  <c r="G19" i="35"/>
  <c r="F19" i="35"/>
  <c r="E19" i="35"/>
  <c r="D19" i="35"/>
  <c r="C19" i="35"/>
  <c r="B19" i="35"/>
  <c r="J19" i="34"/>
  <c r="I19" i="34"/>
  <c r="H19" i="34"/>
  <c r="G19" i="34"/>
  <c r="F19" i="34"/>
  <c r="E19" i="34"/>
  <c r="D19" i="34"/>
  <c r="C19" i="34"/>
  <c r="B19" i="34"/>
  <c r="J19" i="33"/>
  <c r="I19" i="33"/>
  <c r="H19" i="33"/>
  <c r="G19" i="33"/>
  <c r="F19" i="33"/>
  <c r="E19" i="33"/>
  <c r="D19" i="33"/>
  <c r="C19" i="33"/>
  <c r="B19" i="33"/>
  <c r="J19" i="32"/>
  <c r="I19" i="32"/>
  <c r="H19" i="32"/>
  <c r="G19" i="32"/>
  <c r="F19" i="32"/>
  <c r="E19" i="32"/>
  <c r="D19" i="32"/>
  <c r="C19" i="32"/>
  <c r="B19" i="32"/>
  <c r="J19" i="31"/>
  <c r="I19" i="31"/>
  <c r="H19" i="31"/>
  <c r="G19" i="31"/>
  <c r="F19" i="31"/>
  <c r="E19" i="31"/>
  <c r="D19" i="31"/>
  <c r="C19" i="31"/>
  <c r="B19" i="31"/>
  <c r="J19" i="29"/>
  <c r="I19" i="29"/>
  <c r="H19" i="29"/>
  <c r="G19" i="29"/>
  <c r="F19" i="29"/>
  <c r="E19" i="29"/>
  <c r="D19" i="29"/>
  <c r="C19" i="29"/>
  <c r="B19" i="29"/>
  <c r="J19" i="27"/>
  <c r="I19" i="27"/>
  <c r="H19" i="27"/>
  <c r="G19" i="27"/>
  <c r="F19" i="27"/>
  <c r="E19" i="27"/>
  <c r="D19" i="27"/>
  <c r="C19" i="27"/>
  <c r="B19" i="27"/>
  <c r="J19" i="26"/>
  <c r="I19" i="26"/>
  <c r="H19" i="26"/>
  <c r="G19" i="26"/>
  <c r="F19" i="26"/>
  <c r="E19" i="26"/>
  <c r="D19" i="26"/>
  <c r="C19" i="26"/>
  <c r="B19" i="26"/>
  <c r="J20" i="24"/>
  <c r="I20" i="24"/>
  <c r="H20" i="24"/>
  <c r="G20" i="24"/>
  <c r="F20" i="24"/>
  <c r="E20" i="24"/>
  <c r="D20" i="24"/>
  <c r="C20" i="24"/>
  <c r="B20" i="24"/>
  <c r="J20" i="23"/>
  <c r="I20" i="23"/>
  <c r="H20" i="23"/>
  <c r="G20" i="23"/>
  <c r="F20" i="23"/>
  <c r="E20" i="23"/>
  <c r="D20" i="23"/>
  <c r="C20" i="23"/>
  <c r="B20" i="23"/>
  <c r="J20" i="22"/>
  <c r="I20" i="22"/>
  <c r="H20" i="22"/>
  <c r="G20" i="22"/>
  <c r="F20" i="22"/>
  <c r="E20" i="22"/>
  <c r="D20" i="22"/>
  <c r="C20" i="22"/>
  <c r="B20" i="22"/>
  <c r="J20" i="21"/>
  <c r="I20" i="21"/>
  <c r="H20" i="21"/>
  <c r="G20" i="21"/>
  <c r="F20" i="21"/>
  <c r="E20" i="21"/>
  <c r="D20" i="21"/>
  <c r="C20" i="21"/>
  <c r="B20" i="21"/>
  <c r="J20" i="20"/>
  <c r="I20" i="20"/>
  <c r="H20" i="20"/>
  <c r="G20" i="20"/>
  <c r="F20" i="20"/>
  <c r="E20" i="20"/>
  <c r="D20" i="20"/>
  <c r="C20" i="20"/>
  <c r="B20" i="20"/>
  <c r="U20" i="19"/>
  <c r="T20" i="19"/>
  <c r="V20" i="18"/>
  <c r="J18" i="44"/>
  <c r="I18" i="44"/>
  <c r="H18" i="44"/>
  <c r="G18" i="44"/>
  <c r="F18" i="44"/>
  <c r="E18" i="44"/>
  <c r="D18" i="44"/>
  <c r="C18" i="44"/>
  <c r="B18" i="44"/>
  <c r="J18" i="43"/>
  <c r="I18" i="43"/>
  <c r="H18" i="43"/>
  <c r="G18" i="43"/>
  <c r="F18" i="43"/>
  <c r="E18" i="43"/>
  <c r="D18" i="43"/>
  <c r="C18" i="43"/>
  <c r="B18" i="43"/>
  <c r="J18" i="42"/>
  <c r="I18" i="42"/>
  <c r="H18" i="42"/>
  <c r="G18" i="42"/>
  <c r="F18" i="42"/>
  <c r="E18" i="42"/>
  <c r="D18" i="42"/>
  <c r="C18" i="42"/>
  <c r="B18" i="42"/>
  <c r="J18" i="41"/>
  <c r="I18" i="41"/>
  <c r="H18" i="41"/>
  <c r="G18" i="41"/>
  <c r="F18" i="41"/>
  <c r="E18" i="41"/>
  <c r="D18" i="41"/>
  <c r="C18" i="41"/>
  <c r="B18" i="41"/>
  <c r="J18" i="40"/>
  <c r="I18" i="40"/>
  <c r="H18" i="40"/>
  <c r="G18" i="40"/>
  <c r="F18" i="40"/>
  <c r="E18" i="40"/>
  <c r="D18" i="40"/>
  <c r="C18" i="40"/>
  <c r="B18" i="40"/>
  <c r="J18" i="39"/>
  <c r="I18" i="39"/>
  <c r="H18" i="39"/>
  <c r="G18" i="39"/>
  <c r="F18" i="39"/>
  <c r="E18" i="39"/>
  <c r="D18" i="39"/>
  <c r="C18" i="39"/>
  <c r="B18" i="39"/>
  <c r="J18" i="38"/>
  <c r="I18" i="38"/>
  <c r="H18" i="38"/>
  <c r="G18" i="38"/>
  <c r="F18" i="38"/>
  <c r="E18" i="38"/>
  <c r="D18" i="38"/>
  <c r="C18" i="38"/>
  <c r="B18" i="38"/>
  <c r="J18" i="37"/>
  <c r="I18" i="37"/>
  <c r="H18" i="37"/>
  <c r="G18" i="37"/>
  <c r="F18" i="37"/>
  <c r="E18" i="37"/>
  <c r="D18" i="37"/>
  <c r="C18" i="37"/>
  <c r="B18" i="37"/>
  <c r="J18" i="36"/>
  <c r="I18" i="36"/>
  <c r="H18" i="36"/>
  <c r="G18" i="36"/>
  <c r="F18" i="36"/>
  <c r="E18" i="36"/>
  <c r="D18" i="36"/>
  <c r="C18" i="36"/>
  <c r="B18" i="36"/>
  <c r="J18" i="35"/>
  <c r="I18" i="35"/>
  <c r="H18" i="35"/>
  <c r="G18" i="35"/>
  <c r="F18" i="35"/>
  <c r="E18" i="35"/>
  <c r="D18" i="35"/>
  <c r="C18" i="35"/>
  <c r="B18" i="35"/>
  <c r="J18" i="34"/>
  <c r="I18" i="34"/>
  <c r="H18" i="34"/>
  <c r="G18" i="34"/>
  <c r="F18" i="34"/>
  <c r="E18" i="34"/>
  <c r="D18" i="34"/>
  <c r="C18" i="34"/>
  <c r="B18" i="34"/>
  <c r="J18" i="33"/>
  <c r="I18" i="33"/>
  <c r="H18" i="33"/>
  <c r="G18" i="33"/>
  <c r="F18" i="33"/>
  <c r="E18" i="33"/>
  <c r="D18" i="33"/>
  <c r="C18" i="33"/>
  <c r="B18" i="33"/>
  <c r="J18" i="32"/>
  <c r="I18" i="32"/>
  <c r="H18" i="32"/>
  <c r="G18" i="32"/>
  <c r="F18" i="32"/>
  <c r="E18" i="32"/>
  <c r="D18" i="32"/>
  <c r="C18" i="32"/>
  <c r="B18" i="32"/>
  <c r="J18" i="31"/>
  <c r="I18" i="31"/>
  <c r="H18" i="31"/>
  <c r="G18" i="31"/>
  <c r="F18" i="31"/>
  <c r="E18" i="31"/>
  <c r="D18" i="31"/>
  <c r="C18" i="31"/>
  <c r="B18" i="31"/>
  <c r="J18" i="29"/>
  <c r="I18" i="29"/>
  <c r="H18" i="29"/>
  <c r="G18" i="29"/>
  <c r="F18" i="29"/>
  <c r="E18" i="29"/>
  <c r="D18" i="29"/>
  <c r="C18" i="29"/>
  <c r="B18" i="29"/>
  <c r="J18" i="27"/>
  <c r="I18" i="27"/>
  <c r="H18" i="27"/>
  <c r="G18" i="27"/>
  <c r="F18" i="27"/>
  <c r="E18" i="27"/>
  <c r="D18" i="27"/>
  <c r="C18" i="27"/>
  <c r="B18" i="27"/>
  <c r="J18" i="26"/>
  <c r="I18" i="26"/>
  <c r="H18" i="26"/>
  <c r="G18" i="26"/>
  <c r="F18" i="26"/>
  <c r="E18" i="26"/>
  <c r="D18" i="26"/>
  <c r="C18" i="26"/>
  <c r="B18" i="26"/>
  <c r="J19" i="24"/>
  <c r="I19" i="24"/>
  <c r="H19" i="24"/>
  <c r="G19" i="24"/>
  <c r="F19" i="24"/>
  <c r="E19" i="24"/>
  <c r="D19" i="24"/>
  <c r="C19" i="24"/>
  <c r="B19" i="24"/>
  <c r="J19" i="23"/>
  <c r="I19" i="23"/>
  <c r="H19" i="23"/>
  <c r="G19" i="23"/>
  <c r="F19" i="23"/>
  <c r="E19" i="23"/>
  <c r="D19" i="23"/>
  <c r="C19" i="23"/>
  <c r="B19" i="23"/>
  <c r="J19" i="22"/>
  <c r="I19" i="22"/>
  <c r="H19" i="22"/>
  <c r="G19" i="22"/>
  <c r="F19" i="22"/>
  <c r="E19" i="22"/>
  <c r="D19" i="22"/>
  <c r="C19" i="22"/>
  <c r="B19" i="22"/>
  <c r="J19" i="21"/>
  <c r="I19" i="21"/>
  <c r="H19" i="21"/>
  <c r="G19" i="21"/>
  <c r="F19" i="21"/>
  <c r="E19" i="21"/>
  <c r="D19" i="21"/>
  <c r="C19" i="21"/>
  <c r="B19" i="21"/>
  <c r="J19" i="20"/>
  <c r="I19" i="20"/>
  <c r="H19" i="20"/>
  <c r="G19" i="20"/>
  <c r="F19" i="20"/>
  <c r="E19" i="20"/>
  <c r="D19" i="20"/>
  <c r="C19" i="20"/>
  <c r="B19" i="20"/>
  <c r="J17" i="44"/>
  <c r="I17" i="44"/>
  <c r="H17" i="44"/>
  <c r="G17" i="44"/>
  <c r="F17" i="44"/>
  <c r="E17" i="44"/>
  <c r="D17" i="44"/>
  <c r="C17" i="44"/>
  <c r="B17" i="44"/>
  <c r="J17" i="43"/>
  <c r="I17" i="43"/>
  <c r="H17" i="43"/>
  <c r="G17" i="43"/>
  <c r="F17" i="43"/>
  <c r="E17" i="43"/>
  <c r="D17" i="43"/>
  <c r="C17" i="43"/>
  <c r="B17" i="43"/>
  <c r="J17" i="42"/>
  <c r="I17" i="42"/>
  <c r="H17" i="42"/>
  <c r="G17" i="42"/>
  <c r="F17" i="42"/>
  <c r="E17" i="42"/>
  <c r="D17" i="42"/>
  <c r="C17" i="42"/>
  <c r="B17" i="42"/>
  <c r="J17" i="41"/>
  <c r="I17" i="41"/>
  <c r="H17" i="41"/>
  <c r="G17" i="41"/>
  <c r="F17" i="41"/>
  <c r="E17" i="41"/>
  <c r="D17" i="41"/>
  <c r="C17" i="41"/>
  <c r="B17" i="41"/>
  <c r="J17" i="40"/>
  <c r="I17" i="40"/>
  <c r="H17" i="40"/>
  <c r="G17" i="40"/>
  <c r="F17" i="40"/>
  <c r="E17" i="40"/>
  <c r="D17" i="40"/>
  <c r="C17" i="40"/>
  <c r="B17" i="40"/>
  <c r="J17" i="39"/>
  <c r="I17" i="39"/>
  <c r="H17" i="39"/>
  <c r="G17" i="39"/>
  <c r="F17" i="39"/>
  <c r="E17" i="39"/>
  <c r="D17" i="39"/>
  <c r="C17" i="39"/>
  <c r="B17" i="39"/>
  <c r="J17" i="38"/>
  <c r="I17" i="38"/>
  <c r="H17" i="38"/>
  <c r="G17" i="38"/>
  <c r="F17" i="38"/>
  <c r="E17" i="38"/>
  <c r="D17" i="38"/>
  <c r="C17" i="38"/>
  <c r="B17" i="38"/>
  <c r="J17" i="37"/>
  <c r="I17" i="37"/>
  <c r="H17" i="37"/>
  <c r="G17" i="37"/>
  <c r="F17" i="37"/>
  <c r="E17" i="37"/>
  <c r="D17" i="37"/>
  <c r="C17" i="37"/>
  <c r="B17" i="37"/>
  <c r="J17" i="36"/>
  <c r="I17" i="36"/>
  <c r="H17" i="36"/>
  <c r="G17" i="36"/>
  <c r="F17" i="36"/>
  <c r="E17" i="36"/>
  <c r="D17" i="36"/>
  <c r="C17" i="36"/>
  <c r="B17" i="36"/>
  <c r="J17" i="35"/>
  <c r="I17" i="35"/>
  <c r="H17" i="35"/>
  <c r="G17" i="35"/>
  <c r="F17" i="35"/>
  <c r="E17" i="35"/>
  <c r="D17" i="35"/>
  <c r="C17" i="35"/>
  <c r="B17" i="35"/>
  <c r="J17" i="34"/>
  <c r="I17" i="34"/>
  <c r="H17" i="34"/>
  <c r="G17" i="34"/>
  <c r="F17" i="34"/>
  <c r="E17" i="34"/>
  <c r="D17" i="34"/>
  <c r="C17" i="34"/>
  <c r="B17" i="34"/>
  <c r="J17" i="33"/>
  <c r="I17" i="33"/>
  <c r="H17" i="33"/>
  <c r="G17" i="33"/>
  <c r="F17" i="33"/>
  <c r="E17" i="33"/>
  <c r="D17" i="33"/>
  <c r="C17" i="33"/>
  <c r="B17" i="33"/>
  <c r="J17" i="32"/>
  <c r="I17" i="32"/>
  <c r="H17" i="32"/>
  <c r="G17" i="32"/>
  <c r="F17" i="32"/>
  <c r="E17" i="32"/>
  <c r="D17" i="32"/>
  <c r="C17" i="32"/>
  <c r="B17" i="32"/>
  <c r="J17" i="31"/>
  <c r="I17" i="31"/>
  <c r="H17" i="31"/>
  <c r="G17" i="31"/>
  <c r="F17" i="31"/>
  <c r="E17" i="31"/>
  <c r="D17" i="31"/>
  <c r="C17" i="31"/>
  <c r="B17" i="31"/>
  <c r="J17" i="29"/>
  <c r="I17" i="29"/>
  <c r="H17" i="29"/>
  <c r="G17" i="29"/>
  <c r="F17" i="29"/>
  <c r="E17" i="29"/>
  <c r="D17" i="29"/>
  <c r="C17" i="29"/>
  <c r="B17" i="29"/>
  <c r="J17" i="27"/>
  <c r="I17" i="27"/>
  <c r="H17" i="27"/>
  <c r="G17" i="27"/>
  <c r="F17" i="27"/>
  <c r="E17" i="27"/>
  <c r="D17" i="27"/>
  <c r="C17" i="27"/>
  <c r="B17" i="27"/>
  <c r="J17" i="26"/>
  <c r="I17" i="26"/>
  <c r="H17" i="26"/>
  <c r="G17" i="26"/>
  <c r="F17" i="26"/>
  <c r="E17" i="26"/>
  <c r="D17" i="26"/>
  <c r="C17" i="26"/>
  <c r="B17" i="26"/>
  <c r="J18" i="24"/>
  <c r="I18" i="24"/>
  <c r="H18" i="24"/>
  <c r="G18" i="24"/>
  <c r="F18" i="24"/>
  <c r="E18" i="24"/>
  <c r="D18" i="24"/>
  <c r="C18" i="24"/>
  <c r="B18" i="24"/>
  <c r="J18" i="23"/>
  <c r="I18" i="23"/>
  <c r="H18" i="23"/>
  <c r="G18" i="23"/>
  <c r="F18" i="23"/>
  <c r="E18" i="23"/>
  <c r="D18" i="23"/>
  <c r="C18" i="23"/>
  <c r="B18" i="23"/>
  <c r="J18" i="22"/>
  <c r="I18" i="22"/>
  <c r="H18" i="22"/>
  <c r="G18" i="22"/>
  <c r="F18" i="22"/>
  <c r="E18" i="22"/>
  <c r="D18" i="22"/>
  <c r="C18" i="22"/>
  <c r="B18" i="22"/>
  <c r="J18" i="21"/>
  <c r="I18" i="21"/>
  <c r="H18" i="21"/>
  <c r="G18" i="21"/>
  <c r="F18" i="21"/>
  <c r="E18" i="21"/>
  <c r="D18" i="21"/>
  <c r="C18" i="21"/>
  <c r="B18" i="21"/>
  <c r="J18" i="20"/>
  <c r="I18" i="20"/>
  <c r="H18" i="20"/>
  <c r="G18" i="20"/>
  <c r="F18" i="20"/>
  <c r="E18" i="20"/>
  <c r="D18" i="20"/>
  <c r="C18" i="20"/>
  <c r="B18" i="20"/>
  <c r="V18" i="19"/>
  <c r="U18" i="19"/>
  <c r="T18" i="19"/>
  <c r="V18" i="18"/>
  <c r="U18" i="18"/>
  <c r="J16" i="44"/>
  <c r="I16" i="44"/>
  <c r="H16" i="44"/>
  <c r="G16" i="44"/>
  <c r="F16" i="44"/>
  <c r="E16" i="44"/>
  <c r="D16" i="44"/>
  <c r="C16" i="44"/>
  <c r="B16" i="44"/>
  <c r="J16" i="43"/>
  <c r="I16" i="43"/>
  <c r="H16" i="43"/>
  <c r="G16" i="43"/>
  <c r="F16" i="43"/>
  <c r="E16" i="43"/>
  <c r="D16" i="43"/>
  <c r="C16" i="43"/>
  <c r="B16" i="43"/>
  <c r="J16" i="42"/>
  <c r="I16" i="42"/>
  <c r="H16" i="42"/>
  <c r="G16" i="42"/>
  <c r="F16" i="42"/>
  <c r="E16" i="42"/>
  <c r="D16" i="42"/>
  <c r="C16" i="42"/>
  <c r="B16" i="42"/>
  <c r="J16" i="41"/>
  <c r="I16" i="41"/>
  <c r="H16" i="41"/>
  <c r="G16" i="41"/>
  <c r="F16" i="41"/>
  <c r="E16" i="41"/>
  <c r="D16" i="41"/>
  <c r="C16" i="41"/>
  <c r="B16" i="41"/>
  <c r="J16" i="40"/>
  <c r="I16" i="40"/>
  <c r="H16" i="40"/>
  <c r="G16" i="40"/>
  <c r="F16" i="40"/>
  <c r="E16" i="40"/>
  <c r="D16" i="40"/>
  <c r="C16" i="40"/>
  <c r="B16" i="40"/>
  <c r="J16" i="39"/>
  <c r="I16" i="39"/>
  <c r="H16" i="39"/>
  <c r="G16" i="39"/>
  <c r="F16" i="39"/>
  <c r="E16" i="39"/>
  <c r="D16" i="39"/>
  <c r="C16" i="39"/>
  <c r="B16" i="39"/>
  <c r="J16" i="38"/>
  <c r="I16" i="38"/>
  <c r="H16" i="38"/>
  <c r="G16" i="38"/>
  <c r="F16" i="38"/>
  <c r="E16" i="38"/>
  <c r="D16" i="38"/>
  <c r="C16" i="38"/>
  <c r="B16" i="38"/>
  <c r="J16" i="37"/>
  <c r="I16" i="37"/>
  <c r="H16" i="37"/>
  <c r="G16" i="37"/>
  <c r="F16" i="37"/>
  <c r="E16" i="37"/>
  <c r="D16" i="37"/>
  <c r="C16" i="37"/>
  <c r="B16" i="37"/>
  <c r="J16" i="36"/>
  <c r="I16" i="36"/>
  <c r="H16" i="36"/>
  <c r="G16" i="36"/>
  <c r="F16" i="36"/>
  <c r="E16" i="36"/>
  <c r="D16" i="36"/>
  <c r="C16" i="36"/>
  <c r="B16" i="36"/>
  <c r="J16" i="35"/>
  <c r="I16" i="35"/>
  <c r="H16" i="35"/>
  <c r="G16" i="35"/>
  <c r="F16" i="35"/>
  <c r="E16" i="35"/>
  <c r="D16" i="35"/>
  <c r="C16" i="35"/>
  <c r="B16" i="35"/>
  <c r="J16" i="34"/>
  <c r="I16" i="34"/>
  <c r="H16" i="34"/>
  <c r="G16" i="34"/>
  <c r="F16" i="34"/>
  <c r="E16" i="34"/>
  <c r="D16" i="34"/>
  <c r="C16" i="34"/>
  <c r="B16" i="34"/>
  <c r="J16" i="33"/>
  <c r="I16" i="33"/>
  <c r="H16" i="33"/>
  <c r="G16" i="33"/>
  <c r="F16" i="33"/>
  <c r="E16" i="33"/>
  <c r="D16" i="33"/>
  <c r="C16" i="33"/>
  <c r="B16" i="33"/>
  <c r="J16" i="32"/>
  <c r="I16" i="32"/>
  <c r="H16" i="32"/>
  <c r="G16" i="32"/>
  <c r="F16" i="32"/>
  <c r="E16" i="32"/>
  <c r="D16" i="32"/>
  <c r="C16" i="32"/>
  <c r="B16" i="32"/>
  <c r="J16" i="31"/>
  <c r="I16" i="31"/>
  <c r="H16" i="31"/>
  <c r="G16" i="31"/>
  <c r="F16" i="31"/>
  <c r="E16" i="31"/>
  <c r="D16" i="31"/>
  <c r="C16" i="31"/>
  <c r="B16" i="31"/>
  <c r="J16" i="29"/>
  <c r="I16" i="29"/>
  <c r="H16" i="29"/>
  <c r="G16" i="29"/>
  <c r="F16" i="29"/>
  <c r="E16" i="29"/>
  <c r="D16" i="29"/>
  <c r="C16" i="29"/>
  <c r="B16" i="29"/>
  <c r="J16" i="27"/>
  <c r="I16" i="27"/>
  <c r="H16" i="27"/>
  <c r="G16" i="27"/>
  <c r="F16" i="27"/>
  <c r="E16" i="27"/>
  <c r="D16" i="27"/>
  <c r="C16" i="27"/>
  <c r="B16" i="27"/>
  <c r="J16" i="26"/>
  <c r="I16" i="26"/>
  <c r="H16" i="26"/>
  <c r="G16" i="26"/>
  <c r="F16" i="26"/>
  <c r="E16" i="26"/>
  <c r="D16" i="26"/>
  <c r="C16" i="26"/>
  <c r="B16" i="26"/>
  <c r="J17" i="24"/>
  <c r="I17" i="24"/>
  <c r="H17" i="24"/>
  <c r="G17" i="24"/>
  <c r="F17" i="24"/>
  <c r="E17" i="24"/>
  <c r="D17" i="24"/>
  <c r="C17" i="24"/>
  <c r="B17" i="24"/>
  <c r="J17" i="23"/>
  <c r="I17" i="23"/>
  <c r="H17" i="23"/>
  <c r="G17" i="23"/>
  <c r="F17" i="23"/>
  <c r="E17" i="23"/>
  <c r="D17" i="23"/>
  <c r="C17" i="23"/>
  <c r="B17" i="23"/>
  <c r="J17" i="22"/>
  <c r="I17" i="22"/>
  <c r="H17" i="22"/>
  <c r="G17" i="22"/>
  <c r="F17" i="22"/>
  <c r="E17" i="22"/>
  <c r="D17" i="22"/>
  <c r="C17" i="22"/>
  <c r="B17" i="22"/>
  <c r="J17" i="21"/>
  <c r="I17" i="21"/>
  <c r="H17" i="21"/>
  <c r="G17" i="21"/>
  <c r="F17" i="21"/>
  <c r="E17" i="21"/>
  <c r="D17" i="21"/>
  <c r="C17" i="21"/>
  <c r="B17" i="21"/>
  <c r="J17" i="20"/>
  <c r="I17" i="20"/>
  <c r="H17" i="20"/>
  <c r="G17" i="20"/>
  <c r="F17" i="20"/>
  <c r="E17" i="20"/>
  <c r="D17" i="20"/>
  <c r="C17" i="20"/>
  <c r="B17" i="20"/>
  <c r="V17" i="19"/>
  <c r="T17" i="19"/>
  <c r="T17" i="18"/>
  <c r="J15" i="44"/>
  <c r="I15" i="44"/>
  <c r="H15" i="44"/>
  <c r="G15" i="44"/>
  <c r="F15" i="44"/>
  <c r="E15" i="44"/>
  <c r="D15" i="44"/>
  <c r="C15" i="44"/>
  <c r="B15" i="44"/>
  <c r="J15" i="43"/>
  <c r="I15" i="43"/>
  <c r="H15" i="43"/>
  <c r="G15" i="43"/>
  <c r="F15" i="43"/>
  <c r="E15" i="43"/>
  <c r="D15" i="43"/>
  <c r="C15" i="43"/>
  <c r="B15" i="43"/>
  <c r="J15" i="42"/>
  <c r="I15" i="42"/>
  <c r="H15" i="42"/>
  <c r="G15" i="42"/>
  <c r="F15" i="42"/>
  <c r="E15" i="42"/>
  <c r="D15" i="42"/>
  <c r="C15" i="42"/>
  <c r="B15" i="42"/>
  <c r="J15" i="41"/>
  <c r="I15" i="41"/>
  <c r="H15" i="41"/>
  <c r="G15" i="41"/>
  <c r="F15" i="41"/>
  <c r="E15" i="41"/>
  <c r="D15" i="41"/>
  <c r="C15" i="41"/>
  <c r="B15" i="41"/>
  <c r="J15" i="40"/>
  <c r="I15" i="40"/>
  <c r="H15" i="40"/>
  <c r="G15" i="40"/>
  <c r="F15" i="40"/>
  <c r="E15" i="40"/>
  <c r="D15" i="40"/>
  <c r="C15" i="40"/>
  <c r="B15" i="40"/>
  <c r="J15" i="39"/>
  <c r="I15" i="39"/>
  <c r="H15" i="39"/>
  <c r="G15" i="39"/>
  <c r="F15" i="39"/>
  <c r="E15" i="39"/>
  <c r="D15" i="39"/>
  <c r="C15" i="39"/>
  <c r="B15" i="39"/>
  <c r="J15" i="38"/>
  <c r="I15" i="38"/>
  <c r="H15" i="38"/>
  <c r="G15" i="38"/>
  <c r="F15" i="38"/>
  <c r="E15" i="38"/>
  <c r="D15" i="38"/>
  <c r="C15" i="38"/>
  <c r="B15" i="38"/>
  <c r="J15" i="37"/>
  <c r="I15" i="37"/>
  <c r="H15" i="37"/>
  <c r="G15" i="37"/>
  <c r="F15" i="37"/>
  <c r="E15" i="37"/>
  <c r="D15" i="37"/>
  <c r="C15" i="37"/>
  <c r="B15" i="37"/>
  <c r="J15" i="36"/>
  <c r="I15" i="36"/>
  <c r="H15" i="36"/>
  <c r="G15" i="36"/>
  <c r="F15" i="36"/>
  <c r="E15" i="36"/>
  <c r="D15" i="36"/>
  <c r="C15" i="36"/>
  <c r="B15" i="36"/>
  <c r="J15" i="35"/>
  <c r="I15" i="35"/>
  <c r="H15" i="35"/>
  <c r="G15" i="35"/>
  <c r="F15" i="35"/>
  <c r="E15" i="35"/>
  <c r="D15" i="35"/>
  <c r="C15" i="35"/>
  <c r="B15" i="35"/>
  <c r="J15" i="34"/>
  <c r="I15" i="34"/>
  <c r="H15" i="34"/>
  <c r="G15" i="34"/>
  <c r="F15" i="34"/>
  <c r="E15" i="34"/>
  <c r="D15" i="34"/>
  <c r="C15" i="34"/>
  <c r="B15" i="34"/>
  <c r="J15" i="33"/>
  <c r="I15" i="33"/>
  <c r="H15" i="33"/>
  <c r="G15" i="33"/>
  <c r="F15" i="33"/>
  <c r="E15" i="33"/>
  <c r="D15" i="33"/>
  <c r="C15" i="33"/>
  <c r="B15" i="33"/>
  <c r="J15" i="32"/>
  <c r="I15" i="32"/>
  <c r="H15" i="32"/>
  <c r="G15" i="32"/>
  <c r="F15" i="32"/>
  <c r="E15" i="32"/>
  <c r="D15" i="32"/>
  <c r="C15" i="32"/>
  <c r="B15" i="32"/>
  <c r="J15" i="31"/>
  <c r="I15" i="31"/>
  <c r="H15" i="31"/>
  <c r="G15" i="31"/>
  <c r="F15" i="31"/>
  <c r="E15" i="31"/>
  <c r="D15" i="31"/>
  <c r="C15" i="31"/>
  <c r="B15" i="31"/>
  <c r="J15" i="29"/>
  <c r="I15" i="29"/>
  <c r="H15" i="29"/>
  <c r="G15" i="29"/>
  <c r="F15" i="29"/>
  <c r="E15" i="29"/>
  <c r="D15" i="29"/>
  <c r="C15" i="29"/>
  <c r="B15" i="29"/>
  <c r="J15" i="27"/>
  <c r="I15" i="27"/>
  <c r="H15" i="27"/>
  <c r="G15" i="27"/>
  <c r="F15" i="27"/>
  <c r="E15" i="27"/>
  <c r="D15" i="27"/>
  <c r="C15" i="27"/>
  <c r="B15" i="27"/>
  <c r="J15" i="26"/>
  <c r="I15" i="26"/>
  <c r="H15" i="26"/>
  <c r="G15" i="26"/>
  <c r="F15" i="26"/>
  <c r="E15" i="26"/>
  <c r="D15" i="26"/>
  <c r="C15" i="26"/>
  <c r="B15" i="26"/>
  <c r="J16" i="24"/>
  <c r="I16" i="24"/>
  <c r="H16" i="24"/>
  <c r="G16" i="24"/>
  <c r="F16" i="24"/>
  <c r="E16" i="24"/>
  <c r="D16" i="24"/>
  <c r="C16" i="24"/>
  <c r="B16" i="24"/>
  <c r="J16" i="23"/>
  <c r="I16" i="23"/>
  <c r="H16" i="23"/>
  <c r="G16" i="23"/>
  <c r="F16" i="23"/>
  <c r="E16" i="23"/>
  <c r="D16" i="23"/>
  <c r="C16" i="23"/>
  <c r="B16" i="23"/>
  <c r="J16" i="22"/>
  <c r="I16" i="22"/>
  <c r="H16" i="22"/>
  <c r="G16" i="22"/>
  <c r="F16" i="22"/>
  <c r="E16" i="22"/>
  <c r="D16" i="22"/>
  <c r="C16" i="22"/>
  <c r="B16" i="22"/>
  <c r="J16" i="21"/>
  <c r="I16" i="21"/>
  <c r="H16" i="21"/>
  <c r="G16" i="21"/>
  <c r="F16" i="21"/>
  <c r="E16" i="21"/>
  <c r="D16" i="21"/>
  <c r="C16" i="21"/>
  <c r="B16" i="21"/>
  <c r="J16" i="20"/>
  <c r="I16" i="20"/>
  <c r="H16" i="20"/>
  <c r="G16" i="20"/>
  <c r="F16" i="20"/>
  <c r="E16" i="20"/>
  <c r="D16" i="20"/>
  <c r="C16" i="20"/>
  <c r="B16" i="20"/>
  <c r="U16" i="19"/>
  <c r="T16" i="19"/>
  <c r="V16" i="18"/>
  <c r="U16" i="18"/>
  <c r="J14" i="44"/>
  <c r="I14" i="44"/>
  <c r="H14" i="44"/>
  <c r="G14" i="44"/>
  <c r="F14" i="44"/>
  <c r="E14" i="44"/>
  <c r="D14" i="44"/>
  <c r="C14" i="44"/>
  <c r="B14" i="44"/>
  <c r="J14" i="43"/>
  <c r="I14" i="43"/>
  <c r="H14" i="43"/>
  <c r="G14" i="43"/>
  <c r="F14" i="43"/>
  <c r="E14" i="43"/>
  <c r="D14" i="43"/>
  <c r="C14" i="43"/>
  <c r="B14" i="43"/>
  <c r="J14" i="42"/>
  <c r="I14" i="42"/>
  <c r="H14" i="42"/>
  <c r="G14" i="42"/>
  <c r="F14" i="42"/>
  <c r="E14" i="42"/>
  <c r="D14" i="42"/>
  <c r="C14" i="42"/>
  <c r="B14" i="42"/>
  <c r="J14" i="41"/>
  <c r="I14" i="41"/>
  <c r="H14" i="41"/>
  <c r="G14" i="41"/>
  <c r="F14" i="41"/>
  <c r="E14" i="41"/>
  <c r="D14" i="41"/>
  <c r="C14" i="41"/>
  <c r="B14" i="41"/>
  <c r="J14" i="40"/>
  <c r="I14" i="40"/>
  <c r="H14" i="40"/>
  <c r="G14" i="40"/>
  <c r="F14" i="40"/>
  <c r="E14" i="40"/>
  <c r="D14" i="40"/>
  <c r="C14" i="40"/>
  <c r="B14" i="40"/>
  <c r="J14" i="39"/>
  <c r="I14" i="39"/>
  <c r="H14" i="39"/>
  <c r="G14" i="39"/>
  <c r="F14" i="39"/>
  <c r="E14" i="39"/>
  <c r="D14" i="39"/>
  <c r="C14" i="39"/>
  <c r="B14" i="39"/>
  <c r="J14" i="38"/>
  <c r="I14" i="38"/>
  <c r="H14" i="38"/>
  <c r="G14" i="38"/>
  <c r="F14" i="38"/>
  <c r="E14" i="38"/>
  <c r="D14" i="38"/>
  <c r="C14" i="38"/>
  <c r="B14" i="38"/>
  <c r="J14" i="37"/>
  <c r="I14" i="37"/>
  <c r="H14" i="37"/>
  <c r="G14" i="37"/>
  <c r="F14" i="37"/>
  <c r="E14" i="37"/>
  <c r="D14" i="37"/>
  <c r="C14" i="37"/>
  <c r="B14" i="37"/>
  <c r="J14" i="36"/>
  <c r="I14" i="36"/>
  <c r="H14" i="36"/>
  <c r="G14" i="36"/>
  <c r="F14" i="36"/>
  <c r="E14" i="36"/>
  <c r="D14" i="36"/>
  <c r="C14" i="36"/>
  <c r="B14" i="36"/>
  <c r="J14" i="35"/>
  <c r="I14" i="35"/>
  <c r="H14" i="35"/>
  <c r="G14" i="35"/>
  <c r="F14" i="35"/>
  <c r="E14" i="35"/>
  <c r="D14" i="35"/>
  <c r="C14" i="35"/>
  <c r="B14" i="35"/>
  <c r="J14" i="34"/>
  <c r="I14" i="34"/>
  <c r="H14" i="34"/>
  <c r="G14" i="34"/>
  <c r="F14" i="34"/>
  <c r="E14" i="34"/>
  <c r="D14" i="34"/>
  <c r="C14" i="34"/>
  <c r="B14" i="34"/>
  <c r="J14" i="33"/>
  <c r="I14" i="33"/>
  <c r="H14" i="33"/>
  <c r="G14" i="33"/>
  <c r="F14" i="33"/>
  <c r="E14" i="33"/>
  <c r="D14" i="33"/>
  <c r="C14" i="33"/>
  <c r="B14" i="33"/>
  <c r="J14" i="32"/>
  <c r="I14" i="32"/>
  <c r="H14" i="32"/>
  <c r="G14" i="32"/>
  <c r="F14" i="32"/>
  <c r="E14" i="32"/>
  <c r="D14" i="32"/>
  <c r="C14" i="32"/>
  <c r="B14" i="32"/>
  <c r="J14" i="31"/>
  <c r="I14" i="31"/>
  <c r="H14" i="31"/>
  <c r="G14" i="31"/>
  <c r="F14" i="31"/>
  <c r="E14" i="31"/>
  <c r="D14" i="31"/>
  <c r="C14" i="31"/>
  <c r="B14" i="31"/>
  <c r="J14" i="29"/>
  <c r="I14" i="29"/>
  <c r="H14" i="29"/>
  <c r="G14" i="29"/>
  <c r="F14" i="29"/>
  <c r="E14" i="29"/>
  <c r="D14" i="29"/>
  <c r="C14" i="29"/>
  <c r="B14" i="29"/>
  <c r="J14" i="27"/>
  <c r="I14" i="27"/>
  <c r="H14" i="27"/>
  <c r="G14" i="27"/>
  <c r="F14" i="27"/>
  <c r="E14" i="27"/>
  <c r="D14" i="27"/>
  <c r="C14" i="27"/>
  <c r="B14" i="27"/>
  <c r="J14" i="26"/>
  <c r="I14" i="26"/>
  <c r="H14" i="26"/>
  <c r="G14" i="26"/>
  <c r="F14" i="26"/>
  <c r="E14" i="26"/>
  <c r="D14" i="26"/>
  <c r="C14" i="26"/>
  <c r="B14" i="26"/>
  <c r="J15" i="24"/>
  <c r="I15" i="24"/>
  <c r="H15" i="24"/>
  <c r="G15" i="24"/>
  <c r="F15" i="24"/>
  <c r="E15" i="24"/>
  <c r="D15" i="24"/>
  <c r="C15" i="24"/>
  <c r="B15" i="24"/>
  <c r="J15" i="23"/>
  <c r="I15" i="23"/>
  <c r="H15" i="23"/>
  <c r="G15" i="23"/>
  <c r="F15" i="23"/>
  <c r="E15" i="23"/>
  <c r="D15" i="23"/>
  <c r="C15" i="23"/>
  <c r="B15" i="23"/>
  <c r="J15" i="22"/>
  <c r="I15" i="22"/>
  <c r="H15" i="22"/>
  <c r="G15" i="22"/>
  <c r="F15" i="22"/>
  <c r="E15" i="22"/>
  <c r="D15" i="22"/>
  <c r="C15" i="22"/>
  <c r="B15" i="22"/>
  <c r="J15" i="21"/>
  <c r="I15" i="21"/>
  <c r="H15" i="21"/>
  <c r="G15" i="21"/>
  <c r="F15" i="21"/>
  <c r="E15" i="21"/>
  <c r="D15" i="21"/>
  <c r="C15" i="21"/>
  <c r="B15" i="21"/>
  <c r="J15" i="20"/>
  <c r="I15" i="20"/>
  <c r="H15" i="20"/>
  <c r="G15" i="20"/>
  <c r="F15" i="20"/>
  <c r="E15" i="20"/>
  <c r="D15" i="20"/>
  <c r="C15" i="20"/>
  <c r="B15" i="20"/>
  <c r="U15" i="19"/>
  <c r="V15" i="18"/>
  <c r="J13" i="44"/>
  <c r="I13" i="44"/>
  <c r="H13" i="44"/>
  <c r="G13" i="44"/>
  <c r="F13" i="44"/>
  <c r="E13" i="44"/>
  <c r="D13" i="44"/>
  <c r="C13" i="44"/>
  <c r="B13" i="44"/>
  <c r="J13" i="43"/>
  <c r="I13" i="43"/>
  <c r="H13" i="43"/>
  <c r="G13" i="43"/>
  <c r="F13" i="43"/>
  <c r="E13" i="43"/>
  <c r="D13" i="43"/>
  <c r="C13" i="43"/>
  <c r="B13" i="43"/>
  <c r="J13" i="42"/>
  <c r="I13" i="42"/>
  <c r="H13" i="42"/>
  <c r="G13" i="42"/>
  <c r="F13" i="42"/>
  <c r="E13" i="42"/>
  <c r="D13" i="42"/>
  <c r="C13" i="42"/>
  <c r="B13" i="42"/>
  <c r="J13" i="41"/>
  <c r="I13" i="41"/>
  <c r="H13" i="41"/>
  <c r="G13" i="41"/>
  <c r="F13" i="41"/>
  <c r="E13" i="41"/>
  <c r="D13" i="41"/>
  <c r="C13" i="41"/>
  <c r="B13" i="41"/>
  <c r="J13" i="40"/>
  <c r="I13" i="40"/>
  <c r="H13" i="40"/>
  <c r="G13" i="40"/>
  <c r="F13" i="40"/>
  <c r="E13" i="40"/>
  <c r="D13" i="40"/>
  <c r="C13" i="40"/>
  <c r="B13" i="40"/>
  <c r="J13" i="39"/>
  <c r="I13" i="39"/>
  <c r="H13" i="39"/>
  <c r="G13" i="39"/>
  <c r="F13" i="39"/>
  <c r="E13" i="39"/>
  <c r="D13" i="39"/>
  <c r="C13" i="39"/>
  <c r="B13" i="39"/>
  <c r="J13" i="38"/>
  <c r="I13" i="38"/>
  <c r="H13" i="38"/>
  <c r="G13" i="38"/>
  <c r="F13" i="38"/>
  <c r="E13" i="38"/>
  <c r="D13" i="38"/>
  <c r="C13" i="38"/>
  <c r="B13" i="38"/>
  <c r="J13" i="37"/>
  <c r="I13" i="37"/>
  <c r="H13" i="37"/>
  <c r="G13" i="37"/>
  <c r="F13" i="37"/>
  <c r="E13" i="37"/>
  <c r="D13" i="37"/>
  <c r="C13" i="37"/>
  <c r="B13" i="37"/>
  <c r="J13" i="36"/>
  <c r="I13" i="36"/>
  <c r="H13" i="36"/>
  <c r="G13" i="36"/>
  <c r="F13" i="36"/>
  <c r="E13" i="36"/>
  <c r="D13" i="36"/>
  <c r="C13" i="36"/>
  <c r="B13" i="36"/>
  <c r="J13" i="35"/>
  <c r="I13" i="35"/>
  <c r="H13" i="35"/>
  <c r="G13" i="35"/>
  <c r="F13" i="35"/>
  <c r="E13" i="35"/>
  <c r="D13" i="35"/>
  <c r="C13" i="35"/>
  <c r="B13" i="35"/>
  <c r="J13" i="34"/>
  <c r="I13" i="34"/>
  <c r="H13" i="34"/>
  <c r="G13" i="34"/>
  <c r="F13" i="34"/>
  <c r="E13" i="34"/>
  <c r="D13" i="34"/>
  <c r="C13" i="34"/>
  <c r="B13" i="34"/>
  <c r="J13" i="33"/>
  <c r="I13" i="33"/>
  <c r="H13" i="33"/>
  <c r="G13" i="33"/>
  <c r="F13" i="33"/>
  <c r="E13" i="33"/>
  <c r="D13" i="33"/>
  <c r="C13" i="33"/>
  <c r="B13" i="33"/>
  <c r="J13" i="32"/>
  <c r="I13" i="32"/>
  <c r="H13" i="32"/>
  <c r="G13" i="32"/>
  <c r="F13" i="32"/>
  <c r="E13" i="32"/>
  <c r="D13" i="32"/>
  <c r="C13" i="32"/>
  <c r="B13" i="32"/>
  <c r="J13" i="31"/>
  <c r="I13" i="31"/>
  <c r="H13" i="31"/>
  <c r="G13" i="31"/>
  <c r="F13" i="31"/>
  <c r="E13" i="31"/>
  <c r="D13" i="31"/>
  <c r="C13" i="31"/>
  <c r="B13" i="31"/>
  <c r="J13" i="29"/>
  <c r="I13" i="29"/>
  <c r="H13" i="29"/>
  <c r="G13" i="29"/>
  <c r="F13" i="29"/>
  <c r="E13" i="29"/>
  <c r="D13" i="29"/>
  <c r="C13" i="29"/>
  <c r="B13" i="29"/>
  <c r="J13" i="27"/>
  <c r="I13" i="27"/>
  <c r="H13" i="27"/>
  <c r="G13" i="27"/>
  <c r="F13" i="27"/>
  <c r="E13" i="27"/>
  <c r="D13" i="27"/>
  <c r="C13" i="27"/>
  <c r="B13" i="27"/>
  <c r="J13" i="26"/>
  <c r="I13" i="26"/>
  <c r="H13" i="26"/>
  <c r="G13" i="26"/>
  <c r="F13" i="26"/>
  <c r="E13" i="26"/>
  <c r="D13" i="26"/>
  <c r="C13" i="26"/>
  <c r="B13" i="26"/>
  <c r="J14" i="24"/>
  <c r="I14" i="24"/>
  <c r="H14" i="24"/>
  <c r="G14" i="24"/>
  <c r="F14" i="24"/>
  <c r="E14" i="24"/>
  <c r="D14" i="24"/>
  <c r="C14" i="24"/>
  <c r="B14" i="24"/>
  <c r="J14" i="23"/>
  <c r="I14" i="23"/>
  <c r="H14" i="23"/>
  <c r="G14" i="23"/>
  <c r="F14" i="23"/>
  <c r="E14" i="23"/>
  <c r="D14" i="23"/>
  <c r="C14" i="23"/>
  <c r="B14" i="23"/>
  <c r="J14" i="22"/>
  <c r="I14" i="22"/>
  <c r="H14" i="22"/>
  <c r="G14" i="22"/>
  <c r="F14" i="22"/>
  <c r="E14" i="22"/>
  <c r="D14" i="22"/>
  <c r="C14" i="22"/>
  <c r="B14" i="22"/>
  <c r="J14" i="21"/>
  <c r="I14" i="21"/>
  <c r="H14" i="21"/>
  <c r="G14" i="21"/>
  <c r="F14" i="21"/>
  <c r="E14" i="21"/>
  <c r="D14" i="21"/>
  <c r="C14" i="21"/>
  <c r="B14" i="21"/>
  <c r="J14" i="20"/>
  <c r="I14" i="20"/>
  <c r="H14" i="20"/>
  <c r="G14" i="20"/>
  <c r="F14" i="20"/>
  <c r="E14" i="20"/>
  <c r="D14" i="20"/>
  <c r="C14" i="20"/>
  <c r="B14" i="20"/>
  <c r="U14" i="19"/>
  <c r="T14" i="19"/>
  <c r="V14" i="18"/>
  <c r="T14" i="18"/>
  <c r="J12" i="44"/>
  <c r="I12" i="44"/>
  <c r="H12" i="44"/>
  <c r="G12" i="44"/>
  <c r="F12" i="44"/>
  <c r="E12" i="44"/>
  <c r="D12" i="44"/>
  <c r="C12" i="44"/>
  <c r="B12" i="44"/>
  <c r="J12" i="43"/>
  <c r="I12" i="43"/>
  <c r="H12" i="43"/>
  <c r="G12" i="43"/>
  <c r="F12" i="43"/>
  <c r="E12" i="43"/>
  <c r="D12" i="43"/>
  <c r="C12" i="43"/>
  <c r="B12" i="43"/>
  <c r="J12" i="42"/>
  <c r="I12" i="42"/>
  <c r="H12" i="42"/>
  <c r="G12" i="42"/>
  <c r="F12" i="42"/>
  <c r="E12" i="42"/>
  <c r="D12" i="42"/>
  <c r="C12" i="42"/>
  <c r="B12" i="42"/>
  <c r="J12" i="41"/>
  <c r="I12" i="41"/>
  <c r="H12" i="41"/>
  <c r="G12" i="41"/>
  <c r="F12" i="41"/>
  <c r="E12" i="41"/>
  <c r="D12" i="41"/>
  <c r="C12" i="41"/>
  <c r="B12" i="41"/>
  <c r="J12" i="40"/>
  <c r="I12" i="40"/>
  <c r="H12" i="40"/>
  <c r="G12" i="40"/>
  <c r="F12" i="40"/>
  <c r="E12" i="40"/>
  <c r="D12" i="40"/>
  <c r="C12" i="40"/>
  <c r="B12" i="40"/>
  <c r="J12" i="39"/>
  <c r="I12" i="39"/>
  <c r="H12" i="39"/>
  <c r="G12" i="39"/>
  <c r="F12" i="39"/>
  <c r="E12" i="39"/>
  <c r="D12" i="39"/>
  <c r="C12" i="39"/>
  <c r="B12" i="39"/>
  <c r="J12" i="38"/>
  <c r="I12" i="38"/>
  <c r="H12" i="38"/>
  <c r="G12" i="38"/>
  <c r="F12" i="38"/>
  <c r="E12" i="38"/>
  <c r="D12" i="38"/>
  <c r="C12" i="38"/>
  <c r="B12" i="38"/>
  <c r="J12" i="37"/>
  <c r="I12" i="37"/>
  <c r="H12" i="37"/>
  <c r="G12" i="37"/>
  <c r="F12" i="37"/>
  <c r="E12" i="37"/>
  <c r="D12" i="37"/>
  <c r="C12" i="37"/>
  <c r="B12" i="37"/>
  <c r="J12" i="36"/>
  <c r="I12" i="36"/>
  <c r="H12" i="36"/>
  <c r="G12" i="36"/>
  <c r="F12" i="36"/>
  <c r="E12" i="36"/>
  <c r="D12" i="36"/>
  <c r="C12" i="36"/>
  <c r="B12" i="36"/>
  <c r="J12" i="35"/>
  <c r="I12" i="35"/>
  <c r="H12" i="35"/>
  <c r="G12" i="35"/>
  <c r="F12" i="35"/>
  <c r="E12" i="35"/>
  <c r="D12" i="35"/>
  <c r="C12" i="35"/>
  <c r="B12" i="35"/>
  <c r="J12" i="34"/>
  <c r="I12" i="34"/>
  <c r="H12" i="34"/>
  <c r="G12" i="34"/>
  <c r="F12" i="34"/>
  <c r="E12" i="34"/>
  <c r="D12" i="34"/>
  <c r="C12" i="34"/>
  <c r="B12" i="34"/>
  <c r="J12" i="33"/>
  <c r="I12" i="33"/>
  <c r="H12" i="33"/>
  <c r="G12" i="33"/>
  <c r="F12" i="33"/>
  <c r="E12" i="33"/>
  <c r="D12" i="33"/>
  <c r="C12" i="33"/>
  <c r="B12" i="33"/>
  <c r="J12" i="32"/>
  <c r="I12" i="32"/>
  <c r="H12" i="32"/>
  <c r="G12" i="32"/>
  <c r="F12" i="32"/>
  <c r="E12" i="32"/>
  <c r="D12" i="32"/>
  <c r="C12" i="32"/>
  <c r="B12" i="32"/>
  <c r="J12" i="31"/>
  <c r="I12" i="31"/>
  <c r="H12" i="31"/>
  <c r="G12" i="31"/>
  <c r="F12" i="31"/>
  <c r="E12" i="31"/>
  <c r="D12" i="31"/>
  <c r="C12" i="31"/>
  <c r="B12" i="31"/>
  <c r="J12" i="29"/>
  <c r="I12" i="29"/>
  <c r="H12" i="29"/>
  <c r="G12" i="29"/>
  <c r="F12" i="29"/>
  <c r="E12" i="29"/>
  <c r="D12" i="29"/>
  <c r="C12" i="29"/>
  <c r="B12" i="29"/>
  <c r="J12" i="27"/>
  <c r="I12" i="27"/>
  <c r="H12" i="27"/>
  <c r="G12" i="27"/>
  <c r="F12" i="27"/>
  <c r="E12" i="27"/>
  <c r="D12" i="27"/>
  <c r="C12" i="27"/>
  <c r="B12" i="27"/>
  <c r="J12" i="26"/>
  <c r="I12" i="26"/>
  <c r="H12" i="26"/>
  <c r="G12" i="26"/>
  <c r="F12" i="26"/>
  <c r="E12" i="26"/>
  <c r="D12" i="26"/>
  <c r="C12" i="26"/>
  <c r="B12" i="26"/>
  <c r="J13" i="24"/>
  <c r="I13" i="24"/>
  <c r="H13" i="24"/>
  <c r="G13" i="24"/>
  <c r="F13" i="24"/>
  <c r="E13" i="24"/>
  <c r="D13" i="24"/>
  <c r="C13" i="24"/>
  <c r="B13" i="24"/>
  <c r="J13" i="23"/>
  <c r="I13" i="23"/>
  <c r="H13" i="23"/>
  <c r="G13" i="23"/>
  <c r="F13" i="23"/>
  <c r="E13" i="23"/>
  <c r="D13" i="23"/>
  <c r="C13" i="23"/>
  <c r="B13" i="23"/>
  <c r="J13" i="22"/>
  <c r="I13" i="22"/>
  <c r="H13" i="22"/>
  <c r="G13" i="22"/>
  <c r="F13" i="22"/>
  <c r="E13" i="22"/>
  <c r="D13" i="22"/>
  <c r="C13" i="22"/>
  <c r="B13" i="22"/>
  <c r="J13" i="21"/>
  <c r="I13" i="21"/>
  <c r="H13" i="21"/>
  <c r="G13" i="21"/>
  <c r="F13" i="21"/>
  <c r="E13" i="21"/>
  <c r="D13" i="21"/>
  <c r="C13" i="21"/>
  <c r="B13" i="21"/>
  <c r="J13" i="20"/>
  <c r="I13" i="20"/>
  <c r="H13" i="20"/>
  <c r="G13" i="20"/>
  <c r="F13" i="20"/>
  <c r="E13" i="20"/>
  <c r="D13" i="20"/>
  <c r="C13" i="20"/>
  <c r="B13" i="20"/>
  <c r="T13" i="18"/>
  <c r="J11" i="44"/>
  <c r="I11" i="44"/>
  <c r="H11" i="44"/>
  <c r="G11" i="44"/>
  <c r="F11" i="44"/>
  <c r="E11" i="44"/>
  <c r="D11" i="44"/>
  <c r="C11" i="44"/>
  <c r="B11" i="44"/>
  <c r="J11" i="43"/>
  <c r="I11" i="43"/>
  <c r="H11" i="43"/>
  <c r="G11" i="43"/>
  <c r="F11" i="43"/>
  <c r="E11" i="43"/>
  <c r="D11" i="43"/>
  <c r="C11" i="43"/>
  <c r="B11" i="43"/>
  <c r="J11" i="42"/>
  <c r="I11" i="42"/>
  <c r="H11" i="42"/>
  <c r="G11" i="42"/>
  <c r="F11" i="42"/>
  <c r="E11" i="42"/>
  <c r="D11" i="42"/>
  <c r="C11" i="42"/>
  <c r="B11" i="42"/>
  <c r="J11" i="41"/>
  <c r="I11" i="41"/>
  <c r="H11" i="41"/>
  <c r="G11" i="41"/>
  <c r="F11" i="41"/>
  <c r="E11" i="41"/>
  <c r="D11" i="41"/>
  <c r="C11" i="41"/>
  <c r="B11" i="41"/>
  <c r="J11" i="40"/>
  <c r="I11" i="40"/>
  <c r="H11" i="40"/>
  <c r="G11" i="40"/>
  <c r="F11" i="40"/>
  <c r="E11" i="40"/>
  <c r="D11" i="40"/>
  <c r="C11" i="40"/>
  <c r="B11" i="40"/>
  <c r="J11" i="39"/>
  <c r="I11" i="39"/>
  <c r="H11" i="39"/>
  <c r="G11" i="39"/>
  <c r="F11" i="39"/>
  <c r="E11" i="39"/>
  <c r="D11" i="39"/>
  <c r="C11" i="39"/>
  <c r="B11" i="39"/>
  <c r="J11" i="38"/>
  <c r="I11" i="38"/>
  <c r="H11" i="38"/>
  <c r="G11" i="38"/>
  <c r="F11" i="38"/>
  <c r="E11" i="38"/>
  <c r="D11" i="38"/>
  <c r="C11" i="38"/>
  <c r="B11" i="38"/>
  <c r="J11" i="37"/>
  <c r="I11" i="37"/>
  <c r="H11" i="37"/>
  <c r="G11" i="37"/>
  <c r="F11" i="37"/>
  <c r="E11" i="37"/>
  <c r="D11" i="37"/>
  <c r="C11" i="37"/>
  <c r="B11" i="37"/>
  <c r="J11" i="36"/>
  <c r="I11" i="36"/>
  <c r="H11" i="36"/>
  <c r="G11" i="36"/>
  <c r="F11" i="36"/>
  <c r="E11" i="36"/>
  <c r="D11" i="36"/>
  <c r="C11" i="36"/>
  <c r="B11" i="36"/>
  <c r="J11" i="35"/>
  <c r="I11" i="35"/>
  <c r="H11" i="35"/>
  <c r="G11" i="35"/>
  <c r="F11" i="35"/>
  <c r="E11" i="35"/>
  <c r="D11" i="35"/>
  <c r="C11" i="35"/>
  <c r="B11" i="35"/>
  <c r="J11" i="34"/>
  <c r="I11" i="34"/>
  <c r="H11" i="34"/>
  <c r="G11" i="34"/>
  <c r="F11" i="34"/>
  <c r="E11" i="34"/>
  <c r="D11" i="34"/>
  <c r="C11" i="34"/>
  <c r="B11" i="34"/>
  <c r="J11" i="33"/>
  <c r="I11" i="33"/>
  <c r="H11" i="33"/>
  <c r="G11" i="33"/>
  <c r="F11" i="33"/>
  <c r="E11" i="33"/>
  <c r="D11" i="33"/>
  <c r="C11" i="33"/>
  <c r="B11" i="33"/>
  <c r="J11" i="32"/>
  <c r="I11" i="32"/>
  <c r="H11" i="32"/>
  <c r="G11" i="32"/>
  <c r="F11" i="32"/>
  <c r="E11" i="32"/>
  <c r="D11" i="32"/>
  <c r="C11" i="32"/>
  <c r="B11" i="32"/>
  <c r="J11" i="31"/>
  <c r="I11" i="31"/>
  <c r="H11" i="31"/>
  <c r="G11" i="31"/>
  <c r="F11" i="31"/>
  <c r="E11" i="31"/>
  <c r="D11" i="31"/>
  <c r="C11" i="31"/>
  <c r="B11" i="31"/>
  <c r="J11" i="29"/>
  <c r="I11" i="29"/>
  <c r="H11" i="29"/>
  <c r="G11" i="29"/>
  <c r="F11" i="29"/>
  <c r="E11" i="29"/>
  <c r="D11" i="29"/>
  <c r="C11" i="29"/>
  <c r="B11" i="29"/>
  <c r="J11" i="27"/>
  <c r="I11" i="27"/>
  <c r="H11" i="27"/>
  <c r="G11" i="27"/>
  <c r="F11" i="27"/>
  <c r="E11" i="27"/>
  <c r="D11" i="27"/>
  <c r="C11" i="27"/>
  <c r="B11" i="27"/>
  <c r="J11" i="26"/>
  <c r="I11" i="26"/>
  <c r="H11" i="26"/>
  <c r="G11" i="26"/>
  <c r="F11" i="26"/>
  <c r="E11" i="26"/>
  <c r="D11" i="26"/>
  <c r="C11" i="26"/>
  <c r="B11" i="26"/>
  <c r="J12" i="24"/>
  <c r="I12" i="24"/>
  <c r="H12" i="24"/>
  <c r="G12" i="24"/>
  <c r="F12" i="24"/>
  <c r="E12" i="24"/>
  <c r="D12" i="24"/>
  <c r="C12" i="24"/>
  <c r="B12" i="24"/>
  <c r="J12" i="23"/>
  <c r="I12" i="23"/>
  <c r="H12" i="23"/>
  <c r="G12" i="23"/>
  <c r="F12" i="23"/>
  <c r="E12" i="23"/>
  <c r="D12" i="23"/>
  <c r="C12" i="23"/>
  <c r="B12" i="23"/>
  <c r="J12" i="22"/>
  <c r="I12" i="22"/>
  <c r="H12" i="22"/>
  <c r="G12" i="22"/>
  <c r="F12" i="22"/>
  <c r="E12" i="22"/>
  <c r="D12" i="22"/>
  <c r="C12" i="22"/>
  <c r="B12" i="22"/>
  <c r="J12" i="21"/>
  <c r="I12" i="21"/>
  <c r="H12" i="21"/>
  <c r="G12" i="21"/>
  <c r="F12" i="21"/>
  <c r="E12" i="21"/>
  <c r="D12" i="21"/>
  <c r="C12" i="21"/>
  <c r="B12" i="21"/>
  <c r="J12" i="20"/>
  <c r="I12" i="20"/>
  <c r="H12" i="20"/>
  <c r="G12" i="20"/>
  <c r="F12" i="20"/>
  <c r="E12" i="20"/>
  <c r="D12" i="20"/>
  <c r="C12" i="20"/>
  <c r="B12" i="20"/>
  <c r="T13" i="19" l="1"/>
  <c r="V14" i="19"/>
  <c r="U13" i="19"/>
  <c r="U17" i="19"/>
  <c r="T12" i="19"/>
  <c r="V13" i="19"/>
  <c r="U12" i="19"/>
  <c r="V12" i="19"/>
  <c r="T15" i="19"/>
  <c r="V16" i="19"/>
  <c r="T19" i="19"/>
  <c r="V20" i="19"/>
  <c r="T18" i="18"/>
  <c r="U19" i="19"/>
  <c r="V15" i="19"/>
  <c r="V19" i="19"/>
  <c r="U13" i="18"/>
  <c r="U17" i="18"/>
  <c r="T12" i="18"/>
  <c r="V13" i="18"/>
  <c r="T16" i="18"/>
  <c r="V17" i="18"/>
  <c r="T20" i="18"/>
  <c r="U12" i="18"/>
  <c r="U20" i="18"/>
  <c r="V12" i="18"/>
  <c r="T15" i="18"/>
  <c r="T19" i="18"/>
  <c r="U15" i="18"/>
  <c r="U19" i="18"/>
  <c r="V19" i="18"/>
  <c r="U14" i="18"/>
  <c r="X13" i="11"/>
  <c r="X12" i="11"/>
  <c r="X14" i="11"/>
  <c r="X15" i="11"/>
  <c r="X16" i="11"/>
  <c r="X17" i="11"/>
  <c r="X18" i="11"/>
  <c r="X19" i="11"/>
  <c r="X20" i="11"/>
  <c r="X21" i="11"/>
  <c r="X22" i="11"/>
  <c r="X23" i="11"/>
  <c r="X24" i="11"/>
  <c r="Y25" i="11"/>
  <c r="Q25" i="13"/>
  <c r="Y26" i="11"/>
  <c r="Y27" i="11"/>
  <c r="Q27" i="13"/>
  <c r="Y28" i="11"/>
  <c r="Y29" i="11"/>
  <c r="Y30" i="11"/>
  <c r="Q30" i="13"/>
  <c r="Y31" i="11"/>
  <c r="Q31" i="13"/>
  <c r="Y12" i="11"/>
  <c r="Y13" i="11"/>
  <c r="Y14" i="11"/>
  <c r="Y15" i="11"/>
  <c r="Y16" i="11"/>
  <c r="Y17" i="11"/>
  <c r="Q17" i="13"/>
  <c r="Y18" i="11"/>
  <c r="Q18" i="13"/>
  <c r="Y19" i="11"/>
  <c r="Y20" i="11"/>
  <c r="Y21" i="11"/>
  <c r="Y22" i="11"/>
  <c r="Q22" i="13"/>
  <c r="Y23" i="11"/>
  <c r="Q23" i="13"/>
  <c r="Y24" i="11"/>
  <c r="Q24" i="13"/>
  <c r="W25" i="11"/>
  <c r="R25" i="13"/>
  <c r="R26" i="13"/>
  <c r="R27" i="13"/>
  <c r="R28" i="13"/>
  <c r="R29" i="13"/>
  <c r="R30" i="13"/>
  <c r="R3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W26" i="11"/>
  <c r="W27" i="11"/>
  <c r="W28" i="11"/>
  <c r="W29" i="11"/>
  <c r="W30" i="11"/>
  <c r="W31" i="11"/>
  <c r="W12" i="11"/>
  <c r="W13" i="11"/>
  <c r="W14" i="11"/>
  <c r="W15" i="11"/>
  <c r="W16" i="11"/>
  <c r="W17" i="11"/>
  <c r="W18" i="11"/>
  <c r="W19" i="11"/>
  <c r="W20" i="11"/>
  <c r="W21" i="11"/>
  <c r="W22" i="11"/>
  <c r="W23" i="11"/>
  <c r="W24" i="11"/>
  <c r="X25" i="11"/>
  <c r="X26" i="11"/>
  <c r="X27" i="11"/>
  <c r="X28" i="11"/>
  <c r="X29" i="11"/>
  <c r="X30" i="11"/>
  <c r="X31" i="11"/>
  <c r="Q13" i="13"/>
  <c r="Q21" i="13"/>
  <c r="Q14" i="13"/>
  <c r="Q26" i="13"/>
  <c r="Q12" i="13"/>
  <c r="Q15" i="13"/>
  <c r="Q19" i="13"/>
  <c r="Q20" i="13"/>
  <c r="Q28" i="13"/>
  <c r="Q29" i="13"/>
  <c r="Q16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N21" i="10"/>
  <c r="N22" i="10"/>
  <c r="N23" i="10"/>
  <c r="N25" i="10"/>
  <c r="N26" i="10"/>
  <c r="N27" i="10"/>
  <c r="N28" i="10"/>
  <c r="N29" i="10"/>
  <c r="N30" i="10"/>
  <c r="N31" i="10"/>
  <c r="N24" i="10"/>
  <c r="O21" i="10"/>
  <c r="O22" i="10"/>
  <c r="O23" i="10"/>
  <c r="O24" i="10"/>
  <c r="O25" i="10"/>
  <c r="O26" i="10"/>
  <c r="O27" i="10"/>
  <c r="O28" i="10"/>
  <c r="O29" i="10"/>
  <c r="O30" i="10"/>
  <c r="O31" i="10"/>
  <c r="P21" i="10"/>
  <c r="P22" i="10"/>
  <c r="P23" i="10"/>
  <c r="P24" i="10"/>
  <c r="P25" i="10"/>
  <c r="P26" i="10"/>
  <c r="P27" i="10"/>
  <c r="P28" i="10"/>
  <c r="P29" i="10"/>
  <c r="P30" i="10"/>
  <c r="P31" i="10"/>
  <c r="J10" i="44"/>
  <c r="I10" i="44"/>
  <c r="H10" i="44"/>
  <c r="G10" i="44"/>
  <c r="F10" i="44"/>
  <c r="E10" i="44"/>
  <c r="D10" i="44"/>
  <c r="C10" i="44"/>
  <c r="B10" i="44"/>
  <c r="J10" i="43"/>
  <c r="I10" i="43"/>
  <c r="H10" i="43"/>
  <c r="G10" i="43"/>
  <c r="F10" i="43"/>
  <c r="E10" i="43"/>
  <c r="D10" i="43"/>
  <c r="C10" i="43"/>
  <c r="B10" i="43"/>
  <c r="J10" i="42"/>
  <c r="I10" i="42"/>
  <c r="H10" i="42"/>
  <c r="G10" i="42"/>
  <c r="F10" i="42"/>
  <c r="E10" i="42"/>
  <c r="D10" i="42"/>
  <c r="C10" i="42"/>
  <c r="B10" i="42"/>
  <c r="J10" i="41"/>
  <c r="I10" i="41"/>
  <c r="H10" i="41"/>
  <c r="G10" i="41"/>
  <c r="F10" i="41"/>
  <c r="E10" i="41"/>
  <c r="D10" i="41"/>
  <c r="C10" i="41"/>
  <c r="B10" i="41"/>
  <c r="J10" i="40"/>
  <c r="I10" i="40"/>
  <c r="H10" i="40"/>
  <c r="G10" i="40"/>
  <c r="F10" i="40"/>
  <c r="E10" i="40"/>
  <c r="D10" i="40"/>
  <c r="C10" i="40"/>
  <c r="B10" i="40"/>
  <c r="J10" i="39"/>
  <c r="I10" i="39"/>
  <c r="H10" i="39"/>
  <c r="G10" i="39"/>
  <c r="F10" i="39"/>
  <c r="E10" i="39"/>
  <c r="D10" i="39"/>
  <c r="C10" i="39"/>
  <c r="B10" i="39"/>
  <c r="J10" i="38"/>
  <c r="I10" i="38"/>
  <c r="H10" i="38"/>
  <c r="G10" i="38"/>
  <c r="F10" i="38"/>
  <c r="E10" i="38"/>
  <c r="D10" i="38"/>
  <c r="C10" i="38"/>
  <c r="B10" i="38"/>
  <c r="J10" i="37"/>
  <c r="I10" i="37"/>
  <c r="H10" i="37"/>
  <c r="G10" i="37"/>
  <c r="F10" i="37"/>
  <c r="E10" i="37"/>
  <c r="D10" i="37"/>
  <c r="C10" i="37"/>
  <c r="B10" i="37"/>
  <c r="J10" i="36"/>
  <c r="I10" i="36"/>
  <c r="H10" i="36"/>
  <c r="G10" i="36"/>
  <c r="F10" i="36"/>
  <c r="E10" i="36"/>
  <c r="D10" i="36"/>
  <c r="C10" i="36"/>
  <c r="B10" i="36"/>
  <c r="J10" i="35"/>
  <c r="I10" i="35"/>
  <c r="H10" i="35"/>
  <c r="G10" i="35"/>
  <c r="F10" i="35"/>
  <c r="E10" i="35"/>
  <c r="D10" i="35"/>
  <c r="C10" i="35"/>
  <c r="B10" i="35"/>
  <c r="J10" i="34"/>
  <c r="I10" i="34"/>
  <c r="H10" i="34"/>
  <c r="G10" i="34"/>
  <c r="F10" i="34"/>
  <c r="E10" i="34"/>
  <c r="D10" i="34"/>
  <c r="C10" i="34"/>
  <c r="B10" i="34"/>
  <c r="J10" i="33"/>
  <c r="I10" i="33"/>
  <c r="H10" i="33"/>
  <c r="G10" i="33"/>
  <c r="F10" i="33"/>
  <c r="E10" i="33"/>
  <c r="D10" i="33"/>
  <c r="C10" i="33"/>
  <c r="B10" i="33"/>
  <c r="J10" i="32"/>
  <c r="I10" i="32"/>
  <c r="H10" i="32"/>
  <c r="G10" i="32"/>
  <c r="F10" i="32"/>
  <c r="E10" i="32"/>
  <c r="D10" i="32"/>
  <c r="C10" i="32"/>
  <c r="B10" i="32"/>
  <c r="J10" i="31"/>
  <c r="I10" i="31"/>
  <c r="H10" i="31"/>
  <c r="G10" i="31"/>
  <c r="F10" i="31"/>
  <c r="E10" i="31"/>
  <c r="D10" i="31"/>
  <c r="C10" i="31"/>
  <c r="B10" i="31"/>
  <c r="J10" i="29"/>
  <c r="I10" i="29"/>
  <c r="H10" i="29"/>
  <c r="G10" i="29"/>
  <c r="F10" i="29"/>
  <c r="E10" i="29"/>
  <c r="D10" i="29"/>
  <c r="C10" i="29"/>
  <c r="B10" i="29"/>
  <c r="J10" i="27"/>
  <c r="I10" i="27"/>
  <c r="H10" i="27"/>
  <c r="G10" i="27"/>
  <c r="F10" i="27"/>
  <c r="E10" i="27"/>
  <c r="D10" i="27"/>
  <c r="C10" i="27"/>
  <c r="B10" i="27"/>
  <c r="J10" i="26"/>
  <c r="I10" i="26"/>
  <c r="H10" i="26"/>
  <c r="G10" i="26"/>
  <c r="F10" i="26"/>
  <c r="E10" i="26"/>
  <c r="D10" i="26"/>
  <c r="C10" i="26"/>
  <c r="B10" i="26"/>
  <c r="J11" i="24"/>
  <c r="I11" i="24"/>
  <c r="H11" i="24"/>
  <c r="G11" i="24"/>
  <c r="F11" i="24"/>
  <c r="E11" i="24"/>
  <c r="D11" i="24"/>
  <c r="C11" i="24"/>
  <c r="B11" i="24"/>
  <c r="J11" i="23"/>
  <c r="I11" i="23"/>
  <c r="H11" i="23"/>
  <c r="G11" i="23"/>
  <c r="F11" i="23"/>
  <c r="E11" i="23"/>
  <c r="D11" i="23"/>
  <c r="C11" i="23"/>
  <c r="B11" i="23"/>
  <c r="J11" i="22"/>
  <c r="I11" i="22"/>
  <c r="H11" i="22"/>
  <c r="G11" i="22"/>
  <c r="F11" i="22"/>
  <c r="E11" i="22"/>
  <c r="D11" i="22"/>
  <c r="C11" i="22"/>
  <c r="B11" i="22"/>
  <c r="J11" i="21"/>
  <c r="I11" i="21"/>
  <c r="H11" i="21"/>
  <c r="G11" i="21"/>
  <c r="F11" i="21"/>
  <c r="E11" i="21"/>
  <c r="D11" i="21"/>
  <c r="C11" i="21"/>
  <c r="B11" i="21"/>
  <c r="J11" i="20"/>
  <c r="I11" i="20"/>
  <c r="H11" i="20"/>
  <c r="G11" i="20"/>
  <c r="F11" i="20"/>
  <c r="E11" i="20"/>
  <c r="D11" i="20"/>
  <c r="C11" i="20"/>
  <c r="B11" i="20"/>
  <c r="T11" i="19" l="1"/>
  <c r="W11" i="11" l="1"/>
  <c r="T11" i="18"/>
  <c r="Q11" i="13" l="1"/>
  <c r="U11" i="19" l="1"/>
  <c r="R11" i="13" l="1"/>
  <c r="X11" i="11"/>
  <c r="U11" i="18"/>
  <c r="V11" i="19"/>
  <c r="S11" i="13" l="1"/>
  <c r="Y11" i="11" l="1"/>
  <c r="V11" i="18"/>
  <c r="J9" i="44" l="1"/>
  <c r="I9" i="44"/>
  <c r="H9" i="44"/>
  <c r="G9" i="44"/>
  <c r="F9" i="44"/>
  <c r="E9" i="44"/>
  <c r="D9" i="44"/>
  <c r="C9" i="44"/>
  <c r="B9" i="44"/>
  <c r="J9" i="43"/>
  <c r="I9" i="43"/>
  <c r="H9" i="43"/>
  <c r="G9" i="43"/>
  <c r="F9" i="43"/>
  <c r="E9" i="43"/>
  <c r="D9" i="43"/>
  <c r="C9" i="43"/>
  <c r="B9" i="43"/>
  <c r="J9" i="42"/>
  <c r="I9" i="42"/>
  <c r="H9" i="42"/>
  <c r="G9" i="42"/>
  <c r="F9" i="42"/>
  <c r="E9" i="42"/>
  <c r="D9" i="42"/>
  <c r="C9" i="42"/>
  <c r="B9" i="42"/>
  <c r="J9" i="41"/>
  <c r="I9" i="41"/>
  <c r="H9" i="41"/>
  <c r="G9" i="41"/>
  <c r="F9" i="41"/>
  <c r="E9" i="41"/>
  <c r="D9" i="41"/>
  <c r="C9" i="41"/>
  <c r="B9" i="41"/>
  <c r="J9" i="40"/>
  <c r="I9" i="40"/>
  <c r="H9" i="40"/>
  <c r="G9" i="40"/>
  <c r="F9" i="40"/>
  <c r="E9" i="40"/>
  <c r="D9" i="40"/>
  <c r="C9" i="40"/>
  <c r="B9" i="40"/>
  <c r="J9" i="39"/>
  <c r="I9" i="39"/>
  <c r="H9" i="39"/>
  <c r="G9" i="39"/>
  <c r="F9" i="39"/>
  <c r="E9" i="39"/>
  <c r="D9" i="39"/>
  <c r="C9" i="39"/>
  <c r="B9" i="39"/>
  <c r="J9" i="38"/>
  <c r="I9" i="38"/>
  <c r="H9" i="38"/>
  <c r="G9" i="38"/>
  <c r="F9" i="38"/>
  <c r="E9" i="38"/>
  <c r="D9" i="38"/>
  <c r="C9" i="38"/>
  <c r="B9" i="38"/>
  <c r="J9" i="37"/>
  <c r="I9" i="37"/>
  <c r="H9" i="37"/>
  <c r="G9" i="37"/>
  <c r="F9" i="37"/>
  <c r="E9" i="37"/>
  <c r="D9" i="37"/>
  <c r="C9" i="37"/>
  <c r="B9" i="37"/>
  <c r="J9" i="36"/>
  <c r="I9" i="36"/>
  <c r="H9" i="36"/>
  <c r="G9" i="36"/>
  <c r="F9" i="36"/>
  <c r="E9" i="36"/>
  <c r="D9" i="36"/>
  <c r="C9" i="36"/>
  <c r="B9" i="36"/>
  <c r="J9" i="35"/>
  <c r="I9" i="35"/>
  <c r="H9" i="35"/>
  <c r="G9" i="35"/>
  <c r="F9" i="35"/>
  <c r="E9" i="35"/>
  <c r="D9" i="35"/>
  <c r="C9" i="35"/>
  <c r="B9" i="35"/>
  <c r="J9" i="34"/>
  <c r="I9" i="34"/>
  <c r="H9" i="34"/>
  <c r="G9" i="34"/>
  <c r="F9" i="34"/>
  <c r="E9" i="34"/>
  <c r="D9" i="34"/>
  <c r="C9" i="34"/>
  <c r="B9" i="34"/>
  <c r="J9" i="33"/>
  <c r="I9" i="33"/>
  <c r="H9" i="33"/>
  <c r="G9" i="33"/>
  <c r="F9" i="33"/>
  <c r="E9" i="33"/>
  <c r="D9" i="33"/>
  <c r="C9" i="33"/>
  <c r="B9" i="33"/>
  <c r="J9" i="32"/>
  <c r="I9" i="32"/>
  <c r="H9" i="32"/>
  <c r="G9" i="32"/>
  <c r="F9" i="32"/>
  <c r="E9" i="32"/>
  <c r="D9" i="32"/>
  <c r="C9" i="32"/>
  <c r="B9" i="32"/>
  <c r="J9" i="31"/>
  <c r="I9" i="31"/>
  <c r="H9" i="31"/>
  <c r="G9" i="31"/>
  <c r="F9" i="31"/>
  <c r="E9" i="31"/>
  <c r="D9" i="31"/>
  <c r="C9" i="31"/>
  <c r="B9" i="31"/>
  <c r="J9" i="29"/>
  <c r="I9" i="29"/>
  <c r="H9" i="29"/>
  <c r="G9" i="29"/>
  <c r="F9" i="29"/>
  <c r="E9" i="29"/>
  <c r="D9" i="29"/>
  <c r="C9" i="29"/>
  <c r="B9" i="29"/>
  <c r="J9" i="27"/>
  <c r="I9" i="27"/>
  <c r="H9" i="27"/>
  <c r="G9" i="27"/>
  <c r="F9" i="27"/>
  <c r="E9" i="27"/>
  <c r="D9" i="27"/>
  <c r="C9" i="27"/>
  <c r="B9" i="27"/>
  <c r="J9" i="26"/>
  <c r="I9" i="26"/>
  <c r="H9" i="26"/>
  <c r="G9" i="26"/>
  <c r="F9" i="26"/>
  <c r="E9" i="26"/>
  <c r="D9" i="26"/>
  <c r="C9" i="26"/>
  <c r="B9" i="26"/>
  <c r="J10" i="24"/>
  <c r="I10" i="24"/>
  <c r="H10" i="24"/>
  <c r="G10" i="24"/>
  <c r="F10" i="24"/>
  <c r="E10" i="24"/>
  <c r="D10" i="24"/>
  <c r="C10" i="24"/>
  <c r="B10" i="24"/>
  <c r="J10" i="23"/>
  <c r="I10" i="23"/>
  <c r="H10" i="23"/>
  <c r="G10" i="23"/>
  <c r="F10" i="23"/>
  <c r="E10" i="23"/>
  <c r="D10" i="23"/>
  <c r="C10" i="23"/>
  <c r="B10" i="23"/>
  <c r="J10" i="22"/>
  <c r="I10" i="22"/>
  <c r="H10" i="22"/>
  <c r="G10" i="22"/>
  <c r="F10" i="22"/>
  <c r="E10" i="22"/>
  <c r="D10" i="22"/>
  <c r="C10" i="22"/>
  <c r="B10" i="22"/>
  <c r="J10" i="21"/>
  <c r="I10" i="21"/>
  <c r="H10" i="21"/>
  <c r="G10" i="21"/>
  <c r="F10" i="21"/>
  <c r="E10" i="21"/>
  <c r="D10" i="21"/>
  <c r="C10" i="21"/>
  <c r="B10" i="21"/>
  <c r="J10" i="20"/>
  <c r="I10" i="20"/>
  <c r="H10" i="20"/>
  <c r="G10" i="20"/>
  <c r="F10" i="20"/>
  <c r="E10" i="20"/>
  <c r="D10" i="20"/>
  <c r="C10" i="20"/>
  <c r="B10" i="20"/>
  <c r="V10" i="19"/>
  <c r="U10" i="19"/>
  <c r="T10" i="19" l="1"/>
  <c r="T10" i="18"/>
  <c r="U10" i="18"/>
  <c r="V10" i="18"/>
  <c r="Y10" i="11"/>
  <c r="Q10" i="13"/>
  <c r="W10" i="11"/>
  <c r="X10" i="11"/>
  <c r="R10" i="13"/>
  <c r="S10" i="13"/>
  <c r="J8" i="44"/>
  <c r="I8" i="44"/>
  <c r="H8" i="44"/>
  <c r="G8" i="44"/>
  <c r="F8" i="44"/>
  <c r="E8" i="44"/>
  <c r="D8" i="44"/>
  <c r="C8" i="44"/>
  <c r="B8" i="44"/>
  <c r="J8" i="43"/>
  <c r="I8" i="43"/>
  <c r="H8" i="43"/>
  <c r="G8" i="43"/>
  <c r="F8" i="43"/>
  <c r="E8" i="43"/>
  <c r="D8" i="43"/>
  <c r="C8" i="43"/>
  <c r="B8" i="43"/>
  <c r="J8" i="42"/>
  <c r="I8" i="42"/>
  <c r="H8" i="42"/>
  <c r="G8" i="42"/>
  <c r="F8" i="42"/>
  <c r="E8" i="42"/>
  <c r="D8" i="42"/>
  <c r="C8" i="42"/>
  <c r="B8" i="42"/>
  <c r="J8" i="41"/>
  <c r="I8" i="41"/>
  <c r="H8" i="41"/>
  <c r="G8" i="41"/>
  <c r="F8" i="41"/>
  <c r="E8" i="41"/>
  <c r="D8" i="41"/>
  <c r="C8" i="41"/>
  <c r="B8" i="41"/>
  <c r="J8" i="40"/>
  <c r="I8" i="40"/>
  <c r="H8" i="40"/>
  <c r="G8" i="40"/>
  <c r="F8" i="40"/>
  <c r="E8" i="40"/>
  <c r="D8" i="40"/>
  <c r="C8" i="40"/>
  <c r="B8" i="40"/>
  <c r="J8" i="39"/>
  <c r="I8" i="39"/>
  <c r="H8" i="39"/>
  <c r="G8" i="39"/>
  <c r="F8" i="39"/>
  <c r="E8" i="39"/>
  <c r="D8" i="39"/>
  <c r="C8" i="39"/>
  <c r="B8" i="39"/>
  <c r="J8" i="38"/>
  <c r="I8" i="38"/>
  <c r="H8" i="38"/>
  <c r="G8" i="38"/>
  <c r="F8" i="38"/>
  <c r="E8" i="38"/>
  <c r="D8" i="38"/>
  <c r="C8" i="38"/>
  <c r="B8" i="38"/>
  <c r="J8" i="37"/>
  <c r="I8" i="37"/>
  <c r="H8" i="37"/>
  <c r="G8" i="37"/>
  <c r="F8" i="37"/>
  <c r="E8" i="37"/>
  <c r="D8" i="37"/>
  <c r="C8" i="37"/>
  <c r="B8" i="37"/>
  <c r="J8" i="36"/>
  <c r="I8" i="36"/>
  <c r="H8" i="36"/>
  <c r="G8" i="36"/>
  <c r="F8" i="36"/>
  <c r="E8" i="36"/>
  <c r="D8" i="36"/>
  <c r="C8" i="36"/>
  <c r="B8" i="36"/>
  <c r="J8" i="35"/>
  <c r="I8" i="35"/>
  <c r="H8" i="35"/>
  <c r="G8" i="35"/>
  <c r="F8" i="35"/>
  <c r="E8" i="35"/>
  <c r="D8" i="35"/>
  <c r="C8" i="35"/>
  <c r="B8" i="35"/>
  <c r="J8" i="34"/>
  <c r="I8" i="34"/>
  <c r="H8" i="34"/>
  <c r="G8" i="34"/>
  <c r="F8" i="34"/>
  <c r="E8" i="34"/>
  <c r="D8" i="34"/>
  <c r="C8" i="34"/>
  <c r="B8" i="34"/>
  <c r="J8" i="33"/>
  <c r="I8" i="33"/>
  <c r="H8" i="33"/>
  <c r="G8" i="33"/>
  <c r="F8" i="33"/>
  <c r="E8" i="33"/>
  <c r="D8" i="33"/>
  <c r="C8" i="33"/>
  <c r="B8" i="33"/>
  <c r="J8" i="32"/>
  <c r="I8" i="32"/>
  <c r="H8" i="32"/>
  <c r="G8" i="32"/>
  <c r="F8" i="32"/>
  <c r="E8" i="32"/>
  <c r="D8" i="32"/>
  <c r="C8" i="32"/>
  <c r="B8" i="32"/>
  <c r="J8" i="31"/>
  <c r="I8" i="31"/>
  <c r="H8" i="31"/>
  <c r="G8" i="31"/>
  <c r="F8" i="31"/>
  <c r="E8" i="31"/>
  <c r="D8" i="31"/>
  <c r="C8" i="31"/>
  <c r="B8" i="31"/>
  <c r="J8" i="29"/>
  <c r="I8" i="29"/>
  <c r="H8" i="29"/>
  <c r="G8" i="29"/>
  <c r="F8" i="29"/>
  <c r="E8" i="29"/>
  <c r="D8" i="29"/>
  <c r="C8" i="29"/>
  <c r="B8" i="29"/>
  <c r="J8" i="27"/>
  <c r="I8" i="27"/>
  <c r="H8" i="27"/>
  <c r="G8" i="27"/>
  <c r="F8" i="27"/>
  <c r="E8" i="27"/>
  <c r="D8" i="27"/>
  <c r="C8" i="27"/>
  <c r="B8" i="27"/>
  <c r="J8" i="26"/>
  <c r="I8" i="26"/>
  <c r="H8" i="26"/>
  <c r="G8" i="26"/>
  <c r="F8" i="26"/>
  <c r="E8" i="26"/>
  <c r="D8" i="26"/>
  <c r="C8" i="26"/>
  <c r="B8" i="26"/>
  <c r="J9" i="24"/>
  <c r="I9" i="24"/>
  <c r="H9" i="24"/>
  <c r="G9" i="24"/>
  <c r="F9" i="24"/>
  <c r="E9" i="24"/>
  <c r="D9" i="24"/>
  <c r="C9" i="24"/>
  <c r="B9" i="24"/>
  <c r="J9" i="23"/>
  <c r="I9" i="23"/>
  <c r="H9" i="23"/>
  <c r="G9" i="23"/>
  <c r="F9" i="23"/>
  <c r="E9" i="23"/>
  <c r="D9" i="23"/>
  <c r="C9" i="23"/>
  <c r="B9" i="23"/>
  <c r="J9" i="22"/>
  <c r="I9" i="22"/>
  <c r="H9" i="22"/>
  <c r="G9" i="22"/>
  <c r="F9" i="22"/>
  <c r="E9" i="22"/>
  <c r="D9" i="22"/>
  <c r="C9" i="22"/>
  <c r="B9" i="22"/>
  <c r="J9" i="21"/>
  <c r="I9" i="21"/>
  <c r="H9" i="21"/>
  <c r="G9" i="21"/>
  <c r="F9" i="21"/>
  <c r="E9" i="21"/>
  <c r="D9" i="21"/>
  <c r="C9" i="21"/>
  <c r="B9" i="21"/>
  <c r="J9" i="20"/>
  <c r="I9" i="20"/>
  <c r="H9" i="20"/>
  <c r="G9" i="20"/>
  <c r="F9" i="20"/>
  <c r="E9" i="20"/>
  <c r="D9" i="20"/>
  <c r="C9" i="20"/>
  <c r="B9" i="20"/>
  <c r="T9" i="19"/>
  <c r="K9" i="5"/>
  <c r="K48" i="5" s="1"/>
  <c r="L48" i="5" s="1"/>
  <c r="T9" i="18" l="1"/>
  <c r="U9" i="19"/>
  <c r="V9" i="19"/>
  <c r="U9" i="18"/>
  <c r="V9" i="18"/>
  <c r="W9" i="11"/>
  <c r="Y9" i="11"/>
  <c r="X9" i="11"/>
  <c r="Q9" i="13"/>
  <c r="R9" i="13"/>
  <c r="S9" i="13"/>
  <c r="J7" i="44"/>
  <c r="I7" i="44"/>
  <c r="H7" i="44"/>
  <c r="G7" i="44"/>
  <c r="F7" i="44"/>
  <c r="E7" i="44"/>
  <c r="D7" i="44"/>
  <c r="C7" i="44"/>
  <c r="B7" i="44"/>
  <c r="J7" i="43"/>
  <c r="I7" i="43"/>
  <c r="H7" i="43"/>
  <c r="G7" i="43"/>
  <c r="F7" i="43"/>
  <c r="E7" i="43"/>
  <c r="D7" i="43"/>
  <c r="C7" i="43"/>
  <c r="B7" i="43"/>
  <c r="J7" i="42"/>
  <c r="I7" i="42"/>
  <c r="H7" i="42"/>
  <c r="G7" i="42"/>
  <c r="F7" i="42"/>
  <c r="E7" i="42"/>
  <c r="D7" i="42"/>
  <c r="C7" i="42"/>
  <c r="B7" i="42"/>
  <c r="J7" i="41"/>
  <c r="I7" i="41"/>
  <c r="H7" i="41"/>
  <c r="G7" i="41"/>
  <c r="F7" i="41"/>
  <c r="E7" i="41"/>
  <c r="D7" i="41"/>
  <c r="C7" i="41"/>
  <c r="B7" i="41"/>
  <c r="J7" i="40"/>
  <c r="I7" i="40"/>
  <c r="H7" i="40"/>
  <c r="G7" i="40"/>
  <c r="F7" i="40"/>
  <c r="E7" i="40"/>
  <c r="D7" i="40"/>
  <c r="C7" i="40"/>
  <c r="B7" i="40"/>
  <c r="J7" i="39"/>
  <c r="I7" i="39"/>
  <c r="H7" i="39"/>
  <c r="G7" i="39"/>
  <c r="F7" i="39"/>
  <c r="E7" i="39"/>
  <c r="D7" i="39"/>
  <c r="C7" i="39"/>
  <c r="B7" i="39"/>
  <c r="J7" i="38"/>
  <c r="I7" i="38"/>
  <c r="H7" i="38"/>
  <c r="G7" i="38"/>
  <c r="F7" i="38"/>
  <c r="E7" i="38"/>
  <c r="D7" i="38"/>
  <c r="C7" i="38"/>
  <c r="B7" i="38"/>
  <c r="J7" i="37"/>
  <c r="I7" i="37"/>
  <c r="H7" i="37"/>
  <c r="G7" i="37"/>
  <c r="F7" i="37"/>
  <c r="E7" i="37"/>
  <c r="D7" i="37"/>
  <c r="C7" i="37"/>
  <c r="B7" i="37"/>
  <c r="J7" i="36"/>
  <c r="I7" i="36"/>
  <c r="H7" i="36"/>
  <c r="G7" i="36"/>
  <c r="F7" i="36"/>
  <c r="E7" i="36"/>
  <c r="D7" i="36"/>
  <c r="C7" i="36"/>
  <c r="B7" i="36"/>
  <c r="J7" i="35"/>
  <c r="I7" i="35"/>
  <c r="H7" i="35"/>
  <c r="G7" i="35"/>
  <c r="F7" i="35"/>
  <c r="E7" i="35"/>
  <c r="D7" i="35"/>
  <c r="C7" i="35"/>
  <c r="B7" i="35"/>
  <c r="J7" i="34"/>
  <c r="I7" i="34"/>
  <c r="H7" i="34"/>
  <c r="G7" i="34"/>
  <c r="F7" i="34"/>
  <c r="E7" i="34"/>
  <c r="D7" i="34"/>
  <c r="C7" i="34"/>
  <c r="B7" i="34"/>
  <c r="J7" i="33"/>
  <c r="I7" i="33"/>
  <c r="H7" i="33"/>
  <c r="G7" i="33"/>
  <c r="F7" i="33"/>
  <c r="E7" i="33"/>
  <c r="D7" i="33"/>
  <c r="C7" i="33"/>
  <c r="B7" i="33"/>
  <c r="J7" i="32"/>
  <c r="I7" i="32"/>
  <c r="H7" i="32"/>
  <c r="G7" i="32"/>
  <c r="F7" i="32"/>
  <c r="E7" i="32"/>
  <c r="D7" i="32"/>
  <c r="C7" i="32"/>
  <c r="B7" i="32"/>
  <c r="J7" i="31"/>
  <c r="I7" i="31"/>
  <c r="H7" i="31"/>
  <c r="G7" i="31"/>
  <c r="F7" i="31"/>
  <c r="E7" i="31"/>
  <c r="D7" i="31"/>
  <c r="C7" i="31"/>
  <c r="B7" i="31"/>
  <c r="J7" i="29"/>
  <c r="I7" i="29"/>
  <c r="H7" i="29"/>
  <c r="G7" i="29"/>
  <c r="F7" i="29"/>
  <c r="E7" i="29"/>
  <c r="D7" i="29"/>
  <c r="C7" i="29"/>
  <c r="B7" i="29"/>
  <c r="J7" i="27"/>
  <c r="I7" i="27"/>
  <c r="H7" i="27"/>
  <c r="G7" i="27"/>
  <c r="F7" i="27"/>
  <c r="E7" i="27"/>
  <c r="D7" i="27"/>
  <c r="C7" i="27"/>
  <c r="B7" i="27"/>
  <c r="J7" i="26"/>
  <c r="I7" i="26"/>
  <c r="H7" i="26"/>
  <c r="G7" i="26"/>
  <c r="F7" i="26"/>
  <c r="E7" i="26"/>
  <c r="D7" i="26"/>
  <c r="C7" i="26"/>
  <c r="B7" i="26"/>
  <c r="J8" i="24"/>
  <c r="I8" i="24"/>
  <c r="H8" i="24"/>
  <c r="G8" i="24"/>
  <c r="F8" i="24"/>
  <c r="E8" i="24"/>
  <c r="D8" i="24"/>
  <c r="C8" i="24"/>
  <c r="B8" i="24"/>
  <c r="J8" i="23"/>
  <c r="I8" i="23"/>
  <c r="H8" i="23"/>
  <c r="G8" i="23"/>
  <c r="F8" i="23"/>
  <c r="E8" i="23"/>
  <c r="D8" i="23"/>
  <c r="C8" i="23"/>
  <c r="B8" i="23"/>
  <c r="J8" i="22"/>
  <c r="I8" i="22"/>
  <c r="H8" i="22"/>
  <c r="G8" i="22"/>
  <c r="F8" i="22"/>
  <c r="E8" i="22"/>
  <c r="D8" i="22"/>
  <c r="C8" i="22"/>
  <c r="B8" i="22"/>
  <c r="J8" i="21"/>
  <c r="I8" i="21"/>
  <c r="H8" i="21"/>
  <c r="G8" i="21"/>
  <c r="F8" i="21"/>
  <c r="E8" i="21"/>
  <c r="D8" i="21"/>
  <c r="C8" i="21"/>
  <c r="B8" i="21"/>
  <c r="J8" i="20"/>
  <c r="I8" i="20"/>
  <c r="H8" i="20"/>
  <c r="G8" i="20"/>
  <c r="F8" i="20"/>
  <c r="E8" i="20"/>
  <c r="D8" i="20"/>
  <c r="C8" i="20"/>
  <c r="B8" i="20"/>
  <c r="K8" i="5"/>
  <c r="K47" i="5" s="1"/>
  <c r="L47" i="5" s="1"/>
  <c r="U8" i="18" l="1"/>
  <c r="T8" i="19"/>
  <c r="U8" i="19"/>
  <c r="V8" i="19"/>
  <c r="T8" i="18"/>
  <c r="V8" i="18"/>
  <c r="Y8" i="11"/>
  <c r="W8" i="11"/>
  <c r="X8" i="11"/>
  <c r="S8" i="13"/>
  <c r="R8" i="13"/>
  <c r="Q8" i="13"/>
  <c r="J6" i="44"/>
  <c r="I6" i="44"/>
  <c r="H6" i="44"/>
  <c r="G6" i="44"/>
  <c r="F6" i="44"/>
  <c r="E6" i="44"/>
  <c r="D6" i="44"/>
  <c r="C6" i="44"/>
  <c r="B6" i="44"/>
  <c r="J6" i="43"/>
  <c r="I6" i="43"/>
  <c r="H6" i="43"/>
  <c r="G6" i="43"/>
  <c r="F6" i="43"/>
  <c r="E6" i="43"/>
  <c r="D6" i="43"/>
  <c r="C6" i="43"/>
  <c r="B6" i="43"/>
  <c r="J6" i="42"/>
  <c r="I6" i="42"/>
  <c r="H6" i="42"/>
  <c r="G6" i="42"/>
  <c r="F6" i="42"/>
  <c r="E6" i="42"/>
  <c r="D6" i="42"/>
  <c r="C6" i="42"/>
  <c r="B6" i="42"/>
  <c r="J6" i="41"/>
  <c r="I6" i="41"/>
  <c r="H6" i="41"/>
  <c r="G6" i="41"/>
  <c r="F6" i="41"/>
  <c r="E6" i="41"/>
  <c r="D6" i="41"/>
  <c r="C6" i="41"/>
  <c r="B6" i="41"/>
  <c r="J6" i="40"/>
  <c r="I6" i="40"/>
  <c r="H6" i="40"/>
  <c r="G6" i="40"/>
  <c r="F6" i="40"/>
  <c r="E6" i="40"/>
  <c r="D6" i="40"/>
  <c r="C6" i="40"/>
  <c r="B6" i="40"/>
  <c r="J6" i="39"/>
  <c r="I6" i="39"/>
  <c r="H6" i="39"/>
  <c r="G6" i="39"/>
  <c r="F6" i="39"/>
  <c r="E6" i="39"/>
  <c r="D6" i="39"/>
  <c r="C6" i="39"/>
  <c r="B6" i="39"/>
  <c r="J6" i="38"/>
  <c r="I6" i="38"/>
  <c r="H6" i="38"/>
  <c r="G6" i="38"/>
  <c r="F6" i="38"/>
  <c r="E6" i="38"/>
  <c r="D6" i="38"/>
  <c r="C6" i="38"/>
  <c r="B6" i="38"/>
  <c r="J6" i="37"/>
  <c r="I6" i="37"/>
  <c r="H6" i="37"/>
  <c r="G6" i="37"/>
  <c r="F6" i="37"/>
  <c r="E6" i="37"/>
  <c r="D6" i="37"/>
  <c r="C6" i="37"/>
  <c r="B6" i="37"/>
  <c r="J6" i="36"/>
  <c r="I6" i="36"/>
  <c r="H6" i="36"/>
  <c r="G6" i="36"/>
  <c r="F6" i="36"/>
  <c r="E6" i="36"/>
  <c r="D6" i="36"/>
  <c r="C6" i="36"/>
  <c r="B6" i="36"/>
  <c r="J6" i="35"/>
  <c r="I6" i="35"/>
  <c r="H6" i="35"/>
  <c r="G6" i="35"/>
  <c r="F6" i="35"/>
  <c r="E6" i="35"/>
  <c r="D6" i="35"/>
  <c r="C6" i="35"/>
  <c r="B6" i="35"/>
  <c r="J6" i="34"/>
  <c r="I6" i="34"/>
  <c r="H6" i="34"/>
  <c r="G6" i="34"/>
  <c r="F6" i="34"/>
  <c r="E6" i="34"/>
  <c r="D6" i="34"/>
  <c r="C6" i="34"/>
  <c r="B6" i="34"/>
  <c r="J6" i="33"/>
  <c r="I6" i="33"/>
  <c r="H6" i="33"/>
  <c r="G6" i="33"/>
  <c r="F6" i="33"/>
  <c r="E6" i="33"/>
  <c r="D6" i="33"/>
  <c r="C6" i="33"/>
  <c r="B6" i="33"/>
  <c r="J6" i="32"/>
  <c r="I6" i="32"/>
  <c r="H6" i="32"/>
  <c r="G6" i="32"/>
  <c r="F6" i="32"/>
  <c r="E6" i="32"/>
  <c r="D6" i="32"/>
  <c r="C6" i="32"/>
  <c r="B6" i="32"/>
  <c r="J6" i="31"/>
  <c r="I6" i="31"/>
  <c r="H6" i="31"/>
  <c r="G6" i="31"/>
  <c r="F6" i="31"/>
  <c r="E6" i="31"/>
  <c r="D6" i="31"/>
  <c r="C6" i="31"/>
  <c r="B6" i="31"/>
  <c r="J6" i="29"/>
  <c r="I6" i="29"/>
  <c r="H6" i="29"/>
  <c r="G6" i="29"/>
  <c r="F6" i="29"/>
  <c r="E6" i="29"/>
  <c r="D6" i="29"/>
  <c r="C6" i="29"/>
  <c r="B6" i="29"/>
  <c r="J6" i="27"/>
  <c r="I6" i="27"/>
  <c r="H6" i="27"/>
  <c r="G6" i="27"/>
  <c r="F6" i="27"/>
  <c r="E6" i="27"/>
  <c r="D6" i="27"/>
  <c r="C6" i="27"/>
  <c r="B6" i="27"/>
  <c r="J6" i="26"/>
  <c r="I6" i="26"/>
  <c r="H6" i="26"/>
  <c r="G6" i="26"/>
  <c r="F6" i="26"/>
  <c r="E6" i="26"/>
  <c r="D6" i="26"/>
  <c r="C6" i="26"/>
  <c r="B6" i="26"/>
  <c r="J7" i="24"/>
  <c r="I7" i="24"/>
  <c r="H7" i="24"/>
  <c r="G7" i="24"/>
  <c r="F7" i="24"/>
  <c r="E7" i="24"/>
  <c r="D7" i="24"/>
  <c r="C7" i="24"/>
  <c r="B7" i="24"/>
  <c r="J7" i="23"/>
  <c r="I7" i="23"/>
  <c r="H7" i="23"/>
  <c r="G7" i="23"/>
  <c r="F7" i="23"/>
  <c r="E7" i="23"/>
  <c r="D7" i="23"/>
  <c r="C7" i="23"/>
  <c r="B7" i="23"/>
  <c r="J7" i="22"/>
  <c r="I7" i="22"/>
  <c r="H7" i="22"/>
  <c r="G7" i="22"/>
  <c r="F7" i="22"/>
  <c r="E7" i="22"/>
  <c r="D7" i="22"/>
  <c r="C7" i="22"/>
  <c r="B7" i="22"/>
  <c r="J7" i="21"/>
  <c r="I7" i="21"/>
  <c r="H7" i="21"/>
  <c r="G7" i="21"/>
  <c r="F7" i="21"/>
  <c r="E7" i="21"/>
  <c r="D7" i="21"/>
  <c r="C7" i="21"/>
  <c r="B7" i="21"/>
  <c r="J7" i="20"/>
  <c r="I7" i="20"/>
  <c r="H7" i="20"/>
  <c r="G7" i="20"/>
  <c r="F7" i="20"/>
  <c r="E7" i="20"/>
  <c r="D7" i="20"/>
  <c r="C7" i="20"/>
  <c r="B7" i="20"/>
  <c r="V7" i="19"/>
  <c r="K7" i="5"/>
  <c r="K46" i="5" s="1"/>
  <c r="L46" i="5" s="1"/>
  <c r="L7" i="5"/>
  <c r="T7" i="18" l="1"/>
  <c r="T7" i="19"/>
  <c r="V7" i="18"/>
  <c r="U7" i="19"/>
  <c r="U7" i="18"/>
  <c r="Y7" i="11"/>
  <c r="W7" i="11"/>
  <c r="X7" i="11"/>
  <c r="X8" i="18"/>
  <c r="Q7" i="13"/>
  <c r="R7" i="13"/>
  <c r="S7" i="13"/>
  <c r="J5" i="44"/>
  <c r="I5" i="44"/>
  <c r="H5" i="44"/>
  <c r="G5" i="44"/>
  <c r="F5" i="44"/>
  <c r="E5" i="44"/>
  <c r="D5" i="44"/>
  <c r="C5" i="44"/>
  <c r="B5" i="44"/>
  <c r="J5" i="43"/>
  <c r="I5" i="43"/>
  <c r="H5" i="43"/>
  <c r="G5" i="43"/>
  <c r="F5" i="43"/>
  <c r="E5" i="43"/>
  <c r="D5" i="43"/>
  <c r="C5" i="43"/>
  <c r="B5" i="43"/>
  <c r="J5" i="42"/>
  <c r="I5" i="42"/>
  <c r="H5" i="42"/>
  <c r="G5" i="42"/>
  <c r="F5" i="42"/>
  <c r="E5" i="42"/>
  <c r="D5" i="42"/>
  <c r="C5" i="42"/>
  <c r="B5" i="42"/>
  <c r="J5" i="41"/>
  <c r="I5" i="41"/>
  <c r="H5" i="41"/>
  <c r="G5" i="41"/>
  <c r="F5" i="41"/>
  <c r="E5" i="41"/>
  <c r="D5" i="41"/>
  <c r="C5" i="41"/>
  <c r="B5" i="41"/>
  <c r="J5" i="40"/>
  <c r="I5" i="40"/>
  <c r="H5" i="40"/>
  <c r="G5" i="40"/>
  <c r="F5" i="40"/>
  <c r="E5" i="40"/>
  <c r="D5" i="40"/>
  <c r="C5" i="40"/>
  <c r="B5" i="40"/>
  <c r="J5" i="39"/>
  <c r="I5" i="39"/>
  <c r="H5" i="39"/>
  <c r="G5" i="39"/>
  <c r="F5" i="39"/>
  <c r="E5" i="39"/>
  <c r="D5" i="39"/>
  <c r="C5" i="39"/>
  <c r="B5" i="39"/>
  <c r="J5" i="38"/>
  <c r="I5" i="38"/>
  <c r="H5" i="38"/>
  <c r="G5" i="38"/>
  <c r="F5" i="38"/>
  <c r="E5" i="38"/>
  <c r="D5" i="38"/>
  <c r="C5" i="38"/>
  <c r="B5" i="38"/>
  <c r="J5" i="37"/>
  <c r="I5" i="37"/>
  <c r="H5" i="37"/>
  <c r="G5" i="37"/>
  <c r="F5" i="37"/>
  <c r="E5" i="37"/>
  <c r="D5" i="37"/>
  <c r="C5" i="37"/>
  <c r="B5" i="37"/>
  <c r="J5" i="36"/>
  <c r="I5" i="36"/>
  <c r="H5" i="36"/>
  <c r="G5" i="36"/>
  <c r="F5" i="36"/>
  <c r="E5" i="36"/>
  <c r="D5" i="36"/>
  <c r="C5" i="36"/>
  <c r="B5" i="36"/>
  <c r="J5" i="35"/>
  <c r="I5" i="35"/>
  <c r="H5" i="35"/>
  <c r="G5" i="35"/>
  <c r="F5" i="35"/>
  <c r="E5" i="35"/>
  <c r="D5" i="35"/>
  <c r="C5" i="35"/>
  <c r="B5" i="35"/>
  <c r="J5" i="34"/>
  <c r="I5" i="34"/>
  <c r="H5" i="34"/>
  <c r="G5" i="34"/>
  <c r="F5" i="34"/>
  <c r="E5" i="34"/>
  <c r="D5" i="34"/>
  <c r="C5" i="34"/>
  <c r="B5" i="34"/>
  <c r="J5" i="33"/>
  <c r="I5" i="33"/>
  <c r="H5" i="33"/>
  <c r="G5" i="33"/>
  <c r="F5" i="33"/>
  <c r="E5" i="33"/>
  <c r="D5" i="33"/>
  <c r="C5" i="33"/>
  <c r="B5" i="33"/>
  <c r="J5" i="32"/>
  <c r="I5" i="32"/>
  <c r="H5" i="32"/>
  <c r="G5" i="32"/>
  <c r="F5" i="32"/>
  <c r="E5" i="32"/>
  <c r="D5" i="32"/>
  <c r="C5" i="32"/>
  <c r="B5" i="32"/>
  <c r="J5" i="31"/>
  <c r="I5" i="31"/>
  <c r="H5" i="31"/>
  <c r="G5" i="31"/>
  <c r="F5" i="31"/>
  <c r="E5" i="31"/>
  <c r="D5" i="31"/>
  <c r="C5" i="31"/>
  <c r="B5" i="31"/>
  <c r="J5" i="29"/>
  <c r="I5" i="29"/>
  <c r="H5" i="29"/>
  <c r="G5" i="29"/>
  <c r="F5" i="29"/>
  <c r="E5" i="29"/>
  <c r="D5" i="29"/>
  <c r="C5" i="29"/>
  <c r="B5" i="29"/>
  <c r="J5" i="27"/>
  <c r="I5" i="27"/>
  <c r="H5" i="27"/>
  <c r="G5" i="27"/>
  <c r="F5" i="27"/>
  <c r="E5" i="27"/>
  <c r="D5" i="27"/>
  <c r="C5" i="27"/>
  <c r="B5" i="27"/>
  <c r="J5" i="26"/>
  <c r="I5" i="26"/>
  <c r="H5" i="26"/>
  <c r="G5" i="26"/>
  <c r="F5" i="26"/>
  <c r="E5" i="26"/>
  <c r="D5" i="26"/>
  <c r="C5" i="26"/>
  <c r="B5" i="26"/>
  <c r="J6" i="24"/>
  <c r="I6" i="24"/>
  <c r="H6" i="24"/>
  <c r="G6" i="24"/>
  <c r="F6" i="24"/>
  <c r="E6" i="24"/>
  <c r="D6" i="24"/>
  <c r="C6" i="24"/>
  <c r="B6" i="24"/>
  <c r="J6" i="23"/>
  <c r="I6" i="23"/>
  <c r="H6" i="23"/>
  <c r="G6" i="23"/>
  <c r="F6" i="23"/>
  <c r="E6" i="23"/>
  <c r="D6" i="23"/>
  <c r="C6" i="23"/>
  <c r="B6" i="23"/>
  <c r="J6" i="22"/>
  <c r="I6" i="22"/>
  <c r="H6" i="22"/>
  <c r="G6" i="22"/>
  <c r="F6" i="22"/>
  <c r="E6" i="22"/>
  <c r="D6" i="22"/>
  <c r="C6" i="22"/>
  <c r="B6" i="22"/>
  <c r="J6" i="21"/>
  <c r="I6" i="21"/>
  <c r="H6" i="21"/>
  <c r="G6" i="21"/>
  <c r="F6" i="21"/>
  <c r="E6" i="21"/>
  <c r="D6" i="21"/>
  <c r="C6" i="21"/>
  <c r="B6" i="21"/>
  <c r="J6" i="20"/>
  <c r="I6" i="20"/>
  <c r="H6" i="20"/>
  <c r="G6" i="20"/>
  <c r="F6" i="20"/>
  <c r="E6" i="20"/>
  <c r="D6" i="20"/>
  <c r="C6" i="20"/>
  <c r="B6" i="20"/>
  <c r="U6" i="19"/>
  <c r="L6" i="5"/>
  <c r="T6" i="19" l="1"/>
  <c r="V6" i="19"/>
  <c r="T6" i="18"/>
  <c r="U6" i="18"/>
  <c r="V6" i="18"/>
  <c r="K6" i="5"/>
  <c r="K45" i="5" s="1"/>
  <c r="X7" i="18"/>
  <c r="Q6" i="13"/>
  <c r="R6" i="13"/>
  <c r="S6" i="13"/>
  <c r="J35" i="44"/>
  <c r="I35" i="44"/>
  <c r="H35" i="44"/>
  <c r="G35" i="44"/>
  <c r="F35" i="44"/>
  <c r="E35" i="44"/>
  <c r="D35" i="44"/>
  <c r="C35" i="44"/>
  <c r="B35" i="44"/>
  <c r="J35" i="43"/>
  <c r="I35" i="43"/>
  <c r="H35" i="43"/>
  <c r="G35" i="43"/>
  <c r="F35" i="43"/>
  <c r="E35" i="43"/>
  <c r="D35" i="43"/>
  <c r="C35" i="43"/>
  <c r="B35" i="43"/>
  <c r="J35" i="42"/>
  <c r="I35" i="42"/>
  <c r="H35" i="42"/>
  <c r="G35" i="42"/>
  <c r="F35" i="42"/>
  <c r="E35" i="42"/>
  <c r="D35" i="42"/>
  <c r="C35" i="42"/>
  <c r="B35" i="42"/>
  <c r="J35" i="41"/>
  <c r="I35" i="41"/>
  <c r="H35" i="41"/>
  <c r="G35" i="41"/>
  <c r="F35" i="41"/>
  <c r="E35" i="41"/>
  <c r="D35" i="41"/>
  <c r="C35" i="41"/>
  <c r="B35" i="41"/>
  <c r="J35" i="40"/>
  <c r="I35" i="40"/>
  <c r="H35" i="40"/>
  <c r="G35" i="40"/>
  <c r="F35" i="40"/>
  <c r="E35" i="40"/>
  <c r="D35" i="40"/>
  <c r="C35" i="40"/>
  <c r="B35" i="40"/>
  <c r="J35" i="39"/>
  <c r="I35" i="39"/>
  <c r="H35" i="39"/>
  <c r="G35" i="39"/>
  <c r="F35" i="39"/>
  <c r="E35" i="39"/>
  <c r="D35" i="39"/>
  <c r="C35" i="39"/>
  <c r="B35" i="39"/>
  <c r="J35" i="38"/>
  <c r="I35" i="38"/>
  <c r="H35" i="38"/>
  <c r="G35" i="38"/>
  <c r="F35" i="38"/>
  <c r="E35" i="38"/>
  <c r="D35" i="38"/>
  <c r="C35" i="38"/>
  <c r="B35" i="38"/>
  <c r="J35" i="37"/>
  <c r="I35" i="37"/>
  <c r="H35" i="37"/>
  <c r="G35" i="37"/>
  <c r="F35" i="37"/>
  <c r="E35" i="37"/>
  <c r="D35" i="37"/>
  <c r="C35" i="37"/>
  <c r="B35" i="37"/>
  <c r="J35" i="36"/>
  <c r="I35" i="36"/>
  <c r="H35" i="36"/>
  <c r="G35" i="36"/>
  <c r="F35" i="36"/>
  <c r="E35" i="36"/>
  <c r="D35" i="36"/>
  <c r="C35" i="36"/>
  <c r="B35" i="36"/>
  <c r="J35" i="35"/>
  <c r="I35" i="35"/>
  <c r="H35" i="35"/>
  <c r="G35" i="35"/>
  <c r="F35" i="35"/>
  <c r="E35" i="35"/>
  <c r="D35" i="35"/>
  <c r="C35" i="35"/>
  <c r="B35" i="35"/>
  <c r="J35" i="34"/>
  <c r="I35" i="34"/>
  <c r="H35" i="34"/>
  <c r="G35" i="34"/>
  <c r="F35" i="34"/>
  <c r="E35" i="34"/>
  <c r="D35" i="34"/>
  <c r="C35" i="34"/>
  <c r="B35" i="34"/>
  <c r="J35" i="33"/>
  <c r="I35" i="33"/>
  <c r="H35" i="33"/>
  <c r="G35" i="33"/>
  <c r="F35" i="33"/>
  <c r="E35" i="33"/>
  <c r="D35" i="33"/>
  <c r="C35" i="33"/>
  <c r="B35" i="33"/>
  <c r="J35" i="32"/>
  <c r="I35" i="32"/>
  <c r="H35" i="32"/>
  <c r="G35" i="32"/>
  <c r="F35" i="32"/>
  <c r="E35" i="32"/>
  <c r="D35" i="32"/>
  <c r="C35" i="32"/>
  <c r="B35" i="32"/>
  <c r="J35" i="31"/>
  <c r="I35" i="31"/>
  <c r="H35" i="31"/>
  <c r="G35" i="31"/>
  <c r="F35" i="31"/>
  <c r="E35" i="31"/>
  <c r="D35" i="31"/>
  <c r="C35" i="31"/>
  <c r="B35" i="31"/>
  <c r="J35" i="29"/>
  <c r="I35" i="29"/>
  <c r="H35" i="29"/>
  <c r="G35" i="29"/>
  <c r="F35" i="29"/>
  <c r="E35" i="29"/>
  <c r="D35" i="29"/>
  <c r="C35" i="29"/>
  <c r="B35" i="29"/>
  <c r="J35" i="27"/>
  <c r="I35" i="27"/>
  <c r="H35" i="27"/>
  <c r="G35" i="27"/>
  <c r="F35" i="27"/>
  <c r="E35" i="27"/>
  <c r="D35" i="27"/>
  <c r="C35" i="27"/>
  <c r="B35" i="27"/>
  <c r="J35" i="26"/>
  <c r="I35" i="26"/>
  <c r="H35" i="26"/>
  <c r="G35" i="26"/>
  <c r="F35" i="26"/>
  <c r="E35" i="26"/>
  <c r="D35" i="26"/>
  <c r="C35" i="26"/>
  <c r="B35" i="26"/>
  <c r="J36" i="24"/>
  <c r="I36" i="24"/>
  <c r="H36" i="24"/>
  <c r="G36" i="24"/>
  <c r="F36" i="24"/>
  <c r="E36" i="24"/>
  <c r="D36" i="24"/>
  <c r="C36" i="24"/>
  <c r="B36" i="24"/>
  <c r="J36" i="23"/>
  <c r="I36" i="23"/>
  <c r="H36" i="23"/>
  <c r="G36" i="23"/>
  <c r="F36" i="23"/>
  <c r="E36" i="23"/>
  <c r="D36" i="23"/>
  <c r="C36" i="23"/>
  <c r="B36" i="23"/>
  <c r="J36" i="22"/>
  <c r="I36" i="22"/>
  <c r="H36" i="22"/>
  <c r="G36" i="22"/>
  <c r="F36" i="22"/>
  <c r="E36" i="22"/>
  <c r="D36" i="22"/>
  <c r="C36" i="22"/>
  <c r="B36" i="22"/>
  <c r="J36" i="21"/>
  <c r="I36" i="21"/>
  <c r="H36" i="21"/>
  <c r="G36" i="21"/>
  <c r="F36" i="21"/>
  <c r="E36" i="21"/>
  <c r="D36" i="21"/>
  <c r="C36" i="21"/>
  <c r="B36" i="21"/>
  <c r="J36" i="20"/>
  <c r="I36" i="20"/>
  <c r="H36" i="20"/>
  <c r="G36" i="20"/>
  <c r="F36" i="20"/>
  <c r="E36" i="20"/>
  <c r="D36" i="20"/>
  <c r="C36" i="20"/>
  <c r="B36" i="20"/>
  <c r="J34" i="44"/>
  <c r="I34" i="44"/>
  <c r="H34" i="44"/>
  <c r="G34" i="44"/>
  <c r="F34" i="44"/>
  <c r="E34" i="44"/>
  <c r="D34" i="44"/>
  <c r="C34" i="44"/>
  <c r="B34" i="44"/>
  <c r="J34" i="43"/>
  <c r="I34" i="43"/>
  <c r="H34" i="43"/>
  <c r="G34" i="43"/>
  <c r="F34" i="43"/>
  <c r="E34" i="43"/>
  <c r="D34" i="43"/>
  <c r="C34" i="43"/>
  <c r="B34" i="43"/>
  <c r="J34" i="42"/>
  <c r="I34" i="42"/>
  <c r="H34" i="42"/>
  <c r="G34" i="42"/>
  <c r="F34" i="42"/>
  <c r="E34" i="42"/>
  <c r="D34" i="42"/>
  <c r="C34" i="42"/>
  <c r="B34" i="42"/>
  <c r="J34" i="41"/>
  <c r="I34" i="41"/>
  <c r="H34" i="41"/>
  <c r="G34" i="41"/>
  <c r="F34" i="41"/>
  <c r="E34" i="41"/>
  <c r="D34" i="41"/>
  <c r="C34" i="41"/>
  <c r="B34" i="41"/>
  <c r="J34" i="40"/>
  <c r="I34" i="40"/>
  <c r="H34" i="40"/>
  <c r="G34" i="40"/>
  <c r="F34" i="40"/>
  <c r="E34" i="40"/>
  <c r="D34" i="40"/>
  <c r="C34" i="40"/>
  <c r="B34" i="40"/>
  <c r="J34" i="39"/>
  <c r="I34" i="39"/>
  <c r="H34" i="39"/>
  <c r="G34" i="39"/>
  <c r="F34" i="39"/>
  <c r="E34" i="39"/>
  <c r="D34" i="39"/>
  <c r="C34" i="39"/>
  <c r="B34" i="39"/>
  <c r="J34" i="38"/>
  <c r="I34" i="38"/>
  <c r="H34" i="38"/>
  <c r="G34" i="38"/>
  <c r="F34" i="38"/>
  <c r="E34" i="38"/>
  <c r="D34" i="38"/>
  <c r="C34" i="38"/>
  <c r="B34" i="38"/>
  <c r="J34" i="37"/>
  <c r="I34" i="37"/>
  <c r="H34" i="37"/>
  <c r="G34" i="37"/>
  <c r="F34" i="37"/>
  <c r="E34" i="37"/>
  <c r="D34" i="37"/>
  <c r="C34" i="37"/>
  <c r="B34" i="37"/>
  <c r="J34" i="36"/>
  <c r="I34" i="36"/>
  <c r="H34" i="36"/>
  <c r="G34" i="36"/>
  <c r="F34" i="36"/>
  <c r="E34" i="36"/>
  <c r="D34" i="36"/>
  <c r="C34" i="36"/>
  <c r="B34" i="36"/>
  <c r="J34" i="35"/>
  <c r="I34" i="35"/>
  <c r="H34" i="35"/>
  <c r="G34" i="35"/>
  <c r="F34" i="35"/>
  <c r="E34" i="35"/>
  <c r="D34" i="35"/>
  <c r="C34" i="35"/>
  <c r="B34" i="35"/>
  <c r="J34" i="34"/>
  <c r="I34" i="34"/>
  <c r="H34" i="34"/>
  <c r="G34" i="34"/>
  <c r="F34" i="34"/>
  <c r="E34" i="34"/>
  <c r="D34" i="34"/>
  <c r="C34" i="34"/>
  <c r="B34" i="34"/>
  <c r="J34" i="33"/>
  <c r="I34" i="33"/>
  <c r="H34" i="33"/>
  <c r="G34" i="33"/>
  <c r="F34" i="33"/>
  <c r="E34" i="33"/>
  <c r="D34" i="33"/>
  <c r="C34" i="33"/>
  <c r="B34" i="33"/>
  <c r="J34" i="32"/>
  <c r="I34" i="32"/>
  <c r="H34" i="32"/>
  <c r="G34" i="32"/>
  <c r="F34" i="32"/>
  <c r="E34" i="32"/>
  <c r="D34" i="32"/>
  <c r="C34" i="32"/>
  <c r="B34" i="32"/>
  <c r="J34" i="31"/>
  <c r="I34" i="31"/>
  <c r="H34" i="31"/>
  <c r="G34" i="31"/>
  <c r="F34" i="31"/>
  <c r="E34" i="31"/>
  <c r="D34" i="31"/>
  <c r="C34" i="31"/>
  <c r="B34" i="31"/>
  <c r="J34" i="29"/>
  <c r="I34" i="29"/>
  <c r="H34" i="29"/>
  <c r="G34" i="29"/>
  <c r="F34" i="29"/>
  <c r="E34" i="29"/>
  <c r="D34" i="29"/>
  <c r="C34" i="29"/>
  <c r="B34" i="29"/>
  <c r="J34" i="27"/>
  <c r="I34" i="27"/>
  <c r="H34" i="27"/>
  <c r="G34" i="27"/>
  <c r="F34" i="27"/>
  <c r="E34" i="27"/>
  <c r="D34" i="27"/>
  <c r="C34" i="27"/>
  <c r="B34" i="27"/>
  <c r="J34" i="26"/>
  <c r="I34" i="26"/>
  <c r="H34" i="26"/>
  <c r="G34" i="26"/>
  <c r="F34" i="26"/>
  <c r="E34" i="26"/>
  <c r="D34" i="26"/>
  <c r="C34" i="26"/>
  <c r="B34" i="26"/>
  <c r="J35" i="24"/>
  <c r="I35" i="24"/>
  <c r="H35" i="24"/>
  <c r="G35" i="24"/>
  <c r="F35" i="24"/>
  <c r="E35" i="24"/>
  <c r="D35" i="24"/>
  <c r="C35" i="24"/>
  <c r="B35" i="24"/>
  <c r="J35" i="23"/>
  <c r="I35" i="23"/>
  <c r="H35" i="23"/>
  <c r="G35" i="23"/>
  <c r="F35" i="23"/>
  <c r="E35" i="23"/>
  <c r="D35" i="23"/>
  <c r="C35" i="23"/>
  <c r="B35" i="23"/>
  <c r="J35" i="22"/>
  <c r="I35" i="22"/>
  <c r="H35" i="22"/>
  <c r="G35" i="22"/>
  <c r="F35" i="22"/>
  <c r="E35" i="22"/>
  <c r="D35" i="22"/>
  <c r="C35" i="22"/>
  <c r="B35" i="22"/>
  <c r="J35" i="21"/>
  <c r="I35" i="21"/>
  <c r="H35" i="21"/>
  <c r="G35" i="21"/>
  <c r="F35" i="21"/>
  <c r="E35" i="21"/>
  <c r="D35" i="21"/>
  <c r="C35" i="21"/>
  <c r="B35" i="21"/>
  <c r="J35" i="20"/>
  <c r="I35" i="20"/>
  <c r="H35" i="20"/>
  <c r="G35" i="20"/>
  <c r="F35" i="20"/>
  <c r="E35" i="20"/>
  <c r="D35" i="20"/>
  <c r="C35" i="20"/>
  <c r="B35" i="20"/>
  <c r="J33" i="44"/>
  <c r="I33" i="44"/>
  <c r="H33" i="44"/>
  <c r="G33" i="44"/>
  <c r="F33" i="44"/>
  <c r="E33" i="44"/>
  <c r="D33" i="44"/>
  <c r="C33" i="44"/>
  <c r="B33" i="44"/>
  <c r="J33" i="43"/>
  <c r="I33" i="43"/>
  <c r="H33" i="43"/>
  <c r="G33" i="43"/>
  <c r="F33" i="43"/>
  <c r="E33" i="43"/>
  <c r="D33" i="43"/>
  <c r="C33" i="43"/>
  <c r="B33" i="43"/>
  <c r="J33" i="42"/>
  <c r="I33" i="42"/>
  <c r="H33" i="42"/>
  <c r="G33" i="42"/>
  <c r="F33" i="42"/>
  <c r="E33" i="42"/>
  <c r="D33" i="42"/>
  <c r="C33" i="42"/>
  <c r="B33" i="42"/>
  <c r="J33" i="41"/>
  <c r="I33" i="41"/>
  <c r="H33" i="41"/>
  <c r="G33" i="41"/>
  <c r="F33" i="41"/>
  <c r="E33" i="41"/>
  <c r="D33" i="41"/>
  <c r="C33" i="41"/>
  <c r="B33" i="41"/>
  <c r="J33" i="40"/>
  <c r="I33" i="40"/>
  <c r="H33" i="40"/>
  <c r="G33" i="40"/>
  <c r="F33" i="40"/>
  <c r="E33" i="40"/>
  <c r="D33" i="40"/>
  <c r="C33" i="40"/>
  <c r="B33" i="40"/>
  <c r="J33" i="39"/>
  <c r="I33" i="39"/>
  <c r="H33" i="39"/>
  <c r="G33" i="39"/>
  <c r="F33" i="39"/>
  <c r="E33" i="39"/>
  <c r="D33" i="39"/>
  <c r="C33" i="39"/>
  <c r="B33" i="39"/>
  <c r="J33" i="38"/>
  <c r="I33" i="38"/>
  <c r="H33" i="38"/>
  <c r="G33" i="38"/>
  <c r="F33" i="38"/>
  <c r="E33" i="38"/>
  <c r="D33" i="38"/>
  <c r="C33" i="38"/>
  <c r="B33" i="38"/>
  <c r="J33" i="37"/>
  <c r="I33" i="37"/>
  <c r="H33" i="37"/>
  <c r="G33" i="37"/>
  <c r="F33" i="37"/>
  <c r="E33" i="37"/>
  <c r="D33" i="37"/>
  <c r="C33" i="37"/>
  <c r="B33" i="37"/>
  <c r="J33" i="36"/>
  <c r="I33" i="36"/>
  <c r="H33" i="36"/>
  <c r="G33" i="36"/>
  <c r="F33" i="36"/>
  <c r="E33" i="36"/>
  <c r="D33" i="36"/>
  <c r="C33" i="36"/>
  <c r="B33" i="36"/>
  <c r="J33" i="35"/>
  <c r="I33" i="35"/>
  <c r="H33" i="35"/>
  <c r="G33" i="35"/>
  <c r="F33" i="35"/>
  <c r="E33" i="35"/>
  <c r="D33" i="35"/>
  <c r="C33" i="35"/>
  <c r="B33" i="35"/>
  <c r="J33" i="34"/>
  <c r="I33" i="34"/>
  <c r="H33" i="34"/>
  <c r="G33" i="34"/>
  <c r="F33" i="34"/>
  <c r="E33" i="34"/>
  <c r="D33" i="34"/>
  <c r="C33" i="34"/>
  <c r="B33" i="34"/>
  <c r="J33" i="33"/>
  <c r="I33" i="33"/>
  <c r="H33" i="33"/>
  <c r="G33" i="33"/>
  <c r="F33" i="33"/>
  <c r="E33" i="33"/>
  <c r="D33" i="33"/>
  <c r="C33" i="33"/>
  <c r="B33" i="33"/>
  <c r="J33" i="32"/>
  <c r="I33" i="32"/>
  <c r="H33" i="32"/>
  <c r="G33" i="32"/>
  <c r="F33" i="32"/>
  <c r="E33" i="32"/>
  <c r="D33" i="32"/>
  <c r="C33" i="32"/>
  <c r="B33" i="32"/>
  <c r="J33" i="31"/>
  <c r="I33" i="31"/>
  <c r="H33" i="31"/>
  <c r="G33" i="31"/>
  <c r="F33" i="31"/>
  <c r="E33" i="31"/>
  <c r="D33" i="31"/>
  <c r="C33" i="31"/>
  <c r="B33" i="31"/>
  <c r="J33" i="29"/>
  <c r="I33" i="29"/>
  <c r="H33" i="29"/>
  <c r="G33" i="29"/>
  <c r="F33" i="29"/>
  <c r="E33" i="29"/>
  <c r="D33" i="29"/>
  <c r="C33" i="29"/>
  <c r="B33" i="29"/>
  <c r="J33" i="27"/>
  <c r="I33" i="27"/>
  <c r="H33" i="27"/>
  <c r="G33" i="27"/>
  <c r="F33" i="27"/>
  <c r="E33" i="27"/>
  <c r="D33" i="27"/>
  <c r="C33" i="27"/>
  <c r="B33" i="27"/>
  <c r="J33" i="26"/>
  <c r="I33" i="26"/>
  <c r="H33" i="26"/>
  <c r="G33" i="26"/>
  <c r="F33" i="26"/>
  <c r="E33" i="26"/>
  <c r="D33" i="26"/>
  <c r="C33" i="26"/>
  <c r="B33" i="26"/>
  <c r="J34" i="24"/>
  <c r="I34" i="24"/>
  <c r="H34" i="24"/>
  <c r="G34" i="24"/>
  <c r="F34" i="24"/>
  <c r="E34" i="24"/>
  <c r="D34" i="24"/>
  <c r="C34" i="24"/>
  <c r="B34" i="24"/>
  <c r="J34" i="23"/>
  <c r="I34" i="23"/>
  <c r="H34" i="23"/>
  <c r="G34" i="23"/>
  <c r="F34" i="23"/>
  <c r="E34" i="23"/>
  <c r="D34" i="23"/>
  <c r="C34" i="23"/>
  <c r="B34" i="23"/>
  <c r="J34" i="22"/>
  <c r="I34" i="22"/>
  <c r="H34" i="22"/>
  <c r="G34" i="22"/>
  <c r="F34" i="22"/>
  <c r="E34" i="22"/>
  <c r="D34" i="22"/>
  <c r="C34" i="22"/>
  <c r="B34" i="22"/>
  <c r="J34" i="21"/>
  <c r="I34" i="21"/>
  <c r="H34" i="21"/>
  <c r="G34" i="21"/>
  <c r="F34" i="21"/>
  <c r="E34" i="21"/>
  <c r="D34" i="21"/>
  <c r="C34" i="21"/>
  <c r="B34" i="21"/>
  <c r="J34" i="20"/>
  <c r="I34" i="20"/>
  <c r="H34" i="20"/>
  <c r="G34" i="20"/>
  <c r="F34" i="20"/>
  <c r="E34" i="20"/>
  <c r="D34" i="20"/>
  <c r="C34" i="20"/>
  <c r="B34" i="20"/>
  <c r="J32" i="44"/>
  <c r="I32" i="44"/>
  <c r="H32" i="44"/>
  <c r="G32" i="44"/>
  <c r="F32" i="44"/>
  <c r="E32" i="44"/>
  <c r="D32" i="44"/>
  <c r="C32" i="44"/>
  <c r="B32" i="44"/>
  <c r="J32" i="43"/>
  <c r="I32" i="43"/>
  <c r="H32" i="43"/>
  <c r="G32" i="43"/>
  <c r="F32" i="43"/>
  <c r="E32" i="43"/>
  <c r="D32" i="43"/>
  <c r="C32" i="43"/>
  <c r="B32" i="43"/>
  <c r="J32" i="42"/>
  <c r="I32" i="42"/>
  <c r="H32" i="42"/>
  <c r="G32" i="42"/>
  <c r="F32" i="42"/>
  <c r="E32" i="42"/>
  <c r="D32" i="42"/>
  <c r="C32" i="42"/>
  <c r="B32" i="42"/>
  <c r="J32" i="41"/>
  <c r="I32" i="41"/>
  <c r="H32" i="41"/>
  <c r="G32" i="41"/>
  <c r="F32" i="41"/>
  <c r="E32" i="41"/>
  <c r="D32" i="41"/>
  <c r="C32" i="41"/>
  <c r="B32" i="41"/>
  <c r="J32" i="40"/>
  <c r="I32" i="40"/>
  <c r="H32" i="40"/>
  <c r="G32" i="40"/>
  <c r="F32" i="40"/>
  <c r="E32" i="40"/>
  <c r="D32" i="40"/>
  <c r="C32" i="40"/>
  <c r="B32" i="40"/>
  <c r="J32" i="39"/>
  <c r="I32" i="39"/>
  <c r="H32" i="39"/>
  <c r="G32" i="39"/>
  <c r="F32" i="39"/>
  <c r="E32" i="39"/>
  <c r="D32" i="39"/>
  <c r="C32" i="39"/>
  <c r="B32" i="39"/>
  <c r="J32" i="38"/>
  <c r="I32" i="38"/>
  <c r="H32" i="38"/>
  <c r="G32" i="38"/>
  <c r="F32" i="38"/>
  <c r="E32" i="38"/>
  <c r="D32" i="38"/>
  <c r="C32" i="38"/>
  <c r="B32" i="38"/>
  <c r="J32" i="37"/>
  <c r="I32" i="37"/>
  <c r="H32" i="37"/>
  <c r="G32" i="37"/>
  <c r="F32" i="37"/>
  <c r="E32" i="37"/>
  <c r="D32" i="37"/>
  <c r="C32" i="37"/>
  <c r="B32" i="37"/>
  <c r="J32" i="36"/>
  <c r="I32" i="36"/>
  <c r="H32" i="36"/>
  <c r="G32" i="36"/>
  <c r="F32" i="36"/>
  <c r="E32" i="36"/>
  <c r="D32" i="36"/>
  <c r="C32" i="36"/>
  <c r="B32" i="36"/>
  <c r="J32" i="35"/>
  <c r="I32" i="35"/>
  <c r="H32" i="35"/>
  <c r="G32" i="35"/>
  <c r="F32" i="35"/>
  <c r="E32" i="35"/>
  <c r="D32" i="35"/>
  <c r="C32" i="35"/>
  <c r="B32" i="35"/>
  <c r="J32" i="34"/>
  <c r="I32" i="34"/>
  <c r="H32" i="34"/>
  <c r="G32" i="34"/>
  <c r="F32" i="34"/>
  <c r="E32" i="34"/>
  <c r="D32" i="34"/>
  <c r="C32" i="34"/>
  <c r="B32" i="34"/>
  <c r="J32" i="33"/>
  <c r="I32" i="33"/>
  <c r="H32" i="33"/>
  <c r="G32" i="33"/>
  <c r="F32" i="33"/>
  <c r="E32" i="33"/>
  <c r="D32" i="33"/>
  <c r="C32" i="33"/>
  <c r="B32" i="33"/>
  <c r="J32" i="32"/>
  <c r="I32" i="32"/>
  <c r="H32" i="32"/>
  <c r="G32" i="32"/>
  <c r="F32" i="32"/>
  <c r="E32" i="32"/>
  <c r="D32" i="32"/>
  <c r="C32" i="32"/>
  <c r="B32" i="32"/>
  <c r="J32" i="31"/>
  <c r="I32" i="31"/>
  <c r="H32" i="31"/>
  <c r="G32" i="31"/>
  <c r="F32" i="31"/>
  <c r="E32" i="31"/>
  <c r="D32" i="31"/>
  <c r="C32" i="31"/>
  <c r="B32" i="31"/>
  <c r="J32" i="29"/>
  <c r="I32" i="29"/>
  <c r="H32" i="29"/>
  <c r="G32" i="29"/>
  <c r="F32" i="29"/>
  <c r="E32" i="29"/>
  <c r="D32" i="29"/>
  <c r="C32" i="29"/>
  <c r="B32" i="29"/>
  <c r="J32" i="27"/>
  <c r="I32" i="27"/>
  <c r="H32" i="27"/>
  <c r="G32" i="27"/>
  <c r="F32" i="27"/>
  <c r="E32" i="27"/>
  <c r="D32" i="27"/>
  <c r="C32" i="27"/>
  <c r="B32" i="27"/>
  <c r="J32" i="26"/>
  <c r="I32" i="26"/>
  <c r="H32" i="26"/>
  <c r="G32" i="26"/>
  <c r="F32" i="26"/>
  <c r="E32" i="26"/>
  <c r="D32" i="26"/>
  <c r="C32" i="26"/>
  <c r="B32" i="26"/>
  <c r="J33" i="24"/>
  <c r="I33" i="24"/>
  <c r="H33" i="24"/>
  <c r="G33" i="24"/>
  <c r="F33" i="24"/>
  <c r="E33" i="24"/>
  <c r="D33" i="24"/>
  <c r="C33" i="24"/>
  <c r="B33" i="24"/>
  <c r="J33" i="23"/>
  <c r="I33" i="23"/>
  <c r="H33" i="23"/>
  <c r="G33" i="23"/>
  <c r="F33" i="23"/>
  <c r="E33" i="23"/>
  <c r="D33" i="23"/>
  <c r="C33" i="23"/>
  <c r="B33" i="23"/>
  <c r="J33" i="22"/>
  <c r="I33" i="22"/>
  <c r="H33" i="22"/>
  <c r="G33" i="22"/>
  <c r="F33" i="22"/>
  <c r="E33" i="22"/>
  <c r="D33" i="22"/>
  <c r="C33" i="22"/>
  <c r="B33" i="22"/>
  <c r="J33" i="21"/>
  <c r="I33" i="21"/>
  <c r="H33" i="21"/>
  <c r="G33" i="21"/>
  <c r="F33" i="21"/>
  <c r="E33" i="21"/>
  <c r="D33" i="21"/>
  <c r="C33" i="21"/>
  <c r="B33" i="21"/>
  <c r="J33" i="20"/>
  <c r="I33" i="20"/>
  <c r="H33" i="20"/>
  <c r="G33" i="20"/>
  <c r="F33" i="20"/>
  <c r="E33" i="20"/>
  <c r="D33" i="20"/>
  <c r="C33" i="20"/>
  <c r="B33" i="20"/>
  <c r="J31" i="44"/>
  <c r="I31" i="44"/>
  <c r="H31" i="44"/>
  <c r="G31" i="44"/>
  <c r="F31" i="44"/>
  <c r="E31" i="44"/>
  <c r="D31" i="44"/>
  <c r="C31" i="44"/>
  <c r="B31" i="44"/>
  <c r="J31" i="43"/>
  <c r="I31" i="43"/>
  <c r="H31" i="43"/>
  <c r="G31" i="43"/>
  <c r="F31" i="43"/>
  <c r="E31" i="43"/>
  <c r="D31" i="43"/>
  <c r="C31" i="43"/>
  <c r="B31" i="43"/>
  <c r="J31" i="42"/>
  <c r="I31" i="42"/>
  <c r="H31" i="42"/>
  <c r="G31" i="42"/>
  <c r="F31" i="42"/>
  <c r="E31" i="42"/>
  <c r="D31" i="42"/>
  <c r="C31" i="42"/>
  <c r="B31" i="42"/>
  <c r="J31" i="41"/>
  <c r="I31" i="41"/>
  <c r="H31" i="41"/>
  <c r="G31" i="41"/>
  <c r="F31" i="41"/>
  <c r="E31" i="41"/>
  <c r="D31" i="41"/>
  <c r="C31" i="41"/>
  <c r="B31" i="41"/>
  <c r="J31" i="40"/>
  <c r="I31" i="40"/>
  <c r="H31" i="40"/>
  <c r="G31" i="40"/>
  <c r="F31" i="40"/>
  <c r="E31" i="40"/>
  <c r="D31" i="40"/>
  <c r="C31" i="40"/>
  <c r="B31" i="40"/>
  <c r="J31" i="39"/>
  <c r="I31" i="39"/>
  <c r="H31" i="39"/>
  <c r="G31" i="39"/>
  <c r="F31" i="39"/>
  <c r="E31" i="39"/>
  <c r="D31" i="39"/>
  <c r="C31" i="39"/>
  <c r="B31" i="39"/>
  <c r="J31" i="38"/>
  <c r="I31" i="38"/>
  <c r="H31" i="38"/>
  <c r="G31" i="38"/>
  <c r="F31" i="38"/>
  <c r="E31" i="38"/>
  <c r="D31" i="38"/>
  <c r="C31" i="38"/>
  <c r="B31" i="38"/>
  <c r="J31" i="37"/>
  <c r="I31" i="37"/>
  <c r="H31" i="37"/>
  <c r="G31" i="37"/>
  <c r="F31" i="37"/>
  <c r="E31" i="37"/>
  <c r="D31" i="37"/>
  <c r="C31" i="37"/>
  <c r="B31" i="37"/>
  <c r="J31" i="36"/>
  <c r="I31" i="36"/>
  <c r="H31" i="36"/>
  <c r="G31" i="36"/>
  <c r="F31" i="36"/>
  <c r="E31" i="36"/>
  <c r="D31" i="36"/>
  <c r="C31" i="36"/>
  <c r="B31" i="36"/>
  <c r="J31" i="35"/>
  <c r="I31" i="35"/>
  <c r="H31" i="35"/>
  <c r="G31" i="35"/>
  <c r="F31" i="35"/>
  <c r="E31" i="35"/>
  <c r="D31" i="35"/>
  <c r="C31" i="35"/>
  <c r="B31" i="35"/>
  <c r="J31" i="34"/>
  <c r="I31" i="34"/>
  <c r="H31" i="34"/>
  <c r="G31" i="34"/>
  <c r="F31" i="34"/>
  <c r="E31" i="34"/>
  <c r="D31" i="34"/>
  <c r="C31" i="34"/>
  <c r="B31" i="34"/>
  <c r="J31" i="33"/>
  <c r="I31" i="33"/>
  <c r="H31" i="33"/>
  <c r="G31" i="33"/>
  <c r="F31" i="33"/>
  <c r="E31" i="33"/>
  <c r="D31" i="33"/>
  <c r="C31" i="33"/>
  <c r="B31" i="33"/>
  <c r="J31" i="32"/>
  <c r="I31" i="32"/>
  <c r="H31" i="32"/>
  <c r="G31" i="32"/>
  <c r="F31" i="32"/>
  <c r="E31" i="32"/>
  <c r="D31" i="32"/>
  <c r="C31" i="32"/>
  <c r="B31" i="32"/>
  <c r="J31" i="31"/>
  <c r="I31" i="31"/>
  <c r="H31" i="31"/>
  <c r="G31" i="31"/>
  <c r="F31" i="31"/>
  <c r="E31" i="31"/>
  <c r="D31" i="31"/>
  <c r="C31" i="31"/>
  <c r="B31" i="31"/>
  <c r="J31" i="29"/>
  <c r="I31" i="29"/>
  <c r="H31" i="29"/>
  <c r="G31" i="29"/>
  <c r="F31" i="29"/>
  <c r="E31" i="29"/>
  <c r="D31" i="29"/>
  <c r="C31" i="29"/>
  <c r="B31" i="29"/>
  <c r="J31" i="27"/>
  <c r="I31" i="27"/>
  <c r="H31" i="27"/>
  <c r="G31" i="27"/>
  <c r="F31" i="27"/>
  <c r="E31" i="27"/>
  <c r="D31" i="27"/>
  <c r="C31" i="27"/>
  <c r="B31" i="27"/>
  <c r="J31" i="26"/>
  <c r="I31" i="26"/>
  <c r="H31" i="26"/>
  <c r="G31" i="26"/>
  <c r="F31" i="26"/>
  <c r="E31" i="26"/>
  <c r="D31" i="26"/>
  <c r="C31" i="26"/>
  <c r="B31" i="26"/>
  <c r="J32" i="24"/>
  <c r="I32" i="24"/>
  <c r="H32" i="24"/>
  <c r="G32" i="24"/>
  <c r="F32" i="24"/>
  <c r="E32" i="24"/>
  <c r="D32" i="24"/>
  <c r="C32" i="24"/>
  <c r="B32" i="24"/>
  <c r="J32" i="23"/>
  <c r="I32" i="23"/>
  <c r="H32" i="23"/>
  <c r="G32" i="23"/>
  <c r="F32" i="23"/>
  <c r="E32" i="23"/>
  <c r="D32" i="23"/>
  <c r="C32" i="23"/>
  <c r="B32" i="23"/>
  <c r="J32" i="22"/>
  <c r="I32" i="22"/>
  <c r="H32" i="22"/>
  <c r="G32" i="22"/>
  <c r="F32" i="22"/>
  <c r="E32" i="22"/>
  <c r="D32" i="22"/>
  <c r="C32" i="22"/>
  <c r="B32" i="22"/>
  <c r="J32" i="21"/>
  <c r="I32" i="21"/>
  <c r="H32" i="21"/>
  <c r="G32" i="21"/>
  <c r="F32" i="21"/>
  <c r="E32" i="21"/>
  <c r="D32" i="21"/>
  <c r="C32" i="21"/>
  <c r="B32" i="21"/>
  <c r="J32" i="20"/>
  <c r="I32" i="20"/>
  <c r="H32" i="20"/>
  <c r="G32" i="20"/>
  <c r="F32" i="20"/>
  <c r="E32" i="20"/>
  <c r="D32" i="20"/>
  <c r="C32" i="20"/>
  <c r="B32" i="20"/>
  <c r="W32" i="11"/>
  <c r="L45" i="5" l="1"/>
  <c r="X6" i="18"/>
  <c r="W33" i="11"/>
  <c r="W34" i="11"/>
  <c r="W35" i="11"/>
  <c r="W36" i="11"/>
  <c r="X32" i="11"/>
  <c r="X33" i="11"/>
  <c r="X34" i="11"/>
  <c r="X35" i="11"/>
  <c r="X36" i="11"/>
  <c r="Y32" i="11"/>
  <c r="Y34" i="11"/>
  <c r="Y36" i="11"/>
  <c r="Y33" i="11"/>
  <c r="Y35" i="11"/>
  <c r="P32" i="10"/>
  <c r="P34" i="10"/>
  <c r="P35" i="10"/>
  <c r="Q32" i="13"/>
  <c r="Q33" i="13"/>
  <c r="Q34" i="13"/>
  <c r="Q35" i="13"/>
  <c r="Q36" i="13"/>
  <c r="R35" i="13"/>
  <c r="R36" i="13"/>
  <c r="R32" i="13"/>
  <c r="R33" i="13"/>
  <c r="R34" i="13"/>
  <c r="S32" i="13"/>
  <c r="S33" i="13"/>
  <c r="S34" i="13"/>
  <c r="S35" i="13"/>
  <c r="S36" i="13"/>
  <c r="P36" i="10"/>
  <c r="O32" i="10"/>
  <c r="O33" i="10"/>
  <c r="O35" i="10"/>
  <c r="O36" i="10"/>
  <c r="P33" i="10"/>
  <c r="N32" i="10"/>
  <c r="N33" i="10"/>
  <c r="N34" i="10"/>
  <c r="N35" i="10"/>
  <c r="N36" i="10"/>
  <c r="O34" i="10"/>
  <c r="V37" i="19" l="1"/>
  <c r="U37" i="19"/>
  <c r="T37" i="19"/>
  <c r="N36" i="44" l="1"/>
  <c r="N36" i="43"/>
  <c r="N36" i="42"/>
  <c r="N36" i="41"/>
  <c r="N36" i="40"/>
  <c r="N36" i="39"/>
  <c r="N36" i="38"/>
  <c r="N36" i="37"/>
  <c r="N36" i="36"/>
  <c r="N36" i="35"/>
  <c r="N36" i="34"/>
  <c r="N36" i="33"/>
  <c r="N36" i="32"/>
  <c r="N36" i="31"/>
  <c r="N36" i="30"/>
  <c r="N36" i="29"/>
  <c r="N36" i="28"/>
  <c r="N36" i="27"/>
  <c r="E25" i="2" s="1"/>
  <c r="N36" i="26"/>
  <c r="E24" i="2" s="1"/>
  <c r="N36" i="25"/>
  <c r="E23" i="2" s="1"/>
  <c r="E22" i="2"/>
  <c r="E21" i="2"/>
  <c r="E20" i="2"/>
  <c r="E19" i="2"/>
  <c r="E18" i="2"/>
  <c r="E17" i="2"/>
  <c r="E16" i="2"/>
  <c r="E14" i="2"/>
  <c r="E13" i="2"/>
  <c r="E12" i="2"/>
  <c r="E11" i="2"/>
  <c r="E10" i="2"/>
  <c r="E9" i="2"/>
  <c r="E8" i="2"/>
  <c r="E7" i="2"/>
  <c r="E6" i="2"/>
  <c r="E5" i="2"/>
  <c r="E4" i="2"/>
  <c r="A26" i="2"/>
  <c r="A25" i="2"/>
  <c r="A24" i="2"/>
  <c r="A23" i="2"/>
  <c r="A22" i="2"/>
  <c r="A21" i="2"/>
  <c r="A20" i="2"/>
  <c r="A19" i="2"/>
  <c r="A18" i="2"/>
  <c r="A17" i="2"/>
  <c r="A16" i="2"/>
  <c r="A14" i="2"/>
  <c r="A13" i="2"/>
  <c r="A12" i="2"/>
  <c r="A11" i="2"/>
  <c r="A10" i="2"/>
  <c r="A9" i="2"/>
  <c r="A8" i="2"/>
  <c r="A7" i="2"/>
  <c r="A6" i="2"/>
  <c r="D5" i="2"/>
  <c r="A5" i="2"/>
  <c r="A4" i="2"/>
  <c r="E3" i="2"/>
  <c r="A3" i="2"/>
  <c r="E26" i="2" l="1"/>
  <c r="L11" i="29"/>
  <c r="L25" i="29"/>
  <c r="L31" i="29"/>
  <c r="L34" i="29"/>
  <c r="M34" i="33"/>
  <c r="L35" i="33"/>
  <c r="M21" i="41"/>
  <c r="L22" i="41"/>
  <c r="M23" i="40"/>
  <c r="K32" i="31"/>
  <c r="L31" i="35"/>
  <c r="L15" i="36"/>
  <c r="K8" i="40"/>
  <c r="M33" i="31"/>
  <c r="K11" i="36"/>
  <c r="K29" i="35"/>
  <c r="K20" i="41"/>
  <c r="L32" i="39"/>
  <c r="K17" i="40"/>
  <c r="K32" i="40"/>
  <c r="L33" i="40"/>
  <c r="K27" i="22"/>
  <c r="M33" i="32"/>
  <c r="K16" i="36"/>
  <c r="K26" i="15"/>
  <c r="K14" i="23"/>
  <c r="K22" i="24"/>
  <c r="M18" i="38"/>
  <c r="L19" i="40"/>
  <c r="M21" i="20"/>
  <c r="K23" i="20"/>
  <c r="M26" i="20"/>
  <c r="M23" i="24"/>
  <c r="K33" i="24"/>
  <c r="M25" i="29"/>
  <c r="M33" i="29"/>
  <c r="M32" i="33"/>
  <c r="M27" i="36"/>
  <c r="L28" i="36"/>
  <c r="M11" i="37"/>
  <c r="M19" i="37"/>
  <c r="K21" i="37"/>
  <c r="M34" i="41"/>
  <c r="L35" i="42"/>
  <c r="M18" i="43"/>
  <c r="L19" i="43"/>
  <c r="K20" i="43"/>
  <c r="M34" i="43"/>
  <c r="K20" i="44"/>
  <c r="M20" i="40"/>
  <c r="L21" i="40"/>
  <c r="K22" i="40"/>
  <c r="M27" i="40"/>
  <c r="L28" i="40"/>
  <c r="L20" i="42"/>
  <c r="K31" i="42"/>
  <c r="M35" i="42"/>
  <c r="K5" i="43"/>
  <c r="M13" i="39"/>
  <c r="M21" i="39"/>
  <c r="L14" i="40"/>
  <c r="L13" i="41"/>
  <c r="L21" i="41"/>
  <c r="K22" i="41"/>
  <c r="M28" i="41"/>
  <c r="L13" i="42"/>
  <c r="M24" i="34"/>
  <c r="L25" i="34"/>
  <c r="M24" i="36"/>
  <c r="M32" i="36"/>
  <c r="L33" i="36"/>
  <c r="K34" i="36"/>
  <c r="M24" i="38"/>
  <c r="M28" i="32"/>
  <c r="M19" i="39"/>
  <c r="K21" i="39"/>
  <c r="M35" i="39"/>
  <c r="K28" i="41"/>
  <c r="M10" i="44"/>
  <c r="K7" i="39"/>
  <c r="L6" i="41"/>
  <c r="L6" i="16"/>
  <c r="M5" i="41"/>
  <c r="M16" i="38"/>
  <c r="M16" i="39"/>
  <c r="L19" i="12"/>
  <c r="M10" i="15"/>
  <c r="L11" i="15"/>
  <c r="L19" i="15"/>
  <c r="K20" i="15"/>
  <c r="M26" i="15"/>
  <c r="K20" i="16"/>
  <c r="K11" i="43"/>
  <c r="K19" i="43"/>
  <c r="M25" i="43"/>
  <c r="K35" i="43"/>
  <c r="K13" i="16"/>
  <c r="K29" i="40"/>
  <c r="K12" i="41"/>
  <c r="K27" i="32"/>
  <c r="K33" i="15"/>
  <c r="M6" i="42"/>
  <c r="L7" i="42"/>
  <c r="K8" i="42"/>
  <c r="M10" i="39"/>
  <c r="M17" i="29"/>
  <c r="K24" i="40"/>
  <c r="K8" i="16"/>
  <c r="K7" i="33"/>
  <c r="L9" i="35"/>
  <c r="M9" i="44"/>
  <c r="K10" i="34"/>
  <c r="K11" i="32"/>
  <c r="M11" i="27"/>
  <c r="L11" i="39"/>
  <c r="L11" i="41"/>
  <c r="L12" i="37"/>
  <c r="K13" i="37"/>
  <c r="K14" i="41"/>
  <c r="K6" i="23"/>
  <c r="K27" i="23"/>
  <c r="K30" i="23"/>
  <c r="K9" i="33"/>
  <c r="L27" i="41"/>
  <c r="L34" i="44"/>
  <c r="M9" i="29"/>
  <c r="M17" i="32"/>
  <c r="K19" i="32"/>
  <c r="M8" i="33"/>
  <c r="M22" i="36"/>
  <c r="K9" i="43"/>
  <c r="K25" i="43"/>
  <c r="M26" i="43"/>
  <c r="M26" i="44"/>
  <c r="L27" i="44"/>
  <c r="K28" i="44"/>
  <c r="K23" i="41"/>
  <c r="M35" i="5"/>
  <c r="M74" i="5" s="1"/>
  <c r="K27" i="15"/>
  <c r="M25" i="33"/>
  <c r="L26" i="33"/>
  <c r="K35" i="33"/>
  <c r="M9" i="34"/>
  <c r="L10" i="34"/>
  <c r="L34" i="37"/>
  <c r="M9" i="38"/>
  <c r="L10" i="38"/>
  <c r="K19" i="38"/>
  <c r="K27" i="38"/>
  <c r="M33" i="38"/>
  <c r="L34" i="38"/>
  <c r="L18" i="39"/>
  <c r="M25" i="39"/>
  <c r="L26" i="39"/>
  <c r="K27" i="39"/>
  <c r="M29" i="43"/>
  <c r="L30" i="43"/>
  <c r="M5" i="44"/>
  <c r="M13" i="44"/>
  <c r="L14" i="44"/>
  <c r="K15" i="44"/>
  <c r="M8" i="26"/>
  <c r="M24" i="26"/>
  <c r="K26" i="26"/>
  <c r="K6" i="34"/>
  <c r="M12" i="34"/>
  <c r="M31" i="35"/>
  <c r="L19" i="38"/>
  <c r="K20" i="38"/>
  <c r="M7" i="39"/>
  <c r="K10" i="38"/>
  <c r="K13" i="38"/>
  <c r="M27" i="39"/>
  <c r="L26" i="40"/>
  <c r="M19" i="24"/>
  <c r="K21" i="24"/>
  <c r="L14" i="29"/>
  <c r="K15" i="29"/>
  <c r="L22" i="29"/>
  <c r="K23" i="29"/>
  <c r="M12" i="33"/>
  <c r="L13" i="33"/>
  <c r="K14" i="33"/>
  <c r="M20" i="33"/>
  <c r="K16" i="38"/>
  <c r="K6" i="40"/>
  <c r="K26" i="43"/>
  <c r="L9" i="44"/>
  <c r="L17" i="44"/>
  <c r="M32" i="44"/>
  <c r="L33" i="44"/>
  <c r="L15" i="42"/>
  <c r="K31" i="12"/>
  <c r="M18" i="16"/>
  <c r="L34" i="16"/>
  <c r="L21" i="31"/>
  <c r="K22" i="31"/>
  <c r="K24" i="31"/>
  <c r="L29" i="31"/>
  <c r="K30" i="31"/>
  <c r="L10" i="36"/>
  <c r="K24" i="36"/>
  <c r="M15" i="40"/>
  <c r="K7" i="16"/>
  <c r="K29" i="16"/>
  <c r="K22" i="20"/>
  <c r="K12" i="39"/>
  <c r="K7" i="41"/>
  <c r="M10" i="41"/>
  <c r="L21" i="42"/>
  <c r="L29" i="42"/>
  <c r="K30" i="42"/>
  <c r="M19" i="43"/>
  <c r="L20" i="43"/>
  <c r="K21" i="43"/>
  <c r="K17" i="31"/>
  <c r="M23" i="31"/>
  <c r="L24" i="31"/>
  <c r="M31" i="31"/>
  <c r="L32" i="31"/>
  <c r="K30" i="35"/>
  <c r="L5" i="38"/>
  <c r="M11" i="39"/>
  <c r="K22" i="44"/>
  <c r="L29" i="44"/>
  <c r="K36" i="16"/>
  <c r="M26" i="36"/>
  <c r="L30" i="36"/>
  <c r="M5" i="37"/>
  <c r="L14" i="37"/>
  <c r="M10" i="38"/>
  <c r="K32" i="38"/>
  <c r="M16" i="37"/>
  <c r="M18" i="41"/>
  <c r="M12" i="42"/>
  <c r="M23" i="42"/>
  <c r="L24" i="42"/>
  <c r="K25" i="42"/>
  <c r="K20" i="29"/>
  <c r="K28" i="29"/>
  <c r="M10" i="31"/>
  <c r="L11" i="31"/>
  <c r="K12" i="31"/>
  <c r="K14" i="34"/>
  <c r="M20" i="34"/>
  <c r="M28" i="34"/>
  <c r="K30" i="34"/>
  <c r="L8" i="35"/>
  <c r="M15" i="35"/>
  <c r="L24" i="35"/>
  <c r="K25" i="35"/>
  <c r="K9" i="36"/>
  <c r="K17" i="36"/>
  <c r="M30" i="38"/>
  <c r="M6" i="39"/>
  <c r="L7" i="39"/>
  <c r="L12" i="39"/>
  <c r="K13" i="39"/>
  <c r="M22" i="39"/>
  <c r="K24" i="39"/>
  <c r="L30" i="39"/>
  <c r="K31" i="39"/>
  <c r="M31" i="44"/>
  <c r="L32" i="44"/>
  <c r="K33" i="44"/>
  <c r="M21" i="29"/>
  <c r="M10" i="35"/>
  <c r="M10" i="36"/>
  <c r="K20" i="36"/>
  <c r="K11" i="39"/>
  <c r="L19" i="41"/>
  <c r="M29" i="44"/>
  <c r="K31" i="44"/>
  <c r="M34" i="44"/>
  <c r="L33" i="22"/>
  <c r="M30" i="29"/>
  <c r="M5" i="32"/>
  <c r="L6" i="32"/>
  <c r="K7" i="32"/>
  <c r="M13" i="32"/>
  <c r="K15" i="32"/>
  <c r="M21" i="32"/>
  <c r="L22" i="32"/>
  <c r="K23" i="32"/>
  <c r="M29" i="32"/>
  <c r="K31" i="32"/>
  <c r="M11" i="33"/>
  <c r="L12" i="33"/>
  <c r="K13" i="33"/>
  <c r="M19" i="33"/>
  <c r="L20" i="33"/>
  <c r="M27" i="33"/>
  <c r="L28" i="33"/>
  <c r="K29" i="33"/>
  <c r="M25" i="34"/>
  <c r="L26" i="34"/>
  <c r="M31" i="37"/>
  <c r="L32" i="37"/>
  <c r="K33" i="37"/>
  <c r="M14" i="38"/>
  <c r="L15" i="38"/>
  <c r="L29" i="38"/>
  <c r="K14" i="39"/>
  <c r="K29" i="39"/>
  <c r="M16" i="40"/>
  <c r="M31" i="40"/>
  <c r="L32" i="40"/>
  <c r="M6" i="41"/>
  <c r="L7" i="41"/>
  <c r="K8" i="41"/>
  <c r="L14" i="42"/>
  <c r="K15" i="42"/>
  <c r="M21" i="42"/>
  <c r="M29" i="42"/>
  <c r="L30" i="42"/>
  <c r="M5" i="43"/>
  <c r="L6" i="43"/>
  <c r="K7" i="43"/>
  <c r="M35" i="43"/>
  <c r="M11" i="44"/>
  <c r="K13" i="44"/>
  <c r="M19" i="44"/>
  <c r="L20" i="44"/>
  <c r="M32" i="22"/>
  <c r="M7" i="27"/>
  <c r="K21" i="6"/>
  <c r="K60" i="6" s="1"/>
  <c r="M35" i="6"/>
  <c r="M74" i="6" s="1"/>
  <c r="M25" i="31"/>
  <c r="K22" i="34"/>
  <c r="M9" i="41"/>
  <c r="K13" i="42"/>
  <c r="M27" i="42"/>
  <c r="K29" i="42"/>
  <c r="K27" i="21"/>
  <c r="K25" i="27"/>
  <c r="M22" i="6"/>
  <c r="M61" i="6" s="1"/>
  <c r="M25" i="26"/>
  <c r="L26" i="26"/>
  <c r="K27" i="26"/>
  <c r="M24" i="29"/>
  <c r="M16" i="31"/>
  <c r="L25" i="31"/>
  <c r="M32" i="31"/>
  <c r="K33" i="31"/>
  <c r="K9" i="32"/>
  <c r="L16" i="32"/>
  <c r="K17" i="32"/>
  <c r="K25" i="32"/>
  <c r="K7" i="34"/>
  <c r="M19" i="34"/>
  <c r="L20" i="34"/>
  <c r="M27" i="34"/>
  <c r="L28" i="34"/>
  <c r="M11" i="35"/>
  <c r="K13" i="35"/>
  <c r="L19" i="35"/>
  <c r="L35" i="35"/>
  <c r="L19" i="36"/>
  <c r="L26" i="36"/>
  <c r="L26" i="37"/>
  <c r="L26" i="21"/>
  <c r="M9" i="22"/>
  <c r="K34" i="22"/>
  <c r="L32" i="26"/>
  <c r="L24" i="27"/>
  <c r="M28" i="20"/>
  <c r="L13" i="21"/>
  <c r="M10" i="26"/>
  <c r="L11" i="26"/>
  <c r="K12" i="26"/>
  <c r="M26" i="26"/>
  <c r="K17" i="27"/>
  <c r="M14" i="31"/>
  <c r="K16" i="31"/>
  <c r="M22" i="31"/>
  <c r="M30" i="31"/>
  <c r="M22" i="33"/>
  <c r="K6" i="35"/>
  <c r="M6" i="35"/>
  <c r="K8" i="35"/>
  <c r="K14" i="35"/>
  <c r="K20" i="37"/>
  <c r="M23" i="37"/>
  <c r="K25" i="37"/>
  <c r="K11" i="38"/>
  <c r="L17" i="38"/>
  <c r="K18" i="38"/>
  <c r="M23" i="38"/>
  <c r="L24" i="38"/>
  <c r="K25" i="38"/>
  <c r="M31" i="38"/>
  <c r="L32" i="38"/>
  <c r="K25" i="40"/>
  <c r="L18" i="41"/>
  <c r="M25" i="41"/>
  <c r="M33" i="41"/>
  <c r="L34" i="41"/>
  <c r="K23" i="42"/>
  <c r="M8" i="43"/>
  <c r="L9" i="43"/>
  <c r="M15" i="43"/>
  <c r="K17" i="43"/>
  <c r="M23" i="43"/>
  <c r="M30" i="43"/>
  <c r="L31" i="43"/>
  <c r="K32" i="43"/>
  <c r="M25" i="21"/>
  <c r="L26" i="22"/>
  <c r="K9" i="27"/>
  <c r="K33" i="27"/>
  <c r="K9" i="35"/>
  <c r="K16" i="35"/>
  <c r="K15" i="37"/>
  <c r="M21" i="37"/>
  <c r="M25" i="22"/>
  <c r="L32" i="27"/>
  <c r="M6" i="20"/>
  <c r="L7" i="20"/>
  <c r="K8" i="20"/>
  <c r="K21" i="20"/>
  <c r="M22" i="20"/>
  <c r="M14" i="21"/>
  <c r="K36" i="23"/>
  <c r="L6" i="24"/>
  <c r="L5" i="26"/>
  <c r="K6" i="26"/>
  <c r="K14" i="26"/>
  <c r="M20" i="26"/>
  <c r="L21" i="26"/>
  <c r="M19" i="29"/>
  <c r="L20" i="29"/>
  <c r="K21" i="29"/>
  <c r="M27" i="29"/>
  <c r="M35" i="29"/>
  <c r="M34" i="31"/>
  <c r="M10" i="32"/>
  <c r="L11" i="32"/>
  <c r="K12" i="32"/>
  <c r="M18" i="32"/>
  <c r="L19" i="32"/>
  <c r="M26" i="32"/>
  <c r="L27" i="32"/>
  <c r="M8" i="34"/>
  <c r="L15" i="34"/>
  <c r="K16" i="34"/>
  <c r="L31" i="34"/>
  <c r="K32" i="34"/>
  <c r="L15" i="35"/>
  <c r="M21" i="35"/>
  <c r="L22" i="35"/>
  <c r="K23" i="35"/>
  <c r="M29" i="35"/>
  <c r="L30" i="35"/>
  <c r="K31" i="35"/>
  <c r="L6" i="36"/>
  <c r="L14" i="36"/>
  <c r="L5" i="37"/>
  <c r="M17" i="37"/>
  <c r="M20" i="37"/>
  <c r="L21" i="37"/>
  <c r="K22" i="37"/>
  <c r="M28" i="37"/>
  <c r="L29" i="37"/>
  <c r="M24" i="14"/>
  <c r="M31" i="15"/>
  <c r="M6" i="16"/>
  <c r="K30" i="16"/>
  <c r="L23" i="24"/>
  <c r="M7" i="23"/>
  <c r="L8" i="23"/>
  <c r="K9" i="23"/>
  <c r="L32" i="23"/>
  <c r="L16" i="24"/>
  <c r="K17" i="24"/>
  <c r="L22" i="27"/>
  <c r="K23" i="27"/>
  <c r="L30" i="27"/>
  <c r="K31" i="27"/>
  <c r="M18" i="31"/>
  <c r="K20" i="31"/>
  <c r="L26" i="32"/>
  <c r="M32" i="32"/>
  <c r="L33" i="32"/>
  <c r="L8" i="33"/>
  <c r="K23" i="33"/>
  <c r="M11" i="34"/>
  <c r="L12" i="34"/>
  <c r="L19" i="34"/>
  <c r="K20" i="34"/>
  <c r="M25" i="35"/>
  <c r="K26" i="35"/>
  <c r="M32" i="35"/>
  <c r="L33" i="35"/>
  <c r="M8" i="36"/>
  <c r="K10" i="36"/>
  <c r="M16" i="36"/>
  <c r="K18" i="36"/>
  <c r="M6" i="37"/>
  <c r="L7" i="37"/>
  <c r="M14" i="37"/>
  <c r="L15" i="37"/>
  <c r="K16" i="37"/>
  <c r="L6" i="38"/>
  <c r="K7" i="38"/>
  <c r="M19" i="38"/>
  <c r="L20" i="38"/>
  <c r="M26" i="38"/>
  <c r="L10" i="39"/>
  <c r="L16" i="39"/>
  <c r="M30" i="39"/>
  <c r="K32" i="39"/>
  <c r="M5" i="40"/>
  <c r="L6" i="40"/>
  <c r="M19" i="40"/>
  <c r="L20" i="40"/>
  <c r="K21" i="40"/>
  <c r="M16" i="41"/>
  <c r="L17" i="41"/>
  <c r="L33" i="41"/>
  <c r="K34" i="41"/>
  <c r="K9" i="42"/>
  <c r="L23" i="42"/>
  <c r="K24" i="42"/>
  <c r="L31" i="42"/>
  <c r="M13" i="43"/>
  <c r="L14" i="43"/>
  <c r="K15" i="43"/>
  <c r="K6" i="44"/>
  <c r="K14" i="44"/>
  <c r="M20" i="44"/>
  <c r="K21" i="44"/>
  <c r="M27" i="44"/>
  <c r="L28" i="44"/>
  <c r="K29" i="44"/>
  <c r="M35" i="44"/>
  <c r="M32" i="15"/>
  <c r="M7" i="42"/>
  <c r="K23" i="6"/>
  <c r="K62" i="6" s="1"/>
  <c r="M30" i="21"/>
  <c r="K32" i="21"/>
  <c r="K8" i="31"/>
  <c r="M12" i="32"/>
  <c r="M20" i="32"/>
  <c r="M24" i="33"/>
  <c r="M6" i="36"/>
  <c r="K34" i="38"/>
  <c r="K9" i="39"/>
  <c r="M22" i="40"/>
  <c r="K7" i="42"/>
  <c r="M25" i="12"/>
  <c r="L22" i="16"/>
  <c r="M29" i="16"/>
  <c r="L8" i="42"/>
  <c r="M21" i="6"/>
  <c r="M60" i="6" s="1"/>
  <c r="M13" i="5"/>
  <c r="M52" i="5" s="1"/>
  <c r="L14" i="5"/>
  <c r="K15" i="5"/>
  <c r="K54" i="5" s="1"/>
  <c r="L54" i="5" s="1"/>
  <c r="M21" i="5"/>
  <c r="M60" i="5" s="1"/>
  <c r="L21" i="6"/>
  <c r="L60" i="6" s="1"/>
  <c r="K22" i="6"/>
  <c r="K61" i="6" s="1"/>
  <c r="K35" i="6"/>
  <c r="K74" i="6" s="1"/>
  <c r="M11" i="12"/>
  <c r="M19" i="12"/>
  <c r="K26" i="14"/>
  <c r="M8" i="15"/>
  <c r="K10" i="15"/>
  <c r="M16" i="15"/>
  <c r="M18" i="21"/>
  <c r="L19" i="21"/>
  <c r="K20" i="21"/>
  <c r="M26" i="21"/>
  <c r="L27" i="21"/>
  <c r="K28" i="21"/>
  <c r="M23" i="22"/>
  <c r="K25" i="22"/>
  <c r="L27" i="22"/>
  <c r="M33" i="22"/>
  <c r="L34" i="22"/>
  <c r="K35" i="22"/>
  <c r="L33" i="16"/>
  <c r="K34" i="16"/>
  <c r="M12" i="20"/>
  <c r="K14" i="20"/>
  <c r="M27" i="20"/>
  <c r="L28" i="20"/>
  <c r="K29" i="20"/>
  <c r="M35" i="20"/>
  <c r="M19" i="21"/>
  <c r="L20" i="21"/>
  <c r="K21" i="21"/>
  <c r="M16" i="26"/>
  <c r="M16" i="27"/>
  <c r="L17" i="27"/>
  <c r="M24" i="27"/>
  <c r="L25" i="27"/>
  <c r="M12" i="29"/>
  <c r="M28" i="29"/>
  <c r="L22" i="31"/>
  <c r="M25" i="32"/>
  <c r="M9" i="33"/>
  <c r="L10" i="33"/>
  <c r="L25" i="33"/>
  <c r="K26" i="33"/>
  <c r="M13" i="34"/>
  <c r="L14" i="34"/>
  <c r="K15" i="34"/>
  <c r="M21" i="34"/>
  <c r="L22" i="34"/>
  <c r="M29" i="34"/>
  <c r="L30" i="34"/>
  <c r="K31" i="34"/>
  <c r="L6" i="35"/>
  <c r="K7" i="35"/>
  <c r="M13" i="35"/>
  <c r="K22" i="35"/>
  <c r="M27" i="35"/>
  <c r="M11" i="36"/>
  <c r="L12" i="36"/>
  <c r="M19" i="36"/>
  <c r="L20" i="36"/>
  <c r="L35" i="36"/>
  <c r="L10" i="37"/>
  <c r="K11" i="37"/>
  <c r="L25" i="37"/>
  <c r="K26" i="37"/>
  <c r="M29" i="37"/>
  <c r="K31" i="37"/>
  <c r="M8" i="38"/>
  <c r="K14" i="38"/>
  <c r="M15" i="38"/>
  <c r="L16" i="38"/>
  <c r="L22" i="38"/>
  <c r="K28" i="38"/>
  <c r="M29" i="38"/>
  <c r="L30" i="38"/>
  <c r="M34" i="38"/>
  <c r="L6" i="39"/>
  <c r="M9" i="39"/>
  <c r="M23" i="39"/>
  <c r="M26" i="39"/>
  <c r="M33" i="39"/>
  <c r="L34" i="39"/>
  <c r="K35" i="39"/>
  <c r="M7" i="40"/>
  <c r="L8" i="40"/>
  <c r="K35" i="40"/>
  <c r="L5" i="41"/>
  <c r="K6" i="41"/>
  <c r="L12" i="41"/>
  <c r="K29" i="41"/>
  <c r="M17" i="42"/>
  <c r="L18" i="42"/>
  <c r="K19" i="42"/>
  <c r="L33" i="15"/>
  <c r="L17" i="36"/>
  <c r="L15" i="5"/>
  <c r="M19" i="5"/>
  <c r="M58" i="5" s="1"/>
  <c r="M27" i="5"/>
  <c r="M66" i="5" s="1"/>
  <c r="K34" i="15"/>
  <c r="M22" i="16"/>
  <c r="K24" i="16"/>
  <c r="M9" i="31"/>
  <c r="K26" i="34"/>
  <c r="K17" i="35"/>
  <c r="M21" i="36"/>
  <c r="K6" i="37"/>
  <c r="K12" i="38"/>
  <c r="K26" i="38"/>
  <c r="M20" i="42"/>
  <c r="K36" i="6"/>
  <c r="K75" i="6" s="1"/>
  <c r="M32" i="5"/>
  <c r="M71" i="5" s="1"/>
  <c r="L33" i="5"/>
  <c r="K34" i="5"/>
  <c r="K73" i="5" s="1"/>
  <c r="L73" i="5" s="1"/>
  <c r="L32" i="6"/>
  <c r="L71" i="6" s="1"/>
  <c r="L31" i="12"/>
  <c r="M35" i="12"/>
  <c r="L15" i="15"/>
  <c r="K16" i="15"/>
  <c r="L13" i="16"/>
  <c r="M19" i="16"/>
  <c r="L20" i="16"/>
  <c r="M26" i="16"/>
  <c r="L27" i="16"/>
  <c r="J37" i="19"/>
  <c r="M7" i="5"/>
  <c r="L8" i="5"/>
  <c r="M10" i="5"/>
  <c r="M49" i="5" s="1"/>
  <c r="M30" i="6"/>
  <c r="M69" i="6" s="1"/>
  <c r="L31" i="6"/>
  <c r="L70" i="6" s="1"/>
  <c r="M32" i="6"/>
  <c r="M71" i="6" s="1"/>
  <c r="M34" i="5"/>
  <c r="M73" i="5" s="1"/>
  <c r="K36" i="5"/>
  <c r="K75" i="5" s="1"/>
  <c r="L75" i="5" s="1"/>
  <c r="L27" i="5"/>
  <c r="M30" i="5"/>
  <c r="M69" i="5" s="1"/>
  <c r="K32" i="5"/>
  <c r="K71" i="5" s="1"/>
  <c r="L71" i="5" s="1"/>
  <c r="M33" i="5"/>
  <c r="M72" i="5" s="1"/>
  <c r="L34" i="5"/>
  <c r="K35" i="5"/>
  <c r="K74" i="5" s="1"/>
  <c r="L74" i="5" s="1"/>
  <c r="M24" i="6"/>
  <c r="M63" i="6" s="1"/>
  <c r="K26" i="6"/>
  <c r="K65" i="6" s="1"/>
  <c r="M36" i="8"/>
  <c r="L20" i="5"/>
  <c r="K21" i="5"/>
  <c r="K60" i="5" s="1"/>
  <c r="L60" i="5" s="1"/>
  <c r="M25" i="6"/>
  <c r="M64" i="6" s="1"/>
  <c r="L26" i="6"/>
  <c r="L65" i="6" s="1"/>
  <c r="K29" i="15"/>
  <c r="K14" i="5"/>
  <c r="K53" i="5" s="1"/>
  <c r="L53" i="5" s="1"/>
  <c r="M20" i="5"/>
  <c r="M59" i="5" s="1"/>
  <c r="L21" i="5"/>
  <c r="K22" i="5"/>
  <c r="K61" i="5" s="1"/>
  <c r="L61" i="5" s="1"/>
  <c r="L28" i="5"/>
  <c r="K29" i="5"/>
  <c r="K68" i="5" s="1"/>
  <c r="L68" i="5" s="1"/>
  <c r="L35" i="6"/>
  <c r="L74" i="6" s="1"/>
  <c r="M23" i="12"/>
  <c r="L24" i="12"/>
  <c r="K25" i="12"/>
  <c r="M31" i="12"/>
  <c r="L32" i="12"/>
  <c r="K33" i="12"/>
  <c r="M13" i="14"/>
  <c r="L14" i="14"/>
  <c r="K15" i="14"/>
  <c r="L29" i="14"/>
  <c r="M36" i="14"/>
  <c r="M19" i="15"/>
  <c r="L20" i="15"/>
  <c r="K21" i="15"/>
  <c r="M24" i="15"/>
  <c r="M33" i="15"/>
  <c r="K15" i="16"/>
  <c r="C37" i="19"/>
  <c r="M7" i="20"/>
  <c r="L8" i="20"/>
  <c r="M15" i="20"/>
  <c r="L16" i="20"/>
  <c r="M20" i="20"/>
  <c r="K9" i="21"/>
  <c r="L14" i="21"/>
  <c r="K16" i="21"/>
  <c r="L21" i="21"/>
  <c r="M19" i="22"/>
  <c r="L20" i="22"/>
  <c r="K21" i="22"/>
  <c r="M27" i="22"/>
  <c r="M31" i="22"/>
  <c r="K33" i="22"/>
  <c r="M25" i="23"/>
  <c r="L26" i="23"/>
  <c r="M29" i="23"/>
  <c r="M32" i="23"/>
  <c r="L33" i="23"/>
  <c r="K34" i="23"/>
  <c r="M16" i="24"/>
  <c r="L17" i="24"/>
  <c r="L32" i="24"/>
  <c r="M35" i="24"/>
  <c r="M16" i="32"/>
  <c r="L17" i="32"/>
  <c r="L32" i="32"/>
  <c r="K33" i="32"/>
  <c r="L7" i="33"/>
  <c r="L31" i="36"/>
  <c r="K32" i="36"/>
  <c r="M14" i="12"/>
  <c r="K16" i="12"/>
  <c r="L18" i="12"/>
  <c r="M24" i="12"/>
  <c r="L25" i="12"/>
  <c r="K26" i="12"/>
  <c r="M26" i="12"/>
  <c r="K28" i="12"/>
  <c r="K16" i="14"/>
  <c r="M22" i="14"/>
  <c r="L23" i="14"/>
  <c r="M29" i="14"/>
  <c r="L30" i="14"/>
  <c r="K31" i="14"/>
  <c r="L6" i="15"/>
  <c r="K7" i="15"/>
  <c r="M7" i="15"/>
  <c r="K22" i="15"/>
  <c r="L28" i="15"/>
  <c r="K9" i="16"/>
  <c r="M14" i="16"/>
  <c r="L15" i="16"/>
  <c r="K16" i="16"/>
  <c r="M28" i="16"/>
  <c r="L29" i="16"/>
  <c r="M35" i="16"/>
  <c r="L36" i="16"/>
  <c r="M16" i="20"/>
  <c r="L17" i="20"/>
  <c r="K18" i="20"/>
  <c r="M6" i="21"/>
  <c r="L7" i="21"/>
  <c r="K8" i="21"/>
  <c r="M12" i="22"/>
  <c r="L13" i="22"/>
  <c r="K14" i="22"/>
  <c r="M17" i="22"/>
  <c r="K19" i="22"/>
  <c r="M20" i="22"/>
  <c r="L21" i="22"/>
  <c r="K22" i="22"/>
  <c r="L27" i="23"/>
  <c r="M17" i="24"/>
  <c r="K18" i="24"/>
  <c r="M32" i="24"/>
  <c r="L33" i="24"/>
  <c r="M26" i="31"/>
  <c r="L27" i="31"/>
  <c r="K28" i="31"/>
  <c r="K25" i="36"/>
  <c r="M22" i="12"/>
  <c r="K24" i="12"/>
  <c r="L26" i="12"/>
  <c r="K27" i="12"/>
  <c r="K9" i="14"/>
  <c r="M15" i="14"/>
  <c r="L24" i="14"/>
  <c r="K17" i="15"/>
  <c r="M8" i="16"/>
  <c r="K28" i="16"/>
  <c r="E37" i="19"/>
  <c r="M17" i="20"/>
  <c r="L18" i="20"/>
  <c r="M31" i="20"/>
  <c r="L32" i="20"/>
  <c r="K33" i="20"/>
  <c r="L8" i="21"/>
  <c r="K24" i="21"/>
  <c r="L7" i="22"/>
  <c r="K8" i="22"/>
  <c r="M10" i="22"/>
  <c r="K12" i="22"/>
  <c r="M13" i="22"/>
  <c r="L14" i="22"/>
  <c r="K15" i="22"/>
  <c r="M18" i="22"/>
  <c r="L13" i="23"/>
  <c r="M19" i="23"/>
  <c r="L20" i="23"/>
  <c r="K21" i="23"/>
  <c r="M27" i="23"/>
  <c r="L11" i="24"/>
  <c r="M33" i="24"/>
  <c r="K34" i="24"/>
  <c r="M34" i="24"/>
  <c r="L30" i="29"/>
  <c r="K31" i="29"/>
  <c r="L5" i="31"/>
  <c r="K6" i="31"/>
  <c r="L13" i="31"/>
  <c r="K14" i="31"/>
  <c r="L12" i="12"/>
  <c r="K13" i="12"/>
  <c r="M8" i="14"/>
  <c r="L9" i="14"/>
  <c r="K10" i="14"/>
  <c r="M16" i="14"/>
  <c r="L17" i="14"/>
  <c r="K18" i="14"/>
  <c r="K33" i="14"/>
  <c r="L8" i="15"/>
  <c r="M15" i="15"/>
  <c r="L16" i="15"/>
  <c r="K36" i="15"/>
  <c r="K11" i="16"/>
  <c r="M27" i="16"/>
  <c r="M34" i="16"/>
  <c r="M32" i="20"/>
  <c r="L33" i="20"/>
  <c r="K34" i="20"/>
  <c r="M34" i="20"/>
  <c r="M31" i="21"/>
  <c r="L32" i="21"/>
  <c r="K33" i="21"/>
  <c r="M36" i="21"/>
  <c r="L8" i="22"/>
  <c r="M14" i="22"/>
  <c r="L15" i="22"/>
  <c r="K16" i="22"/>
  <c r="M10" i="23"/>
  <c r="K12" i="23"/>
  <c r="L14" i="23"/>
  <c r="M20" i="23"/>
  <c r="L21" i="23"/>
  <c r="K22" i="23"/>
  <c r="M11" i="24"/>
  <c r="L12" i="24"/>
  <c r="K13" i="24"/>
  <c r="L27" i="24"/>
  <c r="M12" i="12"/>
  <c r="L13" i="12"/>
  <c r="K29" i="12"/>
  <c r="K11" i="14"/>
  <c r="M32" i="14"/>
  <c r="L24" i="15"/>
  <c r="K25" i="15"/>
  <c r="M10" i="16"/>
  <c r="L11" i="16"/>
  <c r="K12" i="16"/>
  <c r="M17" i="16"/>
  <c r="L18" i="16"/>
  <c r="M23" i="16"/>
  <c r="L24" i="16"/>
  <c r="K25" i="16"/>
  <c r="L31" i="16"/>
  <c r="K32" i="16"/>
  <c r="M11" i="20"/>
  <c r="L12" i="20"/>
  <c r="K13" i="20"/>
  <c r="M19" i="20"/>
  <c r="L34" i="20"/>
  <c r="L25" i="21"/>
  <c r="K26" i="21"/>
  <c r="M32" i="21"/>
  <c r="L33" i="21"/>
  <c r="K34" i="21"/>
  <c r="F37" i="22"/>
  <c r="M8" i="22"/>
  <c r="L9" i="22"/>
  <c r="K8" i="23"/>
  <c r="M14" i="23"/>
  <c r="M18" i="23"/>
  <c r="K20" i="23"/>
  <c r="M28" i="23"/>
  <c r="M36" i="23"/>
  <c r="M27" i="24"/>
  <c r="L28" i="24"/>
  <c r="K29" i="24"/>
  <c r="M8" i="29"/>
  <c r="L9" i="29"/>
  <c r="L6" i="12"/>
  <c r="K20" i="14"/>
  <c r="M25" i="14"/>
  <c r="L26" i="14"/>
  <c r="K35" i="14"/>
  <c r="L10" i="15"/>
  <c r="K11" i="15"/>
  <c r="M11" i="15"/>
  <c r="K13" i="15"/>
  <c r="L31" i="15"/>
  <c r="K32" i="15"/>
  <c r="K6" i="16"/>
  <c r="M11" i="16"/>
  <c r="M24" i="16"/>
  <c r="H37" i="19"/>
  <c r="M7" i="24"/>
  <c r="I37" i="19"/>
  <c r="M21" i="24"/>
  <c r="L22" i="24"/>
  <c r="L6" i="26"/>
  <c r="K22" i="26"/>
  <c r="K30" i="26"/>
  <c r="L5" i="27"/>
  <c r="K6" i="27"/>
  <c r="M9" i="27"/>
  <c r="M18" i="27"/>
  <c r="L19" i="27"/>
  <c r="L27" i="27"/>
  <c r="I36" i="28"/>
  <c r="M13" i="29"/>
  <c r="K6" i="33"/>
  <c r="K10" i="33"/>
  <c r="K25" i="33"/>
  <c r="K32" i="35"/>
  <c r="K35" i="35"/>
  <c r="K27" i="36"/>
  <c r="K19" i="37"/>
  <c r="K8" i="38"/>
  <c r="M22" i="38"/>
  <c r="K24" i="38"/>
  <c r="K11" i="41"/>
  <c r="K22" i="42"/>
  <c r="M28" i="42"/>
  <c r="L15" i="26"/>
  <c r="M21" i="26"/>
  <c r="L22" i="26"/>
  <c r="L6" i="27"/>
  <c r="K7" i="27"/>
  <c r="K14" i="27"/>
  <c r="K29" i="27"/>
  <c r="M16" i="29"/>
  <c r="L17" i="29"/>
  <c r="I36" i="34"/>
  <c r="L16" i="26"/>
  <c r="K18" i="26"/>
  <c r="L31" i="26"/>
  <c r="K32" i="26"/>
  <c r="K34" i="26"/>
  <c r="K5" i="27"/>
  <c r="M13" i="27"/>
  <c r="M15" i="27"/>
  <c r="K22" i="27"/>
  <c r="K30" i="27"/>
  <c r="K12" i="29"/>
  <c r="K26" i="29"/>
  <c r="M29" i="29"/>
  <c r="L33" i="29"/>
  <c r="M7" i="31"/>
  <c r="L8" i="31"/>
  <c r="M15" i="31"/>
  <c r="L16" i="31"/>
  <c r="M9" i="32"/>
  <c r="K28" i="32"/>
  <c r="L17" i="33"/>
  <c r="K18" i="33"/>
  <c r="L32" i="33"/>
  <c r="E36" i="34"/>
  <c r="L35" i="34"/>
  <c r="M16" i="35"/>
  <c r="L17" i="35"/>
  <c r="M24" i="35"/>
  <c r="L25" i="35"/>
  <c r="K21" i="36"/>
  <c r="L9" i="37"/>
  <c r="L23" i="37"/>
  <c r="M30" i="37"/>
  <c r="L31" i="37"/>
  <c r="K32" i="37"/>
  <c r="M35" i="37"/>
  <c r="E36" i="38"/>
  <c r="M6" i="38"/>
  <c r="K29" i="38"/>
  <c r="K35" i="38"/>
  <c r="L9" i="39"/>
  <c r="K16" i="39"/>
  <c r="L20" i="39"/>
  <c r="M28" i="39"/>
  <c r="M9" i="40"/>
  <c r="L10" i="40"/>
  <c r="L25" i="40"/>
  <c r="K26" i="40"/>
  <c r="M32" i="40"/>
  <c r="K33" i="40"/>
  <c r="M22" i="41"/>
  <c r="L23" i="41"/>
  <c r="K24" i="41"/>
  <c r="M26" i="41"/>
  <c r="M35" i="41"/>
  <c r="M33" i="42"/>
  <c r="L34" i="42"/>
  <c r="K35" i="42"/>
  <c r="M9" i="43"/>
  <c r="K10" i="43"/>
  <c r="M16" i="43"/>
  <c r="K18" i="43"/>
  <c r="M24" i="43"/>
  <c r="L25" i="43"/>
  <c r="M31" i="43"/>
  <c r="M14" i="44"/>
  <c r="L15" i="44"/>
  <c r="K16" i="44"/>
  <c r="L22" i="44"/>
  <c r="M31" i="27"/>
  <c r="M11" i="29"/>
  <c r="M17" i="31"/>
  <c r="M26" i="35"/>
  <c r="K19" i="41"/>
  <c r="M9" i="26"/>
  <c r="L10" i="26"/>
  <c r="K11" i="26"/>
  <c r="M32" i="26"/>
  <c r="L16" i="27"/>
  <c r="M19" i="27"/>
  <c r="L6" i="29"/>
  <c r="K7" i="29"/>
  <c r="K10" i="26"/>
  <c r="K28" i="26"/>
  <c r="L11" i="27"/>
  <c r="F36" i="29"/>
  <c r="M14" i="29"/>
  <c r="L15" i="29"/>
  <c r="D37" i="5"/>
  <c r="M8" i="5"/>
  <c r="K10" i="5"/>
  <c r="K49" i="5" s="1"/>
  <c r="L49" i="5" s="1"/>
  <c r="L35" i="5"/>
  <c r="K21" i="12"/>
  <c r="M27" i="12"/>
  <c r="E37" i="5"/>
  <c r="F37" i="5"/>
  <c r="L9" i="5"/>
  <c r="M26" i="6"/>
  <c r="M65" i="6" s="1"/>
  <c r="K27" i="6"/>
  <c r="K66" i="6" s="1"/>
  <c r="K34" i="6"/>
  <c r="K73" i="6" s="1"/>
  <c r="L26" i="15"/>
  <c r="M33" i="6"/>
  <c r="M72" i="6" s="1"/>
  <c r="J37" i="16"/>
  <c r="B37" i="19"/>
  <c r="L22" i="20"/>
  <c r="E37" i="6"/>
  <c r="L22" i="6"/>
  <c r="L61" i="6" s="1"/>
  <c r="M34" i="6"/>
  <c r="M73" i="6" s="1"/>
  <c r="K36" i="8"/>
  <c r="M11" i="5"/>
  <c r="M50" i="5" s="1"/>
  <c r="K13" i="5"/>
  <c r="K52" i="5" s="1"/>
  <c r="L52" i="5" s="1"/>
  <c r="D37" i="11"/>
  <c r="I37" i="10"/>
  <c r="K20" i="12"/>
  <c r="L30" i="12"/>
  <c r="D37" i="18"/>
  <c r="E37" i="22"/>
  <c r="M6" i="5"/>
  <c r="M9" i="5"/>
  <c r="L10" i="5"/>
  <c r="K11" i="5"/>
  <c r="K50" i="5" s="1"/>
  <c r="L50" i="5" s="1"/>
  <c r="K12" i="5"/>
  <c r="K51" i="5" s="1"/>
  <c r="L51" i="5" s="1"/>
  <c r="M15" i="5"/>
  <c r="M54" i="5" s="1"/>
  <c r="L16" i="5"/>
  <c r="K17" i="5"/>
  <c r="K56" i="5" s="1"/>
  <c r="L56" i="5" s="1"/>
  <c r="L22" i="5"/>
  <c r="K23" i="5"/>
  <c r="K62" i="5" s="1"/>
  <c r="L62" i="5" s="1"/>
  <c r="M28" i="5"/>
  <c r="M67" i="5" s="1"/>
  <c r="L29" i="5"/>
  <c r="L27" i="6"/>
  <c r="L66" i="6" s="1"/>
  <c r="L33" i="6"/>
  <c r="L72" i="6" s="1"/>
  <c r="M36" i="6"/>
  <c r="M75" i="6" s="1"/>
  <c r="F37" i="8"/>
  <c r="D37" i="10"/>
  <c r="M13" i="12"/>
  <c r="K14" i="12"/>
  <c r="L20" i="12"/>
  <c r="L27" i="12"/>
  <c r="M32" i="12"/>
  <c r="L33" i="12"/>
  <c r="K34" i="12"/>
  <c r="M34" i="12"/>
  <c r="E37" i="13"/>
  <c r="L11" i="14"/>
  <c r="K12" i="14"/>
  <c r="M12" i="14"/>
  <c r="K14" i="14"/>
  <c r="L32" i="14"/>
  <c r="M6" i="15"/>
  <c r="L22" i="15"/>
  <c r="K23" i="15"/>
  <c r="L25" i="16"/>
  <c r="M30" i="16"/>
  <c r="K30" i="20"/>
  <c r="K11" i="22"/>
  <c r="M12" i="26"/>
  <c r="L27" i="26"/>
  <c r="H37" i="5"/>
  <c r="L11" i="5"/>
  <c r="M16" i="5"/>
  <c r="M55" i="5" s="1"/>
  <c r="L17" i="5"/>
  <c r="K18" i="5"/>
  <c r="K57" i="5" s="1"/>
  <c r="L57" i="5" s="1"/>
  <c r="M18" i="5"/>
  <c r="M57" i="5" s="1"/>
  <c r="L23" i="5"/>
  <c r="M29" i="5"/>
  <c r="M68" i="5" s="1"/>
  <c r="K30" i="5"/>
  <c r="K69" i="5" s="1"/>
  <c r="L69" i="5" s="1"/>
  <c r="L36" i="5"/>
  <c r="L23" i="6"/>
  <c r="L62" i="6" s="1"/>
  <c r="M27" i="6"/>
  <c r="M66" i="6" s="1"/>
  <c r="K28" i="6"/>
  <c r="K67" i="6" s="1"/>
  <c r="E37" i="10"/>
  <c r="L8" i="12"/>
  <c r="K9" i="12"/>
  <c r="L14" i="12"/>
  <c r="K15" i="12"/>
  <c r="M20" i="12"/>
  <c r="L21" i="12"/>
  <c r="M30" i="12"/>
  <c r="K32" i="12"/>
  <c r="L34" i="12"/>
  <c r="L19" i="14"/>
  <c r="M20" i="14"/>
  <c r="K22" i="14"/>
  <c r="L12" i="15"/>
  <c r="L17" i="15"/>
  <c r="M27" i="15"/>
  <c r="L34" i="15"/>
  <c r="H37" i="18"/>
  <c r="K10" i="20"/>
  <c r="E36" i="26"/>
  <c r="I37" i="5"/>
  <c r="M14" i="5"/>
  <c r="M53" i="5" s="1"/>
  <c r="K16" i="5"/>
  <c r="M17" i="5"/>
  <c r="M56" i="5" s="1"/>
  <c r="L18" i="5"/>
  <c r="K19" i="5"/>
  <c r="K58" i="5" s="1"/>
  <c r="L58" i="5" s="1"/>
  <c r="K20" i="5"/>
  <c r="K59" i="5" s="1"/>
  <c r="L59" i="5" s="1"/>
  <c r="M23" i="5"/>
  <c r="M62" i="5" s="1"/>
  <c r="L24" i="5"/>
  <c r="K25" i="5"/>
  <c r="K64" i="5" s="1"/>
  <c r="L64" i="5" s="1"/>
  <c r="L30" i="5"/>
  <c r="K31" i="5"/>
  <c r="K70" i="5" s="1"/>
  <c r="L70" i="5" s="1"/>
  <c r="M36" i="5"/>
  <c r="M75" i="5" s="1"/>
  <c r="L24" i="6"/>
  <c r="L63" i="6" s="1"/>
  <c r="L28" i="6"/>
  <c r="L67" i="6" s="1"/>
  <c r="K29" i="6"/>
  <c r="K68" i="6" s="1"/>
  <c r="L34" i="6"/>
  <c r="L73" i="6" s="1"/>
  <c r="H37" i="8"/>
  <c r="G37" i="8"/>
  <c r="K35" i="8"/>
  <c r="M8" i="12"/>
  <c r="L9" i="12"/>
  <c r="K10" i="12"/>
  <c r="M10" i="12"/>
  <c r="L15" i="12"/>
  <c r="M21" i="12"/>
  <c r="K22" i="12"/>
  <c r="L28" i="12"/>
  <c r="L35" i="12"/>
  <c r="L6" i="14"/>
  <c r="K7" i="14"/>
  <c r="L13" i="14"/>
  <c r="M19" i="14"/>
  <c r="L20" i="14"/>
  <c r="K27" i="14"/>
  <c r="L33" i="14"/>
  <c r="K34" i="14"/>
  <c r="M12" i="15"/>
  <c r="L13" i="15"/>
  <c r="M17" i="15"/>
  <c r="K18" i="15"/>
  <c r="M23" i="15"/>
  <c r="M28" i="15"/>
  <c r="L29" i="15"/>
  <c r="G37" i="16"/>
  <c r="M20" i="16"/>
  <c r="K21" i="16"/>
  <c r="K9" i="24"/>
  <c r="M15" i="24"/>
  <c r="J36" i="25"/>
  <c r="M28" i="26"/>
  <c r="B37" i="5"/>
  <c r="J37" i="5"/>
  <c r="L12" i="5"/>
  <c r="L19" i="5"/>
  <c r="M24" i="5"/>
  <c r="M63" i="5" s="1"/>
  <c r="L25" i="5"/>
  <c r="K26" i="5"/>
  <c r="K65" i="5" s="1"/>
  <c r="L65" i="5" s="1"/>
  <c r="M26" i="5"/>
  <c r="M65" i="5" s="1"/>
  <c r="L31" i="5"/>
  <c r="M28" i="6"/>
  <c r="M67" i="6" s="1"/>
  <c r="L29" i="6"/>
  <c r="L68" i="6" s="1"/>
  <c r="K30" i="6"/>
  <c r="K69" i="6" s="1"/>
  <c r="I37" i="8"/>
  <c r="H37" i="11"/>
  <c r="M6" i="12"/>
  <c r="K8" i="12"/>
  <c r="M9" i="12"/>
  <c r="L10" i="12"/>
  <c r="K11" i="12"/>
  <c r="K12" i="12"/>
  <c r="M15" i="12"/>
  <c r="L16" i="12"/>
  <c r="K17" i="12"/>
  <c r="L22" i="12"/>
  <c r="K23" i="12"/>
  <c r="M28" i="12"/>
  <c r="L29" i="12"/>
  <c r="M6" i="14"/>
  <c r="L7" i="14"/>
  <c r="L21" i="14"/>
  <c r="L27" i="14"/>
  <c r="K28" i="14"/>
  <c r="M28" i="14"/>
  <c r="K30" i="14"/>
  <c r="G37" i="15"/>
  <c r="D37" i="15"/>
  <c r="K9" i="15"/>
  <c r="M29" i="15"/>
  <c r="K30" i="15"/>
  <c r="M15" i="16"/>
  <c r="L16" i="16"/>
  <c r="F37" i="19"/>
  <c r="M12" i="5"/>
  <c r="M51" i="5" s="1"/>
  <c r="C37" i="5"/>
  <c r="L13" i="5"/>
  <c r="M22" i="5"/>
  <c r="M61" i="5" s="1"/>
  <c r="K24" i="5"/>
  <c r="K63" i="5" s="1"/>
  <c r="L63" i="5" s="1"/>
  <c r="M25" i="5"/>
  <c r="M64" i="5" s="1"/>
  <c r="L26" i="5"/>
  <c r="K27" i="5"/>
  <c r="K66" i="5" s="1"/>
  <c r="L66" i="5" s="1"/>
  <c r="K28" i="5"/>
  <c r="K67" i="5" s="1"/>
  <c r="L67" i="5" s="1"/>
  <c r="M31" i="5"/>
  <c r="M70" i="5" s="1"/>
  <c r="L32" i="5"/>
  <c r="K33" i="5"/>
  <c r="K72" i="5" s="1"/>
  <c r="L72" i="5" s="1"/>
  <c r="D37" i="6"/>
  <c r="L25" i="6"/>
  <c r="L64" i="6" s="1"/>
  <c r="M29" i="6"/>
  <c r="M68" i="6" s="1"/>
  <c r="L30" i="6"/>
  <c r="L69" i="6" s="1"/>
  <c r="K31" i="6"/>
  <c r="K70" i="6" s="1"/>
  <c r="M35" i="8"/>
  <c r="L11" i="12"/>
  <c r="M16" i="12"/>
  <c r="L17" i="12"/>
  <c r="K18" i="12"/>
  <c r="M18" i="12"/>
  <c r="L23" i="12"/>
  <c r="M29" i="12"/>
  <c r="K30" i="12"/>
  <c r="I37" i="13"/>
  <c r="L8" i="14"/>
  <c r="M14" i="14"/>
  <c r="L15" i="14"/>
  <c r="M34" i="14"/>
  <c r="L35" i="14"/>
  <c r="K36" i="14"/>
  <c r="L25" i="15"/>
  <c r="M35" i="15"/>
  <c r="F37" i="21"/>
  <c r="M22" i="21"/>
  <c r="M12" i="23"/>
  <c r="K25" i="24"/>
  <c r="M31" i="24"/>
  <c r="D36" i="25"/>
  <c r="M27" i="27"/>
  <c r="L10" i="14"/>
  <c r="L16" i="14"/>
  <c r="M21" i="14"/>
  <c r="L22" i="14"/>
  <c r="K23" i="14"/>
  <c r="M27" i="14"/>
  <c r="L28" i="14"/>
  <c r="M33" i="14"/>
  <c r="L34" i="14"/>
  <c r="K8" i="15"/>
  <c r="K12" i="15"/>
  <c r="M20" i="15"/>
  <c r="L21" i="15"/>
  <c r="M25" i="15"/>
  <c r="L30" i="15"/>
  <c r="M34" i="15"/>
  <c r="K35" i="15"/>
  <c r="L7" i="16"/>
  <c r="L12" i="16"/>
  <c r="K17" i="16"/>
  <c r="L21" i="16"/>
  <c r="M25" i="16"/>
  <c r="L26" i="16"/>
  <c r="L30" i="16"/>
  <c r="L35" i="16"/>
  <c r="F37" i="18"/>
  <c r="D37" i="19"/>
  <c r="M8" i="20"/>
  <c r="K9" i="20"/>
  <c r="K12" i="20"/>
  <c r="L13" i="20"/>
  <c r="L19" i="20"/>
  <c r="L23" i="20"/>
  <c r="K24" i="20"/>
  <c r="L29" i="20"/>
  <c r="L35" i="20"/>
  <c r="M8" i="21"/>
  <c r="M12" i="21"/>
  <c r="K14" i="21"/>
  <c r="L15" i="21"/>
  <c r="M21" i="21"/>
  <c r="L22" i="21"/>
  <c r="M27" i="21"/>
  <c r="L28" i="21"/>
  <c r="K29" i="21"/>
  <c r="M33" i="21"/>
  <c r="L34" i="21"/>
  <c r="K35" i="21"/>
  <c r="G37" i="22"/>
  <c r="K10" i="22"/>
  <c r="L16" i="22"/>
  <c r="K20" i="22"/>
  <c r="M21" i="22"/>
  <c r="L22" i="22"/>
  <c r="K23" i="22"/>
  <c r="L28" i="22"/>
  <c r="K29" i="22"/>
  <c r="L35" i="22"/>
  <c r="K7" i="23"/>
  <c r="M8" i="23"/>
  <c r="L9" i="23"/>
  <c r="K10" i="23"/>
  <c r="L15" i="23"/>
  <c r="K16" i="23"/>
  <c r="L22" i="23"/>
  <c r="L28" i="23"/>
  <c r="M33" i="23"/>
  <c r="L34" i="23"/>
  <c r="M12" i="24"/>
  <c r="L13" i="24"/>
  <c r="L18" i="24"/>
  <c r="M28" i="24"/>
  <c r="L29" i="24"/>
  <c r="L34" i="24"/>
  <c r="K35" i="24"/>
  <c r="K36" i="24"/>
  <c r="K7" i="26"/>
  <c r="M7" i="26"/>
  <c r="M11" i="26"/>
  <c r="L12" i="26"/>
  <c r="L17" i="26"/>
  <c r="K21" i="26"/>
  <c r="M22" i="26"/>
  <c r="K23" i="26"/>
  <c r="M23" i="26"/>
  <c r="M27" i="26"/>
  <c r="L28" i="26"/>
  <c r="L33" i="26"/>
  <c r="M6" i="27"/>
  <c r="L7" i="27"/>
  <c r="K11" i="27"/>
  <c r="L12" i="27"/>
  <c r="K13" i="27"/>
  <c r="D36" i="28"/>
  <c r="L35" i="15"/>
  <c r="M7" i="16"/>
  <c r="L8" i="16"/>
  <c r="M12" i="16"/>
  <c r="L17" i="16"/>
  <c r="K18" i="16"/>
  <c r="M21" i="16"/>
  <c r="K22" i="16"/>
  <c r="K27" i="16"/>
  <c r="K31" i="16"/>
  <c r="L9" i="20"/>
  <c r="M13" i="20"/>
  <c r="M23" i="20"/>
  <c r="L24" i="20"/>
  <c r="K25" i="20"/>
  <c r="M29" i="20"/>
  <c r="K36" i="20"/>
  <c r="M36" i="20"/>
  <c r="L9" i="21"/>
  <c r="K10" i="21"/>
  <c r="J37" i="21"/>
  <c r="M15" i="21"/>
  <c r="L16" i="21"/>
  <c r="K23" i="21"/>
  <c r="L29" i="21"/>
  <c r="M34" i="21"/>
  <c r="L35" i="21"/>
  <c r="K36" i="21"/>
  <c r="H37" i="22"/>
  <c r="M7" i="22"/>
  <c r="K9" i="22"/>
  <c r="L10" i="22"/>
  <c r="M16" i="22"/>
  <c r="L17" i="22"/>
  <c r="M22" i="22"/>
  <c r="L23" i="22"/>
  <c r="K24" i="22"/>
  <c r="M26" i="22"/>
  <c r="M28" i="22"/>
  <c r="L29" i="22"/>
  <c r="K30" i="22"/>
  <c r="M35" i="22"/>
  <c r="H37" i="23"/>
  <c r="M9" i="23"/>
  <c r="L10" i="23"/>
  <c r="K11" i="23"/>
  <c r="M13" i="23"/>
  <c r="M15" i="23"/>
  <c r="L16" i="23"/>
  <c r="K17" i="23"/>
  <c r="M22" i="23"/>
  <c r="M26" i="23"/>
  <c r="K29" i="23"/>
  <c r="K35" i="23"/>
  <c r="F37" i="24"/>
  <c r="L8" i="24"/>
  <c r="M13" i="24"/>
  <c r="K14" i="24"/>
  <c r="L19" i="24"/>
  <c r="L24" i="24"/>
  <c r="M29" i="24"/>
  <c r="K30" i="24"/>
  <c r="L35" i="24"/>
  <c r="G36" i="25"/>
  <c r="L7" i="26"/>
  <c r="K9" i="26"/>
  <c r="K13" i="26"/>
  <c r="M17" i="26"/>
  <c r="L18" i="26"/>
  <c r="L23" i="26"/>
  <c r="K25" i="26"/>
  <c r="K29" i="26"/>
  <c r="M33" i="26"/>
  <c r="L34" i="26"/>
  <c r="K8" i="27"/>
  <c r="I36" i="29"/>
  <c r="K11" i="29"/>
  <c r="I37" i="20"/>
  <c r="M9" i="20"/>
  <c r="L10" i="20"/>
  <c r="L14" i="20"/>
  <c r="L20" i="20"/>
  <c r="M24" i="20"/>
  <c r="L25" i="20"/>
  <c r="K26" i="20"/>
  <c r="L30" i="20"/>
  <c r="L36" i="20"/>
  <c r="I37" i="21"/>
  <c r="M9" i="21"/>
  <c r="L10" i="21"/>
  <c r="K11" i="21"/>
  <c r="M16" i="21"/>
  <c r="K17" i="21"/>
  <c r="M20" i="21"/>
  <c r="K22" i="21"/>
  <c r="L23" i="21"/>
  <c r="M29" i="21"/>
  <c r="L30" i="21"/>
  <c r="M35" i="21"/>
  <c r="L36" i="21"/>
  <c r="L11" i="22"/>
  <c r="K18" i="22"/>
  <c r="L24" i="22"/>
  <c r="K28" i="22"/>
  <c r="M29" i="22"/>
  <c r="L30" i="22"/>
  <c r="K31" i="22"/>
  <c r="L36" i="22"/>
  <c r="L11" i="23"/>
  <c r="K15" i="23"/>
  <c r="M16" i="23"/>
  <c r="L17" i="23"/>
  <c r="K18" i="23"/>
  <c r="L23" i="23"/>
  <c r="K24" i="23"/>
  <c r="K28" i="23"/>
  <c r="L29" i="23"/>
  <c r="L35" i="23"/>
  <c r="G37" i="24"/>
  <c r="M8" i="24"/>
  <c r="L9" i="24"/>
  <c r="L14" i="24"/>
  <c r="M24" i="24"/>
  <c r="L25" i="24"/>
  <c r="L30" i="24"/>
  <c r="K31" i="24"/>
  <c r="H36" i="26"/>
  <c r="L8" i="26"/>
  <c r="L13" i="26"/>
  <c r="M18" i="26"/>
  <c r="K19" i="26"/>
  <c r="L24" i="26"/>
  <c r="L29" i="26"/>
  <c r="M34" i="26"/>
  <c r="K35" i="26"/>
  <c r="H36" i="27"/>
  <c r="L8" i="27"/>
  <c r="L14" i="27"/>
  <c r="K15" i="27"/>
  <c r="M17" i="27"/>
  <c r="K20" i="27"/>
  <c r="M23" i="27"/>
  <c r="M32" i="27"/>
  <c r="L33" i="27"/>
  <c r="B36" i="29"/>
  <c r="J36" i="29"/>
  <c r="M5" i="29"/>
  <c r="K19" i="29"/>
  <c r="M11" i="14"/>
  <c r="L12" i="14"/>
  <c r="M17" i="14"/>
  <c r="L18" i="14"/>
  <c r="K25" i="14"/>
  <c r="M30" i="14"/>
  <c r="L31" i="14"/>
  <c r="M35" i="14"/>
  <c r="L36" i="14"/>
  <c r="L9" i="15"/>
  <c r="M13" i="15"/>
  <c r="K14" i="15"/>
  <c r="L18" i="15"/>
  <c r="M22" i="15"/>
  <c r="L23" i="15"/>
  <c r="L27" i="15"/>
  <c r="L32" i="15"/>
  <c r="L36" i="15"/>
  <c r="L9" i="16"/>
  <c r="M13" i="16"/>
  <c r="K14" i="16"/>
  <c r="F37" i="16"/>
  <c r="K23" i="16"/>
  <c r="M31" i="16"/>
  <c r="L32" i="16"/>
  <c r="M36" i="16"/>
  <c r="I37" i="18"/>
  <c r="G37" i="19"/>
  <c r="K7" i="20"/>
  <c r="M10" i="20"/>
  <c r="M14" i="20"/>
  <c r="K15" i="20"/>
  <c r="M25" i="20"/>
  <c r="L26" i="20"/>
  <c r="K27" i="20"/>
  <c r="M30" i="20"/>
  <c r="K31" i="20"/>
  <c r="M10" i="21"/>
  <c r="L11" i="21"/>
  <c r="K12" i="21"/>
  <c r="L17" i="21"/>
  <c r="K18" i="21"/>
  <c r="M23" i="21"/>
  <c r="L24" i="21"/>
  <c r="K31" i="21"/>
  <c r="K6" i="22"/>
  <c r="J37" i="22"/>
  <c r="I37" i="22"/>
  <c r="M11" i="22"/>
  <c r="M15" i="22"/>
  <c r="K17" i="22"/>
  <c r="L18" i="22"/>
  <c r="M24" i="22"/>
  <c r="L25" i="22"/>
  <c r="M30" i="22"/>
  <c r="L31" i="22"/>
  <c r="K32" i="22"/>
  <c r="M34" i="22"/>
  <c r="M36" i="22"/>
  <c r="M11" i="23"/>
  <c r="L12" i="23"/>
  <c r="M17" i="23"/>
  <c r="L18" i="23"/>
  <c r="K19" i="23"/>
  <c r="M21" i="23"/>
  <c r="M23" i="23"/>
  <c r="L24" i="23"/>
  <c r="K25" i="23"/>
  <c r="L30" i="23"/>
  <c r="K31" i="23"/>
  <c r="L36" i="23"/>
  <c r="H37" i="24"/>
  <c r="M9" i="24"/>
  <c r="K10" i="24"/>
  <c r="L15" i="24"/>
  <c r="L20" i="24"/>
  <c r="M25" i="24"/>
  <c r="K26" i="24"/>
  <c r="M30" i="24"/>
  <c r="L31" i="24"/>
  <c r="L36" i="24"/>
  <c r="I36" i="25"/>
  <c r="M13" i="26"/>
  <c r="L14" i="26"/>
  <c r="L19" i="26"/>
  <c r="K20" i="26"/>
  <c r="M29" i="26"/>
  <c r="L30" i="26"/>
  <c r="L35" i="26"/>
  <c r="M8" i="27"/>
  <c r="L9" i="27"/>
  <c r="M14" i="27"/>
  <c r="L15" i="27"/>
  <c r="K19" i="27"/>
  <c r="L20" i="27"/>
  <c r="K21" i="27"/>
  <c r="K27" i="29"/>
  <c r="K19" i="14"/>
  <c r="L25" i="14"/>
  <c r="M31" i="14"/>
  <c r="K32" i="14"/>
  <c r="M9" i="15"/>
  <c r="L14" i="15"/>
  <c r="M18" i="15"/>
  <c r="K19" i="15"/>
  <c r="K28" i="15"/>
  <c r="M36" i="15"/>
  <c r="M9" i="16"/>
  <c r="L10" i="16"/>
  <c r="L14" i="16"/>
  <c r="L19" i="16"/>
  <c r="L23" i="16"/>
  <c r="L28" i="16"/>
  <c r="K33" i="16"/>
  <c r="B37" i="18"/>
  <c r="J37" i="18"/>
  <c r="L6" i="20"/>
  <c r="L11" i="20"/>
  <c r="L15" i="20"/>
  <c r="K16" i="20"/>
  <c r="L21" i="20"/>
  <c r="L27" i="20"/>
  <c r="L31" i="20"/>
  <c r="K32" i="20"/>
  <c r="L6" i="21"/>
  <c r="M11" i="21"/>
  <c r="L12" i="21"/>
  <c r="K13" i="21"/>
  <c r="M17" i="21"/>
  <c r="L18" i="21"/>
  <c r="K19" i="21"/>
  <c r="M24" i="21"/>
  <c r="K25" i="21"/>
  <c r="M28" i="21"/>
  <c r="K30" i="21"/>
  <c r="L31" i="21"/>
  <c r="C37" i="22"/>
  <c r="L6" i="22"/>
  <c r="K7" i="22"/>
  <c r="L12" i="22"/>
  <c r="K13" i="22"/>
  <c r="L19" i="22"/>
  <c r="K26" i="22"/>
  <c r="L32" i="22"/>
  <c r="K36" i="22"/>
  <c r="L6" i="23"/>
  <c r="K13" i="23"/>
  <c r="L19" i="23"/>
  <c r="K23" i="23"/>
  <c r="M24" i="23"/>
  <c r="L25" i="23"/>
  <c r="K26" i="23"/>
  <c r="M30" i="23"/>
  <c r="L31" i="23"/>
  <c r="M34" i="23"/>
  <c r="I37" i="24"/>
  <c r="L10" i="24"/>
  <c r="M20" i="24"/>
  <c r="L21" i="24"/>
  <c r="L26" i="24"/>
  <c r="K32" i="24"/>
  <c r="M36" i="24"/>
  <c r="K5" i="26"/>
  <c r="J36" i="26"/>
  <c r="L9" i="26"/>
  <c r="M14" i="26"/>
  <c r="K15" i="26"/>
  <c r="M15" i="26"/>
  <c r="M19" i="26"/>
  <c r="L20" i="26"/>
  <c r="L25" i="26"/>
  <c r="M30" i="26"/>
  <c r="K31" i="26"/>
  <c r="M31" i="26"/>
  <c r="M35" i="26"/>
  <c r="K10" i="27"/>
  <c r="M10" i="27"/>
  <c r="K35" i="29"/>
  <c r="C37" i="18"/>
  <c r="D37" i="21"/>
  <c r="M7" i="21"/>
  <c r="D37" i="22"/>
  <c r="D37" i="23"/>
  <c r="J37" i="24"/>
  <c r="K17" i="26"/>
  <c r="K33" i="26"/>
  <c r="M12" i="27"/>
  <c r="L13" i="27"/>
  <c r="L18" i="27"/>
  <c r="M28" i="27"/>
  <c r="L29" i="27"/>
  <c r="L34" i="27"/>
  <c r="L8" i="29"/>
  <c r="K9" i="29"/>
  <c r="M18" i="29"/>
  <c r="L19" i="29"/>
  <c r="L24" i="29"/>
  <c r="M34" i="29"/>
  <c r="L35" i="29"/>
  <c r="H36" i="30"/>
  <c r="I36" i="31"/>
  <c r="L10" i="31"/>
  <c r="L15" i="31"/>
  <c r="M20" i="31"/>
  <c r="K21" i="31"/>
  <c r="L26" i="31"/>
  <c r="L31" i="31"/>
  <c r="L5" i="32"/>
  <c r="L10" i="32"/>
  <c r="M15" i="32"/>
  <c r="K16" i="32"/>
  <c r="L21" i="32"/>
  <c r="M31" i="32"/>
  <c r="M7" i="33"/>
  <c r="M18" i="33"/>
  <c r="K19" i="33"/>
  <c r="L6" i="34"/>
  <c r="B36" i="35"/>
  <c r="K5" i="35"/>
  <c r="J36" i="35"/>
  <c r="L11" i="35"/>
  <c r="M23" i="35"/>
  <c r="L11" i="36"/>
  <c r="K12" i="36"/>
  <c r="M18" i="36"/>
  <c r="L25" i="36"/>
  <c r="K26" i="36"/>
  <c r="K33" i="36"/>
  <c r="M33" i="36"/>
  <c r="K26" i="27"/>
  <c r="L31" i="27"/>
  <c r="K35" i="27"/>
  <c r="J36" i="28"/>
  <c r="L5" i="29"/>
  <c r="L10" i="29"/>
  <c r="K14" i="29"/>
  <c r="K16" i="29"/>
  <c r="L21" i="29"/>
  <c r="L26" i="29"/>
  <c r="K30" i="29"/>
  <c r="M31" i="29"/>
  <c r="K32" i="29"/>
  <c r="L6" i="31"/>
  <c r="K7" i="31"/>
  <c r="M11" i="31"/>
  <c r="L12" i="31"/>
  <c r="L17" i="31"/>
  <c r="K18" i="31"/>
  <c r="K19" i="31"/>
  <c r="K23" i="31"/>
  <c r="M27" i="31"/>
  <c r="L28" i="31"/>
  <c r="L33" i="31"/>
  <c r="K34" i="31"/>
  <c r="K35" i="31"/>
  <c r="M6" i="32"/>
  <c r="L7" i="32"/>
  <c r="L12" i="32"/>
  <c r="K13" i="32"/>
  <c r="K14" i="32"/>
  <c r="K18" i="32"/>
  <c r="M22" i="32"/>
  <c r="L23" i="32"/>
  <c r="L28" i="32"/>
  <c r="K29" i="32"/>
  <c r="K30" i="32"/>
  <c r="K34" i="32"/>
  <c r="K15" i="33"/>
  <c r="M15" i="33"/>
  <c r="K17" i="33"/>
  <c r="K21" i="33"/>
  <c r="K34" i="33"/>
  <c r="L32" i="35"/>
  <c r="K33" i="35"/>
  <c r="L27" i="36"/>
  <c r="K28" i="36"/>
  <c r="M34" i="36"/>
  <c r="M9" i="37"/>
  <c r="L17" i="37"/>
  <c r="G36" i="39"/>
  <c r="M5" i="39"/>
  <c r="L8" i="39"/>
  <c r="L14" i="39"/>
  <c r="L10" i="27"/>
  <c r="K12" i="27"/>
  <c r="K16" i="27"/>
  <c r="M20" i="27"/>
  <c r="L21" i="27"/>
  <c r="L26" i="27"/>
  <c r="K27" i="27"/>
  <c r="G36" i="28"/>
  <c r="M10" i="29"/>
  <c r="L16" i="29"/>
  <c r="M26" i="29"/>
  <c r="L27" i="29"/>
  <c r="L32" i="29"/>
  <c r="M6" i="31"/>
  <c r="L7" i="31"/>
  <c r="M12" i="31"/>
  <c r="K13" i="31"/>
  <c r="L18" i="31"/>
  <c r="L23" i="31"/>
  <c r="M28" i="31"/>
  <c r="K29" i="31"/>
  <c r="L34" i="31"/>
  <c r="G36" i="32"/>
  <c r="M7" i="32"/>
  <c r="K8" i="32"/>
  <c r="L13" i="32"/>
  <c r="L18" i="32"/>
  <c r="M23" i="32"/>
  <c r="K24" i="32"/>
  <c r="L29" i="32"/>
  <c r="L34" i="32"/>
  <c r="K35" i="32"/>
  <c r="L9" i="33"/>
  <c r="M14" i="33"/>
  <c r="L15" i="33"/>
  <c r="L9" i="34"/>
  <c r="L27" i="34"/>
  <c r="K28" i="34"/>
  <c r="M32" i="34"/>
  <c r="L33" i="34"/>
  <c r="K34" i="34"/>
  <c r="M7" i="35"/>
  <c r="L14" i="35"/>
  <c r="K15" i="35"/>
  <c r="M19" i="35"/>
  <c r="L20" i="35"/>
  <c r="K21" i="35"/>
  <c r="L27" i="35"/>
  <c r="M14" i="36"/>
  <c r="L22" i="36"/>
  <c r="M35" i="36"/>
  <c r="K5" i="37"/>
  <c r="K12" i="37"/>
  <c r="M12" i="37"/>
  <c r="M8" i="40"/>
  <c r="E36" i="30"/>
  <c r="F36" i="31"/>
  <c r="L8" i="32"/>
  <c r="L24" i="32"/>
  <c r="M23" i="33"/>
  <c r="M22" i="35"/>
  <c r="K24" i="35"/>
  <c r="L9" i="36"/>
  <c r="G36" i="36"/>
  <c r="M17" i="36"/>
  <c r="E36" i="28"/>
  <c r="M6" i="29"/>
  <c r="L7" i="29"/>
  <c r="L12" i="29"/>
  <c r="K13" i="29"/>
  <c r="K18" i="29"/>
  <c r="M20" i="29"/>
  <c r="M22" i="29"/>
  <c r="L23" i="29"/>
  <c r="L28" i="29"/>
  <c r="K29" i="29"/>
  <c r="K34" i="29"/>
  <c r="G36" i="31"/>
  <c r="M8" i="31"/>
  <c r="K9" i="31"/>
  <c r="L14" i="31"/>
  <c r="L19" i="31"/>
  <c r="M24" i="31"/>
  <c r="K25" i="31"/>
  <c r="L30" i="31"/>
  <c r="L35" i="31"/>
  <c r="M8" i="32"/>
  <c r="L9" i="32"/>
  <c r="L14" i="32"/>
  <c r="M19" i="32"/>
  <c r="K20" i="32"/>
  <c r="M24" i="32"/>
  <c r="L25" i="32"/>
  <c r="L30" i="32"/>
  <c r="K5" i="33"/>
  <c r="M16" i="33"/>
  <c r="L23" i="33"/>
  <c r="K24" i="33"/>
  <c r="M28" i="33"/>
  <c r="L29" i="33"/>
  <c r="K30" i="33"/>
  <c r="K23" i="34"/>
  <c r="K10" i="35"/>
  <c r="L28" i="35"/>
  <c r="K8" i="36"/>
  <c r="K18" i="27"/>
  <c r="L23" i="27"/>
  <c r="L28" i="27"/>
  <c r="K34" i="27"/>
  <c r="K6" i="29"/>
  <c r="M7" i="29"/>
  <c r="K8" i="29"/>
  <c r="L13" i="29"/>
  <c r="L18" i="29"/>
  <c r="K22" i="29"/>
  <c r="K24" i="29"/>
  <c r="L29" i="29"/>
  <c r="L9" i="31"/>
  <c r="K10" i="31"/>
  <c r="K11" i="31"/>
  <c r="K15" i="31"/>
  <c r="M19" i="31"/>
  <c r="L20" i="31"/>
  <c r="K26" i="31"/>
  <c r="K27" i="31"/>
  <c r="K31" i="31"/>
  <c r="M35" i="31"/>
  <c r="K5" i="32"/>
  <c r="K6" i="32"/>
  <c r="K10" i="32"/>
  <c r="M14" i="32"/>
  <c r="L15" i="32"/>
  <c r="L20" i="32"/>
  <c r="K22" i="32"/>
  <c r="K26" i="32"/>
  <c r="M30" i="32"/>
  <c r="L31" i="32"/>
  <c r="M17" i="33"/>
  <c r="L18" i="33"/>
  <c r="K22" i="33"/>
  <c r="L24" i="33"/>
  <c r="M29" i="33"/>
  <c r="L30" i="33"/>
  <c r="K31" i="33"/>
  <c r="M31" i="33"/>
  <c r="L11" i="34"/>
  <c r="K12" i="34"/>
  <c r="M14" i="34"/>
  <c r="M16" i="34"/>
  <c r="L17" i="34"/>
  <c r="K18" i="34"/>
  <c r="M35" i="34"/>
  <c r="I36" i="35"/>
  <c r="L16" i="35"/>
  <c r="L29" i="35"/>
  <c r="M35" i="35"/>
  <c r="M30" i="36"/>
  <c r="L6" i="37"/>
  <c r="K7" i="37"/>
  <c r="M13" i="37"/>
  <c r="L20" i="37"/>
  <c r="K29" i="37"/>
  <c r="K14" i="42"/>
  <c r="M34" i="32"/>
  <c r="L35" i="32"/>
  <c r="M13" i="33"/>
  <c r="L14" i="33"/>
  <c r="L19" i="33"/>
  <c r="K20" i="33"/>
  <c r="M30" i="33"/>
  <c r="L31" i="33"/>
  <c r="K32" i="33"/>
  <c r="K33" i="33"/>
  <c r="C36" i="34"/>
  <c r="L5" i="34"/>
  <c r="K11" i="34"/>
  <c r="M15" i="34"/>
  <c r="L16" i="34"/>
  <c r="L21" i="34"/>
  <c r="K27" i="34"/>
  <c r="M31" i="34"/>
  <c r="L32" i="34"/>
  <c r="L5" i="35"/>
  <c r="L10" i="35"/>
  <c r="K11" i="35"/>
  <c r="K12" i="35"/>
  <c r="M20" i="35"/>
  <c r="L21" i="35"/>
  <c r="L26" i="35"/>
  <c r="K28" i="35"/>
  <c r="C36" i="36"/>
  <c r="L5" i="36"/>
  <c r="K6" i="36"/>
  <c r="K7" i="36"/>
  <c r="M15" i="36"/>
  <c r="L16" i="36"/>
  <c r="L21" i="36"/>
  <c r="K23" i="36"/>
  <c r="M31" i="36"/>
  <c r="L32" i="36"/>
  <c r="M10" i="37"/>
  <c r="L11" i="37"/>
  <c r="L16" i="37"/>
  <c r="K17" i="37"/>
  <c r="K18" i="37"/>
  <c r="L22" i="37"/>
  <c r="L27" i="37"/>
  <c r="M32" i="37"/>
  <c r="L33" i="37"/>
  <c r="F36" i="38"/>
  <c r="K6" i="38"/>
  <c r="L7" i="38"/>
  <c r="L11" i="38"/>
  <c r="K21" i="38"/>
  <c r="L25" i="38"/>
  <c r="M28" i="38"/>
  <c r="M17" i="39"/>
  <c r="K22" i="39"/>
  <c r="M32" i="39"/>
  <c r="M6" i="40"/>
  <c r="K34" i="40"/>
  <c r="M8" i="41"/>
  <c r="L9" i="41"/>
  <c r="M27" i="41"/>
  <c r="L28" i="41"/>
  <c r="M9" i="42"/>
  <c r="L10" i="42"/>
  <c r="M10" i="43"/>
  <c r="K33" i="43"/>
  <c r="M22" i="37"/>
  <c r="M25" i="37"/>
  <c r="L28" i="37"/>
  <c r="K34" i="37"/>
  <c r="M7" i="38"/>
  <c r="L8" i="38"/>
  <c r="M11" i="38"/>
  <c r="L12" i="38"/>
  <c r="K17" i="38"/>
  <c r="L21" i="38"/>
  <c r="M25" i="38"/>
  <c r="L26" i="38"/>
  <c r="L31" i="38"/>
  <c r="M35" i="38"/>
  <c r="K5" i="39"/>
  <c r="M12" i="39"/>
  <c r="L13" i="39"/>
  <c r="K17" i="39"/>
  <c r="M18" i="39"/>
  <c r="K19" i="39"/>
  <c r="L22" i="39"/>
  <c r="K23" i="39"/>
  <c r="M33" i="40"/>
  <c r="K6" i="42"/>
  <c r="K27" i="43"/>
  <c r="M32" i="43"/>
  <c r="K34" i="43"/>
  <c r="E36" i="36"/>
  <c r="K19" i="36"/>
  <c r="K35" i="36"/>
  <c r="K14" i="37"/>
  <c r="K27" i="37"/>
  <c r="L10" i="44"/>
  <c r="K32" i="32"/>
  <c r="L5" i="33"/>
  <c r="M10" i="33"/>
  <c r="K11" i="33"/>
  <c r="L16" i="33"/>
  <c r="L21" i="33"/>
  <c r="M26" i="33"/>
  <c r="K27" i="33"/>
  <c r="L33" i="33"/>
  <c r="F36" i="34"/>
  <c r="L7" i="34"/>
  <c r="K8" i="34"/>
  <c r="M17" i="34"/>
  <c r="L18" i="34"/>
  <c r="L23" i="34"/>
  <c r="K24" i="34"/>
  <c r="M33" i="34"/>
  <c r="L34" i="34"/>
  <c r="F36" i="35"/>
  <c r="L7" i="35"/>
  <c r="L12" i="35"/>
  <c r="K18" i="35"/>
  <c r="M18" i="35"/>
  <c r="L23" i="35"/>
  <c r="M33" i="35"/>
  <c r="K34" i="35"/>
  <c r="M34" i="35"/>
  <c r="L7" i="36"/>
  <c r="M12" i="36"/>
  <c r="K13" i="36"/>
  <c r="M13" i="36"/>
  <c r="L18" i="36"/>
  <c r="L23" i="36"/>
  <c r="K29" i="36"/>
  <c r="M29" i="36"/>
  <c r="L34" i="36"/>
  <c r="M7" i="37"/>
  <c r="K8" i="37"/>
  <c r="M8" i="37"/>
  <c r="L13" i="37"/>
  <c r="L18" i="37"/>
  <c r="K24" i="37"/>
  <c r="L35" i="37"/>
  <c r="K9" i="38"/>
  <c r="L13" i="38"/>
  <c r="M17" i="38"/>
  <c r="L18" i="38"/>
  <c r="M20" i="38"/>
  <c r="K23" i="38"/>
  <c r="M32" i="38"/>
  <c r="K33" i="38"/>
  <c r="L24" i="39"/>
  <c r="L29" i="39"/>
  <c r="H36" i="40"/>
  <c r="L15" i="40"/>
  <c r="M25" i="40"/>
  <c r="M17" i="41"/>
  <c r="M29" i="41"/>
  <c r="L30" i="41"/>
  <c r="K31" i="41"/>
  <c r="L19" i="42"/>
  <c r="L35" i="43"/>
  <c r="L6" i="33"/>
  <c r="L11" i="33"/>
  <c r="K12" i="33"/>
  <c r="M21" i="33"/>
  <c r="L22" i="33"/>
  <c r="L27" i="33"/>
  <c r="K28" i="33"/>
  <c r="M33" i="33"/>
  <c r="L34" i="33"/>
  <c r="M7" i="34"/>
  <c r="L8" i="34"/>
  <c r="L13" i="34"/>
  <c r="K19" i="34"/>
  <c r="M23" i="34"/>
  <c r="L24" i="34"/>
  <c r="L29" i="34"/>
  <c r="K35" i="34"/>
  <c r="M12" i="35"/>
  <c r="L13" i="35"/>
  <c r="L18" i="35"/>
  <c r="K20" i="35"/>
  <c r="M28" i="35"/>
  <c r="L34" i="35"/>
  <c r="M7" i="36"/>
  <c r="L8" i="36"/>
  <c r="L13" i="36"/>
  <c r="K14" i="36"/>
  <c r="K15" i="36"/>
  <c r="M23" i="36"/>
  <c r="L24" i="36"/>
  <c r="L29" i="36"/>
  <c r="K31" i="36"/>
  <c r="H36" i="37"/>
  <c r="L8" i="37"/>
  <c r="K9" i="37"/>
  <c r="K10" i="37"/>
  <c r="M18" i="37"/>
  <c r="L19" i="37"/>
  <c r="K23" i="37"/>
  <c r="L24" i="37"/>
  <c r="M27" i="37"/>
  <c r="L30" i="37"/>
  <c r="M33" i="37"/>
  <c r="L9" i="38"/>
  <c r="M13" i="38"/>
  <c r="L14" i="38"/>
  <c r="K22" i="38"/>
  <c r="L23" i="38"/>
  <c r="M27" i="38"/>
  <c r="L28" i="38"/>
  <c r="M14" i="39"/>
  <c r="K15" i="39"/>
  <c r="L25" i="39"/>
  <c r="M29" i="39"/>
  <c r="K30" i="39"/>
  <c r="K9" i="40"/>
  <c r="K16" i="40"/>
  <c r="L23" i="40"/>
  <c r="M11" i="41"/>
  <c r="M24" i="41"/>
  <c r="L25" i="41"/>
  <c r="M5" i="42"/>
  <c r="M13" i="42"/>
  <c r="M25" i="42"/>
  <c r="L26" i="42"/>
  <c r="K27" i="42"/>
  <c r="M7" i="43"/>
  <c r="L15" i="43"/>
  <c r="L22" i="43"/>
  <c r="K23" i="43"/>
  <c r="B36" i="44"/>
  <c r="K5" i="44"/>
  <c r="J36" i="44"/>
  <c r="K12" i="44"/>
  <c r="M18" i="44"/>
  <c r="M14" i="35"/>
  <c r="M30" i="35"/>
  <c r="M9" i="36"/>
  <c r="M25" i="36"/>
  <c r="K35" i="37"/>
  <c r="M12" i="38"/>
  <c r="K30" i="38"/>
  <c r="L35" i="38"/>
  <c r="K8" i="39"/>
  <c r="L15" i="39"/>
  <c r="L19" i="39"/>
  <c r="K25" i="39"/>
  <c r="L28" i="39"/>
  <c r="M31" i="39"/>
  <c r="L33" i="39"/>
  <c r="L5" i="40"/>
  <c r="L9" i="40"/>
  <c r="L16" i="40"/>
  <c r="M21" i="40"/>
  <c r="L22" i="40"/>
  <c r="M26" i="40"/>
  <c r="L27" i="40"/>
  <c r="K28" i="40"/>
  <c r="M7" i="41"/>
  <c r="L8" i="41"/>
  <c r="M12" i="41"/>
  <c r="K13" i="41"/>
  <c r="M23" i="41"/>
  <c r="L24" i="41"/>
  <c r="L29" i="41"/>
  <c r="K30" i="41"/>
  <c r="L35" i="41"/>
  <c r="I36" i="42"/>
  <c r="M8" i="42"/>
  <c r="L9" i="42"/>
  <c r="K10" i="42"/>
  <c r="M14" i="42"/>
  <c r="M24" i="42"/>
  <c r="L25" i="42"/>
  <c r="K26" i="42"/>
  <c r="M30" i="42"/>
  <c r="C36" i="43"/>
  <c r="L5" i="43"/>
  <c r="K6" i="43"/>
  <c r="L10" i="43"/>
  <c r="L16" i="43"/>
  <c r="M20" i="43"/>
  <c r="L21" i="43"/>
  <c r="K22" i="43"/>
  <c r="L26" i="43"/>
  <c r="L32" i="43"/>
  <c r="L11" i="44"/>
  <c r="M15" i="44"/>
  <c r="L16" i="44"/>
  <c r="K17" i="44"/>
  <c r="L21" i="44"/>
  <c r="L27" i="38"/>
  <c r="K20" i="39"/>
  <c r="L23" i="39"/>
  <c r="L27" i="39"/>
  <c r="K33" i="39"/>
  <c r="M10" i="40"/>
  <c r="L11" i="40"/>
  <c r="K12" i="40"/>
  <c r="L17" i="40"/>
  <c r="K27" i="40"/>
  <c r="M28" i="40"/>
  <c r="L29" i="40"/>
  <c r="K30" i="40"/>
  <c r="M30" i="40"/>
  <c r="L34" i="40"/>
  <c r="H36" i="41"/>
  <c r="M13" i="41"/>
  <c r="L14" i="41"/>
  <c r="K15" i="41"/>
  <c r="M19" i="41"/>
  <c r="K27" i="41"/>
  <c r="M30" i="41"/>
  <c r="L31" i="41"/>
  <c r="K32" i="41"/>
  <c r="L5" i="42"/>
  <c r="L11" i="42"/>
  <c r="M15" i="42"/>
  <c r="K16" i="42"/>
  <c r="M19" i="42"/>
  <c r="M26" i="42"/>
  <c r="L27" i="42"/>
  <c r="M31" i="42"/>
  <c r="K32" i="42"/>
  <c r="L7" i="43"/>
  <c r="L11" i="43"/>
  <c r="K12" i="43"/>
  <c r="L17" i="43"/>
  <c r="M22" i="43"/>
  <c r="L23" i="43"/>
  <c r="L27" i="43"/>
  <c r="K28" i="43"/>
  <c r="L33" i="43"/>
  <c r="L6" i="44"/>
  <c r="K7" i="44"/>
  <c r="L12" i="44"/>
  <c r="M17" i="44"/>
  <c r="L18" i="44"/>
  <c r="M34" i="39"/>
  <c r="K7" i="40"/>
  <c r="M11" i="40"/>
  <c r="L12" i="40"/>
  <c r="K13" i="40"/>
  <c r="M17" i="40"/>
  <c r="K18" i="40"/>
  <c r="L24" i="40"/>
  <c r="L30" i="40"/>
  <c r="M34" i="40"/>
  <c r="L35" i="40"/>
  <c r="G36" i="41"/>
  <c r="L10" i="41"/>
  <c r="M14" i="41"/>
  <c r="L15" i="41"/>
  <c r="K16" i="41"/>
  <c r="L20" i="41"/>
  <c r="L26" i="41"/>
  <c r="L32" i="41"/>
  <c r="L12" i="42"/>
  <c r="L16" i="42"/>
  <c r="K17" i="42"/>
  <c r="L22" i="42"/>
  <c r="L28" i="42"/>
  <c r="L32" i="42"/>
  <c r="K33" i="42"/>
  <c r="M11" i="43"/>
  <c r="L12" i="43"/>
  <c r="K13" i="43"/>
  <c r="M17" i="43"/>
  <c r="M27" i="43"/>
  <c r="L28" i="43"/>
  <c r="K29" i="43"/>
  <c r="M33" i="43"/>
  <c r="F36" i="44"/>
  <c r="M6" i="44"/>
  <c r="L7" i="44"/>
  <c r="K8" i="44"/>
  <c r="M12" i="44"/>
  <c r="K19" i="44"/>
  <c r="M22" i="44"/>
  <c r="L33" i="38"/>
  <c r="E36" i="39"/>
  <c r="K6" i="39"/>
  <c r="K10" i="39"/>
  <c r="M15" i="39"/>
  <c r="L17" i="39"/>
  <c r="M20" i="39"/>
  <c r="K28" i="39"/>
  <c r="L31" i="39"/>
  <c r="L35" i="39"/>
  <c r="G36" i="40"/>
  <c r="L7" i="40"/>
  <c r="M12" i="40"/>
  <c r="L13" i="40"/>
  <c r="K14" i="40"/>
  <c r="M14" i="40"/>
  <c r="L18" i="40"/>
  <c r="M24" i="40"/>
  <c r="L31" i="40"/>
  <c r="M35" i="40"/>
  <c r="B36" i="41"/>
  <c r="J36" i="41"/>
  <c r="M15" i="41"/>
  <c r="L16" i="41"/>
  <c r="M20" i="41"/>
  <c r="K21" i="41"/>
  <c r="M32" i="41"/>
  <c r="K5" i="42"/>
  <c r="M16" i="42"/>
  <c r="L17" i="42"/>
  <c r="K18" i="42"/>
  <c r="M22" i="42"/>
  <c r="M32" i="42"/>
  <c r="L33" i="42"/>
  <c r="K34" i="42"/>
  <c r="E36" i="43"/>
  <c r="L8" i="43"/>
  <c r="M12" i="43"/>
  <c r="L13" i="43"/>
  <c r="K14" i="43"/>
  <c r="L18" i="43"/>
  <c r="L24" i="43"/>
  <c r="M28" i="43"/>
  <c r="L29" i="43"/>
  <c r="K30" i="43"/>
  <c r="L34" i="43"/>
  <c r="G36" i="44"/>
  <c r="L8" i="44"/>
  <c r="K9" i="44"/>
  <c r="L13" i="44"/>
  <c r="L19" i="44"/>
  <c r="M21" i="44"/>
  <c r="K35" i="41"/>
  <c r="L5" i="44"/>
  <c r="L23" i="44"/>
  <c r="K24" i="44"/>
  <c r="M28" i="44"/>
  <c r="M23" i="44"/>
  <c r="L24" i="44"/>
  <c r="K25" i="44"/>
  <c r="L35" i="44"/>
  <c r="K23" i="44"/>
  <c r="L25" i="44"/>
  <c r="K30" i="44"/>
  <c r="L26" i="44"/>
  <c r="L30" i="44"/>
  <c r="K27" i="44"/>
  <c r="M30" i="44"/>
  <c r="L31" i="44"/>
  <c r="K32" i="44"/>
  <c r="B37" i="10"/>
  <c r="J37" i="10"/>
  <c r="I37" i="11"/>
  <c r="H37" i="12"/>
  <c r="H37" i="14"/>
  <c r="G37" i="6"/>
  <c r="C37" i="10"/>
  <c r="B37" i="11"/>
  <c r="J37" i="11"/>
  <c r="I37" i="14"/>
  <c r="H37" i="6"/>
  <c r="C37" i="11"/>
  <c r="D37" i="16"/>
  <c r="G37" i="5"/>
  <c r="M23" i="6"/>
  <c r="M62" i="6" s="1"/>
  <c r="K24" i="6"/>
  <c r="K63" i="6" s="1"/>
  <c r="K32" i="6"/>
  <c r="K71" i="6" s="1"/>
  <c r="B37" i="8"/>
  <c r="J37" i="8"/>
  <c r="B37" i="6"/>
  <c r="J37" i="6"/>
  <c r="M31" i="6"/>
  <c r="M70" i="6" s="1"/>
  <c r="C37" i="8"/>
  <c r="F37" i="10"/>
  <c r="E37" i="11"/>
  <c r="G37" i="18"/>
  <c r="K25" i="6"/>
  <c r="K64" i="6" s="1"/>
  <c r="K33" i="6"/>
  <c r="K72" i="6" s="1"/>
  <c r="D37" i="8"/>
  <c r="G37" i="10"/>
  <c r="F37" i="11"/>
  <c r="M17" i="12"/>
  <c r="K19" i="12"/>
  <c r="M33" i="12"/>
  <c r="K35" i="12"/>
  <c r="E37" i="8"/>
  <c r="H37" i="10"/>
  <c r="G37" i="11"/>
  <c r="B37" i="14"/>
  <c r="J37" i="14"/>
  <c r="E37" i="14"/>
  <c r="M18" i="14"/>
  <c r="E37" i="15"/>
  <c r="K15" i="15"/>
  <c r="M21" i="15"/>
  <c r="E37" i="16"/>
  <c r="G37" i="13"/>
  <c r="C37" i="14"/>
  <c r="K6" i="14"/>
  <c r="K13" i="14"/>
  <c r="K29" i="14"/>
  <c r="M14" i="15"/>
  <c r="K19" i="16"/>
  <c r="K26" i="16"/>
  <c r="M32" i="16"/>
  <c r="H37" i="13"/>
  <c r="D37" i="14"/>
  <c r="M9" i="14"/>
  <c r="C37" i="16"/>
  <c r="H37" i="15"/>
  <c r="H37" i="16"/>
  <c r="C37" i="20"/>
  <c r="K6" i="12"/>
  <c r="B37" i="13"/>
  <c r="J37" i="13"/>
  <c r="F37" i="13"/>
  <c r="F37" i="14"/>
  <c r="M7" i="14"/>
  <c r="M10" i="14"/>
  <c r="K17" i="14"/>
  <c r="M23" i="14"/>
  <c r="M26" i="14"/>
  <c r="I37" i="15"/>
  <c r="C37" i="15"/>
  <c r="K24" i="15"/>
  <c r="K31" i="15"/>
  <c r="I37" i="16"/>
  <c r="M33" i="16"/>
  <c r="C37" i="13"/>
  <c r="G37" i="14"/>
  <c r="K8" i="14"/>
  <c r="K21" i="14"/>
  <c r="K24" i="14"/>
  <c r="B37" i="15"/>
  <c r="K6" i="15"/>
  <c r="J37" i="15"/>
  <c r="M30" i="15"/>
  <c r="K10" i="16"/>
  <c r="M16" i="16"/>
  <c r="K35" i="16"/>
  <c r="E37" i="20"/>
  <c r="D37" i="13"/>
  <c r="F37" i="20"/>
  <c r="M18" i="20"/>
  <c r="K28" i="20"/>
  <c r="G37" i="20"/>
  <c r="K11" i="20"/>
  <c r="K17" i="20"/>
  <c r="K20" i="20"/>
  <c r="M33" i="20"/>
  <c r="K35" i="20"/>
  <c r="K7" i="21"/>
  <c r="H37" i="20"/>
  <c r="K6" i="21"/>
  <c r="E37" i="21"/>
  <c r="B37" i="16"/>
  <c r="B37" i="20"/>
  <c r="J37" i="20"/>
  <c r="K19" i="20"/>
  <c r="G37" i="21"/>
  <c r="M13" i="21"/>
  <c r="E37" i="18"/>
  <c r="K6" i="20"/>
  <c r="H37" i="21"/>
  <c r="K15" i="21"/>
  <c r="D37" i="20"/>
  <c r="B37" i="21"/>
  <c r="C36" i="26"/>
  <c r="C37" i="21"/>
  <c r="M6" i="22"/>
  <c r="B37" i="22"/>
  <c r="B37" i="24"/>
  <c r="K6" i="24"/>
  <c r="D36" i="26"/>
  <c r="M5" i="26"/>
  <c r="I36" i="26"/>
  <c r="E37" i="23"/>
  <c r="M6" i="23"/>
  <c r="K24" i="26"/>
  <c r="C36" i="28"/>
  <c r="F37" i="23"/>
  <c r="M31" i="23"/>
  <c r="K32" i="23"/>
  <c r="M35" i="23"/>
  <c r="M6" i="24"/>
  <c r="K7" i="24"/>
  <c r="M10" i="24"/>
  <c r="K11" i="24"/>
  <c r="M14" i="24"/>
  <c r="K15" i="24"/>
  <c r="M18" i="24"/>
  <c r="K19" i="24"/>
  <c r="M22" i="24"/>
  <c r="K23" i="24"/>
  <c r="M26" i="24"/>
  <c r="K27" i="24"/>
  <c r="F36" i="25"/>
  <c r="F36" i="26"/>
  <c r="M6" i="26"/>
  <c r="K16" i="26"/>
  <c r="G37" i="23"/>
  <c r="E37" i="24"/>
  <c r="E36" i="25"/>
  <c r="B36" i="25"/>
  <c r="G36" i="26"/>
  <c r="K8" i="26"/>
  <c r="K33" i="23"/>
  <c r="K8" i="24"/>
  <c r="K12" i="24"/>
  <c r="K16" i="24"/>
  <c r="K20" i="24"/>
  <c r="K24" i="24"/>
  <c r="K28" i="24"/>
  <c r="I37" i="23"/>
  <c r="B37" i="23"/>
  <c r="J37" i="23"/>
  <c r="H36" i="25"/>
  <c r="D37" i="24"/>
  <c r="C36" i="25"/>
  <c r="B36" i="26"/>
  <c r="M21" i="27"/>
  <c r="M25" i="27"/>
  <c r="M29" i="27"/>
  <c r="M33" i="27"/>
  <c r="B36" i="28"/>
  <c r="E36" i="27"/>
  <c r="M5" i="27"/>
  <c r="C36" i="29"/>
  <c r="K10" i="29"/>
  <c r="G36" i="30"/>
  <c r="M22" i="27"/>
  <c r="M26" i="27"/>
  <c r="M30" i="27"/>
  <c r="M34" i="27"/>
  <c r="D36" i="29"/>
  <c r="E36" i="29"/>
  <c r="K24" i="27"/>
  <c r="K28" i="27"/>
  <c r="K32" i="27"/>
  <c r="F36" i="28"/>
  <c r="M23" i="29"/>
  <c r="K33" i="29"/>
  <c r="G36" i="29"/>
  <c r="M15" i="29"/>
  <c r="K25" i="29"/>
  <c r="M32" i="29"/>
  <c r="B36" i="31"/>
  <c r="K5" i="31"/>
  <c r="J36" i="31"/>
  <c r="B36" i="27"/>
  <c r="H36" i="28"/>
  <c r="H36" i="29"/>
  <c r="K17" i="29"/>
  <c r="I36" i="30"/>
  <c r="H36" i="32"/>
  <c r="M11" i="32"/>
  <c r="K21" i="32"/>
  <c r="K5" i="29"/>
  <c r="J36" i="30"/>
  <c r="M5" i="31"/>
  <c r="M13" i="31"/>
  <c r="M21" i="31"/>
  <c r="M29" i="31"/>
  <c r="I36" i="32"/>
  <c r="E36" i="31"/>
  <c r="D36" i="33"/>
  <c r="M5" i="33"/>
  <c r="D36" i="32"/>
  <c r="F36" i="33"/>
  <c r="M6" i="33"/>
  <c r="K16" i="33"/>
  <c r="H36" i="31"/>
  <c r="C36" i="31"/>
  <c r="E36" i="32"/>
  <c r="M35" i="32"/>
  <c r="B36" i="32"/>
  <c r="K8" i="33"/>
  <c r="J36" i="33"/>
  <c r="H36" i="34"/>
  <c r="F36" i="32"/>
  <c r="M27" i="32"/>
  <c r="J36" i="32"/>
  <c r="B36" i="36"/>
  <c r="K5" i="36"/>
  <c r="J36" i="36"/>
  <c r="M5" i="36"/>
  <c r="D36" i="31"/>
  <c r="C36" i="32"/>
  <c r="E36" i="33"/>
  <c r="G36" i="35"/>
  <c r="K5" i="34"/>
  <c r="J36" i="34"/>
  <c r="K9" i="34"/>
  <c r="K13" i="34"/>
  <c r="K17" i="34"/>
  <c r="K21" i="34"/>
  <c r="K25" i="34"/>
  <c r="K29" i="34"/>
  <c r="K33" i="34"/>
  <c r="D36" i="36"/>
  <c r="M15" i="37"/>
  <c r="G36" i="33"/>
  <c r="B36" i="37"/>
  <c r="H36" i="33"/>
  <c r="D36" i="34"/>
  <c r="M5" i="34"/>
  <c r="D36" i="35"/>
  <c r="M8" i="35"/>
  <c r="F36" i="36"/>
  <c r="I36" i="37"/>
  <c r="I36" i="33"/>
  <c r="C36" i="35"/>
  <c r="M17" i="35"/>
  <c r="K27" i="35"/>
  <c r="M28" i="36"/>
  <c r="J36" i="37"/>
  <c r="M35" i="33"/>
  <c r="B36" i="33"/>
  <c r="M6" i="34"/>
  <c r="M10" i="34"/>
  <c r="M18" i="34"/>
  <c r="M22" i="34"/>
  <c r="M26" i="34"/>
  <c r="M30" i="34"/>
  <c r="M34" i="34"/>
  <c r="M5" i="35"/>
  <c r="M9" i="35"/>
  <c r="K19" i="35"/>
  <c r="H36" i="35"/>
  <c r="H36" i="36"/>
  <c r="M20" i="36"/>
  <c r="K30" i="36"/>
  <c r="C36" i="33"/>
  <c r="G36" i="34"/>
  <c r="E36" i="35"/>
  <c r="I36" i="36"/>
  <c r="K22" i="36"/>
  <c r="B36" i="34"/>
  <c r="C36" i="37"/>
  <c r="M26" i="37"/>
  <c r="K30" i="37"/>
  <c r="H36" i="38"/>
  <c r="K15" i="38"/>
  <c r="M21" i="38"/>
  <c r="G36" i="38"/>
  <c r="K18" i="39"/>
  <c r="L21" i="39"/>
  <c r="M24" i="39"/>
  <c r="D36" i="37"/>
  <c r="I36" i="38"/>
  <c r="H36" i="39"/>
  <c r="F36" i="39"/>
  <c r="E36" i="37"/>
  <c r="B36" i="38"/>
  <c r="K5" i="38"/>
  <c r="J36" i="38"/>
  <c r="I36" i="39"/>
  <c r="K26" i="39"/>
  <c r="F36" i="37"/>
  <c r="M24" i="37"/>
  <c r="K28" i="37"/>
  <c r="C36" i="38"/>
  <c r="B36" i="39"/>
  <c r="J36" i="39"/>
  <c r="G36" i="37"/>
  <c r="M34" i="37"/>
  <c r="D36" i="38"/>
  <c r="M5" i="38"/>
  <c r="K31" i="38"/>
  <c r="C36" i="39"/>
  <c r="M8" i="39"/>
  <c r="K34" i="39"/>
  <c r="D36" i="39"/>
  <c r="I36" i="40"/>
  <c r="M18" i="40"/>
  <c r="K19" i="40"/>
  <c r="K10" i="41"/>
  <c r="K18" i="41"/>
  <c r="K26" i="41"/>
  <c r="D36" i="43"/>
  <c r="B36" i="40"/>
  <c r="J36" i="40"/>
  <c r="M14" i="43"/>
  <c r="K24" i="43"/>
  <c r="H36" i="44"/>
  <c r="D36" i="44"/>
  <c r="M7" i="44"/>
  <c r="M24" i="44"/>
  <c r="K34" i="44"/>
  <c r="L5" i="39"/>
  <c r="C36" i="40"/>
  <c r="K5" i="40"/>
  <c r="K10" i="40"/>
  <c r="K23" i="40"/>
  <c r="D36" i="40"/>
  <c r="E36" i="41"/>
  <c r="D36" i="42"/>
  <c r="M11" i="42"/>
  <c r="K21" i="42"/>
  <c r="M34" i="42"/>
  <c r="F36" i="43"/>
  <c r="M6" i="43"/>
  <c r="I36" i="43"/>
  <c r="K16" i="43"/>
  <c r="I36" i="44"/>
  <c r="M16" i="44"/>
  <c r="K26" i="44"/>
  <c r="M33" i="44"/>
  <c r="M13" i="40"/>
  <c r="K20" i="40"/>
  <c r="E36" i="42"/>
  <c r="G36" i="43"/>
  <c r="K8" i="43"/>
  <c r="M8" i="44"/>
  <c r="K18" i="44"/>
  <c r="M25" i="44"/>
  <c r="K35" i="44"/>
  <c r="E36" i="40"/>
  <c r="K11" i="40"/>
  <c r="C36" i="41"/>
  <c r="M18" i="42"/>
  <c r="K28" i="42"/>
  <c r="H36" i="43"/>
  <c r="K10" i="44"/>
  <c r="F36" i="40"/>
  <c r="M31" i="41"/>
  <c r="F36" i="41"/>
  <c r="G36" i="42"/>
  <c r="M10" i="42"/>
  <c r="K11" i="42"/>
  <c r="B36" i="42"/>
  <c r="J36" i="42"/>
  <c r="K20" i="42"/>
  <c r="C36" i="44"/>
  <c r="K15" i="40"/>
  <c r="M29" i="40"/>
  <c r="K31" i="40"/>
  <c r="I36" i="41"/>
  <c r="K9" i="41"/>
  <c r="K17" i="41"/>
  <c r="K25" i="41"/>
  <c r="K33" i="41"/>
  <c r="H36" i="42"/>
  <c r="K12" i="42"/>
  <c r="J36" i="43"/>
  <c r="M21" i="43"/>
  <c r="K31" i="43"/>
  <c r="E36" i="44"/>
  <c r="K11" i="44"/>
  <c r="D36" i="41"/>
  <c r="B36" i="43"/>
  <c r="K5" i="41"/>
  <c r="O49" i="5" l="1"/>
  <c r="M48" i="5"/>
  <c r="O48" i="5" s="1"/>
  <c r="M46" i="5"/>
  <c r="O46" i="5" s="1"/>
  <c r="M45" i="5"/>
  <c r="O45" i="5" s="1"/>
  <c r="M47" i="5"/>
  <c r="O47" i="5" s="1"/>
  <c r="O56" i="5"/>
  <c r="K55" i="5"/>
  <c r="L55" i="5" s="1"/>
  <c r="O59" i="5"/>
  <c r="M76" i="6"/>
  <c r="O53" i="5"/>
  <c r="O50" i="5"/>
  <c r="O58" i="5"/>
  <c r="O52" i="5"/>
  <c r="O57" i="5"/>
  <c r="O51" i="5"/>
  <c r="O54" i="5"/>
  <c r="K76" i="6"/>
  <c r="O15" i="23"/>
  <c r="O33" i="31"/>
  <c r="X31" i="19"/>
  <c r="O15" i="32"/>
  <c r="O30" i="15"/>
  <c r="X32" i="19"/>
  <c r="O24" i="35"/>
  <c r="O25" i="34"/>
  <c r="U34" i="13"/>
  <c r="O9" i="35"/>
  <c r="O26" i="36"/>
  <c r="O25" i="43"/>
  <c r="O6" i="40"/>
  <c r="O34" i="41"/>
  <c r="O19" i="35"/>
  <c r="O26" i="23"/>
  <c r="O20" i="35"/>
  <c r="O30" i="31"/>
  <c r="O26" i="43"/>
  <c r="O19" i="34"/>
  <c r="O32" i="31"/>
  <c r="O19" i="43"/>
  <c r="O35" i="42"/>
  <c r="O25" i="29"/>
  <c r="AA33" i="11"/>
  <c r="O29" i="31"/>
  <c r="X18" i="18"/>
  <c r="O22" i="20"/>
  <c r="O18" i="36"/>
  <c r="O35" i="33"/>
  <c r="O31" i="38"/>
  <c r="O20" i="29"/>
  <c r="O28" i="26"/>
  <c r="O25" i="35"/>
  <c r="R24" i="10"/>
  <c r="O36" i="16"/>
  <c r="O16" i="38"/>
  <c r="O22" i="35"/>
  <c r="O25" i="32"/>
  <c r="O20" i="34"/>
  <c r="O19" i="38"/>
  <c r="O7" i="42"/>
  <c r="O21" i="15"/>
  <c r="O15" i="44"/>
  <c r="O14" i="42"/>
  <c r="O35" i="43"/>
  <c r="O21" i="35"/>
  <c r="O14" i="34"/>
  <c r="O33" i="16"/>
  <c r="O25" i="14"/>
  <c r="AA26" i="11"/>
  <c r="O19" i="40"/>
  <c r="O31" i="26"/>
  <c r="O13" i="14"/>
  <c r="O8" i="40"/>
  <c r="AA32" i="11"/>
  <c r="O27" i="22"/>
  <c r="O34" i="27"/>
  <c r="O15" i="15"/>
  <c r="O18" i="21"/>
  <c r="O21" i="34"/>
  <c r="O32" i="27"/>
  <c r="O9" i="42"/>
  <c r="O24" i="36"/>
  <c r="O25" i="31"/>
  <c r="O14" i="44"/>
  <c r="O24" i="38"/>
  <c r="X20" i="19"/>
  <c r="O26" i="15"/>
  <c r="O21" i="39"/>
  <c r="O27" i="29"/>
  <c r="O28" i="32"/>
  <c r="O32" i="15"/>
  <c r="O27" i="5"/>
  <c r="O67" i="5" s="1"/>
  <c r="O10" i="26"/>
  <c r="O31" i="35"/>
  <c r="O34" i="42"/>
  <c r="O26" i="34"/>
  <c r="O16" i="24"/>
  <c r="O23" i="14"/>
  <c r="O22" i="44"/>
  <c r="O14" i="39"/>
  <c r="O12" i="33"/>
  <c r="O26" i="32"/>
  <c r="O14" i="31"/>
  <c r="O9" i="15"/>
  <c r="R31" i="10"/>
  <c r="O21" i="37"/>
  <c r="O30" i="29"/>
  <c r="O24" i="12"/>
  <c r="O6" i="41"/>
  <c r="O11" i="36"/>
  <c r="O11" i="27"/>
  <c r="O20" i="43"/>
  <c r="O25" i="40"/>
  <c r="O16" i="29"/>
  <c r="O32" i="20"/>
  <c r="O18" i="16"/>
  <c r="O23" i="6"/>
  <c r="O63" i="6" s="1"/>
  <c r="O8" i="15"/>
  <c r="O13" i="12"/>
  <c r="O21" i="21"/>
  <c r="O32" i="35"/>
  <c r="O30" i="35"/>
  <c r="O17" i="27"/>
  <c r="O24" i="31"/>
  <c r="U30" i="13"/>
  <c r="O21" i="41"/>
  <c r="O16" i="36"/>
  <c r="X29" i="18"/>
  <c r="O27" i="44"/>
  <c r="O18" i="38"/>
  <c r="O22" i="15"/>
  <c r="O24" i="23"/>
  <c r="O23" i="20"/>
  <c r="O23" i="12"/>
  <c r="O18" i="15"/>
  <c r="O18" i="33"/>
  <c r="O27" i="36"/>
  <c r="R30" i="10"/>
  <c r="O20" i="23"/>
  <c r="O21" i="23"/>
  <c r="O26" i="12"/>
  <c r="AA18" i="11"/>
  <c r="O25" i="12"/>
  <c r="O33" i="22"/>
  <c r="O8" i="26"/>
  <c r="O22" i="24"/>
  <c r="O31" i="15"/>
  <c r="O14" i="41"/>
  <c r="O14" i="37"/>
  <c r="O32" i="33"/>
  <c r="O28" i="31"/>
  <c r="O36" i="15"/>
  <c r="O25" i="41"/>
  <c r="O13" i="42"/>
  <c r="O32" i="5"/>
  <c r="O72" i="5" s="1"/>
  <c r="O31" i="6"/>
  <c r="O71" i="6" s="1"/>
  <c r="O21" i="40"/>
  <c r="O19" i="37"/>
  <c r="O33" i="44"/>
  <c r="O28" i="41"/>
  <c r="O26" i="37"/>
  <c r="O33" i="38"/>
  <c r="O10" i="37"/>
  <c r="O32" i="38"/>
  <c r="O35" i="29"/>
  <c r="O20" i="21"/>
  <c r="O15" i="14"/>
  <c r="O28" i="42"/>
  <c r="O24" i="43"/>
  <c r="O27" i="24"/>
  <c r="O31" i="44"/>
  <c r="O31" i="42"/>
  <c r="O32" i="32"/>
  <c r="O14" i="33"/>
  <c r="O35" i="14"/>
  <c r="O9" i="22"/>
  <c r="O7" i="39"/>
  <c r="R23" i="10"/>
  <c r="O17" i="15"/>
  <c r="O11" i="32"/>
  <c r="O31" i="31"/>
  <c r="O25" i="22"/>
  <c r="O11" i="16"/>
  <c r="O29" i="23"/>
  <c r="R34" i="10"/>
  <c r="O33" i="15"/>
  <c r="O26" i="35"/>
  <c r="R25" i="10"/>
  <c r="O29" i="35"/>
  <c r="O28" i="34"/>
  <c r="O13" i="44"/>
  <c r="O10" i="38"/>
  <c r="O20" i="38"/>
  <c r="O23" i="41"/>
  <c r="O6" i="27"/>
  <c r="O24" i="6"/>
  <c r="O64" i="6" s="1"/>
  <c r="O27" i="39"/>
  <c r="O34" i="44"/>
  <c r="O15" i="42"/>
  <c r="O22" i="41"/>
  <c r="O17" i="29"/>
  <c r="O23" i="29"/>
  <c r="U25" i="13"/>
  <c r="O10" i="36"/>
  <c r="X19" i="18"/>
  <c r="O16" i="32"/>
  <c r="O8" i="33"/>
  <c r="O10" i="39"/>
  <c r="X11" i="18"/>
  <c r="O10" i="14"/>
  <c r="O9" i="29"/>
  <c r="O9" i="26"/>
  <c r="O7" i="32"/>
  <c r="O8" i="22"/>
  <c r="O8" i="14"/>
  <c r="O7" i="31"/>
  <c r="O6" i="34"/>
  <c r="O12" i="15"/>
  <c r="O11" i="33"/>
  <c r="O12" i="23"/>
  <c r="O11" i="39"/>
  <c r="O13" i="16"/>
  <c r="O16" i="44"/>
  <c r="X13" i="19"/>
  <c r="O13" i="21"/>
  <c r="O12" i="39"/>
  <c r="O24" i="24"/>
  <c r="O11" i="37"/>
  <c r="O17" i="43"/>
  <c r="O25" i="27"/>
  <c r="O20" i="24"/>
  <c r="X12" i="18"/>
  <c r="O12" i="37"/>
  <c r="O21" i="24"/>
  <c r="O9" i="27"/>
  <c r="O21" i="42"/>
  <c r="O26" i="39"/>
  <c r="O22" i="34"/>
  <c r="O18" i="43"/>
  <c r="O12" i="41"/>
  <c r="O15" i="34"/>
  <c r="X22" i="19"/>
  <c r="X29" i="19"/>
  <c r="X27" i="19"/>
  <c r="O31" i="39"/>
  <c r="O17" i="40"/>
  <c r="O24" i="41"/>
  <c r="O31" i="33"/>
  <c r="O35" i="36"/>
  <c r="O6" i="32"/>
  <c r="O31" i="22"/>
  <c r="O21" i="12"/>
  <c r="R33" i="10"/>
  <c r="O32" i="26"/>
  <c r="O34" i="16"/>
  <c r="O35" i="6"/>
  <c r="O75" i="6" s="1"/>
  <c r="O23" i="42"/>
  <c r="O18" i="41"/>
  <c r="O24" i="14"/>
  <c r="O26" i="14"/>
  <c r="U35" i="13"/>
  <c r="O25" i="37"/>
  <c r="O7" i="37"/>
  <c r="O36" i="23"/>
  <c r="O27" i="15"/>
  <c r="O8" i="20"/>
  <c r="O20" i="40"/>
  <c r="O19" i="12"/>
  <c r="O24" i="40"/>
  <c r="O23" i="36"/>
  <c r="O13" i="33"/>
  <c r="O6" i="37"/>
  <c r="O9" i="33"/>
  <c r="O34" i="31"/>
  <c r="O12" i="22"/>
  <c r="O23" i="16"/>
  <c r="O27" i="23"/>
  <c r="O33" i="32"/>
  <c r="O24" i="42"/>
  <c r="O21" i="36"/>
  <c r="O19" i="21"/>
  <c r="O5" i="43"/>
  <c r="O6" i="39"/>
  <c r="O6" i="36"/>
  <c r="O6" i="35"/>
  <c r="X9" i="19"/>
  <c r="O9" i="40"/>
  <c r="O9" i="41"/>
  <c r="O9" i="44"/>
  <c r="O9" i="43"/>
  <c r="O9" i="38"/>
  <c r="O10" i="20"/>
  <c r="O10" i="34"/>
  <c r="O12" i="12"/>
  <c r="O12" i="20"/>
  <c r="O15" i="39"/>
  <c r="O14" i="38"/>
  <c r="O13" i="39"/>
  <c r="O14" i="14"/>
  <c r="O13" i="38"/>
  <c r="O12" i="35"/>
  <c r="O14" i="23"/>
  <c r="O14" i="24"/>
  <c r="O13" i="32"/>
  <c r="O14" i="21"/>
  <c r="AA14" i="11"/>
  <c r="O17" i="16"/>
  <c r="O17" i="24"/>
  <c r="X20" i="18"/>
  <c r="O27" i="42"/>
  <c r="O22" i="37"/>
  <c r="O17" i="33"/>
  <c r="O20" i="31"/>
  <c r="O11" i="29"/>
  <c r="U26" i="13"/>
  <c r="O10" i="5"/>
  <c r="O26" i="40"/>
  <c r="O22" i="23"/>
  <c r="O27" i="12"/>
  <c r="O15" i="16"/>
  <c r="O20" i="16"/>
  <c r="AA30" i="11"/>
  <c r="O33" i="5"/>
  <c r="O73" i="5" s="1"/>
  <c r="O29" i="38"/>
  <c r="O29" i="37"/>
  <c r="O30" i="21"/>
  <c r="O28" i="44"/>
  <c r="O23" i="33"/>
  <c r="O17" i="32"/>
  <c r="O26" i="26"/>
  <c r="O21" i="6"/>
  <c r="O61" i="6" s="1"/>
  <c r="O20" i="44"/>
  <c r="O29" i="42"/>
  <c r="O22" i="31"/>
  <c r="O36" i="24"/>
  <c r="O29" i="34"/>
  <c r="O24" i="37"/>
  <c r="O21" i="32"/>
  <c r="O30" i="43"/>
  <c r="O17" i="44"/>
  <c r="O8" i="29"/>
  <c r="O8" i="31"/>
  <c r="O9" i="16"/>
  <c r="O19" i="27"/>
  <c r="O7" i="20"/>
  <c r="O28" i="23"/>
  <c r="O8" i="35"/>
  <c r="O17" i="34"/>
  <c r="O7" i="36"/>
  <c r="O17" i="38"/>
  <c r="O27" i="34"/>
  <c r="O11" i="40"/>
  <c r="O16" i="33"/>
  <c r="X34" i="18"/>
  <c r="O35" i="40"/>
  <c r="O25" i="39"/>
  <c r="O23" i="37"/>
  <c r="O24" i="34"/>
  <c r="O33" i="26"/>
  <c r="O28" i="20"/>
  <c r="X30" i="18"/>
  <c r="O29" i="14"/>
  <c r="O12" i="29"/>
  <c r="O12" i="32"/>
  <c r="O31" i="29"/>
  <c r="O34" i="22"/>
  <c r="O30" i="34"/>
  <c r="O10" i="44"/>
  <c r="O33" i="20"/>
  <c r="X24" i="18"/>
  <c r="O26" i="38"/>
  <c r="O20" i="33"/>
  <c r="O25" i="33"/>
  <c r="O29" i="16"/>
  <c r="X16" i="18"/>
  <c r="O32" i="44"/>
  <c r="O30" i="42"/>
  <c r="O8" i="41"/>
  <c r="O34" i="43"/>
  <c r="O27" i="41"/>
  <c r="O28" i="38"/>
  <c r="O13" i="37"/>
  <c r="O19" i="31"/>
  <c r="O28" i="29"/>
  <c r="O14" i="35"/>
  <c r="O23" i="35"/>
  <c r="O19" i="22"/>
  <c r="O23" i="27"/>
  <c r="O35" i="26"/>
  <c r="O36" i="20"/>
  <c r="O16" i="23"/>
  <c r="O35" i="21"/>
  <c r="U10" i="13"/>
  <c r="O16" i="39"/>
  <c r="O16" i="35"/>
  <c r="O15" i="26"/>
  <c r="O22" i="26"/>
  <c r="U12" i="13"/>
  <c r="O6" i="31"/>
  <c r="O14" i="22"/>
  <c r="O16" i="12"/>
  <c r="O31" i="36"/>
  <c r="X17" i="18"/>
  <c r="U22" i="13"/>
  <c r="AA25" i="11"/>
  <c r="O35" i="5"/>
  <c r="O75" i="5" s="1"/>
  <c r="O9" i="31"/>
  <c r="O34" i="38"/>
  <c r="O8" i="38"/>
  <c r="U29" i="13"/>
  <c r="O28" i="21"/>
  <c r="O16" i="15"/>
  <c r="O22" i="40"/>
  <c r="O32" i="39"/>
  <c r="O6" i="38"/>
  <c r="O12" i="34"/>
  <c r="O31" i="27"/>
  <c r="O21" i="20"/>
  <c r="O20" i="37"/>
  <c r="O16" i="31"/>
  <c r="O7" i="27"/>
  <c r="O7" i="41"/>
  <c r="O25" i="44"/>
  <c r="O28" i="24"/>
  <c r="O16" i="41"/>
  <c r="O14" i="40"/>
  <c r="O13" i="35"/>
  <c r="O8" i="34"/>
  <c r="O30" i="33"/>
  <c r="O23" i="32"/>
  <c r="O17" i="31"/>
  <c r="O25" i="21"/>
  <c r="O14" i="20"/>
  <c r="O10" i="22"/>
  <c r="O22" i="16"/>
  <c r="O34" i="6"/>
  <c r="O74" i="6" s="1"/>
  <c r="O32" i="40"/>
  <c r="O26" i="21"/>
  <c r="O33" i="24"/>
  <c r="O29" i="44"/>
  <c r="O21" i="16"/>
  <c r="O18" i="39"/>
  <c r="O26" i="27"/>
  <c r="O14" i="15"/>
  <c r="O20" i="41"/>
  <c r="O14" i="36"/>
  <c r="O25" i="38"/>
  <c r="O7" i="35"/>
  <c r="O18" i="31"/>
  <c r="O21" i="29"/>
  <c r="O11" i="35"/>
  <c r="O25" i="26"/>
  <c r="O19" i="23"/>
  <c r="O14" i="16"/>
  <c r="O11" i="21"/>
  <c r="O26" i="5"/>
  <c r="O66" i="5" s="1"/>
  <c r="O20" i="5"/>
  <c r="O60" i="5" s="1"/>
  <c r="O12" i="14"/>
  <c r="O32" i="12"/>
  <c r="R32" i="10"/>
  <c r="U11" i="13"/>
  <c r="O6" i="29"/>
  <c r="O15" i="5"/>
  <c r="O22" i="29"/>
  <c r="O28" i="22"/>
  <c r="O7" i="16"/>
  <c r="O6" i="16"/>
  <c r="O13" i="34"/>
  <c r="O29" i="41"/>
  <c r="O27" i="38"/>
  <c r="O34" i="33"/>
  <c r="O16" i="34"/>
  <c r="O24" i="33"/>
  <c r="O18" i="32"/>
  <c r="O20" i="14"/>
  <c r="O29" i="5"/>
  <c r="O69" i="5" s="1"/>
  <c r="O19" i="20"/>
  <c r="O26" i="31"/>
  <c r="O16" i="22"/>
  <c r="O26" i="41"/>
  <c r="O32" i="16"/>
  <c r="O29" i="36"/>
  <c r="O34" i="35"/>
  <c r="O14" i="27"/>
  <c r="O29" i="27"/>
  <c r="X30" i="19"/>
  <c r="O15" i="43"/>
  <c r="O19" i="32"/>
  <c r="O28" i="37"/>
  <c r="O15" i="29"/>
  <c r="X15" i="18"/>
  <c r="O19" i="16"/>
  <c r="X23" i="19"/>
  <c r="O8" i="16"/>
  <c r="O21" i="43"/>
  <c r="O22" i="36"/>
  <c r="O24" i="27"/>
  <c r="O13" i="29"/>
  <c r="O24" i="21"/>
  <c r="X22" i="18"/>
  <c r="O10" i="21"/>
  <c r="O29" i="26"/>
  <c r="O17" i="21"/>
  <c r="O18" i="26"/>
  <c r="O35" i="24"/>
  <c r="O12" i="21"/>
  <c r="O28" i="15"/>
  <c r="O19" i="5"/>
  <c r="O12" i="26"/>
  <c r="O11" i="14"/>
  <c r="AA20" i="11"/>
  <c r="O13" i="5"/>
  <c r="O11" i="26"/>
  <c r="O26" i="29"/>
  <c r="O27" i="27"/>
  <c r="O11" i="15"/>
  <c r="U13" i="13"/>
  <c r="O29" i="24"/>
  <c r="O8" i="23"/>
  <c r="X35" i="18"/>
  <c r="O34" i="20"/>
  <c r="O27" i="16"/>
  <c r="O8" i="21"/>
  <c r="X25" i="18"/>
  <c r="O13" i="22"/>
  <c r="U23" i="13"/>
  <c r="O7" i="33"/>
  <c r="O20" i="22"/>
  <c r="O15" i="20"/>
  <c r="O36" i="14"/>
  <c r="O14" i="5"/>
  <c r="O31" i="12"/>
  <c r="O17" i="42"/>
  <c r="O35" i="39"/>
  <c r="O31" i="37"/>
  <c r="O19" i="36"/>
  <c r="O27" i="21"/>
  <c r="O10" i="15"/>
  <c r="O22" i="6"/>
  <c r="O62" i="6" s="1"/>
  <c r="O32" i="21"/>
  <c r="O16" i="37"/>
  <c r="X14" i="19"/>
  <c r="U24" i="13"/>
  <c r="X12" i="19"/>
  <c r="O35" i="41"/>
  <c r="O27" i="37"/>
  <c r="O12" i="38"/>
  <c r="O33" i="33"/>
  <c r="O27" i="31"/>
  <c r="O21" i="22"/>
  <c r="O36" i="5"/>
  <c r="O33" i="23"/>
  <c r="O32" i="6"/>
  <c r="O72" i="6" s="1"/>
  <c r="O23" i="38"/>
  <c r="O33" i="40"/>
  <c r="O17" i="37"/>
  <c r="O34" i="32"/>
  <c r="O35" i="35"/>
  <c r="O18" i="29"/>
  <c r="O18" i="14"/>
  <c r="O19" i="41"/>
  <c r="O28" i="33"/>
  <c r="O19" i="14"/>
  <c r="O21" i="38"/>
  <c r="O33" i="41"/>
  <c r="O15" i="38"/>
  <c r="X28" i="18"/>
  <c r="O32" i="41"/>
  <c r="O11" i="43"/>
  <c r="O23" i="39"/>
  <c r="O32" i="43"/>
  <c r="O16" i="20"/>
  <c r="O28" i="16"/>
  <c r="O19" i="15"/>
  <c r="X9" i="18"/>
  <c r="O18" i="42"/>
  <c r="O34" i="39"/>
  <c r="O20" i="36"/>
  <c r="M36" i="39"/>
  <c r="O10" i="33"/>
  <c r="O15" i="35"/>
  <c r="O16" i="26"/>
  <c r="O35" i="20"/>
  <c r="O25" i="6"/>
  <c r="O65" i="6" s="1"/>
  <c r="O28" i="5"/>
  <c r="O68" i="5" s="1"/>
  <c r="O26" i="33"/>
  <c r="O9" i="39"/>
  <c r="O26" i="24"/>
  <c r="X10" i="19"/>
  <c r="X36" i="19"/>
  <c r="O30" i="40"/>
  <c r="O8" i="37"/>
  <c r="O13" i="36"/>
  <c r="O18" i="35"/>
  <c r="O5" i="39"/>
  <c r="O11" i="38"/>
  <c r="O10" i="43"/>
  <c r="O7" i="38"/>
  <c r="O22" i="33"/>
  <c r="M36" i="29"/>
  <c r="L36" i="28"/>
  <c r="O32" i="34"/>
  <c r="O14" i="32"/>
  <c r="O25" i="36"/>
  <c r="O10" i="31"/>
  <c r="O31" i="14"/>
  <c r="O30" i="14"/>
  <c r="O36" i="22"/>
  <c r="O16" i="21"/>
  <c r="O25" i="20"/>
  <c r="O35" i="23"/>
  <c r="O11" i="23"/>
  <c r="O28" i="12"/>
  <c r="O25" i="5"/>
  <c r="O65" i="5" s="1"/>
  <c r="O23" i="15"/>
  <c r="O22" i="12"/>
  <c r="O18" i="5"/>
  <c r="O34" i="15"/>
  <c r="O11" i="22"/>
  <c r="U36" i="13"/>
  <c r="U14" i="13"/>
  <c r="O20" i="12"/>
  <c r="R26" i="10"/>
  <c r="O35" i="34"/>
  <c r="O15" i="40"/>
  <c r="O27" i="35"/>
  <c r="O13" i="43"/>
  <c r="O6" i="43"/>
  <c r="O30" i="39"/>
  <c r="O22" i="38"/>
  <c r="O19" i="42"/>
  <c r="O27" i="20"/>
  <c r="AA31" i="11"/>
  <c r="X35" i="19"/>
  <c r="O13" i="27"/>
  <c r="O24" i="16"/>
  <c r="X27" i="18"/>
  <c r="O25" i="15"/>
  <c r="O31" i="34"/>
  <c r="U28" i="13"/>
  <c r="O31" i="43"/>
  <c r="O34" i="5"/>
  <c r="O74" i="5" s="1"/>
  <c r="O16" i="43"/>
  <c r="O28" i="39"/>
  <c r="O18" i="37"/>
  <c r="AA35" i="11"/>
  <c r="R22" i="10"/>
  <c r="O31" i="5"/>
  <c r="O71" i="5" s="1"/>
  <c r="U8" i="13"/>
  <c r="AA21" i="11"/>
  <c r="AA7" i="11"/>
  <c r="O8" i="36"/>
  <c r="O18" i="40"/>
  <c r="X19" i="19"/>
  <c r="X26" i="19"/>
  <c r="O33" i="6"/>
  <c r="O73" i="6" s="1"/>
  <c r="O25" i="42"/>
  <c r="O24" i="29"/>
  <c r="O18" i="27"/>
  <c r="O30" i="22"/>
  <c r="O19" i="29"/>
  <c r="O34" i="26"/>
  <c r="O18" i="22"/>
  <c r="O30" i="20"/>
  <c r="O29" i="22"/>
  <c r="O23" i="21"/>
  <c r="O7" i="26"/>
  <c r="O23" i="22"/>
  <c r="O34" i="21"/>
  <c r="O13" i="20"/>
  <c r="O12" i="16"/>
  <c r="O6" i="26"/>
  <c r="X17" i="19"/>
  <c r="O24" i="15"/>
  <c r="O12" i="43"/>
  <c r="O6" i="44"/>
  <c r="O15" i="41"/>
  <c r="O9" i="36"/>
  <c r="O23" i="43"/>
  <c r="O29" i="39"/>
  <c r="O28" i="35"/>
  <c r="O27" i="33"/>
  <c r="O8" i="27"/>
  <c r="R36" i="10"/>
  <c r="O9" i="5"/>
  <c r="O6" i="33"/>
  <c r="O27" i="40"/>
  <c r="O8" i="42"/>
  <c r="O16" i="40"/>
  <c r="O10" i="32"/>
  <c r="O29" i="33"/>
  <c r="O24" i="32"/>
  <c r="O33" i="35"/>
  <c r="O23" i="31"/>
  <c r="O29" i="40"/>
  <c r="O20" i="42"/>
  <c r="O14" i="43"/>
  <c r="M37" i="16"/>
  <c r="D14" i="2" s="1"/>
  <c r="O26" i="16"/>
  <c r="O35" i="37"/>
  <c r="O29" i="32"/>
  <c r="O32" i="22"/>
  <c r="O15" i="22"/>
  <c r="O26" i="20"/>
  <c r="O22" i="22"/>
  <c r="U15" i="13"/>
  <c r="AA13" i="11"/>
  <c r="U7" i="13"/>
  <c r="O31" i="23"/>
  <c r="X36" i="18"/>
  <c r="O35" i="16"/>
  <c r="R35" i="10"/>
  <c r="O12" i="40"/>
  <c r="O9" i="37"/>
  <c r="O11" i="34"/>
  <c r="AA19" i="11"/>
  <c r="U9" i="13"/>
  <c r="O22" i="14"/>
  <c r="U20" i="13"/>
  <c r="O30" i="27"/>
  <c r="O10" i="29"/>
  <c r="O19" i="44"/>
  <c r="O30" i="41"/>
  <c r="O30" i="38"/>
  <c r="U17" i="13"/>
  <c r="X37" i="11"/>
  <c r="C9" i="2" s="1"/>
  <c r="U33" i="13"/>
  <c r="O11" i="44"/>
  <c r="O10" i="41"/>
  <c r="O28" i="36"/>
  <c r="O16" i="16"/>
  <c r="O33" i="12"/>
  <c r="X7" i="19"/>
  <c r="O17" i="36"/>
  <c r="O22" i="32"/>
  <c r="O5" i="26"/>
  <c r="O31" i="24"/>
  <c r="O29" i="20"/>
  <c r="X23" i="18"/>
  <c r="O7" i="29"/>
  <c r="O16" i="27"/>
  <c r="O32" i="37"/>
  <c r="O9" i="32"/>
  <c r="O21" i="26"/>
  <c r="O30" i="26"/>
  <c r="O33" i="21"/>
  <c r="X13" i="18"/>
  <c r="O31" i="16"/>
  <c r="U18" i="13"/>
  <c r="AA9" i="11"/>
  <c r="O13" i="24"/>
  <c r="O10" i="23"/>
  <c r="O31" i="21"/>
  <c r="T37" i="18"/>
  <c r="B16" i="2" s="1"/>
  <c r="U19" i="13"/>
  <c r="L36" i="31"/>
  <c r="O13" i="23"/>
  <c r="L37" i="22"/>
  <c r="C20" i="2" s="1"/>
  <c r="AA12" i="11"/>
  <c r="O32" i="24"/>
  <c r="O17" i="22"/>
  <c r="O16" i="14"/>
  <c r="O18" i="12"/>
  <c r="O32" i="36"/>
  <c r="O34" i="23"/>
  <c r="X21" i="18"/>
  <c r="O20" i="15"/>
  <c r="O21" i="5"/>
  <c r="O61" i="5" s="1"/>
  <c r="O26" i="6"/>
  <c r="O66" i="6" s="1"/>
  <c r="O36" i="8"/>
  <c r="O26" i="44"/>
  <c r="O10" i="42"/>
  <c r="O7" i="44"/>
  <c r="O30" i="37"/>
  <c r="O17" i="14"/>
  <c r="O12" i="31"/>
  <c r="O12" i="27"/>
  <c r="O34" i="36"/>
  <c r="O11" i="31"/>
  <c r="O14" i="29"/>
  <c r="AA11" i="11"/>
  <c r="O27" i="6"/>
  <c r="O67" i="6" s="1"/>
  <c r="O31" i="40"/>
  <c r="K36" i="32"/>
  <c r="D17" i="2"/>
  <c r="M37" i="20"/>
  <c r="D18" i="2" s="1"/>
  <c r="O10" i="16"/>
  <c r="O21" i="14"/>
  <c r="X14" i="18"/>
  <c r="C7" i="2"/>
  <c r="M37" i="8"/>
  <c r="D6" i="2" s="1"/>
  <c r="O7" i="43"/>
  <c r="O20" i="39"/>
  <c r="O35" i="38"/>
  <c r="O15" i="36"/>
  <c r="O32" i="14"/>
  <c r="AA17" i="11"/>
  <c r="O29" i="6"/>
  <c r="O69" i="6" s="1"/>
  <c r="O7" i="5"/>
  <c r="O29" i="15"/>
  <c r="O33" i="14"/>
  <c r="O8" i="12"/>
  <c r="AA16" i="11"/>
  <c r="R27" i="10"/>
  <c r="O23" i="5"/>
  <c r="O63" i="5" s="1"/>
  <c r="R28" i="10"/>
  <c r="O34" i="12"/>
  <c r="O12" i="42"/>
  <c r="O17" i="35"/>
  <c r="M36" i="32"/>
  <c r="X16" i="19"/>
  <c r="O33" i="43"/>
  <c r="O33" i="42"/>
  <c r="O34" i="40"/>
  <c r="O7" i="40"/>
  <c r="O28" i="43"/>
  <c r="O32" i="42"/>
  <c r="O5" i="42"/>
  <c r="O13" i="41"/>
  <c r="L36" i="41"/>
  <c r="O29" i="29"/>
  <c r="O34" i="29"/>
  <c r="M37" i="21"/>
  <c r="D19" i="2" s="1"/>
  <c r="X10" i="18"/>
  <c r="O10" i="27"/>
  <c r="K37" i="22"/>
  <c r="B20" i="2" s="1"/>
  <c r="O20" i="26"/>
  <c r="O30" i="23"/>
  <c r="O24" i="22"/>
  <c r="O31" i="20"/>
  <c r="O15" i="27"/>
  <c r="O36" i="21"/>
  <c r="O30" i="24"/>
  <c r="O26" i="22"/>
  <c r="O23" i="26"/>
  <c r="O9" i="23"/>
  <c r="O29" i="21"/>
  <c r="O9" i="20"/>
  <c r="O35" i="15"/>
  <c r="O34" i="14"/>
  <c r="O25" i="24"/>
  <c r="O29" i="12"/>
  <c r="O11" i="12"/>
  <c r="AA29" i="11"/>
  <c r="O35" i="8"/>
  <c r="O27" i="14"/>
  <c r="AA28" i="11"/>
  <c r="O30" i="16"/>
  <c r="AA27" i="11"/>
  <c r="O33" i="34"/>
  <c r="O33" i="29"/>
  <c r="X25" i="19"/>
  <c r="O9" i="14"/>
  <c r="O11" i="41"/>
  <c r="O7" i="34"/>
  <c r="O19" i="39"/>
  <c r="O33" i="37"/>
  <c r="O15" i="31"/>
  <c r="O20" i="32"/>
  <c r="O30" i="32"/>
  <c r="O12" i="36"/>
  <c r="O19" i="33"/>
  <c r="O5" i="32"/>
  <c r="O19" i="26"/>
  <c r="O30" i="12"/>
  <c r="O15" i="12"/>
  <c r="O27" i="26"/>
  <c r="B17" i="2"/>
  <c r="M36" i="41"/>
  <c r="O21" i="27"/>
  <c r="O18" i="24"/>
  <c r="O37" i="10"/>
  <c r="C8" i="2" s="1"/>
  <c r="O28" i="40"/>
  <c r="L36" i="33"/>
  <c r="L36" i="34"/>
  <c r="O24" i="5"/>
  <c r="O64" i="5" s="1"/>
  <c r="O28" i="14"/>
  <c r="O28" i="6"/>
  <c r="O68" i="6" s="1"/>
  <c r="M37" i="5"/>
  <c r="D3" i="2" s="1"/>
  <c r="O24" i="44"/>
  <c r="O18" i="34"/>
  <c r="O8" i="24"/>
  <c r="O20" i="20"/>
  <c r="AA10" i="11"/>
  <c r="O30" i="44"/>
  <c r="O23" i="44"/>
  <c r="O21" i="44"/>
  <c r="O29" i="43"/>
  <c r="O16" i="42"/>
  <c r="O12" i="44"/>
  <c r="O27" i="43"/>
  <c r="O22" i="42"/>
  <c r="O22" i="43"/>
  <c r="O26" i="42"/>
  <c r="O15" i="33"/>
  <c r="X26" i="18"/>
  <c r="O14" i="26"/>
  <c r="O25" i="23"/>
  <c r="O23" i="23"/>
  <c r="O13" i="26"/>
  <c r="O18" i="23"/>
  <c r="L36" i="26"/>
  <c r="C24" i="2" s="1"/>
  <c r="L37" i="21"/>
  <c r="C19" i="2" s="1"/>
  <c r="L37" i="20"/>
  <c r="C18" i="2" s="1"/>
  <c r="O17" i="26"/>
  <c r="O34" i="24"/>
  <c r="O35" i="22"/>
  <c r="O22" i="21"/>
  <c r="O24" i="20"/>
  <c r="O25" i="16"/>
  <c r="O9" i="12"/>
  <c r="L37" i="8"/>
  <c r="C6" i="2" s="1"/>
  <c r="O22" i="5"/>
  <c r="O62" i="5" s="1"/>
  <c r="O8" i="5"/>
  <c r="AA34" i="11"/>
  <c r="O22" i="27"/>
  <c r="M36" i="38"/>
  <c r="O17" i="20"/>
  <c r="X28" i="19"/>
  <c r="X31" i="18"/>
  <c r="O20" i="27"/>
  <c r="L36" i="37"/>
  <c r="O21" i="33"/>
  <c r="O35" i="31"/>
  <c r="O33" i="36"/>
  <c r="L36" i="35"/>
  <c r="O31" i="32"/>
  <c r="O21" i="31"/>
  <c r="L36" i="25"/>
  <c r="C23" i="2" s="1"/>
  <c r="O17" i="23"/>
  <c r="O30" i="6"/>
  <c r="O70" i="6" s="1"/>
  <c r="L37" i="5"/>
  <c r="C3" i="2" s="1"/>
  <c r="O13" i="15"/>
  <c r="O10" i="12"/>
  <c r="AA23" i="11"/>
  <c r="O30" i="5"/>
  <c r="O70" i="5" s="1"/>
  <c r="O16" i="5"/>
  <c r="U31" i="13"/>
  <c r="R37" i="13"/>
  <c r="C11" i="2" s="1"/>
  <c r="O14" i="12"/>
  <c r="AA15" i="11"/>
  <c r="O17" i="5"/>
  <c r="O23" i="34"/>
  <c r="O11" i="20"/>
  <c r="X21" i="19"/>
  <c r="O17" i="12"/>
  <c r="AA24" i="11"/>
  <c r="U37" i="18"/>
  <c r="C16" i="2" s="1"/>
  <c r="O10" i="35"/>
  <c r="O5" i="33"/>
  <c r="O34" i="34"/>
  <c r="O8" i="32"/>
  <c r="O13" i="31"/>
  <c r="AA36" i="11"/>
  <c r="R29" i="10"/>
  <c r="U21" i="13"/>
  <c r="X33" i="18"/>
  <c r="M37" i="15"/>
  <c r="D13" i="2" s="1"/>
  <c r="O31" i="41"/>
  <c r="O17" i="41"/>
  <c r="O8" i="43"/>
  <c r="O8" i="39"/>
  <c r="O32" i="29"/>
  <c r="O9" i="24"/>
  <c r="O15" i="21"/>
  <c r="O18" i="20"/>
  <c r="X18" i="19"/>
  <c r="L36" i="32"/>
  <c r="O18" i="44"/>
  <c r="L36" i="39"/>
  <c r="K36" i="26"/>
  <c r="B24" i="2" s="1"/>
  <c r="O24" i="26"/>
  <c r="O7" i="22"/>
  <c r="X33" i="19"/>
  <c r="O11" i="42"/>
  <c r="K36" i="39"/>
  <c r="O34" i="37"/>
  <c r="O30" i="36"/>
  <c r="O28" i="27"/>
  <c r="O33" i="27"/>
  <c r="O7" i="21"/>
  <c r="O7" i="14"/>
  <c r="L37" i="14"/>
  <c r="C12" i="2" s="1"/>
  <c r="O35" i="12"/>
  <c r="O22" i="39"/>
  <c r="M36" i="42"/>
  <c r="M36" i="44"/>
  <c r="M36" i="37"/>
  <c r="L36" i="29"/>
  <c r="AA22" i="11"/>
  <c r="O9" i="21"/>
  <c r="L37" i="16"/>
  <c r="C14" i="2" s="1"/>
  <c r="M37" i="22"/>
  <c r="D20" i="2" s="1"/>
  <c r="U27" i="13"/>
  <c r="U32" i="13"/>
  <c r="R21" i="10"/>
  <c r="X24" i="19"/>
  <c r="O12" i="5"/>
  <c r="O33" i="39"/>
  <c r="O17" i="39"/>
  <c r="O11" i="5"/>
  <c r="O12" i="24"/>
  <c r="P37" i="10"/>
  <c r="D8" i="2" s="1"/>
  <c r="O35" i="44"/>
  <c r="L36" i="36"/>
  <c r="M36" i="35"/>
  <c r="O10" i="24"/>
  <c r="X32" i="18"/>
  <c r="X15" i="19"/>
  <c r="X8" i="19"/>
  <c r="L36" i="43"/>
  <c r="L36" i="40"/>
  <c r="K36" i="37"/>
  <c r="D7" i="2"/>
  <c r="O13" i="40"/>
  <c r="O24" i="39"/>
  <c r="O9" i="34"/>
  <c r="O35" i="32"/>
  <c r="X34" i="19"/>
  <c r="S37" i="13"/>
  <c r="D11" i="2" s="1"/>
  <c r="AA8" i="11"/>
  <c r="X11" i="19"/>
  <c r="L36" i="38"/>
  <c r="C17" i="2"/>
  <c r="O10" i="40"/>
  <c r="O15" i="24"/>
  <c r="O5" i="27"/>
  <c r="O11" i="24"/>
  <c r="O6" i="23"/>
  <c r="X6" i="19"/>
  <c r="M36" i="43"/>
  <c r="O15" i="37"/>
  <c r="M36" i="36"/>
  <c r="O27" i="32"/>
  <c r="K36" i="25"/>
  <c r="B23" i="2" s="1"/>
  <c r="N37" i="10"/>
  <c r="B8" i="2" s="1"/>
  <c r="M37" i="6"/>
  <c r="D4" i="2" s="1"/>
  <c r="K37" i="5"/>
  <c r="B3" i="2" s="1"/>
  <c r="O6" i="5"/>
  <c r="O23" i="40"/>
  <c r="O5" i="37"/>
  <c r="M36" i="31"/>
  <c r="K37" i="24"/>
  <c r="B22" i="2" s="1"/>
  <c r="O6" i="24"/>
  <c r="K37" i="21"/>
  <c r="B19" i="2" s="1"/>
  <c r="O6" i="21"/>
  <c r="K37" i="16"/>
  <c r="B14" i="2" s="1"/>
  <c r="M37" i="14"/>
  <c r="D12" i="2" s="1"/>
  <c r="K36" i="42"/>
  <c r="K36" i="35"/>
  <c r="K36" i="36"/>
  <c r="O5" i="36"/>
  <c r="M37" i="23"/>
  <c r="D21" i="2" s="1"/>
  <c r="V37" i="18"/>
  <c r="D16" i="2" s="1"/>
  <c r="Q37" i="13"/>
  <c r="B11" i="2" s="1"/>
  <c r="U6" i="13"/>
  <c r="K37" i="6"/>
  <c r="B4" i="2" s="1"/>
  <c r="K37" i="8"/>
  <c r="B6" i="2" s="1"/>
  <c r="K37" i="23"/>
  <c r="B21" i="2" s="1"/>
  <c r="K36" i="40"/>
  <c r="O5" i="40"/>
  <c r="O8" i="44"/>
  <c r="M36" i="40"/>
  <c r="M36" i="34"/>
  <c r="M36" i="33"/>
  <c r="M36" i="28"/>
  <c r="K36" i="33"/>
  <c r="K36" i="27"/>
  <c r="B25" i="2" s="1"/>
  <c r="O23" i="24"/>
  <c r="K37" i="14"/>
  <c r="B12" i="2" s="1"/>
  <c r="O6" i="14"/>
  <c r="U16" i="13"/>
  <c r="K36" i="38"/>
  <c r="O5" i="38"/>
  <c r="O5" i="31"/>
  <c r="K36" i="31"/>
  <c r="K36" i="41"/>
  <c r="O5" i="41"/>
  <c r="K36" i="44"/>
  <c r="K36" i="34"/>
  <c r="O5" i="34"/>
  <c r="K36" i="28"/>
  <c r="M37" i="24"/>
  <c r="D22" i="2" s="1"/>
  <c r="M36" i="26"/>
  <c r="D24" i="2" s="1"/>
  <c r="K37" i="20"/>
  <c r="B18" i="2" s="1"/>
  <c r="O6" i="20"/>
  <c r="B7" i="2"/>
  <c r="B5" i="2"/>
  <c r="K36" i="43"/>
  <c r="L36" i="44"/>
  <c r="O5" i="44"/>
  <c r="K36" i="29"/>
  <c r="O5" i="29"/>
  <c r="O19" i="24"/>
  <c r="O6" i="22"/>
  <c r="O6" i="12"/>
  <c r="M36" i="25"/>
  <c r="D23" i="2" s="1"/>
  <c r="W37" i="11"/>
  <c r="B9" i="2" s="1"/>
  <c r="AA6" i="11"/>
  <c r="O5" i="35"/>
  <c r="O32" i="23"/>
  <c r="K37" i="15"/>
  <c r="B13" i="2" s="1"/>
  <c r="O6" i="15"/>
  <c r="Y37" i="11"/>
  <c r="D9" i="2" s="1"/>
  <c r="K76" i="5" l="1"/>
  <c r="O55" i="5"/>
  <c r="O76" i="5" s="1"/>
  <c r="M76" i="5"/>
  <c r="L76" i="5"/>
  <c r="O76" i="6"/>
  <c r="B26" i="2"/>
  <c r="D26" i="2"/>
  <c r="C26" i="2"/>
  <c r="R37" i="10"/>
  <c r="F8" i="2" s="1"/>
  <c r="O37" i="22"/>
  <c r="F20" i="2" s="1"/>
  <c r="F7" i="2"/>
  <c r="U37" i="13"/>
  <c r="F11" i="2" s="1"/>
  <c r="AA37" i="11"/>
  <c r="F9" i="2" s="1"/>
  <c r="O37" i="21"/>
  <c r="F19" i="2" s="1"/>
  <c r="O37" i="5"/>
  <c r="F3" i="2" s="1"/>
  <c r="O37" i="16"/>
  <c r="X37" i="18"/>
  <c r="F16" i="2" s="1"/>
  <c r="O37" i="8"/>
  <c r="F6" i="2" s="1"/>
  <c r="O37" i="14"/>
  <c r="F12" i="2" s="1"/>
  <c r="X37" i="19"/>
  <c r="F17" i="2" s="1"/>
  <c r="C5" i="2"/>
  <c r="O37" i="20"/>
  <c r="F18" i="2" s="1"/>
  <c r="E27" i="2"/>
  <c r="O36" i="37"/>
  <c r="O36" i="33"/>
  <c r="O36" i="38"/>
  <c r="O36" i="44"/>
  <c r="O36" i="41"/>
  <c r="O36" i="39"/>
  <c r="O36" i="43"/>
  <c r="O36" i="35"/>
  <c r="O36" i="28"/>
  <c r="O36" i="31"/>
  <c r="O36" i="26"/>
  <c r="F24" i="2" s="1"/>
  <c r="O36" i="25"/>
  <c r="F23" i="2" s="1"/>
  <c r="O36" i="29"/>
  <c r="O36" i="32"/>
  <c r="O36" i="36"/>
  <c r="O36" i="34"/>
  <c r="O36" i="40"/>
  <c r="F14" i="2" l="1"/>
  <c r="F26" i="2"/>
  <c r="F5" i="2"/>
  <c r="G36" i="27" l="1"/>
  <c r="F36" i="27"/>
  <c r="I36" i="27"/>
  <c r="D36" i="27" l="1"/>
  <c r="F37" i="6"/>
  <c r="I37" i="6"/>
  <c r="L36" i="6" l="1"/>
  <c r="L75" i="6" s="1"/>
  <c r="L76" i="6" s="1"/>
  <c r="C37" i="6"/>
  <c r="C36" i="27" l="1"/>
  <c r="L35" i="27"/>
  <c r="L36" i="27" s="1"/>
  <c r="C25" i="2" s="1"/>
  <c r="O36" i="6"/>
  <c r="L37" i="6"/>
  <c r="C4" i="2" s="1"/>
  <c r="O37" i="6" l="1"/>
  <c r="F4" i="2" s="1"/>
  <c r="J36" i="27"/>
  <c r="M35" i="27"/>
  <c r="O35" i="27" l="1"/>
  <c r="O36" i="27" s="1"/>
  <c r="F25" i="2" s="1"/>
  <c r="M36" i="27"/>
  <c r="D25" i="2" s="1"/>
  <c r="F36" i="42" l="1"/>
  <c r="C36" i="42"/>
  <c r="L6" i="42" l="1"/>
  <c r="L36" i="42" s="1"/>
  <c r="C37" i="24"/>
  <c r="L7" i="24"/>
  <c r="C37" i="23"/>
  <c r="L7" i="23"/>
  <c r="L7" i="15"/>
  <c r="F37" i="15"/>
  <c r="O6" i="42" l="1"/>
  <c r="O36" i="42" s="1"/>
  <c r="L39" i="24"/>
  <c r="L37" i="24"/>
  <c r="O7" i="24"/>
  <c r="O7" i="23"/>
  <c r="L37" i="23"/>
  <c r="C21" i="2" s="1"/>
  <c r="O7" i="15"/>
  <c r="L37" i="15"/>
  <c r="C13" i="2" s="1"/>
  <c r="O37" i="23" l="1"/>
  <c r="F21" i="2" s="1"/>
  <c r="O37" i="24"/>
  <c r="F22" i="2" s="1"/>
  <c r="O37" i="15"/>
  <c r="F13" i="2" s="1"/>
  <c r="C22" i="2"/>
  <c r="L40" i="24"/>
  <c r="I37" i="12" l="1"/>
  <c r="J37" i="12"/>
  <c r="G7" i="12"/>
  <c r="E7" i="12"/>
  <c r="B7" i="12"/>
  <c r="F7" i="12"/>
  <c r="D7" i="12"/>
  <c r="C7" i="12"/>
  <c r="L7" i="12" l="1"/>
  <c r="K7" i="12"/>
  <c r="L36" i="30"/>
  <c r="M7" i="12"/>
  <c r="O7" i="12" l="1"/>
  <c r="O36" i="30"/>
  <c r="C36" i="12"/>
  <c r="C37" i="12" s="1"/>
  <c r="F36" i="12"/>
  <c r="E36" i="12"/>
  <c r="E37" i="12" s="1"/>
  <c r="D36" i="12"/>
  <c r="D37" i="12" s="1"/>
  <c r="G36" i="12"/>
  <c r="G37" i="12" s="1"/>
  <c r="B36" i="12"/>
  <c r="B37" i="12" s="1"/>
  <c r="B36" i="30"/>
  <c r="M36" i="30"/>
  <c r="C36" i="30"/>
  <c r="L36" i="12" l="1"/>
  <c r="L37" i="12" s="1"/>
  <c r="C10" i="2" s="1"/>
  <c r="C27" i="2" s="1"/>
  <c r="D36" i="30"/>
  <c r="F37" i="12"/>
  <c r="F36" i="30"/>
  <c r="K36" i="12"/>
  <c r="M36" i="12"/>
  <c r="M37" i="12" s="1"/>
  <c r="D10" i="2" s="1"/>
  <c r="D27" i="2" s="1"/>
  <c r="O36" i="12" l="1"/>
  <c r="O37" i="12" s="1"/>
  <c r="F10" i="2" s="1"/>
  <c r="F27" i="2" s="1"/>
  <c r="K37" i="12"/>
  <c r="B10" i="2" s="1"/>
  <c r="K36" i="30"/>
  <c r="B27" i="2" l="1"/>
</calcChain>
</file>

<file path=xl/sharedStrings.xml><?xml version="1.0" encoding="utf-8"?>
<sst xmlns="http://schemas.openxmlformats.org/spreadsheetml/2006/main" count="2589" uniqueCount="140">
  <si>
    <t>Comisiones</t>
  </si>
  <si>
    <t>Vendedor:</t>
  </si>
  <si>
    <t>Tica</t>
  </si>
  <si>
    <t>Nica</t>
  </si>
  <si>
    <t>Reventado</t>
  </si>
  <si>
    <t>Sorteo</t>
  </si>
  <si>
    <t>Venta TICA</t>
  </si>
  <si>
    <t>Comision TICA</t>
  </si>
  <si>
    <t>Premio TICA</t>
  </si>
  <si>
    <t>Venta NICA</t>
  </si>
  <si>
    <t>Comision NICA</t>
  </si>
  <si>
    <t>Premios NICA</t>
  </si>
  <si>
    <t>Venta REVENTADO</t>
  </si>
  <si>
    <t>Comisión REVENTADO</t>
  </si>
  <si>
    <t>Premios REVENTADO</t>
  </si>
  <si>
    <t>Venta Total</t>
  </si>
  <si>
    <t>Comision Total</t>
  </si>
  <si>
    <t>Premios TOTAL</t>
  </si>
  <si>
    <t>+Saldos / - Abonos</t>
  </si>
  <si>
    <t>TOTAL</t>
  </si>
  <si>
    <t>Dia 6</t>
  </si>
  <si>
    <t>Dia 7</t>
  </si>
  <si>
    <t>Dia 8</t>
  </si>
  <si>
    <t>Dia 9</t>
  </si>
  <si>
    <t>Dia 10</t>
  </si>
  <si>
    <t>Dia 11</t>
  </si>
  <si>
    <t>Dia 12</t>
  </si>
  <si>
    <t>Dia 13</t>
  </si>
  <si>
    <t>Dia 14</t>
  </si>
  <si>
    <t>Dia 15</t>
  </si>
  <si>
    <t>Dia 16</t>
  </si>
  <si>
    <t>Dia 17</t>
  </si>
  <si>
    <t>Dia 18</t>
  </si>
  <si>
    <t>Dia 19</t>
  </si>
  <si>
    <t>Dia 20</t>
  </si>
  <si>
    <t>Dia 21</t>
  </si>
  <si>
    <t>Dia 22</t>
  </si>
  <si>
    <t>Dia 23</t>
  </si>
  <si>
    <t>Dia 24</t>
  </si>
  <si>
    <t>Dia 25</t>
  </si>
  <si>
    <t>Dia 26</t>
  </si>
  <si>
    <t>Dia 27</t>
  </si>
  <si>
    <t>Dia 28</t>
  </si>
  <si>
    <t>Dia 29</t>
  </si>
  <si>
    <t>Dia 30</t>
  </si>
  <si>
    <t>Dia 31</t>
  </si>
  <si>
    <t>Totales</t>
  </si>
  <si>
    <t>Vendedor</t>
  </si>
  <si>
    <t>TOTALES</t>
  </si>
  <si>
    <t>Dia 1</t>
  </si>
  <si>
    <t>Dia 2</t>
  </si>
  <si>
    <t>Dia 3</t>
  </si>
  <si>
    <t>Dia 4</t>
  </si>
  <si>
    <t>Dia 5</t>
  </si>
  <si>
    <t>PANAS #2</t>
  </si>
  <si>
    <t>YOYO</t>
  </si>
  <si>
    <t>PANAS</t>
  </si>
  <si>
    <t>Vendedor 37</t>
  </si>
  <si>
    <t>Vendedor 35</t>
  </si>
  <si>
    <t>Vendedor 39</t>
  </si>
  <si>
    <t>Vendedor 30</t>
  </si>
  <si>
    <t>Vendedor 21</t>
  </si>
  <si>
    <t>Vendedor 23</t>
  </si>
  <si>
    <t>Vendedor 31</t>
  </si>
  <si>
    <t>Vendedor 32</t>
  </si>
  <si>
    <t>Vendedor 36</t>
  </si>
  <si>
    <t>Vendedor 29</t>
  </si>
  <si>
    <t>Vendedor 38</t>
  </si>
  <si>
    <t>Vendedor 40</t>
  </si>
  <si>
    <t>Vendedor 22</t>
  </si>
  <si>
    <t>Vendedor 27</t>
  </si>
  <si>
    <t>Vendedor 33</t>
  </si>
  <si>
    <t>Vendedor 34</t>
  </si>
  <si>
    <t>Vendedor 28</t>
  </si>
  <si>
    <t>Reposición</t>
  </si>
  <si>
    <t>Comisión a vendedor</t>
  </si>
  <si>
    <t>Ganancia de Ali</t>
  </si>
  <si>
    <t>MARIALIZ</t>
  </si>
  <si>
    <t>VENDEDOR 17</t>
  </si>
  <si>
    <t>VENDEDOR 18</t>
  </si>
  <si>
    <t>VENDEDOR 19</t>
  </si>
  <si>
    <t>VENDEDOR 20</t>
  </si>
  <si>
    <t>Vendedor 16</t>
  </si>
  <si>
    <t>Saldo</t>
  </si>
  <si>
    <t>EDUARDO LICORERA</t>
  </si>
  <si>
    <t>EDUARDO CENTRO</t>
  </si>
  <si>
    <t>VENDEDOR 4</t>
  </si>
  <si>
    <t>PIKIS</t>
  </si>
  <si>
    <t>Primera</t>
  </si>
  <si>
    <t>Venta PRIMERA</t>
  </si>
  <si>
    <t>Comisión PRIMERA</t>
  </si>
  <si>
    <t>Premios PRIMERA</t>
  </si>
  <si>
    <t>Venta PANAMEÑA</t>
  </si>
  <si>
    <t>Comisión PANAMEÑA</t>
  </si>
  <si>
    <t>Premios PANAMEÑA</t>
  </si>
  <si>
    <t>Comisión HONDURAS</t>
  </si>
  <si>
    <t>Venta HONDURAS</t>
  </si>
  <si>
    <t>Premios HONDURAS</t>
  </si>
  <si>
    <t>Venta DOMINICANA</t>
  </si>
  <si>
    <t>Comisión DOMINICANA</t>
  </si>
  <si>
    <t>Premios DOMINICANA</t>
  </si>
  <si>
    <t>Honduras</t>
  </si>
  <si>
    <t>Dominicana</t>
  </si>
  <si>
    <t>Panameña</t>
  </si>
  <si>
    <t>Vendedor 25</t>
  </si>
  <si>
    <t>Puestos ALI RESUMEN ENERO</t>
  </si>
  <si>
    <t>Salarios</t>
  </si>
  <si>
    <t>Ganancia</t>
  </si>
  <si>
    <t>Salarios Listas</t>
  </si>
  <si>
    <t>Subtotal puestos</t>
  </si>
  <si>
    <t>Subtotal Listas</t>
  </si>
  <si>
    <t>Porcentaje Listas</t>
  </si>
  <si>
    <t>No reportado</t>
  </si>
  <si>
    <t>Ir a resumen</t>
  </si>
  <si>
    <t>Puestos ALI</t>
  </si>
  <si>
    <t>ISA MAYO</t>
  </si>
  <si>
    <t>Puesto 3</t>
  </si>
  <si>
    <t>Etiquetas de fila</t>
  </si>
  <si>
    <t>Total general</t>
  </si>
  <si>
    <t>Dia 01</t>
  </si>
  <si>
    <t>Dia 02</t>
  </si>
  <si>
    <t>Dia 04</t>
  </si>
  <si>
    <t>Dia 03</t>
  </si>
  <si>
    <t>Dia 05</t>
  </si>
  <si>
    <t>Dia 06</t>
  </si>
  <si>
    <t>Dia 07</t>
  </si>
  <si>
    <t>Dia 08</t>
  </si>
  <si>
    <t>Dia 09</t>
  </si>
  <si>
    <t>Subtotal_puestos</t>
  </si>
  <si>
    <t>Subtotal_Listas</t>
  </si>
  <si>
    <t>Ganancias</t>
  </si>
  <si>
    <t>Grafico Dinamico</t>
  </si>
  <si>
    <t>Puesto 1</t>
  </si>
  <si>
    <t>Puesto 2</t>
  </si>
  <si>
    <t>MARTA ROSA</t>
  </si>
  <si>
    <t>JUAN FELIX</t>
  </si>
  <si>
    <t>LAURY</t>
  </si>
  <si>
    <t>MINERO</t>
  </si>
  <si>
    <t>Premios Total</t>
  </si>
  <si>
    <t>CHARLY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</si>
</sst>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₡&quot;* #,##0.00_-;\-&quot;₡&quot;* #,##0.00_-;_-&quot;₡&quot;* &quot;-&quot;??_-;_-@_-"/>
    <numFmt numFmtId="164" formatCode="0\ %"/>
    <numFmt numFmtId="165" formatCode="0.0"/>
  </numFmts>
  <fonts count="19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4"/>
      <color rgb="FF000000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u/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  <charset val="1"/>
    </font>
    <font>
      <sz val="11"/>
      <color rgb="FF000000"/>
      <name val="Calibri"/>
      <family val="2"/>
      <charset val="1"/>
    </font>
    <font>
      <b/>
      <sz val="12"/>
      <color rgb="FF000000"/>
      <name val="Calibri"/>
      <family val="2"/>
    </font>
    <font>
      <b/>
      <sz val="11"/>
      <color rgb="FF0070C0"/>
      <name val="Calibri"/>
      <family val="2"/>
    </font>
    <font>
      <b/>
      <sz val="12"/>
      <color rgb="FF0070C0"/>
      <name val="Calibri"/>
      <family val="2"/>
    </font>
    <font>
      <b/>
      <sz val="14"/>
      <color rgb="FF000000"/>
      <name val="Calibri"/>
      <family val="2"/>
    </font>
    <font>
      <sz val="1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FFFF00"/>
        <bgColor rgb="FFFFFF00"/>
      </patternFill>
    </fill>
    <fill>
      <patternFill patternType="solid">
        <fgColor rgb="FFBDD7EE"/>
        <bgColor rgb="FF99CCFF"/>
      </patternFill>
    </fill>
    <fill>
      <patternFill patternType="solid">
        <fgColor rgb="FFE7E6E6"/>
        <bgColor rgb="FFDEEBF7"/>
      </patternFill>
    </fill>
    <fill>
      <patternFill patternType="solid">
        <fgColor theme="0"/>
        <bgColor rgb="FFE7E6E6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 tint="-4.9989318521683403E-2"/>
        <bgColor indexed="64"/>
      </patternFill>
    </fill>
  </fills>
  <borders count="50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">
    <xf numFmtId="0" fontId="0" fillId="0" borderId="0"/>
    <xf numFmtId="0" fontId="7" fillId="0" borderId="0" applyBorder="0" applyProtection="0"/>
    <xf numFmtId="44" fontId="13" fillId="0" borderId="0" applyFont="0" applyFill="0" applyBorder="0" applyAlignment="0" applyProtection="0"/>
  </cellStyleXfs>
  <cellXfs count="145">
    <xf numFmtId="0" fontId="0" fillId="0" borderId="0" xfId="0"/>
    <xf numFmtId="0" fontId="0" fillId="2" borderId="0" xfId="0" applyFill="1"/>
    <xf numFmtId="0" fontId="0" fillId="0" borderId="2" xfId="0" applyBorder="1"/>
    <xf numFmtId="0" fontId="1" fillId="0" borderId="4" xfId="0" applyFont="1" applyBorder="1" applyAlignment="1">
      <alignment horizontal="center"/>
    </xf>
    <xf numFmtId="164" fontId="0" fillId="0" borderId="5" xfId="0" applyNumberFormat="1" applyBorder="1" applyAlignment="1" applyProtection="1">
      <alignment horizontal="center"/>
      <protection locked="0"/>
    </xf>
    <xf numFmtId="0" fontId="1" fillId="3" borderId="1" xfId="0" applyFont="1" applyFill="1" applyBorder="1" applyAlignment="1">
      <alignment horizontal="center" wrapText="1"/>
    </xf>
    <xf numFmtId="0" fontId="1" fillId="3" borderId="6" xfId="0" applyFont="1" applyFill="1" applyBorder="1" applyAlignment="1">
      <alignment horizontal="center" wrapText="1"/>
    </xf>
    <xf numFmtId="0" fontId="1" fillId="3" borderId="7" xfId="0" applyFont="1" applyFill="1" applyBorder="1" applyAlignment="1">
      <alignment horizontal="center" wrapText="1"/>
    </xf>
    <xf numFmtId="0" fontId="1" fillId="3" borderId="8" xfId="0" applyFont="1" applyFill="1" applyBorder="1" applyAlignment="1">
      <alignment horizontal="center" wrapText="1"/>
    </xf>
    <xf numFmtId="0" fontId="1" fillId="3" borderId="4" xfId="0" applyFont="1" applyFill="1" applyBorder="1" applyAlignment="1">
      <alignment horizontal="center" wrapText="1"/>
    </xf>
    <xf numFmtId="0" fontId="1" fillId="3" borderId="5" xfId="0" applyFont="1" applyFill="1" applyBorder="1" applyAlignment="1">
      <alignment horizontal="center" wrapText="1"/>
    </xf>
    <xf numFmtId="0" fontId="1" fillId="3" borderId="9" xfId="0" applyFont="1" applyFill="1" applyBorder="1" applyAlignment="1">
      <alignment horizontal="center" wrapText="1"/>
    </xf>
    <xf numFmtId="0" fontId="1" fillId="3" borderId="10" xfId="0" applyFont="1" applyFill="1" applyBorder="1" applyAlignment="1">
      <alignment horizontal="center" wrapText="1"/>
    </xf>
    <xf numFmtId="0" fontId="0" fillId="3" borderId="11" xfId="0" applyFill="1" applyBorder="1"/>
    <xf numFmtId="2" fontId="0" fillId="0" borderId="12" xfId="0" applyNumberFormat="1" applyBorder="1" applyProtection="1">
      <protection locked="0"/>
    </xf>
    <xf numFmtId="2" fontId="0" fillId="0" borderId="13" xfId="0" applyNumberFormat="1" applyBorder="1"/>
    <xf numFmtId="2" fontId="0" fillId="0" borderId="14" xfId="0" applyNumberFormat="1" applyBorder="1"/>
    <xf numFmtId="2" fontId="0" fillId="0" borderId="15" xfId="0" applyNumberFormat="1" applyBorder="1"/>
    <xf numFmtId="2" fontId="0" fillId="0" borderId="16" xfId="0" applyNumberFormat="1" applyBorder="1"/>
    <xf numFmtId="2" fontId="0" fillId="0" borderId="12" xfId="0" applyNumberFormat="1" applyBorder="1"/>
    <xf numFmtId="0" fontId="0" fillId="3" borderId="17" xfId="0" applyFill="1" applyBorder="1"/>
    <xf numFmtId="2" fontId="0" fillId="0" borderId="18" xfId="0" applyNumberFormat="1" applyBorder="1" applyProtection="1">
      <protection locked="0"/>
    </xf>
    <xf numFmtId="2" fontId="0" fillId="0" borderId="19" xfId="0" applyNumberFormat="1" applyBorder="1"/>
    <xf numFmtId="2" fontId="0" fillId="0" borderId="20" xfId="0" applyNumberFormat="1" applyBorder="1"/>
    <xf numFmtId="2" fontId="0" fillId="0" borderId="21" xfId="0" applyNumberFormat="1" applyBorder="1"/>
    <xf numFmtId="2" fontId="0" fillId="0" borderId="22" xfId="0" applyNumberFormat="1" applyBorder="1"/>
    <xf numFmtId="2" fontId="0" fillId="0" borderId="18" xfId="0" applyNumberFormat="1" applyBorder="1"/>
    <xf numFmtId="2" fontId="1" fillId="3" borderId="6" xfId="0" applyNumberFormat="1" applyFont="1" applyFill="1" applyBorder="1" applyAlignment="1">
      <alignment horizontal="center" wrapText="1"/>
    </xf>
    <xf numFmtId="2" fontId="1" fillId="3" borderId="7" xfId="0" applyNumberFormat="1" applyFont="1" applyFill="1" applyBorder="1" applyAlignment="1">
      <alignment horizontal="center" wrapText="1"/>
    </xf>
    <xf numFmtId="2" fontId="1" fillId="3" borderId="8" xfId="0" applyNumberFormat="1" applyFont="1" applyFill="1" applyBorder="1" applyAlignment="1">
      <alignment horizontal="center" wrapText="1"/>
    </xf>
    <xf numFmtId="2" fontId="1" fillId="3" borderId="4" xfId="0" applyNumberFormat="1" applyFont="1" applyFill="1" applyBorder="1" applyAlignment="1">
      <alignment horizontal="center" wrapText="1"/>
    </xf>
    <xf numFmtId="2" fontId="1" fillId="3" borderId="5" xfId="0" applyNumberFormat="1" applyFont="1" applyFill="1" applyBorder="1" applyAlignment="1">
      <alignment horizontal="center" wrapText="1"/>
    </xf>
    <xf numFmtId="2" fontId="1" fillId="3" borderId="23" xfId="0" applyNumberFormat="1" applyFont="1" applyFill="1" applyBorder="1" applyAlignment="1">
      <alignment horizontal="center" wrapText="1"/>
    </xf>
    <xf numFmtId="2" fontId="3" fillId="4" borderId="24" xfId="0" applyNumberFormat="1" applyFont="1" applyFill="1" applyBorder="1" applyAlignment="1">
      <alignment horizontal="center" wrapText="1"/>
    </xf>
    <xf numFmtId="0" fontId="4" fillId="2" borderId="0" xfId="0" applyFont="1" applyFill="1"/>
    <xf numFmtId="0" fontId="5" fillId="3" borderId="2" xfId="0" applyFont="1" applyFill="1" applyBorder="1" applyAlignment="1">
      <alignment horizontal="center" wrapText="1"/>
    </xf>
    <xf numFmtId="0" fontId="5" fillId="3" borderId="6" xfId="0" applyFont="1" applyFill="1" applyBorder="1" applyAlignment="1">
      <alignment horizontal="center" wrapText="1"/>
    </xf>
    <xf numFmtId="0" fontId="5" fillId="3" borderId="7" xfId="0" applyFont="1" applyFill="1" applyBorder="1" applyAlignment="1">
      <alignment horizontal="center" wrapText="1"/>
    </xf>
    <xf numFmtId="0" fontId="6" fillId="3" borderId="8" xfId="0" applyFont="1" applyFill="1" applyBorder="1" applyAlignment="1">
      <alignment horizontal="center" wrapText="1"/>
    </xf>
    <xf numFmtId="0" fontId="5" fillId="5" borderId="1" xfId="0" applyFont="1" applyFill="1" applyBorder="1" applyAlignment="1">
      <alignment horizontal="center" wrapText="1"/>
    </xf>
    <xf numFmtId="0" fontId="4" fillId="2" borderId="0" xfId="0" applyFont="1" applyFill="1" applyAlignment="1">
      <alignment wrapText="1"/>
    </xf>
    <xf numFmtId="0" fontId="8" fillId="0" borderId="25" xfId="1" applyFont="1" applyBorder="1" applyProtection="1"/>
    <xf numFmtId="2" fontId="4" fillId="0" borderId="13" xfId="0" applyNumberFormat="1" applyFont="1" applyBorder="1"/>
    <xf numFmtId="2" fontId="4" fillId="0" borderId="14" xfId="0" applyNumberFormat="1" applyFont="1" applyBorder="1"/>
    <xf numFmtId="165" fontId="4" fillId="0" borderId="16" xfId="0" applyNumberFormat="1" applyFont="1" applyBorder="1"/>
    <xf numFmtId="165" fontId="4" fillId="6" borderId="11" xfId="0" applyNumberFormat="1" applyFont="1" applyFill="1" applyBorder="1"/>
    <xf numFmtId="0" fontId="8" fillId="0" borderId="28" xfId="1" applyFont="1" applyBorder="1" applyProtection="1"/>
    <xf numFmtId="2" fontId="4" fillId="2" borderId="0" xfId="0" applyNumberFormat="1" applyFont="1" applyFill="1"/>
    <xf numFmtId="0" fontId="9" fillId="3" borderId="29" xfId="0" applyFont="1" applyFill="1" applyBorder="1"/>
    <xf numFmtId="165" fontId="5" fillId="3" borderId="31" xfId="0" applyNumberFormat="1" applyFont="1" applyFill="1" applyBorder="1"/>
    <xf numFmtId="165" fontId="5" fillId="3" borderId="23" xfId="0" applyNumberFormat="1" applyFont="1" applyFill="1" applyBorder="1"/>
    <xf numFmtId="165" fontId="5" fillId="3" borderId="32" xfId="0" applyNumberFormat="1" applyFont="1" applyFill="1" applyBorder="1"/>
    <xf numFmtId="165" fontId="5" fillId="5" borderId="33" xfId="0" applyNumberFormat="1" applyFont="1" applyFill="1" applyBorder="1"/>
    <xf numFmtId="2" fontId="0" fillId="0" borderId="34" xfId="0" applyNumberFormat="1" applyBorder="1" applyProtection="1">
      <protection locked="0"/>
    </xf>
    <xf numFmtId="2" fontId="0" fillId="0" borderId="36" xfId="0" applyNumberFormat="1" applyBorder="1"/>
    <xf numFmtId="2" fontId="0" fillId="0" borderId="37" xfId="0" applyNumberFormat="1" applyBorder="1"/>
    <xf numFmtId="0" fontId="1" fillId="3" borderId="38" xfId="0" applyFont="1" applyFill="1" applyBorder="1" applyAlignment="1">
      <alignment horizontal="center" wrapText="1"/>
    </xf>
    <xf numFmtId="0" fontId="1" fillId="3" borderId="39" xfId="0" applyFont="1" applyFill="1" applyBorder="1" applyAlignment="1">
      <alignment horizontal="center" wrapText="1"/>
    </xf>
    <xf numFmtId="2" fontId="0" fillId="0" borderId="35" xfId="0" applyNumberFormat="1" applyBorder="1"/>
    <xf numFmtId="2" fontId="0" fillId="0" borderId="34" xfId="0" applyNumberFormat="1" applyBorder="1"/>
    <xf numFmtId="2" fontId="1" fillId="3" borderId="30" xfId="0" applyNumberFormat="1" applyFont="1" applyFill="1" applyBorder="1" applyAlignment="1">
      <alignment horizontal="center" wrapText="1"/>
    </xf>
    <xf numFmtId="2" fontId="0" fillId="0" borderId="40" xfId="0" applyNumberFormat="1" applyBorder="1"/>
    <xf numFmtId="2" fontId="0" fillId="2" borderId="0" xfId="0" applyNumberFormat="1" applyFill="1"/>
    <xf numFmtId="0" fontId="1" fillId="2" borderId="0" xfId="0" applyFont="1" applyFill="1"/>
    <xf numFmtId="2" fontId="3" fillId="4" borderId="5" xfId="0" applyNumberFormat="1" applyFont="1" applyFill="1" applyBorder="1" applyAlignment="1">
      <alignment horizontal="center" wrapText="1"/>
    </xf>
    <xf numFmtId="0" fontId="0" fillId="7" borderId="43" xfId="0" applyFill="1" applyBorder="1"/>
    <xf numFmtId="2" fontId="0" fillId="7" borderId="45" xfId="0" applyNumberFormat="1" applyFill="1" applyBorder="1"/>
    <xf numFmtId="0" fontId="1" fillId="3" borderId="46" xfId="0" applyFont="1" applyFill="1" applyBorder="1" applyAlignment="1">
      <alignment horizontal="center" wrapText="1"/>
    </xf>
    <xf numFmtId="0" fontId="1" fillId="3" borderId="47" xfId="0" applyFont="1" applyFill="1" applyBorder="1" applyAlignment="1">
      <alignment horizontal="center" wrapText="1"/>
    </xf>
    <xf numFmtId="0" fontId="1" fillId="0" borderId="9" xfId="0" applyFont="1" applyBorder="1" applyAlignment="1">
      <alignment horizontal="center" wrapText="1"/>
    </xf>
    <xf numFmtId="0" fontId="1" fillId="0" borderId="10" xfId="0" applyFont="1" applyBorder="1" applyAlignment="1">
      <alignment horizontal="center" wrapText="1"/>
    </xf>
    <xf numFmtId="164" fontId="10" fillId="0" borderId="5" xfId="0" applyNumberFormat="1" applyFont="1" applyBorder="1" applyAlignment="1" applyProtection="1">
      <alignment horizontal="center"/>
      <protection locked="0"/>
    </xf>
    <xf numFmtId="9" fontId="11" fillId="0" borderId="1" xfId="0" applyNumberFormat="1" applyFont="1" applyBorder="1" applyAlignment="1">
      <alignment horizontal="center"/>
    </xf>
    <xf numFmtId="2" fontId="1" fillId="3" borderId="24" xfId="0" applyNumberFormat="1" applyFont="1" applyFill="1" applyBorder="1" applyAlignment="1">
      <alignment horizontal="center" wrapText="1"/>
    </xf>
    <xf numFmtId="2" fontId="0" fillId="0" borderId="26" xfId="0" applyNumberFormat="1" applyBorder="1"/>
    <xf numFmtId="2" fontId="0" fillId="0" borderId="27" xfId="0" applyNumberFormat="1" applyBorder="1"/>
    <xf numFmtId="0" fontId="0" fillId="0" borderId="0" xfId="0" applyFill="1"/>
    <xf numFmtId="2" fontId="1" fillId="3" borderId="31" xfId="0" applyNumberFormat="1" applyFont="1" applyFill="1" applyBorder="1" applyAlignment="1">
      <alignment horizontal="center" wrapText="1"/>
    </xf>
    <xf numFmtId="2" fontId="1" fillId="3" borderId="32" xfId="0" applyNumberFormat="1" applyFont="1" applyFill="1" applyBorder="1" applyAlignment="1">
      <alignment horizontal="center" wrapText="1"/>
    </xf>
    <xf numFmtId="0" fontId="0" fillId="3" borderId="25" xfId="0" applyFill="1" applyBorder="1"/>
    <xf numFmtId="0" fontId="0" fillId="3" borderId="28" xfId="0" applyFill="1" applyBorder="1"/>
    <xf numFmtId="2" fontId="0" fillId="0" borderId="13" xfId="0" applyNumberFormat="1" applyBorder="1" applyProtection="1">
      <protection locked="0"/>
    </xf>
    <xf numFmtId="2" fontId="0" fillId="0" borderId="15" xfId="0" applyNumberFormat="1" applyBorder="1" applyProtection="1">
      <protection locked="0"/>
    </xf>
    <xf numFmtId="2" fontId="0" fillId="0" borderId="19" xfId="0" applyNumberFormat="1" applyBorder="1" applyProtection="1">
      <protection locked="0"/>
    </xf>
    <xf numFmtId="2" fontId="0" fillId="0" borderId="21" xfId="0" applyNumberFormat="1" applyBorder="1" applyProtection="1">
      <protection locked="0"/>
    </xf>
    <xf numFmtId="2" fontId="0" fillId="0" borderId="14" xfId="0" applyNumberFormat="1" applyBorder="1" applyProtection="1">
      <protection locked="0"/>
    </xf>
    <xf numFmtId="2" fontId="0" fillId="0" borderId="20" xfId="0" applyNumberFormat="1" applyBorder="1" applyProtection="1">
      <protection locked="0"/>
    </xf>
    <xf numFmtId="2" fontId="0" fillId="0" borderId="35" xfId="0" applyNumberFormat="1" applyBorder="1" applyProtection="1">
      <protection locked="0"/>
    </xf>
    <xf numFmtId="2" fontId="0" fillId="0" borderId="37" xfId="0" applyNumberFormat="1" applyBorder="1" applyProtection="1">
      <protection locked="0"/>
    </xf>
    <xf numFmtId="2" fontId="0" fillId="0" borderId="36" xfId="0" applyNumberFormat="1" applyBorder="1" applyProtection="1">
      <protection locked="0"/>
    </xf>
    <xf numFmtId="2" fontId="0" fillId="0" borderId="49" xfId="0" applyNumberFormat="1" applyBorder="1"/>
    <xf numFmtId="0" fontId="1" fillId="3" borderId="42" xfId="0" applyFont="1" applyFill="1" applyBorder="1" applyAlignment="1">
      <alignment horizontal="center" wrapText="1"/>
    </xf>
    <xf numFmtId="0" fontId="1" fillId="8" borderId="0" xfId="0" applyFont="1" applyFill="1" applyBorder="1" applyAlignment="1">
      <alignment horizontal="center" wrapText="1"/>
    </xf>
    <xf numFmtId="2" fontId="0" fillId="8" borderId="0" xfId="0" applyNumberFormat="1" applyFill="1" applyBorder="1"/>
    <xf numFmtId="2" fontId="1" fillId="8" borderId="0" xfId="0" applyNumberFormat="1" applyFont="1" applyFill="1" applyBorder="1" applyAlignment="1">
      <alignment horizontal="center" wrapText="1"/>
    </xf>
    <xf numFmtId="2" fontId="3" fillId="8" borderId="0" xfId="0" applyNumberFormat="1" applyFont="1" applyFill="1" applyBorder="1" applyAlignment="1">
      <alignment horizontal="center" wrapText="1"/>
    </xf>
    <xf numFmtId="0" fontId="0" fillId="9" borderId="0" xfId="0" applyFill="1" applyBorder="1"/>
    <xf numFmtId="2" fontId="0" fillId="9" borderId="0" xfId="0" applyNumberFormat="1" applyFill="1" applyBorder="1"/>
    <xf numFmtId="2" fontId="10" fillId="9" borderId="0" xfId="0" applyNumberFormat="1" applyFont="1" applyFill="1" applyBorder="1"/>
    <xf numFmtId="44" fontId="0" fillId="0" borderId="34" xfId="2" applyFont="1" applyBorder="1" applyProtection="1">
      <protection locked="0"/>
    </xf>
    <xf numFmtId="44" fontId="0" fillId="0" borderId="35" xfId="2" applyFont="1" applyBorder="1"/>
    <xf numFmtId="44" fontId="0" fillId="0" borderId="37" xfId="2" applyFont="1" applyBorder="1"/>
    <xf numFmtId="44" fontId="0" fillId="0" borderId="12" xfId="2" applyFont="1" applyBorder="1" applyProtection="1">
      <protection locked="0"/>
    </xf>
    <xf numFmtId="44" fontId="0" fillId="0" borderId="13" xfId="2" applyFont="1" applyBorder="1"/>
    <xf numFmtId="44" fontId="0" fillId="0" borderId="15" xfId="2" applyFont="1" applyBorder="1"/>
    <xf numFmtId="44" fontId="0" fillId="0" borderId="13" xfId="2" applyFont="1" applyBorder="1" applyProtection="1">
      <protection locked="0"/>
    </xf>
    <xf numFmtId="44" fontId="0" fillId="0" borderId="15" xfId="2" applyFont="1" applyBorder="1" applyProtection="1">
      <protection locked="0"/>
    </xf>
    <xf numFmtId="44" fontId="0" fillId="0" borderId="18" xfId="2" applyFont="1" applyBorder="1" applyProtection="1">
      <protection locked="0"/>
    </xf>
    <xf numFmtId="44" fontId="0" fillId="0" borderId="19" xfId="2" applyFont="1" applyBorder="1" applyProtection="1">
      <protection locked="0"/>
    </xf>
    <xf numFmtId="44" fontId="0" fillId="0" borderId="21" xfId="2" applyFont="1" applyBorder="1" applyProtection="1">
      <protection locked="0"/>
    </xf>
    <xf numFmtId="0" fontId="14" fillId="3" borderId="1" xfId="0" applyFont="1" applyFill="1" applyBorder="1" applyAlignment="1">
      <alignment horizontal="center" wrapText="1"/>
    </xf>
    <xf numFmtId="44" fontId="10" fillId="0" borderId="37" xfId="2" applyFont="1" applyBorder="1"/>
    <xf numFmtId="44" fontId="10" fillId="0" borderId="15" xfId="2" applyFont="1" applyBorder="1"/>
    <xf numFmtId="44" fontId="10" fillId="0" borderId="15" xfId="2" applyFont="1" applyBorder="1" applyProtection="1">
      <protection locked="0"/>
    </xf>
    <xf numFmtId="44" fontId="10" fillId="0" borderId="21" xfId="2" applyFont="1" applyBorder="1" applyProtection="1">
      <protection locked="0"/>
    </xf>
    <xf numFmtId="44" fontId="15" fillId="10" borderId="37" xfId="2" applyFont="1" applyFill="1" applyBorder="1"/>
    <xf numFmtId="44" fontId="15" fillId="10" borderId="15" xfId="2" applyFont="1" applyFill="1" applyBorder="1"/>
    <xf numFmtId="44" fontId="15" fillId="10" borderId="15" xfId="2" applyFont="1" applyFill="1" applyBorder="1" applyProtection="1">
      <protection locked="0"/>
    </xf>
    <xf numFmtId="44" fontId="15" fillId="10" borderId="21" xfId="2" applyFont="1" applyFill="1" applyBorder="1" applyProtection="1">
      <protection locked="0"/>
    </xf>
    <xf numFmtId="44" fontId="14" fillId="3" borderId="6" xfId="2" applyFont="1" applyFill="1" applyBorder="1" applyAlignment="1">
      <alignment horizontal="center" wrapText="1"/>
    </xf>
    <xf numFmtId="44" fontId="14" fillId="3" borderId="7" xfId="2" applyFont="1" applyFill="1" applyBorder="1" applyAlignment="1">
      <alignment horizontal="center" wrapText="1"/>
    </xf>
    <xf numFmtId="44" fontId="14" fillId="3" borderId="5" xfId="2" applyFont="1" applyFill="1" applyBorder="1" applyAlignment="1">
      <alignment horizontal="center" wrapText="1"/>
    </xf>
    <xf numFmtId="44" fontId="16" fillId="3" borderId="5" xfId="2" applyFont="1" applyFill="1" applyBorder="1" applyAlignment="1">
      <alignment horizontal="center" wrapText="1"/>
    </xf>
    <xf numFmtId="0" fontId="17" fillId="3" borderId="1" xfId="0" applyFont="1" applyFill="1" applyBorder="1" applyAlignment="1">
      <alignment horizontal="center" wrapText="1"/>
    </xf>
    <xf numFmtId="0" fontId="17" fillId="3" borderId="6" xfId="0" applyFont="1" applyFill="1" applyBorder="1" applyAlignment="1">
      <alignment horizontal="center" wrapText="1"/>
    </xf>
    <xf numFmtId="0" fontId="17" fillId="3" borderId="7" xfId="0" applyFont="1" applyFill="1" applyBorder="1" applyAlignment="1">
      <alignment horizontal="center" wrapText="1"/>
    </xf>
    <xf numFmtId="0" fontId="17" fillId="3" borderId="5" xfId="0" applyFont="1" applyFill="1" applyBorder="1" applyAlignment="1">
      <alignment horizontal="center" wrapText="1"/>
    </xf>
    <xf numFmtId="44" fontId="18" fillId="0" borderId="37" xfId="2" applyFont="1" applyBorder="1"/>
    <xf numFmtId="44" fontId="18" fillId="10" borderId="15" xfId="2" applyFont="1" applyFill="1" applyBorder="1"/>
    <xf numFmtId="44" fontId="18" fillId="10" borderId="15" xfId="2" applyFont="1" applyFill="1" applyBorder="1" applyProtection="1">
      <protection locked="0"/>
    </xf>
    <xf numFmtId="44" fontId="18" fillId="10" borderId="21" xfId="2" applyFont="1" applyFill="1" applyBorder="1" applyProtection="1"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0" borderId="2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0" borderId="3" xfId="0" applyFont="1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center"/>
    </xf>
    <xf numFmtId="0" fontId="2" fillId="0" borderId="48" xfId="0" applyFont="1" applyBorder="1" applyAlignment="1" applyProtection="1">
      <alignment horizontal="center"/>
      <protection locked="0"/>
    </xf>
    <xf numFmtId="0" fontId="0" fillId="7" borderId="41" xfId="0" applyFill="1" applyBorder="1" applyAlignment="1">
      <alignment horizontal="right"/>
    </xf>
    <xf numFmtId="0" fontId="0" fillId="7" borderId="42" xfId="0" applyFill="1" applyBorder="1" applyAlignment="1">
      <alignment horizontal="right"/>
    </xf>
    <xf numFmtId="0" fontId="0" fillId="7" borderId="29" xfId="0" applyFill="1" applyBorder="1" applyAlignment="1">
      <alignment horizontal="right"/>
    </xf>
    <xf numFmtId="0" fontId="0" fillId="7" borderId="44" xfId="0" applyFill="1" applyBorder="1" applyAlignment="1">
      <alignment horizontal="right"/>
    </xf>
    <xf numFmtId="0" fontId="0" fillId="9" borderId="0" xfId="0" applyFill="1" applyBorder="1" applyAlignment="1">
      <alignment horizontal="right"/>
    </xf>
  </cellXfs>
  <cellStyles count="3">
    <cellStyle name="Hipervínculo" xfId="1" builtinId="8"/>
    <cellStyle name="Moneda" xfId="2" builtinId="4"/>
    <cellStyle name="Normal" xfId="0" builtinId="0"/>
  </cellStyles>
  <dxfs count="4">
    <dxf>
      <font>
        <b/>
        <i/>
        <strike val="0"/>
        <color rgb="FFFFFF00"/>
      </font>
      <fill>
        <patternFill>
          <bgColor rgb="FFFF0000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5.xml"/><Relationship Id="rId21" Type="http://schemas.openxmlformats.org/officeDocument/2006/relationships/worksheet" Target="worksheets/sheet20.xml"/><Relationship Id="rId42" Type="http://schemas.openxmlformats.org/officeDocument/2006/relationships/worksheet" Target="worksheets/sheet41.xml"/><Relationship Id="rId47" Type="http://schemas.openxmlformats.org/officeDocument/2006/relationships/worksheet" Target="worksheets/sheet46.xml"/><Relationship Id="rId63" Type="http://schemas.openxmlformats.org/officeDocument/2006/relationships/externalLink" Target="externalLinks/externalLink16.xml"/><Relationship Id="rId68" Type="http://schemas.openxmlformats.org/officeDocument/2006/relationships/externalLink" Target="externalLinks/externalLink21.xml"/><Relationship Id="rId84" Type="http://schemas.microsoft.com/office/2006/relationships/vbaProject" Target="vbaProject.bin"/><Relationship Id="rId16" Type="http://schemas.openxmlformats.org/officeDocument/2006/relationships/worksheet" Target="worksheets/sheet15.xml"/><Relationship Id="rId11" Type="http://schemas.openxmlformats.org/officeDocument/2006/relationships/worksheet" Target="worksheets/sheet10.xml"/><Relationship Id="rId32" Type="http://schemas.openxmlformats.org/officeDocument/2006/relationships/worksheet" Target="worksheets/sheet31.xml"/><Relationship Id="rId37" Type="http://schemas.openxmlformats.org/officeDocument/2006/relationships/worksheet" Target="worksheets/sheet36.xml"/><Relationship Id="rId53" Type="http://schemas.openxmlformats.org/officeDocument/2006/relationships/externalLink" Target="externalLinks/externalLink6.xml"/><Relationship Id="rId58" Type="http://schemas.openxmlformats.org/officeDocument/2006/relationships/externalLink" Target="externalLinks/externalLink11.xml"/><Relationship Id="rId74" Type="http://schemas.openxmlformats.org/officeDocument/2006/relationships/externalLink" Target="externalLinks/externalLink27.xml"/><Relationship Id="rId79" Type="http://schemas.openxmlformats.org/officeDocument/2006/relationships/pivotCacheDefinition" Target="pivotCache/pivotCacheDefinition1.xml"/><Relationship Id="rId5" Type="http://schemas.openxmlformats.org/officeDocument/2006/relationships/chartsheet" Target="chartsheets/sheet1.xml"/><Relationship Id="rId61" Type="http://schemas.openxmlformats.org/officeDocument/2006/relationships/externalLink" Target="externalLinks/externalLink14.xml"/><Relationship Id="rId82" Type="http://schemas.openxmlformats.org/officeDocument/2006/relationships/sharedStrings" Target="sharedStrings.xml"/><Relationship Id="rId19" Type="http://schemas.openxmlformats.org/officeDocument/2006/relationships/worksheet" Target="worksheets/sheet18.xml"/><Relationship Id="rId14" Type="http://schemas.openxmlformats.org/officeDocument/2006/relationships/worksheet" Target="worksheets/sheet13.xml"/><Relationship Id="rId22" Type="http://schemas.openxmlformats.org/officeDocument/2006/relationships/worksheet" Target="worksheets/sheet21.xml"/><Relationship Id="rId27" Type="http://schemas.openxmlformats.org/officeDocument/2006/relationships/worksheet" Target="worksheets/sheet26.xml"/><Relationship Id="rId30" Type="http://schemas.openxmlformats.org/officeDocument/2006/relationships/worksheet" Target="worksheets/sheet29.xml"/><Relationship Id="rId35" Type="http://schemas.openxmlformats.org/officeDocument/2006/relationships/worksheet" Target="worksheets/sheet34.xml"/><Relationship Id="rId43" Type="http://schemas.openxmlformats.org/officeDocument/2006/relationships/worksheet" Target="worksheets/sheet42.xml"/><Relationship Id="rId48" Type="http://schemas.openxmlformats.org/officeDocument/2006/relationships/externalLink" Target="externalLinks/externalLink1.xml"/><Relationship Id="rId56" Type="http://schemas.openxmlformats.org/officeDocument/2006/relationships/externalLink" Target="externalLinks/externalLink9.xml"/><Relationship Id="rId64" Type="http://schemas.openxmlformats.org/officeDocument/2006/relationships/externalLink" Target="externalLinks/externalLink17.xml"/><Relationship Id="rId69" Type="http://schemas.openxmlformats.org/officeDocument/2006/relationships/externalLink" Target="externalLinks/externalLink22.xml"/><Relationship Id="rId77" Type="http://schemas.openxmlformats.org/officeDocument/2006/relationships/externalLink" Target="externalLinks/externalLink30.xml"/><Relationship Id="rId8" Type="http://schemas.openxmlformats.org/officeDocument/2006/relationships/worksheet" Target="worksheets/sheet7.xml"/><Relationship Id="rId51" Type="http://schemas.openxmlformats.org/officeDocument/2006/relationships/externalLink" Target="externalLinks/externalLink4.xml"/><Relationship Id="rId72" Type="http://schemas.openxmlformats.org/officeDocument/2006/relationships/externalLink" Target="externalLinks/externalLink25.xml"/><Relationship Id="rId80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worksheet" Target="worksheets/sheet24.xml"/><Relationship Id="rId33" Type="http://schemas.openxmlformats.org/officeDocument/2006/relationships/worksheet" Target="worksheets/sheet32.xml"/><Relationship Id="rId38" Type="http://schemas.openxmlformats.org/officeDocument/2006/relationships/worksheet" Target="worksheets/sheet37.xml"/><Relationship Id="rId46" Type="http://schemas.openxmlformats.org/officeDocument/2006/relationships/worksheet" Target="worksheets/sheet45.xml"/><Relationship Id="rId59" Type="http://schemas.openxmlformats.org/officeDocument/2006/relationships/externalLink" Target="externalLinks/externalLink12.xml"/><Relationship Id="rId67" Type="http://schemas.openxmlformats.org/officeDocument/2006/relationships/externalLink" Target="externalLinks/externalLink20.xml"/><Relationship Id="rId20" Type="http://schemas.openxmlformats.org/officeDocument/2006/relationships/worksheet" Target="worksheets/sheet19.xml"/><Relationship Id="rId41" Type="http://schemas.openxmlformats.org/officeDocument/2006/relationships/worksheet" Target="worksheets/sheet40.xml"/><Relationship Id="rId54" Type="http://schemas.openxmlformats.org/officeDocument/2006/relationships/externalLink" Target="externalLinks/externalLink7.xml"/><Relationship Id="rId62" Type="http://schemas.openxmlformats.org/officeDocument/2006/relationships/externalLink" Target="externalLinks/externalLink15.xml"/><Relationship Id="rId70" Type="http://schemas.openxmlformats.org/officeDocument/2006/relationships/externalLink" Target="externalLinks/externalLink23.xml"/><Relationship Id="rId75" Type="http://schemas.openxmlformats.org/officeDocument/2006/relationships/externalLink" Target="externalLinks/externalLink28.xml"/><Relationship Id="rId83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23" Type="http://schemas.openxmlformats.org/officeDocument/2006/relationships/worksheet" Target="worksheets/sheet22.xml"/><Relationship Id="rId28" Type="http://schemas.openxmlformats.org/officeDocument/2006/relationships/worksheet" Target="worksheets/sheet27.xml"/><Relationship Id="rId36" Type="http://schemas.openxmlformats.org/officeDocument/2006/relationships/worksheet" Target="worksheets/sheet35.xml"/><Relationship Id="rId49" Type="http://schemas.openxmlformats.org/officeDocument/2006/relationships/externalLink" Target="externalLinks/externalLink2.xml"/><Relationship Id="rId57" Type="http://schemas.openxmlformats.org/officeDocument/2006/relationships/externalLink" Target="externalLinks/externalLink10.xml"/><Relationship Id="rId10" Type="http://schemas.openxmlformats.org/officeDocument/2006/relationships/worksheet" Target="worksheets/sheet9.xml"/><Relationship Id="rId31" Type="http://schemas.openxmlformats.org/officeDocument/2006/relationships/worksheet" Target="worksheets/sheet30.xml"/><Relationship Id="rId44" Type="http://schemas.openxmlformats.org/officeDocument/2006/relationships/worksheet" Target="worksheets/sheet43.xml"/><Relationship Id="rId52" Type="http://schemas.openxmlformats.org/officeDocument/2006/relationships/externalLink" Target="externalLinks/externalLink5.xml"/><Relationship Id="rId60" Type="http://schemas.openxmlformats.org/officeDocument/2006/relationships/externalLink" Target="externalLinks/externalLink13.xml"/><Relationship Id="rId65" Type="http://schemas.openxmlformats.org/officeDocument/2006/relationships/externalLink" Target="externalLinks/externalLink18.xml"/><Relationship Id="rId73" Type="http://schemas.openxmlformats.org/officeDocument/2006/relationships/externalLink" Target="externalLinks/externalLink26.xml"/><Relationship Id="rId78" Type="http://schemas.openxmlformats.org/officeDocument/2006/relationships/externalLink" Target="externalLinks/externalLink31.xml"/><Relationship Id="rId8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39" Type="http://schemas.openxmlformats.org/officeDocument/2006/relationships/worksheet" Target="worksheets/sheet38.xml"/><Relationship Id="rId34" Type="http://schemas.openxmlformats.org/officeDocument/2006/relationships/worksheet" Target="worksheets/sheet33.xml"/><Relationship Id="rId50" Type="http://schemas.openxmlformats.org/officeDocument/2006/relationships/externalLink" Target="externalLinks/externalLink3.xml"/><Relationship Id="rId55" Type="http://schemas.openxmlformats.org/officeDocument/2006/relationships/externalLink" Target="externalLinks/externalLink8.xml"/><Relationship Id="rId76" Type="http://schemas.openxmlformats.org/officeDocument/2006/relationships/externalLink" Target="externalLinks/externalLink29.xml"/><Relationship Id="rId7" Type="http://schemas.openxmlformats.org/officeDocument/2006/relationships/worksheet" Target="worksheets/sheet6.xml"/><Relationship Id="rId71" Type="http://schemas.openxmlformats.org/officeDocument/2006/relationships/externalLink" Target="externalLinks/externalLink2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8.xml"/><Relationship Id="rId24" Type="http://schemas.openxmlformats.org/officeDocument/2006/relationships/worksheet" Target="worksheets/sheet23.xml"/><Relationship Id="rId40" Type="http://schemas.openxmlformats.org/officeDocument/2006/relationships/worksheet" Target="worksheets/sheet39.xml"/><Relationship Id="rId45" Type="http://schemas.openxmlformats.org/officeDocument/2006/relationships/worksheet" Target="worksheets/sheet44.xml"/><Relationship Id="rId66" Type="http://schemas.openxmlformats.org/officeDocument/2006/relationships/externalLink" Target="externalLinks/externalLink1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600" b="1" i="0" u="none" strike="noStrike" kern="1200" cap="none" spc="0" normalizeH="0" baseline="0">
                <a:solidFill>
                  <a:srgbClr val="00B050"/>
                </a:solidFill>
                <a:latin typeface="+mj-lt"/>
                <a:ea typeface="+mj-ea"/>
                <a:cs typeface="+mj-cs"/>
              </a:defRPr>
            </a:pPr>
            <a:r>
              <a:rPr lang="es-CR" sz="3600" b="1" i="0">
                <a:solidFill>
                  <a:srgbClr val="00B050"/>
                </a:solidFill>
              </a:rPr>
              <a:t>Ventas de Puestos PANA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1" i="0" u="none" strike="noStrike" kern="1200" cap="none" spc="0" normalizeH="0" baseline="0">
              <a:solidFill>
                <a:srgbClr val="00B050"/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v>Puesto 1</c:v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Vendedor1!$K$6:$K$36</c:f>
              <c:numCache>
                <c:formatCode>0.00</c:formatCode>
                <c:ptCount val="31"/>
                <c:pt idx="0">
                  <c:v>261850</c:v>
                </c:pt>
                <c:pt idx="1">
                  <c:v>475550</c:v>
                </c:pt>
                <c:pt idx="2">
                  <c:v>252150</c:v>
                </c:pt>
                <c:pt idx="3">
                  <c:v>279950</c:v>
                </c:pt>
                <c:pt idx="4">
                  <c:v>192550</c:v>
                </c:pt>
                <c:pt idx="5">
                  <c:v>214150</c:v>
                </c:pt>
                <c:pt idx="6">
                  <c:v>229750</c:v>
                </c:pt>
                <c:pt idx="7">
                  <c:v>266250</c:v>
                </c:pt>
                <c:pt idx="8">
                  <c:v>262100</c:v>
                </c:pt>
                <c:pt idx="9">
                  <c:v>252350</c:v>
                </c:pt>
                <c:pt idx="10">
                  <c:v>238550</c:v>
                </c:pt>
                <c:pt idx="11">
                  <c:v>185500</c:v>
                </c:pt>
                <c:pt idx="12">
                  <c:v>208050</c:v>
                </c:pt>
                <c:pt idx="13">
                  <c:v>157600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58-4C64-AAF0-764B40171CFF}"/>
            </c:ext>
          </c:extLst>
        </c:ser>
        <c:ser>
          <c:idx val="2"/>
          <c:order val="1"/>
          <c:tx>
            <c:v>Puesto 2</c:v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Vendedor2!$K$6:$K$36</c:f>
              <c:numCache>
                <c:formatCode>0.00</c:formatCode>
                <c:ptCount val="31"/>
                <c:pt idx="0">
                  <c:v>181700</c:v>
                </c:pt>
                <c:pt idx="1">
                  <c:v>340700</c:v>
                </c:pt>
                <c:pt idx="2">
                  <c:v>200350</c:v>
                </c:pt>
                <c:pt idx="3">
                  <c:v>214650</c:v>
                </c:pt>
                <c:pt idx="4">
                  <c:v>231550</c:v>
                </c:pt>
                <c:pt idx="5">
                  <c:v>185250</c:v>
                </c:pt>
                <c:pt idx="6">
                  <c:v>215050</c:v>
                </c:pt>
                <c:pt idx="7">
                  <c:v>102900</c:v>
                </c:pt>
                <c:pt idx="8">
                  <c:v>163650</c:v>
                </c:pt>
                <c:pt idx="9">
                  <c:v>187300</c:v>
                </c:pt>
                <c:pt idx="10">
                  <c:v>154150</c:v>
                </c:pt>
                <c:pt idx="11">
                  <c:v>185200</c:v>
                </c:pt>
                <c:pt idx="12">
                  <c:v>205600</c:v>
                </c:pt>
                <c:pt idx="13">
                  <c:v>122550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58-4C64-AAF0-764B40171CFF}"/>
            </c:ext>
          </c:extLst>
        </c:ser>
        <c:ser>
          <c:idx val="3"/>
          <c:order val="2"/>
          <c:tx>
            <c:v>Puesto 3</c:v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val>
            <c:numRef>
              <c:f>Vendedor3!$K$6:$K$36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B58-4C64-AAF0-764B40171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44820175"/>
        <c:axId val="644822255"/>
        <c:axId val="723464863"/>
      </c:bar3DChart>
      <c:catAx>
        <c:axId val="64482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822255"/>
        <c:crosses val="autoZero"/>
        <c:auto val="1"/>
        <c:lblAlgn val="ctr"/>
        <c:lblOffset val="100"/>
        <c:noMultiLvlLbl val="0"/>
      </c:catAx>
      <c:valAx>
        <c:axId val="644822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Ventas en colones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820175"/>
        <c:crosses val="autoZero"/>
        <c:crossBetween val="between"/>
      </c:valAx>
      <c:serAx>
        <c:axId val="723464863"/>
        <c:scaling>
          <c:orientation val="minMax"/>
        </c:scaling>
        <c:delete val="1"/>
        <c:axPos val="b"/>
        <c:majorTickMark val="none"/>
        <c:minorTickMark val="none"/>
        <c:tickLblPos val="nextTo"/>
        <c:crossAx val="644822255"/>
        <c:crosses val="autoZero"/>
      </c:serAx>
      <c:dTable>
        <c:showHorzBorder val="1"/>
        <c:showVertBorder val="1"/>
        <c:showOutline val="1"/>
        <c:showKeys val="1"/>
        <c:spPr>
          <a:noFill/>
          <a:ln w="9525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[AGOSTO 2026.xlsm]Grafico Dinámico!TablaDinámica3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'Grafico Dinámico'!$B$3</c:f>
              <c:strCache>
                <c:ptCount val="1"/>
                <c:pt idx="0">
                  <c:v>Subtotal_puestos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'Grafico Dinámico'!$A$4:$A$35</c:f>
              <c:strCache>
                <c:ptCount val="31"/>
                <c:pt idx="0">
                  <c:v>Dia 01</c:v>
                </c:pt>
                <c:pt idx="1">
                  <c:v>Dia 02</c:v>
                </c:pt>
                <c:pt idx="2">
                  <c:v>Dia 03</c:v>
                </c:pt>
                <c:pt idx="3">
                  <c:v>Dia 04</c:v>
                </c:pt>
                <c:pt idx="4">
                  <c:v>Dia 05</c:v>
                </c:pt>
                <c:pt idx="5">
                  <c:v>Dia 06</c:v>
                </c:pt>
                <c:pt idx="6">
                  <c:v>Dia 07</c:v>
                </c:pt>
                <c:pt idx="7">
                  <c:v>Dia 08</c:v>
                </c:pt>
                <c:pt idx="8">
                  <c:v>Dia 09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  <c:pt idx="20">
                  <c:v>Dia 21</c:v>
                </c:pt>
                <c:pt idx="21">
                  <c:v>Dia 22</c:v>
                </c:pt>
                <c:pt idx="22">
                  <c:v>Dia 23</c:v>
                </c:pt>
                <c:pt idx="23">
                  <c:v>Dia 24</c:v>
                </c:pt>
                <c:pt idx="24">
                  <c:v>Dia 25</c:v>
                </c:pt>
                <c:pt idx="25">
                  <c:v>Dia 26</c:v>
                </c:pt>
                <c:pt idx="26">
                  <c:v>Dia 27</c:v>
                </c:pt>
                <c:pt idx="27">
                  <c:v>Dia 28</c:v>
                </c:pt>
                <c:pt idx="28">
                  <c:v>Dia 29</c:v>
                </c:pt>
                <c:pt idx="29">
                  <c:v>Dia 30</c:v>
                </c:pt>
                <c:pt idx="30">
                  <c:v>Dia 31</c:v>
                </c:pt>
              </c:strCache>
            </c:strRef>
          </c:cat>
          <c:val>
            <c:numRef>
              <c:f>'Grafico Dinámico'!$B$4:$B$35</c:f>
              <c:numCache>
                <c:formatCode>General</c:formatCode>
                <c:ptCount val="31"/>
                <c:pt idx="0">
                  <c:v>49176.5</c:v>
                </c:pt>
                <c:pt idx="1">
                  <c:v>45712</c:v>
                </c:pt>
                <c:pt idx="2">
                  <c:v>11002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5822-440F-AD0F-52F1C7EBBFCC}"/>
            </c:ext>
          </c:extLst>
        </c:ser>
        <c:ser>
          <c:idx val="1"/>
          <c:order val="1"/>
          <c:tx>
            <c:strRef>
              <c:f>'Grafico Dinámico'!$C$3</c:f>
              <c:strCache>
                <c:ptCount val="1"/>
                <c:pt idx="0">
                  <c:v>Subtotal_Listas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'Grafico Dinámico'!$A$4:$A$35</c:f>
              <c:strCache>
                <c:ptCount val="31"/>
                <c:pt idx="0">
                  <c:v>Dia 01</c:v>
                </c:pt>
                <c:pt idx="1">
                  <c:v>Dia 02</c:v>
                </c:pt>
                <c:pt idx="2">
                  <c:v>Dia 03</c:v>
                </c:pt>
                <c:pt idx="3">
                  <c:v>Dia 04</c:v>
                </c:pt>
                <c:pt idx="4">
                  <c:v>Dia 05</c:v>
                </c:pt>
                <c:pt idx="5">
                  <c:v>Dia 06</c:v>
                </c:pt>
                <c:pt idx="6">
                  <c:v>Dia 07</c:v>
                </c:pt>
                <c:pt idx="7">
                  <c:v>Dia 08</c:v>
                </c:pt>
                <c:pt idx="8">
                  <c:v>Dia 09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  <c:pt idx="20">
                  <c:v>Dia 21</c:v>
                </c:pt>
                <c:pt idx="21">
                  <c:v>Dia 22</c:v>
                </c:pt>
                <c:pt idx="22">
                  <c:v>Dia 23</c:v>
                </c:pt>
                <c:pt idx="23">
                  <c:v>Dia 24</c:v>
                </c:pt>
                <c:pt idx="24">
                  <c:v>Dia 25</c:v>
                </c:pt>
                <c:pt idx="25">
                  <c:v>Dia 26</c:v>
                </c:pt>
                <c:pt idx="26">
                  <c:v>Dia 27</c:v>
                </c:pt>
                <c:pt idx="27">
                  <c:v>Dia 28</c:v>
                </c:pt>
                <c:pt idx="28">
                  <c:v>Dia 29</c:v>
                </c:pt>
                <c:pt idx="29">
                  <c:v>Dia 30</c:v>
                </c:pt>
                <c:pt idx="30">
                  <c:v>Dia 31</c:v>
                </c:pt>
              </c:strCache>
            </c:strRef>
          </c:cat>
          <c:val>
            <c:numRef>
              <c:f>'Grafico Dinámico'!$C$4:$C$35</c:f>
              <c:numCache>
                <c:formatCode>General</c:formatCode>
                <c:ptCount val="31"/>
                <c:pt idx="0">
                  <c:v>62535</c:v>
                </c:pt>
                <c:pt idx="1">
                  <c:v>19662.25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5822-440F-AD0F-52F1C7EBB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89424528"/>
        <c:axId val="1589414128"/>
      </c:barChart>
      <c:lineChart>
        <c:grouping val="standard"/>
        <c:varyColors val="0"/>
        <c:ser>
          <c:idx val="2"/>
          <c:order val="2"/>
          <c:tx>
            <c:strRef>
              <c:f>'Grafico Dinámico'!$D$3</c:f>
              <c:strCache>
                <c:ptCount val="1"/>
                <c:pt idx="0">
                  <c:v>Ganancias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'Grafico Dinámico'!$A$4:$A$35</c:f>
              <c:strCache>
                <c:ptCount val="31"/>
                <c:pt idx="0">
                  <c:v>Dia 01</c:v>
                </c:pt>
                <c:pt idx="1">
                  <c:v>Dia 02</c:v>
                </c:pt>
                <c:pt idx="2">
                  <c:v>Dia 03</c:v>
                </c:pt>
                <c:pt idx="3">
                  <c:v>Dia 04</c:v>
                </c:pt>
                <c:pt idx="4">
                  <c:v>Dia 05</c:v>
                </c:pt>
                <c:pt idx="5">
                  <c:v>Dia 06</c:v>
                </c:pt>
                <c:pt idx="6">
                  <c:v>Dia 07</c:v>
                </c:pt>
                <c:pt idx="7">
                  <c:v>Dia 08</c:v>
                </c:pt>
                <c:pt idx="8">
                  <c:v>Dia 09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  <c:pt idx="20">
                  <c:v>Dia 21</c:v>
                </c:pt>
                <c:pt idx="21">
                  <c:v>Dia 22</c:v>
                </c:pt>
                <c:pt idx="22">
                  <c:v>Dia 23</c:v>
                </c:pt>
                <c:pt idx="23">
                  <c:v>Dia 24</c:v>
                </c:pt>
                <c:pt idx="24">
                  <c:v>Dia 25</c:v>
                </c:pt>
                <c:pt idx="25">
                  <c:v>Dia 26</c:v>
                </c:pt>
                <c:pt idx="26">
                  <c:v>Dia 27</c:v>
                </c:pt>
                <c:pt idx="27">
                  <c:v>Dia 28</c:v>
                </c:pt>
                <c:pt idx="28">
                  <c:v>Dia 29</c:v>
                </c:pt>
                <c:pt idx="29">
                  <c:v>Dia 30</c:v>
                </c:pt>
                <c:pt idx="30">
                  <c:v>Dia 31</c:v>
                </c:pt>
              </c:strCache>
            </c:strRef>
          </c:cat>
          <c:val>
            <c:numRef>
              <c:f>'Grafico Dinámico'!$D$4:$D$35</c:f>
              <c:numCache>
                <c:formatCode>General</c:formatCode>
                <c:ptCount val="31"/>
                <c:pt idx="0">
                  <c:v>111711.5</c:v>
                </c:pt>
                <c:pt idx="1">
                  <c:v>65374.25</c:v>
                </c:pt>
                <c:pt idx="2">
                  <c:v>11002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822-440F-AD0F-52F1C7EBB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9424528"/>
        <c:axId val="1589414128"/>
      </c:lineChart>
      <c:catAx>
        <c:axId val="1589424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9414128"/>
        <c:crosses val="autoZero"/>
        <c:auto val="1"/>
        <c:lblAlgn val="ctr"/>
        <c:lblOffset val="100"/>
        <c:noMultiLvlLbl val="0"/>
      </c:catAx>
      <c:valAx>
        <c:axId val="1589414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9424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218880084256984"/>
          <c:y val="0.33528944298629337"/>
          <c:w val="0.14596406539946838"/>
          <c:h val="0.357198527267424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0" workbookViewId="0" zoomToFit="1"/>
  </sheetViews>
  <pageMargins left="0.7" right="0.7" top="0.75" bottom="0.75" header="0.3" footer="0.3"/>
  <pageSetup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93AE70-4487-43D5-8334-C4CB7CC1746B}"/>
            </a:ext>
          </a:extLst>
        </xdr:cNvPr>
        <xdr:cNvSpPr/>
      </xdr:nvSpPr>
      <xdr:spPr>
        <a:xfrm>
          <a:off x="3842880" y="71640"/>
          <a:ext cx="210567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25</xdr:col>
      <xdr:colOff>550334</xdr:colOff>
      <xdr:row>8</xdr:row>
      <xdr:rowOff>105833</xdr:rowOff>
    </xdr:to>
    <xdr:sp macro="[0]!MacroCopiarCuen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0C57E1A-048C-4F7B-B139-B8BB976AF422}"/>
            </a:ext>
          </a:extLst>
        </xdr:cNvPr>
        <xdr:cNvSpPr/>
      </xdr:nvSpPr>
      <xdr:spPr>
        <a:xfrm>
          <a:off x="19939000" y="190500"/>
          <a:ext cx="550334" cy="16552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50BB6D0-28B2-4CD3-A32F-BEF48D318D6D}"/>
            </a:ext>
          </a:extLst>
        </xdr:cNvPr>
        <xdr:cNvSpPr/>
      </xdr:nvSpPr>
      <xdr:spPr>
        <a:xfrm>
          <a:off x="3900030" y="71640"/>
          <a:ext cx="198502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" name="Rectángulo: esquinas redonde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68094C-C625-4EAA-ACB6-41E85B1F69C0}"/>
            </a:ext>
          </a:extLst>
        </xdr:cNvPr>
        <xdr:cNvSpPr/>
      </xdr:nvSpPr>
      <xdr:spPr>
        <a:xfrm>
          <a:off x="3900030" y="71640"/>
          <a:ext cx="198502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507960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FA580E-1567-4AC0-A8EE-87903F814144}"/>
            </a:ext>
          </a:extLst>
        </xdr:cNvPr>
        <xdr:cNvSpPr/>
      </xdr:nvSpPr>
      <xdr:spPr>
        <a:xfrm>
          <a:off x="3562310" y="71640"/>
          <a:ext cx="232274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25</xdr:col>
      <xdr:colOff>550334</xdr:colOff>
      <xdr:row>8</xdr:row>
      <xdr:rowOff>105833</xdr:rowOff>
    </xdr:to>
    <xdr:sp macro="[0]!MacroCopiarCuenta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56EA525-67BF-4BCF-9825-83829C0D8FDF}"/>
            </a:ext>
          </a:extLst>
        </xdr:cNvPr>
        <xdr:cNvSpPr/>
      </xdr:nvSpPr>
      <xdr:spPr>
        <a:xfrm>
          <a:off x="19189700" y="190500"/>
          <a:ext cx="550334" cy="16552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141330" y="71640"/>
          <a:ext cx="2124720" cy="4320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439650" y="184150"/>
          <a:ext cx="550334" cy="165664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130246</xdr:colOff>
      <xdr:row>0</xdr:row>
      <xdr:rowOff>50473</xdr:rowOff>
    </xdr:from>
    <xdr:to>
      <xdr:col>6</xdr:col>
      <xdr:colOff>527766</xdr:colOff>
      <xdr:row>2</xdr:row>
      <xdr:rowOff>63433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3234690" y="50473"/>
          <a:ext cx="2119076" cy="42923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2410722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127000</xdr:colOff>
      <xdr:row>39</xdr:row>
      <xdr:rowOff>78840</xdr:rowOff>
    </xdr:from>
    <xdr:to>
      <xdr:col>6</xdr:col>
      <xdr:colOff>585612</xdr:colOff>
      <xdr:row>41</xdr:row>
      <xdr:rowOff>91800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225800" y="7736940"/>
          <a:ext cx="1931812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352778</xdr:colOff>
      <xdr:row>0</xdr:row>
      <xdr:rowOff>78840</xdr:rowOff>
    </xdr:from>
    <xdr:to>
      <xdr:col>7</xdr:col>
      <xdr:colOff>654480</xdr:colOff>
      <xdr:row>2</xdr:row>
      <xdr:rowOff>91800</xdr:rowOff>
    </xdr:to>
    <xdr:sp macro="" textlink="">
      <xdr:nvSpPr>
        <xdr:cNvPr id="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450167" y="78840"/>
          <a:ext cx="2249035" cy="42923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2029722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127000</xdr:colOff>
      <xdr:row>39</xdr:row>
      <xdr:rowOff>78840</xdr:rowOff>
    </xdr:from>
    <xdr:to>
      <xdr:col>6</xdr:col>
      <xdr:colOff>585612</xdr:colOff>
      <xdr:row>41</xdr:row>
      <xdr:rowOff>91800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238500" y="7552790"/>
          <a:ext cx="2179462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127000</xdr:colOff>
      <xdr:row>0</xdr:row>
      <xdr:rowOff>78840</xdr:rowOff>
    </xdr:from>
    <xdr:to>
      <xdr:col>6</xdr:col>
      <xdr:colOff>585612</xdr:colOff>
      <xdr:row>2</xdr:row>
      <xdr:rowOff>91800</xdr:rowOff>
    </xdr:to>
    <xdr:sp macro="" textlink="">
      <xdr:nvSpPr>
        <xdr:cNvPr id="7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3224389" y="78840"/>
          <a:ext cx="1933223" cy="44334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127000</xdr:colOff>
      <xdr:row>39</xdr:row>
      <xdr:rowOff>78840</xdr:rowOff>
    </xdr:from>
    <xdr:to>
      <xdr:col>6</xdr:col>
      <xdr:colOff>585612</xdr:colOff>
      <xdr:row>41</xdr:row>
      <xdr:rowOff>91800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3224389" y="78840"/>
          <a:ext cx="1933223" cy="44334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109440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259160" y="71640"/>
          <a:ext cx="213948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2488333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9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0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19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1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28</xdr:col>
      <xdr:colOff>0</xdr:colOff>
      <xdr:row>1</xdr:row>
      <xdr:rowOff>0</xdr:rowOff>
    </xdr:from>
    <xdr:to>
      <xdr:col>28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22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12488333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12396611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4141330" y="71640"/>
          <a:ext cx="212472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SpPr/>
      </xdr:nvSpPr>
      <xdr:spPr>
        <a:xfrm>
          <a:off x="3219120" y="71640"/>
          <a:ext cx="200016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9" name="Rectángulo: esquinas redonde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SpPr/>
      </xdr:nvSpPr>
      <xdr:spPr>
        <a:xfrm>
          <a:off x="3219120" y="71640"/>
          <a:ext cx="200016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507960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0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SpPr/>
      </xdr:nvSpPr>
      <xdr:spPr>
        <a:xfrm>
          <a:off x="2868120" y="71640"/>
          <a:ext cx="235116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25</xdr:col>
      <xdr:colOff>550334</xdr:colOff>
      <xdr:row>8</xdr:row>
      <xdr:rowOff>105833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1796889" y="190500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1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5000000}"/>
            </a:ext>
          </a:extLst>
        </xdr:cNvPr>
        <xdr:cNvSpPr/>
      </xdr:nvSpPr>
      <xdr:spPr>
        <a:xfrm>
          <a:off x="3825720" y="71640"/>
          <a:ext cx="212328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25</xdr:col>
      <xdr:colOff>550334</xdr:colOff>
      <xdr:row>8</xdr:row>
      <xdr:rowOff>105833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2530667" y="190500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6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2361333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7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8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12396611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9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A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2410722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7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B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134055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C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9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D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0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E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1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F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20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21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22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23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200-000024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7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300-000025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400-000026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9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500-000027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0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600-000028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700-000029000000}"/>
            </a:ext>
          </a:extLst>
        </xdr:cNvPr>
        <xdr:cNvSpPr/>
      </xdr:nvSpPr>
      <xdr:spPr>
        <a:xfrm>
          <a:off x="3883320" y="71640"/>
          <a:ext cx="21236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800-00002A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900-00002B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A00-00002C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B00-00002D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C00-00002E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107950</xdr:colOff>
      <xdr:row>2</xdr:row>
      <xdr:rowOff>3175</xdr:rowOff>
    </xdr:from>
    <xdr:to>
      <xdr:col>17</xdr:col>
      <xdr:colOff>152400</xdr:colOff>
      <xdr:row>16</xdr:row>
      <xdr:rowOff>168275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165524</xdr:colOff>
      <xdr:row>0</xdr:row>
      <xdr:rowOff>50474</xdr:rowOff>
    </xdr:from>
    <xdr:to>
      <xdr:col>6</xdr:col>
      <xdr:colOff>28222</xdr:colOff>
      <xdr:row>2</xdr:row>
      <xdr:rowOff>63434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/>
      </xdr:nvSpPr>
      <xdr:spPr>
        <a:xfrm>
          <a:off x="3876746" y="50474"/>
          <a:ext cx="1908809" cy="44334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2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3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4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5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6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7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8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9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30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31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0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1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2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3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4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5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6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7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8.xlsm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9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0.xlsm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1.xlsm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2.xlsm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3.xlsm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4.xlsm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5.xlsm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6.xlsm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7.xlsm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8.xlsm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0">
          <cell r="F10">
            <v>0</v>
          </cell>
        </row>
        <row r="11">
          <cell r="G11">
            <v>32853</v>
          </cell>
        </row>
        <row r="12">
          <cell r="G12">
            <v>20000</v>
          </cell>
        </row>
        <row r="19">
          <cell r="D19">
            <v>443550</v>
          </cell>
          <cell r="E19">
            <v>57661.5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196600</v>
          </cell>
          <cell r="K4">
            <v>25558</v>
          </cell>
          <cell r="L4">
            <v>327250</v>
          </cell>
        </row>
        <row r="5">
          <cell r="J5">
            <v>45450</v>
          </cell>
          <cell r="K5">
            <v>5908.5</v>
          </cell>
          <cell r="L5">
            <v>0</v>
          </cell>
        </row>
        <row r="6">
          <cell r="J6">
            <v>19800</v>
          </cell>
          <cell r="K6">
            <v>2574</v>
          </cell>
          <cell r="L6">
            <v>8000</v>
          </cell>
        </row>
      </sheetData>
      <sheetData sheetId="12">
        <row r="4">
          <cell r="J4">
            <v>161100</v>
          </cell>
          <cell r="K4">
            <v>20943</v>
          </cell>
          <cell r="L4">
            <v>399500</v>
          </cell>
        </row>
        <row r="5">
          <cell r="J5">
            <v>14600</v>
          </cell>
          <cell r="K5">
            <v>1898</v>
          </cell>
          <cell r="L5">
            <v>0</v>
          </cell>
        </row>
        <row r="6">
          <cell r="J6">
            <v>6000</v>
          </cell>
          <cell r="K6">
            <v>780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122200</v>
          </cell>
          <cell r="K4">
            <v>14664</v>
          </cell>
          <cell r="L4">
            <v>221000</v>
          </cell>
        </row>
        <row r="5">
          <cell r="J5">
            <v>122800</v>
          </cell>
          <cell r="K5">
            <v>14736</v>
          </cell>
          <cell r="L5">
            <v>12000</v>
          </cell>
        </row>
        <row r="7">
          <cell r="J7">
            <v>27550</v>
          </cell>
          <cell r="K7">
            <v>3306</v>
          </cell>
          <cell r="L7">
            <v>20000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337200</v>
          </cell>
          <cell r="K4">
            <v>40464</v>
          </cell>
          <cell r="L4">
            <v>612000</v>
          </cell>
        </row>
        <row r="5">
          <cell r="J5">
            <v>256800</v>
          </cell>
          <cell r="K5">
            <v>30816</v>
          </cell>
          <cell r="L5">
            <v>80750</v>
          </cell>
        </row>
        <row r="6">
          <cell r="J6">
            <v>48500</v>
          </cell>
          <cell r="K6">
            <v>4850</v>
          </cell>
          <cell r="L6">
            <v>0</v>
          </cell>
        </row>
        <row r="7">
          <cell r="J7">
            <v>39900</v>
          </cell>
          <cell r="K7">
            <v>4788</v>
          </cell>
          <cell r="L7">
            <v>0</v>
          </cell>
        </row>
        <row r="8">
          <cell r="J8">
            <v>29000</v>
          </cell>
          <cell r="K8">
            <v>3480</v>
          </cell>
          <cell r="L8">
            <v>51000</v>
          </cell>
        </row>
        <row r="9">
          <cell r="J9">
            <v>106000</v>
          </cell>
          <cell r="K9">
            <v>12720</v>
          </cell>
          <cell r="L9">
            <v>63750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6100</v>
          </cell>
          <cell r="K4">
            <v>732</v>
          </cell>
          <cell r="L4">
            <v>68000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79850</v>
          </cell>
          <cell r="K4">
            <v>9582</v>
          </cell>
          <cell r="L4">
            <v>123250</v>
          </cell>
        </row>
        <row r="5">
          <cell r="J5">
            <v>69100</v>
          </cell>
          <cell r="K5">
            <v>8292</v>
          </cell>
          <cell r="L5">
            <v>51000</v>
          </cell>
        </row>
        <row r="6">
          <cell r="J6">
            <v>4650</v>
          </cell>
          <cell r="K6">
            <v>465</v>
          </cell>
          <cell r="L6">
            <v>0</v>
          </cell>
        </row>
        <row r="7">
          <cell r="J7">
            <v>40950</v>
          </cell>
          <cell r="K7">
            <v>4914</v>
          </cell>
          <cell r="L7">
            <v>63750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80250</v>
          </cell>
          <cell r="K4">
            <v>9630</v>
          </cell>
          <cell r="L4">
            <v>178500</v>
          </cell>
        </row>
        <row r="5">
          <cell r="J5">
            <v>56400</v>
          </cell>
          <cell r="K5">
            <v>6768</v>
          </cell>
          <cell r="L5">
            <v>0</v>
          </cell>
        </row>
      </sheetData>
      <sheetData sheetId="21">
        <row r="4">
          <cell r="J4">
            <v>96300</v>
          </cell>
          <cell r="K4">
            <v>14445</v>
          </cell>
          <cell r="L4">
            <v>284000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56100</v>
          </cell>
          <cell r="K4">
            <v>6732</v>
          </cell>
          <cell r="L4">
            <v>42500</v>
          </cell>
        </row>
        <row r="5">
          <cell r="J5">
            <v>23050</v>
          </cell>
          <cell r="K5">
            <v>2766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46089</v>
          </cell>
        </row>
        <row r="12">
          <cell r="G12">
            <v>15000</v>
          </cell>
        </row>
        <row r="19">
          <cell r="D19">
            <v>816250</v>
          </cell>
          <cell r="E19">
            <v>106112.5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381300</v>
          </cell>
          <cell r="K4">
            <v>49569</v>
          </cell>
          <cell r="L4">
            <v>331500</v>
          </cell>
        </row>
        <row r="5">
          <cell r="J5">
            <v>64550</v>
          </cell>
          <cell r="K5">
            <v>8391.5</v>
          </cell>
          <cell r="L5">
            <v>56000</v>
          </cell>
        </row>
        <row r="6">
          <cell r="J6">
            <v>29700</v>
          </cell>
          <cell r="K6">
            <v>3861</v>
          </cell>
          <cell r="L6">
            <v>0</v>
          </cell>
        </row>
      </sheetData>
      <sheetData sheetId="12">
        <row r="4">
          <cell r="J4">
            <v>281000</v>
          </cell>
          <cell r="K4">
            <v>36530</v>
          </cell>
          <cell r="L4">
            <v>476000</v>
          </cell>
        </row>
        <row r="5">
          <cell r="J5">
            <v>40800</v>
          </cell>
          <cell r="K5">
            <v>5304</v>
          </cell>
          <cell r="L5">
            <v>280000</v>
          </cell>
        </row>
        <row r="6">
          <cell r="J6">
            <v>18900</v>
          </cell>
          <cell r="K6">
            <v>2457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195050</v>
          </cell>
          <cell r="K4">
            <v>23406</v>
          </cell>
          <cell r="L4">
            <v>199750</v>
          </cell>
        </row>
        <row r="5">
          <cell r="J5">
            <v>139650</v>
          </cell>
          <cell r="K5">
            <v>16758</v>
          </cell>
          <cell r="L5">
            <v>156000</v>
          </cell>
        </row>
        <row r="7">
          <cell r="J7">
            <v>26350</v>
          </cell>
          <cell r="K7">
            <v>3162</v>
          </cell>
          <cell r="L7">
            <v>16000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280300</v>
          </cell>
          <cell r="K4">
            <v>33636</v>
          </cell>
          <cell r="L4">
            <v>114750</v>
          </cell>
        </row>
        <row r="5">
          <cell r="J5">
            <v>154400</v>
          </cell>
          <cell r="K5">
            <v>18528</v>
          </cell>
          <cell r="L5">
            <v>68000</v>
          </cell>
        </row>
        <row r="6">
          <cell r="J6">
            <v>52650</v>
          </cell>
          <cell r="K6">
            <v>5265</v>
          </cell>
          <cell r="L6">
            <v>0</v>
          </cell>
        </row>
        <row r="7">
          <cell r="J7">
            <v>29000</v>
          </cell>
          <cell r="K7">
            <v>3480</v>
          </cell>
          <cell r="L7">
            <v>0</v>
          </cell>
        </row>
        <row r="8">
          <cell r="J8">
            <v>16700</v>
          </cell>
          <cell r="K8">
            <v>2004</v>
          </cell>
          <cell r="L8">
            <v>0</v>
          </cell>
        </row>
        <row r="9">
          <cell r="J9">
            <v>95500</v>
          </cell>
          <cell r="K9">
            <v>11460</v>
          </cell>
          <cell r="L9">
            <v>85000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12300</v>
          </cell>
          <cell r="K4">
            <v>1476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66700</v>
          </cell>
          <cell r="K4">
            <v>8004</v>
          </cell>
          <cell r="L4">
            <v>46750</v>
          </cell>
        </row>
        <row r="5">
          <cell r="J5">
            <v>64750</v>
          </cell>
          <cell r="K5">
            <v>7770</v>
          </cell>
          <cell r="L5">
            <v>17000</v>
          </cell>
        </row>
        <row r="6">
          <cell r="J6">
            <v>1700</v>
          </cell>
          <cell r="K6">
            <v>170</v>
          </cell>
          <cell r="L6">
            <v>0</v>
          </cell>
        </row>
        <row r="7">
          <cell r="J7">
            <v>34350</v>
          </cell>
          <cell r="K7">
            <v>4122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111800</v>
          </cell>
          <cell r="K4">
            <v>16770</v>
          </cell>
          <cell r="L4">
            <v>16000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118400</v>
          </cell>
          <cell r="K4">
            <v>14208</v>
          </cell>
          <cell r="L4">
            <v>297500</v>
          </cell>
        </row>
        <row r="5">
          <cell r="J5">
            <v>62500</v>
          </cell>
          <cell r="K5">
            <v>7500</v>
          </cell>
          <cell r="L5">
            <v>40000</v>
          </cell>
        </row>
        <row r="6">
          <cell r="J6">
            <v>9000</v>
          </cell>
          <cell r="K6">
            <v>900</v>
          </cell>
          <cell r="L6">
            <v>0</v>
          </cell>
        </row>
        <row r="7">
          <cell r="J7">
            <v>6300</v>
          </cell>
          <cell r="K7">
            <v>756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26843.5</v>
          </cell>
        </row>
        <row r="12">
          <cell r="G12">
            <v>35000</v>
          </cell>
        </row>
        <row r="19">
          <cell r="D19">
            <v>452500</v>
          </cell>
          <cell r="E19">
            <v>58825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187250</v>
          </cell>
          <cell r="K4">
            <v>24342.5</v>
          </cell>
          <cell r="L4">
            <v>29750</v>
          </cell>
        </row>
        <row r="5">
          <cell r="J5">
            <v>55450</v>
          </cell>
          <cell r="K5">
            <v>7208.5</v>
          </cell>
          <cell r="L5">
            <v>40000</v>
          </cell>
        </row>
        <row r="6">
          <cell r="J6">
            <v>9450</v>
          </cell>
          <cell r="K6">
            <v>1228.5</v>
          </cell>
          <cell r="L6">
            <v>24000</v>
          </cell>
        </row>
      </sheetData>
      <sheetData sheetId="12">
        <row r="4">
          <cell r="J4">
            <v>181050</v>
          </cell>
          <cell r="K4">
            <v>23536.5</v>
          </cell>
          <cell r="L4">
            <v>259250</v>
          </cell>
        </row>
        <row r="5">
          <cell r="J5">
            <v>15900</v>
          </cell>
          <cell r="K5">
            <v>2067</v>
          </cell>
          <cell r="L5">
            <v>8000</v>
          </cell>
        </row>
        <row r="6">
          <cell r="J6">
            <v>3400</v>
          </cell>
          <cell r="K6">
            <v>442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179250</v>
          </cell>
          <cell r="K4">
            <v>21510</v>
          </cell>
          <cell r="L4">
            <v>233750</v>
          </cell>
        </row>
        <row r="5">
          <cell r="J5">
            <v>113900</v>
          </cell>
          <cell r="K5">
            <v>13668</v>
          </cell>
          <cell r="L5">
            <v>152000</v>
          </cell>
        </row>
        <row r="7">
          <cell r="J7">
            <v>30600</v>
          </cell>
          <cell r="K7">
            <v>3672</v>
          </cell>
          <cell r="L7">
            <v>8000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324550</v>
          </cell>
          <cell r="K4">
            <v>38946</v>
          </cell>
          <cell r="L4">
            <v>195500</v>
          </cell>
        </row>
        <row r="5">
          <cell r="J5">
            <v>149250</v>
          </cell>
          <cell r="K5">
            <v>17910</v>
          </cell>
          <cell r="L5">
            <v>51000</v>
          </cell>
        </row>
        <row r="6">
          <cell r="J6">
            <v>30950</v>
          </cell>
          <cell r="K6">
            <v>3095</v>
          </cell>
          <cell r="L6">
            <v>0</v>
          </cell>
        </row>
        <row r="7">
          <cell r="J7">
            <v>25900</v>
          </cell>
          <cell r="K7">
            <v>3108</v>
          </cell>
          <cell r="L7">
            <v>0</v>
          </cell>
        </row>
        <row r="8">
          <cell r="J8">
            <v>4600</v>
          </cell>
          <cell r="K8">
            <v>552</v>
          </cell>
          <cell r="L8">
            <v>8500</v>
          </cell>
        </row>
        <row r="9">
          <cell r="J9">
            <v>94200</v>
          </cell>
          <cell r="K9">
            <v>11304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2000</v>
          </cell>
          <cell r="K4">
            <v>240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94650</v>
          </cell>
          <cell r="K4">
            <v>11358</v>
          </cell>
          <cell r="L4">
            <v>238000</v>
          </cell>
        </row>
        <row r="5">
          <cell r="J5">
            <v>90850</v>
          </cell>
          <cell r="K5">
            <v>10902</v>
          </cell>
          <cell r="L5">
            <v>34000</v>
          </cell>
        </row>
        <row r="6">
          <cell r="J6">
            <v>2000</v>
          </cell>
          <cell r="K6">
            <v>200</v>
          </cell>
          <cell r="L6">
            <v>0</v>
          </cell>
        </row>
        <row r="7">
          <cell r="J7">
            <v>38600</v>
          </cell>
          <cell r="K7">
            <v>4632</v>
          </cell>
          <cell r="L7">
            <v>46750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128500</v>
          </cell>
          <cell r="K4">
            <v>15420</v>
          </cell>
          <cell r="L4">
            <v>12750</v>
          </cell>
        </row>
        <row r="5">
          <cell r="J5">
            <v>39850</v>
          </cell>
          <cell r="K5">
            <v>4782</v>
          </cell>
          <cell r="L5">
            <v>8000</v>
          </cell>
        </row>
      </sheetData>
      <sheetData sheetId="21">
        <row r="4">
          <cell r="J4">
            <v>98700</v>
          </cell>
          <cell r="K4">
            <v>14805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42300</v>
          </cell>
          <cell r="K4">
            <v>5076</v>
          </cell>
          <cell r="L4">
            <v>21250</v>
          </cell>
        </row>
        <row r="5">
          <cell r="J5">
            <v>19750</v>
          </cell>
          <cell r="K5">
            <v>2370</v>
          </cell>
          <cell r="L5">
            <v>0</v>
          </cell>
        </row>
        <row r="6">
          <cell r="J6">
            <v>500</v>
          </cell>
          <cell r="K6">
            <v>50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5000</v>
          </cell>
          <cell r="C6">
            <v>600</v>
          </cell>
          <cell r="D6">
            <v>0</v>
          </cell>
          <cell r="F6">
            <v>4400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32944.5</v>
          </cell>
        </row>
        <row r="12">
          <cell r="G12">
            <v>35000</v>
          </cell>
        </row>
        <row r="19">
          <cell r="D19">
            <v>494600</v>
          </cell>
          <cell r="E19">
            <v>64298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243600</v>
          </cell>
          <cell r="K4">
            <v>31668</v>
          </cell>
          <cell r="L4">
            <v>80750</v>
          </cell>
        </row>
        <row r="5">
          <cell r="J5">
            <v>29500</v>
          </cell>
          <cell r="K5">
            <v>3835</v>
          </cell>
          <cell r="L5">
            <v>8000</v>
          </cell>
        </row>
        <row r="6">
          <cell r="J6">
            <v>6850</v>
          </cell>
          <cell r="K6">
            <v>890.5</v>
          </cell>
          <cell r="L6">
            <v>0</v>
          </cell>
        </row>
      </sheetData>
      <sheetData sheetId="12">
        <row r="4">
          <cell r="J4">
            <v>194350</v>
          </cell>
          <cell r="K4">
            <v>25265.5</v>
          </cell>
          <cell r="L4">
            <v>42500</v>
          </cell>
        </row>
        <row r="5">
          <cell r="J5">
            <v>18500</v>
          </cell>
          <cell r="K5">
            <v>2405</v>
          </cell>
          <cell r="L5">
            <v>0</v>
          </cell>
        </row>
        <row r="6">
          <cell r="J6">
            <v>1800</v>
          </cell>
          <cell r="K6">
            <v>234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193000</v>
          </cell>
          <cell r="K4">
            <v>23160</v>
          </cell>
          <cell r="L4">
            <v>348500</v>
          </cell>
        </row>
        <row r="5">
          <cell r="J5">
            <v>169150</v>
          </cell>
          <cell r="K5">
            <v>20298</v>
          </cell>
          <cell r="L5">
            <v>128000</v>
          </cell>
        </row>
        <row r="7">
          <cell r="J7">
            <v>30950</v>
          </cell>
          <cell r="K7">
            <v>3714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240750</v>
          </cell>
          <cell r="K4">
            <v>28890</v>
          </cell>
          <cell r="L4">
            <v>165750</v>
          </cell>
        </row>
        <row r="5">
          <cell r="J5">
            <v>222000</v>
          </cell>
          <cell r="K5">
            <v>26640</v>
          </cell>
          <cell r="L5">
            <v>29750</v>
          </cell>
        </row>
        <row r="6">
          <cell r="J6">
            <v>36200</v>
          </cell>
          <cell r="K6">
            <v>3620</v>
          </cell>
          <cell r="L6">
            <v>0</v>
          </cell>
        </row>
        <row r="7">
          <cell r="J7">
            <v>33550</v>
          </cell>
          <cell r="K7">
            <v>4026</v>
          </cell>
          <cell r="L7">
            <v>25500</v>
          </cell>
        </row>
        <row r="8">
          <cell r="J8">
            <v>25700</v>
          </cell>
          <cell r="K8">
            <v>3084</v>
          </cell>
          <cell r="L8">
            <v>21250</v>
          </cell>
        </row>
        <row r="9">
          <cell r="J9">
            <v>110000</v>
          </cell>
          <cell r="K9">
            <v>13200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16300</v>
          </cell>
          <cell r="K4">
            <v>1956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107350</v>
          </cell>
          <cell r="K4">
            <v>12882</v>
          </cell>
          <cell r="L4">
            <v>42500</v>
          </cell>
        </row>
        <row r="5">
          <cell r="J5">
            <v>71400</v>
          </cell>
          <cell r="K5">
            <v>8568</v>
          </cell>
          <cell r="L5">
            <v>42500</v>
          </cell>
        </row>
        <row r="6">
          <cell r="J6">
            <v>5100</v>
          </cell>
          <cell r="K6">
            <v>510</v>
          </cell>
          <cell r="L6">
            <v>0</v>
          </cell>
        </row>
        <row r="7">
          <cell r="J7">
            <v>60500</v>
          </cell>
          <cell r="K7">
            <v>7260</v>
          </cell>
          <cell r="L7">
            <v>38250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107150</v>
          </cell>
          <cell r="K4">
            <v>12858</v>
          </cell>
          <cell r="L4">
            <v>242250</v>
          </cell>
        </row>
        <row r="5">
          <cell r="J5">
            <v>47400</v>
          </cell>
          <cell r="K5">
            <v>5688</v>
          </cell>
          <cell r="L5">
            <v>80000</v>
          </cell>
        </row>
      </sheetData>
      <sheetData sheetId="21">
        <row r="4">
          <cell r="J4">
            <v>96500</v>
          </cell>
          <cell r="K4">
            <v>14475</v>
          </cell>
          <cell r="L4">
            <v>100000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54800</v>
          </cell>
          <cell r="K4">
            <v>6576</v>
          </cell>
          <cell r="L4">
            <v>59500</v>
          </cell>
        </row>
        <row r="5">
          <cell r="J5">
            <v>26550</v>
          </cell>
          <cell r="K5">
            <v>3186</v>
          </cell>
          <cell r="L5">
            <v>0</v>
          </cell>
        </row>
        <row r="6">
          <cell r="J6">
            <v>500</v>
          </cell>
          <cell r="K6">
            <v>50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31279</v>
          </cell>
        </row>
        <row r="12">
          <cell r="G12">
            <v>20000</v>
          </cell>
        </row>
        <row r="19">
          <cell r="D19">
            <v>424100</v>
          </cell>
          <cell r="E19">
            <v>55133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149100</v>
          </cell>
          <cell r="K4">
            <v>19383</v>
          </cell>
          <cell r="L4">
            <v>106250</v>
          </cell>
        </row>
        <row r="5">
          <cell r="J5">
            <v>32900</v>
          </cell>
          <cell r="K5">
            <v>4277</v>
          </cell>
          <cell r="L5">
            <v>40000</v>
          </cell>
        </row>
        <row r="6">
          <cell r="J6">
            <v>10550</v>
          </cell>
          <cell r="K6">
            <v>1371.5</v>
          </cell>
          <cell r="L6">
            <v>0</v>
          </cell>
        </row>
      </sheetData>
      <sheetData sheetId="12">
        <row r="4">
          <cell r="J4">
            <v>188200</v>
          </cell>
          <cell r="K4">
            <v>24466</v>
          </cell>
          <cell r="L4">
            <v>38250</v>
          </cell>
        </row>
        <row r="5">
          <cell r="J5">
            <v>43350</v>
          </cell>
          <cell r="K5">
            <v>5635.5</v>
          </cell>
          <cell r="L5">
            <v>40000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196050</v>
          </cell>
          <cell r="K4">
            <v>23526</v>
          </cell>
          <cell r="L4">
            <v>238000</v>
          </cell>
        </row>
        <row r="5">
          <cell r="J5">
            <v>144400</v>
          </cell>
          <cell r="K5">
            <v>17328</v>
          </cell>
          <cell r="L5">
            <v>136000</v>
          </cell>
        </row>
        <row r="7">
          <cell r="J7">
            <v>39250</v>
          </cell>
          <cell r="K7">
            <v>4710</v>
          </cell>
          <cell r="L7">
            <v>8000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283900</v>
          </cell>
          <cell r="K4">
            <v>34068</v>
          </cell>
          <cell r="L4">
            <v>348500</v>
          </cell>
        </row>
        <row r="5">
          <cell r="J5">
            <v>173600</v>
          </cell>
          <cell r="K5">
            <v>20832</v>
          </cell>
          <cell r="L5">
            <v>323000</v>
          </cell>
        </row>
        <row r="6">
          <cell r="J6">
            <v>24850</v>
          </cell>
          <cell r="K6">
            <v>2485</v>
          </cell>
          <cell r="L6">
            <v>0</v>
          </cell>
        </row>
        <row r="7">
          <cell r="J7">
            <v>23850</v>
          </cell>
          <cell r="K7">
            <v>2862</v>
          </cell>
          <cell r="L7">
            <v>42500</v>
          </cell>
        </row>
        <row r="8">
          <cell r="J8">
            <v>50700</v>
          </cell>
          <cell r="K8">
            <v>6084</v>
          </cell>
          <cell r="L8">
            <v>0</v>
          </cell>
        </row>
        <row r="9">
          <cell r="J9">
            <v>88500</v>
          </cell>
          <cell r="K9">
            <v>10620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7400</v>
          </cell>
          <cell r="K4">
            <v>888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82250</v>
          </cell>
          <cell r="K4">
            <v>9870</v>
          </cell>
          <cell r="L4">
            <v>72250</v>
          </cell>
        </row>
        <row r="5">
          <cell r="J5">
            <v>52250</v>
          </cell>
          <cell r="K5">
            <v>6270</v>
          </cell>
          <cell r="L5">
            <v>55250</v>
          </cell>
        </row>
        <row r="6">
          <cell r="J6">
            <v>4750</v>
          </cell>
          <cell r="K6">
            <v>475</v>
          </cell>
          <cell r="L6">
            <v>0</v>
          </cell>
        </row>
        <row r="7">
          <cell r="J7">
            <v>35050</v>
          </cell>
          <cell r="K7">
            <v>4206</v>
          </cell>
          <cell r="L7">
            <v>38250</v>
          </cell>
        </row>
        <row r="8">
          <cell r="J8">
            <v>6100</v>
          </cell>
          <cell r="K8">
            <v>732</v>
          </cell>
          <cell r="L8">
            <v>0</v>
          </cell>
        </row>
      </sheetData>
      <sheetData sheetId="20">
        <row r="4">
          <cell r="J4">
            <v>115550</v>
          </cell>
          <cell r="K4">
            <v>13866</v>
          </cell>
          <cell r="L4">
            <v>85000</v>
          </cell>
        </row>
        <row r="5">
          <cell r="J5">
            <v>42700</v>
          </cell>
          <cell r="K5">
            <v>5124</v>
          </cell>
          <cell r="L5">
            <v>40000</v>
          </cell>
        </row>
      </sheetData>
      <sheetData sheetId="21">
        <row r="4">
          <cell r="J4">
            <v>84450</v>
          </cell>
          <cell r="K4">
            <v>12667.5</v>
          </cell>
          <cell r="L4">
            <v>16000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76000</v>
          </cell>
          <cell r="K4">
            <v>9120</v>
          </cell>
          <cell r="L4">
            <v>0</v>
          </cell>
        </row>
        <row r="5">
          <cell r="J5">
            <v>21000</v>
          </cell>
          <cell r="K5">
            <v>2520</v>
          </cell>
          <cell r="L5">
            <v>16000</v>
          </cell>
        </row>
        <row r="6">
          <cell r="J6">
            <v>1500</v>
          </cell>
          <cell r="K6">
            <v>150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1200</v>
          </cell>
          <cell r="K8">
            <v>144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27817</v>
          </cell>
        </row>
        <row r="12">
          <cell r="G12">
            <v>35000</v>
          </cell>
        </row>
        <row r="19">
          <cell r="D19">
            <v>399400</v>
          </cell>
          <cell r="E19">
            <v>51922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173400</v>
          </cell>
          <cell r="K4">
            <v>22542</v>
          </cell>
          <cell r="L4">
            <v>80750</v>
          </cell>
        </row>
        <row r="5">
          <cell r="J5">
            <v>33350</v>
          </cell>
          <cell r="K5">
            <v>4335.5</v>
          </cell>
          <cell r="L5">
            <v>12000</v>
          </cell>
        </row>
        <row r="6">
          <cell r="J6">
            <v>7400</v>
          </cell>
          <cell r="K6">
            <v>962</v>
          </cell>
          <cell r="L6">
            <v>0</v>
          </cell>
        </row>
      </sheetData>
      <sheetData sheetId="12">
        <row r="4">
          <cell r="J4">
            <v>165150</v>
          </cell>
          <cell r="K4">
            <v>21469.5</v>
          </cell>
          <cell r="L4">
            <v>148750</v>
          </cell>
        </row>
        <row r="5">
          <cell r="J5">
            <v>16500</v>
          </cell>
          <cell r="K5">
            <v>2145</v>
          </cell>
          <cell r="L5">
            <v>0</v>
          </cell>
        </row>
        <row r="6">
          <cell r="J6">
            <v>3600</v>
          </cell>
          <cell r="K6">
            <v>468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153550</v>
          </cell>
          <cell r="K4">
            <v>18426</v>
          </cell>
          <cell r="L4">
            <v>17000</v>
          </cell>
        </row>
        <row r="5">
          <cell r="J5">
            <v>125050</v>
          </cell>
          <cell r="K5">
            <v>15006</v>
          </cell>
          <cell r="L5">
            <v>68000</v>
          </cell>
        </row>
        <row r="7">
          <cell r="J7">
            <v>44350</v>
          </cell>
          <cell r="K7">
            <v>5322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318350</v>
          </cell>
          <cell r="K4">
            <v>38202</v>
          </cell>
          <cell r="L4">
            <v>34000</v>
          </cell>
        </row>
        <row r="5">
          <cell r="J5">
            <v>156300</v>
          </cell>
          <cell r="K5">
            <v>18756</v>
          </cell>
          <cell r="L5">
            <v>42500</v>
          </cell>
        </row>
        <row r="6">
          <cell r="J6">
            <v>26700</v>
          </cell>
          <cell r="K6">
            <v>2670</v>
          </cell>
          <cell r="L6">
            <v>0</v>
          </cell>
        </row>
        <row r="7">
          <cell r="J7">
            <v>28150</v>
          </cell>
          <cell r="K7">
            <v>3378</v>
          </cell>
          <cell r="L7">
            <v>0</v>
          </cell>
        </row>
        <row r="8">
          <cell r="J8">
            <v>30500</v>
          </cell>
          <cell r="K8">
            <v>3660</v>
          </cell>
          <cell r="L8">
            <v>0</v>
          </cell>
        </row>
        <row r="9">
          <cell r="J9">
            <v>88000</v>
          </cell>
          <cell r="K9">
            <v>10560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6000</v>
          </cell>
          <cell r="K4">
            <v>720</v>
          </cell>
          <cell r="L4">
            <v>42500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98050</v>
          </cell>
          <cell r="K4">
            <v>11766</v>
          </cell>
          <cell r="L4">
            <v>225250</v>
          </cell>
        </row>
        <row r="5">
          <cell r="J5">
            <v>59700</v>
          </cell>
          <cell r="K5">
            <v>7164</v>
          </cell>
          <cell r="L5">
            <v>63750</v>
          </cell>
        </row>
        <row r="6">
          <cell r="J6">
            <v>6600</v>
          </cell>
          <cell r="K6">
            <v>660</v>
          </cell>
          <cell r="L6">
            <v>0</v>
          </cell>
        </row>
        <row r="7">
          <cell r="J7">
            <v>39650</v>
          </cell>
          <cell r="K7">
            <v>4758</v>
          </cell>
          <cell r="L7">
            <v>21250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116350</v>
          </cell>
          <cell r="K4">
            <v>13962</v>
          </cell>
          <cell r="L4">
            <v>85000</v>
          </cell>
        </row>
        <row r="5">
          <cell r="J5">
            <v>40550</v>
          </cell>
          <cell r="K5">
            <v>4866</v>
          </cell>
          <cell r="L5">
            <v>24000</v>
          </cell>
        </row>
      </sheetData>
      <sheetData sheetId="21">
        <row r="4">
          <cell r="J4">
            <v>93750</v>
          </cell>
          <cell r="K4">
            <v>14062.5</v>
          </cell>
          <cell r="L4">
            <v>148000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60600</v>
          </cell>
          <cell r="K4">
            <v>7272</v>
          </cell>
          <cell r="L4">
            <v>59500</v>
          </cell>
        </row>
        <row r="5">
          <cell r="J5">
            <v>12600</v>
          </cell>
          <cell r="K5">
            <v>1512</v>
          </cell>
          <cell r="L5">
            <v>0</v>
          </cell>
        </row>
        <row r="6">
          <cell r="J6">
            <v>900</v>
          </cell>
          <cell r="K6">
            <v>90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31315.5</v>
          </cell>
        </row>
        <row r="12">
          <cell r="G12">
            <v>35000</v>
          </cell>
        </row>
        <row r="19">
          <cell r="D19">
            <v>444800</v>
          </cell>
          <cell r="E19">
            <v>57824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191900</v>
          </cell>
          <cell r="K4">
            <v>24947</v>
          </cell>
          <cell r="L4">
            <v>42500</v>
          </cell>
        </row>
        <row r="5">
          <cell r="J5">
            <v>31250</v>
          </cell>
          <cell r="K5">
            <v>4062.5</v>
          </cell>
          <cell r="L5">
            <v>40000</v>
          </cell>
        </row>
        <row r="6">
          <cell r="J6">
            <v>6600</v>
          </cell>
          <cell r="K6">
            <v>858</v>
          </cell>
          <cell r="L6">
            <v>0</v>
          </cell>
        </row>
      </sheetData>
      <sheetData sheetId="12">
        <row r="4">
          <cell r="J4">
            <v>182500</v>
          </cell>
          <cell r="K4">
            <v>23725</v>
          </cell>
          <cell r="L4">
            <v>102000</v>
          </cell>
        </row>
        <row r="5">
          <cell r="J5">
            <v>30200</v>
          </cell>
          <cell r="K5">
            <v>3926</v>
          </cell>
          <cell r="L5">
            <v>24000</v>
          </cell>
        </row>
        <row r="6">
          <cell r="J6">
            <v>2350</v>
          </cell>
          <cell r="K6">
            <v>305.5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141500</v>
          </cell>
          <cell r="K4">
            <v>16980</v>
          </cell>
          <cell r="L4">
            <v>182750</v>
          </cell>
        </row>
        <row r="5">
          <cell r="J5">
            <v>117750</v>
          </cell>
          <cell r="K5">
            <v>14130</v>
          </cell>
          <cell r="L5">
            <v>112000</v>
          </cell>
        </row>
        <row r="7">
          <cell r="J7">
            <v>20250</v>
          </cell>
          <cell r="K7">
            <v>2430</v>
          </cell>
          <cell r="L7">
            <v>56000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246000</v>
          </cell>
          <cell r="K4">
            <v>29520</v>
          </cell>
          <cell r="L4">
            <v>17000</v>
          </cell>
        </row>
        <row r="5">
          <cell r="J5">
            <v>154650</v>
          </cell>
          <cell r="K5">
            <v>18558</v>
          </cell>
          <cell r="L5">
            <v>119000</v>
          </cell>
        </row>
        <row r="6">
          <cell r="J6">
            <v>35150</v>
          </cell>
          <cell r="K6">
            <v>3515</v>
          </cell>
          <cell r="L6">
            <v>0</v>
          </cell>
        </row>
        <row r="7">
          <cell r="J7">
            <v>20000</v>
          </cell>
          <cell r="K7">
            <v>2400</v>
          </cell>
          <cell r="L7">
            <v>114750</v>
          </cell>
        </row>
        <row r="8">
          <cell r="J8">
            <v>7750</v>
          </cell>
          <cell r="K8">
            <v>930</v>
          </cell>
          <cell r="L8">
            <v>0</v>
          </cell>
        </row>
        <row r="9">
          <cell r="J9">
            <v>94250</v>
          </cell>
          <cell r="K9">
            <v>11310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11700</v>
          </cell>
          <cell r="K4">
            <v>1404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122300</v>
          </cell>
          <cell r="K4">
            <v>14676</v>
          </cell>
          <cell r="L4">
            <v>102000</v>
          </cell>
        </row>
        <row r="5">
          <cell r="J5">
            <v>78050</v>
          </cell>
          <cell r="K5">
            <v>9366</v>
          </cell>
          <cell r="L5">
            <v>89250</v>
          </cell>
        </row>
        <row r="6">
          <cell r="J6">
            <v>6250</v>
          </cell>
          <cell r="K6">
            <v>625</v>
          </cell>
          <cell r="L6">
            <v>0</v>
          </cell>
        </row>
        <row r="7">
          <cell r="J7">
            <v>39200</v>
          </cell>
          <cell r="K7">
            <v>4704</v>
          </cell>
          <cell r="L7">
            <v>72250</v>
          </cell>
        </row>
        <row r="8">
          <cell r="J8">
            <v>4800</v>
          </cell>
          <cell r="K8">
            <v>576</v>
          </cell>
          <cell r="L8">
            <v>0</v>
          </cell>
        </row>
      </sheetData>
      <sheetData sheetId="20">
        <row r="4">
          <cell r="J4">
            <v>117700</v>
          </cell>
          <cell r="K4">
            <v>14124</v>
          </cell>
          <cell r="L4">
            <v>34000</v>
          </cell>
        </row>
        <row r="5">
          <cell r="J5">
            <v>42150</v>
          </cell>
          <cell r="K5">
            <v>5058</v>
          </cell>
          <cell r="L5">
            <v>0</v>
          </cell>
        </row>
      </sheetData>
      <sheetData sheetId="21">
        <row r="4">
          <cell r="J4">
            <v>92000</v>
          </cell>
          <cell r="K4">
            <v>13800</v>
          </cell>
          <cell r="L4">
            <v>24000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72450</v>
          </cell>
          <cell r="K4">
            <v>8694</v>
          </cell>
          <cell r="L4">
            <v>127500</v>
          </cell>
        </row>
        <row r="5">
          <cell r="J5">
            <v>31550</v>
          </cell>
          <cell r="K5">
            <v>3786</v>
          </cell>
          <cell r="L5">
            <v>64000</v>
          </cell>
        </row>
        <row r="6">
          <cell r="J6">
            <v>500</v>
          </cell>
          <cell r="K6">
            <v>50</v>
          </cell>
          <cell r="L6">
            <v>0</v>
          </cell>
        </row>
        <row r="7">
          <cell r="J7">
            <v>500</v>
          </cell>
          <cell r="K7">
            <v>60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27519.5</v>
          </cell>
        </row>
        <row r="12">
          <cell r="G12">
            <v>20000</v>
          </cell>
        </row>
        <row r="19">
          <cell r="D19">
            <v>369150</v>
          </cell>
          <cell r="E19">
            <v>47989.5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206200</v>
          </cell>
          <cell r="K4">
            <v>26806</v>
          </cell>
          <cell r="L4">
            <v>195500</v>
          </cell>
        </row>
        <row r="5">
          <cell r="J5">
            <v>45150</v>
          </cell>
          <cell r="K5">
            <v>5869.5</v>
          </cell>
          <cell r="L5">
            <v>80000</v>
          </cell>
        </row>
        <row r="6">
          <cell r="J6">
            <v>14900</v>
          </cell>
          <cell r="K6">
            <v>1937</v>
          </cell>
          <cell r="L6">
            <v>80000</v>
          </cell>
        </row>
      </sheetData>
      <sheetData sheetId="12">
        <row r="4">
          <cell r="J4">
            <v>74150</v>
          </cell>
          <cell r="K4">
            <v>9639.5</v>
          </cell>
          <cell r="L4">
            <v>0</v>
          </cell>
        </row>
        <row r="5">
          <cell r="J5">
            <v>22450</v>
          </cell>
          <cell r="K5">
            <v>2918.5</v>
          </cell>
          <cell r="L5">
            <v>0</v>
          </cell>
        </row>
        <row r="6">
          <cell r="J6">
            <v>6300</v>
          </cell>
          <cell r="K6">
            <v>819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175400</v>
          </cell>
          <cell r="K4">
            <v>21048</v>
          </cell>
          <cell r="L4">
            <v>195500</v>
          </cell>
        </row>
        <row r="5">
          <cell r="J5">
            <v>124150</v>
          </cell>
          <cell r="K5">
            <v>14898</v>
          </cell>
          <cell r="L5">
            <v>40000</v>
          </cell>
        </row>
        <row r="7">
          <cell r="J7">
            <v>26800</v>
          </cell>
          <cell r="K7">
            <v>3216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216650</v>
          </cell>
          <cell r="K4">
            <v>25998</v>
          </cell>
          <cell r="L4">
            <v>123250</v>
          </cell>
        </row>
        <row r="5">
          <cell r="J5">
            <v>194700</v>
          </cell>
          <cell r="K5">
            <v>23364</v>
          </cell>
          <cell r="L5">
            <v>59500</v>
          </cell>
        </row>
        <row r="6">
          <cell r="J6">
            <v>38900</v>
          </cell>
          <cell r="K6">
            <v>3890</v>
          </cell>
          <cell r="L6">
            <v>0</v>
          </cell>
        </row>
        <row r="7">
          <cell r="J7">
            <v>46100</v>
          </cell>
          <cell r="K7">
            <v>5532</v>
          </cell>
          <cell r="L7">
            <v>0</v>
          </cell>
        </row>
        <row r="8">
          <cell r="J8">
            <v>37450</v>
          </cell>
          <cell r="K8">
            <v>4494</v>
          </cell>
          <cell r="L8">
            <v>85000</v>
          </cell>
        </row>
        <row r="9">
          <cell r="J9">
            <v>95000</v>
          </cell>
          <cell r="K9">
            <v>11400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5000</v>
          </cell>
          <cell r="K4">
            <v>600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111850</v>
          </cell>
          <cell r="K4">
            <v>13422</v>
          </cell>
          <cell r="L4">
            <v>199750</v>
          </cell>
        </row>
        <row r="5">
          <cell r="J5">
            <v>95250</v>
          </cell>
          <cell r="K5">
            <v>11430</v>
          </cell>
          <cell r="L5">
            <v>42500</v>
          </cell>
        </row>
        <row r="6">
          <cell r="J6">
            <v>10350</v>
          </cell>
          <cell r="K6">
            <v>1035</v>
          </cell>
          <cell r="L6">
            <v>0</v>
          </cell>
        </row>
        <row r="7">
          <cell r="J7">
            <v>49650</v>
          </cell>
          <cell r="K7">
            <v>5958</v>
          </cell>
          <cell r="L7">
            <v>38250</v>
          </cell>
        </row>
        <row r="8">
          <cell r="J8">
            <v>5200</v>
          </cell>
          <cell r="K8">
            <v>624</v>
          </cell>
          <cell r="L8">
            <v>0</v>
          </cell>
        </row>
      </sheetData>
      <sheetData sheetId="20">
        <row r="4">
          <cell r="J4">
            <v>84700</v>
          </cell>
          <cell r="K4">
            <v>10164</v>
          </cell>
          <cell r="L4">
            <v>59500</v>
          </cell>
        </row>
        <row r="5">
          <cell r="J5">
            <v>35000</v>
          </cell>
          <cell r="K5">
            <v>4200</v>
          </cell>
          <cell r="L5">
            <v>0</v>
          </cell>
        </row>
      </sheetData>
      <sheetData sheetId="21">
        <row r="4">
          <cell r="J4">
            <v>68050</v>
          </cell>
          <cell r="K4">
            <v>10207.5</v>
          </cell>
          <cell r="L4">
            <v>40000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55450</v>
          </cell>
          <cell r="K4">
            <v>6654</v>
          </cell>
          <cell r="L4">
            <v>80750</v>
          </cell>
        </row>
        <row r="5">
          <cell r="J5">
            <v>19600</v>
          </cell>
          <cell r="K5">
            <v>2352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43037.5</v>
          </cell>
        </row>
        <row r="12">
          <cell r="G12">
            <v>20000</v>
          </cell>
        </row>
        <row r="19">
          <cell r="D19">
            <v>425750</v>
          </cell>
          <cell r="E19">
            <v>55347.5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205250</v>
          </cell>
          <cell r="K4">
            <v>26682.5</v>
          </cell>
          <cell r="L4">
            <v>148750</v>
          </cell>
        </row>
        <row r="5">
          <cell r="J5">
            <v>55150</v>
          </cell>
          <cell r="K5">
            <v>7169.5</v>
          </cell>
          <cell r="L5">
            <v>160000</v>
          </cell>
        </row>
        <row r="6">
          <cell r="J6">
            <v>1700</v>
          </cell>
          <cell r="K6">
            <v>221</v>
          </cell>
          <cell r="L6">
            <v>0</v>
          </cell>
        </row>
      </sheetData>
      <sheetData sheetId="12">
        <row r="4">
          <cell r="J4">
            <v>115400</v>
          </cell>
          <cell r="K4">
            <v>15002</v>
          </cell>
          <cell r="L4">
            <v>42500</v>
          </cell>
        </row>
        <row r="5">
          <cell r="J5">
            <v>37550</v>
          </cell>
          <cell r="K5">
            <v>4881.5</v>
          </cell>
          <cell r="L5">
            <v>40000</v>
          </cell>
        </row>
        <row r="6">
          <cell r="J6">
            <v>10700</v>
          </cell>
          <cell r="K6">
            <v>1391</v>
          </cell>
          <cell r="L6">
            <v>80000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164350</v>
          </cell>
          <cell r="K4">
            <v>19722</v>
          </cell>
          <cell r="L4">
            <v>72250</v>
          </cell>
        </row>
        <row r="5">
          <cell r="J5">
            <v>84200</v>
          </cell>
          <cell r="K5">
            <v>10104</v>
          </cell>
          <cell r="L5">
            <v>12000</v>
          </cell>
        </row>
        <row r="7">
          <cell r="J7">
            <v>29900</v>
          </cell>
          <cell r="K7">
            <v>3588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338600</v>
          </cell>
          <cell r="K4">
            <v>40632</v>
          </cell>
          <cell r="L4">
            <v>267750</v>
          </cell>
        </row>
        <row r="5">
          <cell r="J5">
            <v>171900</v>
          </cell>
          <cell r="K5">
            <v>20628</v>
          </cell>
          <cell r="L5">
            <v>59500</v>
          </cell>
        </row>
        <row r="6">
          <cell r="J6">
            <v>30050</v>
          </cell>
          <cell r="K6">
            <v>3005</v>
          </cell>
          <cell r="L6">
            <v>100000</v>
          </cell>
        </row>
        <row r="7">
          <cell r="J7">
            <v>29850</v>
          </cell>
          <cell r="K7">
            <v>3582</v>
          </cell>
          <cell r="L7">
            <v>0</v>
          </cell>
        </row>
        <row r="8">
          <cell r="J8">
            <v>50000</v>
          </cell>
          <cell r="K8">
            <v>6000</v>
          </cell>
          <cell r="L8">
            <v>0</v>
          </cell>
        </row>
        <row r="9">
          <cell r="J9">
            <v>131000</v>
          </cell>
          <cell r="K9">
            <v>15720</v>
          </cell>
          <cell r="L9">
            <v>63750</v>
          </cell>
        </row>
        <row r="10">
          <cell r="J10">
            <v>2000</v>
          </cell>
          <cell r="K10">
            <v>240</v>
          </cell>
          <cell r="L10">
            <v>0</v>
          </cell>
        </row>
      </sheetData>
      <sheetData sheetId="18">
        <row r="4">
          <cell r="J4">
            <v>11000</v>
          </cell>
          <cell r="K4">
            <v>1320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109650</v>
          </cell>
          <cell r="K4">
            <v>13158</v>
          </cell>
          <cell r="L4">
            <v>80750</v>
          </cell>
        </row>
        <row r="5">
          <cell r="J5">
            <v>55900</v>
          </cell>
          <cell r="K5">
            <v>6708</v>
          </cell>
          <cell r="L5">
            <v>63750</v>
          </cell>
        </row>
        <row r="6">
          <cell r="J6">
            <v>4000</v>
          </cell>
          <cell r="K6">
            <v>400</v>
          </cell>
          <cell r="L6">
            <v>0</v>
          </cell>
        </row>
        <row r="7">
          <cell r="J7">
            <v>28450</v>
          </cell>
          <cell r="K7">
            <v>3414</v>
          </cell>
          <cell r="L7">
            <v>21250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86250</v>
          </cell>
          <cell r="K4">
            <v>10350</v>
          </cell>
          <cell r="L4">
            <v>38250</v>
          </cell>
        </row>
        <row r="5">
          <cell r="J5">
            <v>32200</v>
          </cell>
          <cell r="K5">
            <v>3864</v>
          </cell>
          <cell r="L5">
            <v>0</v>
          </cell>
        </row>
      </sheetData>
      <sheetData sheetId="21">
        <row r="4">
          <cell r="J4">
            <v>59300</v>
          </cell>
          <cell r="K4">
            <v>8895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100050</v>
          </cell>
          <cell r="K4">
            <v>12006</v>
          </cell>
          <cell r="L4">
            <v>42500</v>
          </cell>
        </row>
        <row r="5">
          <cell r="J5">
            <v>36700</v>
          </cell>
          <cell r="K5">
            <v>4404</v>
          </cell>
          <cell r="L5">
            <v>20000</v>
          </cell>
        </row>
        <row r="6">
          <cell r="J6">
            <v>10000</v>
          </cell>
          <cell r="K6">
            <v>1000</v>
          </cell>
          <cell r="L6">
            <v>0</v>
          </cell>
        </row>
        <row r="7">
          <cell r="J7">
            <v>2700</v>
          </cell>
          <cell r="K7">
            <v>324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25591</v>
          </cell>
        </row>
        <row r="12">
          <cell r="G12">
            <v>35000</v>
          </cell>
        </row>
        <row r="19">
          <cell r="D19">
            <v>439650</v>
          </cell>
          <cell r="E19">
            <v>57154.5</v>
          </cell>
          <cell r="F19">
            <v>30000</v>
          </cell>
        </row>
        <row r="22">
          <cell r="G22">
            <v>8500</v>
          </cell>
        </row>
      </sheetData>
      <sheetData sheetId="10"/>
      <sheetData sheetId="11">
        <row r="4">
          <cell r="J4">
            <v>186950</v>
          </cell>
          <cell r="K4">
            <v>24303.5</v>
          </cell>
          <cell r="L4">
            <v>51000</v>
          </cell>
        </row>
        <row r="5">
          <cell r="J5">
            <v>49700</v>
          </cell>
          <cell r="K5">
            <v>6461</v>
          </cell>
          <cell r="L5">
            <v>0</v>
          </cell>
        </row>
        <row r="6">
          <cell r="J6">
            <v>15700</v>
          </cell>
          <cell r="K6">
            <v>2041</v>
          </cell>
          <cell r="L6">
            <v>40000</v>
          </cell>
        </row>
      </sheetData>
      <sheetData sheetId="12">
        <row r="4">
          <cell r="J4">
            <v>144600</v>
          </cell>
          <cell r="K4">
            <v>18798</v>
          </cell>
          <cell r="L4">
            <v>0</v>
          </cell>
        </row>
        <row r="5">
          <cell r="J5">
            <v>38450</v>
          </cell>
          <cell r="K5">
            <v>4998.5</v>
          </cell>
          <cell r="L5">
            <v>0</v>
          </cell>
        </row>
        <row r="6">
          <cell r="J6">
            <v>4250</v>
          </cell>
          <cell r="K6">
            <v>552.5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128300</v>
          </cell>
          <cell r="K4">
            <v>15396</v>
          </cell>
          <cell r="L4">
            <v>114750</v>
          </cell>
        </row>
        <row r="5">
          <cell r="J5">
            <v>121250</v>
          </cell>
          <cell r="K5">
            <v>14550</v>
          </cell>
          <cell r="L5">
            <v>88000</v>
          </cell>
        </row>
        <row r="7">
          <cell r="J7">
            <v>21950</v>
          </cell>
          <cell r="K7">
            <v>2634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274950</v>
          </cell>
          <cell r="K4">
            <v>32994</v>
          </cell>
          <cell r="L4">
            <v>8500</v>
          </cell>
        </row>
        <row r="5">
          <cell r="J5">
            <v>123950</v>
          </cell>
          <cell r="K5">
            <v>14874</v>
          </cell>
          <cell r="L5">
            <v>29750</v>
          </cell>
        </row>
        <row r="6">
          <cell r="J6">
            <v>22800</v>
          </cell>
          <cell r="K6">
            <v>2280</v>
          </cell>
          <cell r="L6">
            <v>0</v>
          </cell>
        </row>
        <row r="7">
          <cell r="J7">
            <v>28650</v>
          </cell>
          <cell r="K7">
            <v>3438</v>
          </cell>
          <cell r="L7">
            <v>0</v>
          </cell>
        </row>
        <row r="8">
          <cell r="J8">
            <v>6000</v>
          </cell>
          <cell r="K8">
            <v>720</v>
          </cell>
          <cell r="L8">
            <v>0</v>
          </cell>
        </row>
        <row r="9">
          <cell r="J9">
            <v>72000</v>
          </cell>
          <cell r="K9">
            <v>8640</v>
          </cell>
          <cell r="L9">
            <v>63750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6500</v>
          </cell>
          <cell r="K4">
            <v>780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120750</v>
          </cell>
          <cell r="K4">
            <v>14490</v>
          </cell>
          <cell r="L4">
            <v>127500</v>
          </cell>
        </row>
        <row r="5">
          <cell r="J5">
            <v>90950</v>
          </cell>
          <cell r="K5">
            <v>10914</v>
          </cell>
          <cell r="L5">
            <v>42500</v>
          </cell>
        </row>
        <row r="6">
          <cell r="J6">
            <v>5950</v>
          </cell>
          <cell r="K6">
            <v>595</v>
          </cell>
          <cell r="L6">
            <v>0</v>
          </cell>
        </row>
        <row r="7">
          <cell r="J7">
            <v>48700</v>
          </cell>
          <cell r="K7">
            <v>5844</v>
          </cell>
          <cell r="L7">
            <v>46750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63250</v>
          </cell>
          <cell r="K4">
            <v>7590</v>
          </cell>
          <cell r="L4">
            <v>42500</v>
          </cell>
        </row>
        <row r="5">
          <cell r="J5">
            <v>41950</v>
          </cell>
          <cell r="K5">
            <v>5034</v>
          </cell>
          <cell r="L5">
            <v>24000</v>
          </cell>
        </row>
      </sheetData>
      <sheetData sheetId="21">
        <row r="4">
          <cell r="J4">
            <v>93650</v>
          </cell>
          <cell r="K4">
            <v>14047.5</v>
          </cell>
          <cell r="L4">
            <v>80000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66050</v>
          </cell>
          <cell r="K4">
            <v>7926</v>
          </cell>
          <cell r="L4">
            <v>29750</v>
          </cell>
        </row>
        <row r="5">
          <cell r="J5">
            <v>37200</v>
          </cell>
          <cell r="K5">
            <v>4464</v>
          </cell>
          <cell r="L5">
            <v>8000</v>
          </cell>
        </row>
        <row r="6">
          <cell r="J6">
            <v>2100</v>
          </cell>
          <cell r="K6">
            <v>210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100</v>
          </cell>
          <cell r="K4">
            <v>8500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24494</v>
          </cell>
        </row>
        <row r="12">
          <cell r="G12">
            <v>35000</v>
          </cell>
        </row>
        <row r="19">
          <cell r="D19">
            <v>392700</v>
          </cell>
          <cell r="E19">
            <v>51051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188500</v>
          </cell>
          <cell r="K4">
            <v>24505</v>
          </cell>
          <cell r="L4">
            <v>705500</v>
          </cell>
        </row>
        <row r="5">
          <cell r="J5">
            <v>38900</v>
          </cell>
          <cell r="K5">
            <v>5057</v>
          </cell>
          <cell r="L5">
            <v>8000</v>
          </cell>
        </row>
        <row r="6">
          <cell r="J6">
            <v>11150</v>
          </cell>
          <cell r="K6">
            <v>1449.5</v>
          </cell>
          <cell r="L6">
            <v>0</v>
          </cell>
        </row>
      </sheetData>
      <sheetData sheetId="12">
        <row r="4">
          <cell r="J4">
            <v>136950</v>
          </cell>
          <cell r="K4">
            <v>17803.5</v>
          </cell>
          <cell r="L4">
            <v>161500</v>
          </cell>
        </row>
        <row r="5">
          <cell r="J5">
            <v>14900</v>
          </cell>
          <cell r="K5">
            <v>1937</v>
          </cell>
          <cell r="L5">
            <v>16000</v>
          </cell>
        </row>
        <row r="6">
          <cell r="J6">
            <v>2300</v>
          </cell>
          <cell r="K6">
            <v>299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188300</v>
          </cell>
          <cell r="K4">
            <v>22596</v>
          </cell>
          <cell r="L4">
            <v>246500</v>
          </cell>
        </row>
        <row r="5">
          <cell r="J5">
            <v>145150</v>
          </cell>
          <cell r="K5">
            <v>17418</v>
          </cell>
          <cell r="L5">
            <v>136000</v>
          </cell>
        </row>
        <row r="7">
          <cell r="J7">
            <v>36050</v>
          </cell>
          <cell r="K7">
            <v>4326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386300</v>
          </cell>
          <cell r="K4">
            <v>46356</v>
          </cell>
          <cell r="L4">
            <v>335750</v>
          </cell>
        </row>
        <row r="5">
          <cell r="J5">
            <v>173950</v>
          </cell>
          <cell r="K5">
            <v>20874</v>
          </cell>
          <cell r="L5">
            <v>55250</v>
          </cell>
        </row>
        <row r="6">
          <cell r="J6">
            <v>18250</v>
          </cell>
          <cell r="K6">
            <v>1825</v>
          </cell>
          <cell r="L6">
            <v>0</v>
          </cell>
        </row>
        <row r="7">
          <cell r="J7">
            <v>52550</v>
          </cell>
          <cell r="K7">
            <v>6306</v>
          </cell>
          <cell r="L7">
            <v>0</v>
          </cell>
        </row>
        <row r="8">
          <cell r="J8">
            <v>46450</v>
          </cell>
          <cell r="K8">
            <v>5574</v>
          </cell>
          <cell r="L8">
            <v>0</v>
          </cell>
        </row>
        <row r="9">
          <cell r="J9">
            <v>28000</v>
          </cell>
          <cell r="K9">
            <v>3360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11300</v>
          </cell>
          <cell r="K4">
            <v>1356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114950</v>
          </cell>
          <cell r="K4">
            <v>13794</v>
          </cell>
          <cell r="L4">
            <v>97750</v>
          </cell>
        </row>
        <row r="5">
          <cell r="J5">
            <v>82900</v>
          </cell>
          <cell r="K5">
            <v>9948</v>
          </cell>
          <cell r="L5">
            <v>42500</v>
          </cell>
        </row>
        <row r="6">
          <cell r="J6">
            <v>5500</v>
          </cell>
          <cell r="K6">
            <v>550</v>
          </cell>
          <cell r="L6">
            <v>0</v>
          </cell>
        </row>
        <row r="7">
          <cell r="J7">
            <v>61700</v>
          </cell>
          <cell r="K7">
            <v>7404</v>
          </cell>
          <cell r="L7">
            <v>38250</v>
          </cell>
        </row>
        <row r="8">
          <cell r="J8">
            <v>6000</v>
          </cell>
          <cell r="K8">
            <v>720</v>
          </cell>
          <cell r="L8">
            <v>17000</v>
          </cell>
        </row>
      </sheetData>
      <sheetData sheetId="20">
        <row r="4">
          <cell r="J4">
            <v>64750</v>
          </cell>
          <cell r="K4">
            <v>7770</v>
          </cell>
          <cell r="L4">
            <v>131750</v>
          </cell>
        </row>
        <row r="5">
          <cell r="J5">
            <v>44250</v>
          </cell>
          <cell r="K5">
            <v>5310</v>
          </cell>
          <cell r="L5">
            <v>8000</v>
          </cell>
        </row>
      </sheetData>
      <sheetData sheetId="21">
        <row r="4">
          <cell r="J4">
            <v>81650</v>
          </cell>
          <cell r="K4">
            <v>12247.5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78150</v>
          </cell>
          <cell r="K4">
            <v>9378</v>
          </cell>
          <cell r="L4">
            <v>208250</v>
          </cell>
        </row>
        <row r="5">
          <cell r="J5">
            <v>30800</v>
          </cell>
          <cell r="K5">
            <v>3696</v>
          </cell>
          <cell r="L5">
            <v>0</v>
          </cell>
        </row>
        <row r="6">
          <cell r="J6">
            <v>1900</v>
          </cell>
          <cell r="K6">
            <v>190</v>
          </cell>
          <cell r="L6">
            <v>0</v>
          </cell>
        </row>
        <row r="7">
          <cell r="J7">
            <v>2900</v>
          </cell>
          <cell r="K7">
            <v>348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21983.5</v>
          </cell>
        </row>
        <row r="12">
          <cell r="G12">
            <v>15000</v>
          </cell>
        </row>
        <row r="19">
          <cell r="D19">
            <v>370700</v>
          </cell>
          <cell r="E19">
            <v>48191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155100</v>
          </cell>
          <cell r="K4">
            <v>20163</v>
          </cell>
          <cell r="L4">
            <v>42500</v>
          </cell>
        </row>
        <row r="5">
          <cell r="J5">
            <v>26200</v>
          </cell>
          <cell r="K5">
            <v>3406</v>
          </cell>
          <cell r="L5">
            <v>0</v>
          </cell>
        </row>
        <row r="6">
          <cell r="J6">
            <v>4200</v>
          </cell>
          <cell r="K6">
            <v>546</v>
          </cell>
          <cell r="L6">
            <v>0</v>
          </cell>
        </row>
      </sheetData>
      <sheetData sheetId="12">
        <row r="4">
          <cell r="J4">
            <v>163750</v>
          </cell>
          <cell r="K4">
            <v>21287.5</v>
          </cell>
          <cell r="L4">
            <v>272000</v>
          </cell>
        </row>
        <row r="5">
          <cell r="J5">
            <v>20550</v>
          </cell>
          <cell r="K5">
            <v>2671.5</v>
          </cell>
          <cell r="L5">
            <v>0</v>
          </cell>
        </row>
        <row r="6">
          <cell r="J6">
            <v>900</v>
          </cell>
          <cell r="K6">
            <v>117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124450</v>
          </cell>
          <cell r="K4">
            <v>14934</v>
          </cell>
          <cell r="L4">
            <v>55250</v>
          </cell>
        </row>
        <row r="5">
          <cell r="J5">
            <v>110950</v>
          </cell>
          <cell r="K5">
            <v>13314</v>
          </cell>
          <cell r="L5">
            <v>16000</v>
          </cell>
        </row>
        <row r="7">
          <cell r="J7">
            <v>27050</v>
          </cell>
          <cell r="K7">
            <v>3246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243500</v>
          </cell>
          <cell r="K4">
            <v>29220</v>
          </cell>
          <cell r="L4">
            <v>293250</v>
          </cell>
        </row>
        <row r="5">
          <cell r="J5">
            <v>218150</v>
          </cell>
          <cell r="K5">
            <v>26178</v>
          </cell>
          <cell r="L5">
            <v>97750</v>
          </cell>
        </row>
        <row r="6">
          <cell r="J6">
            <v>26250</v>
          </cell>
          <cell r="K6">
            <v>2625</v>
          </cell>
          <cell r="L6">
            <v>0</v>
          </cell>
        </row>
        <row r="7">
          <cell r="J7">
            <v>16750</v>
          </cell>
          <cell r="K7">
            <v>2010</v>
          </cell>
          <cell r="L7">
            <v>0</v>
          </cell>
        </row>
        <row r="8">
          <cell r="J8">
            <v>60500</v>
          </cell>
          <cell r="K8">
            <v>7260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3000</v>
          </cell>
          <cell r="K4">
            <v>360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144400</v>
          </cell>
          <cell r="K4">
            <v>17328</v>
          </cell>
          <cell r="L4">
            <v>306000</v>
          </cell>
        </row>
        <row r="5">
          <cell r="J5">
            <v>95200</v>
          </cell>
          <cell r="K5">
            <v>11424</v>
          </cell>
          <cell r="L5">
            <v>153000</v>
          </cell>
        </row>
        <row r="6">
          <cell r="J6">
            <v>5950</v>
          </cell>
          <cell r="K6">
            <v>595</v>
          </cell>
          <cell r="L6">
            <v>0</v>
          </cell>
        </row>
        <row r="7">
          <cell r="J7">
            <v>55400</v>
          </cell>
          <cell r="K7">
            <v>6648</v>
          </cell>
          <cell r="L7">
            <v>34000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71300</v>
          </cell>
          <cell r="K4">
            <v>8556</v>
          </cell>
          <cell r="L4">
            <v>0</v>
          </cell>
        </row>
        <row r="5">
          <cell r="J5">
            <v>32300</v>
          </cell>
          <cell r="K5">
            <v>3876</v>
          </cell>
          <cell r="L5">
            <v>20000</v>
          </cell>
        </row>
      </sheetData>
      <sheetData sheetId="21">
        <row r="4">
          <cell r="J4">
            <v>108850</v>
          </cell>
          <cell r="K4">
            <v>16327.5</v>
          </cell>
          <cell r="L4">
            <v>144000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57600</v>
          </cell>
          <cell r="K4">
            <v>6912</v>
          </cell>
          <cell r="L4">
            <v>127500</v>
          </cell>
        </row>
        <row r="5">
          <cell r="J5">
            <v>23650</v>
          </cell>
          <cell r="K5">
            <v>2838</v>
          </cell>
          <cell r="L5">
            <v>0</v>
          </cell>
        </row>
        <row r="6">
          <cell r="J6">
            <v>4000</v>
          </cell>
          <cell r="K6">
            <v>400</v>
          </cell>
          <cell r="L6">
            <v>0</v>
          </cell>
        </row>
        <row r="7">
          <cell r="J7">
            <v>4200</v>
          </cell>
          <cell r="K7">
            <v>504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30720.5</v>
          </cell>
        </row>
        <row r="12">
          <cell r="G12">
            <v>35000</v>
          </cell>
        </row>
        <row r="19">
          <cell r="D19">
            <v>413650</v>
          </cell>
          <cell r="E19">
            <v>53774.5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164650</v>
          </cell>
          <cell r="K4">
            <v>21404.5</v>
          </cell>
          <cell r="L4">
            <v>55250</v>
          </cell>
        </row>
        <row r="5">
          <cell r="J5">
            <v>34350</v>
          </cell>
          <cell r="K5">
            <v>4465.5</v>
          </cell>
          <cell r="L5">
            <v>24000</v>
          </cell>
        </row>
        <row r="6">
          <cell r="J6">
            <v>9050</v>
          </cell>
          <cell r="K6">
            <v>1176.5</v>
          </cell>
          <cell r="L6">
            <v>28000</v>
          </cell>
        </row>
      </sheetData>
      <sheetData sheetId="12">
        <row r="4">
          <cell r="J4">
            <v>186300</v>
          </cell>
          <cell r="K4">
            <v>24219</v>
          </cell>
          <cell r="L4">
            <v>0</v>
          </cell>
        </row>
        <row r="5">
          <cell r="J5">
            <v>9900</v>
          </cell>
          <cell r="K5">
            <v>1287</v>
          </cell>
          <cell r="L5">
            <v>16000</v>
          </cell>
        </row>
        <row r="6">
          <cell r="J6">
            <v>9400</v>
          </cell>
          <cell r="K6">
            <v>1222</v>
          </cell>
          <cell r="L6">
            <v>40000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136650</v>
          </cell>
          <cell r="K4">
            <v>16398</v>
          </cell>
          <cell r="L4">
            <v>68000</v>
          </cell>
        </row>
        <row r="5">
          <cell r="J5">
            <v>99850</v>
          </cell>
          <cell r="K5">
            <v>11982</v>
          </cell>
          <cell r="L5">
            <v>68000</v>
          </cell>
        </row>
        <row r="7">
          <cell r="J7">
            <v>31450</v>
          </cell>
          <cell r="K7">
            <v>3774</v>
          </cell>
          <cell r="L7">
            <v>16000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289250</v>
          </cell>
          <cell r="K4">
            <v>34710</v>
          </cell>
          <cell r="L4">
            <v>212500</v>
          </cell>
        </row>
        <row r="5">
          <cell r="J5">
            <v>190000</v>
          </cell>
          <cell r="K5">
            <v>22800</v>
          </cell>
          <cell r="L5">
            <v>467500</v>
          </cell>
        </row>
        <row r="6">
          <cell r="J6">
            <v>41100</v>
          </cell>
          <cell r="K6">
            <v>4110</v>
          </cell>
          <cell r="L6">
            <v>0</v>
          </cell>
        </row>
        <row r="7">
          <cell r="J7">
            <v>41800</v>
          </cell>
          <cell r="K7">
            <v>5016</v>
          </cell>
          <cell r="L7">
            <v>17000</v>
          </cell>
        </row>
        <row r="8">
          <cell r="J8">
            <v>16000</v>
          </cell>
          <cell r="K8">
            <v>1920</v>
          </cell>
          <cell r="L8">
            <v>0</v>
          </cell>
        </row>
        <row r="9">
          <cell r="J9">
            <v>1200</v>
          </cell>
          <cell r="K9">
            <v>144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2000</v>
          </cell>
          <cell r="K4">
            <v>240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104400</v>
          </cell>
          <cell r="K4">
            <v>12528</v>
          </cell>
          <cell r="L4">
            <v>68000</v>
          </cell>
        </row>
        <row r="5">
          <cell r="J5">
            <v>86900</v>
          </cell>
          <cell r="K5">
            <v>10428</v>
          </cell>
          <cell r="L5">
            <v>21250</v>
          </cell>
        </row>
        <row r="6">
          <cell r="J6">
            <v>6250</v>
          </cell>
          <cell r="K6">
            <v>625</v>
          </cell>
          <cell r="L6">
            <v>0</v>
          </cell>
        </row>
        <row r="7">
          <cell r="J7">
            <v>60450</v>
          </cell>
          <cell r="K7">
            <v>7254</v>
          </cell>
          <cell r="L7">
            <v>38250</v>
          </cell>
        </row>
        <row r="8">
          <cell r="J8">
            <v>7000</v>
          </cell>
          <cell r="K8">
            <v>840</v>
          </cell>
          <cell r="L8">
            <v>17000</v>
          </cell>
        </row>
      </sheetData>
      <sheetData sheetId="20">
        <row r="4">
          <cell r="J4">
            <v>65250</v>
          </cell>
          <cell r="K4">
            <v>7830</v>
          </cell>
          <cell r="L4">
            <v>0</v>
          </cell>
        </row>
        <row r="5">
          <cell r="J5">
            <v>37750</v>
          </cell>
          <cell r="K5">
            <v>4530</v>
          </cell>
          <cell r="L5">
            <v>0</v>
          </cell>
        </row>
      </sheetData>
      <sheetData sheetId="21">
        <row r="4">
          <cell r="J4">
            <v>153900</v>
          </cell>
          <cell r="K4">
            <v>23085</v>
          </cell>
          <cell r="L4">
            <v>148000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68200</v>
          </cell>
          <cell r="K4">
            <v>8184</v>
          </cell>
          <cell r="L4">
            <v>25500</v>
          </cell>
        </row>
        <row r="5">
          <cell r="J5">
            <v>21850</v>
          </cell>
          <cell r="K5">
            <v>2622</v>
          </cell>
          <cell r="L5">
            <v>0</v>
          </cell>
        </row>
        <row r="6">
          <cell r="J6">
            <v>2400</v>
          </cell>
          <cell r="K6">
            <v>240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300</v>
          </cell>
          <cell r="K8">
            <v>36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27240.5</v>
          </cell>
        </row>
        <row r="12">
          <cell r="G12">
            <v>35000</v>
          </cell>
        </row>
        <row r="19">
          <cell r="D19">
            <v>280150</v>
          </cell>
          <cell r="E19">
            <v>36419.5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105300</v>
          </cell>
          <cell r="K4">
            <v>13689</v>
          </cell>
          <cell r="L4">
            <v>114750</v>
          </cell>
        </row>
        <row r="5">
          <cell r="J5">
            <v>40900</v>
          </cell>
          <cell r="K5">
            <v>5317</v>
          </cell>
          <cell r="L5">
            <v>0</v>
          </cell>
        </row>
        <row r="6">
          <cell r="J6">
            <v>11400</v>
          </cell>
          <cell r="K6">
            <v>1482</v>
          </cell>
          <cell r="L6">
            <v>0</v>
          </cell>
        </row>
      </sheetData>
      <sheetData sheetId="12">
        <row r="4">
          <cell r="J4">
            <v>85500</v>
          </cell>
          <cell r="K4">
            <v>11115</v>
          </cell>
          <cell r="L4">
            <v>55250</v>
          </cell>
        </row>
        <row r="5">
          <cell r="J5">
            <v>25650</v>
          </cell>
          <cell r="K5">
            <v>3334.5</v>
          </cell>
          <cell r="L5">
            <v>80000</v>
          </cell>
        </row>
        <row r="6">
          <cell r="J6">
            <v>11400</v>
          </cell>
          <cell r="K6">
            <v>1482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107050</v>
          </cell>
          <cell r="K4">
            <v>12846</v>
          </cell>
          <cell r="L4">
            <v>63750</v>
          </cell>
        </row>
        <row r="5">
          <cell r="J5">
            <v>119750</v>
          </cell>
          <cell r="K5">
            <v>14370</v>
          </cell>
          <cell r="L5">
            <v>80000</v>
          </cell>
        </row>
        <row r="7">
          <cell r="J7">
            <v>33350</v>
          </cell>
          <cell r="K7">
            <v>4002</v>
          </cell>
          <cell r="L7">
            <v>52000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239850</v>
          </cell>
          <cell r="K4">
            <v>28782</v>
          </cell>
          <cell r="L4">
            <v>178500</v>
          </cell>
        </row>
        <row r="5">
          <cell r="J5">
            <v>96850</v>
          </cell>
          <cell r="K5">
            <v>11622</v>
          </cell>
          <cell r="L5">
            <v>0</v>
          </cell>
        </row>
        <row r="6">
          <cell r="J6">
            <v>25150</v>
          </cell>
          <cell r="K6">
            <v>2515</v>
          </cell>
          <cell r="L6">
            <v>0</v>
          </cell>
        </row>
        <row r="7">
          <cell r="J7">
            <v>28500</v>
          </cell>
          <cell r="K7">
            <v>3420</v>
          </cell>
          <cell r="L7">
            <v>0</v>
          </cell>
        </row>
        <row r="8">
          <cell r="J8">
            <v>6450</v>
          </cell>
          <cell r="K8">
            <v>774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91700</v>
          </cell>
          <cell r="K4">
            <v>11004</v>
          </cell>
          <cell r="L4">
            <v>148750</v>
          </cell>
        </row>
        <row r="5">
          <cell r="J5">
            <v>78500</v>
          </cell>
          <cell r="K5">
            <v>9420</v>
          </cell>
          <cell r="L5">
            <v>55250</v>
          </cell>
        </row>
        <row r="6">
          <cell r="J6">
            <v>7750</v>
          </cell>
          <cell r="K6">
            <v>775</v>
          </cell>
          <cell r="L6">
            <v>0</v>
          </cell>
        </row>
        <row r="7">
          <cell r="J7">
            <v>42050</v>
          </cell>
          <cell r="K7">
            <v>5046</v>
          </cell>
          <cell r="L7">
            <v>21250</v>
          </cell>
        </row>
        <row r="8">
          <cell r="J8">
            <v>6200</v>
          </cell>
          <cell r="K8">
            <v>744</v>
          </cell>
          <cell r="L8">
            <v>0</v>
          </cell>
        </row>
      </sheetData>
      <sheetData sheetId="20">
        <row r="4">
          <cell r="J4">
            <v>44000</v>
          </cell>
          <cell r="K4">
            <v>5280</v>
          </cell>
          <cell r="L4">
            <v>38250</v>
          </cell>
        </row>
        <row r="5">
          <cell r="J5">
            <v>24800</v>
          </cell>
          <cell r="K5">
            <v>2976</v>
          </cell>
          <cell r="L5">
            <v>0</v>
          </cell>
        </row>
      </sheetData>
      <sheetData sheetId="21">
        <row r="4">
          <cell r="J4">
            <v>78700</v>
          </cell>
          <cell r="K4">
            <v>11805</v>
          </cell>
          <cell r="L4">
            <v>96000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29950</v>
          </cell>
          <cell r="K4">
            <v>3594</v>
          </cell>
          <cell r="L4">
            <v>42500</v>
          </cell>
        </row>
        <row r="5">
          <cell r="J5">
            <v>9000</v>
          </cell>
          <cell r="K5">
            <v>1080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aul Watson" refreshedDate="45933.789616898146" createdVersion="7" refreshedVersion="6" minRefreshableVersion="3" recordCount="32">
  <cacheSource type="worksheet">
    <worksheetSource ref="A4:J36" sheet="PuestosALI RESUMEN"/>
  </cacheSource>
  <cacheFields count="10">
    <cacheField name="Sorteo" numFmtId="0">
      <sharedItems count="32">
        <s v="Dia 01"/>
        <s v="Dia 02"/>
        <s v="Dia 03"/>
        <s v="Dia 04"/>
        <s v="Dia 05"/>
        <s v="Dia 06"/>
        <s v="Dia 07"/>
        <s v="Dia 08"/>
        <s v="Dia 09"/>
        <s v="Dia 10"/>
        <s v="Dia 11"/>
        <s v="Dia 12"/>
        <s v="Dia 13"/>
        <s v="Dia 14"/>
        <s v="Dia 15"/>
        <s v="Dia 16"/>
        <s v="Dia 17"/>
        <s v="Dia 18"/>
        <s v="Dia 19"/>
        <s v="Dia 20"/>
        <s v="Dia 21"/>
        <s v="Dia 22"/>
        <s v="Dia 23"/>
        <s v="Dia 24"/>
        <s v="Dia 25"/>
        <s v="Dia 26"/>
        <s v="Dia 27"/>
        <s v="Dia 28"/>
        <s v="Dia 29"/>
        <s v="Dia 30"/>
        <s v="Dia 31"/>
        <s v="Totales"/>
      </sharedItems>
    </cacheField>
    <cacheField name="Venta Total" numFmtId="44">
      <sharedItems containsSemiMixedTypes="0" containsString="0" containsNumber="1" containsInteger="1" minValue="0" maxValue="1506850"/>
    </cacheField>
    <cacheField name="Comision Total" numFmtId="44">
      <sharedItems containsSemiMixedTypes="0" containsString="0" containsNumber="1" minValue="0" maxValue="195890.5"/>
    </cacheField>
    <cacheField name="Salarios" numFmtId="44">
      <sharedItems containsSemiMixedTypes="0" containsString="0" containsNumber="1" containsInteger="1" minValue="0" maxValue="90000"/>
    </cacheField>
    <cacheField name="Subtotal puestos" numFmtId="44">
      <sharedItems containsSemiMixedTypes="0" containsString="0" containsNumber="1" minValue="0" maxValue="105890.5"/>
    </cacheField>
    <cacheField name="Porcentaje Listas" numFmtId="44">
      <sharedItems containsSemiMixedTypes="0" containsString="0" containsNumber="1" minValue="0" maxValue="168486.75"/>
    </cacheField>
    <cacheField name="Salarios Listas" numFmtId="44">
      <sharedItems containsSemiMixedTypes="0" containsString="0" containsNumber="1" minValue="0" maxValue="86289.5"/>
    </cacheField>
    <cacheField name="Subtotal Listas" numFmtId="44">
      <sharedItems containsSemiMixedTypes="0" containsString="0" containsNumber="1" minValue="0" maxValue="82197.25"/>
    </cacheField>
    <cacheField name="No reportado" numFmtId="44">
      <sharedItems containsSemiMixedTypes="0" containsString="0" containsNumber="1" containsInteger="1" minValue="0" maxValue="0"/>
    </cacheField>
    <cacheField name="Ganancia" numFmtId="44">
      <sharedItems containsSemiMixedTypes="0" containsString="0" containsNumber="1" minValue="0" maxValue="188087.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">
  <r>
    <x v="0"/>
    <n v="609050"/>
    <n v="79176.5"/>
    <n v="30000"/>
    <n v="49176.5"/>
    <n v="82535"/>
    <n v="20000"/>
    <n v="62535"/>
    <n v="0"/>
    <n v="111711.5"/>
  </r>
  <r>
    <x v="1"/>
    <n v="582400"/>
    <n v="75712"/>
    <n v="30000"/>
    <n v="45712"/>
    <n v="54662.25"/>
    <n v="35000"/>
    <n v="19662.25"/>
    <n v="0"/>
    <n v="65374.25"/>
  </r>
  <r>
    <x v="2"/>
    <n v="315400"/>
    <n v="41002"/>
    <n v="30000"/>
    <n v="11002"/>
    <n v="31289.5"/>
    <n v="31289.5"/>
    <n v="0"/>
    <n v="0"/>
    <n v="11002"/>
  </r>
  <r>
    <x v="3"/>
    <n v="0"/>
    <n v="0"/>
    <n v="0"/>
    <n v="0"/>
    <n v="0"/>
    <n v="0"/>
    <n v="0"/>
    <n v="0"/>
    <n v="0"/>
  </r>
  <r>
    <x v="4"/>
    <n v="0"/>
    <n v="0"/>
    <n v="0"/>
    <n v="0"/>
    <n v="0"/>
    <n v="0"/>
    <n v="0"/>
    <n v="0"/>
    <n v="0"/>
  </r>
  <r>
    <x v="5"/>
    <n v="0"/>
    <n v="0"/>
    <n v="0"/>
    <n v="0"/>
    <n v="0"/>
    <n v="0"/>
    <n v="0"/>
    <n v="0"/>
    <n v="0"/>
  </r>
  <r>
    <x v="6"/>
    <n v="0"/>
    <n v="0"/>
    <n v="0"/>
    <n v="0"/>
    <n v="0"/>
    <n v="0"/>
    <n v="0"/>
    <n v="0"/>
    <n v="0"/>
  </r>
  <r>
    <x v="7"/>
    <n v="0"/>
    <n v="0"/>
    <n v="0"/>
    <n v="0"/>
    <n v="0"/>
    <n v="0"/>
    <n v="0"/>
    <n v="0"/>
    <n v="0"/>
  </r>
  <r>
    <x v="8"/>
    <n v="0"/>
    <n v="0"/>
    <n v="0"/>
    <n v="0"/>
    <n v="0"/>
    <n v="0"/>
    <n v="0"/>
    <n v="0"/>
    <n v="0"/>
  </r>
  <r>
    <x v="9"/>
    <n v="0"/>
    <n v="0"/>
    <n v="0"/>
    <n v="0"/>
    <n v="0"/>
    <n v="0"/>
    <n v="0"/>
    <n v="0"/>
    <n v="0"/>
  </r>
  <r>
    <x v="10"/>
    <n v="0"/>
    <n v="0"/>
    <n v="0"/>
    <n v="0"/>
    <n v="0"/>
    <n v="0"/>
    <n v="0"/>
    <n v="0"/>
    <n v="0"/>
  </r>
  <r>
    <x v="11"/>
    <n v="0"/>
    <n v="0"/>
    <n v="0"/>
    <n v="0"/>
    <n v="0"/>
    <n v="0"/>
    <n v="0"/>
    <n v="0"/>
    <n v="0"/>
  </r>
  <r>
    <x v="12"/>
    <n v="0"/>
    <n v="0"/>
    <n v="0"/>
    <n v="0"/>
    <n v="0"/>
    <n v="0"/>
    <n v="0"/>
    <n v="0"/>
    <n v="0"/>
  </r>
  <r>
    <x v="13"/>
    <n v="0"/>
    <n v="0"/>
    <n v="0"/>
    <n v="0"/>
    <n v="0"/>
    <n v="0"/>
    <n v="0"/>
    <n v="0"/>
    <n v="0"/>
  </r>
  <r>
    <x v="14"/>
    <n v="0"/>
    <n v="0"/>
    <n v="0"/>
    <n v="0"/>
    <n v="0"/>
    <n v="0"/>
    <n v="0"/>
    <n v="0"/>
    <n v="0"/>
  </r>
  <r>
    <x v="15"/>
    <n v="0"/>
    <n v="0"/>
    <n v="0"/>
    <n v="0"/>
    <n v="0"/>
    <n v="0"/>
    <n v="0"/>
    <n v="0"/>
    <n v="0"/>
  </r>
  <r>
    <x v="16"/>
    <n v="0"/>
    <n v="0"/>
    <n v="0"/>
    <n v="0"/>
    <n v="0"/>
    <n v="0"/>
    <n v="0"/>
    <n v="0"/>
    <n v="0"/>
  </r>
  <r>
    <x v="17"/>
    <n v="0"/>
    <n v="0"/>
    <n v="0"/>
    <n v="0"/>
    <n v="0"/>
    <n v="0"/>
    <n v="0"/>
    <n v="0"/>
    <n v="0"/>
  </r>
  <r>
    <x v="18"/>
    <n v="0"/>
    <n v="0"/>
    <n v="0"/>
    <n v="0"/>
    <n v="0"/>
    <n v="0"/>
    <n v="0"/>
    <n v="0"/>
    <n v="0"/>
  </r>
  <r>
    <x v="19"/>
    <n v="0"/>
    <n v="0"/>
    <n v="0"/>
    <n v="0"/>
    <n v="0"/>
    <n v="0"/>
    <n v="0"/>
    <n v="0"/>
    <n v="0"/>
  </r>
  <r>
    <x v="20"/>
    <n v="0"/>
    <n v="0"/>
    <n v="0"/>
    <n v="0"/>
    <n v="0"/>
    <n v="0"/>
    <n v="0"/>
    <n v="0"/>
    <n v="0"/>
  </r>
  <r>
    <x v="21"/>
    <n v="0"/>
    <n v="0"/>
    <n v="0"/>
    <n v="0"/>
    <n v="0"/>
    <n v="0"/>
    <n v="0"/>
    <n v="0"/>
    <n v="0"/>
  </r>
  <r>
    <x v="22"/>
    <n v="0"/>
    <n v="0"/>
    <n v="0"/>
    <n v="0"/>
    <n v="0"/>
    <n v="0"/>
    <n v="0"/>
    <n v="0"/>
    <n v="0"/>
  </r>
  <r>
    <x v="23"/>
    <n v="0"/>
    <n v="0"/>
    <n v="0"/>
    <n v="0"/>
    <n v="0"/>
    <n v="0"/>
    <n v="0"/>
    <n v="0"/>
    <n v="0"/>
  </r>
  <r>
    <x v="24"/>
    <n v="0"/>
    <n v="0"/>
    <n v="0"/>
    <n v="0"/>
    <n v="0"/>
    <n v="0"/>
    <n v="0"/>
    <n v="0"/>
    <n v="0"/>
  </r>
  <r>
    <x v="25"/>
    <n v="0"/>
    <n v="0"/>
    <n v="0"/>
    <n v="0"/>
    <n v="0"/>
    <n v="0"/>
    <n v="0"/>
    <n v="0"/>
    <n v="0"/>
  </r>
  <r>
    <x v="26"/>
    <n v="0"/>
    <n v="0"/>
    <n v="0"/>
    <n v="0"/>
    <n v="0"/>
    <n v="0"/>
    <n v="0"/>
    <n v="0"/>
    <n v="0"/>
  </r>
  <r>
    <x v="27"/>
    <n v="0"/>
    <n v="0"/>
    <n v="0"/>
    <n v="0"/>
    <n v="0"/>
    <n v="0"/>
    <n v="0"/>
    <n v="0"/>
    <n v="0"/>
  </r>
  <r>
    <x v="28"/>
    <n v="0"/>
    <n v="0"/>
    <n v="0"/>
    <n v="0"/>
    <n v="0"/>
    <n v="0"/>
    <n v="0"/>
    <n v="0"/>
    <n v="0"/>
  </r>
  <r>
    <x v="29"/>
    <n v="0"/>
    <n v="0"/>
    <n v="0"/>
    <n v="0"/>
    <n v="0"/>
    <n v="0"/>
    <n v="0"/>
    <n v="0"/>
    <n v="0"/>
  </r>
  <r>
    <x v="30"/>
    <n v="0"/>
    <n v="0"/>
    <n v="0"/>
    <n v="0"/>
    <n v="0"/>
    <n v="0"/>
    <n v="0"/>
    <n v="0"/>
    <n v="0"/>
  </r>
  <r>
    <x v="31"/>
    <n v="1506850"/>
    <n v="195890.5"/>
    <n v="90000"/>
    <n v="105890.5"/>
    <n v="168486.75"/>
    <n v="86289.5"/>
    <n v="82197.25"/>
    <n v="0"/>
    <n v="188087.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multipleFieldFilters="0" chartFormat="1">
  <location ref="A3:D35" firstHeaderRow="0" firstDataRow="1" firstDataCol="1"/>
  <pivotFields count="10">
    <pivotField axis="axisRow" showAll="0">
      <items count="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h="1" x="31"/>
        <item t="default"/>
      </items>
    </pivotField>
    <pivotField numFmtId="44" showAll="0"/>
    <pivotField numFmtId="44" showAll="0"/>
    <pivotField numFmtId="44" showAll="0"/>
    <pivotField dataField="1" numFmtId="44" showAll="0"/>
    <pivotField numFmtId="44" showAll="0"/>
    <pivotField numFmtId="44" showAll="0"/>
    <pivotField dataField="1" numFmtId="44" showAll="0"/>
    <pivotField numFmtId="44" showAll="0"/>
    <pivotField dataField="1" numFmtId="44" showAll="0"/>
  </pivotFields>
  <rowFields count="1">
    <field x="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btotal_puestos" fld="4" baseField="0" baseItem="0"/>
    <dataField name="Subtotal_Listas" fld="7" baseField="0" baseItem="0"/>
    <dataField name="Ganancias" fld="9" baseField="0" baseItem="0"/>
  </dataFields>
  <chartFormats count="3">
    <chartFormat chart="0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ivotTable" Target="../pivotTables/pivotTable1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S15"/>
  <sheetViews>
    <sheetView showGridLines="0" zoomScale="90" zoomScaleNormal="90" workbookViewId="0">
      <selection sqref="A1:T37"/>
    </sheetView>
  </sheetViews>
  <sheetFormatPr baseColWidth="10" defaultColWidth="11.42578125" defaultRowHeight="15"/>
  <cols>
    <col min="1" max="1" width="10.140625" style="1" customWidth="1"/>
    <col min="2" max="2" width="10.5703125" style="1" customWidth="1"/>
    <col min="3" max="3" width="9.7109375" style="1" bestFit="1" customWidth="1"/>
    <col min="4" max="4" width="11.140625" style="1" customWidth="1"/>
    <col min="5" max="5" width="11.85546875" style="1" customWidth="1"/>
    <col min="6" max="6" width="10.85546875" style="1" customWidth="1"/>
    <col min="7" max="19" width="11.85546875" style="1" customWidth="1"/>
    <col min="20" max="22" width="12.85546875" style="1" customWidth="1"/>
    <col min="23" max="23" width="11.85546875" style="1" customWidth="1"/>
    <col min="24" max="24" width="11.7109375" style="1" bestFit="1" customWidth="1"/>
    <col min="25" max="25" width="5.5703125" style="1" customWidth="1"/>
    <col min="26" max="26" width="11.42578125" style="1" customWidth="1"/>
    <col min="27" max="27" width="12.5703125" style="1" customWidth="1"/>
    <col min="28" max="1033" width="11.42578125" style="1"/>
  </cols>
  <sheetData>
    <row r="1" spans="1:24" ht="15.75" thickBot="1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6"/>
    </row>
    <row r="2" spans="1:24" ht="19.5" thickBot="1">
      <c r="A2" s="2" t="s">
        <v>1</v>
      </c>
      <c r="B2" s="137" t="s">
        <v>85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103</v>
      </c>
      <c r="T2" s="4">
        <v>0.12</v>
      </c>
    </row>
    <row r="3" spans="1:24" ht="15.75" thickBot="1"/>
    <row r="4" spans="1:24" ht="30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96</v>
      </c>
      <c r="O4" s="7" t="s">
        <v>95</v>
      </c>
      <c r="P4" s="10" t="s">
        <v>97</v>
      </c>
      <c r="Q4" s="9" t="s">
        <v>92</v>
      </c>
      <c r="R4" s="7" t="s">
        <v>93</v>
      </c>
      <c r="S4" s="10" t="s">
        <v>94</v>
      </c>
      <c r="T4" s="6" t="s">
        <v>15</v>
      </c>
      <c r="U4" s="7" t="s">
        <v>16</v>
      </c>
      <c r="V4" s="7" t="s">
        <v>17</v>
      </c>
      <c r="W4" s="11" t="s">
        <v>18</v>
      </c>
      <c r="X4" s="12" t="s">
        <v>19</v>
      </c>
    </row>
    <row r="5" spans="1:24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91"/>
      <c r="R5" s="91"/>
      <c r="S5" s="91"/>
      <c r="T5" s="67"/>
      <c r="U5" s="57"/>
      <c r="V5" s="57"/>
      <c r="W5" s="69"/>
      <c r="X5" s="70">
        <f t="shared" ref="X5:X14" si="0">+T5-U5-V5+W5</f>
        <v>0</v>
      </c>
    </row>
    <row r="6" spans="1:24">
      <c r="A6" s="20" t="s">
        <v>49</v>
      </c>
      <c r="B6" s="53">
        <f>[1]Vendedor15!$J$4</f>
        <v>0</v>
      </c>
      <c r="C6" s="87">
        <f>[1]Vendedor15!$K$4</f>
        <v>0</v>
      </c>
      <c r="D6" s="88">
        <f>[1]Vendedor15!$L$4</f>
        <v>0</v>
      </c>
      <c r="E6" s="53">
        <f>[1]Vendedor15!$J$5</f>
        <v>0</v>
      </c>
      <c r="F6" s="87">
        <f>[1]Vendedor15!$K$5</f>
        <v>0</v>
      </c>
      <c r="G6" s="89">
        <f>[1]Vendedor15!$L$5</f>
        <v>0</v>
      </c>
      <c r="H6" s="59">
        <f>[1]Vendedor15!$J$6</f>
        <v>0</v>
      </c>
      <c r="I6" s="58">
        <f>[1]Vendedor15!$K$6</f>
        <v>0</v>
      </c>
      <c r="J6" s="55">
        <f>[1]Vendedor15!$L$6</f>
        <v>0</v>
      </c>
      <c r="K6" s="61">
        <f>[1]Vendedor15!$J$7</f>
        <v>0</v>
      </c>
      <c r="L6" s="58">
        <f>[1]Vendedor15!$K$7</f>
        <v>0</v>
      </c>
      <c r="M6" s="54">
        <f>[1]Vendedor15!$L$7</f>
        <v>0</v>
      </c>
      <c r="N6" s="59">
        <f>[1]Vendedor15!$J$8</f>
        <v>0</v>
      </c>
      <c r="O6" s="58">
        <f>[1]Vendedor15!$K$8</f>
        <v>0</v>
      </c>
      <c r="P6" s="55">
        <f>[1]Vendedor15!$L$8</f>
        <v>0</v>
      </c>
      <c r="Q6" s="59">
        <f>[1]Vendedor15!$J$10</f>
        <v>0</v>
      </c>
      <c r="R6" s="58">
        <f>[1]Vendedor15!$K$10</f>
        <v>0</v>
      </c>
      <c r="S6" s="55">
        <f>[1]Vendedor15!$L$10</f>
        <v>0</v>
      </c>
      <c r="T6" s="61">
        <f t="shared" ref="T6:V14" si="1">+B6+E6+H6+K6+N6+Q6</f>
        <v>0</v>
      </c>
      <c r="U6" s="58">
        <f t="shared" si="1"/>
        <v>0</v>
      </c>
      <c r="V6" s="58">
        <f t="shared" si="1"/>
        <v>0</v>
      </c>
      <c r="W6" s="58">
        <v>0</v>
      </c>
      <c r="X6" s="55">
        <f t="shared" si="0"/>
        <v>0</v>
      </c>
    </row>
    <row r="7" spans="1:24">
      <c r="A7" s="13" t="s">
        <v>50</v>
      </c>
      <c r="B7" s="14">
        <f>[2]Vendedor15!$J$4</f>
        <v>0</v>
      </c>
      <c r="C7" s="81">
        <f>[2]Vendedor15!$K$4</f>
        <v>0</v>
      </c>
      <c r="D7" s="82">
        <f>[2]Vendedor15!$L$4</f>
        <v>0</v>
      </c>
      <c r="E7" s="14">
        <f>[2]Vendedor15!$J$5</f>
        <v>0</v>
      </c>
      <c r="F7" s="81">
        <f>[2]Vendedor15!$K$5</f>
        <v>0</v>
      </c>
      <c r="G7" s="85">
        <f>[2]Vendedor15!$L$5</f>
        <v>0</v>
      </c>
      <c r="H7" s="19">
        <f>[2]Vendedor15!$J$6</f>
        <v>0</v>
      </c>
      <c r="I7" s="15">
        <f>[2]Vendedor15!$K$6</f>
        <v>0</v>
      </c>
      <c r="J7" s="17">
        <f>[2]Vendedor15!$L$6</f>
        <v>0</v>
      </c>
      <c r="K7" s="18">
        <f>[2]Vendedor15!$J$7</f>
        <v>0</v>
      </c>
      <c r="L7" s="15">
        <f>[2]Vendedor15!$K$7</f>
        <v>0</v>
      </c>
      <c r="M7" s="16">
        <f>[2]Vendedor15!$L$7</f>
        <v>0</v>
      </c>
      <c r="N7" s="19">
        <f>[2]Vendedor15!$J$8</f>
        <v>0</v>
      </c>
      <c r="O7" s="15">
        <f>[2]Vendedor15!$K$8</f>
        <v>0</v>
      </c>
      <c r="P7" s="17">
        <f>[2]Vendedor15!$L$8</f>
        <v>0</v>
      </c>
      <c r="Q7" s="19">
        <f>[2]Vendedor15!$J$10</f>
        <v>0</v>
      </c>
      <c r="R7" s="15">
        <f>[2]Vendedor15!$K$10</f>
        <v>0</v>
      </c>
      <c r="S7" s="17">
        <f>[2]Vendedor15!$L$10</f>
        <v>0</v>
      </c>
      <c r="T7" s="18">
        <f t="shared" si="1"/>
        <v>0</v>
      </c>
      <c r="U7" s="15">
        <f t="shared" si="1"/>
        <v>0</v>
      </c>
      <c r="V7" s="15">
        <f t="shared" si="1"/>
        <v>0</v>
      </c>
      <c r="W7" s="15">
        <v>0</v>
      </c>
      <c r="X7" s="17">
        <f t="shared" si="0"/>
        <v>0</v>
      </c>
    </row>
    <row r="8" spans="1:24">
      <c r="A8" s="20" t="s">
        <v>51</v>
      </c>
      <c r="B8" s="14">
        <f>[3]Vendedor15!$J$4</f>
        <v>0</v>
      </c>
      <c r="C8" s="81">
        <f>[3]Vendedor15!$K$4</f>
        <v>0</v>
      </c>
      <c r="D8" s="82">
        <f>[3]Vendedor15!$L$4</f>
        <v>0</v>
      </c>
      <c r="E8" s="14">
        <f>[3]Vendedor15!$J$5</f>
        <v>0</v>
      </c>
      <c r="F8" s="81">
        <f>[3]Vendedor15!$K$5</f>
        <v>0</v>
      </c>
      <c r="G8" s="85">
        <f>[3]Vendedor15!$L$5</f>
        <v>0</v>
      </c>
      <c r="H8" s="19">
        <f>[3]Vendedor15!$J$6</f>
        <v>0</v>
      </c>
      <c r="I8" s="15">
        <f>[3]Vendedor15!$K$6</f>
        <v>0</v>
      </c>
      <c r="J8" s="17">
        <f>[3]Vendedor15!$L$6</f>
        <v>0</v>
      </c>
      <c r="K8" s="18">
        <f>[3]Vendedor15!$J$7</f>
        <v>0</v>
      </c>
      <c r="L8" s="15">
        <f>[3]Vendedor15!$K$7</f>
        <v>0</v>
      </c>
      <c r="M8" s="16">
        <f>[3]Vendedor15!$L$7</f>
        <v>0</v>
      </c>
      <c r="N8" s="19">
        <f>[3]Vendedor15!$J$8</f>
        <v>0</v>
      </c>
      <c r="O8" s="15">
        <f>[3]Vendedor15!$K$8</f>
        <v>0</v>
      </c>
      <c r="P8" s="17">
        <f>[3]Vendedor15!$L$8</f>
        <v>0</v>
      </c>
      <c r="Q8" s="19">
        <f>[3]Vendedor15!$J$10</f>
        <v>0</v>
      </c>
      <c r="R8" s="15">
        <f>[3]Vendedor15!$K$10</f>
        <v>0</v>
      </c>
      <c r="S8" s="17">
        <f>[3]Vendedor15!$L$10</f>
        <v>0</v>
      </c>
      <c r="T8" s="18">
        <f t="shared" si="1"/>
        <v>0</v>
      </c>
      <c r="U8" s="15">
        <f t="shared" si="1"/>
        <v>0</v>
      </c>
      <c r="V8" s="15">
        <f t="shared" si="1"/>
        <v>0</v>
      </c>
      <c r="W8" s="15">
        <v>0</v>
      </c>
      <c r="X8" s="17">
        <f t="shared" si="0"/>
        <v>0</v>
      </c>
    </row>
    <row r="9" spans="1:24">
      <c r="A9" s="13" t="s">
        <v>52</v>
      </c>
      <c r="B9" s="14">
        <f>[4]Vendedor15!$J$4</f>
        <v>0</v>
      </c>
      <c r="C9" s="81">
        <f>[4]Vendedor15!$K$4</f>
        <v>0</v>
      </c>
      <c r="D9" s="82">
        <f>[4]Vendedor15!$L$4</f>
        <v>0</v>
      </c>
      <c r="E9" s="14">
        <f>[4]Vendedor15!$J$5</f>
        <v>0</v>
      </c>
      <c r="F9" s="81">
        <f>[4]Vendedor15!$K$5</f>
        <v>0</v>
      </c>
      <c r="G9" s="85">
        <f>[4]Vendedor15!$L$5</f>
        <v>0</v>
      </c>
      <c r="H9" s="19">
        <f>[4]Vendedor15!$J$6</f>
        <v>0</v>
      </c>
      <c r="I9" s="15">
        <f>[4]Vendedor15!$K$6</f>
        <v>0</v>
      </c>
      <c r="J9" s="17">
        <f>[4]Vendedor15!$L$6</f>
        <v>0</v>
      </c>
      <c r="K9" s="18">
        <f>[4]Vendedor15!$J$7</f>
        <v>0</v>
      </c>
      <c r="L9" s="15">
        <f>[4]Vendedor15!$K$7</f>
        <v>0</v>
      </c>
      <c r="M9" s="16">
        <f>[4]Vendedor15!$L$7</f>
        <v>0</v>
      </c>
      <c r="N9" s="19">
        <f>[4]Vendedor15!$J$8</f>
        <v>0</v>
      </c>
      <c r="O9" s="15">
        <f>[4]Vendedor15!$K$8</f>
        <v>0</v>
      </c>
      <c r="P9" s="17">
        <f>[4]Vendedor15!$L$8</f>
        <v>0</v>
      </c>
      <c r="Q9" s="19">
        <f>[4]Vendedor15!$J$10</f>
        <v>0</v>
      </c>
      <c r="R9" s="15">
        <f>[4]Vendedor15!$K$10</f>
        <v>0</v>
      </c>
      <c r="S9" s="17">
        <f>[4]Vendedor15!$L$10</f>
        <v>0</v>
      </c>
      <c r="T9" s="18">
        <f t="shared" si="1"/>
        <v>0</v>
      </c>
      <c r="U9" s="15">
        <f t="shared" si="1"/>
        <v>0</v>
      </c>
      <c r="V9" s="15">
        <f t="shared" si="1"/>
        <v>0</v>
      </c>
      <c r="W9" s="15">
        <v>0</v>
      </c>
      <c r="X9" s="17">
        <f t="shared" si="0"/>
        <v>0</v>
      </c>
    </row>
    <row r="10" spans="1:24">
      <c r="A10" s="20" t="s">
        <v>53</v>
      </c>
      <c r="B10" s="14">
        <f>[5]Vendedor15!$J$4</f>
        <v>0</v>
      </c>
      <c r="C10" s="81">
        <f>[5]Vendedor15!$K$4</f>
        <v>0</v>
      </c>
      <c r="D10" s="82">
        <f>[5]Vendedor15!$L$4</f>
        <v>0</v>
      </c>
      <c r="E10" s="14">
        <f>[5]Vendedor15!$J$5</f>
        <v>0</v>
      </c>
      <c r="F10" s="81">
        <f>[5]Vendedor15!$K$5</f>
        <v>0</v>
      </c>
      <c r="G10" s="85">
        <f>[5]Vendedor15!$L$5</f>
        <v>0</v>
      </c>
      <c r="H10" s="19">
        <f>[5]Vendedor15!$J$6</f>
        <v>0</v>
      </c>
      <c r="I10" s="15">
        <f>[5]Vendedor15!$K$6</f>
        <v>0</v>
      </c>
      <c r="J10" s="17">
        <f>[5]Vendedor15!$L$6</f>
        <v>0</v>
      </c>
      <c r="K10" s="18">
        <f>[5]Vendedor15!$J$7</f>
        <v>0</v>
      </c>
      <c r="L10" s="15">
        <f>[5]Vendedor15!$K$7</f>
        <v>0</v>
      </c>
      <c r="M10" s="16">
        <f>[5]Vendedor15!$L$7</f>
        <v>0</v>
      </c>
      <c r="N10" s="19">
        <f>[5]Vendedor15!$J$8</f>
        <v>0</v>
      </c>
      <c r="O10" s="15">
        <f>[5]Vendedor15!$K$8</f>
        <v>0</v>
      </c>
      <c r="P10" s="17">
        <f>[5]Vendedor15!$L$8</f>
        <v>0</v>
      </c>
      <c r="Q10" s="19">
        <f>[5]Vendedor15!$J$10</f>
        <v>0</v>
      </c>
      <c r="R10" s="15">
        <f>[5]Vendedor15!$K$10</f>
        <v>0</v>
      </c>
      <c r="S10" s="17">
        <f>[5]Vendedor15!$L$10</f>
        <v>0</v>
      </c>
      <c r="T10" s="18">
        <f t="shared" si="1"/>
        <v>0</v>
      </c>
      <c r="U10" s="15">
        <f t="shared" si="1"/>
        <v>0</v>
      </c>
      <c r="V10" s="15">
        <f t="shared" si="1"/>
        <v>0</v>
      </c>
      <c r="W10" s="15">
        <v>0</v>
      </c>
      <c r="X10" s="17">
        <f t="shared" si="0"/>
        <v>0</v>
      </c>
    </row>
    <row r="11" spans="1:24">
      <c r="A11" s="13" t="s">
        <v>20</v>
      </c>
      <c r="B11" s="14">
        <f>[6]Vendedor15!$J$4</f>
        <v>0</v>
      </c>
      <c r="C11" s="81">
        <f>[6]Vendedor15!$K$4</f>
        <v>0</v>
      </c>
      <c r="D11" s="82">
        <f>[6]Vendedor15!$L$4</f>
        <v>0</v>
      </c>
      <c r="E11" s="14">
        <f>[6]Vendedor15!$J$5</f>
        <v>0</v>
      </c>
      <c r="F11" s="81">
        <f>[6]Vendedor15!$K$5</f>
        <v>0</v>
      </c>
      <c r="G11" s="85">
        <f>[6]Vendedor15!$L$5</f>
        <v>0</v>
      </c>
      <c r="H11" s="19">
        <f>[6]Vendedor15!$J$6</f>
        <v>0</v>
      </c>
      <c r="I11" s="15">
        <f>[6]Vendedor15!$K$6</f>
        <v>0</v>
      </c>
      <c r="J11" s="17">
        <f>[6]Vendedor15!$L$6</f>
        <v>0</v>
      </c>
      <c r="K11" s="18">
        <f>[6]Vendedor15!$J$7</f>
        <v>0</v>
      </c>
      <c r="L11" s="15">
        <f>[6]Vendedor15!$K$7</f>
        <v>0</v>
      </c>
      <c r="M11" s="16">
        <f>[6]Vendedor15!$L$7</f>
        <v>0</v>
      </c>
      <c r="N11" s="19">
        <f>[6]Vendedor15!$J$8</f>
        <v>0</v>
      </c>
      <c r="O11" s="15">
        <f>[6]Vendedor15!$K$8</f>
        <v>0</v>
      </c>
      <c r="P11" s="17">
        <f>[6]Vendedor15!$L$8</f>
        <v>0</v>
      </c>
      <c r="Q11" s="19">
        <f>[6]Vendedor15!$J$10</f>
        <v>0</v>
      </c>
      <c r="R11" s="15">
        <f>[6]Vendedor15!$K$10</f>
        <v>0</v>
      </c>
      <c r="S11" s="17">
        <f>[6]Vendedor15!$L$10</f>
        <v>0</v>
      </c>
      <c r="T11" s="18">
        <f t="shared" si="1"/>
        <v>0</v>
      </c>
      <c r="U11" s="15">
        <f t="shared" si="1"/>
        <v>0</v>
      </c>
      <c r="V11" s="15">
        <f t="shared" si="1"/>
        <v>0</v>
      </c>
      <c r="W11" s="15">
        <v>0</v>
      </c>
      <c r="X11" s="17">
        <f t="shared" si="0"/>
        <v>0</v>
      </c>
    </row>
    <row r="12" spans="1:24">
      <c r="A12" s="20" t="s">
        <v>21</v>
      </c>
      <c r="B12" s="14">
        <f>[7]Vendedor15!$J$4</f>
        <v>0</v>
      </c>
      <c r="C12" s="81">
        <f>[7]Vendedor15!$K$4</f>
        <v>0</v>
      </c>
      <c r="D12" s="82">
        <f>[7]Vendedor15!$L$4</f>
        <v>0</v>
      </c>
      <c r="E12" s="14">
        <f>[7]Vendedor15!$J$5</f>
        <v>0</v>
      </c>
      <c r="F12" s="81">
        <f>[7]Vendedor15!$K$5</f>
        <v>0</v>
      </c>
      <c r="G12" s="85">
        <f>[7]Vendedor15!$L$5</f>
        <v>0</v>
      </c>
      <c r="H12" s="19">
        <f>[7]Vendedor15!$J$6</f>
        <v>0</v>
      </c>
      <c r="I12" s="15">
        <f>[7]Vendedor15!$K$6</f>
        <v>0</v>
      </c>
      <c r="J12" s="17">
        <f>[7]Vendedor15!$L$6</f>
        <v>0</v>
      </c>
      <c r="K12" s="18">
        <f>[7]Vendedor15!$J$7</f>
        <v>0</v>
      </c>
      <c r="L12" s="15">
        <f>[7]Vendedor15!$K$7</f>
        <v>0</v>
      </c>
      <c r="M12" s="16">
        <f>[7]Vendedor15!$L$7</f>
        <v>0</v>
      </c>
      <c r="N12" s="19">
        <f>[7]Vendedor15!$J$8</f>
        <v>0</v>
      </c>
      <c r="O12" s="15">
        <f>[7]Vendedor15!$K$8</f>
        <v>0</v>
      </c>
      <c r="P12" s="17">
        <f>[7]Vendedor15!$L$8</f>
        <v>0</v>
      </c>
      <c r="Q12" s="19">
        <f>[7]Vendedor15!$J$10</f>
        <v>0</v>
      </c>
      <c r="R12" s="15">
        <f>[7]Vendedor15!$K$10</f>
        <v>0</v>
      </c>
      <c r="S12" s="17">
        <f>[7]Vendedor15!$L$10</f>
        <v>0</v>
      </c>
      <c r="T12" s="18">
        <f t="shared" si="1"/>
        <v>0</v>
      </c>
      <c r="U12" s="15">
        <f t="shared" si="1"/>
        <v>0</v>
      </c>
      <c r="V12" s="15">
        <f t="shared" si="1"/>
        <v>0</v>
      </c>
      <c r="W12" s="15">
        <v>0</v>
      </c>
      <c r="X12" s="17">
        <f t="shared" si="0"/>
        <v>0</v>
      </c>
    </row>
    <row r="13" spans="1:24">
      <c r="A13" s="13" t="s">
        <v>22</v>
      </c>
      <c r="B13" s="14">
        <f>[8]Vendedor15!$J$4</f>
        <v>0</v>
      </c>
      <c r="C13" s="81">
        <f>[8]Vendedor15!$K$4</f>
        <v>0</v>
      </c>
      <c r="D13" s="82">
        <f>[8]Vendedor15!$L$4</f>
        <v>0</v>
      </c>
      <c r="E13" s="14">
        <f>[8]Vendedor15!$J$5</f>
        <v>0</v>
      </c>
      <c r="F13" s="81">
        <f>[8]Vendedor15!$K$5</f>
        <v>0</v>
      </c>
      <c r="G13" s="85">
        <f>[8]Vendedor15!$L$5</f>
        <v>0</v>
      </c>
      <c r="H13" s="19">
        <f>[8]Vendedor15!$J$6</f>
        <v>0</v>
      </c>
      <c r="I13" s="15">
        <f>[8]Vendedor15!$K$6</f>
        <v>0</v>
      </c>
      <c r="J13" s="17">
        <f>[8]Vendedor15!$L$6</f>
        <v>0</v>
      </c>
      <c r="K13" s="18">
        <f>[8]Vendedor15!$J$7</f>
        <v>0</v>
      </c>
      <c r="L13" s="15">
        <f>[8]Vendedor15!$K$7</f>
        <v>0</v>
      </c>
      <c r="M13" s="16">
        <f>[8]Vendedor15!$L$7</f>
        <v>0</v>
      </c>
      <c r="N13" s="19">
        <f>[8]Vendedor15!$J$8</f>
        <v>0</v>
      </c>
      <c r="O13" s="15">
        <f>[8]Vendedor15!$K$8</f>
        <v>0</v>
      </c>
      <c r="P13" s="17">
        <f>[8]Vendedor15!$L$8</f>
        <v>0</v>
      </c>
      <c r="Q13" s="19">
        <f>[8]Vendedor15!$J$10</f>
        <v>0</v>
      </c>
      <c r="R13" s="15">
        <f>[8]Vendedor15!$K$10</f>
        <v>0</v>
      </c>
      <c r="S13" s="17">
        <f>[8]Vendedor15!$L$10</f>
        <v>0</v>
      </c>
      <c r="T13" s="18">
        <f t="shared" si="1"/>
        <v>0</v>
      </c>
      <c r="U13" s="15">
        <f t="shared" si="1"/>
        <v>0</v>
      </c>
      <c r="V13" s="15">
        <f t="shared" si="1"/>
        <v>0</v>
      </c>
      <c r="W13" s="15">
        <v>0</v>
      </c>
      <c r="X13" s="17">
        <f t="shared" si="0"/>
        <v>0</v>
      </c>
    </row>
    <row r="14" spans="1:24" ht="15.75" thickBot="1">
      <c r="A14" s="20" t="s">
        <v>23</v>
      </c>
      <c r="B14" s="14">
        <f>[9]Vendedor15!$J$4</f>
        <v>0</v>
      </c>
      <c r="C14" s="81">
        <f>[9]Vendedor15!$K$4</f>
        <v>0</v>
      </c>
      <c r="D14" s="82">
        <f>[9]Vendedor15!$L$4</f>
        <v>0</v>
      </c>
      <c r="E14" s="14">
        <f>[9]Vendedor15!$J$5</f>
        <v>0</v>
      </c>
      <c r="F14" s="81">
        <f>[9]Vendedor15!$K$5</f>
        <v>0</v>
      </c>
      <c r="G14" s="85">
        <f>[9]Vendedor15!$L$5</f>
        <v>0</v>
      </c>
      <c r="H14" s="19">
        <f>[9]Vendedor15!$J$6</f>
        <v>0</v>
      </c>
      <c r="I14" s="15">
        <f>[9]Vendedor15!$K$6</f>
        <v>0</v>
      </c>
      <c r="J14" s="17">
        <f>[9]Vendedor15!$L$6</f>
        <v>0</v>
      </c>
      <c r="K14" s="18">
        <f>[9]Vendedor15!$J$7</f>
        <v>0</v>
      </c>
      <c r="L14" s="15">
        <f>[9]Vendedor15!$K$7</f>
        <v>0</v>
      </c>
      <c r="M14" s="16">
        <f>[9]Vendedor15!$L$7</f>
        <v>0</v>
      </c>
      <c r="N14" s="19">
        <f>[9]Vendedor15!$J$8</f>
        <v>0</v>
      </c>
      <c r="O14" s="15">
        <f>[9]Vendedor15!$K$8</f>
        <v>0</v>
      </c>
      <c r="P14" s="17">
        <f>[9]Vendedor15!$L$8</f>
        <v>0</v>
      </c>
      <c r="Q14" s="19">
        <f>[9]Vendedor15!$J$10</f>
        <v>0</v>
      </c>
      <c r="R14" s="15">
        <f>[9]Vendedor15!$K$10</f>
        <v>0</v>
      </c>
      <c r="S14" s="17">
        <f>[9]Vendedor15!$L$10</f>
        <v>0</v>
      </c>
      <c r="T14" s="18">
        <f t="shared" si="1"/>
        <v>0</v>
      </c>
      <c r="U14" s="15">
        <f t="shared" si="1"/>
        <v>0</v>
      </c>
      <c r="V14" s="15">
        <f t="shared" si="1"/>
        <v>0</v>
      </c>
      <c r="W14" s="15">
        <v>0</v>
      </c>
      <c r="X14" s="17">
        <f t="shared" si="0"/>
        <v>0</v>
      </c>
    </row>
    <row r="15" spans="1:24" s="1" customFormat="1" ht="16.5" thickBot="1">
      <c r="A15" s="5" t="s">
        <v>46</v>
      </c>
      <c r="B15" s="27">
        <f t="shared" ref="B15:V15" si="2">SUM(B6:B14)</f>
        <v>0</v>
      </c>
      <c r="C15" s="28">
        <f t="shared" si="2"/>
        <v>0</v>
      </c>
      <c r="D15" s="29">
        <f t="shared" si="2"/>
        <v>0</v>
      </c>
      <c r="E15" s="30">
        <f t="shared" si="2"/>
        <v>0</v>
      </c>
      <c r="F15" s="28">
        <f t="shared" si="2"/>
        <v>0</v>
      </c>
      <c r="G15" s="31">
        <f t="shared" si="2"/>
        <v>0</v>
      </c>
      <c r="H15" s="30">
        <f t="shared" si="2"/>
        <v>0</v>
      </c>
      <c r="I15" s="28">
        <f t="shared" si="2"/>
        <v>0</v>
      </c>
      <c r="J15" s="31">
        <f t="shared" si="2"/>
        <v>0</v>
      </c>
      <c r="K15" s="77">
        <f t="shared" si="2"/>
        <v>0</v>
      </c>
      <c r="L15" s="32">
        <f t="shared" si="2"/>
        <v>0</v>
      </c>
      <c r="M15" s="78">
        <f t="shared" si="2"/>
        <v>0</v>
      </c>
      <c r="N15" s="30">
        <f t="shared" si="2"/>
        <v>0</v>
      </c>
      <c r="O15" s="28">
        <f t="shared" si="2"/>
        <v>0</v>
      </c>
      <c r="P15" s="31">
        <f t="shared" si="2"/>
        <v>0</v>
      </c>
      <c r="Q15" s="30">
        <f t="shared" si="2"/>
        <v>0</v>
      </c>
      <c r="R15" s="28">
        <f t="shared" si="2"/>
        <v>0</v>
      </c>
      <c r="S15" s="31">
        <f t="shared" si="2"/>
        <v>0</v>
      </c>
      <c r="T15" s="60">
        <f t="shared" si="2"/>
        <v>0</v>
      </c>
      <c r="U15" s="32">
        <f t="shared" si="2"/>
        <v>0</v>
      </c>
      <c r="V15" s="32">
        <f t="shared" si="2"/>
        <v>0</v>
      </c>
      <c r="W15" s="32">
        <f>SUM(W5:W14)</f>
        <v>0</v>
      </c>
      <c r="X15" s="33">
        <f>SUM(X5:X14)</f>
        <v>0</v>
      </c>
    </row>
  </sheetData>
  <mergeCells count="2">
    <mergeCell ref="I1:T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S15"/>
  <sheetViews>
    <sheetView showGridLines="0" topLeftCell="I1" zoomScale="90" zoomScaleNormal="90" workbookViewId="0">
      <selection sqref="A1:X15"/>
    </sheetView>
  </sheetViews>
  <sheetFormatPr baseColWidth="10" defaultColWidth="11.42578125" defaultRowHeight="15"/>
  <cols>
    <col min="1" max="1" width="10.140625" style="1" customWidth="1"/>
    <col min="2" max="2" width="11.5703125" style="1" bestFit="1" customWidth="1"/>
    <col min="3" max="3" width="10.42578125" style="1" customWidth="1"/>
    <col min="4" max="4" width="11.5703125" style="1" bestFit="1" customWidth="1"/>
    <col min="5" max="5" width="10.5703125" style="1" customWidth="1"/>
    <col min="6" max="7" width="10.42578125" style="1" customWidth="1"/>
    <col min="8" max="10" width="11.5703125" style="1" bestFit="1" customWidth="1"/>
    <col min="11" max="19" width="11.5703125" style="1" customWidth="1"/>
    <col min="20" max="20" width="11.5703125" style="1" bestFit="1" customWidth="1"/>
    <col min="21" max="21" width="10.42578125" style="1" customWidth="1"/>
    <col min="22" max="22" width="11.5703125" style="1" bestFit="1" customWidth="1"/>
    <col min="23" max="23" width="9.85546875" style="1" bestFit="1" customWidth="1"/>
    <col min="24" max="24" width="12.140625" style="1" bestFit="1" customWidth="1"/>
    <col min="25" max="25" width="5.42578125" style="1" customWidth="1"/>
    <col min="26" max="26" width="11.140625" style="1" bestFit="1" customWidth="1"/>
    <col min="27" max="27" width="11.5703125" style="1" customWidth="1"/>
    <col min="28" max="1033" width="11.42578125" style="1"/>
  </cols>
  <sheetData>
    <row r="1" spans="1:24" ht="15.75" thickBot="1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  <c r="U1" s="136"/>
    </row>
    <row r="2" spans="1:24" ht="19.5" thickBot="1">
      <c r="A2" s="2" t="s">
        <v>1</v>
      </c>
      <c r="B2" s="137" t="s">
        <v>84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103</v>
      </c>
      <c r="T2" s="4">
        <v>0.12</v>
      </c>
      <c r="U2" s="4">
        <v>0.12</v>
      </c>
    </row>
    <row r="3" spans="1:24" ht="15.75" thickBot="1"/>
    <row r="4" spans="1:24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96</v>
      </c>
      <c r="O4" s="7" t="s">
        <v>95</v>
      </c>
      <c r="P4" s="10" t="s">
        <v>97</v>
      </c>
      <c r="Q4" s="9" t="s">
        <v>92</v>
      </c>
      <c r="R4" s="7" t="s">
        <v>93</v>
      </c>
      <c r="S4" s="10" t="s">
        <v>94</v>
      </c>
      <c r="T4" s="6" t="s">
        <v>15</v>
      </c>
      <c r="U4" s="7" t="s">
        <v>16</v>
      </c>
      <c r="V4" s="7" t="s">
        <v>17</v>
      </c>
      <c r="W4" s="11" t="s">
        <v>18</v>
      </c>
      <c r="X4" s="12" t="s">
        <v>19</v>
      </c>
    </row>
    <row r="5" spans="1:24" ht="15.75" thickBot="1">
      <c r="A5" s="5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56"/>
      <c r="R5" s="57"/>
      <c r="S5" s="12"/>
      <c r="T5" s="67"/>
      <c r="U5" s="57"/>
      <c r="V5" s="57"/>
      <c r="W5" s="69"/>
      <c r="X5" s="70">
        <f t="shared" ref="X5" si="0">+T5-U5-V5+W5</f>
        <v>0</v>
      </c>
    </row>
    <row r="6" spans="1:24">
      <c r="A6" s="20" t="s">
        <v>49</v>
      </c>
      <c r="B6" s="53">
        <f>[1]Vendedor14!$J$4</f>
        <v>0</v>
      </c>
      <c r="C6" s="87">
        <f>[1]Vendedor14!$K$4</f>
        <v>0</v>
      </c>
      <c r="D6" s="88">
        <f>[1]Vendedor14!$L$4</f>
        <v>0</v>
      </c>
      <c r="E6" s="53">
        <f>[1]Vendedor14!$J$5</f>
        <v>0</v>
      </c>
      <c r="F6" s="87">
        <f>[1]Vendedor14!$K$5</f>
        <v>0</v>
      </c>
      <c r="G6" s="89">
        <f>[1]Vendedor14!$L$5</f>
        <v>0</v>
      </c>
      <c r="H6" s="59">
        <f>[1]Vendedor14!$J$6</f>
        <v>0</v>
      </c>
      <c r="I6" s="58">
        <f>[1]Vendedor14!$K$6</f>
        <v>0</v>
      </c>
      <c r="J6" s="55">
        <f>[1]Vendedor14!$L$6</f>
        <v>0</v>
      </c>
      <c r="K6" s="61">
        <f>[1]Vendedor14!$J$7</f>
        <v>0</v>
      </c>
      <c r="L6" s="58">
        <f>[1]Vendedor14!$K$7</f>
        <v>0</v>
      </c>
      <c r="M6" s="54">
        <f>[1]Vendedor14!$L$7</f>
        <v>0</v>
      </c>
      <c r="N6" s="59">
        <f>[1]Vendedor14!$J$8</f>
        <v>0</v>
      </c>
      <c r="O6" s="58">
        <f>[1]Vendedor14!$K$8</f>
        <v>0</v>
      </c>
      <c r="P6" s="55">
        <f>[1]Vendedor14!$L$8</f>
        <v>0</v>
      </c>
      <c r="Q6" s="59">
        <f>[1]Vendedor14!$J$10</f>
        <v>0</v>
      </c>
      <c r="R6" s="58">
        <f>[1]Vendedor14!$K$10</f>
        <v>0</v>
      </c>
      <c r="S6" s="55">
        <f>[1]Vendedor14!$L$10</f>
        <v>0</v>
      </c>
      <c r="T6" s="61">
        <f>+B6+E6+H6+K6+N6+Q6</f>
        <v>0</v>
      </c>
      <c r="U6" s="58">
        <f t="shared" ref="U6:V14" si="1">+C6+F6+I6+L6+O6+R6</f>
        <v>0</v>
      </c>
      <c r="V6" s="58">
        <f t="shared" si="1"/>
        <v>0</v>
      </c>
      <c r="W6" s="58">
        <v>0</v>
      </c>
      <c r="X6" s="55">
        <f>+T6-U6-V6+W6</f>
        <v>0</v>
      </c>
    </row>
    <row r="7" spans="1:24">
      <c r="A7" s="13" t="s">
        <v>50</v>
      </c>
      <c r="B7" s="14">
        <f>[2]Vendedor14!$J$4</f>
        <v>0</v>
      </c>
      <c r="C7" s="81">
        <f>[2]Vendedor14!$K$4</f>
        <v>0</v>
      </c>
      <c r="D7" s="82">
        <f>[2]Vendedor14!$L$4</f>
        <v>0</v>
      </c>
      <c r="E7" s="14">
        <f>[2]Vendedor14!$J$5</f>
        <v>0</v>
      </c>
      <c r="F7" s="81">
        <f>[2]Vendedor14!$K$5</f>
        <v>0</v>
      </c>
      <c r="G7" s="85">
        <f>[2]Vendedor14!$L$5</f>
        <v>0</v>
      </c>
      <c r="H7" s="19">
        <f>[2]Vendedor14!$J$6</f>
        <v>0</v>
      </c>
      <c r="I7" s="15">
        <f>[2]Vendedor14!$K$6</f>
        <v>0</v>
      </c>
      <c r="J7" s="17">
        <f>[2]Vendedor14!$L$6</f>
        <v>0</v>
      </c>
      <c r="K7" s="18">
        <f>[2]Vendedor14!$J$7</f>
        <v>0</v>
      </c>
      <c r="L7" s="15">
        <f>[2]Vendedor14!$K$7</f>
        <v>0</v>
      </c>
      <c r="M7" s="16">
        <f>[2]Vendedor14!$L$7</f>
        <v>0</v>
      </c>
      <c r="N7" s="19">
        <f>[2]Vendedor14!$J$8</f>
        <v>0</v>
      </c>
      <c r="O7" s="15">
        <f>[2]Vendedor14!$K$8</f>
        <v>0</v>
      </c>
      <c r="P7" s="17">
        <f>[2]Vendedor14!$L$8</f>
        <v>0</v>
      </c>
      <c r="Q7" s="19">
        <f>[2]Vendedor14!$J$10</f>
        <v>0</v>
      </c>
      <c r="R7" s="15">
        <f>[2]Vendedor14!$K$10</f>
        <v>0</v>
      </c>
      <c r="S7" s="17">
        <f>[2]Vendedor14!$L$10</f>
        <v>0</v>
      </c>
      <c r="T7" s="18">
        <f t="shared" ref="T7:T14" si="2">+B7+E7+H7+K7+N7+Q7</f>
        <v>0</v>
      </c>
      <c r="U7" s="15">
        <f t="shared" si="1"/>
        <v>0</v>
      </c>
      <c r="V7" s="15">
        <f t="shared" si="1"/>
        <v>0</v>
      </c>
      <c r="W7" s="15">
        <v>0</v>
      </c>
      <c r="X7" s="17">
        <f>+T7-U7-V7+W7</f>
        <v>0</v>
      </c>
    </row>
    <row r="8" spans="1:24">
      <c r="A8" s="20" t="s">
        <v>51</v>
      </c>
      <c r="B8" s="14">
        <f>[3]Vendedor14!$J$4</f>
        <v>0</v>
      </c>
      <c r="C8" s="81">
        <f>[3]Vendedor14!$K$4</f>
        <v>0</v>
      </c>
      <c r="D8" s="82">
        <f>[3]Vendedor14!$L$4</f>
        <v>0</v>
      </c>
      <c r="E8" s="14">
        <f>[3]Vendedor14!$J$5</f>
        <v>0</v>
      </c>
      <c r="F8" s="81">
        <f>[3]Vendedor14!$K$5</f>
        <v>0</v>
      </c>
      <c r="G8" s="85">
        <f>[3]Vendedor14!$L$5</f>
        <v>0</v>
      </c>
      <c r="H8" s="19">
        <f>[3]Vendedor14!$J$6</f>
        <v>0</v>
      </c>
      <c r="I8" s="15">
        <f>[3]Vendedor14!$K$6</f>
        <v>0</v>
      </c>
      <c r="J8" s="17">
        <f>[3]Vendedor14!$L$6</f>
        <v>0</v>
      </c>
      <c r="K8" s="18">
        <f>[3]Vendedor14!$J$7</f>
        <v>0</v>
      </c>
      <c r="L8" s="15">
        <f>[3]Vendedor14!$K$7</f>
        <v>0</v>
      </c>
      <c r="M8" s="16">
        <f>[3]Vendedor14!$L$7</f>
        <v>0</v>
      </c>
      <c r="N8" s="19">
        <f>[3]Vendedor14!$J$8</f>
        <v>0</v>
      </c>
      <c r="O8" s="15">
        <f>[3]Vendedor14!$K$8</f>
        <v>0</v>
      </c>
      <c r="P8" s="17">
        <f>[3]Vendedor14!$L$8</f>
        <v>0</v>
      </c>
      <c r="Q8" s="19">
        <f>[3]Vendedor14!$J$10</f>
        <v>0</v>
      </c>
      <c r="R8" s="15">
        <f>[3]Vendedor14!$K$10</f>
        <v>0</v>
      </c>
      <c r="S8" s="17">
        <f>[3]Vendedor14!$L$10</f>
        <v>0</v>
      </c>
      <c r="T8" s="18">
        <f t="shared" si="2"/>
        <v>0</v>
      </c>
      <c r="U8" s="15">
        <f t="shared" si="1"/>
        <v>0</v>
      </c>
      <c r="V8" s="15">
        <f t="shared" si="1"/>
        <v>0</v>
      </c>
      <c r="W8" s="15">
        <v>0</v>
      </c>
      <c r="X8" s="17">
        <f>+T8-U8-V8+W8</f>
        <v>0</v>
      </c>
    </row>
    <row r="9" spans="1:24">
      <c r="A9" s="13" t="s">
        <v>52</v>
      </c>
      <c r="B9" s="14">
        <f>[4]Vendedor14!$J$4</f>
        <v>0</v>
      </c>
      <c r="C9" s="81">
        <f>[4]Vendedor14!$K$4</f>
        <v>0</v>
      </c>
      <c r="D9" s="82">
        <f>[4]Vendedor14!$L$4</f>
        <v>0</v>
      </c>
      <c r="E9" s="14">
        <f>[4]Vendedor14!$J$5</f>
        <v>0</v>
      </c>
      <c r="F9" s="81">
        <f>[4]Vendedor14!$K$5</f>
        <v>0</v>
      </c>
      <c r="G9" s="85">
        <f>[4]Vendedor14!$L$5</f>
        <v>0</v>
      </c>
      <c r="H9" s="19">
        <f>[4]Vendedor14!$J$6</f>
        <v>0</v>
      </c>
      <c r="I9" s="15">
        <f>[4]Vendedor14!$K$6</f>
        <v>0</v>
      </c>
      <c r="J9" s="17">
        <f>[4]Vendedor14!$L$6</f>
        <v>0</v>
      </c>
      <c r="K9" s="18">
        <f>[4]Vendedor14!$J$7</f>
        <v>0</v>
      </c>
      <c r="L9" s="15">
        <f>[4]Vendedor14!$K$7</f>
        <v>0</v>
      </c>
      <c r="M9" s="16">
        <f>[4]Vendedor14!$L$7</f>
        <v>0</v>
      </c>
      <c r="N9" s="19">
        <f>[4]Vendedor14!$J$8</f>
        <v>0</v>
      </c>
      <c r="O9" s="15">
        <f>[4]Vendedor14!$K$8</f>
        <v>0</v>
      </c>
      <c r="P9" s="17">
        <f>[4]Vendedor14!$L$8</f>
        <v>0</v>
      </c>
      <c r="Q9" s="19">
        <f>[4]Vendedor14!$J$10</f>
        <v>0</v>
      </c>
      <c r="R9" s="15">
        <f>[4]Vendedor14!$K$10</f>
        <v>0</v>
      </c>
      <c r="S9" s="17">
        <f>[4]Vendedor14!$L$10</f>
        <v>0</v>
      </c>
      <c r="T9" s="18">
        <f t="shared" si="2"/>
        <v>0</v>
      </c>
      <c r="U9" s="15">
        <f t="shared" si="1"/>
        <v>0</v>
      </c>
      <c r="V9" s="15">
        <f t="shared" si="1"/>
        <v>0</v>
      </c>
      <c r="W9" s="15">
        <v>0</v>
      </c>
      <c r="X9" s="17">
        <f t="shared" ref="X9:X14" si="3">+T9-U9-V9+W9</f>
        <v>0</v>
      </c>
    </row>
    <row r="10" spans="1:24">
      <c r="A10" s="20" t="s">
        <v>53</v>
      </c>
      <c r="B10" s="14">
        <f>[5]Vendedor14!$J$4</f>
        <v>0</v>
      </c>
      <c r="C10" s="81">
        <f>[5]Vendedor14!$K$4</f>
        <v>0</v>
      </c>
      <c r="D10" s="82">
        <f>[5]Vendedor14!$L$4</f>
        <v>0</v>
      </c>
      <c r="E10" s="14">
        <f>[5]Vendedor14!$J$5</f>
        <v>0</v>
      </c>
      <c r="F10" s="81">
        <f>[5]Vendedor14!$K$5</f>
        <v>0</v>
      </c>
      <c r="G10" s="85">
        <f>[5]Vendedor14!$L$5</f>
        <v>0</v>
      </c>
      <c r="H10" s="19">
        <f>[5]Vendedor14!$J$6</f>
        <v>0</v>
      </c>
      <c r="I10" s="15">
        <f>[5]Vendedor14!$K$6</f>
        <v>0</v>
      </c>
      <c r="J10" s="17">
        <f>[5]Vendedor14!$L$6</f>
        <v>0</v>
      </c>
      <c r="K10" s="18">
        <f>[5]Vendedor14!$J$7</f>
        <v>0</v>
      </c>
      <c r="L10" s="15">
        <f>[5]Vendedor14!$K$7</f>
        <v>0</v>
      </c>
      <c r="M10" s="16">
        <f>[5]Vendedor14!$L$7</f>
        <v>0</v>
      </c>
      <c r="N10" s="19">
        <f>[5]Vendedor14!$J$8</f>
        <v>0</v>
      </c>
      <c r="O10" s="15">
        <f>[5]Vendedor14!$K$8</f>
        <v>0</v>
      </c>
      <c r="P10" s="17">
        <f>[5]Vendedor14!$L$8</f>
        <v>0</v>
      </c>
      <c r="Q10" s="19">
        <f>[5]Vendedor14!$J$10</f>
        <v>0</v>
      </c>
      <c r="R10" s="15">
        <f>[5]Vendedor14!$K$10</f>
        <v>0</v>
      </c>
      <c r="S10" s="17">
        <f>[5]Vendedor14!$L$10</f>
        <v>0</v>
      </c>
      <c r="T10" s="18">
        <f t="shared" si="2"/>
        <v>0</v>
      </c>
      <c r="U10" s="15">
        <f t="shared" si="1"/>
        <v>0</v>
      </c>
      <c r="V10" s="15">
        <f t="shared" si="1"/>
        <v>0</v>
      </c>
      <c r="W10" s="15">
        <v>0</v>
      </c>
      <c r="X10" s="17">
        <f t="shared" si="3"/>
        <v>0</v>
      </c>
    </row>
    <row r="11" spans="1:24">
      <c r="A11" s="13" t="s">
        <v>20</v>
      </c>
      <c r="B11" s="14">
        <f>[6]Vendedor14!$J$4</f>
        <v>0</v>
      </c>
      <c r="C11" s="81">
        <f>[6]Vendedor14!$K$4</f>
        <v>0</v>
      </c>
      <c r="D11" s="82">
        <f>[6]Vendedor14!$L$4</f>
        <v>0</v>
      </c>
      <c r="E11" s="14">
        <f>[6]Vendedor14!$J$5</f>
        <v>0</v>
      </c>
      <c r="F11" s="81">
        <f>[6]Vendedor14!$K$5</f>
        <v>0</v>
      </c>
      <c r="G11" s="85">
        <f>[6]Vendedor14!$L$5</f>
        <v>0</v>
      </c>
      <c r="H11" s="19">
        <f>[6]Vendedor14!$J$6</f>
        <v>0</v>
      </c>
      <c r="I11" s="15">
        <f>[6]Vendedor14!$K$6</f>
        <v>0</v>
      </c>
      <c r="J11" s="17">
        <f>[6]Vendedor14!$L$6</f>
        <v>0</v>
      </c>
      <c r="K11" s="18">
        <f>[6]Vendedor14!$J$7</f>
        <v>0</v>
      </c>
      <c r="L11" s="15">
        <f>[6]Vendedor14!$K$7</f>
        <v>0</v>
      </c>
      <c r="M11" s="16">
        <f>[6]Vendedor14!$L$7</f>
        <v>0</v>
      </c>
      <c r="N11" s="19">
        <f>[6]Vendedor14!$J$8</f>
        <v>0</v>
      </c>
      <c r="O11" s="15">
        <f>[6]Vendedor14!$K$8</f>
        <v>0</v>
      </c>
      <c r="P11" s="17">
        <f>[6]Vendedor14!$L$8</f>
        <v>0</v>
      </c>
      <c r="Q11" s="19">
        <f>[6]Vendedor14!$J$10</f>
        <v>0</v>
      </c>
      <c r="R11" s="15">
        <f>[6]Vendedor14!$K$10</f>
        <v>0</v>
      </c>
      <c r="S11" s="17">
        <f>[6]Vendedor14!$L$10</f>
        <v>0</v>
      </c>
      <c r="T11" s="18">
        <f t="shared" si="2"/>
        <v>0</v>
      </c>
      <c r="U11" s="15">
        <f t="shared" si="1"/>
        <v>0</v>
      </c>
      <c r="V11" s="15">
        <f t="shared" si="1"/>
        <v>0</v>
      </c>
      <c r="W11" s="15">
        <v>0</v>
      </c>
      <c r="X11" s="17">
        <f t="shared" si="3"/>
        <v>0</v>
      </c>
    </row>
    <row r="12" spans="1:24">
      <c r="A12" s="20" t="s">
        <v>21</v>
      </c>
      <c r="B12" s="14">
        <f>[7]Vendedor14!$J$4</f>
        <v>0</v>
      </c>
      <c r="C12" s="81">
        <f>[7]Vendedor14!$K$4</f>
        <v>0</v>
      </c>
      <c r="D12" s="82">
        <f>[7]Vendedor14!$L$4</f>
        <v>0</v>
      </c>
      <c r="E12" s="14">
        <f>[7]Vendedor14!$J$5</f>
        <v>0</v>
      </c>
      <c r="F12" s="81">
        <f>[7]Vendedor14!$K$5</f>
        <v>0</v>
      </c>
      <c r="G12" s="85">
        <f>[7]Vendedor14!$L$5</f>
        <v>0</v>
      </c>
      <c r="H12" s="19">
        <f>[7]Vendedor14!$J$6</f>
        <v>0</v>
      </c>
      <c r="I12" s="15">
        <f>[7]Vendedor14!$K$6</f>
        <v>0</v>
      </c>
      <c r="J12" s="17">
        <f>[7]Vendedor14!$L$6</f>
        <v>0</v>
      </c>
      <c r="K12" s="18">
        <f>[7]Vendedor14!$J$7</f>
        <v>0</v>
      </c>
      <c r="L12" s="15">
        <f>[7]Vendedor14!$K$7</f>
        <v>0</v>
      </c>
      <c r="M12" s="16">
        <f>[7]Vendedor14!$L$7</f>
        <v>0</v>
      </c>
      <c r="N12" s="19">
        <f>[7]Vendedor14!$J$8</f>
        <v>0</v>
      </c>
      <c r="O12" s="15">
        <f>[7]Vendedor14!$K$8</f>
        <v>0</v>
      </c>
      <c r="P12" s="17">
        <f>[7]Vendedor14!$L$8</f>
        <v>0</v>
      </c>
      <c r="Q12" s="19">
        <f>[7]Vendedor14!$J$10</f>
        <v>0</v>
      </c>
      <c r="R12" s="15">
        <f>[7]Vendedor14!$K$10</f>
        <v>0</v>
      </c>
      <c r="S12" s="17">
        <f>[7]Vendedor14!$L$10</f>
        <v>0</v>
      </c>
      <c r="T12" s="18">
        <f t="shared" si="2"/>
        <v>0</v>
      </c>
      <c r="U12" s="15">
        <f t="shared" si="1"/>
        <v>0</v>
      </c>
      <c r="V12" s="15">
        <f t="shared" si="1"/>
        <v>0</v>
      </c>
      <c r="W12" s="15">
        <v>0</v>
      </c>
      <c r="X12" s="17">
        <f t="shared" si="3"/>
        <v>0</v>
      </c>
    </row>
    <row r="13" spans="1:24">
      <c r="A13" s="13" t="s">
        <v>22</v>
      </c>
      <c r="B13" s="14">
        <f>[8]Vendedor14!$J$4</f>
        <v>0</v>
      </c>
      <c r="C13" s="81">
        <f>[8]Vendedor14!$K$4</f>
        <v>0</v>
      </c>
      <c r="D13" s="82">
        <f>[8]Vendedor14!$L$4</f>
        <v>0</v>
      </c>
      <c r="E13" s="14">
        <f>[8]Vendedor14!$J$5</f>
        <v>0</v>
      </c>
      <c r="F13" s="81">
        <f>[8]Vendedor14!$K$5</f>
        <v>0</v>
      </c>
      <c r="G13" s="85">
        <f>[8]Vendedor14!$L$5</f>
        <v>0</v>
      </c>
      <c r="H13" s="19">
        <f>[8]Vendedor14!$J$6</f>
        <v>0</v>
      </c>
      <c r="I13" s="15">
        <f>[8]Vendedor14!$K$6</f>
        <v>0</v>
      </c>
      <c r="J13" s="17">
        <f>[8]Vendedor14!$L$6</f>
        <v>0</v>
      </c>
      <c r="K13" s="18">
        <f>[8]Vendedor14!$J$7</f>
        <v>0</v>
      </c>
      <c r="L13" s="15">
        <f>[8]Vendedor14!$K$7</f>
        <v>0</v>
      </c>
      <c r="M13" s="16">
        <f>[8]Vendedor14!$L$7</f>
        <v>0</v>
      </c>
      <c r="N13" s="19">
        <f>[8]Vendedor14!$J$8</f>
        <v>0</v>
      </c>
      <c r="O13" s="15">
        <f>[8]Vendedor14!$K$8</f>
        <v>0</v>
      </c>
      <c r="P13" s="17">
        <f>[8]Vendedor14!$L$8</f>
        <v>0</v>
      </c>
      <c r="Q13" s="19">
        <f>[8]Vendedor14!$J$10</f>
        <v>0</v>
      </c>
      <c r="R13" s="15">
        <f>[8]Vendedor14!$K$10</f>
        <v>0</v>
      </c>
      <c r="S13" s="17">
        <f>[8]Vendedor14!$L$10</f>
        <v>0</v>
      </c>
      <c r="T13" s="18">
        <f t="shared" si="2"/>
        <v>0</v>
      </c>
      <c r="U13" s="15">
        <f t="shared" si="1"/>
        <v>0</v>
      </c>
      <c r="V13" s="15">
        <f t="shared" si="1"/>
        <v>0</v>
      </c>
      <c r="W13" s="15">
        <v>0</v>
      </c>
      <c r="X13" s="17">
        <f t="shared" si="3"/>
        <v>0</v>
      </c>
    </row>
    <row r="14" spans="1:24" ht="15.75" thickBot="1">
      <c r="A14" s="20" t="s">
        <v>23</v>
      </c>
      <c r="B14" s="14">
        <f>[9]Vendedor14!$J$4</f>
        <v>0</v>
      </c>
      <c r="C14" s="81">
        <f>[9]Vendedor14!$K$4</f>
        <v>0</v>
      </c>
      <c r="D14" s="82">
        <f>[9]Vendedor14!$L$4</f>
        <v>0</v>
      </c>
      <c r="E14" s="14">
        <f>[9]Vendedor14!$J$5</f>
        <v>0</v>
      </c>
      <c r="F14" s="81">
        <f>[9]Vendedor14!$K$5</f>
        <v>0</v>
      </c>
      <c r="G14" s="85">
        <f>[9]Vendedor14!$L$5</f>
        <v>0</v>
      </c>
      <c r="H14" s="19">
        <f>[9]Vendedor14!$J$6</f>
        <v>0</v>
      </c>
      <c r="I14" s="15">
        <f>[9]Vendedor14!$K$6</f>
        <v>0</v>
      </c>
      <c r="J14" s="17">
        <f>[9]Vendedor14!$L$6</f>
        <v>0</v>
      </c>
      <c r="K14" s="18">
        <f>[9]Vendedor14!$J$7</f>
        <v>0</v>
      </c>
      <c r="L14" s="15">
        <f>[9]Vendedor14!$K$7</f>
        <v>0</v>
      </c>
      <c r="M14" s="16">
        <f>[9]Vendedor14!$L$7</f>
        <v>0</v>
      </c>
      <c r="N14" s="19">
        <f>[9]Vendedor14!$J$8</f>
        <v>0</v>
      </c>
      <c r="O14" s="15">
        <f>[9]Vendedor14!$K$8</f>
        <v>0</v>
      </c>
      <c r="P14" s="17">
        <f>[9]Vendedor14!$L$8</f>
        <v>0</v>
      </c>
      <c r="Q14" s="19">
        <f>[9]Vendedor14!$J$10</f>
        <v>0</v>
      </c>
      <c r="R14" s="15">
        <f>[9]Vendedor14!$K$10</f>
        <v>0</v>
      </c>
      <c r="S14" s="17">
        <f>[9]Vendedor14!$L$10</f>
        <v>0</v>
      </c>
      <c r="T14" s="18">
        <f t="shared" si="2"/>
        <v>0</v>
      </c>
      <c r="U14" s="15">
        <f t="shared" si="1"/>
        <v>0</v>
      </c>
      <c r="V14" s="15">
        <f t="shared" si="1"/>
        <v>0</v>
      </c>
      <c r="W14" s="15">
        <v>0</v>
      </c>
      <c r="X14" s="17">
        <f t="shared" si="3"/>
        <v>0</v>
      </c>
    </row>
    <row r="15" spans="1:24" s="1" customFormat="1" ht="16.5" thickBot="1">
      <c r="A15" s="5" t="s">
        <v>46</v>
      </c>
      <c r="B15" s="27">
        <f t="shared" ref="B15:V15" si="4">SUM(B6:B14)</f>
        <v>0</v>
      </c>
      <c r="C15" s="28">
        <f t="shared" si="4"/>
        <v>0</v>
      </c>
      <c r="D15" s="29">
        <f t="shared" si="4"/>
        <v>0</v>
      </c>
      <c r="E15" s="30">
        <f t="shared" si="4"/>
        <v>0</v>
      </c>
      <c r="F15" s="28">
        <f t="shared" si="4"/>
        <v>0</v>
      </c>
      <c r="G15" s="31">
        <f t="shared" si="4"/>
        <v>0</v>
      </c>
      <c r="H15" s="27">
        <f t="shared" si="4"/>
        <v>0</v>
      </c>
      <c r="I15" s="28">
        <f t="shared" si="4"/>
        <v>0</v>
      </c>
      <c r="J15" s="29">
        <f t="shared" si="4"/>
        <v>0</v>
      </c>
      <c r="K15" s="77">
        <f t="shared" si="4"/>
        <v>0</v>
      </c>
      <c r="L15" s="32">
        <f t="shared" si="4"/>
        <v>0</v>
      </c>
      <c r="M15" s="78">
        <f t="shared" si="4"/>
        <v>0</v>
      </c>
      <c r="N15" s="77">
        <f t="shared" si="4"/>
        <v>0</v>
      </c>
      <c r="O15" s="32">
        <f t="shared" si="4"/>
        <v>0</v>
      </c>
      <c r="P15" s="78">
        <f t="shared" si="4"/>
        <v>0</v>
      </c>
      <c r="Q15" s="77">
        <f t="shared" si="4"/>
        <v>0</v>
      </c>
      <c r="R15" s="32">
        <f t="shared" si="4"/>
        <v>0</v>
      </c>
      <c r="S15" s="78">
        <f t="shared" si="4"/>
        <v>0</v>
      </c>
      <c r="T15" s="60">
        <f t="shared" si="4"/>
        <v>0</v>
      </c>
      <c r="U15" s="32">
        <f t="shared" si="4"/>
        <v>0</v>
      </c>
      <c r="V15" s="32">
        <f t="shared" si="4"/>
        <v>0</v>
      </c>
      <c r="W15" s="32">
        <f>SUM(W5:W14)</f>
        <v>0</v>
      </c>
      <c r="X15" s="33">
        <f>SUM(X5:X14)</f>
        <v>0</v>
      </c>
    </row>
  </sheetData>
  <mergeCells count="2">
    <mergeCell ref="I1:U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A66"/>
  <sheetViews>
    <sheetView showGridLines="0" tabSelected="1" zoomScale="90" zoomScaleNormal="90" workbookViewId="0">
      <pane ySplit="2" topLeftCell="A3" activePane="bottomLeft" state="frozen"/>
      <selection pane="bottomLeft"/>
    </sheetView>
  </sheetViews>
  <sheetFormatPr baseColWidth="10" defaultColWidth="0" defaultRowHeight="15" zeroHeight="1"/>
  <cols>
    <col min="1" max="1" width="27.5703125" style="34" customWidth="1"/>
    <col min="2" max="2" width="16.5703125" style="34" bestFit="1" customWidth="1"/>
    <col min="3" max="3" width="17.85546875" style="34" bestFit="1" customWidth="1"/>
    <col min="4" max="4" width="16.5703125" style="34" bestFit="1" customWidth="1"/>
    <col min="5" max="5" width="20" style="34" bestFit="1" customWidth="1"/>
    <col min="6" max="6" width="15.140625" style="34" bestFit="1" customWidth="1"/>
    <col min="7" max="7" width="9.140625" style="34" customWidth="1"/>
    <col min="8" max="8" width="13.85546875" style="34" customWidth="1"/>
    <col min="9" max="11" width="9.140625" style="34" customWidth="1"/>
    <col min="12" max="14" width="11.5703125" style="34" hidden="1" customWidth="1"/>
    <col min="15" max="1015" width="9.140625" style="34" hidden="1" customWidth="1"/>
    <col min="1016" max="16384" width="9.140625" hidden="1"/>
  </cols>
  <sheetData>
    <row r="1" spans="1:6" ht="15.75" thickBot="1"/>
    <row r="2" spans="1:6" s="40" customFormat="1" ht="16.5" thickBot="1">
      <c r="A2" s="35" t="s">
        <v>47</v>
      </c>
      <c r="B2" s="36" t="s">
        <v>15</v>
      </c>
      <c r="C2" s="37" t="s">
        <v>16</v>
      </c>
      <c r="D2" s="37" t="s">
        <v>138</v>
      </c>
      <c r="E2" s="38" t="s">
        <v>18</v>
      </c>
      <c r="F2" s="39" t="s">
        <v>19</v>
      </c>
    </row>
    <row r="3" spans="1:6" ht="15.75">
      <c r="A3" s="41" t="str">
        <f>Vendedor1!B2</f>
        <v>PANAS</v>
      </c>
      <c r="B3" s="44">
        <f>Vendedor1!K$37</f>
        <v>3476350</v>
      </c>
      <c r="C3" s="42">
        <f>Vendedor1!L$37</f>
        <v>451900</v>
      </c>
      <c r="D3" s="42">
        <f>Vendedor1!M$37</f>
        <v>2960000</v>
      </c>
      <c r="E3" s="43">
        <f>Vendedor1!N$37</f>
        <v>0</v>
      </c>
      <c r="F3" s="45">
        <f>Vendedor1!O$37</f>
        <v>64450</v>
      </c>
    </row>
    <row r="4" spans="1:6" ht="15.75">
      <c r="A4" s="46" t="str">
        <f>+Vendedor2!B$2</f>
        <v>PANAS #2</v>
      </c>
      <c r="B4" s="44">
        <f>+Vendedor2!K$37</f>
        <v>2690600</v>
      </c>
      <c r="C4" s="42">
        <f>+Vendedor2!L$37</f>
        <v>349850</v>
      </c>
      <c r="D4" s="42">
        <f>+Vendedor2!M$37</f>
        <v>2621500</v>
      </c>
      <c r="E4" s="43">
        <f>Vendedor2!N$37</f>
        <v>0</v>
      </c>
      <c r="F4" s="45">
        <f>+Vendedor2!O$37</f>
        <v>-280750</v>
      </c>
    </row>
    <row r="5" spans="1:6" ht="15.75">
      <c r="A5" s="46" t="str">
        <f>Vendedor3!B$2</f>
        <v>Puesto 3</v>
      </c>
      <c r="B5" s="44">
        <f>Vendedor3!K$37</f>
        <v>0</v>
      </c>
      <c r="C5" s="42">
        <f>Vendedor3!O$37</f>
        <v>0</v>
      </c>
      <c r="D5" s="42">
        <f>Vendedor3!P$37</f>
        <v>0</v>
      </c>
      <c r="E5" s="43">
        <f>Vendedor3!N$37</f>
        <v>0</v>
      </c>
      <c r="F5" s="45">
        <f>+B5-C5-D5-E5</f>
        <v>0</v>
      </c>
    </row>
    <row r="6" spans="1:6" ht="15.75">
      <c r="A6" s="46" t="str">
        <f>+Vendedor4!B$2</f>
        <v>VENDEDOR 4</v>
      </c>
      <c r="B6" s="44">
        <f>+Vendedor4!K$37</f>
        <v>5000</v>
      </c>
      <c r="C6" s="42">
        <f>+Vendedor4!L$37</f>
        <v>5000</v>
      </c>
      <c r="D6" s="42">
        <f>+Vendedor4!M$37</f>
        <v>0</v>
      </c>
      <c r="E6" s="43">
        <f>Vendedor4!N$37</f>
        <v>0</v>
      </c>
      <c r="F6" s="45">
        <f>+Vendedor4!O$37</f>
        <v>0</v>
      </c>
    </row>
    <row r="7" spans="1:6" ht="15.75">
      <c r="A7" s="46" t="str">
        <f>+Vendedor5!B$2</f>
        <v>YOYO</v>
      </c>
      <c r="B7" s="44">
        <f>+Vendedor5!K$37</f>
        <v>4368950</v>
      </c>
      <c r="C7" s="42">
        <f>+Vendedor5!L$37</f>
        <v>524250</v>
      </c>
      <c r="D7" s="42">
        <f>+Vendedor5!M$37</f>
        <v>3636750</v>
      </c>
      <c r="E7" s="43">
        <f>Vendedor5!N$37</f>
        <v>0</v>
      </c>
      <c r="F7" s="45">
        <f>+Vendedor5!O$37</f>
        <v>207950</v>
      </c>
    </row>
    <row r="8" spans="1:6" ht="15.75">
      <c r="A8" s="46" t="str">
        <f>+Vendedor6!B$2</f>
        <v>MARTA ROSA</v>
      </c>
      <c r="B8" s="44">
        <f>+Vendedor6!N$37</f>
        <v>0</v>
      </c>
      <c r="C8" s="42">
        <f>+Vendedor6!O$37</f>
        <v>0</v>
      </c>
      <c r="D8" s="42">
        <f>+Vendedor6!P$37</f>
        <v>0</v>
      </c>
      <c r="E8" s="43">
        <f>Vendedor6!Q$37</f>
        <v>0</v>
      </c>
      <c r="F8" s="45">
        <f>+Vendedor6!R$37</f>
        <v>0</v>
      </c>
    </row>
    <row r="9" spans="1:6" ht="15.75">
      <c r="A9" s="46" t="str">
        <f>+Vendedor7!B$2</f>
        <v>PIKIS</v>
      </c>
      <c r="B9" s="44">
        <f>+Vendedor7!W$37</f>
        <v>8752150</v>
      </c>
      <c r="C9" s="42">
        <f>+Vendedor7!X$37</f>
        <v>1041108</v>
      </c>
      <c r="D9" s="42">
        <f>+Vendedor7!Y$37</f>
        <v>5132000</v>
      </c>
      <c r="E9" s="43">
        <f>Vendedor7!Z$37</f>
        <v>0</v>
      </c>
      <c r="F9" s="45">
        <f>+Vendedor7!AA$37</f>
        <v>2579042</v>
      </c>
    </row>
    <row r="10" spans="1:6" ht="15.75">
      <c r="A10" s="46" t="str">
        <f>+Vendedor8!B$2</f>
        <v>ISA MAYO</v>
      </c>
      <c r="B10" s="44">
        <f>+Vendedor8!K$37</f>
        <v>100600</v>
      </c>
      <c r="C10" s="42">
        <f>+Vendedor8!L$37</f>
        <v>12100</v>
      </c>
      <c r="D10" s="42">
        <f>+Vendedor8!M$37</f>
        <v>110500</v>
      </c>
      <c r="E10" s="43">
        <f>Vendedor8!N$37</f>
        <v>0</v>
      </c>
      <c r="F10" s="45">
        <f>+Vendedor8!O$37</f>
        <v>-22000</v>
      </c>
    </row>
    <row r="11" spans="1:6" ht="15.75">
      <c r="A11" s="46" t="str">
        <f>+Vendedor9!B$2</f>
        <v>JUAN FELIX</v>
      </c>
      <c r="B11" s="44">
        <f>+Vendedor9!Q$37</f>
        <v>3232050</v>
      </c>
      <c r="C11" s="42">
        <f>+Vendedor9!R$37</f>
        <v>386310</v>
      </c>
      <c r="D11" s="42">
        <f>+Vendedor9!S$37</f>
        <v>3170500</v>
      </c>
      <c r="E11" s="43">
        <f>Vendedor9!T$37</f>
        <v>0</v>
      </c>
      <c r="F11" s="45">
        <f>+Vendedor9!U$37</f>
        <v>-324760</v>
      </c>
    </row>
    <row r="12" spans="1:6" ht="15.75">
      <c r="A12" s="46" t="str">
        <f>+Vendedor10!B$2</f>
        <v>MARIALIZ</v>
      </c>
      <c r="B12" s="44">
        <f>+Vendedor10!K$37</f>
        <v>1662300</v>
      </c>
      <c r="C12" s="42">
        <f>+Vendedor10!L$37</f>
        <v>199500</v>
      </c>
      <c r="D12" s="42">
        <f>+Vendedor10!M$37</f>
        <v>1151750</v>
      </c>
      <c r="E12" s="43">
        <f>Vendedor10!N$37</f>
        <v>0</v>
      </c>
      <c r="F12" s="45">
        <f>+Vendedor10!O$37</f>
        <v>311050</v>
      </c>
    </row>
    <row r="13" spans="1:6" ht="15.75">
      <c r="A13" s="46" t="str">
        <f>Vendedor11!B$2</f>
        <v>CHARLY</v>
      </c>
      <c r="B13" s="44">
        <f>+Vendedor11!K$37</f>
        <v>1317600</v>
      </c>
      <c r="C13" s="42">
        <f>+Vendedor11!L$37</f>
        <v>197650</v>
      </c>
      <c r="D13" s="42">
        <f>+Vendedor11!M$37</f>
        <v>1096000</v>
      </c>
      <c r="E13" s="43">
        <f>Vendedor11!N$37</f>
        <v>0</v>
      </c>
      <c r="F13" s="45">
        <f>+Vendedor11!O$37</f>
        <v>23950</v>
      </c>
    </row>
    <row r="14" spans="1:6" ht="15.75">
      <c r="A14" s="46" t="str">
        <f>Vendedor12!B$2</f>
        <v>LAURY</v>
      </c>
      <c r="B14" s="44">
        <f>+Vendedor12!K$37</f>
        <v>0</v>
      </c>
      <c r="C14" s="42">
        <f>+Vendedor12!L$37</f>
        <v>0</v>
      </c>
      <c r="D14" s="42">
        <f>+Vendedor12!M$37</f>
        <v>0</v>
      </c>
      <c r="E14" s="43">
        <f>Vendedor12!N$37</f>
        <v>0</v>
      </c>
      <c r="F14" s="45">
        <f>+Vendedor12!O$37</f>
        <v>0</v>
      </c>
    </row>
    <row r="15" spans="1:6" ht="15.75">
      <c r="A15" s="46" t="str">
        <f>Vendedor13!B$2</f>
        <v>MINERO</v>
      </c>
      <c r="B15" s="44">
        <f>+Vendedor13!$Q$37</f>
        <v>1363300</v>
      </c>
      <c r="C15" s="42">
        <f>+Vendedor13!R$37</f>
        <v>162930</v>
      </c>
      <c r="D15" s="42">
        <f>+Vendedor13!S$37</f>
        <v>1312500</v>
      </c>
      <c r="E15" s="43">
        <f>Vendedor13!T$37</f>
        <v>0</v>
      </c>
      <c r="F15" s="45">
        <f>+Vendedor13!U$37</f>
        <v>-112130</v>
      </c>
    </row>
    <row r="16" spans="1:6" ht="15.75">
      <c r="A16" s="46" t="str">
        <f>Vendedor14!B$2</f>
        <v>EDUARDO LICORERA</v>
      </c>
      <c r="B16" s="44">
        <f>+Vendedor14!T$37</f>
        <v>0</v>
      </c>
      <c r="C16" s="42">
        <f>+Vendedor14!U$37</f>
        <v>0</v>
      </c>
      <c r="D16" s="42">
        <f>+Vendedor14!V$37</f>
        <v>0</v>
      </c>
      <c r="E16" s="43">
        <f>Vendedor14!W$37</f>
        <v>0</v>
      </c>
      <c r="F16" s="45">
        <f>+Vendedor14!X$37</f>
        <v>0</v>
      </c>
    </row>
    <row r="17" spans="1:8" ht="15.75">
      <c r="A17" s="46" t="str">
        <f>Vendedor15!B$2</f>
        <v>EDUARDO CENTRO</v>
      </c>
      <c r="B17" s="44">
        <f>+Vendedor15!T$37</f>
        <v>0</v>
      </c>
      <c r="C17" s="42">
        <f>+Vendedor15!U$37</f>
        <v>0</v>
      </c>
      <c r="D17" s="42">
        <f>+Vendedor15!V$37</f>
        <v>0</v>
      </c>
      <c r="E17" s="43">
        <f>Vendedor15!W$37</f>
        <v>0</v>
      </c>
      <c r="F17" s="45">
        <f>+Vendedor15!X$37</f>
        <v>0</v>
      </c>
      <c r="H17" s="47"/>
    </row>
    <row r="18" spans="1:8" ht="15.75" hidden="1">
      <c r="A18" s="46" t="str">
        <f>Vendedor16!B$2</f>
        <v>Vendedor 16</v>
      </c>
      <c r="B18" s="44">
        <f>+Vendedor16!K$37</f>
        <v>0</v>
      </c>
      <c r="C18" s="42">
        <f>+Vendedor16!L$37</f>
        <v>0</v>
      </c>
      <c r="D18" s="42">
        <f>+Vendedor16!M$37</f>
        <v>0</v>
      </c>
      <c r="E18" s="43">
        <f>Vendedor16!N$37</f>
        <v>0</v>
      </c>
      <c r="F18" s="45">
        <f>+Vendedor16!O$37</f>
        <v>0</v>
      </c>
    </row>
    <row r="19" spans="1:8" ht="15.75" hidden="1">
      <c r="A19" s="46" t="str">
        <f>Vendedor17!B$2</f>
        <v>VENDEDOR 17</v>
      </c>
      <c r="B19" s="44">
        <f>+Vendedor17!K$37</f>
        <v>0</v>
      </c>
      <c r="C19" s="42">
        <f>+Vendedor17!L$37</f>
        <v>0</v>
      </c>
      <c r="D19" s="42">
        <f>+Vendedor17!M$37</f>
        <v>0</v>
      </c>
      <c r="E19" s="43">
        <f>Vendedor17!N$37</f>
        <v>0</v>
      </c>
      <c r="F19" s="45">
        <f>+Vendedor17!O$37</f>
        <v>0</v>
      </c>
    </row>
    <row r="20" spans="1:8" ht="15.75" hidden="1">
      <c r="A20" s="46" t="str">
        <f>Vendedor18!B$2</f>
        <v>VENDEDOR 18</v>
      </c>
      <c r="B20" s="44">
        <f>+Vendedor18!K$37</f>
        <v>0</v>
      </c>
      <c r="C20" s="42">
        <f>+Vendedor18!L$37</f>
        <v>0</v>
      </c>
      <c r="D20" s="42">
        <f>+Vendedor18!M$37</f>
        <v>0</v>
      </c>
      <c r="E20" s="43">
        <f>Vendedor18!N$37</f>
        <v>0</v>
      </c>
      <c r="F20" s="45">
        <f>+Vendedor18!O$37</f>
        <v>0</v>
      </c>
    </row>
    <row r="21" spans="1:8" ht="15.75" hidden="1">
      <c r="A21" s="46" t="str">
        <f>Vendedor19!B$2</f>
        <v>VENDEDOR 19</v>
      </c>
      <c r="B21" s="44">
        <f>+Vendedor19!K$37</f>
        <v>0</v>
      </c>
      <c r="C21" s="42">
        <f>+Vendedor19!L$37</f>
        <v>0</v>
      </c>
      <c r="D21" s="42">
        <f>+Vendedor19!M$37</f>
        <v>0</v>
      </c>
      <c r="E21" s="43">
        <f>Vendedor19!N$37</f>
        <v>0</v>
      </c>
      <c r="F21" s="45">
        <f>+Vendedor19!O$37</f>
        <v>0</v>
      </c>
    </row>
    <row r="22" spans="1:8" ht="15.75" hidden="1">
      <c r="A22" s="46" t="str">
        <f>Vendedor20!B$2</f>
        <v>VENDEDOR 20</v>
      </c>
      <c r="B22" s="44">
        <f>+Vendedor20!K$37</f>
        <v>0</v>
      </c>
      <c r="C22" s="42">
        <f>+Vendedor20!L$37</f>
        <v>0</v>
      </c>
      <c r="D22" s="42">
        <f>+Vendedor20!M$37</f>
        <v>0</v>
      </c>
      <c r="E22" s="43">
        <f>Vendedor20!N$37</f>
        <v>0</v>
      </c>
      <c r="F22" s="45">
        <f>+Vendedor20!O$37</f>
        <v>0</v>
      </c>
    </row>
    <row r="23" spans="1:8" ht="15.75" hidden="1">
      <c r="A23" s="46" t="str">
        <f>Vendedor21!B$2</f>
        <v>Vendedor 21</v>
      </c>
      <c r="B23" s="44">
        <f>+Vendedor21!K$36</f>
        <v>0</v>
      </c>
      <c r="C23" s="42">
        <f>+Vendedor21!L$36</f>
        <v>0</v>
      </c>
      <c r="D23" s="42">
        <f>+Vendedor21!M$36</f>
        <v>0</v>
      </c>
      <c r="E23" s="43">
        <f>Vendedor21!N$36</f>
        <v>0</v>
      </c>
      <c r="F23" s="45">
        <f>+Vendedor21!O$36</f>
        <v>0</v>
      </c>
    </row>
    <row r="24" spans="1:8" ht="15.75" hidden="1">
      <c r="A24" s="46" t="str">
        <f>Vendedor22!B$2</f>
        <v>Vendedor 22</v>
      </c>
      <c r="B24" s="44">
        <f>+Vendedor22!K$36</f>
        <v>0</v>
      </c>
      <c r="C24" s="42">
        <f>+Vendedor22!L$36</f>
        <v>0</v>
      </c>
      <c r="D24" s="42">
        <f>+Vendedor22!M$36</f>
        <v>0</v>
      </c>
      <c r="E24" s="43">
        <f>Vendedor22!N$36</f>
        <v>0</v>
      </c>
      <c r="F24" s="45">
        <f>+Vendedor22!O$36</f>
        <v>0</v>
      </c>
    </row>
    <row r="25" spans="1:8" ht="15.75" hidden="1">
      <c r="A25" s="46" t="str">
        <f>Vendedor23!B$2</f>
        <v>Vendedor 23</v>
      </c>
      <c r="B25" s="44">
        <f>+Vendedor23!K$36</f>
        <v>0</v>
      </c>
      <c r="C25" s="42">
        <f>+Vendedor23!L$36</f>
        <v>0</v>
      </c>
      <c r="D25" s="42">
        <f>+Vendedor23!M$36</f>
        <v>0</v>
      </c>
      <c r="E25" s="43">
        <f>Vendedor23!N$36</f>
        <v>0</v>
      </c>
      <c r="F25" s="45">
        <f>+Vendedor23!O$36</f>
        <v>0</v>
      </c>
    </row>
    <row r="26" spans="1:8" ht="15.75">
      <c r="A26" s="46" t="str">
        <f>Vendedor24!B$2</f>
        <v>Reposición</v>
      </c>
      <c r="B26" s="44">
        <f>+Vendedor24!K$36</f>
        <v>100</v>
      </c>
      <c r="C26" s="42">
        <f>+Vendedor24!L$36</f>
        <v>8500</v>
      </c>
      <c r="D26" s="42">
        <f>+Vendedor24!M$36</f>
        <v>0</v>
      </c>
      <c r="E26" s="43">
        <f>Vendedor24!N$36</f>
        <v>0</v>
      </c>
      <c r="F26" s="45">
        <f>+Vendedor24!O$36</f>
        <v>-8400</v>
      </c>
    </row>
    <row r="27" spans="1:8" ht="16.5" thickBot="1">
      <c r="A27" s="48" t="s">
        <v>48</v>
      </c>
      <c r="B27" s="49">
        <f>SUM(B3:B26)</f>
        <v>26969000</v>
      </c>
      <c r="C27" s="50">
        <f>SUM(C3:C26)</f>
        <v>3339098</v>
      </c>
      <c r="D27" s="50">
        <f>SUM(D3:D26)</f>
        <v>21191500</v>
      </c>
      <c r="E27" s="51">
        <f>SUM(E3:E26)</f>
        <v>0</v>
      </c>
      <c r="F27" s="52">
        <f>SUM(F3:F26)</f>
        <v>2438402</v>
      </c>
    </row>
    <row r="28" spans="1:8"/>
    <row r="29" spans="1:8"/>
    <row r="30" spans="1:8"/>
    <row r="31" spans="1:8"/>
    <row r="32" spans="1:8"/>
    <row r="33" spans="1:1"/>
    <row r="34" spans="1:1"/>
    <row r="35" spans="1:1"/>
    <row r="36" spans="1:1"/>
    <row r="37" spans="1:1">
      <c r="A37" s="34" t="s">
        <v>113</v>
      </c>
    </row>
    <row r="38" spans="1:1">
      <c r="A38" s="34" t="s">
        <v>131</v>
      </c>
    </row>
    <row r="39" spans="1:1"/>
    <row r="40" spans="1:1"/>
    <row r="41" spans="1:1"/>
    <row r="42" spans="1:1"/>
    <row r="43" spans="1:1"/>
    <row r="44" spans="1:1"/>
    <row r="45" spans="1:1"/>
    <row r="46" spans="1:1"/>
    <row r="47" spans="1:1"/>
    <row r="48" spans="1:1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</sheetData>
  <conditionalFormatting sqref="B3:B14 B27:E27 B16:B26 F16:F27">
    <cfRule type="cellIs" dxfId="3" priority="9" operator="lessThan">
      <formula>0</formula>
    </cfRule>
  </conditionalFormatting>
  <conditionalFormatting sqref="F3:F14">
    <cfRule type="cellIs" dxfId="2" priority="4" operator="lessThan">
      <formula>0</formula>
    </cfRule>
  </conditionalFormatting>
  <conditionalFormatting sqref="B15">
    <cfRule type="cellIs" dxfId="1" priority="2" operator="lessThan">
      <formula>0</formula>
    </cfRule>
  </conditionalFormatting>
  <conditionalFormatting sqref="F15">
    <cfRule type="cellIs" dxfId="0" priority="1" operator="lessThan">
      <formula>0</formula>
    </cfRule>
  </conditionalFormatting>
  <hyperlinks>
    <hyperlink ref="A3" location="Vendedor1!B5" display="#Vendedor1.B5"/>
    <hyperlink ref="A4" location="Vendedor2!B5" display="#Vendedor2.B5"/>
    <hyperlink ref="A5" location="Vendedor3!B5" display="#Vendedor3.B5"/>
    <hyperlink ref="A6" location="Vendedor4!B5" display="#Vendedor4.B5"/>
    <hyperlink ref="A7" location="Vendedor5!B5" display="#Vendedor5.B5"/>
    <hyperlink ref="A8" location="Vendedor6!B5" display="#Vendedor6.B5"/>
    <hyperlink ref="A9" location="Vendedor7!B5" display="#Vendedor7.B5"/>
    <hyperlink ref="A10" location="Vendedor8!B5" display="#Vendedor8.B5"/>
    <hyperlink ref="A11" location="Vendedor9!B5" display="#Vendedor9.B5"/>
    <hyperlink ref="A12" location="Vendedor10!B5" display="#Vendedor10.B5"/>
    <hyperlink ref="A13" location="Vendedor11!B5" display="#Vendedor11.B5"/>
    <hyperlink ref="A14" location="Vendedor12!B5" display="#Vendedor12.B5"/>
    <hyperlink ref="A16" location="Vendedor14!B5" display="#Vendedor14.B5"/>
    <hyperlink ref="A17" location="Vendedor15!B5" display="#Vendedor15.B5"/>
    <hyperlink ref="A18" location="Vendedor16!B5" display="#Vendedor16.B5"/>
    <hyperlink ref="A19" location="Vendedor17!B5" display="#Vendedor17.B5"/>
    <hyperlink ref="A20" location="Vendedor18!B5" display="#Vendedor18.B5"/>
    <hyperlink ref="A21" location="Vendedor19!B5" display="#Vendedor19.B5"/>
    <hyperlink ref="A22" location="Vendedor20!B5" display="#Vendedor20.B5"/>
    <hyperlink ref="A23" location="Vendedor21!B5" display="#Vendedor21.B5"/>
    <hyperlink ref="A24" location="Vendedor22!B5" display="#Vendedor22.B5"/>
    <hyperlink ref="A25" location="Vendedor23!B5" display="#Vendedor23.B5"/>
    <hyperlink ref="A26" location="Vendedor24!B5" display="#Vendedor24.B5"/>
    <hyperlink ref="A37" location="'PuestosALI RESUMEN'!A1" display="Ir a resumen"/>
    <hyperlink ref="A15" location="Vendedor13!B5" display="Vendedor13!B5"/>
    <hyperlink ref="A38" location="'Grafico Dinámico'!A1" display="Grafico Dinamico"/>
  </hyperlink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7"/>
  <sheetViews>
    <sheetView showGridLines="0" zoomScale="90" zoomScaleNormal="90" workbookViewId="0">
      <selection activeCell="K6" sqref="K6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42578125" style="1" customWidth="1"/>
    <col min="16" max="16" width="4.85546875" style="1" customWidth="1"/>
    <col min="17" max="18" width="11.42578125" style="1" customWidth="1"/>
    <col min="19" max="1024" width="11.42578125" style="1"/>
  </cols>
  <sheetData>
    <row r="1" spans="1:15" ht="15.75" thickBot="1">
      <c r="I1" s="138" t="s">
        <v>0</v>
      </c>
      <c r="J1" s="138"/>
      <c r="K1" s="138"/>
      <c r="L1" s="138"/>
      <c r="M1" s="138"/>
      <c r="N1" s="138"/>
    </row>
    <row r="2" spans="1:15" ht="19.5" thickBot="1">
      <c r="A2" s="2" t="s">
        <v>1</v>
      </c>
      <c r="B2" s="137" t="s">
        <v>114</v>
      </c>
      <c r="C2" s="137"/>
      <c r="D2" s="137"/>
      <c r="I2" s="3" t="s">
        <v>2</v>
      </c>
      <c r="J2" s="4">
        <v>0.13</v>
      </c>
      <c r="K2" s="3" t="s">
        <v>3</v>
      </c>
      <c r="L2" s="4">
        <v>0.18</v>
      </c>
      <c r="M2" s="3" t="s">
        <v>4</v>
      </c>
      <c r="N2" s="4">
        <v>0.12</v>
      </c>
    </row>
    <row r="4" spans="1:15" ht="30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36" si="0">+K5-L5-M5+N5</f>
        <v>0</v>
      </c>
    </row>
    <row r="6" spans="1:15">
      <c r="A6" s="20" t="s">
        <v>49</v>
      </c>
      <c r="B6" s="53">
        <f>+Vendedor1!B6+Vendedor2!B6+Vendedor3!B6</f>
        <v>357700</v>
      </c>
      <c r="C6" s="58">
        <f>+Vendedor1!C6+Vendedor2!C6+Vendedor3!C6</f>
        <v>46501</v>
      </c>
      <c r="D6" s="54">
        <f>+Vendedor1!D6+Vendedor2!D6+Vendedor3!D6</f>
        <v>726750</v>
      </c>
      <c r="E6" s="53">
        <f>+Vendedor1!E6+Vendedor2!E6+Vendedor3!E6</f>
        <v>60050</v>
      </c>
      <c r="F6" s="58">
        <f>+Vendedor1!F6+Vendedor2!F6+Vendedor3!F6</f>
        <v>7806.5</v>
      </c>
      <c r="G6" s="55">
        <f>+Vendedor1!G6+Vendedor2!G6+Vendedor3!G6</f>
        <v>0</v>
      </c>
      <c r="H6" s="61">
        <f>+Vendedor1!H6+Vendedor2!H6+Vendedor3!H6</f>
        <v>25800</v>
      </c>
      <c r="I6" s="58">
        <f>+Vendedor1!I6+Vendedor2!I6+Vendedor3!I6</f>
        <v>3354</v>
      </c>
      <c r="J6" s="54">
        <f>+Vendedor1!J6+Vendedor2!J6+Vendedor3!J6</f>
        <v>8000</v>
      </c>
      <c r="K6" s="59">
        <f>+B6+E6+H6</f>
        <v>443550</v>
      </c>
      <c r="L6" s="58">
        <f>MROUND(C6+F6+I6,50)</f>
        <v>57650</v>
      </c>
      <c r="M6" s="58">
        <f t="shared" ref="M6:M36" si="1">+D6+G6+J6</f>
        <v>734750</v>
      </c>
      <c r="N6" s="58">
        <v>0</v>
      </c>
      <c r="O6" s="55">
        <f t="shared" si="0"/>
        <v>-348850</v>
      </c>
    </row>
    <row r="7" spans="1:15">
      <c r="A7" s="13" t="s">
        <v>50</v>
      </c>
      <c r="B7" s="14">
        <f>+Vendedor1!B7+Vendedor2!B7+Vendedor3!B7</f>
        <v>662300</v>
      </c>
      <c r="C7" s="15">
        <f>+Vendedor1!C7+Vendedor2!C7+Vendedor3!C7</f>
        <v>86099</v>
      </c>
      <c r="D7" s="16">
        <f>+Vendedor1!D7+Vendedor2!D7+Vendedor3!D7</f>
        <v>807500</v>
      </c>
      <c r="E7" s="14">
        <f>+Vendedor1!E7+Vendedor2!E7+Vendedor3!E7</f>
        <v>105350</v>
      </c>
      <c r="F7" s="15">
        <f>+Vendedor1!F7+Vendedor2!F7+Vendedor3!F7</f>
        <v>13695.5</v>
      </c>
      <c r="G7" s="17">
        <f>+Vendedor1!G7+Vendedor2!G7+Vendedor3!G7</f>
        <v>336000</v>
      </c>
      <c r="H7" s="18">
        <f>+Vendedor1!H7+Vendedor2!H7+Vendedor3!H7</f>
        <v>48600</v>
      </c>
      <c r="I7" s="15">
        <f>+Vendedor1!I7+Vendedor2!I7+Vendedor3!I7</f>
        <v>6318</v>
      </c>
      <c r="J7" s="16">
        <f>+Vendedor1!J7+Vendedor2!J7+Vendedor3!J7</f>
        <v>0</v>
      </c>
      <c r="K7" s="19">
        <f>+B7+E7+H7</f>
        <v>816250</v>
      </c>
      <c r="L7" s="15">
        <f>MROUND(C7+F7+I7,50)</f>
        <v>106100</v>
      </c>
      <c r="M7" s="15">
        <f t="shared" si="1"/>
        <v>1143500</v>
      </c>
      <c r="N7" s="15">
        <v>0</v>
      </c>
      <c r="O7" s="17">
        <f t="shared" si="0"/>
        <v>-433350</v>
      </c>
    </row>
    <row r="8" spans="1:15">
      <c r="A8" s="20" t="s">
        <v>51</v>
      </c>
      <c r="B8" s="14">
        <f>+Vendedor1!B8+Vendedor2!B8+Vendedor3!B8</f>
        <v>368300</v>
      </c>
      <c r="C8" s="15">
        <f>+Vendedor1!C8+Vendedor2!C8+Vendedor3!C8</f>
        <v>47879</v>
      </c>
      <c r="D8" s="16">
        <f>+Vendedor1!D8+Vendedor2!D8+Vendedor3!D8</f>
        <v>289000</v>
      </c>
      <c r="E8" s="14">
        <f>+Vendedor1!E8+Vendedor2!E8+Vendedor3!E8</f>
        <v>71350</v>
      </c>
      <c r="F8" s="15">
        <f>+Vendedor1!F8+Vendedor2!F8+Vendedor3!F8</f>
        <v>9275.5</v>
      </c>
      <c r="G8" s="17">
        <f>+Vendedor1!G8+Vendedor2!G8+Vendedor3!G8</f>
        <v>48000</v>
      </c>
      <c r="H8" s="18">
        <f>+Vendedor1!H8+Vendedor2!H8+Vendedor3!H8</f>
        <v>12850</v>
      </c>
      <c r="I8" s="15">
        <f>+Vendedor1!I8+Vendedor2!I8+Vendedor3!I8</f>
        <v>1670.5</v>
      </c>
      <c r="J8" s="16">
        <f>+Vendedor1!J8+Vendedor2!J8+Vendedor3!J8</f>
        <v>24000</v>
      </c>
      <c r="K8" s="19">
        <f>+B8+E8+H8</f>
        <v>452500</v>
      </c>
      <c r="L8" s="15">
        <f t="shared" ref="L8:L36" si="2">MROUND(C8+F8+I8,50)</f>
        <v>58850</v>
      </c>
      <c r="M8" s="15">
        <f t="shared" si="1"/>
        <v>361000</v>
      </c>
      <c r="N8" s="15">
        <v>0</v>
      </c>
      <c r="O8" s="17">
        <f t="shared" si="0"/>
        <v>32650</v>
      </c>
    </row>
    <row r="9" spans="1:15">
      <c r="A9" s="13" t="s">
        <v>52</v>
      </c>
      <c r="B9" s="14">
        <f>+Vendedor1!B9+Vendedor2!B9+Vendedor3!B9</f>
        <v>437950</v>
      </c>
      <c r="C9" s="15">
        <f>+Vendedor1!C9+Vendedor2!C9+Vendedor3!C9</f>
        <v>56933.5</v>
      </c>
      <c r="D9" s="16">
        <f>+Vendedor1!D9+Vendedor2!D9+Vendedor3!D9</f>
        <v>123250</v>
      </c>
      <c r="E9" s="14">
        <f>+Vendedor1!E9+Vendedor2!E9+Vendedor3!E9</f>
        <v>48000</v>
      </c>
      <c r="F9" s="15">
        <f>+Vendedor1!F9+Vendedor2!F9+Vendedor3!F9</f>
        <v>6240</v>
      </c>
      <c r="G9" s="17">
        <f>+Vendedor1!G9+Vendedor2!G9+Vendedor3!G9</f>
        <v>8000</v>
      </c>
      <c r="H9" s="18">
        <f>+Vendedor1!H9+Vendedor2!H9+Vendedor3!H9</f>
        <v>8650</v>
      </c>
      <c r="I9" s="15">
        <f>+Vendedor1!I9+Vendedor2!I9+Vendedor3!I9</f>
        <v>1124.5</v>
      </c>
      <c r="J9" s="16">
        <f>+Vendedor1!J9+Vendedor2!J9+Vendedor3!J9</f>
        <v>0</v>
      </c>
      <c r="K9" s="19">
        <f>+B9+E9+H9</f>
        <v>494600</v>
      </c>
      <c r="L9" s="15">
        <f t="shared" si="2"/>
        <v>64300</v>
      </c>
      <c r="M9" s="15">
        <f t="shared" si="1"/>
        <v>131250</v>
      </c>
      <c r="N9" s="15">
        <v>0</v>
      </c>
      <c r="O9" s="17">
        <f t="shared" si="0"/>
        <v>299050</v>
      </c>
    </row>
    <row r="10" spans="1:15">
      <c r="A10" s="20" t="s">
        <v>53</v>
      </c>
      <c r="B10" s="14">
        <f>+Vendedor1!B10+Vendedor2!B10+Vendedor3!B10</f>
        <v>337300</v>
      </c>
      <c r="C10" s="15">
        <f>+Vendedor1!C10+Vendedor2!C10+Vendedor3!C10</f>
        <v>43849</v>
      </c>
      <c r="D10" s="16">
        <f>+Vendedor1!D10+Vendedor2!D10+Vendedor3!D10</f>
        <v>144500</v>
      </c>
      <c r="E10" s="14">
        <f>+Vendedor1!E10+Vendedor2!E10+Vendedor3!E10</f>
        <v>76250</v>
      </c>
      <c r="F10" s="15">
        <f>+Vendedor1!F10+Vendedor2!F10+Vendedor3!F10</f>
        <v>9912.5</v>
      </c>
      <c r="G10" s="17">
        <f>+Vendedor1!G10+Vendedor2!G10+Vendedor3!G10</f>
        <v>80000</v>
      </c>
      <c r="H10" s="18">
        <f>+Vendedor1!H10+Vendedor2!H10+Vendedor3!H10</f>
        <v>10550</v>
      </c>
      <c r="I10" s="15">
        <f>+Vendedor1!I10+Vendedor2!I10+Vendedor3!I10</f>
        <v>1371.5</v>
      </c>
      <c r="J10" s="16">
        <f>+Vendedor1!J10+Vendedor2!J10+Vendedor3!J10</f>
        <v>0</v>
      </c>
      <c r="K10" s="19">
        <f t="shared" ref="K10:K36" si="3">+B10+E10+H10</f>
        <v>424100</v>
      </c>
      <c r="L10" s="15">
        <f t="shared" si="2"/>
        <v>55150</v>
      </c>
      <c r="M10" s="15">
        <f t="shared" si="1"/>
        <v>224500</v>
      </c>
      <c r="N10" s="15">
        <v>0</v>
      </c>
      <c r="O10" s="17">
        <f t="shared" si="0"/>
        <v>144450</v>
      </c>
    </row>
    <row r="11" spans="1:15">
      <c r="A11" s="13" t="s">
        <v>20</v>
      </c>
      <c r="B11" s="14">
        <f>+Vendedor1!B11+Vendedor2!B11+Vendedor3!B11</f>
        <v>338550</v>
      </c>
      <c r="C11" s="15">
        <f>+Vendedor1!C11+Vendedor2!C11+Vendedor3!C11</f>
        <v>44011.5</v>
      </c>
      <c r="D11" s="16">
        <f>+Vendedor1!D11+Vendedor2!D11+Vendedor3!D11</f>
        <v>229500</v>
      </c>
      <c r="E11" s="14">
        <f>+Vendedor1!E11+Vendedor2!E11+Vendedor3!E11</f>
        <v>49850</v>
      </c>
      <c r="F11" s="15">
        <f>+Vendedor1!F11+Vendedor2!F11+Vendedor3!F11</f>
        <v>6480.5</v>
      </c>
      <c r="G11" s="17">
        <f>+Vendedor1!G11+Vendedor2!G11+Vendedor3!G11</f>
        <v>12000</v>
      </c>
      <c r="H11" s="18">
        <f>+Vendedor1!H11+Vendedor2!H11+Vendedor3!H11</f>
        <v>11000</v>
      </c>
      <c r="I11" s="15">
        <f>+Vendedor1!I11+Vendedor2!I11+Vendedor3!I11</f>
        <v>1430</v>
      </c>
      <c r="J11" s="16">
        <f>+Vendedor1!J11+Vendedor2!J11+Vendedor3!J11</f>
        <v>0</v>
      </c>
      <c r="K11" s="19">
        <f t="shared" si="3"/>
        <v>399400</v>
      </c>
      <c r="L11" s="15">
        <f t="shared" si="2"/>
        <v>51900</v>
      </c>
      <c r="M11" s="15">
        <f t="shared" si="1"/>
        <v>241500</v>
      </c>
      <c r="N11" s="15">
        <v>0</v>
      </c>
      <c r="O11" s="17">
        <f t="shared" si="0"/>
        <v>106000</v>
      </c>
    </row>
    <row r="12" spans="1:15">
      <c r="A12" s="20" t="s">
        <v>21</v>
      </c>
      <c r="B12" s="14">
        <f>+Vendedor1!B12+Vendedor2!B12+Vendedor3!B12</f>
        <v>374400</v>
      </c>
      <c r="C12" s="15">
        <f>+Vendedor1!C12+Vendedor2!C12+Vendedor3!C12</f>
        <v>48672</v>
      </c>
      <c r="D12" s="16">
        <f>+Vendedor1!D12+Vendedor2!D12+Vendedor3!D12</f>
        <v>144500</v>
      </c>
      <c r="E12" s="14">
        <f>+Vendedor1!E12+Vendedor2!E12+Vendedor3!E12</f>
        <v>61450</v>
      </c>
      <c r="F12" s="15">
        <f>+Vendedor1!F12+Vendedor2!F12+Vendedor3!F12</f>
        <v>7988.5</v>
      </c>
      <c r="G12" s="17">
        <f>+Vendedor1!G12+Vendedor2!G12+Vendedor3!G12</f>
        <v>64000</v>
      </c>
      <c r="H12" s="18">
        <f>+Vendedor1!H12+Vendedor2!H12+Vendedor3!H12</f>
        <v>8950</v>
      </c>
      <c r="I12" s="15">
        <f>+Vendedor1!I12+Vendedor2!I12+Vendedor3!I12</f>
        <v>1163.5</v>
      </c>
      <c r="J12" s="16">
        <f>+Vendedor1!J12+Vendedor2!J12+Vendedor3!J12</f>
        <v>0</v>
      </c>
      <c r="K12" s="19">
        <f t="shared" si="3"/>
        <v>444800</v>
      </c>
      <c r="L12" s="15">
        <f t="shared" si="2"/>
        <v>57800</v>
      </c>
      <c r="M12" s="15">
        <f t="shared" si="1"/>
        <v>208500</v>
      </c>
      <c r="N12" s="15">
        <v>0</v>
      </c>
      <c r="O12" s="17">
        <f t="shared" si="0"/>
        <v>178500</v>
      </c>
    </row>
    <row r="13" spans="1:15">
      <c r="A13" s="13" t="s">
        <v>22</v>
      </c>
      <c r="B13" s="14">
        <f>+Vendedor1!B13+Vendedor2!B13+Vendedor3!B13</f>
        <v>280350</v>
      </c>
      <c r="C13" s="15">
        <f>+Vendedor1!C13+Vendedor2!C13+Vendedor3!C13</f>
        <v>36445.5</v>
      </c>
      <c r="D13" s="16">
        <f>+Vendedor1!D13+Vendedor2!D13+Vendedor3!D13</f>
        <v>195500</v>
      </c>
      <c r="E13" s="14">
        <f>+Vendedor1!E13+Vendedor2!E13+Vendedor3!E13</f>
        <v>67600</v>
      </c>
      <c r="F13" s="15">
        <f>+Vendedor1!F13+Vendedor2!F13+Vendedor3!F13</f>
        <v>8788</v>
      </c>
      <c r="G13" s="17">
        <f>+Vendedor1!G13+Vendedor2!G13+Vendedor3!G13</f>
        <v>80000</v>
      </c>
      <c r="H13" s="18">
        <f>+Vendedor1!H13+Vendedor2!H13+Vendedor3!H13</f>
        <v>21200</v>
      </c>
      <c r="I13" s="15">
        <f>+Vendedor1!I13+Vendedor2!I13+Vendedor3!I13</f>
        <v>2756</v>
      </c>
      <c r="J13" s="16">
        <f>+Vendedor1!J13+Vendedor2!J13+Vendedor3!J13</f>
        <v>80000</v>
      </c>
      <c r="K13" s="19">
        <f t="shared" si="3"/>
        <v>369150</v>
      </c>
      <c r="L13" s="15">
        <f t="shared" si="2"/>
        <v>48000</v>
      </c>
      <c r="M13" s="15">
        <f t="shared" si="1"/>
        <v>355500</v>
      </c>
      <c r="N13" s="15">
        <v>0</v>
      </c>
      <c r="O13" s="17">
        <f t="shared" si="0"/>
        <v>-34350</v>
      </c>
    </row>
    <row r="14" spans="1:15">
      <c r="A14" s="20" t="s">
        <v>23</v>
      </c>
      <c r="B14" s="14">
        <f>+Vendedor1!B14+Vendedor2!B14+Vendedor3!B14</f>
        <v>320650</v>
      </c>
      <c r="C14" s="15">
        <f>+Vendedor1!C14+Vendedor2!C14+Vendedor3!C14</f>
        <v>41684.5</v>
      </c>
      <c r="D14" s="16">
        <f>+Vendedor1!D14+Vendedor2!D14+Vendedor3!D14</f>
        <v>191250</v>
      </c>
      <c r="E14" s="14">
        <f>+Vendedor1!E14+Vendedor2!E14+Vendedor3!E14</f>
        <v>92700</v>
      </c>
      <c r="F14" s="15">
        <f>+Vendedor1!F14+Vendedor2!F14+Vendedor3!F14</f>
        <v>12051</v>
      </c>
      <c r="G14" s="17">
        <f>+Vendedor1!G14+Vendedor2!G14+Vendedor3!G14</f>
        <v>200000</v>
      </c>
      <c r="H14" s="18">
        <f>+Vendedor1!H14+Vendedor2!H14+Vendedor3!H14</f>
        <v>12400</v>
      </c>
      <c r="I14" s="15">
        <f>+Vendedor1!I14+Vendedor2!I14+Vendedor3!I14</f>
        <v>1612</v>
      </c>
      <c r="J14" s="16">
        <f>+Vendedor1!J14+Vendedor2!J14+Vendedor3!J14</f>
        <v>80000</v>
      </c>
      <c r="K14" s="19">
        <f t="shared" si="3"/>
        <v>425750</v>
      </c>
      <c r="L14" s="15">
        <f t="shared" si="2"/>
        <v>55350</v>
      </c>
      <c r="M14" s="15">
        <f t="shared" si="1"/>
        <v>471250</v>
      </c>
      <c r="N14" s="15">
        <v>0</v>
      </c>
      <c r="O14" s="17">
        <f t="shared" si="0"/>
        <v>-100850</v>
      </c>
    </row>
    <row r="15" spans="1:15">
      <c r="A15" s="13" t="s">
        <v>24</v>
      </c>
      <c r="B15" s="14">
        <f>+Vendedor1!B15+Vendedor2!B15+Vendedor3!B15</f>
        <v>331550</v>
      </c>
      <c r="C15" s="15">
        <f>+Vendedor1!C15+Vendedor2!C15+Vendedor3!C15</f>
        <v>43101.5</v>
      </c>
      <c r="D15" s="16">
        <f>+Vendedor1!D15+Vendedor2!D15+Vendedor3!D15</f>
        <v>51000</v>
      </c>
      <c r="E15" s="14">
        <f>+Vendedor1!E15+Vendedor2!E15+Vendedor3!E15</f>
        <v>88150</v>
      </c>
      <c r="F15" s="15">
        <f>+Vendedor1!F15+Vendedor2!F15+Vendedor3!F15</f>
        <v>11459.5</v>
      </c>
      <c r="G15" s="17">
        <f>+Vendedor1!G15+Vendedor2!G15+Vendedor3!G15</f>
        <v>0</v>
      </c>
      <c r="H15" s="18">
        <f>+Vendedor1!H15+Vendedor2!H15+Vendedor3!H15</f>
        <v>19950</v>
      </c>
      <c r="I15" s="15">
        <f>+Vendedor1!I15+Vendedor2!I15+Vendedor3!I15</f>
        <v>2593.5</v>
      </c>
      <c r="J15" s="16">
        <f>+Vendedor1!J15+Vendedor2!J15+Vendedor3!J15</f>
        <v>40000</v>
      </c>
      <c r="K15" s="19">
        <f t="shared" si="3"/>
        <v>439650</v>
      </c>
      <c r="L15" s="15">
        <f t="shared" si="2"/>
        <v>57150</v>
      </c>
      <c r="M15" s="15">
        <f t="shared" si="1"/>
        <v>91000</v>
      </c>
      <c r="N15" s="15">
        <v>0</v>
      </c>
      <c r="O15" s="17">
        <f t="shared" si="0"/>
        <v>291500</v>
      </c>
    </row>
    <row r="16" spans="1:15">
      <c r="A16" s="20" t="s">
        <v>25</v>
      </c>
      <c r="B16" s="14">
        <f>+Vendedor1!B16+Vendedor2!B16+Vendedor3!B16</f>
        <v>325450</v>
      </c>
      <c r="C16" s="15">
        <f>+Vendedor1!C16+Vendedor2!C16+Vendedor3!C16</f>
        <v>42308.5</v>
      </c>
      <c r="D16" s="16">
        <f>+Vendedor1!D16+Vendedor2!D16+Vendedor3!D16</f>
        <v>867000</v>
      </c>
      <c r="E16" s="14">
        <f>+Vendedor1!E16+Vendedor2!E16+Vendedor3!E16</f>
        <v>53800</v>
      </c>
      <c r="F16" s="15">
        <f>+Vendedor1!F16+Vendedor2!F16+Vendedor3!F16</f>
        <v>6994</v>
      </c>
      <c r="G16" s="17">
        <f>+Vendedor1!G16+Vendedor2!G16+Vendedor3!G16</f>
        <v>24000</v>
      </c>
      <c r="H16" s="18">
        <f>+Vendedor1!H16+Vendedor2!H16+Vendedor3!H16</f>
        <v>13450</v>
      </c>
      <c r="I16" s="15">
        <f>+Vendedor1!I16+Vendedor2!I16+Vendedor3!I16</f>
        <v>1748.5</v>
      </c>
      <c r="J16" s="16">
        <f>+Vendedor1!J16+Vendedor2!J16+Vendedor3!J16</f>
        <v>0</v>
      </c>
      <c r="K16" s="19">
        <f t="shared" si="3"/>
        <v>392700</v>
      </c>
      <c r="L16" s="15">
        <f t="shared" si="2"/>
        <v>51050</v>
      </c>
      <c r="M16" s="15">
        <f t="shared" si="1"/>
        <v>891000</v>
      </c>
      <c r="N16" s="15">
        <v>0</v>
      </c>
      <c r="O16" s="17">
        <f t="shared" si="0"/>
        <v>-549350</v>
      </c>
    </row>
    <row r="17" spans="1:15">
      <c r="A17" s="13" t="s">
        <v>26</v>
      </c>
      <c r="B17" s="14">
        <f>+Vendedor1!B17+Vendedor2!B17+Vendedor3!B17</f>
        <v>318850</v>
      </c>
      <c r="C17" s="15">
        <f>+Vendedor1!C17+Vendedor2!C17+Vendedor3!C17</f>
        <v>41450.5</v>
      </c>
      <c r="D17" s="16">
        <f>+Vendedor1!D17+Vendedor2!D17+Vendedor3!D17</f>
        <v>314500</v>
      </c>
      <c r="E17" s="14">
        <f>+Vendedor1!E17+Vendedor2!E17+Vendedor3!E17</f>
        <v>46750</v>
      </c>
      <c r="F17" s="15">
        <f>+Vendedor1!F17+Vendedor2!F17+Vendedor3!F17</f>
        <v>6077.5</v>
      </c>
      <c r="G17" s="17">
        <f>+Vendedor1!G17+Vendedor2!G17+Vendedor3!G17</f>
        <v>0</v>
      </c>
      <c r="H17" s="18">
        <f>+Vendedor1!H17+Vendedor2!H17+Vendedor3!H17</f>
        <v>5100</v>
      </c>
      <c r="I17" s="15">
        <f>+Vendedor1!I17+Vendedor2!I17+Vendedor3!I17</f>
        <v>663</v>
      </c>
      <c r="J17" s="16">
        <f>+Vendedor1!J17+Vendedor2!J17+Vendedor3!J17</f>
        <v>0</v>
      </c>
      <c r="K17" s="19">
        <f t="shared" si="3"/>
        <v>370700</v>
      </c>
      <c r="L17" s="15">
        <f t="shared" si="2"/>
        <v>48200</v>
      </c>
      <c r="M17" s="15">
        <f t="shared" si="1"/>
        <v>314500</v>
      </c>
      <c r="N17" s="15">
        <v>0</v>
      </c>
      <c r="O17" s="17">
        <f t="shared" si="0"/>
        <v>8000</v>
      </c>
    </row>
    <row r="18" spans="1:15">
      <c r="A18" s="20" t="s">
        <v>27</v>
      </c>
      <c r="B18" s="14">
        <f>+Vendedor1!B18+Vendedor2!B18+Vendedor3!B18</f>
        <v>350950</v>
      </c>
      <c r="C18" s="15">
        <f>+Vendedor1!C18+Vendedor2!C18+Vendedor3!C18</f>
        <v>45623.5</v>
      </c>
      <c r="D18" s="16">
        <f>+Vendedor1!D18+Vendedor2!D18+Vendedor3!D18</f>
        <v>55250</v>
      </c>
      <c r="E18" s="14">
        <f>+Vendedor1!E18+Vendedor2!E18+Vendedor3!E18</f>
        <v>44250</v>
      </c>
      <c r="F18" s="15">
        <f>+Vendedor1!F18+Vendedor2!F18+Vendedor3!F18</f>
        <v>5752.5</v>
      </c>
      <c r="G18" s="17">
        <f>+Vendedor1!G18+Vendedor2!G18+Vendedor3!G18</f>
        <v>40000</v>
      </c>
      <c r="H18" s="18">
        <f>+Vendedor1!H18+Vendedor2!H18+Vendedor3!H18</f>
        <v>18450</v>
      </c>
      <c r="I18" s="15">
        <f>+Vendedor1!I18+Vendedor2!I18+Vendedor3!I18</f>
        <v>2398.5</v>
      </c>
      <c r="J18" s="16">
        <f>+Vendedor1!J18+Vendedor2!J18+Vendedor3!J18</f>
        <v>68000</v>
      </c>
      <c r="K18" s="19">
        <f t="shared" si="3"/>
        <v>413650</v>
      </c>
      <c r="L18" s="15">
        <f t="shared" si="2"/>
        <v>53750</v>
      </c>
      <c r="M18" s="15">
        <f t="shared" si="1"/>
        <v>163250</v>
      </c>
      <c r="N18" s="15">
        <v>0</v>
      </c>
      <c r="O18" s="17">
        <f t="shared" si="0"/>
        <v>196650</v>
      </c>
    </row>
    <row r="19" spans="1:15">
      <c r="A19" s="20" t="s">
        <v>28</v>
      </c>
      <c r="B19" s="14">
        <f>+Vendedor1!B19+Vendedor2!B19+Vendedor3!B19</f>
        <v>190800</v>
      </c>
      <c r="C19" s="15">
        <f>+Vendedor1!C19+Vendedor2!C19+Vendedor3!C19</f>
        <v>24804</v>
      </c>
      <c r="D19" s="16">
        <f>+Vendedor1!D19+Vendedor2!D19+Vendedor3!D19</f>
        <v>170000</v>
      </c>
      <c r="E19" s="14">
        <f>+Vendedor1!E19+Vendedor2!E19+Vendedor3!E19</f>
        <v>66550</v>
      </c>
      <c r="F19" s="15">
        <f>+Vendedor1!F19+Vendedor2!F19+Vendedor3!F19</f>
        <v>8651.5</v>
      </c>
      <c r="G19" s="17">
        <f>+Vendedor1!G19+Vendedor2!G19+Vendedor3!G19</f>
        <v>80000</v>
      </c>
      <c r="H19" s="18">
        <f>+Vendedor1!H19+Vendedor2!H19+Vendedor3!H19</f>
        <v>22800</v>
      </c>
      <c r="I19" s="15">
        <f>+Vendedor1!I19+Vendedor2!I19+Vendedor3!I19</f>
        <v>2964</v>
      </c>
      <c r="J19" s="16">
        <f>+Vendedor1!J19+Vendedor2!J19+Vendedor3!J19</f>
        <v>0</v>
      </c>
      <c r="K19" s="19">
        <f t="shared" si="3"/>
        <v>280150</v>
      </c>
      <c r="L19" s="15">
        <f t="shared" si="2"/>
        <v>36400</v>
      </c>
      <c r="M19" s="15">
        <f t="shared" si="1"/>
        <v>250000</v>
      </c>
      <c r="N19" s="15">
        <v>0</v>
      </c>
      <c r="O19" s="17">
        <f t="shared" si="0"/>
        <v>-6250</v>
      </c>
    </row>
    <row r="20" spans="1:15">
      <c r="A20" s="13" t="s">
        <v>29</v>
      </c>
      <c r="B20" s="14">
        <f>+Vendedor1!B20+Vendedor2!B20+Vendedor3!B20</f>
        <v>0</v>
      </c>
      <c r="C20" s="15">
        <f>+Vendedor1!C20+Vendedor2!C20+Vendedor3!C20</f>
        <v>0</v>
      </c>
      <c r="D20" s="16">
        <f>+Vendedor1!D20+Vendedor2!D20+Vendedor3!D20</f>
        <v>0</v>
      </c>
      <c r="E20" s="14">
        <f>+Vendedor1!E20+Vendedor2!E20+Vendedor3!E20</f>
        <v>0</v>
      </c>
      <c r="F20" s="15">
        <f>+Vendedor1!F20+Vendedor2!F20+Vendedor3!F20</f>
        <v>0</v>
      </c>
      <c r="G20" s="17">
        <f>+Vendedor1!G20+Vendedor2!G20+Vendedor3!G20</f>
        <v>0</v>
      </c>
      <c r="H20" s="18">
        <f>+Vendedor1!H20+Vendedor2!H20+Vendedor3!H20</f>
        <v>0</v>
      </c>
      <c r="I20" s="15">
        <f>+Vendedor1!I20+Vendedor2!I20+Vendedor3!I20</f>
        <v>0</v>
      </c>
      <c r="J20" s="16">
        <f>+Vendedor1!J20+Vendedor2!J20+Vendedor3!J20</f>
        <v>0</v>
      </c>
      <c r="K20" s="19">
        <f t="shared" si="3"/>
        <v>0</v>
      </c>
      <c r="L20" s="15">
        <f t="shared" si="2"/>
        <v>0</v>
      </c>
      <c r="M20" s="15">
        <f t="shared" si="1"/>
        <v>0</v>
      </c>
      <c r="N20" s="15">
        <v>0</v>
      </c>
      <c r="O20" s="17">
        <f t="shared" si="0"/>
        <v>0</v>
      </c>
    </row>
    <row r="21" spans="1:15">
      <c r="A21" s="20" t="s">
        <v>30</v>
      </c>
      <c r="B21" s="14">
        <f>+Vendedor1!B21+Vendedor2!B21+Vendedor3!B21</f>
        <v>0</v>
      </c>
      <c r="C21" s="81">
        <f>+Vendedor1!C21+Vendedor2!C21+Vendedor3!C21</f>
        <v>0</v>
      </c>
      <c r="D21" s="82">
        <f>+Vendedor1!D21+Vendedor2!D21+Vendedor3!D21</f>
        <v>0</v>
      </c>
      <c r="E21" s="14">
        <f>+Vendedor1!E21+Vendedor2!E21+Vendedor3!E21</f>
        <v>0</v>
      </c>
      <c r="F21" s="81">
        <f>+Vendedor1!F21+Vendedor2!F21+Vendedor3!F21</f>
        <v>0</v>
      </c>
      <c r="G21" s="85">
        <f>+Vendedor1!G21+Vendedor2!G21+Vendedor3!G21</f>
        <v>0</v>
      </c>
      <c r="H21" s="19">
        <f>+Vendedor1!H21+Vendedor2!H21+Vendedor3!H21</f>
        <v>0</v>
      </c>
      <c r="I21" s="15">
        <f>+Vendedor1!I21+Vendedor2!I21+Vendedor3!I21</f>
        <v>0</v>
      </c>
      <c r="J21" s="17">
        <f>+Vendedor1!J21+Vendedor2!J21+Vendedor3!J21</f>
        <v>0</v>
      </c>
      <c r="K21" s="19">
        <f t="shared" si="3"/>
        <v>0</v>
      </c>
      <c r="L21" s="15">
        <f t="shared" si="2"/>
        <v>0</v>
      </c>
      <c r="M21" s="15">
        <f t="shared" si="1"/>
        <v>0</v>
      </c>
      <c r="N21" s="15">
        <v>0</v>
      </c>
      <c r="O21" s="17">
        <f t="shared" si="0"/>
        <v>0</v>
      </c>
    </row>
    <row r="22" spans="1:15">
      <c r="A22" s="13" t="s">
        <v>31</v>
      </c>
      <c r="B22" s="14">
        <f>+Vendedor1!B22+Vendedor2!B22+Vendedor3!B22</f>
        <v>0</v>
      </c>
      <c r="C22" s="81">
        <f>+Vendedor1!C22+Vendedor2!C22+Vendedor3!C22</f>
        <v>0</v>
      </c>
      <c r="D22" s="82">
        <f>+Vendedor1!D22+Vendedor2!D22+Vendedor3!D22</f>
        <v>0</v>
      </c>
      <c r="E22" s="14">
        <f>+Vendedor1!E22+Vendedor2!E22+Vendedor3!E22</f>
        <v>0</v>
      </c>
      <c r="F22" s="81">
        <f>+Vendedor1!F22+Vendedor2!F22+Vendedor3!F22</f>
        <v>0</v>
      </c>
      <c r="G22" s="85">
        <f>+Vendedor1!G22+Vendedor2!G22+Vendedor3!G22</f>
        <v>0</v>
      </c>
      <c r="H22" s="19">
        <f>+Vendedor1!H22+Vendedor2!H22+Vendedor3!H22</f>
        <v>0</v>
      </c>
      <c r="I22" s="15">
        <f>+Vendedor1!I22+Vendedor2!I22+Vendedor3!I22</f>
        <v>0</v>
      </c>
      <c r="J22" s="17">
        <f>+Vendedor1!J22+Vendedor2!J22+Vendedor3!J22</f>
        <v>0</v>
      </c>
      <c r="K22" s="19">
        <f t="shared" si="3"/>
        <v>0</v>
      </c>
      <c r="L22" s="15">
        <f t="shared" si="2"/>
        <v>0</v>
      </c>
      <c r="M22" s="15">
        <f t="shared" si="1"/>
        <v>0</v>
      </c>
      <c r="N22" s="15">
        <v>0</v>
      </c>
      <c r="O22" s="17">
        <f t="shared" si="0"/>
        <v>0</v>
      </c>
    </row>
    <row r="23" spans="1:15">
      <c r="A23" s="20" t="s">
        <v>32</v>
      </c>
      <c r="B23" s="14">
        <f>+Vendedor1!B23+Vendedor2!B23+Vendedor3!B23</f>
        <v>0</v>
      </c>
      <c r="C23" s="81">
        <f>+Vendedor1!C23+Vendedor2!C23+Vendedor3!C23</f>
        <v>0</v>
      </c>
      <c r="D23" s="82">
        <f>+Vendedor1!D23+Vendedor2!D23+Vendedor3!D23</f>
        <v>0</v>
      </c>
      <c r="E23" s="14">
        <f>+Vendedor1!E23+Vendedor2!E23+Vendedor3!E23</f>
        <v>0</v>
      </c>
      <c r="F23" s="81">
        <f>+Vendedor1!F23+Vendedor2!F23+Vendedor3!F23</f>
        <v>0</v>
      </c>
      <c r="G23" s="85">
        <f>+Vendedor1!G23+Vendedor2!G23+Vendedor3!G23</f>
        <v>0</v>
      </c>
      <c r="H23" s="19">
        <f>+Vendedor1!H23+Vendedor2!H23+Vendedor3!H23</f>
        <v>0</v>
      </c>
      <c r="I23" s="15">
        <f>+Vendedor1!I23+Vendedor2!I23+Vendedor3!I23</f>
        <v>0</v>
      </c>
      <c r="J23" s="17">
        <f>+Vendedor1!J23+Vendedor2!J23+Vendedor3!J23</f>
        <v>0</v>
      </c>
      <c r="K23" s="19">
        <f t="shared" si="3"/>
        <v>0</v>
      </c>
      <c r="L23" s="15">
        <f t="shared" si="2"/>
        <v>0</v>
      </c>
      <c r="M23" s="15">
        <f t="shared" si="1"/>
        <v>0</v>
      </c>
      <c r="N23" s="15">
        <v>0</v>
      </c>
      <c r="O23" s="17">
        <f t="shared" si="0"/>
        <v>0</v>
      </c>
    </row>
    <row r="24" spans="1:15">
      <c r="A24" s="13" t="s">
        <v>33</v>
      </c>
      <c r="B24" s="14">
        <f>+Vendedor1!B24+Vendedor2!B24+Vendedor3!B24</f>
        <v>0</v>
      </c>
      <c r="C24" s="81">
        <f>+Vendedor1!C24+Vendedor2!C24+Vendedor3!C24</f>
        <v>0</v>
      </c>
      <c r="D24" s="82">
        <f>+Vendedor1!D24+Vendedor2!D24+Vendedor3!D24</f>
        <v>0</v>
      </c>
      <c r="E24" s="14">
        <f>+Vendedor1!E24+Vendedor2!E24+Vendedor3!E24</f>
        <v>0</v>
      </c>
      <c r="F24" s="81">
        <f>+Vendedor1!F24+Vendedor2!F24+Vendedor3!F24</f>
        <v>0</v>
      </c>
      <c r="G24" s="85">
        <f>+Vendedor1!G24+Vendedor2!G24+Vendedor3!G24</f>
        <v>0</v>
      </c>
      <c r="H24" s="19">
        <f>+Vendedor1!H24+Vendedor2!H24+Vendedor3!H24</f>
        <v>0</v>
      </c>
      <c r="I24" s="15">
        <f>+Vendedor1!I24+Vendedor2!I24+Vendedor3!I24</f>
        <v>0</v>
      </c>
      <c r="J24" s="17">
        <f>+Vendedor1!J24+Vendedor2!J24+Vendedor3!J24</f>
        <v>0</v>
      </c>
      <c r="K24" s="19">
        <f t="shared" si="3"/>
        <v>0</v>
      </c>
      <c r="L24" s="15">
        <f t="shared" si="2"/>
        <v>0</v>
      </c>
      <c r="M24" s="15">
        <f t="shared" si="1"/>
        <v>0</v>
      </c>
      <c r="N24" s="15">
        <v>0</v>
      </c>
      <c r="O24" s="17">
        <f t="shared" si="0"/>
        <v>0</v>
      </c>
    </row>
    <row r="25" spans="1:15">
      <c r="A25" s="20" t="s">
        <v>34</v>
      </c>
      <c r="B25" s="14">
        <f>+Vendedor1!B25+Vendedor2!B25+Vendedor3!B25</f>
        <v>0</v>
      </c>
      <c r="C25" s="81">
        <f>+Vendedor1!C25+Vendedor2!C25+Vendedor3!C25</f>
        <v>0</v>
      </c>
      <c r="D25" s="82">
        <f>+Vendedor1!D25+Vendedor2!D25+Vendedor3!D25</f>
        <v>0</v>
      </c>
      <c r="E25" s="14">
        <f>+Vendedor1!E25+Vendedor2!E25+Vendedor3!E25</f>
        <v>0</v>
      </c>
      <c r="F25" s="81">
        <f>+Vendedor1!F25+Vendedor2!F25+Vendedor3!F25</f>
        <v>0</v>
      </c>
      <c r="G25" s="85">
        <f>+Vendedor1!G25+Vendedor2!G25+Vendedor3!G25</f>
        <v>0</v>
      </c>
      <c r="H25" s="19">
        <f>+Vendedor1!H25+Vendedor2!H25+Vendedor3!H25</f>
        <v>0</v>
      </c>
      <c r="I25" s="15">
        <f>+Vendedor1!I25+Vendedor2!I25+Vendedor3!I25</f>
        <v>0</v>
      </c>
      <c r="J25" s="17">
        <f>+Vendedor1!J25+Vendedor2!J25+Vendedor3!J25</f>
        <v>0</v>
      </c>
      <c r="K25" s="19">
        <f t="shared" si="3"/>
        <v>0</v>
      </c>
      <c r="L25" s="15">
        <f t="shared" si="2"/>
        <v>0</v>
      </c>
      <c r="M25" s="15">
        <f t="shared" si="1"/>
        <v>0</v>
      </c>
      <c r="N25" s="15">
        <v>0</v>
      </c>
      <c r="O25" s="17">
        <f t="shared" si="0"/>
        <v>0</v>
      </c>
    </row>
    <row r="26" spans="1:15">
      <c r="A26" s="13" t="s">
        <v>35</v>
      </c>
      <c r="B26" s="14">
        <f>+Vendedor1!B26+Vendedor2!B26+Vendedor3!B26</f>
        <v>0</v>
      </c>
      <c r="C26" s="81">
        <f>+Vendedor1!C26+Vendedor2!C26+Vendedor3!C26</f>
        <v>0</v>
      </c>
      <c r="D26" s="82">
        <f>+Vendedor1!D26+Vendedor2!D26+Vendedor3!D26</f>
        <v>0</v>
      </c>
      <c r="E26" s="14">
        <f>+Vendedor1!E26+Vendedor2!E26+Vendedor3!E26</f>
        <v>0</v>
      </c>
      <c r="F26" s="81">
        <f>+Vendedor1!F26+Vendedor2!F26+Vendedor3!F26</f>
        <v>0</v>
      </c>
      <c r="G26" s="85">
        <f>+Vendedor1!G26+Vendedor2!G26+Vendedor3!G26</f>
        <v>0</v>
      </c>
      <c r="H26" s="19">
        <f>+Vendedor1!H26+Vendedor2!H26+Vendedor3!H26</f>
        <v>0</v>
      </c>
      <c r="I26" s="15">
        <f>+Vendedor1!I26+Vendedor2!I26+Vendedor3!I26</f>
        <v>0</v>
      </c>
      <c r="J26" s="17">
        <f>+Vendedor1!J26+Vendedor2!J26+Vendedor3!J26</f>
        <v>0</v>
      </c>
      <c r="K26" s="19">
        <f t="shared" si="3"/>
        <v>0</v>
      </c>
      <c r="L26" s="15">
        <f t="shared" si="2"/>
        <v>0</v>
      </c>
      <c r="M26" s="15">
        <f t="shared" si="1"/>
        <v>0</v>
      </c>
      <c r="N26" s="15">
        <v>0</v>
      </c>
      <c r="O26" s="17">
        <f t="shared" si="0"/>
        <v>0</v>
      </c>
    </row>
    <row r="27" spans="1:15">
      <c r="A27" s="20" t="s">
        <v>36</v>
      </c>
      <c r="B27" s="14">
        <f>+Vendedor1!B27+Vendedor2!B27+Vendedor3!B27</f>
        <v>0</v>
      </c>
      <c r="C27" s="81">
        <f>+Vendedor1!C27+Vendedor2!C27+Vendedor3!C27</f>
        <v>0</v>
      </c>
      <c r="D27" s="82">
        <f>+Vendedor1!D27+Vendedor2!D27+Vendedor3!D27</f>
        <v>0</v>
      </c>
      <c r="E27" s="14">
        <f>+Vendedor1!E27+Vendedor2!E27+Vendedor3!E27</f>
        <v>0</v>
      </c>
      <c r="F27" s="81">
        <f>+Vendedor1!F27+Vendedor2!F27+Vendedor3!F27</f>
        <v>0</v>
      </c>
      <c r="G27" s="85">
        <f>+Vendedor1!G27+Vendedor2!G27+Vendedor3!G27</f>
        <v>0</v>
      </c>
      <c r="H27" s="19">
        <f>+Vendedor1!H27+Vendedor2!H27+Vendedor3!H27</f>
        <v>0</v>
      </c>
      <c r="I27" s="15">
        <f>+Vendedor1!I27+Vendedor2!I27+Vendedor3!I27</f>
        <v>0</v>
      </c>
      <c r="J27" s="17">
        <f>+Vendedor1!J27+Vendedor2!J27+Vendedor3!J27</f>
        <v>0</v>
      </c>
      <c r="K27" s="19">
        <f t="shared" si="3"/>
        <v>0</v>
      </c>
      <c r="L27" s="15">
        <f t="shared" si="2"/>
        <v>0</v>
      </c>
      <c r="M27" s="15">
        <f t="shared" si="1"/>
        <v>0</v>
      </c>
      <c r="N27" s="15">
        <v>0</v>
      </c>
      <c r="O27" s="17">
        <f t="shared" si="0"/>
        <v>0</v>
      </c>
    </row>
    <row r="28" spans="1:15">
      <c r="A28" s="13" t="s">
        <v>37</v>
      </c>
      <c r="B28" s="14">
        <f>+Vendedor1!B28+Vendedor2!B28+Vendedor3!B28</f>
        <v>0</v>
      </c>
      <c r="C28" s="81">
        <f>+Vendedor1!C28+Vendedor2!C28+Vendedor3!C28</f>
        <v>0</v>
      </c>
      <c r="D28" s="82">
        <f>+Vendedor1!D28+Vendedor2!D28+Vendedor3!D28</f>
        <v>0</v>
      </c>
      <c r="E28" s="14">
        <f>+Vendedor1!E28+Vendedor2!E28+Vendedor3!E28</f>
        <v>0</v>
      </c>
      <c r="F28" s="81">
        <f>+Vendedor1!F28+Vendedor2!F28+Vendedor3!F28</f>
        <v>0</v>
      </c>
      <c r="G28" s="85">
        <f>+Vendedor1!G28+Vendedor2!G28+Vendedor3!G28</f>
        <v>0</v>
      </c>
      <c r="H28" s="19">
        <f>+Vendedor1!H28+Vendedor2!H28+Vendedor3!H28</f>
        <v>0</v>
      </c>
      <c r="I28" s="15">
        <f>+Vendedor1!I28+Vendedor2!I28+Vendedor3!I28</f>
        <v>0</v>
      </c>
      <c r="J28" s="17">
        <f>+Vendedor1!J28+Vendedor2!J28+Vendedor3!J28</f>
        <v>0</v>
      </c>
      <c r="K28" s="19">
        <f t="shared" si="3"/>
        <v>0</v>
      </c>
      <c r="L28" s="15">
        <f t="shared" si="2"/>
        <v>0</v>
      </c>
      <c r="M28" s="15">
        <f t="shared" si="1"/>
        <v>0</v>
      </c>
      <c r="N28" s="15">
        <v>0</v>
      </c>
      <c r="O28" s="17">
        <f t="shared" si="0"/>
        <v>0</v>
      </c>
    </row>
    <row r="29" spans="1:15">
      <c r="A29" s="20" t="s">
        <v>38</v>
      </c>
      <c r="B29" s="14">
        <f>+Vendedor1!B29+Vendedor2!B29+Vendedor3!B29</f>
        <v>0</v>
      </c>
      <c r="C29" s="81">
        <f>+Vendedor1!C29+Vendedor2!C29+Vendedor3!C29</f>
        <v>0</v>
      </c>
      <c r="D29" s="82">
        <f>+Vendedor1!D29+Vendedor2!D29+Vendedor3!D29</f>
        <v>0</v>
      </c>
      <c r="E29" s="14">
        <f>+Vendedor1!E29+Vendedor2!E29+Vendedor3!E29</f>
        <v>0</v>
      </c>
      <c r="F29" s="81">
        <f>+Vendedor1!F29+Vendedor2!F29+Vendedor3!F29</f>
        <v>0</v>
      </c>
      <c r="G29" s="85">
        <f>+Vendedor1!G29+Vendedor2!G29+Vendedor3!G29</f>
        <v>0</v>
      </c>
      <c r="H29" s="19">
        <f>+Vendedor1!H29+Vendedor2!H29+Vendedor3!H29</f>
        <v>0</v>
      </c>
      <c r="I29" s="15">
        <f>+Vendedor1!I29+Vendedor2!I29+Vendedor3!I29</f>
        <v>0</v>
      </c>
      <c r="J29" s="17">
        <f>+Vendedor1!J29+Vendedor2!J29+Vendedor3!J29</f>
        <v>0</v>
      </c>
      <c r="K29" s="19">
        <f t="shared" si="3"/>
        <v>0</v>
      </c>
      <c r="L29" s="15">
        <f t="shared" si="2"/>
        <v>0</v>
      </c>
      <c r="M29" s="15">
        <f t="shared" si="1"/>
        <v>0</v>
      </c>
      <c r="N29" s="15">
        <v>0</v>
      </c>
      <c r="O29" s="17">
        <f t="shared" si="0"/>
        <v>0</v>
      </c>
    </row>
    <row r="30" spans="1:15">
      <c r="A30" s="13" t="s">
        <v>39</v>
      </c>
      <c r="B30" s="14">
        <f>+Vendedor1!B30+Vendedor2!B30+Vendedor3!B30</f>
        <v>0</v>
      </c>
      <c r="C30" s="81">
        <f>+Vendedor1!C30+Vendedor2!C30+Vendedor3!C30</f>
        <v>0</v>
      </c>
      <c r="D30" s="82">
        <f>+Vendedor1!D30+Vendedor2!D30+Vendedor3!D30</f>
        <v>0</v>
      </c>
      <c r="E30" s="14">
        <f>+Vendedor1!E30+Vendedor2!E30+Vendedor3!E30</f>
        <v>0</v>
      </c>
      <c r="F30" s="81">
        <f>+Vendedor1!F30+Vendedor2!F30+Vendedor3!F30</f>
        <v>0</v>
      </c>
      <c r="G30" s="85">
        <f>+Vendedor1!G30+Vendedor2!G30+Vendedor3!G30</f>
        <v>0</v>
      </c>
      <c r="H30" s="19">
        <f>+Vendedor1!H30+Vendedor2!H30+Vendedor3!H30</f>
        <v>0</v>
      </c>
      <c r="I30" s="15">
        <f>+Vendedor1!I30+Vendedor2!I30+Vendedor3!I30</f>
        <v>0</v>
      </c>
      <c r="J30" s="17">
        <f>+Vendedor1!J30+Vendedor2!J30+Vendedor3!J30</f>
        <v>0</v>
      </c>
      <c r="K30" s="19">
        <f t="shared" si="3"/>
        <v>0</v>
      </c>
      <c r="L30" s="15">
        <f t="shared" si="2"/>
        <v>0</v>
      </c>
      <c r="M30" s="15">
        <f t="shared" si="1"/>
        <v>0</v>
      </c>
      <c r="N30" s="15">
        <v>0</v>
      </c>
      <c r="O30" s="17">
        <f t="shared" si="0"/>
        <v>0</v>
      </c>
    </row>
    <row r="31" spans="1:15">
      <c r="A31" s="20" t="s">
        <v>40</v>
      </c>
      <c r="B31" s="14">
        <f>+Vendedor1!B31+Vendedor2!B31+Vendedor3!B31</f>
        <v>0</v>
      </c>
      <c r="C31" s="81">
        <f>+Vendedor1!C31+Vendedor2!C31+Vendedor3!C31</f>
        <v>0</v>
      </c>
      <c r="D31" s="82">
        <f>+Vendedor1!D31+Vendedor2!D31+Vendedor3!D31</f>
        <v>0</v>
      </c>
      <c r="E31" s="14">
        <f>+Vendedor1!E31+Vendedor2!E31+Vendedor3!E31</f>
        <v>0</v>
      </c>
      <c r="F31" s="81">
        <f>+Vendedor1!F31+Vendedor2!F31+Vendedor3!F31</f>
        <v>0</v>
      </c>
      <c r="G31" s="85">
        <f>+Vendedor1!G31+Vendedor2!G31+Vendedor3!G31</f>
        <v>0</v>
      </c>
      <c r="H31" s="19">
        <f>+Vendedor1!H31+Vendedor2!H31+Vendedor3!H31</f>
        <v>0</v>
      </c>
      <c r="I31" s="15">
        <f>+Vendedor1!I31+Vendedor2!I31+Vendedor3!I31</f>
        <v>0</v>
      </c>
      <c r="J31" s="17">
        <f>+Vendedor1!J31+Vendedor2!J31+Vendedor3!J31</f>
        <v>0</v>
      </c>
      <c r="K31" s="19">
        <f t="shared" si="3"/>
        <v>0</v>
      </c>
      <c r="L31" s="15">
        <f t="shared" si="2"/>
        <v>0</v>
      </c>
      <c r="M31" s="15">
        <f t="shared" si="1"/>
        <v>0</v>
      </c>
      <c r="N31" s="15">
        <v>0</v>
      </c>
      <c r="O31" s="17">
        <f t="shared" si="0"/>
        <v>0</v>
      </c>
    </row>
    <row r="32" spans="1:15">
      <c r="A32" s="20" t="s">
        <v>41</v>
      </c>
      <c r="B32" s="14">
        <f>+Vendedor1!B32+Vendedor2!B32+Vendedor3!B32</f>
        <v>0</v>
      </c>
      <c r="C32" s="81">
        <f>+Vendedor1!C32+Vendedor2!C32+Vendedor3!C32</f>
        <v>0</v>
      </c>
      <c r="D32" s="82">
        <f>+Vendedor1!D32+Vendedor2!D32+Vendedor3!D32</f>
        <v>0</v>
      </c>
      <c r="E32" s="14">
        <f>+Vendedor1!E32+Vendedor2!E32+Vendedor3!E32</f>
        <v>0</v>
      </c>
      <c r="F32" s="81">
        <f>+Vendedor1!F32+Vendedor2!F32+Vendedor3!F32</f>
        <v>0</v>
      </c>
      <c r="G32" s="85">
        <f>+Vendedor1!G32+Vendedor2!G32+Vendedor3!G32</f>
        <v>0</v>
      </c>
      <c r="H32" s="19">
        <f>+Vendedor1!H32+Vendedor2!H32+Vendedor3!H32</f>
        <v>0</v>
      </c>
      <c r="I32" s="15">
        <f>+Vendedor1!I32+Vendedor2!I32+Vendedor3!I32</f>
        <v>0</v>
      </c>
      <c r="J32" s="17">
        <f>+Vendedor1!J32+Vendedor2!J32+Vendedor3!J32</f>
        <v>0</v>
      </c>
      <c r="K32" s="19">
        <f t="shared" si="3"/>
        <v>0</v>
      </c>
      <c r="L32" s="15">
        <f t="shared" si="2"/>
        <v>0</v>
      </c>
      <c r="M32" s="15">
        <f t="shared" si="1"/>
        <v>0</v>
      </c>
      <c r="N32" s="15">
        <v>0</v>
      </c>
      <c r="O32" s="17">
        <f t="shared" si="0"/>
        <v>0</v>
      </c>
    </row>
    <row r="33" spans="1:15">
      <c r="A33" s="13" t="s">
        <v>42</v>
      </c>
      <c r="B33" s="14">
        <f>+Vendedor1!B33+Vendedor2!B33+Vendedor3!B33</f>
        <v>0</v>
      </c>
      <c r="C33" s="81">
        <f>+Vendedor1!C33+Vendedor2!C33+Vendedor3!C33</f>
        <v>0</v>
      </c>
      <c r="D33" s="82">
        <f>+Vendedor1!D33+Vendedor2!D33+Vendedor3!D33</f>
        <v>0</v>
      </c>
      <c r="E33" s="14">
        <f>+Vendedor1!E33+Vendedor2!E33+Vendedor3!E33</f>
        <v>0</v>
      </c>
      <c r="F33" s="81">
        <f>+Vendedor1!F33+Vendedor2!F33+Vendedor3!F33</f>
        <v>0</v>
      </c>
      <c r="G33" s="85">
        <f>+Vendedor1!G33+Vendedor2!G33+Vendedor3!G33</f>
        <v>0</v>
      </c>
      <c r="H33" s="19">
        <f>+Vendedor1!H33+Vendedor2!H33+Vendedor3!H33</f>
        <v>0</v>
      </c>
      <c r="I33" s="15">
        <f>+Vendedor1!I33+Vendedor2!I33+Vendedor3!I33</f>
        <v>0</v>
      </c>
      <c r="J33" s="17">
        <f>+Vendedor1!J33+Vendedor2!J33+Vendedor3!J33</f>
        <v>0</v>
      </c>
      <c r="K33" s="19">
        <f t="shared" si="3"/>
        <v>0</v>
      </c>
      <c r="L33" s="15">
        <f t="shared" si="2"/>
        <v>0</v>
      </c>
      <c r="M33" s="15">
        <f t="shared" si="1"/>
        <v>0</v>
      </c>
      <c r="N33" s="15">
        <v>0</v>
      </c>
      <c r="O33" s="17">
        <f t="shared" si="0"/>
        <v>0</v>
      </c>
    </row>
    <row r="34" spans="1:15" ht="15.75" thickBot="1">
      <c r="A34" s="20" t="s">
        <v>43</v>
      </c>
      <c r="B34" s="14">
        <f>+Vendedor1!B34+Vendedor2!B34+Vendedor3!B34</f>
        <v>0</v>
      </c>
      <c r="C34" s="81">
        <f>+Vendedor1!C34+Vendedor2!C34+Vendedor3!C34</f>
        <v>0</v>
      </c>
      <c r="D34" s="82">
        <f>+Vendedor1!D34+Vendedor2!D34+Vendedor3!D34</f>
        <v>0</v>
      </c>
      <c r="E34" s="14">
        <f>+Vendedor1!E34+Vendedor2!E34+Vendedor3!E34</f>
        <v>0</v>
      </c>
      <c r="F34" s="81">
        <f>+Vendedor1!F34+Vendedor2!F34+Vendedor3!F34</f>
        <v>0</v>
      </c>
      <c r="G34" s="85">
        <f>+Vendedor1!G34+Vendedor2!G34+Vendedor3!G34</f>
        <v>0</v>
      </c>
      <c r="H34" s="19">
        <f>+Vendedor1!H34+Vendedor2!H34+Vendedor3!H34</f>
        <v>0</v>
      </c>
      <c r="I34" s="15">
        <f>+Vendedor1!I34+Vendedor2!I34+Vendedor3!I34</f>
        <v>0</v>
      </c>
      <c r="J34" s="17">
        <f>+Vendedor1!J34+Vendedor2!J34+Vendedor3!J34</f>
        <v>0</v>
      </c>
      <c r="K34" s="19">
        <f t="shared" si="3"/>
        <v>0</v>
      </c>
      <c r="L34" s="15">
        <f t="shared" si="2"/>
        <v>0</v>
      </c>
      <c r="M34" s="15">
        <f t="shared" si="1"/>
        <v>0</v>
      </c>
      <c r="N34" s="15">
        <v>0</v>
      </c>
      <c r="O34" s="17">
        <f t="shared" si="0"/>
        <v>0</v>
      </c>
    </row>
    <row r="35" spans="1:15" ht="15.75" hidden="1" thickBot="1">
      <c r="A35" s="13" t="s">
        <v>44</v>
      </c>
      <c r="B35" s="14">
        <f>[10]Vendedor1!$J$4</f>
        <v>0</v>
      </c>
      <c r="C35" s="81">
        <f>[10]Vendedor1!$K$4</f>
        <v>0</v>
      </c>
      <c r="D35" s="82">
        <f>[10]Vendedor1!$L$4</f>
        <v>0</v>
      </c>
      <c r="E35" s="14">
        <f>[10]Vendedor1!$J$5</f>
        <v>0</v>
      </c>
      <c r="F35" s="81">
        <f>[10]Vendedor1!$K$5</f>
        <v>0</v>
      </c>
      <c r="G35" s="85">
        <f>[10]Vendedor1!$L$5</f>
        <v>0</v>
      </c>
      <c r="H35" s="19">
        <f>[10]Vendedor1!$J$6</f>
        <v>0</v>
      </c>
      <c r="I35" s="15">
        <f>[10]Vendedor1!$K$6</f>
        <v>0</v>
      </c>
      <c r="J35" s="17">
        <f>[10]Vendedor1!$L$6</f>
        <v>0</v>
      </c>
      <c r="K35" s="19">
        <f t="shared" si="3"/>
        <v>0</v>
      </c>
      <c r="L35" s="15">
        <f t="shared" si="2"/>
        <v>0</v>
      </c>
      <c r="M35" s="15">
        <f t="shared" si="1"/>
        <v>0</v>
      </c>
      <c r="N35" s="15">
        <v>0</v>
      </c>
      <c r="O35" s="17">
        <f t="shared" si="0"/>
        <v>0</v>
      </c>
    </row>
    <row r="36" spans="1:15" ht="15.75" hidden="1" thickBot="1">
      <c r="A36" s="20" t="s">
        <v>45</v>
      </c>
      <c r="B36" s="21">
        <f>[11]Vendedor1!$J$4</f>
        <v>0</v>
      </c>
      <c r="C36" s="83">
        <f>[11]Vendedor1!$K$4</f>
        <v>0</v>
      </c>
      <c r="D36" s="84">
        <f>[11]Vendedor1!$L$4</f>
        <v>0</v>
      </c>
      <c r="E36" s="21">
        <f>[11]Vendedor1!$J$5</f>
        <v>0</v>
      </c>
      <c r="F36" s="83">
        <f>[11]Vendedor1!$K$5</f>
        <v>0</v>
      </c>
      <c r="G36" s="86">
        <f>[11]Vendedor1!$L$5</f>
        <v>0</v>
      </c>
      <c r="H36" s="26">
        <f>[11]Vendedor1!$J$6</f>
        <v>0</v>
      </c>
      <c r="I36" s="22">
        <f>[11]Vendedor1!$K$6</f>
        <v>0</v>
      </c>
      <c r="J36" s="24">
        <f>[11]Vendedor1!$L$6</f>
        <v>0</v>
      </c>
      <c r="K36" s="26">
        <f t="shared" si="3"/>
        <v>0</v>
      </c>
      <c r="L36" s="22">
        <f t="shared" si="2"/>
        <v>0</v>
      </c>
      <c r="M36" s="22">
        <f t="shared" si="1"/>
        <v>0</v>
      </c>
      <c r="N36" s="22">
        <v>0</v>
      </c>
      <c r="O36" s="24">
        <f t="shared" si="0"/>
        <v>0</v>
      </c>
    </row>
    <row r="37" spans="1:15" ht="16.5" thickBot="1">
      <c r="A37" s="5" t="s">
        <v>46</v>
      </c>
      <c r="B37" s="27">
        <f t="shared" ref="B37:M37" si="4">SUM(B6:B36)</f>
        <v>4995100</v>
      </c>
      <c r="C37" s="28">
        <f t="shared" si="4"/>
        <v>649363</v>
      </c>
      <c r="D37" s="29">
        <f t="shared" si="4"/>
        <v>4309500</v>
      </c>
      <c r="E37" s="30">
        <f t="shared" si="4"/>
        <v>932100</v>
      </c>
      <c r="F37" s="28">
        <f t="shared" si="4"/>
        <v>121173</v>
      </c>
      <c r="G37" s="31">
        <f t="shared" si="4"/>
        <v>972000</v>
      </c>
      <c r="H37" s="27">
        <f t="shared" si="4"/>
        <v>239750</v>
      </c>
      <c r="I37" s="28">
        <f t="shared" si="4"/>
        <v>31167.5</v>
      </c>
      <c r="J37" s="29">
        <f t="shared" si="4"/>
        <v>300000</v>
      </c>
      <c r="K37" s="60">
        <f t="shared" si="4"/>
        <v>6166950</v>
      </c>
      <c r="L37" s="32">
        <f t="shared" si="4"/>
        <v>801650</v>
      </c>
      <c r="M37" s="32">
        <f t="shared" si="4"/>
        <v>5581500</v>
      </c>
      <c r="N37" s="32">
        <f>SUM(N5:N36)</f>
        <v>0</v>
      </c>
      <c r="O37" s="33">
        <f>SUM(O5:O36)</f>
        <v>-216200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76"/>
  <sheetViews>
    <sheetView showGridLines="0" zoomScale="80" zoomScaleNormal="80" workbookViewId="0">
      <selection activeCell="B5" sqref="B5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42578125" style="1" customWidth="1"/>
    <col min="16" max="16" width="4.85546875" style="1" customWidth="1"/>
    <col min="17" max="18" width="11.42578125" style="1" customWidth="1"/>
    <col min="19" max="1024" width="11.42578125" style="1"/>
  </cols>
  <sheetData>
    <row r="1" spans="1:15" ht="15.75" thickBot="1">
      <c r="H1" s="134" t="s">
        <v>0</v>
      </c>
      <c r="I1" s="135"/>
      <c r="J1" s="135"/>
      <c r="K1" s="135"/>
      <c r="L1" s="135"/>
      <c r="M1" s="135"/>
      <c r="N1" s="135"/>
      <c r="O1" s="136"/>
    </row>
    <row r="2" spans="1:15" ht="19.5" thickBot="1">
      <c r="A2" s="2" t="s">
        <v>1</v>
      </c>
      <c r="B2" s="137" t="s">
        <v>56</v>
      </c>
      <c r="C2" s="137"/>
      <c r="D2" s="137"/>
      <c r="H2" s="3" t="s">
        <v>2</v>
      </c>
      <c r="I2" s="4">
        <v>0.13</v>
      </c>
      <c r="J2" s="3" t="s">
        <v>3</v>
      </c>
      <c r="K2" s="4">
        <v>0.13</v>
      </c>
      <c r="L2" s="3" t="s">
        <v>4</v>
      </c>
      <c r="M2" s="4">
        <v>0.1</v>
      </c>
      <c r="N2" s="3" t="s">
        <v>88</v>
      </c>
      <c r="O2" s="4">
        <v>0.13</v>
      </c>
    </row>
    <row r="3" spans="1:15" ht="15.75" thickBot="1"/>
    <row r="4" spans="1:15" ht="30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>
      <c r="A6" s="20" t="s">
        <v>49</v>
      </c>
      <c r="B6" s="53">
        <f>[1]Vendedor1!$J$4</f>
        <v>196600</v>
      </c>
      <c r="C6" s="58">
        <f>[1]Vendedor1!$K$4</f>
        <v>25558</v>
      </c>
      <c r="D6" s="54">
        <f>[1]Vendedor1!$L$4</f>
        <v>327250</v>
      </c>
      <c r="E6" s="53">
        <f>[1]Vendedor1!$J$5</f>
        <v>45450</v>
      </c>
      <c r="F6" s="58">
        <f>[1]Vendedor1!$K$5</f>
        <v>5908.5</v>
      </c>
      <c r="G6" s="55">
        <f>[1]Vendedor1!$L$5</f>
        <v>0</v>
      </c>
      <c r="H6" s="61">
        <f>[1]Vendedor1!$J$6</f>
        <v>19800</v>
      </c>
      <c r="I6" s="58">
        <f>[1]Vendedor1!$K$6</f>
        <v>2574</v>
      </c>
      <c r="J6" s="54">
        <f>[1]Vendedor1!$L$6</f>
        <v>8000</v>
      </c>
      <c r="K6" s="59">
        <f>+B6+E6+H6</f>
        <v>261850</v>
      </c>
      <c r="L6" s="58">
        <f>MROUND(C6+F6+I6,50)</f>
        <v>34050</v>
      </c>
      <c r="M6" s="58">
        <f t="shared" ref="M6:M36" si="1">+D6+G6+J6</f>
        <v>335250</v>
      </c>
      <c r="N6" s="58">
        <v>0</v>
      </c>
      <c r="O6" s="55">
        <f t="shared" ref="O6:O36" si="2">+K6-L6-M6+N6</f>
        <v>-107450</v>
      </c>
    </row>
    <row r="7" spans="1:15">
      <c r="A7" s="13" t="s">
        <v>50</v>
      </c>
      <c r="B7" s="14">
        <f>[2]Vendedor1!$J$4</f>
        <v>381300</v>
      </c>
      <c r="C7" s="15">
        <f>[2]Vendedor1!$K$4</f>
        <v>49569</v>
      </c>
      <c r="D7" s="16">
        <f>[2]Vendedor1!$L$4</f>
        <v>331500</v>
      </c>
      <c r="E7" s="14">
        <f>[2]Vendedor1!$J$5</f>
        <v>64550</v>
      </c>
      <c r="F7" s="15">
        <f>[2]Vendedor1!$K$5</f>
        <v>8391.5</v>
      </c>
      <c r="G7" s="17">
        <f>[2]Vendedor1!$L$5</f>
        <v>56000</v>
      </c>
      <c r="H7" s="18">
        <f>[2]Vendedor1!$J$6</f>
        <v>29700</v>
      </c>
      <c r="I7" s="15">
        <f>[2]Vendedor1!$K$6</f>
        <v>3861</v>
      </c>
      <c r="J7" s="16">
        <f>[2]Vendedor1!$L$6</f>
        <v>0</v>
      </c>
      <c r="K7" s="19">
        <f>+B7+E7+H7</f>
        <v>475550</v>
      </c>
      <c r="L7" s="15">
        <f>MROUND(C7+F7+I7,50)</f>
        <v>61800</v>
      </c>
      <c r="M7" s="15">
        <f t="shared" si="1"/>
        <v>387500</v>
      </c>
      <c r="N7" s="15">
        <v>0</v>
      </c>
      <c r="O7" s="17">
        <f t="shared" si="2"/>
        <v>26250</v>
      </c>
    </row>
    <row r="8" spans="1:15">
      <c r="A8" s="20" t="s">
        <v>51</v>
      </c>
      <c r="B8" s="14">
        <f>[3]Vendedor1!$J$4</f>
        <v>187250</v>
      </c>
      <c r="C8" s="15">
        <f>[3]Vendedor1!$K$4</f>
        <v>24342.5</v>
      </c>
      <c r="D8" s="16">
        <f>[3]Vendedor1!$L$4</f>
        <v>29750</v>
      </c>
      <c r="E8" s="14">
        <f>[3]Vendedor1!$J$5</f>
        <v>55450</v>
      </c>
      <c r="F8" s="15">
        <f>[3]Vendedor1!$K$5</f>
        <v>7208.5</v>
      </c>
      <c r="G8" s="17">
        <f>[3]Vendedor1!$L$5</f>
        <v>40000</v>
      </c>
      <c r="H8" s="18">
        <f>[3]Vendedor1!$J$6</f>
        <v>9450</v>
      </c>
      <c r="I8" s="15">
        <f>[3]Vendedor1!$K$6</f>
        <v>1228.5</v>
      </c>
      <c r="J8" s="16">
        <f>[3]Vendedor1!$L$6</f>
        <v>24000</v>
      </c>
      <c r="K8" s="19">
        <f>+B8+E8+H8</f>
        <v>252150</v>
      </c>
      <c r="L8" s="15">
        <f t="shared" ref="L8:L36" si="3">MROUND(C8+F8+I8,50)</f>
        <v>32800</v>
      </c>
      <c r="M8" s="15">
        <f t="shared" si="1"/>
        <v>93750</v>
      </c>
      <c r="N8" s="15">
        <v>0</v>
      </c>
      <c r="O8" s="17">
        <f t="shared" si="2"/>
        <v>125600</v>
      </c>
    </row>
    <row r="9" spans="1:15">
      <c r="A9" s="13" t="s">
        <v>52</v>
      </c>
      <c r="B9" s="14">
        <f>[4]Vendedor1!$J$4</f>
        <v>243600</v>
      </c>
      <c r="C9" s="15">
        <f>[4]Vendedor1!$K$4</f>
        <v>31668</v>
      </c>
      <c r="D9" s="16">
        <f>[4]Vendedor1!$L$4</f>
        <v>80750</v>
      </c>
      <c r="E9" s="14">
        <f>[4]Vendedor1!$J$5</f>
        <v>29500</v>
      </c>
      <c r="F9" s="15">
        <f>[4]Vendedor1!$K$5</f>
        <v>3835</v>
      </c>
      <c r="G9" s="17">
        <f>[4]Vendedor1!$L$5</f>
        <v>8000</v>
      </c>
      <c r="H9" s="18">
        <f>[4]Vendedor1!$J$6</f>
        <v>6850</v>
      </c>
      <c r="I9" s="15">
        <f>[4]Vendedor1!$K$6</f>
        <v>890.5</v>
      </c>
      <c r="J9" s="16">
        <f>[4]Vendedor1!$L$6</f>
        <v>0</v>
      </c>
      <c r="K9" s="19">
        <f>+B9+E9+H9</f>
        <v>279950</v>
      </c>
      <c r="L9" s="15">
        <f t="shared" si="3"/>
        <v>36400</v>
      </c>
      <c r="M9" s="15">
        <f t="shared" si="1"/>
        <v>88750</v>
      </c>
      <c r="N9" s="15">
        <v>0</v>
      </c>
      <c r="O9" s="17">
        <f t="shared" si="2"/>
        <v>154800</v>
      </c>
    </row>
    <row r="10" spans="1:15">
      <c r="A10" s="20" t="s">
        <v>53</v>
      </c>
      <c r="B10" s="14">
        <f>[5]Vendedor1!$J$4</f>
        <v>149100</v>
      </c>
      <c r="C10" s="15">
        <f>[5]Vendedor1!$K$4</f>
        <v>19383</v>
      </c>
      <c r="D10" s="16">
        <f>[5]Vendedor1!$L$4</f>
        <v>106250</v>
      </c>
      <c r="E10" s="14">
        <f>[5]Vendedor1!$J$5</f>
        <v>32900</v>
      </c>
      <c r="F10" s="15">
        <f>[5]Vendedor1!$K$5</f>
        <v>4277</v>
      </c>
      <c r="G10" s="17">
        <f>[5]Vendedor1!$L$5</f>
        <v>40000</v>
      </c>
      <c r="H10" s="18">
        <f>[5]Vendedor1!$J$6</f>
        <v>10550</v>
      </c>
      <c r="I10" s="15">
        <f>[5]Vendedor1!$K$6</f>
        <v>1371.5</v>
      </c>
      <c r="J10" s="16">
        <f>[5]Vendedor1!$L$6</f>
        <v>0</v>
      </c>
      <c r="K10" s="19">
        <f t="shared" ref="K10:K36" si="4">+B10+E10+H10</f>
        <v>192550</v>
      </c>
      <c r="L10" s="15">
        <f t="shared" si="3"/>
        <v>25050</v>
      </c>
      <c r="M10" s="15">
        <f t="shared" si="1"/>
        <v>146250</v>
      </c>
      <c r="N10" s="15">
        <v>0</v>
      </c>
      <c r="O10" s="17">
        <f t="shared" si="2"/>
        <v>21250</v>
      </c>
    </row>
    <row r="11" spans="1:15">
      <c r="A11" s="13" t="s">
        <v>20</v>
      </c>
      <c r="B11" s="14">
        <f>[6]Vendedor1!$J$4</f>
        <v>173400</v>
      </c>
      <c r="C11" s="15">
        <f>[6]Vendedor1!$K$4</f>
        <v>22542</v>
      </c>
      <c r="D11" s="16">
        <f>[6]Vendedor1!$L$4</f>
        <v>80750</v>
      </c>
      <c r="E11" s="14">
        <f>[6]Vendedor1!$J$5</f>
        <v>33350</v>
      </c>
      <c r="F11" s="15">
        <f>[6]Vendedor1!$K$5</f>
        <v>4335.5</v>
      </c>
      <c r="G11" s="17">
        <f>[6]Vendedor1!$L$5</f>
        <v>12000</v>
      </c>
      <c r="H11" s="18">
        <f>[6]Vendedor1!$J$6</f>
        <v>7400</v>
      </c>
      <c r="I11" s="15">
        <f>[6]Vendedor1!$K$6</f>
        <v>962</v>
      </c>
      <c r="J11" s="16">
        <f>[6]Vendedor1!$L$6</f>
        <v>0</v>
      </c>
      <c r="K11" s="19">
        <f t="shared" si="4"/>
        <v>214150</v>
      </c>
      <c r="L11" s="15">
        <f t="shared" si="3"/>
        <v>27850</v>
      </c>
      <c r="M11" s="15">
        <f t="shared" si="1"/>
        <v>92750</v>
      </c>
      <c r="N11" s="15">
        <v>0</v>
      </c>
      <c r="O11" s="17">
        <f t="shared" si="2"/>
        <v>93550</v>
      </c>
    </row>
    <row r="12" spans="1:15">
      <c r="A12" s="20" t="s">
        <v>21</v>
      </c>
      <c r="B12" s="14">
        <f>[7]Vendedor1!$J$4</f>
        <v>191900</v>
      </c>
      <c r="C12" s="15">
        <f>[7]Vendedor1!$K$4</f>
        <v>24947</v>
      </c>
      <c r="D12" s="16">
        <f>[7]Vendedor1!$L$4</f>
        <v>42500</v>
      </c>
      <c r="E12" s="14">
        <f>[7]Vendedor1!$J$5</f>
        <v>31250</v>
      </c>
      <c r="F12" s="15">
        <f>[7]Vendedor1!$K$5</f>
        <v>4062.5</v>
      </c>
      <c r="G12" s="17">
        <f>[7]Vendedor1!$L$5</f>
        <v>40000</v>
      </c>
      <c r="H12" s="18">
        <f>[7]Vendedor1!$J$6</f>
        <v>6600</v>
      </c>
      <c r="I12" s="15">
        <f>[7]Vendedor1!$K$6</f>
        <v>858</v>
      </c>
      <c r="J12" s="16">
        <f>[7]Vendedor1!$L$6</f>
        <v>0</v>
      </c>
      <c r="K12" s="19">
        <f t="shared" si="4"/>
        <v>229750</v>
      </c>
      <c r="L12" s="15">
        <f t="shared" si="3"/>
        <v>29850</v>
      </c>
      <c r="M12" s="15">
        <f t="shared" si="1"/>
        <v>82500</v>
      </c>
      <c r="N12" s="15">
        <v>0</v>
      </c>
      <c r="O12" s="17">
        <f t="shared" si="2"/>
        <v>117400</v>
      </c>
    </row>
    <row r="13" spans="1:15">
      <c r="A13" s="13" t="s">
        <v>22</v>
      </c>
      <c r="B13" s="14">
        <f>[8]Vendedor1!$J$4</f>
        <v>206200</v>
      </c>
      <c r="C13" s="15">
        <f>[8]Vendedor1!$K$4</f>
        <v>26806</v>
      </c>
      <c r="D13" s="16">
        <f>[8]Vendedor1!$L$4</f>
        <v>195500</v>
      </c>
      <c r="E13" s="14">
        <f>[8]Vendedor1!$J$5</f>
        <v>45150</v>
      </c>
      <c r="F13" s="15">
        <f>[8]Vendedor1!$K$5</f>
        <v>5869.5</v>
      </c>
      <c r="G13" s="17">
        <f>[8]Vendedor1!$L$5</f>
        <v>80000</v>
      </c>
      <c r="H13" s="18">
        <f>[8]Vendedor1!$J$6</f>
        <v>14900</v>
      </c>
      <c r="I13" s="15">
        <f>[8]Vendedor1!$K$6</f>
        <v>1937</v>
      </c>
      <c r="J13" s="16">
        <f>[8]Vendedor1!$L$6</f>
        <v>80000</v>
      </c>
      <c r="K13" s="19">
        <f t="shared" si="4"/>
        <v>266250</v>
      </c>
      <c r="L13" s="15">
        <f t="shared" si="3"/>
        <v>34600</v>
      </c>
      <c r="M13" s="15">
        <f t="shared" si="1"/>
        <v>355500</v>
      </c>
      <c r="N13" s="15">
        <v>0</v>
      </c>
      <c r="O13" s="17">
        <f t="shared" si="2"/>
        <v>-123850</v>
      </c>
    </row>
    <row r="14" spans="1:15">
      <c r="A14" s="20" t="s">
        <v>23</v>
      </c>
      <c r="B14" s="14">
        <f>[9]Vendedor1!$J$4</f>
        <v>205250</v>
      </c>
      <c r="C14" s="15">
        <f>[9]Vendedor1!$K$4</f>
        <v>26682.5</v>
      </c>
      <c r="D14" s="16">
        <f>[9]Vendedor1!$L$4</f>
        <v>148750</v>
      </c>
      <c r="E14" s="14">
        <f>[9]Vendedor1!$J$5</f>
        <v>55150</v>
      </c>
      <c r="F14" s="15">
        <f>[9]Vendedor1!$K$5</f>
        <v>7169.5</v>
      </c>
      <c r="G14" s="17">
        <f>[9]Vendedor1!$L$5</f>
        <v>160000</v>
      </c>
      <c r="H14" s="18">
        <f>[9]Vendedor1!$J$6</f>
        <v>1700</v>
      </c>
      <c r="I14" s="15">
        <f>[9]Vendedor1!$K$6</f>
        <v>221</v>
      </c>
      <c r="J14" s="16">
        <f>[9]Vendedor1!$L$6</f>
        <v>0</v>
      </c>
      <c r="K14" s="19">
        <f t="shared" si="4"/>
        <v>262100</v>
      </c>
      <c r="L14" s="15">
        <f t="shared" si="3"/>
        <v>34050</v>
      </c>
      <c r="M14" s="15">
        <f t="shared" si="1"/>
        <v>308750</v>
      </c>
      <c r="N14" s="15">
        <v>0</v>
      </c>
      <c r="O14" s="17">
        <f t="shared" si="2"/>
        <v>-80700</v>
      </c>
    </row>
    <row r="15" spans="1:15">
      <c r="A15" s="13" t="s">
        <v>24</v>
      </c>
      <c r="B15" s="14">
        <f>[12]Vendedor1!$J$4</f>
        <v>186950</v>
      </c>
      <c r="C15" s="15">
        <f>[12]Vendedor1!$K$4</f>
        <v>24303.5</v>
      </c>
      <c r="D15" s="16">
        <f>[12]Vendedor1!$L$4</f>
        <v>51000</v>
      </c>
      <c r="E15" s="14">
        <f>[12]Vendedor1!$J$5</f>
        <v>49700</v>
      </c>
      <c r="F15" s="15">
        <f>[12]Vendedor1!$K$5</f>
        <v>6461</v>
      </c>
      <c r="G15" s="17">
        <f>[12]Vendedor1!$L$5</f>
        <v>0</v>
      </c>
      <c r="H15" s="18">
        <f>[12]Vendedor1!$J$6</f>
        <v>15700</v>
      </c>
      <c r="I15" s="15">
        <f>[12]Vendedor1!$K$6</f>
        <v>2041</v>
      </c>
      <c r="J15" s="16">
        <f>[12]Vendedor1!$L$6</f>
        <v>40000</v>
      </c>
      <c r="K15" s="19">
        <f t="shared" si="4"/>
        <v>252350</v>
      </c>
      <c r="L15" s="15">
        <f t="shared" si="3"/>
        <v>32800</v>
      </c>
      <c r="M15" s="15">
        <f t="shared" si="1"/>
        <v>91000</v>
      </c>
      <c r="N15" s="15">
        <v>0</v>
      </c>
      <c r="O15" s="17">
        <f t="shared" si="2"/>
        <v>128550</v>
      </c>
    </row>
    <row r="16" spans="1:15">
      <c r="A16" s="20" t="s">
        <v>25</v>
      </c>
      <c r="B16" s="14">
        <f>[13]Vendedor1!$J$4</f>
        <v>188500</v>
      </c>
      <c r="C16" s="15">
        <f>[13]Vendedor1!$K$4</f>
        <v>24505</v>
      </c>
      <c r="D16" s="16">
        <f>[13]Vendedor1!$L$4</f>
        <v>705500</v>
      </c>
      <c r="E16" s="14">
        <f>[13]Vendedor1!$J$5</f>
        <v>38900</v>
      </c>
      <c r="F16" s="15">
        <f>[13]Vendedor1!$K$5</f>
        <v>5057</v>
      </c>
      <c r="G16" s="17">
        <f>[13]Vendedor1!$L$5</f>
        <v>8000</v>
      </c>
      <c r="H16" s="18">
        <f>[13]Vendedor1!$J$6</f>
        <v>11150</v>
      </c>
      <c r="I16" s="15">
        <f>[13]Vendedor1!$K$6</f>
        <v>1449.5</v>
      </c>
      <c r="J16" s="16">
        <f>[13]Vendedor1!$L$6</f>
        <v>0</v>
      </c>
      <c r="K16" s="19">
        <f t="shared" si="4"/>
        <v>238550</v>
      </c>
      <c r="L16" s="15">
        <f t="shared" si="3"/>
        <v>31000</v>
      </c>
      <c r="M16" s="15">
        <f t="shared" si="1"/>
        <v>713500</v>
      </c>
      <c r="N16" s="15">
        <v>0</v>
      </c>
      <c r="O16" s="17">
        <f t="shared" si="2"/>
        <v>-505950</v>
      </c>
    </row>
    <row r="17" spans="1:15">
      <c r="A17" s="13" t="s">
        <v>26</v>
      </c>
      <c r="B17" s="14">
        <f>[14]Vendedor1!$J$4</f>
        <v>155100</v>
      </c>
      <c r="C17" s="15">
        <f>[14]Vendedor1!$K$4</f>
        <v>20163</v>
      </c>
      <c r="D17" s="16">
        <f>[14]Vendedor1!$L$4</f>
        <v>42500</v>
      </c>
      <c r="E17" s="14">
        <f>[14]Vendedor1!$J$5</f>
        <v>26200</v>
      </c>
      <c r="F17" s="15">
        <f>[14]Vendedor1!$K$5</f>
        <v>3406</v>
      </c>
      <c r="G17" s="17">
        <f>[14]Vendedor1!$L$5</f>
        <v>0</v>
      </c>
      <c r="H17" s="18">
        <f>[14]Vendedor1!$J$6</f>
        <v>4200</v>
      </c>
      <c r="I17" s="15">
        <f>[14]Vendedor1!$K$6</f>
        <v>546</v>
      </c>
      <c r="J17" s="16">
        <f>[14]Vendedor1!$L$6</f>
        <v>0</v>
      </c>
      <c r="K17" s="19">
        <f t="shared" si="4"/>
        <v>185500</v>
      </c>
      <c r="L17" s="15">
        <f t="shared" si="3"/>
        <v>24100</v>
      </c>
      <c r="M17" s="15">
        <f t="shared" si="1"/>
        <v>42500</v>
      </c>
      <c r="N17" s="15">
        <v>0</v>
      </c>
      <c r="O17" s="17">
        <f t="shared" si="2"/>
        <v>118900</v>
      </c>
    </row>
    <row r="18" spans="1:15">
      <c r="A18" s="20" t="s">
        <v>27</v>
      </c>
      <c r="B18" s="14">
        <f>[15]Vendedor1!$J$4</f>
        <v>164650</v>
      </c>
      <c r="C18" s="15">
        <f>[15]Vendedor1!$K$4</f>
        <v>21404.5</v>
      </c>
      <c r="D18" s="16">
        <f>[15]Vendedor1!$L$4</f>
        <v>55250</v>
      </c>
      <c r="E18" s="14">
        <f>[15]Vendedor1!$J$5</f>
        <v>34350</v>
      </c>
      <c r="F18" s="15">
        <f>[15]Vendedor1!$K$5</f>
        <v>4465.5</v>
      </c>
      <c r="G18" s="17">
        <f>[15]Vendedor1!$L$5</f>
        <v>24000</v>
      </c>
      <c r="H18" s="18">
        <f>[15]Vendedor1!$J$6</f>
        <v>9050</v>
      </c>
      <c r="I18" s="15">
        <f>[15]Vendedor1!$K$6</f>
        <v>1176.5</v>
      </c>
      <c r="J18" s="16">
        <f>[15]Vendedor1!$L$6</f>
        <v>28000</v>
      </c>
      <c r="K18" s="19">
        <f t="shared" si="4"/>
        <v>208050</v>
      </c>
      <c r="L18" s="15">
        <f t="shared" si="3"/>
        <v>27050</v>
      </c>
      <c r="M18" s="15">
        <f t="shared" si="1"/>
        <v>107250</v>
      </c>
      <c r="N18" s="15">
        <v>0</v>
      </c>
      <c r="O18" s="17">
        <f t="shared" si="2"/>
        <v>73750</v>
      </c>
    </row>
    <row r="19" spans="1:15">
      <c r="A19" s="20" t="s">
        <v>28</v>
      </c>
      <c r="B19" s="14">
        <f>[16]Vendedor1!$J$4</f>
        <v>105300</v>
      </c>
      <c r="C19" s="15">
        <f>[16]Vendedor1!$K$4</f>
        <v>13689</v>
      </c>
      <c r="D19" s="16">
        <f>[16]Vendedor1!$L$4</f>
        <v>114750</v>
      </c>
      <c r="E19" s="14">
        <f>[16]Vendedor1!$J$5</f>
        <v>40900</v>
      </c>
      <c r="F19" s="15">
        <f>[16]Vendedor1!$K$5</f>
        <v>5317</v>
      </c>
      <c r="G19" s="17">
        <f>[16]Vendedor1!$L$5</f>
        <v>0</v>
      </c>
      <c r="H19" s="18">
        <f>[16]Vendedor1!$J$6</f>
        <v>11400</v>
      </c>
      <c r="I19" s="15">
        <f>[16]Vendedor1!$K$6</f>
        <v>1482</v>
      </c>
      <c r="J19" s="16">
        <f>[16]Vendedor1!$L$6</f>
        <v>0</v>
      </c>
      <c r="K19" s="19">
        <f t="shared" si="4"/>
        <v>157600</v>
      </c>
      <c r="L19" s="15">
        <f t="shared" si="3"/>
        <v>20500</v>
      </c>
      <c r="M19" s="15">
        <f t="shared" si="1"/>
        <v>114750</v>
      </c>
      <c r="N19" s="15">
        <v>0</v>
      </c>
      <c r="O19" s="17">
        <f t="shared" si="2"/>
        <v>22350</v>
      </c>
    </row>
    <row r="20" spans="1:15">
      <c r="A20" s="13" t="s">
        <v>29</v>
      </c>
      <c r="B20" s="14">
        <f>[17]Vendedor1!$J$4</f>
        <v>0</v>
      </c>
      <c r="C20" s="15">
        <f>[17]Vendedor1!$K$4</f>
        <v>0</v>
      </c>
      <c r="D20" s="16">
        <f>[17]Vendedor1!$L$4</f>
        <v>0</v>
      </c>
      <c r="E20" s="14">
        <f>[17]Vendedor1!$J$5</f>
        <v>0</v>
      </c>
      <c r="F20" s="15">
        <f>[17]Vendedor1!$K$5</f>
        <v>0</v>
      </c>
      <c r="G20" s="17">
        <f>[17]Vendedor1!$L$5</f>
        <v>0</v>
      </c>
      <c r="H20" s="18">
        <f>[17]Vendedor1!$J$6</f>
        <v>0</v>
      </c>
      <c r="I20" s="15">
        <f>[17]Vendedor1!$K$6</f>
        <v>0</v>
      </c>
      <c r="J20" s="16">
        <f>[17]Vendedor1!$L$6</f>
        <v>0</v>
      </c>
      <c r="K20" s="19">
        <f t="shared" si="4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20" t="s">
        <v>30</v>
      </c>
      <c r="B21" s="14">
        <f>[18]Vendedor1!$J$4</f>
        <v>0</v>
      </c>
      <c r="C21" s="81">
        <f>[18]Vendedor1!$K$4</f>
        <v>0</v>
      </c>
      <c r="D21" s="82">
        <f>[18]Vendedor1!$L$4</f>
        <v>0</v>
      </c>
      <c r="E21" s="14">
        <f>[18]Vendedor1!$J$5</f>
        <v>0</v>
      </c>
      <c r="F21" s="81">
        <f>[18]Vendedor1!$K$5</f>
        <v>0</v>
      </c>
      <c r="G21" s="85">
        <f>[18]Vendedor1!$L$5</f>
        <v>0</v>
      </c>
      <c r="H21" s="19">
        <f>[18]Vendedor1!$J$6</f>
        <v>0</v>
      </c>
      <c r="I21" s="15">
        <f>[18]Vendedor1!$K$6</f>
        <v>0</v>
      </c>
      <c r="J21" s="17">
        <f>[18]Vendedor1!$L$6</f>
        <v>0</v>
      </c>
      <c r="K21" s="19">
        <f t="shared" si="4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13" t="s">
        <v>31</v>
      </c>
      <c r="B22" s="14">
        <f>[19]Vendedor1!$J$4</f>
        <v>0</v>
      </c>
      <c r="C22" s="81">
        <f>[19]Vendedor1!$K$4</f>
        <v>0</v>
      </c>
      <c r="D22" s="82">
        <f>[19]Vendedor1!$L$4</f>
        <v>0</v>
      </c>
      <c r="E22" s="14">
        <f>[19]Vendedor1!$J$5</f>
        <v>0</v>
      </c>
      <c r="F22" s="81">
        <f>[19]Vendedor1!$K$5</f>
        <v>0</v>
      </c>
      <c r="G22" s="85">
        <f>[19]Vendedor1!$L$5</f>
        <v>0</v>
      </c>
      <c r="H22" s="19">
        <f>[19]Vendedor1!$J$6</f>
        <v>0</v>
      </c>
      <c r="I22" s="15">
        <f>[19]Vendedor1!$K$6</f>
        <v>0</v>
      </c>
      <c r="J22" s="17">
        <f>[19]Vendedor1!$L$6</f>
        <v>0</v>
      </c>
      <c r="K22" s="19">
        <f t="shared" si="4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20" t="s">
        <v>32</v>
      </c>
      <c r="B23" s="14">
        <f>[20]Vendedor1!$J$4</f>
        <v>0</v>
      </c>
      <c r="C23" s="81">
        <f>[20]Vendedor1!$K$4</f>
        <v>0</v>
      </c>
      <c r="D23" s="82">
        <f>[20]Vendedor1!$L$4</f>
        <v>0</v>
      </c>
      <c r="E23" s="14">
        <f>[20]Vendedor1!$J$5</f>
        <v>0</v>
      </c>
      <c r="F23" s="81">
        <f>[20]Vendedor1!$K$5</f>
        <v>0</v>
      </c>
      <c r="G23" s="85">
        <f>[20]Vendedor1!$L$5</f>
        <v>0</v>
      </c>
      <c r="H23" s="19">
        <f>[20]Vendedor1!$J$6</f>
        <v>0</v>
      </c>
      <c r="I23" s="15">
        <f>[20]Vendedor1!$K$6</f>
        <v>0</v>
      </c>
      <c r="J23" s="17">
        <f>[20]Vendedor1!$L$6</f>
        <v>0</v>
      </c>
      <c r="K23" s="19">
        <f t="shared" si="4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13" t="s">
        <v>33</v>
      </c>
      <c r="B24" s="14">
        <f>[21]Vendedor1!$J$4</f>
        <v>0</v>
      </c>
      <c r="C24" s="81">
        <f>[21]Vendedor1!$K$4</f>
        <v>0</v>
      </c>
      <c r="D24" s="82">
        <f>[21]Vendedor1!$L$4</f>
        <v>0</v>
      </c>
      <c r="E24" s="14">
        <f>[21]Vendedor1!$J$5</f>
        <v>0</v>
      </c>
      <c r="F24" s="81">
        <f>[21]Vendedor1!$K$5</f>
        <v>0</v>
      </c>
      <c r="G24" s="85">
        <f>[21]Vendedor1!$L$5</f>
        <v>0</v>
      </c>
      <c r="H24" s="19">
        <f>[21]Vendedor1!$J$6</f>
        <v>0</v>
      </c>
      <c r="I24" s="15">
        <f>[21]Vendedor1!$K$6</f>
        <v>0</v>
      </c>
      <c r="J24" s="17">
        <f>[21]Vendedor1!$L$6</f>
        <v>0</v>
      </c>
      <c r="K24" s="19">
        <f t="shared" si="4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20" t="s">
        <v>34</v>
      </c>
      <c r="B25" s="14">
        <f>[22]Vendedor1!$J$4</f>
        <v>0</v>
      </c>
      <c r="C25" s="81">
        <f>[22]Vendedor1!$K$4</f>
        <v>0</v>
      </c>
      <c r="D25" s="82">
        <f>[22]Vendedor1!$L$4</f>
        <v>0</v>
      </c>
      <c r="E25" s="14">
        <f>[22]Vendedor1!$J$5</f>
        <v>0</v>
      </c>
      <c r="F25" s="81">
        <f>[22]Vendedor1!$K$5</f>
        <v>0</v>
      </c>
      <c r="G25" s="85">
        <f>[22]Vendedor1!$L$5</f>
        <v>0</v>
      </c>
      <c r="H25" s="19">
        <f>[22]Vendedor1!$J$6</f>
        <v>0</v>
      </c>
      <c r="I25" s="15">
        <f>[22]Vendedor1!$K$6</f>
        <v>0</v>
      </c>
      <c r="J25" s="17">
        <f>[22]Vendedor1!$L$6</f>
        <v>0</v>
      </c>
      <c r="K25" s="19">
        <f t="shared" si="4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13" t="s">
        <v>35</v>
      </c>
      <c r="B26" s="14">
        <f>[23]Vendedor1!$J$4</f>
        <v>0</v>
      </c>
      <c r="C26" s="81">
        <f>[23]Vendedor1!$K$4</f>
        <v>0</v>
      </c>
      <c r="D26" s="82">
        <f>[23]Vendedor1!$L$4</f>
        <v>0</v>
      </c>
      <c r="E26" s="14">
        <f>[23]Vendedor1!$J$5</f>
        <v>0</v>
      </c>
      <c r="F26" s="81">
        <f>[23]Vendedor1!$K$5</f>
        <v>0</v>
      </c>
      <c r="G26" s="85">
        <f>[23]Vendedor1!$L$5</f>
        <v>0</v>
      </c>
      <c r="H26" s="19">
        <f>[23]Vendedor1!$J$6</f>
        <v>0</v>
      </c>
      <c r="I26" s="15">
        <f>[23]Vendedor1!$K$6</f>
        <v>0</v>
      </c>
      <c r="J26" s="17">
        <f>[23]Vendedor1!$L$6</f>
        <v>0</v>
      </c>
      <c r="K26" s="19">
        <f t="shared" si="4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20" t="s">
        <v>36</v>
      </c>
      <c r="B27" s="14">
        <f>[24]Vendedor1!$J$4</f>
        <v>0</v>
      </c>
      <c r="C27" s="81">
        <f>[24]Vendedor1!$K$4</f>
        <v>0</v>
      </c>
      <c r="D27" s="82">
        <f>[24]Vendedor1!$L$4</f>
        <v>0</v>
      </c>
      <c r="E27" s="14">
        <f>[24]Vendedor1!$J$5</f>
        <v>0</v>
      </c>
      <c r="F27" s="81">
        <f>[24]Vendedor1!$K$5</f>
        <v>0</v>
      </c>
      <c r="G27" s="85">
        <f>[24]Vendedor1!$L$5</f>
        <v>0</v>
      </c>
      <c r="H27" s="19">
        <f>[24]Vendedor1!$J$6</f>
        <v>0</v>
      </c>
      <c r="I27" s="15">
        <f>[24]Vendedor1!$K$6</f>
        <v>0</v>
      </c>
      <c r="J27" s="17">
        <f>[24]Vendedor1!$L$6</f>
        <v>0</v>
      </c>
      <c r="K27" s="19">
        <f t="shared" si="4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13" t="s">
        <v>37</v>
      </c>
      <c r="B28" s="14">
        <f>[25]Vendedor1!$J$4</f>
        <v>0</v>
      </c>
      <c r="C28" s="81">
        <f>[25]Vendedor1!$K$4</f>
        <v>0</v>
      </c>
      <c r="D28" s="82">
        <f>[25]Vendedor1!$L$4</f>
        <v>0</v>
      </c>
      <c r="E28" s="14">
        <f>[25]Vendedor1!$J$5</f>
        <v>0</v>
      </c>
      <c r="F28" s="81">
        <f>[25]Vendedor1!$K$5</f>
        <v>0</v>
      </c>
      <c r="G28" s="85">
        <f>[25]Vendedor1!$L$5</f>
        <v>0</v>
      </c>
      <c r="H28" s="19">
        <f>[25]Vendedor1!$J$6</f>
        <v>0</v>
      </c>
      <c r="I28" s="15">
        <f>[25]Vendedor1!$K$6</f>
        <v>0</v>
      </c>
      <c r="J28" s="17">
        <f>[25]Vendedor1!$L$6</f>
        <v>0</v>
      </c>
      <c r="K28" s="19">
        <f t="shared" si="4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20" t="s">
        <v>38</v>
      </c>
      <c r="B29" s="14">
        <f>[26]Vendedor1!$J$4</f>
        <v>0</v>
      </c>
      <c r="C29" s="81">
        <f>[26]Vendedor1!$K$4</f>
        <v>0</v>
      </c>
      <c r="D29" s="82">
        <f>[26]Vendedor1!$L$4</f>
        <v>0</v>
      </c>
      <c r="E29" s="14">
        <f>[26]Vendedor1!$J$5</f>
        <v>0</v>
      </c>
      <c r="F29" s="81">
        <f>[26]Vendedor1!$K$5</f>
        <v>0</v>
      </c>
      <c r="G29" s="85">
        <f>[26]Vendedor1!$L$5</f>
        <v>0</v>
      </c>
      <c r="H29" s="19">
        <f>[26]Vendedor1!$J$6</f>
        <v>0</v>
      </c>
      <c r="I29" s="15">
        <f>[26]Vendedor1!$K$6</f>
        <v>0</v>
      </c>
      <c r="J29" s="17">
        <f>[26]Vendedor1!$L$6</f>
        <v>0</v>
      </c>
      <c r="K29" s="19">
        <f t="shared" si="4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13" t="s">
        <v>39</v>
      </c>
      <c r="B30" s="14">
        <f>[27]Vendedor1!$J$4</f>
        <v>0</v>
      </c>
      <c r="C30" s="81">
        <f>[27]Vendedor1!$K$4</f>
        <v>0</v>
      </c>
      <c r="D30" s="82">
        <f>[27]Vendedor1!$L$4</f>
        <v>0</v>
      </c>
      <c r="E30" s="14">
        <f>[27]Vendedor1!$J$5</f>
        <v>0</v>
      </c>
      <c r="F30" s="81">
        <f>[27]Vendedor1!$K$5</f>
        <v>0</v>
      </c>
      <c r="G30" s="85">
        <f>[27]Vendedor1!$L$5</f>
        <v>0</v>
      </c>
      <c r="H30" s="19">
        <f>[27]Vendedor1!$J$6</f>
        <v>0</v>
      </c>
      <c r="I30" s="15">
        <f>[27]Vendedor1!$K$6</f>
        <v>0</v>
      </c>
      <c r="J30" s="17">
        <f>[27]Vendedor1!$L$6</f>
        <v>0</v>
      </c>
      <c r="K30" s="19">
        <f t="shared" si="4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40</v>
      </c>
      <c r="B31" s="14">
        <f>[28]Vendedor1!$J$4</f>
        <v>0</v>
      </c>
      <c r="C31" s="81">
        <f>[28]Vendedor1!$K$4</f>
        <v>0</v>
      </c>
      <c r="D31" s="82">
        <f>[28]Vendedor1!$L$4</f>
        <v>0</v>
      </c>
      <c r="E31" s="14">
        <f>[28]Vendedor1!$J$5</f>
        <v>0</v>
      </c>
      <c r="F31" s="81">
        <f>[28]Vendedor1!$K$5</f>
        <v>0</v>
      </c>
      <c r="G31" s="85">
        <f>[28]Vendedor1!$L$5</f>
        <v>0</v>
      </c>
      <c r="H31" s="19">
        <f>[28]Vendedor1!$J$6</f>
        <v>0</v>
      </c>
      <c r="I31" s="15">
        <f>[28]Vendedor1!$K$6</f>
        <v>0</v>
      </c>
      <c r="J31" s="17">
        <f>[28]Vendedor1!$L$6</f>
        <v>0</v>
      </c>
      <c r="K31" s="19">
        <f t="shared" si="4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20" t="s">
        <v>41</v>
      </c>
      <c r="B32" s="14">
        <f>[29]Vendedor1!$J$4</f>
        <v>0</v>
      </c>
      <c r="C32" s="81">
        <f>[29]Vendedor1!$K$4</f>
        <v>0</v>
      </c>
      <c r="D32" s="82">
        <f>[29]Vendedor1!$L$4</f>
        <v>0</v>
      </c>
      <c r="E32" s="14">
        <f>[29]Vendedor1!$J$5</f>
        <v>0</v>
      </c>
      <c r="F32" s="81">
        <f>[29]Vendedor1!$K$5</f>
        <v>0</v>
      </c>
      <c r="G32" s="85">
        <f>[29]Vendedor1!$L$5</f>
        <v>0</v>
      </c>
      <c r="H32" s="19">
        <f>[29]Vendedor1!$J$6</f>
        <v>0</v>
      </c>
      <c r="I32" s="15">
        <f>[29]Vendedor1!$K$6</f>
        <v>0</v>
      </c>
      <c r="J32" s="17">
        <f>[29]Vendedor1!$L$6</f>
        <v>0</v>
      </c>
      <c r="K32" s="19">
        <f t="shared" si="4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13" t="s">
        <v>42</v>
      </c>
      <c r="B33" s="14">
        <f>[30]Vendedor1!$J$4</f>
        <v>0</v>
      </c>
      <c r="C33" s="81">
        <f>[30]Vendedor1!$K$4</f>
        <v>0</v>
      </c>
      <c r="D33" s="82">
        <f>[30]Vendedor1!$L$4</f>
        <v>0</v>
      </c>
      <c r="E33" s="14">
        <f>[30]Vendedor1!$J$5</f>
        <v>0</v>
      </c>
      <c r="F33" s="81">
        <f>[30]Vendedor1!$K$5</f>
        <v>0</v>
      </c>
      <c r="G33" s="85">
        <f>[30]Vendedor1!$L$5</f>
        <v>0</v>
      </c>
      <c r="H33" s="19">
        <f>[30]Vendedor1!$J$6</f>
        <v>0</v>
      </c>
      <c r="I33" s="15">
        <f>[30]Vendedor1!$K$6</f>
        <v>0</v>
      </c>
      <c r="J33" s="17">
        <f>[30]Vendedor1!$L$6</f>
        <v>0</v>
      </c>
      <c r="K33" s="19">
        <f t="shared" si="4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20" t="s">
        <v>43</v>
      </c>
      <c r="B34" s="14">
        <f>[31]Vendedor1!$J$4</f>
        <v>0</v>
      </c>
      <c r="C34" s="81">
        <f>[31]Vendedor1!$K$4</f>
        <v>0</v>
      </c>
      <c r="D34" s="82">
        <f>[31]Vendedor1!$L$4</f>
        <v>0</v>
      </c>
      <c r="E34" s="14">
        <f>[31]Vendedor1!$J$5</f>
        <v>0</v>
      </c>
      <c r="F34" s="81">
        <f>[31]Vendedor1!$K$5</f>
        <v>0</v>
      </c>
      <c r="G34" s="85">
        <f>[31]Vendedor1!$L$5</f>
        <v>0</v>
      </c>
      <c r="H34" s="19">
        <f>[31]Vendedor1!$J$6</f>
        <v>0</v>
      </c>
      <c r="I34" s="15">
        <f>[31]Vendedor1!$K$6</f>
        <v>0</v>
      </c>
      <c r="J34" s="17">
        <f>[31]Vendedor1!$L$6</f>
        <v>0</v>
      </c>
      <c r="K34" s="19">
        <f t="shared" si="4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13" t="s">
        <v>44</v>
      </c>
      <c r="B35" s="14">
        <f>[10]Vendedor1!$J$4</f>
        <v>0</v>
      </c>
      <c r="C35" s="81">
        <f>[10]Vendedor1!$K$4</f>
        <v>0</v>
      </c>
      <c r="D35" s="82">
        <f>[10]Vendedor1!$L$4</f>
        <v>0</v>
      </c>
      <c r="E35" s="14">
        <f>[10]Vendedor1!$J$5</f>
        <v>0</v>
      </c>
      <c r="F35" s="81">
        <f>[10]Vendedor1!$K$5</f>
        <v>0</v>
      </c>
      <c r="G35" s="85">
        <f>[10]Vendedor1!$L$5</f>
        <v>0</v>
      </c>
      <c r="H35" s="19">
        <f>[10]Vendedor1!$J$6</f>
        <v>0</v>
      </c>
      <c r="I35" s="15">
        <f>[10]Vendedor1!$K$6</f>
        <v>0</v>
      </c>
      <c r="J35" s="17">
        <f>[10]Vendedor1!$L$6</f>
        <v>0</v>
      </c>
      <c r="K35" s="19">
        <f t="shared" si="4"/>
        <v>0</v>
      </c>
      <c r="L35" s="15">
        <f t="shared" si="3"/>
        <v>0</v>
      </c>
      <c r="M35" s="15">
        <f t="shared" si="1"/>
        <v>0</v>
      </c>
      <c r="N35" s="15">
        <v>0</v>
      </c>
      <c r="O35" s="17">
        <f t="shared" si="2"/>
        <v>0</v>
      </c>
    </row>
    <row r="36" spans="1:15" ht="15.75" thickBot="1">
      <c r="A36" s="20" t="s">
        <v>45</v>
      </c>
      <c r="B36" s="21">
        <f>[11]Vendedor1!$J$4</f>
        <v>0</v>
      </c>
      <c r="C36" s="83">
        <f>[11]Vendedor1!$K$4</f>
        <v>0</v>
      </c>
      <c r="D36" s="84">
        <f>[11]Vendedor1!$L$4</f>
        <v>0</v>
      </c>
      <c r="E36" s="21">
        <f>[11]Vendedor1!$J$5</f>
        <v>0</v>
      </c>
      <c r="F36" s="83">
        <f>[11]Vendedor1!$K$5</f>
        <v>0</v>
      </c>
      <c r="G36" s="86">
        <f>[11]Vendedor1!$L$5</f>
        <v>0</v>
      </c>
      <c r="H36" s="26">
        <f>[11]Vendedor1!$J$6</f>
        <v>0</v>
      </c>
      <c r="I36" s="22">
        <f>[11]Vendedor1!$K$6</f>
        <v>0</v>
      </c>
      <c r="J36" s="24">
        <f>[11]Vendedor1!$L$6</f>
        <v>0</v>
      </c>
      <c r="K36" s="26">
        <f t="shared" si="4"/>
        <v>0</v>
      </c>
      <c r="L36" s="22">
        <f t="shared" si="3"/>
        <v>0</v>
      </c>
      <c r="M36" s="22">
        <f t="shared" si="1"/>
        <v>0</v>
      </c>
      <c r="N36" s="22">
        <v>0</v>
      </c>
      <c r="O36" s="24">
        <f t="shared" si="2"/>
        <v>0</v>
      </c>
    </row>
    <row r="37" spans="1:15" ht="16.5" thickBot="1">
      <c r="A37" s="5" t="s">
        <v>46</v>
      </c>
      <c r="B37" s="27">
        <f t="shared" ref="B37:M37" si="5">SUM(B6:B36)</f>
        <v>2735100</v>
      </c>
      <c r="C37" s="28">
        <f t="shared" si="5"/>
        <v>355563</v>
      </c>
      <c r="D37" s="29">
        <f t="shared" si="5"/>
        <v>2312000</v>
      </c>
      <c r="E37" s="30">
        <f t="shared" si="5"/>
        <v>582800</v>
      </c>
      <c r="F37" s="28">
        <f t="shared" si="5"/>
        <v>75764</v>
      </c>
      <c r="G37" s="31">
        <f t="shared" si="5"/>
        <v>468000</v>
      </c>
      <c r="H37" s="27">
        <f t="shared" si="5"/>
        <v>158450</v>
      </c>
      <c r="I37" s="28">
        <f t="shared" si="5"/>
        <v>20598.5</v>
      </c>
      <c r="J37" s="29">
        <f t="shared" si="5"/>
        <v>180000</v>
      </c>
      <c r="K37" s="60">
        <f t="shared" si="5"/>
        <v>3476350</v>
      </c>
      <c r="L37" s="32">
        <f t="shared" si="5"/>
        <v>451900</v>
      </c>
      <c r="M37" s="32">
        <f t="shared" si="5"/>
        <v>2960000</v>
      </c>
      <c r="N37" s="32">
        <f>SUM(N5:N36)</f>
        <v>0</v>
      </c>
      <c r="O37" s="33">
        <f>SUM(O5:O36)</f>
        <v>64450</v>
      </c>
    </row>
    <row r="40" spans="1:15" ht="15.75" thickBot="1"/>
    <row r="41" spans="1:15" ht="19.5" thickBot="1">
      <c r="A41" s="2" t="s">
        <v>1</v>
      </c>
      <c r="B41" s="137" t="s">
        <v>132</v>
      </c>
      <c r="C41" s="137"/>
      <c r="D41" s="137"/>
    </row>
    <row r="42" spans="1:15" ht="15.75" thickBot="1"/>
    <row r="43" spans="1:15" ht="30.75" thickBot="1">
      <c r="A43" s="5" t="s">
        <v>5</v>
      </c>
      <c r="B43" s="6" t="s">
        <v>6</v>
      </c>
      <c r="C43" s="7" t="s">
        <v>7</v>
      </c>
      <c r="D43" s="8" t="s">
        <v>8</v>
      </c>
      <c r="E43" s="9" t="s">
        <v>9</v>
      </c>
      <c r="F43" s="7" t="s">
        <v>10</v>
      </c>
      <c r="G43" s="10" t="s">
        <v>11</v>
      </c>
      <c r="H43" s="6" t="s">
        <v>89</v>
      </c>
      <c r="I43" s="7" t="s">
        <v>90</v>
      </c>
      <c r="J43" s="8" t="s">
        <v>91</v>
      </c>
      <c r="K43" s="56" t="s">
        <v>15</v>
      </c>
      <c r="L43" s="57" t="s">
        <v>16</v>
      </c>
      <c r="M43" s="57" t="s">
        <v>17</v>
      </c>
      <c r="N43" s="11" t="s">
        <v>18</v>
      </c>
      <c r="O43" s="12" t="s">
        <v>19</v>
      </c>
    </row>
    <row r="44" spans="1:15" ht="15.75" thickBot="1">
      <c r="A44" s="68" t="s">
        <v>83</v>
      </c>
      <c r="B44" s="67">
        <f>B5</f>
        <v>0</v>
      </c>
      <c r="C44" s="57">
        <f t="shared" ref="C44:N44" si="6">C5</f>
        <v>0</v>
      </c>
      <c r="D44" s="11">
        <f t="shared" si="6"/>
        <v>0</v>
      </c>
      <c r="E44" s="56">
        <f t="shared" si="6"/>
        <v>0</v>
      </c>
      <c r="F44" s="57">
        <f t="shared" si="6"/>
        <v>0</v>
      </c>
      <c r="G44" s="12">
        <f t="shared" si="6"/>
        <v>0</v>
      </c>
      <c r="H44" s="67">
        <f t="shared" si="6"/>
        <v>0</v>
      </c>
      <c r="I44" s="57">
        <f t="shared" si="6"/>
        <v>0</v>
      </c>
      <c r="J44" s="11">
        <f t="shared" si="6"/>
        <v>0</v>
      </c>
      <c r="K44" s="56">
        <f t="shared" si="6"/>
        <v>0</v>
      </c>
      <c r="L44" s="57">
        <f t="shared" si="6"/>
        <v>0</v>
      </c>
      <c r="M44" s="57">
        <f t="shared" si="6"/>
        <v>0</v>
      </c>
      <c r="N44" s="69">
        <f t="shared" si="6"/>
        <v>0</v>
      </c>
      <c r="O44" s="70">
        <f t="shared" ref="O44" si="7">+K44-L44-M44+N44</f>
        <v>0</v>
      </c>
    </row>
    <row r="45" spans="1:15">
      <c r="A45" s="20" t="s">
        <v>49</v>
      </c>
      <c r="B45" s="53">
        <f t="shared" ref="B45:N45" si="8">B6</f>
        <v>196600</v>
      </c>
      <c r="C45" s="58">
        <f t="shared" si="8"/>
        <v>25558</v>
      </c>
      <c r="D45" s="54">
        <f t="shared" si="8"/>
        <v>327250</v>
      </c>
      <c r="E45" s="53">
        <f t="shared" si="8"/>
        <v>45450</v>
      </c>
      <c r="F45" s="58">
        <f t="shared" si="8"/>
        <v>5908.5</v>
      </c>
      <c r="G45" s="55">
        <f t="shared" si="8"/>
        <v>0</v>
      </c>
      <c r="H45" s="61">
        <f t="shared" si="8"/>
        <v>19800</v>
      </c>
      <c r="I45" s="58">
        <f t="shared" si="8"/>
        <v>2574</v>
      </c>
      <c r="J45" s="54">
        <f t="shared" si="8"/>
        <v>8000</v>
      </c>
      <c r="K45" s="59">
        <f t="shared" si="8"/>
        <v>261850</v>
      </c>
      <c r="L45" s="58">
        <f>IF(K45&gt;0,15000,0)</f>
        <v>15000</v>
      </c>
      <c r="M45" s="58">
        <f t="shared" si="8"/>
        <v>335250</v>
      </c>
      <c r="N45" s="58">
        <f t="shared" si="8"/>
        <v>0</v>
      </c>
      <c r="O45" s="55">
        <f>+K45-L45-M45+N45</f>
        <v>-88400</v>
      </c>
    </row>
    <row r="46" spans="1:15">
      <c r="A46" s="13" t="s">
        <v>50</v>
      </c>
      <c r="B46" s="14">
        <f t="shared" ref="B46:N46" si="9">B7</f>
        <v>381300</v>
      </c>
      <c r="C46" s="15">
        <f t="shared" si="9"/>
        <v>49569</v>
      </c>
      <c r="D46" s="16">
        <f t="shared" si="9"/>
        <v>331500</v>
      </c>
      <c r="E46" s="14">
        <f t="shared" si="9"/>
        <v>64550</v>
      </c>
      <c r="F46" s="15">
        <f t="shared" si="9"/>
        <v>8391.5</v>
      </c>
      <c r="G46" s="17">
        <f t="shared" si="9"/>
        <v>56000</v>
      </c>
      <c r="H46" s="18">
        <f t="shared" si="9"/>
        <v>29700</v>
      </c>
      <c r="I46" s="15">
        <f t="shared" si="9"/>
        <v>3861</v>
      </c>
      <c r="J46" s="16">
        <f t="shared" si="9"/>
        <v>0</v>
      </c>
      <c r="K46" s="19">
        <f t="shared" si="9"/>
        <v>475550</v>
      </c>
      <c r="L46" s="15">
        <f t="shared" ref="L46:L75" si="10">IF(K46&gt;0,15000,0)</f>
        <v>15000</v>
      </c>
      <c r="M46" s="15">
        <f t="shared" si="9"/>
        <v>387500</v>
      </c>
      <c r="N46" s="15">
        <f t="shared" si="9"/>
        <v>0</v>
      </c>
      <c r="O46" s="17">
        <f t="shared" ref="O46:O59" si="11">+K46-L46-M46+N46</f>
        <v>73050</v>
      </c>
    </row>
    <row r="47" spans="1:15">
      <c r="A47" s="20" t="s">
        <v>51</v>
      </c>
      <c r="B47" s="14">
        <f t="shared" ref="B47:N47" si="12">B8</f>
        <v>187250</v>
      </c>
      <c r="C47" s="15">
        <f t="shared" si="12"/>
        <v>24342.5</v>
      </c>
      <c r="D47" s="16">
        <f t="shared" si="12"/>
        <v>29750</v>
      </c>
      <c r="E47" s="14">
        <f t="shared" si="12"/>
        <v>55450</v>
      </c>
      <c r="F47" s="15">
        <f t="shared" si="12"/>
        <v>7208.5</v>
      </c>
      <c r="G47" s="17">
        <f t="shared" si="12"/>
        <v>40000</v>
      </c>
      <c r="H47" s="18">
        <f t="shared" si="12"/>
        <v>9450</v>
      </c>
      <c r="I47" s="15">
        <f t="shared" si="12"/>
        <v>1228.5</v>
      </c>
      <c r="J47" s="16">
        <f t="shared" si="12"/>
        <v>24000</v>
      </c>
      <c r="K47" s="19">
        <f t="shared" si="12"/>
        <v>252150</v>
      </c>
      <c r="L47" s="15">
        <f t="shared" si="10"/>
        <v>15000</v>
      </c>
      <c r="M47" s="15">
        <f t="shared" si="12"/>
        <v>93750</v>
      </c>
      <c r="N47" s="15">
        <f t="shared" si="12"/>
        <v>0</v>
      </c>
      <c r="O47" s="17">
        <f t="shared" si="11"/>
        <v>143400</v>
      </c>
    </row>
    <row r="48" spans="1:15">
      <c r="A48" s="13" t="s">
        <v>52</v>
      </c>
      <c r="B48" s="14">
        <f t="shared" ref="B48:N48" si="13">B9</f>
        <v>243600</v>
      </c>
      <c r="C48" s="15">
        <f t="shared" si="13"/>
        <v>31668</v>
      </c>
      <c r="D48" s="16">
        <f t="shared" si="13"/>
        <v>80750</v>
      </c>
      <c r="E48" s="14">
        <f t="shared" si="13"/>
        <v>29500</v>
      </c>
      <c r="F48" s="15">
        <f t="shared" si="13"/>
        <v>3835</v>
      </c>
      <c r="G48" s="17">
        <f t="shared" si="13"/>
        <v>8000</v>
      </c>
      <c r="H48" s="18">
        <f t="shared" si="13"/>
        <v>6850</v>
      </c>
      <c r="I48" s="15">
        <f t="shared" si="13"/>
        <v>890.5</v>
      </c>
      <c r="J48" s="16">
        <f t="shared" si="13"/>
        <v>0</v>
      </c>
      <c r="K48" s="19">
        <f t="shared" si="13"/>
        <v>279950</v>
      </c>
      <c r="L48" s="15">
        <f t="shared" si="10"/>
        <v>15000</v>
      </c>
      <c r="M48" s="15">
        <f t="shared" si="13"/>
        <v>88750</v>
      </c>
      <c r="N48" s="15">
        <f t="shared" si="13"/>
        <v>0</v>
      </c>
      <c r="O48" s="17">
        <f t="shared" si="11"/>
        <v>176200</v>
      </c>
    </row>
    <row r="49" spans="1:15">
      <c r="A49" s="20" t="s">
        <v>53</v>
      </c>
      <c r="B49" s="14">
        <f t="shared" ref="B49:N49" si="14">B10</f>
        <v>149100</v>
      </c>
      <c r="C49" s="15">
        <f t="shared" si="14"/>
        <v>19383</v>
      </c>
      <c r="D49" s="16">
        <f t="shared" si="14"/>
        <v>106250</v>
      </c>
      <c r="E49" s="14">
        <f t="shared" si="14"/>
        <v>32900</v>
      </c>
      <c r="F49" s="15">
        <f t="shared" si="14"/>
        <v>4277</v>
      </c>
      <c r="G49" s="17">
        <f t="shared" si="14"/>
        <v>40000</v>
      </c>
      <c r="H49" s="18">
        <f t="shared" si="14"/>
        <v>10550</v>
      </c>
      <c r="I49" s="15">
        <f t="shared" si="14"/>
        <v>1371.5</v>
      </c>
      <c r="J49" s="16">
        <f t="shared" si="14"/>
        <v>0</v>
      </c>
      <c r="K49" s="19">
        <f t="shared" si="14"/>
        <v>192550</v>
      </c>
      <c r="L49" s="15">
        <f t="shared" si="10"/>
        <v>15000</v>
      </c>
      <c r="M49" s="15">
        <f t="shared" si="14"/>
        <v>146250</v>
      </c>
      <c r="N49" s="15">
        <f t="shared" si="14"/>
        <v>0</v>
      </c>
      <c r="O49" s="17">
        <f t="shared" si="11"/>
        <v>31300</v>
      </c>
    </row>
    <row r="50" spans="1:15">
      <c r="A50" s="13" t="s">
        <v>20</v>
      </c>
      <c r="B50" s="14">
        <f t="shared" ref="B50:N50" si="15">B11</f>
        <v>173400</v>
      </c>
      <c r="C50" s="15">
        <f t="shared" si="15"/>
        <v>22542</v>
      </c>
      <c r="D50" s="16">
        <f t="shared" si="15"/>
        <v>80750</v>
      </c>
      <c r="E50" s="14">
        <f t="shared" si="15"/>
        <v>33350</v>
      </c>
      <c r="F50" s="15">
        <f t="shared" si="15"/>
        <v>4335.5</v>
      </c>
      <c r="G50" s="17">
        <f t="shared" si="15"/>
        <v>12000</v>
      </c>
      <c r="H50" s="18">
        <f t="shared" si="15"/>
        <v>7400</v>
      </c>
      <c r="I50" s="15">
        <f t="shared" si="15"/>
        <v>962</v>
      </c>
      <c r="J50" s="16">
        <f t="shared" si="15"/>
        <v>0</v>
      </c>
      <c r="K50" s="19">
        <f t="shared" si="15"/>
        <v>214150</v>
      </c>
      <c r="L50" s="15">
        <f t="shared" si="10"/>
        <v>15000</v>
      </c>
      <c r="M50" s="15">
        <f t="shared" si="15"/>
        <v>92750</v>
      </c>
      <c r="N50" s="15">
        <f t="shared" si="15"/>
        <v>0</v>
      </c>
      <c r="O50" s="17">
        <f t="shared" si="11"/>
        <v>106400</v>
      </c>
    </row>
    <row r="51" spans="1:15">
      <c r="A51" s="20" t="s">
        <v>21</v>
      </c>
      <c r="B51" s="14">
        <f t="shared" ref="B51:N51" si="16">B12</f>
        <v>191900</v>
      </c>
      <c r="C51" s="15">
        <f t="shared" si="16"/>
        <v>24947</v>
      </c>
      <c r="D51" s="16">
        <f t="shared" si="16"/>
        <v>42500</v>
      </c>
      <c r="E51" s="14">
        <f t="shared" si="16"/>
        <v>31250</v>
      </c>
      <c r="F51" s="15">
        <f t="shared" si="16"/>
        <v>4062.5</v>
      </c>
      <c r="G51" s="17">
        <f t="shared" si="16"/>
        <v>40000</v>
      </c>
      <c r="H51" s="18">
        <f t="shared" si="16"/>
        <v>6600</v>
      </c>
      <c r="I51" s="15">
        <f t="shared" si="16"/>
        <v>858</v>
      </c>
      <c r="J51" s="16">
        <f t="shared" si="16"/>
        <v>0</v>
      </c>
      <c r="K51" s="19">
        <f t="shared" si="16"/>
        <v>229750</v>
      </c>
      <c r="L51" s="15">
        <f t="shared" si="10"/>
        <v>15000</v>
      </c>
      <c r="M51" s="15">
        <f t="shared" si="16"/>
        <v>82500</v>
      </c>
      <c r="N51" s="15">
        <f t="shared" si="16"/>
        <v>0</v>
      </c>
      <c r="O51" s="17">
        <f t="shared" si="11"/>
        <v>132250</v>
      </c>
    </row>
    <row r="52" spans="1:15">
      <c r="A52" s="13" t="s">
        <v>22</v>
      </c>
      <c r="B52" s="14">
        <f t="shared" ref="B52:N52" si="17">B13</f>
        <v>206200</v>
      </c>
      <c r="C52" s="15">
        <f t="shared" si="17"/>
        <v>26806</v>
      </c>
      <c r="D52" s="16">
        <f t="shared" si="17"/>
        <v>195500</v>
      </c>
      <c r="E52" s="14">
        <f t="shared" si="17"/>
        <v>45150</v>
      </c>
      <c r="F52" s="15">
        <f t="shared" si="17"/>
        <v>5869.5</v>
      </c>
      <c r="G52" s="17">
        <f t="shared" si="17"/>
        <v>80000</v>
      </c>
      <c r="H52" s="18">
        <f t="shared" si="17"/>
        <v>14900</v>
      </c>
      <c r="I52" s="15">
        <f t="shared" si="17"/>
        <v>1937</v>
      </c>
      <c r="J52" s="16">
        <f t="shared" si="17"/>
        <v>80000</v>
      </c>
      <c r="K52" s="19">
        <f t="shared" si="17"/>
        <v>266250</v>
      </c>
      <c r="L52" s="15">
        <f t="shared" si="10"/>
        <v>15000</v>
      </c>
      <c r="M52" s="15">
        <f t="shared" si="17"/>
        <v>355500</v>
      </c>
      <c r="N52" s="15">
        <f t="shared" si="17"/>
        <v>0</v>
      </c>
      <c r="O52" s="17">
        <f t="shared" si="11"/>
        <v>-104250</v>
      </c>
    </row>
    <row r="53" spans="1:15">
      <c r="A53" s="20" t="s">
        <v>23</v>
      </c>
      <c r="B53" s="14">
        <f t="shared" ref="B53:N53" si="18">B14</f>
        <v>205250</v>
      </c>
      <c r="C53" s="15">
        <f t="shared" si="18"/>
        <v>26682.5</v>
      </c>
      <c r="D53" s="16">
        <f t="shared" si="18"/>
        <v>148750</v>
      </c>
      <c r="E53" s="14">
        <f t="shared" si="18"/>
        <v>55150</v>
      </c>
      <c r="F53" s="15">
        <f t="shared" si="18"/>
        <v>7169.5</v>
      </c>
      <c r="G53" s="17">
        <f t="shared" si="18"/>
        <v>160000</v>
      </c>
      <c r="H53" s="18">
        <f t="shared" si="18"/>
        <v>1700</v>
      </c>
      <c r="I53" s="15">
        <f t="shared" si="18"/>
        <v>221</v>
      </c>
      <c r="J53" s="16">
        <f t="shared" si="18"/>
        <v>0</v>
      </c>
      <c r="K53" s="19">
        <f t="shared" si="18"/>
        <v>262100</v>
      </c>
      <c r="L53" s="15">
        <f t="shared" si="10"/>
        <v>15000</v>
      </c>
      <c r="M53" s="15">
        <f t="shared" si="18"/>
        <v>308750</v>
      </c>
      <c r="N53" s="15">
        <f t="shared" si="18"/>
        <v>0</v>
      </c>
      <c r="O53" s="17">
        <f t="shared" si="11"/>
        <v>-61650</v>
      </c>
    </row>
    <row r="54" spans="1:15">
      <c r="A54" s="13" t="s">
        <v>24</v>
      </c>
      <c r="B54" s="14">
        <f t="shared" ref="B54:N54" si="19">B15</f>
        <v>186950</v>
      </c>
      <c r="C54" s="15">
        <f t="shared" si="19"/>
        <v>24303.5</v>
      </c>
      <c r="D54" s="16">
        <f t="shared" si="19"/>
        <v>51000</v>
      </c>
      <c r="E54" s="14">
        <f t="shared" si="19"/>
        <v>49700</v>
      </c>
      <c r="F54" s="15">
        <f t="shared" si="19"/>
        <v>6461</v>
      </c>
      <c r="G54" s="17">
        <f t="shared" si="19"/>
        <v>0</v>
      </c>
      <c r="H54" s="18">
        <f t="shared" si="19"/>
        <v>15700</v>
      </c>
      <c r="I54" s="15">
        <f t="shared" si="19"/>
        <v>2041</v>
      </c>
      <c r="J54" s="16">
        <f t="shared" si="19"/>
        <v>40000</v>
      </c>
      <c r="K54" s="19">
        <f t="shared" si="19"/>
        <v>252350</v>
      </c>
      <c r="L54" s="15">
        <f t="shared" si="10"/>
        <v>15000</v>
      </c>
      <c r="M54" s="15">
        <f t="shared" si="19"/>
        <v>91000</v>
      </c>
      <c r="N54" s="15">
        <f t="shared" si="19"/>
        <v>0</v>
      </c>
      <c r="O54" s="17">
        <f t="shared" si="11"/>
        <v>146350</v>
      </c>
    </row>
    <row r="55" spans="1:15">
      <c r="A55" s="20" t="s">
        <v>25</v>
      </c>
      <c r="B55" s="14">
        <f t="shared" ref="B55:N55" si="20">B16</f>
        <v>188500</v>
      </c>
      <c r="C55" s="15">
        <f t="shared" si="20"/>
        <v>24505</v>
      </c>
      <c r="D55" s="16">
        <f t="shared" si="20"/>
        <v>705500</v>
      </c>
      <c r="E55" s="14">
        <f t="shared" si="20"/>
        <v>38900</v>
      </c>
      <c r="F55" s="15">
        <f t="shared" si="20"/>
        <v>5057</v>
      </c>
      <c r="G55" s="17">
        <f t="shared" si="20"/>
        <v>8000</v>
      </c>
      <c r="H55" s="18">
        <f t="shared" si="20"/>
        <v>11150</v>
      </c>
      <c r="I55" s="15">
        <f t="shared" si="20"/>
        <v>1449.5</v>
      </c>
      <c r="J55" s="16">
        <f t="shared" si="20"/>
        <v>0</v>
      </c>
      <c r="K55" s="19">
        <f t="shared" si="20"/>
        <v>238550</v>
      </c>
      <c r="L55" s="15">
        <f t="shared" si="10"/>
        <v>15000</v>
      </c>
      <c r="M55" s="15">
        <f t="shared" si="20"/>
        <v>713500</v>
      </c>
      <c r="N55" s="15">
        <f t="shared" si="20"/>
        <v>0</v>
      </c>
      <c r="O55" s="17">
        <f t="shared" si="11"/>
        <v>-489950</v>
      </c>
    </row>
    <row r="56" spans="1:15">
      <c r="A56" s="13" t="s">
        <v>26</v>
      </c>
      <c r="B56" s="14">
        <f t="shared" ref="B56:N56" si="21">B17</f>
        <v>155100</v>
      </c>
      <c r="C56" s="15">
        <f t="shared" si="21"/>
        <v>20163</v>
      </c>
      <c r="D56" s="16">
        <f t="shared" si="21"/>
        <v>42500</v>
      </c>
      <c r="E56" s="14">
        <f t="shared" si="21"/>
        <v>26200</v>
      </c>
      <c r="F56" s="15">
        <f t="shared" si="21"/>
        <v>3406</v>
      </c>
      <c r="G56" s="17">
        <f t="shared" si="21"/>
        <v>0</v>
      </c>
      <c r="H56" s="18">
        <f t="shared" si="21"/>
        <v>4200</v>
      </c>
      <c r="I56" s="15">
        <f t="shared" si="21"/>
        <v>546</v>
      </c>
      <c r="J56" s="16">
        <f t="shared" si="21"/>
        <v>0</v>
      </c>
      <c r="K56" s="19">
        <f t="shared" si="21"/>
        <v>185500</v>
      </c>
      <c r="L56" s="15">
        <f t="shared" si="10"/>
        <v>15000</v>
      </c>
      <c r="M56" s="15">
        <f t="shared" si="21"/>
        <v>42500</v>
      </c>
      <c r="N56" s="15">
        <f t="shared" si="21"/>
        <v>0</v>
      </c>
      <c r="O56" s="17">
        <f t="shared" si="11"/>
        <v>128000</v>
      </c>
    </row>
    <row r="57" spans="1:15">
      <c r="A57" s="20" t="s">
        <v>27</v>
      </c>
      <c r="B57" s="14">
        <f t="shared" ref="B57:N57" si="22">B18</f>
        <v>164650</v>
      </c>
      <c r="C57" s="15">
        <f t="shared" si="22"/>
        <v>21404.5</v>
      </c>
      <c r="D57" s="16">
        <f t="shared" si="22"/>
        <v>55250</v>
      </c>
      <c r="E57" s="14">
        <f t="shared" si="22"/>
        <v>34350</v>
      </c>
      <c r="F57" s="15">
        <f t="shared" si="22"/>
        <v>4465.5</v>
      </c>
      <c r="G57" s="17">
        <f t="shared" si="22"/>
        <v>24000</v>
      </c>
      <c r="H57" s="18">
        <f t="shared" si="22"/>
        <v>9050</v>
      </c>
      <c r="I57" s="15">
        <f t="shared" si="22"/>
        <v>1176.5</v>
      </c>
      <c r="J57" s="16">
        <f t="shared" si="22"/>
        <v>28000</v>
      </c>
      <c r="K57" s="19">
        <f t="shared" si="22"/>
        <v>208050</v>
      </c>
      <c r="L57" s="15">
        <f t="shared" si="10"/>
        <v>15000</v>
      </c>
      <c r="M57" s="15">
        <f t="shared" si="22"/>
        <v>107250</v>
      </c>
      <c r="N57" s="15">
        <f t="shared" si="22"/>
        <v>0</v>
      </c>
      <c r="O57" s="17">
        <f t="shared" si="11"/>
        <v>85800</v>
      </c>
    </row>
    <row r="58" spans="1:15">
      <c r="A58" s="20" t="s">
        <v>28</v>
      </c>
      <c r="B58" s="14">
        <f t="shared" ref="B58:N58" si="23">B19</f>
        <v>105300</v>
      </c>
      <c r="C58" s="15">
        <f t="shared" si="23"/>
        <v>13689</v>
      </c>
      <c r="D58" s="16">
        <f t="shared" si="23"/>
        <v>114750</v>
      </c>
      <c r="E58" s="14">
        <f t="shared" si="23"/>
        <v>40900</v>
      </c>
      <c r="F58" s="15">
        <f t="shared" si="23"/>
        <v>5317</v>
      </c>
      <c r="G58" s="17">
        <f t="shared" si="23"/>
        <v>0</v>
      </c>
      <c r="H58" s="18">
        <f t="shared" si="23"/>
        <v>11400</v>
      </c>
      <c r="I58" s="15">
        <f t="shared" si="23"/>
        <v>1482</v>
      </c>
      <c r="J58" s="16">
        <f t="shared" si="23"/>
        <v>0</v>
      </c>
      <c r="K58" s="19">
        <f t="shared" si="23"/>
        <v>157600</v>
      </c>
      <c r="L58" s="15">
        <f t="shared" si="10"/>
        <v>15000</v>
      </c>
      <c r="M58" s="15">
        <f t="shared" si="23"/>
        <v>114750</v>
      </c>
      <c r="N58" s="15">
        <f t="shared" si="23"/>
        <v>0</v>
      </c>
      <c r="O58" s="17">
        <f t="shared" si="11"/>
        <v>27850</v>
      </c>
    </row>
    <row r="59" spans="1:15">
      <c r="A59" s="13" t="s">
        <v>29</v>
      </c>
      <c r="B59" s="14">
        <f t="shared" ref="B59:N59" si="24">B20</f>
        <v>0</v>
      </c>
      <c r="C59" s="15">
        <f t="shared" si="24"/>
        <v>0</v>
      </c>
      <c r="D59" s="16">
        <f t="shared" si="24"/>
        <v>0</v>
      </c>
      <c r="E59" s="14">
        <f t="shared" si="24"/>
        <v>0</v>
      </c>
      <c r="F59" s="15">
        <f t="shared" si="24"/>
        <v>0</v>
      </c>
      <c r="G59" s="17">
        <f t="shared" si="24"/>
        <v>0</v>
      </c>
      <c r="H59" s="18">
        <f t="shared" si="24"/>
        <v>0</v>
      </c>
      <c r="I59" s="15">
        <f t="shared" si="24"/>
        <v>0</v>
      </c>
      <c r="J59" s="16">
        <f t="shared" si="24"/>
        <v>0</v>
      </c>
      <c r="K59" s="19">
        <f t="shared" si="24"/>
        <v>0</v>
      </c>
      <c r="L59" s="15">
        <f t="shared" si="10"/>
        <v>0</v>
      </c>
      <c r="M59" s="15">
        <f t="shared" si="24"/>
        <v>0</v>
      </c>
      <c r="N59" s="15">
        <f t="shared" si="24"/>
        <v>0</v>
      </c>
      <c r="O59" s="17">
        <f t="shared" si="11"/>
        <v>0</v>
      </c>
    </row>
    <row r="60" spans="1:15">
      <c r="A60" s="20" t="s">
        <v>30</v>
      </c>
      <c r="B60" s="14">
        <f t="shared" ref="B60:N60" si="25">B21</f>
        <v>0</v>
      </c>
      <c r="C60" s="81">
        <f t="shared" si="25"/>
        <v>0</v>
      </c>
      <c r="D60" s="82">
        <f t="shared" si="25"/>
        <v>0</v>
      </c>
      <c r="E60" s="14">
        <f t="shared" si="25"/>
        <v>0</v>
      </c>
      <c r="F60" s="81">
        <f t="shared" si="25"/>
        <v>0</v>
      </c>
      <c r="G60" s="85">
        <f t="shared" si="25"/>
        <v>0</v>
      </c>
      <c r="H60" s="19">
        <f t="shared" si="25"/>
        <v>0</v>
      </c>
      <c r="I60" s="15">
        <f t="shared" si="25"/>
        <v>0</v>
      </c>
      <c r="J60" s="17">
        <f t="shared" si="25"/>
        <v>0</v>
      </c>
      <c r="K60" s="19">
        <f t="shared" si="25"/>
        <v>0</v>
      </c>
      <c r="L60" s="15">
        <f t="shared" si="10"/>
        <v>0</v>
      </c>
      <c r="M60" s="15">
        <f t="shared" si="25"/>
        <v>0</v>
      </c>
      <c r="N60" s="15">
        <f t="shared" si="25"/>
        <v>0</v>
      </c>
      <c r="O60" s="17">
        <f t="shared" ref="O60:O61" si="26">+O20</f>
        <v>0</v>
      </c>
    </row>
    <row r="61" spans="1:15">
      <c r="A61" s="13" t="s">
        <v>31</v>
      </c>
      <c r="B61" s="14">
        <f t="shared" ref="B61:N61" si="27">B22</f>
        <v>0</v>
      </c>
      <c r="C61" s="81">
        <f t="shared" si="27"/>
        <v>0</v>
      </c>
      <c r="D61" s="82">
        <f t="shared" si="27"/>
        <v>0</v>
      </c>
      <c r="E61" s="14">
        <f t="shared" si="27"/>
        <v>0</v>
      </c>
      <c r="F61" s="81">
        <f t="shared" si="27"/>
        <v>0</v>
      </c>
      <c r="G61" s="85">
        <f t="shared" si="27"/>
        <v>0</v>
      </c>
      <c r="H61" s="19">
        <f t="shared" si="27"/>
        <v>0</v>
      </c>
      <c r="I61" s="15">
        <f t="shared" si="27"/>
        <v>0</v>
      </c>
      <c r="J61" s="17">
        <f t="shared" si="27"/>
        <v>0</v>
      </c>
      <c r="K61" s="19">
        <f t="shared" si="27"/>
        <v>0</v>
      </c>
      <c r="L61" s="15">
        <f t="shared" si="10"/>
        <v>0</v>
      </c>
      <c r="M61" s="15">
        <f t="shared" si="27"/>
        <v>0</v>
      </c>
      <c r="N61" s="15">
        <f t="shared" si="27"/>
        <v>0</v>
      </c>
      <c r="O61" s="17">
        <f t="shared" si="26"/>
        <v>0</v>
      </c>
    </row>
    <row r="62" spans="1:15">
      <c r="A62" s="20" t="s">
        <v>32</v>
      </c>
      <c r="B62" s="14">
        <f t="shared" ref="B62:N62" si="28">B23</f>
        <v>0</v>
      </c>
      <c r="C62" s="81">
        <f t="shared" si="28"/>
        <v>0</v>
      </c>
      <c r="D62" s="82">
        <f t="shared" si="28"/>
        <v>0</v>
      </c>
      <c r="E62" s="14">
        <f t="shared" si="28"/>
        <v>0</v>
      </c>
      <c r="F62" s="81">
        <f t="shared" si="28"/>
        <v>0</v>
      </c>
      <c r="G62" s="85">
        <f t="shared" si="28"/>
        <v>0</v>
      </c>
      <c r="H62" s="19">
        <f t="shared" si="28"/>
        <v>0</v>
      </c>
      <c r="I62" s="15">
        <f t="shared" si="28"/>
        <v>0</v>
      </c>
      <c r="J62" s="17">
        <f t="shared" si="28"/>
        <v>0</v>
      </c>
      <c r="K62" s="19">
        <f t="shared" si="28"/>
        <v>0</v>
      </c>
      <c r="L62" s="15">
        <f t="shared" si="10"/>
        <v>0</v>
      </c>
      <c r="M62" s="15">
        <f t="shared" si="28"/>
        <v>0</v>
      </c>
      <c r="N62" s="15">
        <f t="shared" si="28"/>
        <v>0</v>
      </c>
      <c r="O62" s="17">
        <f t="shared" ref="O62:O75" si="29">+O22</f>
        <v>0</v>
      </c>
    </row>
    <row r="63" spans="1:15">
      <c r="A63" s="13" t="s">
        <v>33</v>
      </c>
      <c r="B63" s="14">
        <f t="shared" ref="B63:N63" si="30">B24</f>
        <v>0</v>
      </c>
      <c r="C63" s="81">
        <f t="shared" si="30"/>
        <v>0</v>
      </c>
      <c r="D63" s="82">
        <f t="shared" si="30"/>
        <v>0</v>
      </c>
      <c r="E63" s="14">
        <f t="shared" si="30"/>
        <v>0</v>
      </c>
      <c r="F63" s="81">
        <f t="shared" si="30"/>
        <v>0</v>
      </c>
      <c r="G63" s="85">
        <f t="shared" si="30"/>
        <v>0</v>
      </c>
      <c r="H63" s="19">
        <f t="shared" si="30"/>
        <v>0</v>
      </c>
      <c r="I63" s="15">
        <f t="shared" si="30"/>
        <v>0</v>
      </c>
      <c r="J63" s="17">
        <f t="shared" si="30"/>
        <v>0</v>
      </c>
      <c r="K63" s="19">
        <f t="shared" si="30"/>
        <v>0</v>
      </c>
      <c r="L63" s="15">
        <f t="shared" si="10"/>
        <v>0</v>
      </c>
      <c r="M63" s="15">
        <f t="shared" si="30"/>
        <v>0</v>
      </c>
      <c r="N63" s="15">
        <f t="shared" si="30"/>
        <v>0</v>
      </c>
      <c r="O63" s="17">
        <f t="shared" si="29"/>
        <v>0</v>
      </c>
    </row>
    <row r="64" spans="1:15">
      <c r="A64" s="20" t="s">
        <v>34</v>
      </c>
      <c r="B64" s="14">
        <f t="shared" ref="B64:N64" si="31">B25</f>
        <v>0</v>
      </c>
      <c r="C64" s="81">
        <f t="shared" si="31"/>
        <v>0</v>
      </c>
      <c r="D64" s="82">
        <f t="shared" si="31"/>
        <v>0</v>
      </c>
      <c r="E64" s="14">
        <f t="shared" si="31"/>
        <v>0</v>
      </c>
      <c r="F64" s="81">
        <f t="shared" si="31"/>
        <v>0</v>
      </c>
      <c r="G64" s="85">
        <f t="shared" si="31"/>
        <v>0</v>
      </c>
      <c r="H64" s="19">
        <f t="shared" si="31"/>
        <v>0</v>
      </c>
      <c r="I64" s="15">
        <f t="shared" si="31"/>
        <v>0</v>
      </c>
      <c r="J64" s="17">
        <f t="shared" si="31"/>
        <v>0</v>
      </c>
      <c r="K64" s="19">
        <f t="shared" si="31"/>
        <v>0</v>
      </c>
      <c r="L64" s="15">
        <f t="shared" si="10"/>
        <v>0</v>
      </c>
      <c r="M64" s="15">
        <f t="shared" si="31"/>
        <v>0</v>
      </c>
      <c r="N64" s="15">
        <f t="shared" si="31"/>
        <v>0</v>
      </c>
      <c r="O64" s="17">
        <f t="shared" si="29"/>
        <v>0</v>
      </c>
    </row>
    <row r="65" spans="1:15">
      <c r="A65" s="13" t="s">
        <v>35</v>
      </c>
      <c r="B65" s="14">
        <f t="shared" ref="B65:N65" si="32">B26</f>
        <v>0</v>
      </c>
      <c r="C65" s="81">
        <f t="shared" si="32"/>
        <v>0</v>
      </c>
      <c r="D65" s="82">
        <f t="shared" si="32"/>
        <v>0</v>
      </c>
      <c r="E65" s="14">
        <f t="shared" si="32"/>
        <v>0</v>
      </c>
      <c r="F65" s="81">
        <f t="shared" si="32"/>
        <v>0</v>
      </c>
      <c r="G65" s="85">
        <f t="shared" si="32"/>
        <v>0</v>
      </c>
      <c r="H65" s="19">
        <f t="shared" si="32"/>
        <v>0</v>
      </c>
      <c r="I65" s="15">
        <f t="shared" si="32"/>
        <v>0</v>
      </c>
      <c r="J65" s="17">
        <f t="shared" si="32"/>
        <v>0</v>
      </c>
      <c r="K65" s="19">
        <f t="shared" si="32"/>
        <v>0</v>
      </c>
      <c r="L65" s="15">
        <f t="shared" si="10"/>
        <v>0</v>
      </c>
      <c r="M65" s="15">
        <f t="shared" si="32"/>
        <v>0</v>
      </c>
      <c r="N65" s="15">
        <f t="shared" si="32"/>
        <v>0</v>
      </c>
      <c r="O65" s="17">
        <f t="shared" si="29"/>
        <v>0</v>
      </c>
    </row>
    <row r="66" spans="1:15">
      <c r="A66" s="20" t="s">
        <v>36</v>
      </c>
      <c r="B66" s="14">
        <f t="shared" ref="B66:N66" si="33">B27</f>
        <v>0</v>
      </c>
      <c r="C66" s="81">
        <f t="shared" si="33"/>
        <v>0</v>
      </c>
      <c r="D66" s="82">
        <f t="shared" si="33"/>
        <v>0</v>
      </c>
      <c r="E66" s="14">
        <f t="shared" si="33"/>
        <v>0</v>
      </c>
      <c r="F66" s="81">
        <f t="shared" si="33"/>
        <v>0</v>
      </c>
      <c r="G66" s="85">
        <f t="shared" si="33"/>
        <v>0</v>
      </c>
      <c r="H66" s="19">
        <f t="shared" si="33"/>
        <v>0</v>
      </c>
      <c r="I66" s="15">
        <f t="shared" si="33"/>
        <v>0</v>
      </c>
      <c r="J66" s="17">
        <f t="shared" si="33"/>
        <v>0</v>
      </c>
      <c r="K66" s="19">
        <f t="shared" si="33"/>
        <v>0</v>
      </c>
      <c r="L66" s="15">
        <f t="shared" si="10"/>
        <v>0</v>
      </c>
      <c r="M66" s="15">
        <f t="shared" si="33"/>
        <v>0</v>
      </c>
      <c r="N66" s="15">
        <f t="shared" si="33"/>
        <v>0</v>
      </c>
      <c r="O66" s="17">
        <f t="shared" si="29"/>
        <v>0</v>
      </c>
    </row>
    <row r="67" spans="1:15">
      <c r="A67" s="13" t="s">
        <v>37</v>
      </c>
      <c r="B67" s="14">
        <f t="shared" ref="B67:N67" si="34">B28</f>
        <v>0</v>
      </c>
      <c r="C67" s="81">
        <f t="shared" si="34"/>
        <v>0</v>
      </c>
      <c r="D67" s="82">
        <f t="shared" si="34"/>
        <v>0</v>
      </c>
      <c r="E67" s="14">
        <f t="shared" si="34"/>
        <v>0</v>
      </c>
      <c r="F67" s="81">
        <f t="shared" si="34"/>
        <v>0</v>
      </c>
      <c r="G67" s="85">
        <f t="shared" si="34"/>
        <v>0</v>
      </c>
      <c r="H67" s="19">
        <f t="shared" si="34"/>
        <v>0</v>
      </c>
      <c r="I67" s="15">
        <f t="shared" si="34"/>
        <v>0</v>
      </c>
      <c r="J67" s="17">
        <f t="shared" si="34"/>
        <v>0</v>
      </c>
      <c r="K67" s="19">
        <f t="shared" si="34"/>
        <v>0</v>
      </c>
      <c r="L67" s="15">
        <f t="shared" si="10"/>
        <v>0</v>
      </c>
      <c r="M67" s="15">
        <f t="shared" si="34"/>
        <v>0</v>
      </c>
      <c r="N67" s="15">
        <f t="shared" si="34"/>
        <v>0</v>
      </c>
      <c r="O67" s="17">
        <f t="shared" si="29"/>
        <v>0</v>
      </c>
    </row>
    <row r="68" spans="1:15">
      <c r="A68" s="20" t="s">
        <v>38</v>
      </c>
      <c r="B68" s="14">
        <f t="shared" ref="B68:N68" si="35">B29</f>
        <v>0</v>
      </c>
      <c r="C68" s="81">
        <f t="shared" si="35"/>
        <v>0</v>
      </c>
      <c r="D68" s="82">
        <f t="shared" si="35"/>
        <v>0</v>
      </c>
      <c r="E68" s="14">
        <f t="shared" si="35"/>
        <v>0</v>
      </c>
      <c r="F68" s="81">
        <f t="shared" si="35"/>
        <v>0</v>
      </c>
      <c r="G68" s="85">
        <f t="shared" si="35"/>
        <v>0</v>
      </c>
      <c r="H68" s="19">
        <f t="shared" si="35"/>
        <v>0</v>
      </c>
      <c r="I68" s="15">
        <f t="shared" si="35"/>
        <v>0</v>
      </c>
      <c r="J68" s="17">
        <f t="shared" si="35"/>
        <v>0</v>
      </c>
      <c r="K68" s="19">
        <f t="shared" si="35"/>
        <v>0</v>
      </c>
      <c r="L68" s="15">
        <f t="shared" si="10"/>
        <v>0</v>
      </c>
      <c r="M68" s="15">
        <f t="shared" si="35"/>
        <v>0</v>
      </c>
      <c r="N68" s="15">
        <f t="shared" si="35"/>
        <v>0</v>
      </c>
      <c r="O68" s="17">
        <f t="shared" si="29"/>
        <v>0</v>
      </c>
    </row>
    <row r="69" spans="1:15">
      <c r="A69" s="13" t="s">
        <v>39</v>
      </c>
      <c r="B69" s="14">
        <f t="shared" ref="B69:N69" si="36">B30</f>
        <v>0</v>
      </c>
      <c r="C69" s="81">
        <f t="shared" si="36"/>
        <v>0</v>
      </c>
      <c r="D69" s="82">
        <f t="shared" si="36"/>
        <v>0</v>
      </c>
      <c r="E69" s="14">
        <f t="shared" si="36"/>
        <v>0</v>
      </c>
      <c r="F69" s="81">
        <f t="shared" si="36"/>
        <v>0</v>
      </c>
      <c r="G69" s="85">
        <f t="shared" si="36"/>
        <v>0</v>
      </c>
      <c r="H69" s="19">
        <f t="shared" si="36"/>
        <v>0</v>
      </c>
      <c r="I69" s="15">
        <f t="shared" si="36"/>
        <v>0</v>
      </c>
      <c r="J69" s="17">
        <f t="shared" si="36"/>
        <v>0</v>
      </c>
      <c r="K69" s="19">
        <f t="shared" si="36"/>
        <v>0</v>
      </c>
      <c r="L69" s="15">
        <f t="shared" si="10"/>
        <v>0</v>
      </c>
      <c r="M69" s="15">
        <f t="shared" si="36"/>
        <v>0</v>
      </c>
      <c r="N69" s="15">
        <f t="shared" si="36"/>
        <v>0</v>
      </c>
      <c r="O69" s="17">
        <f t="shared" si="29"/>
        <v>0</v>
      </c>
    </row>
    <row r="70" spans="1:15">
      <c r="A70" s="20" t="s">
        <v>40</v>
      </c>
      <c r="B70" s="14">
        <f t="shared" ref="B70:N70" si="37">B31</f>
        <v>0</v>
      </c>
      <c r="C70" s="81">
        <f t="shared" si="37"/>
        <v>0</v>
      </c>
      <c r="D70" s="82">
        <f t="shared" si="37"/>
        <v>0</v>
      </c>
      <c r="E70" s="14">
        <f t="shared" si="37"/>
        <v>0</v>
      </c>
      <c r="F70" s="81">
        <f t="shared" si="37"/>
        <v>0</v>
      </c>
      <c r="G70" s="85">
        <f t="shared" si="37"/>
        <v>0</v>
      </c>
      <c r="H70" s="19">
        <f t="shared" si="37"/>
        <v>0</v>
      </c>
      <c r="I70" s="15">
        <f t="shared" si="37"/>
        <v>0</v>
      </c>
      <c r="J70" s="17">
        <f t="shared" si="37"/>
        <v>0</v>
      </c>
      <c r="K70" s="19">
        <f t="shared" si="37"/>
        <v>0</v>
      </c>
      <c r="L70" s="15">
        <f t="shared" si="10"/>
        <v>0</v>
      </c>
      <c r="M70" s="15">
        <f t="shared" si="37"/>
        <v>0</v>
      </c>
      <c r="N70" s="15">
        <f t="shared" si="37"/>
        <v>0</v>
      </c>
      <c r="O70" s="17">
        <f t="shared" si="29"/>
        <v>0</v>
      </c>
    </row>
    <row r="71" spans="1:15">
      <c r="A71" s="20" t="s">
        <v>41</v>
      </c>
      <c r="B71" s="14">
        <f t="shared" ref="B71:N71" si="38">B32</f>
        <v>0</v>
      </c>
      <c r="C71" s="81">
        <f t="shared" si="38"/>
        <v>0</v>
      </c>
      <c r="D71" s="82">
        <f t="shared" si="38"/>
        <v>0</v>
      </c>
      <c r="E71" s="14">
        <f t="shared" si="38"/>
        <v>0</v>
      </c>
      <c r="F71" s="81">
        <f t="shared" si="38"/>
        <v>0</v>
      </c>
      <c r="G71" s="85">
        <f t="shared" si="38"/>
        <v>0</v>
      </c>
      <c r="H71" s="19">
        <f t="shared" si="38"/>
        <v>0</v>
      </c>
      <c r="I71" s="15">
        <f t="shared" si="38"/>
        <v>0</v>
      </c>
      <c r="J71" s="17">
        <f t="shared" si="38"/>
        <v>0</v>
      </c>
      <c r="K71" s="19">
        <f t="shared" si="38"/>
        <v>0</v>
      </c>
      <c r="L71" s="15">
        <f t="shared" si="10"/>
        <v>0</v>
      </c>
      <c r="M71" s="15">
        <f t="shared" si="38"/>
        <v>0</v>
      </c>
      <c r="N71" s="15">
        <f t="shared" si="38"/>
        <v>0</v>
      </c>
      <c r="O71" s="17">
        <f t="shared" si="29"/>
        <v>0</v>
      </c>
    </row>
    <row r="72" spans="1:15">
      <c r="A72" s="13" t="s">
        <v>42</v>
      </c>
      <c r="B72" s="14">
        <f t="shared" ref="B72:N72" si="39">B33</f>
        <v>0</v>
      </c>
      <c r="C72" s="81">
        <f t="shared" si="39"/>
        <v>0</v>
      </c>
      <c r="D72" s="82">
        <f t="shared" si="39"/>
        <v>0</v>
      </c>
      <c r="E72" s="14">
        <f t="shared" si="39"/>
        <v>0</v>
      </c>
      <c r="F72" s="81">
        <f t="shared" si="39"/>
        <v>0</v>
      </c>
      <c r="G72" s="85">
        <f t="shared" si="39"/>
        <v>0</v>
      </c>
      <c r="H72" s="19">
        <f t="shared" si="39"/>
        <v>0</v>
      </c>
      <c r="I72" s="15">
        <f t="shared" si="39"/>
        <v>0</v>
      </c>
      <c r="J72" s="17">
        <f t="shared" si="39"/>
        <v>0</v>
      </c>
      <c r="K72" s="19">
        <f t="shared" si="39"/>
        <v>0</v>
      </c>
      <c r="L72" s="15">
        <f t="shared" si="10"/>
        <v>0</v>
      </c>
      <c r="M72" s="15">
        <f t="shared" si="39"/>
        <v>0</v>
      </c>
      <c r="N72" s="15">
        <f t="shared" si="39"/>
        <v>0</v>
      </c>
      <c r="O72" s="17">
        <f t="shared" si="29"/>
        <v>0</v>
      </c>
    </row>
    <row r="73" spans="1:15">
      <c r="A73" s="20" t="s">
        <v>43</v>
      </c>
      <c r="B73" s="14">
        <f t="shared" ref="B73:N73" si="40">B34</f>
        <v>0</v>
      </c>
      <c r="C73" s="81">
        <f t="shared" si="40"/>
        <v>0</v>
      </c>
      <c r="D73" s="82">
        <f t="shared" si="40"/>
        <v>0</v>
      </c>
      <c r="E73" s="14">
        <f t="shared" si="40"/>
        <v>0</v>
      </c>
      <c r="F73" s="81">
        <f t="shared" si="40"/>
        <v>0</v>
      </c>
      <c r="G73" s="85">
        <f t="shared" si="40"/>
        <v>0</v>
      </c>
      <c r="H73" s="19">
        <f t="shared" si="40"/>
        <v>0</v>
      </c>
      <c r="I73" s="15">
        <f t="shared" si="40"/>
        <v>0</v>
      </c>
      <c r="J73" s="17">
        <f t="shared" si="40"/>
        <v>0</v>
      </c>
      <c r="K73" s="19">
        <f t="shared" si="40"/>
        <v>0</v>
      </c>
      <c r="L73" s="15">
        <f t="shared" si="10"/>
        <v>0</v>
      </c>
      <c r="M73" s="15">
        <f t="shared" si="40"/>
        <v>0</v>
      </c>
      <c r="N73" s="15">
        <f t="shared" si="40"/>
        <v>0</v>
      </c>
      <c r="O73" s="17">
        <f t="shared" si="29"/>
        <v>0</v>
      </c>
    </row>
    <row r="74" spans="1:15">
      <c r="A74" s="13" t="s">
        <v>44</v>
      </c>
      <c r="B74" s="14">
        <f t="shared" ref="B74:N74" si="41">B35</f>
        <v>0</v>
      </c>
      <c r="C74" s="81">
        <f t="shared" si="41"/>
        <v>0</v>
      </c>
      <c r="D74" s="82">
        <f t="shared" si="41"/>
        <v>0</v>
      </c>
      <c r="E74" s="14">
        <f t="shared" si="41"/>
        <v>0</v>
      </c>
      <c r="F74" s="81">
        <f t="shared" si="41"/>
        <v>0</v>
      </c>
      <c r="G74" s="85">
        <f t="shared" si="41"/>
        <v>0</v>
      </c>
      <c r="H74" s="19">
        <f t="shared" si="41"/>
        <v>0</v>
      </c>
      <c r="I74" s="15">
        <f t="shared" si="41"/>
        <v>0</v>
      </c>
      <c r="J74" s="17">
        <f t="shared" si="41"/>
        <v>0</v>
      </c>
      <c r="K74" s="19">
        <f t="shared" si="41"/>
        <v>0</v>
      </c>
      <c r="L74" s="15">
        <f t="shared" si="10"/>
        <v>0</v>
      </c>
      <c r="M74" s="15">
        <f t="shared" si="41"/>
        <v>0</v>
      </c>
      <c r="N74" s="15">
        <f t="shared" si="41"/>
        <v>0</v>
      </c>
      <c r="O74" s="17">
        <f t="shared" si="29"/>
        <v>0</v>
      </c>
    </row>
    <row r="75" spans="1:15" ht="15.75" thickBot="1">
      <c r="A75" s="20" t="s">
        <v>45</v>
      </c>
      <c r="B75" s="21">
        <f t="shared" ref="B75:N75" si="42">B36</f>
        <v>0</v>
      </c>
      <c r="C75" s="83">
        <f t="shared" si="42"/>
        <v>0</v>
      </c>
      <c r="D75" s="84">
        <f t="shared" si="42"/>
        <v>0</v>
      </c>
      <c r="E75" s="21">
        <f t="shared" si="42"/>
        <v>0</v>
      </c>
      <c r="F75" s="83">
        <f t="shared" si="42"/>
        <v>0</v>
      </c>
      <c r="G75" s="86">
        <f t="shared" si="42"/>
        <v>0</v>
      </c>
      <c r="H75" s="26">
        <f t="shared" si="42"/>
        <v>0</v>
      </c>
      <c r="I75" s="22">
        <f t="shared" si="42"/>
        <v>0</v>
      </c>
      <c r="J75" s="24">
        <f t="shared" si="42"/>
        <v>0</v>
      </c>
      <c r="K75" s="26">
        <f t="shared" si="42"/>
        <v>0</v>
      </c>
      <c r="L75" s="22">
        <f t="shared" si="10"/>
        <v>0</v>
      </c>
      <c r="M75" s="22">
        <f t="shared" si="42"/>
        <v>0</v>
      </c>
      <c r="N75" s="22">
        <f t="shared" si="42"/>
        <v>0</v>
      </c>
      <c r="O75" s="24">
        <f t="shared" si="29"/>
        <v>0</v>
      </c>
    </row>
    <row r="76" spans="1:15" ht="16.5" thickBot="1">
      <c r="A76" s="5" t="s">
        <v>46</v>
      </c>
      <c r="B76" s="27">
        <f t="shared" ref="B76:N76" si="43">SUM(B44:B75)</f>
        <v>2735100</v>
      </c>
      <c r="C76" s="28">
        <f t="shared" si="43"/>
        <v>355563</v>
      </c>
      <c r="D76" s="29">
        <f t="shared" si="43"/>
        <v>2312000</v>
      </c>
      <c r="E76" s="30">
        <f t="shared" si="43"/>
        <v>582800</v>
      </c>
      <c r="F76" s="28">
        <f t="shared" si="43"/>
        <v>75764</v>
      </c>
      <c r="G76" s="31">
        <f t="shared" si="43"/>
        <v>468000</v>
      </c>
      <c r="H76" s="27">
        <f t="shared" si="43"/>
        <v>158450</v>
      </c>
      <c r="I76" s="28">
        <f t="shared" si="43"/>
        <v>20598.5</v>
      </c>
      <c r="J76" s="29">
        <f t="shared" si="43"/>
        <v>180000</v>
      </c>
      <c r="K76" s="60">
        <f t="shared" si="43"/>
        <v>3476350</v>
      </c>
      <c r="L76" s="32">
        <f t="shared" si="43"/>
        <v>210000</v>
      </c>
      <c r="M76" s="32">
        <f t="shared" si="43"/>
        <v>2960000</v>
      </c>
      <c r="N76" s="32">
        <f t="shared" si="43"/>
        <v>0</v>
      </c>
      <c r="O76" s="33">
        <f>SUM(O44:O75)</f>
        <v>306350</v>
      </c>
    </row>
  </sheetData>
  <mergeCells count="3">
    <mergeCell ref="B2:D2"/>
    <mergeCell ref="H1:O1"/>
    <mergeCell ref="B41:D4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76"/>
  <sheetViews>
    <sheetView showGridLines="0" zoomScale="80" zoomScaleNormal="80" workbookViewId="0">
      <selection activeCell="B5" sqref="B5"/>
    </sheetView>
  </sheetViews>
  <sheetFormatPr baseColWidth="10" defaultColWidth="11.42578125" defaultRowHeight="15"/>
  <cols>
    <col min="1" max="1" width="10.140625" style="1" customWidth="1"/>
    <col min="2" max="3" width="11.42578125" style="1"/>
    <col min="4" max="4" width="11.28515625" style="1" bestFit="1" customWidth="1"/>
    <col min="5" max="5" width="10.5703125" style="1" bestFit="1" customWidth="1"/>
    <col min="6" max="6" width="11.140625" style="1" bestFit="1" customWidth="1"/>
    <col min="7" max="7" width="10.42578125" style="1" bestFit="1" customWidth="1"/>
    <col min="8" max="8" width="11.5703125" style="1" bestFit="1" customWidth="1"/>
    <col min="9" max="14" width="11.42578125" style="1"/>
    <col min="15" max="15" width="11.140625" style="1" bestFit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54</v>
      </c>
      <c r="C2" s="137"/>
      <c r="D2" s="137"/>
      <c r="I2" s="3" t="s">
        <v>2</v>
      </c>
      <c r="J2" s="4">
        <v>0.13</v>
      </c>
      <c r="K2" s="3" t="s">
        <v>3</v>
      </c>
      <c r="L2" s="4">
        <v>0.18</v>
      </c>
      <c r="M2" s="3" t="s">
        <v>4</v>
      </c>
      <c r="N2" s="4">
        <v>0.12</v>
      </c>
    </row>
    <row r="4" spans="1:15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9" t="s">
        <v>12</v>
      </c>
      <c r="I4" s="7" t="s">
        <v>13</v>
      </c>
      <c r="J4" s="10" t="s">
        <v>14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20" si="0">+K5-L5-M5+N5</f>
        <v>0</v>
      </c>
    </row>
    <row r="6" spans="1:15">
      <c r="A6" s="20" t="s">
        <v>49</v>
      </c>
      <c r="B6" s="14">
        <f>[1]Vendedor2!$J$4</f>
        <v>161100</v>
      </c>
      <c r="C6" s="81">
        <f>[1]Vendedor2!$K$4</f>
        <v>20943</v>
      </c>
      <c r="D6" s="82">
        <f>[1]Vendedor2!$L$4</f>
        <v>399500</v>
      </c>
      <c r="E6" s="14">
        <f>[1]Vendedor2!$J$5</f>
        <v>14600</v>
      </c>
      <c r="F6" s="81">
        <f>[1]Vendedor2!$K$5</f>
        <v>1898</v>
      </c>
      <c r="G6" s="85">
        <f>[1]Vendedor2!$L$5</f>
        <v>0</v>
      </c>
      <c r="H6" s="19">
        <f>[1]Vendedor2!$J$6</f>
        <v>6000</v>
      </c>
      <c r="I6" s="15">
        <f>[1]Vendedor2!$K$6</f>
        <v>780</v>
      </c>
      <c r="J6" s="17">
        <f>[1]Vendedor2!$L$6</f>
        <v>0</v>
      </c>
      <c r="K6" s="19">
        <f t="shared" ref="K6:K20" si="1">+B6+E6+H6</f>
        <v>181700</v>
      </c>
      <c r="L6" s="15">
        <f t="shared" ref="L6:L20" si="2">MROUND(C6+F6+I6,50)</f>
        <v>23600</v>
      </c>
      <c r="M6" s="15">
        <f t="shared" ref="M6:M20" si="3">+D6+G6+J6</f>
        <v>399500</v>
      </c>
      <c r="N6" s="15">
        <v>0</v>
      </c>
      <c r="O6" s="17">
        <f t="shared" si="0"/>
        <v>-241400</v>
      </c>
    </row>
    <row r="7" spans="1:15">
      <c r="A7" s="20" t="s">
        <v>50</v>
      </c>
      <c r="B7" s="14">
        <f>[2]Vendedor2!$J$4</f>
        <v>281000</v>
      </c>
      <c r="C7" s="81">
        <f>[2]Vendedor2!$K$4</f>
        <v>36530</v>
      </c>
      <c r="D7" s="82">
        <f>[2]Vendedor2!$L$4</f>
        <v>476000</v>
      </c>
      <c r="E7" s="14">
        <f>[2]Vendedor2!$J$5</f>
        <v>40800</v>
      </c>
      <c r="F7" s="81">
        <f>[2]Vendedor2!$K$5</f>
        <v>5304</v>
      </c>
      <c r="G7" s="85">
        <f>[2]Vendedor2!$L$5</f>
        <v>280000</v>
      </c>
      <c r="H7" s="19">
        <f>[2]Vendedor2!$J$6</f>
        <v>18900</v>
      </c>
      <c r="I7" s="15">
        <f>[2]Vendedor2!$K$6</f>
        <v>2457</v>
      </c>
      <c r="J7" s="17">
        <f>[2]Vendedor2!$L$6</f>
        <v>0</v>
      </c>
      <c r="K7" s="19">
        <f t="shared" si="1"/>
        <v>340700</v>
      </c>
      <c r="L7" s="15">
        <f t="shared" si="2"/>
        <v>44300</v>
      </c>
      <c r="M7" s="15">
        <f t="shared" si="3"/>
        <v>756000</v>
      </c>
      <c r="N7" s="15">
        <v>0</v>
      </c>
      <c r="O7" s="17">
        <f t="shared" si="0"/>
        <v>-459600</v>
      </c>
    </row>
    <row r="8" spans="1:15">
      <c r="A8" s="20" t="s">
        <v>51</v>
      </c>
      <c r="B8" s="14">
        <f>[3]Vendedor2!$J$4</f>
        <v>181050</v>
      </c>
      <c r="C8" s="81">
        <f>[3]Vendedor2!$K$4</f>
        <v>23536.5</v>
      </c>
      <c r="D8" s="82">
        <f>[3]Vendedor2!$L$4</f>
        <v>259250</v>
      </c>
      <c r="E8" s="14">
        <f>[3]Vendedor2!$J$5</f>
        <v>15900</v>
      </c>
      <c r="F8" s="81">
        <f>[3]Vendedor2!$K$5</f>
        <v>2067</v>
      </c>
      <c r="G8" s="85">
        <f>[3]Vendedor2!$L$5</f>
        <v>8000</v>
      </c>
      <c r="H8" s="19">
        <f>[3]Vendedor2!$J$6</f>
        <v>3400</v>
      </c>
      <c r="I8" s="15">
        <f>[3]Vendedor2!$K$6</f>
        <v>442</v>
      </c>
      <c r="J8" s="17">
        <f>[3]Vendedor2!$L$6</f>
        <v>0</v>
      </c>
      <c r="K8" s="19">
        <f t="shared" si="1"/>
        <v>200350</v>
      </c>
      <c r="L8" s="15">
        <f t="shared" si="2"/>
        <v>26050</v>
      </c>
      <c r="M8" s="15">
        <f t="shared" si="3"/>
        <v>267250</v>
      </c>
      <c r="N8" s="15">
        <v>0</v>
      </c>
      <c r="O8" s="17">
        <f t="shared" si="0"/>
        <v>-92950</v>
      </c>
    </row>
    <row r="9" spans="1:15">
      <c r="A9" s="20" t="s">
        <v>52</v>
      </c>
      <c r="B9" s="14">
        <f>[4]Vendedor2!$J$4</f>
        <v>194350</v>
      </c>
      <c r="C9" s="81">
        <f>[4]Vendedor2!$K$4</f>
        <v>25265.5</v>
      </c>
      <c r="D9" s="82">
        <f>[4]Vendedor2!$L$4</f>
        <v>42500</v>
      </c>
      <c r="E9" s="14">
        <f>[4]Vendedor2!$J$5</f>
        <v>18500</v>
      </c>
      <c r="F9" s="81">
        <f>[4]Vendedor2!$K$5</f>
        <v>2405</v>
      </c>
      <c r="G9" s="85">
        <f>[4]Vendedor2!$L$5</f>
        <v>0</v>
      </c>
      <c r="H9" s="19">
        <f>[4]Vendedor2!$J$6</f>
        <v>1800</v>
      </c>
      <c r="I9" s="15">
        <f>[4]Vendedor2!$K$6</f>
        <v>234</v>
      </c>
      <c r="J9" s="17">
        <f>[4]Vendedor2!$L$6</f>
        <v>0</v>
      </c>
      <c r="K9" s="19">
        <f t="shared" si="1"/>
        <v>214650</v>
      </c>
      <c r="L9" s="15">
        <f t="shared" si="2"/>
        <v>27900</v>
      </c>
      <c r="M9" s="15">
        <f t="shared" si="3"/>
        <v>42500</v>
      </c>
      <c r="N9" s="15">
        <v>0</v>
      </c>
      <c r="O9" s="17">
        <f t="shared" si="0"/>
        <v>144250</v>
      </c>
    </row>
    <row r="10" spans="1:15">
      <c r="A10" s="20" t="s">
        <v>53</v>
      </c>
      <c r="B10" s="14">
        <f>[5]Vendedor2!$J$4</f>
        <v>188200</v>
      </c>
      <c r="C10" s="81">
        <f>[5]Vendedor2!$K$4</f>
        <v>24466</v>
      </c>
      <c r="D10" s="82">
        <f>[5]Vendedor2!$L$4</f>
        <v>38250</v>
      </c>
      <c r="E10" s="14">
        <f>[5]Vendedor2!$J$5</f>
        <v>43350</v>
      </c>
      <c r="F10" s="81">
        <f>[5]Vendedor2!$K$5</f>
        <v>5635.5</v>
      </c>
      <c r="G10" s="85">
        <f>[5]Vendedor2!$L$5</f>
        <v>40000</v>
      </c>
      <c r="H10" s="19">
        <f>[5]Vendedor2!$J$6</f>
        <v>0</v>
      </c>
      <c r="I10" s="15">
        <f>[5]Vendedor2!$K$6</f>
        <v>0</v>
      </c>
      <c r="J10" s="17">
        <f>[5]Vendedor2!$L$6</f>
        <v>0</v>
      </c>
      <c r="K10" s="19">
        <f t="shared" si="1"/>
        <v>231550</v>
      </c>
      <c r="L10" s="15">
        <f t="shared" si="2"/>
        <v>30100</v>
      </c>
      <c r="M10" s="15">
        <f t="shared" si="3"/>
        <v>78250</v>
      </c>
      <c r="N10" s="15">
        <v>0</v>
      </c>
      <c r="O10" s="17">
        <f t="shared" si="0"/>
        <v>123200</v>
      </c>
    </row>
    <row r="11" spans="1:15">
      <c r="A11" s="20" t="s">
        <v>20</v>
      </c>
      <c r="B11" s="14">
        <f>[6]Vendedor2!$J$4</f>
        <v>165150</v>
      </c>
      <c r="C11" s="81">
        <f>[6]Vendedor2!$K$4</f>
        <v>21469.5</v>
      </c>
      <c r="D11" s="82">
        <f>[6]Vendedor2!$L$4</f>
        <v>148750</v>
      </c>
      <c r="E11" s="14">
        <f>[6]Vendedor2!$J$5</f>
        <v>16500</v>
      </c>
      <c r="F11" s="81">
        <f>[6]Vendedor2!$K$5</f>
        <v>2145</v>
      </c>
      <c r="G11" s="85">
        <f>[6]Vendedor2!$L$5</f>
        <v>0</v>
      </c>
      <c r="H11" s="19">
        <f>[6]Vendedor2!$J$6</f>
        <v>3600</v>
      </c>
      <c r="I11" s="15">
        <f>[6]Vendedor2!$K$6</f>
        <v>468</v>
      </c>
      <c r="J11" s="17">
        <f>[6]Vendedor2!$L$6</f>
        <v>0</v>
      </c>
      <c r="K11" s="19">
        <f t="shared" si="1"/>
        <v>185250</v>
      </c>
      <c r="L11" s="15">
        <f t="shared" si="2"/>
        <v>24100</v>
      </c>
      <c r="M11" s="15">
        <f t="shared" si="3"/>
        <v>148750</v>
      </c>
      <c r="N11" s="15">
        <v>0</v>
      </c>
      <c r="O11" s="17">
        <f t="shared" si="0"/>
        <v>12400</v>
      </c>
    </row>
    <row r="12" spans="1:15">
      <c r="A12" s="20" t="s">
        <v>21</v>
      </c>
      <c r="B12" s="14">
        <f>[7]Vendedor2!$J$4</f>
        <v>182500</v>
      </c>
      <c r="C12" s="81">
        <f>[7]Vendedor2!$K$4</f>
        <v>23725</v>
      </c>
      <c r="D12" s="82">
        <f>[7]Vendedor2!$L$4</f>
        <v>102000</v>
      </c>
      <c r="E12" s="14">
        <f>[7]Vendedor2!$J$5</f>
        <v>30200</v>
      </c>
      <c r="F12" s="81">
        <f>[7]Vendedor2!$K$5</f>
        <v>3926</v>
      </c>
      <c r="G12" s="85">
        <f>[7]Vendedor2!$L$5</f>
        <v>24000</v>
      </c>
      <c r="H12" s="19">
        <f>[7]Vendedor2!$J$6</f>
        <v>2350</v>
      </c>
      <c r="I12" s="15">
        <f>[7]Vendedor2!$K$6</f>
        <v>305.5</v>
      </c>
      <c r="J12" s="17">
        <f>[7]Vendedor2!$L$6</f>
        <v>0</v>
      </c>
      <c r="K12" s="19">
        <f t="shared" si="1"/>
        <v>215050</v>
      </c>
      <c r="L12" s="15">
        <f t="shared" si="2"/>
        <v>27950</v>
      </c>
      <c r="M12" s="15">
        <f t="shared" si="3"/>
        <v>126000</v>
      </c>
      <c r="N12" s="15">
        <v>0</v>
      </c>
      <c r="O12" s="17">
        <f t="shared" si="0"/>
        <v>61100</v>
      </c>
    </row>
    <row r="13" spans="1:15">
      <c r="A13" s="20" t="s">
        <v>22</v>
      </c>
      <c r="B13" s="14">
        <f>[8]Vendedor2!$J$4</f>
        <v>74150</v>
      </c>
      <c r="C13" s="81">
        <f>[8]Vendedor2!$K$4</f>
        <v>9639.5</v>
      </c>
      <c r="D13" s="82">
        <f>[8]Vendedor2!$L$4</f>
        <v>0</v>
      </c>
      <c r="E13" s="14">
        <f>[8]Vendedor2!$J$5</f>
        <v>22450</v>
      </c>
      <c r="F13" s="81">
        <f>[8]Vendedor2!$K$5</f>
        <v>2918.5</v>
      </c>
      <c r="G13" s="85">
        <f>[8]Vendedor2!$L$5</f>
        <v>0</v>
      </c>
      <c r="H13" s="19">
        <f>[8]Vendedor2!$J$6</f>
        <v>6300</v>
      </c>
      <c r="I13" s="15">
        <f>[8]Vendedor2!$K$6</f>
        <v>819</v>
      </c>
      <c r="J13" s="17">
        <f>[8]Vendedor2!$L$6</f>
        <v>0</v>
      </c>
      <c r="K13" s="19">
        <f t="shared" si="1"/>
        <v>102900</v>
      </c>
      <c r="L13" s="15">
        <f t="shared" si="2"/>
        <v>13400</v>
      </c>
      <c r="M13" s="15">
        <f t="shared" si="3"/>
        <v>0</v>
      </c>
      <c r="N13" s="15">
        <v>0</v>
      </c>
      <c r="O13" s="17">
        <f t="shared" si="0"/>
        <v>89500</v>
      </c>
    </row>
    <row r="14" spans="1:15">
      <c r="A14" s="20" t="s">
        <v>23</v>
      </c>
      <c r="B14" s="14">
        <f>[9]Vendedor2!$J$4</f>
        <v>115400</v>
      </c>
      <c r="C14" s="81">
        <f>[9]Vendedor2!$K$4</f>
        <v>15002</v>
      </c>
      <c r="D14" s="82">
        <f>[9]Vendedor2!$L$4</f>
        <v>42500</v>
      </c>
      <c r="E14" s="14">
        <f>[9]Vendedor2!$J$5</f>
        <v>37550</v>
      </c>
      <c r="F14" s="81">
        <f>[9]Vendedor2!$K$5</f>
        <v>4881.5</v>
      </c>
      <c r="G14" s="85">
        <f>[9]Vendedor2!$L$5</f>
        <v>40000</v>
      </c>
      <c r="H14" s="19">
        <f>[9]Vendedor2!$J$6</f>
        <v>10700</v>
      </c>
      <c r="I14" s="15">
        <f>[9]Vendedor2!$K$6</f>
        <v>1391</v>
      </c>
      <c r="J14" s="17">
        <f>[9]Vendedor2!$L$6</f>
        <v>80000</v>
      </c>
      <c r="K14" s="19">
        <f t="shared" si="1"/>
        <v>163650</v>
      </c>
      <c r="L14" s="15">
        <f t="shared" si="2"/>
        <v>21250</v>
      </c>
      <c r="M14" s="15">
        <f t="shared" si="3"/>
        <v>162500</v>
      </c>
      <c r="N14" s="15">
        <v>0</v>
      </c>
      <c r="O14" s="17">
        <f t="shared" si="0"/>
        <v>-20100</v>
      </c>
    </row>
    <row r="15" spans="1:15">
      <c r="A15" s="20" t="s">
        <v>24</v>
      </c>
      <c r="B15" s="14">
        <f>[12]Vendedor2!$J$4</f>
        <v>144600</v>
      </c>
      <c r="C15" s="81">
        <f>[12]Vendedor2!$K$4</f>
        <v>18798</v>
      </c>
      <c r="D15" s="82">
        <f>[12]Vendedor2!$L$4</f>
        <v>0</v>
      </c>
      <c r="E15" s="14">
        <f>[12]Vendedor2!$J$5</f>
        <v>38450</v>
      </c>
      <c r="F15" s="81">
        <f>[12]Vendedor2!$K$5</f>
        <v>4998.5</v>
      </c>
      <c r="G15" s="85">
        <f>[12]Vendedor2!$L$5</f>
        <v>0</v>
      </c>
      <c r="H15" s="19">
        <f>[12]Vendedor2!$J$6</f>
        <v>4250</v>
      </c>
      <c r="I15" s="15">
        <f>[12]Vendedor2!$K$6</f>
        <v>552.5</v>
      </c>
      <c r="J15" s="17">
        <f>[12]Vendedor2!$L$6</f>
        <v>0</v>
      </c>
      <c r="K15" s="19">
        <f t="shared" si="1"/>
        <v>187300</v>
      </c>
      <c r="L15" s="15">
        <f t="shared" si="2"/>
        <v>24350</v>
      </c>
      <c r="M15" s="15">
        <f t="shared" si="3"/>
        <v>0</v>
      </c>
      <c r="N15" s="15">
        <v>0</v>
      </c>
      <c r="O15" s="17">
        <f t="shared" si="0"/>
        <v>162950</v>
      </c>
    </row>
    <row r="16" spans="1:15">
      <c r="A16" s="20" t="s">
        <v>25</v>
      </c>
      <c r="B16" s="14">
        <f>[13]Vendedor2!$J$4</f>
        <v>136950</v>
      </c>
      <c r="C16" s="81">
        <f>[13]Vendedor2!$K$4</f>
        <v>17803.5</v>
      </c>
      <c r="D16" s="82">
        <f>[13]Vendedor2!$L$4</f>
        <v>161500</v>
      </c>
      <c r="E16" s="14">
        <f>[13]Vendedor2!$J$5</f>
        <v>14900</v>
      </c>
      <c r="F16" s="81">
        <f>[13]Vendedor2!$K$5</f>
        <v>1937</v>
      </c>
      <c r="G16" s="85">
        <f>[13]Vendedor2!$L$5</f>
        <v>16000</v>
      </c>
      <c r="H16" s="19">
        <f>[13]Vendedor2!$J$6</f>
        <v>2300</v>
      </c>
      <c r="I16" s="15">
        <f>[13]Vendedor2!$K$6</f>
        <v>299</v>
      </c>
      <c r="J16" s="17">
        <f>[13]Vendedor2!$L$6</f>
        <v>0</v>
      </c>
      <c r="K16" s="19">
        <f t="shared" si="1"/>
        <v>154150</v>
      </c>
      <c r="L16" s="15">
        <f t="shared" si="2"/>
        <v>20050</v>
      </c>
      <c r="M16" s="15">
        <f t="shared" si="3"/>
        <v>177500</v>
      </c>
      <c r="N16" s="15">
        <v>0</v>
      </c>
      <c r="O16" s="17">
        <f t="shared" si="0"/>
        <v>-43400</v>
      </c>
    </row>
    <row r="17" spans="1:15">
      <c r="A17" s="20" t="s">
        <v>26</v>
      </c>
      <c r="B17" s="14">
        <f>[14]Vendedor2!$J$4</f>
        <v>163750</v>
      </c>
      <c r="C17" s="81">
        <f>[14]Vendedor2!$K$4</f>
        <v>21287.5</v>
      </c>
      <c r="D17" s="82">
        <f>[14]Vendedor2!$L$4</f>
        <v>272000</v>
      </c>
      <c r="E17" s="14">
        <f>[14]Vendedor2!$J$5</f>
        <v>20550</v>
      </c>
      <c r="F17" s="81">
        <f>[14]Vendedor2!$K$5</f>
        <v>2671.5</v>
      </c>
      <c r="G17" s="85">
        <f>[14]Vendedor2!$L$5</f>
        <v>0</v>
      </c>
      <c r="H17" s="19">
        <f>[14]Vendedor2!$J$6</f>
        <v>900</v>
      </c>
      <c r="I17" s="15">
        <f>[14]Vendedor2!$K$6</f>
        <v>117</v>
      </c>
      <c r="J17" s="17">
        <f>[14]Vendedor2!$L$6</f>
        <v>0</v>
      </c>
      <c r="K17" s="19">
        <f t="shared" si="1"/>
        <v>185200</v>
      </c>
      <c r="L17" s="15">
        <f t="shared" si="2"/>
        <v>24100</v>
      </c>
      <c r="M17" s="15">
        <f t="shared" si="3"/>
        <v>272000</v>
      </c>
      <c r="N17" s="15">
        <v>0</v>
      </c>
      <c r="O17" s="17">
        <f t="shared" si="0"/>
        <v>-110900</v>
      </c>
    </row>
    <row r="18" spans="1:15">
      <c r="A18" s="20" t="s">
        <v>27</v>
      </c>
      <c r="B18" s="14">
        <f>[15]Vendedor2!$J$4</f>
        <v>186300</v>
      </c>
      <c r="C18" s="81">
        <f>[15]Vendedor2!$K$4</f>
        <v>24219</v>
      </c>
      <c r="D18" s="82">
        <f>[15]Vendedor2!$L$4</f>
        <v>0</v>
      </c>
      <c r="E18" s="14">
        <f>[15]Vendedor2!$J$5</f>
        <v>9900</v>
      </c>
      <c r="F18" s="81">
        <f>[15]Vendedor2!$K$5</f>
        <v>1287</v>
      </c>
      <c r="G18" s="85">
        <f>[15]Vendedor2!$L$5</f>
        <v>16000</v>
      </c>
      <c r="H18" s="19">
        <f>[15]Vendedor2!$J$6</f>
        <v>9400</v>
      </c>
      <c r="I18" s="15">
        <f>[15]Vendedor2!$K$6</f>
        <v>1222</v>
      </c>
      <c r="J18" s="17">
        <f>[15]Vendedor2!$L$6</f>
        <v>40000</v>
      </c>
      <c r="K18" s="19">
        <f t="shared" si="1"/>
        <v>205600</v>
      </c>
      <c r="L18" s="15">
        <f t="shared" si="2"/>
        <v>26750</v>
      </c>
      <c r="M18" s="15">
        <f t="shared" si="3"/>
        <v>56000</v>
      </c>
      <c r="N18" s="15">
        <v>0</v>
      </c>
      <c r="O18" s="17">
        <f t="shared" si="0"/>
        <v>122850</v>
      </c>
    </row>
    <row r="19" spans="1:15">
      <c r="A19" s="20" t="s">
        <v>28</v>
      </c>
      <c r="B19" s="14">
        <f>[16]Vendedor2!$J$4</f>
        <v>85500</v>
      </c>
      <c r="C19" s="81">
        <f>[16]Vendedor2!$K$4</f>
        <v>11115</v>
      </c>
      <c r="D19" s="82">
        <f>[16]Vendedor2!$L$4</f>
        <v>55250</v>
      </c>
      <c r="E19" s="14">
        <f>[16]Vendedor2!$J$5</f>
        <v>25650</v>
      </c>
      <c r="F19" s="81">
        <f>[16]Vendedor2!$K$5</f>
        <v>3334.5</v>
      </c>
      <c r="G19" s="85">
        <f>[16]Vendedor2!$L$5</f>
        <v>80000</v>
      </c>
      <c r="H19" s="19">
        <f>[16]Vendedor2!$J$6</f>
        <v>11400</v>
      </c>
      <c r="I19" s="15">
        <f>[16]Vendedor2!$K$6</f>
        <v>1482</v>
      </c>
      <c r="J19" s="17">
        <f>[16]Vendedor2!$L$6</f>
        <v>0</v>
      </c>
      <c r="K19" s="19">
        <f t="shared" si="1"/>
        <v>122550</v>
      </c>
      <c r="L19" s="15">
        <f t="shared" si="2"/>
        <v>15950</v>
      </c>
      <c r="M19" s="15">
        <f t="shared" si="3"/>
        <v>135250</v>
      </c>
      <c r="N19" s="15">
        <v>0</v>
      </c>
      <c r="O19" s="17">
        <f t="shared" si="0"/>
        <v>-28650</v>
      </c>
    </row>
    <row r="20" spans="1:15">
      <c r="A20" s="20" t="s">
        <v>29</v>
      </c>
      <c r="B20" s="14">
        <f>[17]Vendedor2!$J$4</f>
        <v>0</v>
      </c>
      <c r="C20" s="81">
        <f>[17]Vendedor2!$K$4</f>
        <v>0</v>
      </c>
      <c r="D20" s="82">
        <f>[17]Vendedor2!$L$4</f>
        <v>0</v>
      </c>
      <c r="E20" s="14">
        <f>[17]Vendedor2!$J$5</f>
        <v>0</v>
      </c>
      <c r="F20" s="81">
        <f>[17]Vendedor2!$K$5</f>
        <v>0</v>
      </c>
      <c r="G20" s="85">
        <f>[17]Vendedor2!$L$5</f>
        <v>0</v>
      </c>
      <c r="H20" s="19">
        <f>[17]Vendedor2!$J$6</f>
        <v>0</v>
      </c>
      <c r="I20" s="15">
        <f>[17]Vendedor2!$K$6</f>
        <v>0</v>
      </c>
      <c r="J20" s="17">
        <f>[17]Vendedor2!$L$6</f>
        <v>0</v>
      </c>
      <c r="K20" s="19">
        <f t="shared" si="1"/>
        <v>0</v>
      </c>
      <c r="L20" s="15">
        <f t="shared" si="2"/>
        <v>0</v>
      </c>
      <c r="M20" s="15">
        <f t="shared" si="3"/>
        <v>0</v>
      </c>
      <c r="N20" s="15">
        <v>0</v>
      </c>
      <c r="O20" s="17">
        <f t="shared" si="0"/>
        <v>0</v>
      </c>
    </row>
    <row r="21" spans="1:15">
      <c r="A21" s="20" t="s">
        <v>30</v>
      </c>
      <c r="B21" s="14">
        <f>[18]Vendedor2!$J$4</f>
        <v>0</v>
      </c>
      <c r="C21" s="81">
        <f>[18]Vendedor2!$K$4</f>
        <v>0</v>
      </c>
      <c r="D21" s="82">
        <f>[18]Vendedor2!$L$4</f>
        <v>0</v>
      </c>
      <c r="E21" s="14">
        <f>[18]Vendedor2!$J$5</f>
        <v>0</v>
      </c>
      <c r="F21" s="81">
        <f>[18]Vendedor2!$K$5</f>
        <v>0</v>
      </c>
      <c r="G21" s="85">
        <f>[18]Vendedor2!$L$5</f>
        <v>0</v>
      </c>
      <c r="H21" s="19">
        <f>[18]Vendedor2!$J$6</f>
        <v>0</v>
      </c>
      <c r="I21" s="15">
        <f>[18]Vendedor2!$K$6</f>
        <v>0</v>
      </c>
      <c r="J21" s="17">
        <f>[18]Vendedor2!$L$6</f>
        <v>0</v>
      </c>
      <c r="K21" s="19">
        <f t="shared" ref="K21:K36" si="4">+B21+E21+H21</f>
        <v>0</v>
      </c>
      <c r="L21" s="15">
        <f t="shared" ref="L21:L36" si="5">MROUND(C21+F21+I21,50)</f>
        <v>0</v>
      </c>
      <c r="M21" s="15">
        <f t="shared" ref="M21:M36" si="6">+D21+G21+J21</f>
        <v>0</v>
      </c>
      <c r="N21" s="15">
        <v>0</v>
      </c>
      <c r="O21" s="17">
        <f t="shared" ref="O21:O36" si="7">+K21-L21-M21+N21</f>
        <v>0</v>
      </c>
    </row>
    <row r="22" spans="1:15">
      <c r="A22" s="13" t="s">
        <v>31</v>
      </c>
      <c r="B22" s="14">
        <f>[19]Vendedor2!$J$4</f>
        <v>0</v>
      </c>
      <c r="C22" s="81">
        <f>[19]Vendedor2!$K$4</f>
        <v>0</v>
      </c>
      <c r="D22" s="82">
        <f>[19]Vendedor2!$L$4</f>
        <v>0</v>
      </c>
      <c r="E22" s="14">
        <f>[19]Vendedor2!$J$5</f>
        <v>0</v>
      </c>
      <c r="F22" s="81">
        <f>[19]Vendedor2!$K$5</f>
        <v>0</v>
      </c>
      <c r="G22" s="85">
        <f>[19]Vendedor2!$L$5</f>
        <v>0</v>
      </c>
      <c r="H22" s="19">
        <f>[19]Vendedor2!$J$6</f>
        <v>0</v>
      </c>
      <c r="I22" s="15">
        <f>[19]Vendedor2!$K$6</f>
        <v>0</v>
      </c>
      <c r="J22" s="17">
        <f>[19]Vendedor2!$L$6</f>
        <v>0</v>
      </c>
      <c r="K22" s="19">
        <f t="shared" si="4"/>
        <v>0</v>
      </c>
      <c r="L22" s="15">
        <f t="shared" si="5"/>
        <v>0</v>
      </c>
      <c r="M22" s="15">
        <f t="shared" si="6"/>
        <v>0</v>
      </c>
      <c r="N22" s="15">
        <v>0</v>
      </c>
      <c r="O22" s="17">
        <f t="shared" si="7"/>
        <v>0</v>
      </c>
    </row>
    <row r="23" spans="1:15">
      <c r="A23" s="20" t="s">
        <v>32</v>
      </c>
      <c r="B23" s="14">
        <f>[20]Vendedor2!$J$4</f>
        <v>0</v>
      </c>
      <c r="C23" s="81">
        <f>[20]Vendedor2!$K$4</f>
        <v>0</v>
      </c>
      <c r="D23" s="82">
        <f>[20]Vendedor2!$L$4</f>
        <v>0</v>
      </c>
      <c r="E23" s="14">
        <f>[20]Vendedor2!$J$5</f>
        <v>0</v>
      </c>
      <c r="F23" s="81">
        <f>[20]Vendedor2!$K$5</f>
        <v>0</v>
      </c>
      <c r="G23" s="85">
        <f>[20]Vendedor2!$L$5</f>
        <v>0</v>
      </c>
      <c r="H23" s="19">
        <f>[20]Vendedor2!$J$6</f>
        <v>0</v>
      </c>
      <c r="I23" s="15">
        <f>[20]Vendedor2!$K$6</f>
        <v>0</v>
      </c>
      <c r="J23" s="17">
        <f>[20]Vendedor2!$L$6</f>
        <v>0</v>
      </c>
      <c r="K23" s="19">
        <f t="shared" si="4"/>
        <v>0</v>
      </c>
      <c r="L23" s="15">
        <f t="shared" si="5"/>
        <v>0</v>
      </c>
      <c r="M23" s="15">
        <f t="shared" si="6"/>
        <v>0</v>
      </c>
      <c r="N23" s="15">
        <v>0</v>
      </c>
      <c r="O23" s="17">
        <f t="shared" si="7"/>
        <v>0</v>
      </c>
    </row>
    <row r="24" spans="1:15">
      <c r="A24" s="13" t="s">
        <v>33</v>
      </c>
      <c r="B24" s="14">
        <f>[21]Vendedor2!$J$4</f>
        <v>0</v>
      </c>
      <c r="C24" s="81">
        <f>[21]Vendedor2!$K$4</f>
        <v>0</v>
      </c>
      <c r="D24" s="82">
        <f>[21]Vendedor2!$L$4</f>
        <v>0</v>
      </c>
      <c r="E24" s="14">
        <f>[21]Vendedor2!$J$5</f>
        <v>0</v>
      </c>
      <c r="F24" s="81">
        <f>[21]Vendedor2!$K$5</f>
        <v>0</v>
      </c>
      <c r="G24" s="85">
        <f>[21]Vendedor2!$L$5</f>
        <v>0</v>
      </c>
      <c r="H24" s="19">
        <f>[21]Vendedor2!$J$6</f>
        <v>0</v>
      </c>
      <c r="I24" s="15">
        <f>[21]Vendedor2!$K$6</f>
        <v>0</v>
      </c>
      <c r="J24" s="17">
        <f>[21]Vendedor2!$L$6</f>
        <v>0</v>
      </c>
      <c r="K24" s="19">
        <f t="shared" si="4"/>
        <v>0</v>
      </c>
      <c r="L24" s="15">
        <f t="shared" si="5"/>
        <v>0</v>
      </c>
      <c r="M24" s="15">
        <f t="shared" si="6"/>
        <v>0</v>
      </c>
      <c r="N24" s="15">
        <v>0</v>
      </c>
      <c r="O24" s="17">
        <f t="shared" si="7"/>
        <v>0</v>
      </c>
    </row>
    <row r="25" spans="1:15">
      <c r="A25" s="20" t="s">
        <v>34</v>
      </c>
      <c r="B25" s="14">
        <f>[22]Vendedor2!$J$4</f>
        <v>0</v>
      </c>
      <c r="C25" s="81">
        <f>[22]Vendedor2!$K$4</f>
        <v>0</v>
      </c>
      <c r="D25" s="82">
        <f>[22]Vendedor2!$L$4</f>
        <v>0</v>
      </c>
      <c r="E25" s="14">
        <f>[22]Vendedor2!$J$5</f>
        <v>0</v>
      </c>
      <c r="F25" s="81">
        <f>[22]Vendedor2!$K$5</f>
        <v>0</v>
      </c>
      <c r="G25" s="85">
        <f>[22]Vendedor2!$L$5</f>
        <v>0</v>
      </c>
      <c r="H25" s="19">
        <f>[22]Vendedor2!$J$6</f>
        <v>0</v>
      </c>
      <c r="I25" s="15">
        <f>[22]Vendedor2!$K$6</f>
        <v>0</v>
      </c>
      <c r="J25" s="17">
        <f>[22]Vendedor2!$L$6</f>
        <v>0</v>
      </c>
      <c r="K25" s="19">
        <f t="shared" si="4"/>
        <v>0</v>
      </c>
      <c r="L25" s="15">
        <f t="shared" si="5"/>
        <v>0</v>
      </c>
      <c r="M25" s="15">
        <f t="shared" si="6"/>
        <v>0</v>
      </c>
      <c r="N25" s="15">
        <v>0</v>
      </c>
      <c r="O25" s="17">
        <f t="shared" si="7"/>
        <v>0</v>
      </c>
    </row>
    <row r="26" spans="1:15">
      <c r="A26" s="13" t="s">
        <v>35</v>
      </c>
      <c r="B26" s="14">
        <f>[23]Vendedor2!$J$4</f>
        <v>0</v>
      </c>
      <c r="C26" s="81">
        <f>[23]Vendedor2!$K$4</f>
        <v>0</v>
      </c>
      <c r="D26" s="82">
        <f>[23]Vendedor2!$L$4</f>
        <v>0</v>
      </c>
      <c r="E26" s="14">
        <f>[23]Vendedor2!$J$5</f>
        <v>0</v>
      </c>
      <c r="F26" s="81">
        <f>[23]Vendedor2!$K$5</f>
        <v>0</v>
      </c>
      <c r="G26" s="85">
        <f>[23]Vendedor2!$L$5</f>
        <v>0</v>
      </c>
      <c r="H26" s="19">
        <f>[23]Vendedor2!$J$6</f>
        <v>0</v>
      </c>
      <c r="I26" s="15">
        <f>[23]Vendedor2!$K$6</f>
        <v>0</v>
      </c>
      <c r="J26" s="17">
        <f>[23]Vendedor2!$L$6</f>
        <v>0</v>
      </c>
      <c r="K26" s="19">
        <f t="shared" si="4"/>
        <v>0</v>
      </c>
      <c r="L26" s="15">
        <f t="shared" si="5"/>
        <v>0</v>
      </c>
      <c r="M26" s="15">
        <f t="shared" si="6"/>
        <v>0</v>
      </c>
      <c r="N26" s="15">
        <v>0</v>
      </c>
      <c r="O26" s="17">
        <f t="shared" si="7"/>
        <v>0</v>
      </c>
    </row>
    <row r="27" spans="1:15">
      <c r="A27" s="20" t="s">
        <v>36</v>
      </c>
      <c r="B27" s="14">
        <f>[24]Vendedor2!$J$4</f>
        <v>0</v>
      </c>
      <c r="C27" s="81">
        <f>[24]Vendedor2!$K$4</f>
        <v>0</v>
      </c>
      <c r="D27" s="82">
        <f>[24]Vendedor2!$L$4</f>
        <v>0</v>
      </c>
      <c r="E27" s="14">
        <f>[24]Vendedor2!$J$5</f>
        <v>0</v>
      </c>
      <c r="F27" s="81">
        <f>[24]Vendedor2!$K$5</f>
        <v>0</v>
      </c>
      <c r="G27" s="85">
        <f>[24]Vendedor2!$L$5</f>
        <v>0</v>
      </c>
      <c r="H27" s="19">
        <f>[24]Vendedor2!$J$6</f>
        <v>0</v>
      </c>
      <c r="I27" s="15">
        <f>[24]Vendedor2!$K$6</f>
        <v>0</v>
      </c>
      <c r="J27" s="17">
        <f>[24]Vendedor2!$L$6</f>
        <v>0</v>
      </c>
      <c r="K27" s="19">
        <f t="shared" si="4"/>
        <v>0</v>
      </c>
      <c r="L27" s="15">
        <f t="shared" si="5"/>
        <v>0</v>
      </c>
      <c r="M27" s="15">
        <f t="shared" si="6"/>
        <v>0</v>
      </c>
      <c r="N27" s="15">
        <v>0</v>
      </c>
      <c r="O27" s="17">
        <f t="shared" si="7"/>
        <v>0</v>
      </c>
    </row>
    <row r="28" spans="1:15">
      <c r="A28" s="13" t="s">
        <v>37</v>
      </c>
      <c r="B28" s="14">
        <f>[25]Vendedor2!$J$4</f>
        <v>0</v>
      </c>
      <c r="C28" s="81">
        <f>[25]Vendedor2!$K$4</f>
        <v>0</v>
      </c>
      <c r="D28" s="82">
        <f>[25]Vendedor2!$L$4</f>
        <v>0</v>
      </c>
      <c r="E28" s="14">
        <f>[25]Vendedor2!$J$5</f>
        <v>0</v>
      </c>
      <c r="F28" s="81">
        <f>[25]Vendedor2!$K$5</f>
        <v>0</v>
      </c>
      <c r="G28" s="85">
        <f>[25]Vendedor2!$L$5</f>
        <v>0</v>
      </c>
      <c r="H28" s="19">
        <f>[25]Vendedor2!$J$6</f>
        <v>0</v>
      </c>
      <c r="I28" s="15">
        <f>[25]Vendedor2!$K$6</f>
        <v>0</v>
      </c>
      <c r="J28" s="17">
        <f>[25]Vendedor2!$L$6</f>
        <v>0</v>
      </c>
      <c r="K28" s="19">
        <f t="shared" si="4"/>
        <v>0</v>
      </c>
      <c r="L28" s="15">
        <f t="shared" si="5"/>
        <v>0</v>
      </c>
      <c r="M28" s="15">
        <f t="shared" si="6"/>
        <v>0</v>
      </c>
      <c r="N28" s="15">
        <v>0</v>
      </c>
      <c r="O28" s="17">
        <f t="shared" si="7"/>
        <v>0</v>
      </c>
    </row>
    <row r="29" spans="1:15">
      <c r="A29" s="20" t="s">
        <v>38</v>
      </c>
      <c r="B29" s="14">
        <f>[26]Vendedor2!$J$4</f>
        <v>0</v>
      </c>
      <c r="C29" s="81">
        <f>[26]Vendedor2!$K$4</f>
        <v>0</v>
      </c>
      <c r="D29" s="82">
        <f>[26]Vendedor2!$L$4</f>
        <v>0</v>
      </c>
      <c r="E29" s="14">
        <f>[26]Vendedor2!$J$5</f>
        <v>0</v>
      </c>
      <c r="F29" s="81">
        <f>[26]Vendedor2!$K$5</f>
        <v>0</v>
      </c>
      <c r="G29" s="85">
        <f>[26]Vendedor2!$L$5</f>
        <v>0</v>
      </c>
      <c r="H29" s="19">
        <f>[26]Vendedor2!$J$6</f>
        <v>0</v>
      </c>
      <c r="I29" s="15">
        <f>[26]Vendedor2!$K$6</f>
        <v>0</v>
      </c>
      <c r="J29" s="17">
        <f>[26]Vendedor2!$L$6</f>
        <v>0</v>
      </c>
      <c r="K29" s="19">
        <f t="shared" si="4"/>
        <v>0</v>
      </c>
      <c r="L29" s="15">
        <f t="shared" si="5"/>
        <v>0</v>
      </c>
      <c r="M29" s="15">
        <f t="shared" si="6"/>
        <v>0</v>
      </c>
      <c r="N29" s="15">
        <v>0</v>
      </c>
      <c r="O29" s="17">
        <f t="shared" si="7"/>
        <v>0</v>
      </c>
    </row>
    <row r="30" spans="1:15">
      <c r="A30" s="13" t="s">
        <v>39</v>
      </c>
      <c r="B30" s="14">
        <f>[27]Vendedor2!$J$4</f>
        <v>0</v>
      </c>
      <c r="C30" s="81">
        <f>[27]Vendedor2!$K$4</f>
        <v>0</v>
      </c>
      <c r="D30" s="82">
        <f>[27]Vendedor2!$L$4</f>
        <v>0</v>
      </c>
      <c r="E30" s="14">
        <f>[27]Vendedor2!$J$5</f>
        <v>0</v>
      </c>
      <c r="F30" s="81">
        <f>[27]Vendedor2!$K$5</f>
        <v>0</v>
      </c>
      <c r="G30" s="85">
        <f>[27]Vendedor2!$L$5</f>
        <v>0</v>
      </c>
      <c r="H30" s="19">
        <f>[27]Vendedor2!$J$6</f>
        <v>0</v>
      </c>
      <c r="I30" s="15">
        <f>[27]Vendedor2!$K$6</f>
        <v>0</v>
      </c>
      <c r="J30" s="17">
        <f>[27]Vendedor2!$L$6</f>
        <v>0</v>
      </c>
      <c r="K30" s="19">
        <f t="shared" si="4"/>
        <v>0</v>
      </c>
      <c r="L30" s="15">
        <f t="shared" si="5"/>
        <v>0</v>
      </c>
      <c r="M30" s="15">
        <f t="shared" si="6"/>
        <v>0</v>
      </c>
      <c r="N30" s="15">
        <v>0</v>
      </c>
      <c r="O30" s="17">
        <f t="shared" si="7"/>
        <v>0</v>
      </c>
    </row>
    <row r="31" spans="1:15">
      <c r="A31" s="20" t="s">
        <v>40</v>
      </c>
      <c r="B31" s="14">
        <f>[28]Vendedor2!$J$4</f>
        <v>0</v>
      </c>
      <c r="C31" s="81">
        <f>[28]Vendedor2!$K$4</f>
        <v>0</v>
      </c>
      <c r="D31" s="82">
        <f>[28]Vendedor2!$L$4</f>
        <v>0</v>
      </c>
      <c r="E31" s="14">
        <f>[28]Vendedor2!$J$5</f>
        <v>0</v>
      </c>
      <c r="F31" s="81">
        <f>[28]Vendedor2!$K$5</f>
        <v>0</v>
      </c>
      <c r="G31" s="85">
        <f>[28]Vendedor2!$L$5</f>
        <v>0</v>
      </c>
      <c r="H31" s="19">
        <f>[28]Vendedor2!$J$6</f>
        <v>0</v>
      </c>
      <c r="I31" s="15">
        <f>[28]Vendedor2!$K$6</f>
        <v>0</v>
      </c>
      <c r="J31" s="17">
        <f>[28]Vendedor2!$L$6</f>
        <v>0</v>
      </c>
      <c r="K31" s="19">
        <f t="shared" si="4"/>
        <v>0</v>
      </c>
      <c r="L31" s="15">
        <f t="shared" si="5"/>
        <v>0</v>
      </c>
      <c r="M31" s="15">
        <f t="shared" si="6"/>
        <v>0</v>
      </c>
      <c r="N31" s="15">
        <v>0</v>
      </c>
      <c r="O31" s="17">
        <f t="shared" si="7"/>
        <v>0</v>
      </c>
    </row>
    <row r="32" spans="1:15">
      <c r="A32" s="20" t="s">
        <v>41</v>
      </c>
      <c r="B32" s="14">
        <f>[29]Vendedor2!$J$4</f>
        <v>0</v>
      </c>
      <c r="C32" s="81">
        <f>[29]Vendedor2!$K$4</f>
        <v>0</v>
      </c>
      <c r="D32" s="82">
        <f>[29]Vendedor2!$L$4</f>
        <v>0</v>
      </c>
      <c r="E32" s="14">
        <f>[29]Vendedor2!$J$5</f>
        <v>0</v>
      </c>
      <c r="F32" s="81">
        <f>[29]Vendedor2!$K$5</f>
        <v>0</v>
      </c>
      <c r="G32" s="85">
        <f>[29]Vendedor2!$L$5</f>
        <v>0</v>
      </c>
      <c r="H32" s="19">
        <f>[29]Vendedor2!$J$6</f>
        <v>0</v>
      </c>
      <c r="I32" s="15">
        <f>[29]Vendedor2!$K$6</f>
        <v>0</v>
      </c>
      <c r="J32" s="17">
        <f>[29]Vendedor2!$L$6</f>
        <v>0</v>
      </c>
      <c r="K32" s="19">
        <f t="shared" si="4"/>
        <v>0</v>
      </c>
      <c r="L32" s="15">
        <f t="shared" si="5"/>
        <v>0</v>
      </c>
      <c r="M32" s="15">
        <f t="shared" si="6"/>
        <v>0</v>
      </c>
      <c r="N32" s="15">
        <v>0</v>
      </c>
      <c r="O32" s="17">
        <f t="shared" si="7"/>
        <v>0</v>
      </c>
    </row>
    <row r="33" spans="1:15">
      <c r="A33" s="13" t="s">
        <v>42</v>
      </c>
      <c r="B33" s="14">
        <f>[30]Vendedor2!$J$4</f>
        <v>0</v>
      </c>
      <c r="C33" s="81">
        <f>[30]Vendedor2!$K$4</f>
        <v>0</v>
      </c>
      <c r="D33" s="82">
        <f>[30]Vendedor2!$L$4</f>
        <v>0</v>
      </c>
      <c r="E33" s="14">
        <f>[30]Vendedor2!$J$5</f>
        <v>0</v>
      </c>
      <c r="F33" s="81">
        <f>[30]Vendedor2!$K$5</f>
        <v>0</v>
      </c>
      <c r="G33" s="85">
        <f>[30]Vendedor2!$L$5</f>
        <v>0</v>
      </c>
      <c r="H33" s="19">
        <f>[30]Vendedor2!$J$6</f>
        <v>0</v>
      </c>
      <c r="I33" s="15">
        <f>[30]Vendedor2!$K$6</f>
        <v>0</v>
      </c>
      <c r="J33" s="17">
        <f>[30]Vendedor2!$L$6</f>
        <v>0</v>
      </c>
      <c r="K33" s="19">
        <f t="shared" si="4"/>
        <v>0</v>
      </c>
      <c r="L33" s="15">
        <f t="shared" si="5"/>
        <v>0</v>
      </c>
      <c r="M33" s="15">
        <f t="shared" si="6"/>
        <v>0</v>
      </c>
      <c r="N33" s="15">
        <v>0</v>
      </c>
      <c r="O33" s="17">
        <f t="shared" si="7"/>
        <v>0</v>
      </c>
    </row>
    <row r="34" spans="1:15">
      <c r="A34" s="20" t="s">
        <v>43</v>
      </c>
      <c r="B34" s="14">
        <f>[31]Vendedor2!$J$4</f>
        <v>0</v>
      </c>
      <c r="C34" s="81">
        <f>[31]Vendedor2!$K$4</f>
        <v>0</v>
      </c>
      <c r="D34" s="82">
        <f>[31]Vendedor2!$L$4</f>
        <v>0</v>
      </c>
      <c r="E34" s="14">
        <f>[31]Vendedor2!$J$5</f>
        <v>0</v>
      </c>
      <c r="F34" s="81">
        <f>[31]Vendedor2!$K$5</f>
        <v>0</v>
      </c>
      <c r="G34" s="85">
        <f>[31]Vendedor2!$L$5</f>
        <v>0</v>
      </c>
      <c r="H34" s="19">
        <f>[31]Vendedor2!$J$6</f>
        <v>0</v>
      </c>
      <c r="I34" s="15">
        <f>[31]Vendedor2!$K$6</f>
        <v>0</v>
      </c>
      <c r="J34" s="17">
        <f>[31]Vendedor2!$L$6</f>
        <v>0</v>
      </c>
      <c r="K34" s="19">
        <f t="shared" si="4"/>
        <v>0</v>
      </c>
      <c r="L34" s="15">
        <f t="shared" si="5"/>
        <v>0</v>
      </c>
      <c r="M34" s="15">
        <f t="shared" si="6"/>
        <v>0</v>
      </c>
      <c r="N34" s="15">
        <v>0</v>
      </c>
      <c r="O34" s="17">
        <f t="shared" si="7"/>
        <v>0</v>
      </c>
    </row>
    <row r="35" spans="1:15">
      <c r="A35" s="13" t="s">
        <v>44</v>
      </c>
      <c r="B35" s="14">
        <f>[10]Vendedor2!$J$4</f>
        <v>0</v>
      </c>
      <c r="C35" s="81">
        <f>[10]Vendedor2!$K$4</f>
        <v>0</v>
      </c>
      <c r="D35" s="82">
        <f>[10]Vendedor2!$L$4</f>
        <v>0</v>
      </c>
      <c r="E35" s="14">
        <f>[10]Vendedor2!$J$5</f>
        <v>0</v>
      </c>
      <c r="F35" s="81">
        <f>[10]Vendedor2!$K$5</f>
        <v>0</v>
      </c>
      <c r="G35" s="85">
        <f>[10]Vendedor2!$L$5</f>
        <v>0</v>
      </c>
      <c r="H35" s="19">
        <f>[10]Vendedor2!$J$6</f>
        <v>0</v>
      </c>
      <c r="I35" s="15">
        <f>[10]Vendedor2!$K$6</f>
        <v>0</v>
      </c>
      <c r="J35" s="17">
        <f>[10]Vendedor2!$L$6</f>
        <v>0</v>
      </c>
      <c r="K35" s="19">
        <f t="shared" si="4"/>
        <v>0</v>
      </c>
      <c r="L35" s="15">
        <f t="shared" si="5"/>
        <v>0</v>
      </c>
      <c r="M35" s="15">
        <f t="shared" si="6"/>
        <v>0</v>
      </c>
      <c r="N35" s="15">
        <v>0</v>
      </c>
      <c r="O35" s="17">
        <f t="shared" si="7"/>
        <v>0</v>
      </c>
    </row>
    <row r="36" spans="1:15">
      <c r="A36" s="20" t="s">
        <v>45</v>
      </c>
      <c r="B36" s="21">
        <f>[11]Vendedor2!$J$4</f>
        <v>0</v>
      </c>
      <c r="C36" s="83">
        <f>[11]Vendedor2!$K$4</f>
        <v>0</v>
      </c>
      <c r="D36" s="84">
        <f>[11]Vendedor2!$L$4</f>
        <v>0</v>
      </c>
      <c r="E36" s="21">
        <f>[11]Vendedor2!$J$5</f>
        <v>0</v>
      </c>
      <c r="F36" s="83">
        <f>[11]Vendedor2!$K$5</f>
        <v>0</v>
      </c>
      <c r="G36" s="86">
        <f>[11]Vendedor2!$L$5</f>
        <v>0</v>
      </c>
      <c r="H36" s="26">
        <f>[11]Vendedor2!$J$6</f>
        <v>0</v>
      </c>
      <c r="I36" s="22">
        <f>[11]Vendedor2!$K$6</f>
        <v>0</v>
      </c>
      <c r="J36" s="24">
        <f>[11]Vendedor2!$L$6</f>
        <v>0</v>
      </c>
      <c r="K36" s="26">
        <f t="shared" si="4"/>
        <v>0</v>
      </c>
      <c r="L36" s="22">
        <f t="shared" si="5"/>
        <v>0</v>
      </c>
      <c r="M36" s="22">
        <f t="shared" si="6"/>
        <v>0</v>
      </c>
      <c r="N36" s="22">
        <v>0</v>
      </c>
      <c r="O36" s="24">
        <f t="shared" si="7"/>
        <v>0</v>
      </c>
    </row>
    <row r="37" spans="1:15" ht="15.75">
      <c r="A37" s="5" t="s">
        <v>46</v>
      </c>
      <c r="B37" s="27">
        <f t="shared" ref="B37:M37" si="8">SUM(B6:B36)</f>
        <v>2260000</v>
      </c>
      <c r="C37" s="28">
        <f t="shared" si="8"/>
        <v>293800</v>
      </c>
      <c r="D37" s="29">
        <f t="shared" si="8"/>
        <v>1997500</v>
      </c>
      <c r="E37" s="30">
        <f t="shared" si="8"/>
        <v>349300</v>
      </c>
      <c r="F37" s="28">
        <f t="shared" si="8"/>
        <v>45409</v>
      </c>
      <c r="G37" s="31">
        <f t="shared" si="8"/>
        <v>504000</v>
      </c>
      <c r="H37" s="30">
        <f t="shared" si="8"/>
        <v>81300</v>
      </c>
      <c r="I37" s="28">
        <f t="shared" si="8"/>
        <v>10569</v>
      </c>
      <c r="J37" s="31">
        <f t="shared" si="8"/>
        <v>120000</v>
      </c>
      <c r="K37" s="60">
        <f t="shared" si="8"/>
        <v>2690600</v>
      </c>
      <c r="L37" s="32">
        <f t="shared" si="8"/>
        <v>349850</v>
      </c>
      <c r="M37" s="32">
        <f t="shared" si="8"/>
        <v>2621500</v>
      </c>
      <c r="N37" s="32">
        <f>SUM(N5:N36)</f>
        <v>0</v>
      </c>
      <c r="O37" s="33">
        <f>SUM(O5:O36)</f>
        <v>-280750</v>
      </c>
    </row>
    <row r="40" spans="1:15" ht="15.75" thickBot="1"/>
    <row r="41" spans="1:15" ht="19.5" thickBot="1">
      <c r="A41" s="2" t="s">
        <v>1</v>
      </c>
      <c r="B41" s="137" t="s">
        <v>133</v>
      </c>
      <c r="C41" s="137"/>
      <c r="D41" s="137"/>
    </row>
    <row r="42" spans="1:15" ht="15.75" thickBot="1"/>
    <row r="43" spans="1:15" ht="30.75" thickBot="1">
      <c r="A43" s="5" t="s">
        <v>5</v>
      </c>
      <c r="B43" s="6" t="s">
        <v>6</v>
      </c>
      <c r="C43" s="7" t="s">
        <v>7</v>
      </c>
      <c r="D43" s="8" t="s">
        <v>8</v>
      </c>
      <c r="E43" s="9" t="s">
        <v>9</v>
      </c>
      <c r="F43" s="7" t="s">
        <v>10</v>
      </c>
      <c r="G43" s="10" t="s">
        <v>11</v>
      </c>
      <c r="H43" s="6" t="s">
        <v>89</v>
      </c>
      <c r="I43" s="7" t="s">
        <v>90</v>
      </c>
      <c r="J43" s="8" t="s">
        <v>91</v>
      </c>
      <c r="K43" s="56" t="s">
        <v>15</v>
      </c>
      <c r="L43" s="57" t="s">
        <v>16</v>
      </c>
      <c r="M43" s="57" t="s">
        <v>17</v>
      </c>
      <c r="N43" s="11" t="s">
        <v>18</v>
      </c>
      <c r="O43" s="12" t="s">
        <v>19</v>
      </c>
    </row>
    <row r="44" spans="1:15" ht="15.75" thickBot="1">
      <c r="A44" s="68" t="s">
        <v>83</v>
      </c>
      <c r="B44" s="67">
        <f>B5</f>
        <v>0</v>
      </c>
      <c r="C44" s="57">
        <f t="shared" ref="C44:N44" si="9">C5</f>
        <v>0</v>
      </c>
      <c r="D44" s="11">
        <f t="shared" si="9"/>
        <v>0</v>
      </c>
      <c r="E44" s="56">
        <f t="shared" si="9"/>
        <v>0</v>
      </c>
      <c r="F44" s="57">
        <f t="shared" si="9"/>
        <v>0</v>
      </c>
      <c r="G44" s="12">
        <f t="shared" si="9"/>
        <v>0</v>
      </c>
      <c r="H44" s="67">
        <f t="shared" si="9"/>
        <v>0</v>
      </c>
      <c r="I44" s="57">
        <f t="shared" si="9"/>
        <v>0</v>
      </c>
      <c r="J44" s="11">
        <f t="shared" si="9"/>
        <v>0</v>
      </c>
      <c r="K44" s="56">
        <f t="shared" si="9"/>
        <v>0</v>
      </c>
      <c r="L44" s="57">
        <f t="shared" si="9"/>
        <v>0</v>
      </c>
      <c r="M44" s="57">
        <f t="shared" si="9"/>
        <v>0</v>
      </c>
      <c r="N44" s="69">
        <f t="shared" si="9"/>
        <v>0</v>
      </c>
      <c r="O44" s="70">
        <f t="shared" ref="O44" si="10">+K44-L44-M44+N44</f>
        <v>0</v>
      </c>
    </row>
    <row r="45" spans="1:15">
      <c r="A45" s="20" t="s">
        <v>49</v>
      </c>
      <c r="B45" s="53">
        <f t="shared" ref="B45:N45" si="11">B6</f>
        <v>161100</v>
      </c>
      <c r="C45" s="58">
        <f t="shared" si="11"/>
        <v>20943</v>
      </c>
      <c r="D45" s="54">
        <f t="shared" si="11"/>
        <v>399500</v>
      </c>
      <c r="E45" s="53">
        <f t="shared" si="11"/>
        <v>14600</v>
      </c>
      <c r="F45" s="58">
        <f t="shared" si="11"/>
        <v>1898</v>
      </c>
      <c r="G45" s="55">
        <f t="shared" si="11"/>
        <v>0</v>
      </c>
      <c r="H45" s="61">
        <f t="shared" si="11"/>
        <v>6000</v>
      </c>
      <c r="I45" s="58">
        <f t="shared" si="11"/>
        <v>780</v>
      </c>
      <c r="J45" s="54">
        <f t="shared" si="11"/>
        <v>0</v>
      </c>
      <c r="K45" s="59">
        <f t="shared" si="11"/>
        <v>181700</v>
      </c>
      <c r="L45" s="58">
        <f t="shared" si="11"/>
        <v>23600</v>
      </c>
      <c r="M45" s="58">
        <f t="shared" si="11"/>
        <v>399500</v>
      </c>
      <c r="N45" s="58">
        <f t="shared" si="11"/>
        <v>0</v>
      </c>
      <c r="O45" s="55">
        <f>+K45-L45-M45+N45</f>
        <v>-241400</v>
      </c>
    </row>
    <row r="46" spans="1:15">
      <c r="A46" s="13" t="s">
        <v>50</v>
      </c>
      <c r="B46" s="14">
        <f t="shared" ref="B46:N46" si="12">B7</f>
        <v>281000</v>
      </c>
      <c r="C46" s="15">
        <f t="shared" si="12"/>
        <v>36530</v>
      </c>
      <c r="D46" s="16">
        <f t="shared" si="12"/>
        <v>476000</v>
      </c>
      <c r="E46" s="14">
        <f t="shared" si="12"/>
        <v>40800</v>
      </c>
      <c r="F46" s="15">
        <f t="shared" si="12"/>
        <v>5304</v>
      </c>
      <c r="G46" s="17">
        <f t="shared" si="12"/>
        <v>280000</v>
      </c>
      <c r="H46" s="18">
        <f t="shared" si="12"/>
        <v>18900</v>
      </c>
      <c r="I46" s="15">
        <f t="shared" si="12"/>
        <v>2457</v>
      </c>
      <c r="J46" s="16">
        <f t="shared" si="12"/>
        <v>0</v>
      </c>
      <c r="K46" s="19">
        <f t="shared" si="12"/>
        <v>340700</v>
      </c>
      <c r="L46" s="15">
        <f t="shared" si="12"/>
        <v>44300</v>
      </c>
      <c r="M46" s="15">
        <f t="shared" si="12"/>
        <v>756000</v>
      </c>
      <c r="N46" s="15">
        <f t="shared" si="12"/>
        <v>0</v>
      </c>
      <c r="O46" s="17">
        <f t="shared" ref="O46:O59" si="13">+K46-L46-M46+N46</f>
        <v>-459600</v>
      </c>
    </row>
    <row r="47" spans="1:15">
      <c r="A47" s="20" t="s">
        <v>51</v>
      </c>
      <c r="B47" s="14">
        <f t="shared" ref="B47:N47" si="14">B8</f>
        <v>181050</v>
      </c>
      <c r="C47" s="15">
        <f t="shared" si="14"/>
        <v>23536.5</v>
      </c>
      <c r="D47" s="16">
        <f t="shared" si="14"/>
        <v>259250</v>
      </c>
      <c r="E47" s="14">
        <f t="shared" si="14"/>
        <v>15900</v>
      </c>
      <c r="F47" s="15">
        <f t="shared" si="14"/>
        <v>2067</v>
      </c>
      <c r="G47" s="17">
        <f t="shared" si="14"/>
        <v>8000</v>
      </c>
      <c r="H47" s="18">
        <f t="shared" si="14"/>
        <v>3400</v>
      </c>
      <c r="I47" s="15">
        <f t="shared" si="14"/>
        <v>442</v>
      </c>
      <c r="J47" s="16">
        <f t="shared" si="14"/>
        <v>0</v>
      </c>
      <c r="K47" s="19">
        <f t="shared" si="14"/>
        <v>200350</v>
      </c>
      <c r="L47" s="15">
        <f t="shared" si="14"/>
        <v>26050</v>
      </c>
      <c r="M47" s="15">
        <f t="shared" si="14"/>
        <v>267250</v>
      </c>
      <c r="N47" s="15">
        <f t="shared" si="14"/>
        <v>0</v>
      </c>
      <c r="O47" s="17">
        <f t="shared" si="13"/>
        <v>-92950</v>
      </c>
    </row>
    <row r="48" spans="1:15">
      <c r="A48" s="13" t="s">
        <v>52</v>
      </c>
      <c r="B48" s="14">
        <f t="shared" ref="B48:N48" si="15">B9</f>
        <v>194350</v>
      </c>
      <c r="C48" s="15">
        <f t="shared" si="15"/>
        <v>25265.5</v>
      </c>
      <c r="D48" s="16">
        <f t="shared" si="15"/>
        <v>42500</v>
      </c>
      <c r="E48" s="14">
        <f t="shared" si="15"/>
        <v>18500</v>
      </c>
      <c r="F48" s="15">
        <f t="shared" si="15"/>
        <v>2405</v>
      </c>
      <c r="G48" s="17">
        <f t="shared" si="15"/>
        <v>0</v>
      </c>
      <c r="H48" s="18">
        <f t="shared" si="15"/>
        <v>1800</v>
      </c>
      <c r="I48" s="15">
        <f t="shared" si="15"/>
        <v>234</v>
      </c>
      <c r="J48" s="16">
        <f t="shared" si="15"/>
        <v>0</v>
      </c>
      <c r="K48" s="19">
        <f t="shared" si="15"/>
        <v>214650</v>
      </c>
      <c r="L48" s="15">
        <f t="shared" si="15"/>
        <v>27900</v>
      </c>
      <c r="M48" s="15">
        <f t="shared" si="15"/>
        <v>42500</v>
      </c>
      <c r="N48" s="15">
        <f t="shared" si="15"/>
        <v>0</v>
      </c>
      <c r="O48" s="17">
        <f t="shared" si="13"/>
        <v>144250</v>
      </c>
    </row>
    <row r="49" spans="1:15">
      <c r="A49" s="20" t="s">
        <v>53</v>
      </c>
      <c r="B49" s="14">
        <f t="shared" ref="B49:N49" si="16">B10</f>
        <v>188200</v>
      </c>
      <c r="C49" s="15">
        <f t="shared" si="16"/>
        <v>24466</v>
      </c>
      <c r="D49" s="16">
        <f t="shared" si="16"/>
        <v>38250</v>
      </c>
      <c r="E49" s="14">
        <f t="shared" si="16"/>
        <v>43350</v>
      </c>
      <c r="F49" s="15">
        <f t="shared" si="16"/>
        <v>5635.5</v>
      </c>
      <c r="G49" s="17">
        <f t="shared" si="16"/>
        <v>40000</v>
      </c>
      <c r="H49" s="18">
        <f t="shared" si="16"/>
        <v>0</v>
      </c>
      <c r="I49" s="15">
        <f t="shared" si="16"/>
        <v>0</v>
      </c>
      <c r="J49" s="16">
        <f t="shared" si="16"/>
        <v>0</v>
      </c>
      <c r="K49" s="19">
        <f t="shared" si="16"/>
        <v>231550</v>
      </c>
      <c r="L49" s="15">
        <f t="shared" si="16"/>
        <v>30100</v>
      </c>
      <c r="M49" s="15">
        <f t="shared" si="16"/>
        <v>78250</v>
      </c>
      <c r="N49" s="15">
        <f t="shared" si="16"/>
        <v>0</v>
      </c>
      <c r="O49" s="17">
        <f t="shared" si="13"/>
        <v>123200</v>
      </c>
    </row>
    <row r="50" spans="1:15">
      <c r="A50" s="13" t="s">
        <v>20</v>
      </c>
      <c r="B50" s="14">
        <f t="shared" ref="B50:N50" si="17">B11</f>
        <v>165150</v>
      </c>
      <c r="C50" s="15">
        <f t="shared" si="17"/>
        <v>21469.5</v>
      </c>
      <c r="D50" s="16">
        <f t="shared" si="17"/>
        <v>148750</v>
      </c>
      <c r="E50" s="14">
        <f t="shared" si="17"/>
        <v>16500</v>
      </c>
      <c r="F50" s="15">
        <f t="shared" si="17"/>
        <v>2145</v>
      </c>
      <c r="G50" s="17">
        <f t="shared" si="17"/>
        <v>0</v>
      </c>
      <c r="H50" s="18">
        <f t="shared" si="17"/>
        <v>3600</v>
      </c>
      <c r="I50" s="15">
        <f t="shared" si="17"/>
        <v>468</v>
      </c>
      <c r="J50" s="16">
        <f t="shared" si="17"/>
        <v>0</v>
      </c>
      <c r="K50" s="19">
        <f t="shared" si="17"/>
        <v>185250</v>
      </c>
      <c r="L50" s="15">
        <f t="shared" si="17"/>
        <v>24100</v>
      </c>
      <c r="M50" s="15">
        <f t="shared" si="17"/>
        <v>148750</v>
      </c>
      <c r="N50" s="15">
        <f t="shared" si="17"/>
        <v>0</v>
      </c>
      <c r="O50" s="17">
        <f t="shared" si="13"/>
        <v>12400</v>
      </c>
    </row>
    <row r="51" spans="1:15">
      <c r="A51" s="20" t="s">
        <v>21</v>
      </c>
      <c r="B51" s="14">
        <f t="shared" ref="B51:N51" si="18">B12</f>
        <v>182500</v>
      </c>
      <c r="C51" s="15">
        <f t="shared" si="18"/>
        <v>23725</v>
      </c>
      <c r="D51" s="16">
        <f t="shared" si="18"/>
        <v>102000</v>
      </c>
      <c r="E51" s="14">
        <f t="shared" si="18"/>
        <v>30200</v>
      </c>
      <c r="F51" s="15">
        <f t="shared" si="18"/>
        <v>3926</v>
      </c>
      <c r="G51" s="17">
        <f t="shared" si="18"/>
        <v>24000</v>
      </c>
      <c r="H51" s="18">
        <f t="shared" si="18"/>
        <v>2350</v>
      </c>
      <c r="I51" s="15">
        <f t="shared" si="18"/>
        <v>305.5</v>
      </c>
      <c r="J51" s="16">
        <f t="shared" si="18"/>
        <v>0</v>
      </c>
      <c r="K51" s="19">
        <f t="shared" si="18"/>
        <v>215050</v>
      </c>
      <c r="L51" s="15">
        <f t="shared" si="18"/>
        <v>27950</v>
      </c>
      <c r="M51" s="15">
        <f t="shared" si="18"/>
        <v>126000</v>
      </c>
      <c r="N51" s="15">
        <f t="shared" si="18"/>
        <v>0</v>
      </c>
      <c r="O51" s="17">
        <f t="shared" si="13"/>
        <v>61100</v>
      </c>
    </row>
    <row r="52" spans="1:15">
      <c r="A52" s="13" t="s">
        <v>22</v>
      </c>
      <c r="B52" s="14">
        <f t="shared" ref="B52:N52" si="19">B13</f>
        <v>74150</v>
      </c>
      <c r="C52" s="15">
        <f t="shared" si="19"/>
        <v>9639.5</v>
      </c>
      <c r="D52" s="16">
        <f t="shared" si="19"/>
        <v>0</v>
      </c>
      <c r="E52" s="14">
        <f t="shared" si="19"/>
        <v>22450</v>
      </c>
      <c r="F52" s="15">
        <f t="shared" si="19"/>
        <v>2918.5</v>
      </c>
      <c r="G52" s="17">
        <f t="shared" si="19"/>
        <v>0</v>
      </c>
      <c r="H52" s="18">
        <f t="shared" si="19"/>
        <v>6300</v>
      </c>
      <c r="I52" s="15">
        <f t="shared" si="19"/>
        <v>819</v>
      </c>
      <c r="J52" s="16">
        <f t="shared" si="19"/>
        <v>0</v>
      </c>
      <c r="K52" s="19">
        <f t="shared" si="19"/>
        <v>102900</v>
      </c>
      <c r="L52" s="15">
        <f t="shared" si="19"/>
        <v>13400</v>
      </c>
      <c r="M52" s="15">
        <f t="shared" si="19"/>
        <v>0</v>
      </c>
      <c r="N52" s="15">
        <f t="shared" si="19"/>
        <v>0</v>
      </c>
      <c r="O52" s="17">
        <f t="shared" si="13"/>
        <v>89500</v>
      </c>
    </row>
    <row r="53" spans="1:15">
      <c r="A53" s="20" t="s">
        <v>23</v>
      </c>
      <c r="B53" s="14">
        <f t="shared" ref="B53:N53" si="20">B14</f>
        <v>115400</v>
      </c>
      <c r="C53" s="15">
        <f t="shared" si="20"/>
        <v>15002</v>
      </c>
      <c r="D53" s="16">
        <f t="shared" si="20"/>
        <v>42500</v>
      </c>
      <c r="E53" s="14">
        <f t="shared" si="20"/>
        <v>37550</v>
      </c>
      <c r="F53" s="15">
        <f t="shared" si="20"/>
        <v>4881.5</v>
      </c>
      <c r="G53" s="17">
        <f t="shared" si="20"/>
        <v>40000</v>
      </c>
      <c r="H53" s="18">
        <f t="shared" si="20"/>
        <v>10700</v>
      </c>
      <c r="I53" s="15">
        <f t="shared" si="20"/>
        <v>1391</v>
      </c>
      <c r="J53" s="16">
        <f t="shared" si="20"/>
        <v>80000</v>
      </c>
      <c r="K53" s="19">
        <f t="shared" si="20"/>
        <v>163650</v>
      </c>
      <c r="L53" s="15">
        <f t="shared" si="20"/>
        <v>21250</v>
      </c>
      <c r="M53" s="15">
        <f t="shared" si="20"/>
        <v>162500</v>
      </c>
      <c r="N53" s="15">
        <f t="shared" si="20"/>
        <v>0</v>
      </c>
      <c r="O53" s="17">
        <f t="shared" si="13"/>
        <v>-20100</v>
      </c>
    </row>
    <row r="54" spans="1:15">
      <c r="A54" s="13" t="s">
        <v>24</v>
      </c>
      <c r="B54" s="14">
        <f t="shared" ref="B54:N54" si="21">B15</f>
        <v>144600</v>
      </c>
      <c r="C54" s="15">
        <f t="shared" si="21"/>
        <v>18798</v>
      </c>
      <c r="D54" s="16">
        <f t="shared" si="21"/>
        <v>0</v>
      </c>
      <c r="E54" s="14">
        <f t="shared" si="21"/>
        <v>38450</v>
      </c>
      <c r="F54" s="15">
        <f t="shared" si="21"/>
        <v>4998.5</v>
      </c>
      <c r="G54" s="17">
        <f t="shared" si="21"/>
        <v>0</v>
      </c>
      <c r="H54" s="18">
        <f t="shared" si="21"/>
        <v>4250</v>
      </c>
      <c r="I54" s="15">
        <f t="shared" si="21"/>
        <v>552.5</v>
      </c>
      <c r="J54" s="16">
        <f t="shared" si="21"/>
        <v>0</v>
      </c>
      <c r="K54" s="19">
        <f t="shared" si="21"/>
        <v>187300</v>
      </c>
      <c r="L54" s="15">
        <f t="shared" si="21"/>
        <v>24350</v>
      </c>
      <c r="M54" s="15">
        <f t="shared" si="21"/>
        <v>0</v>
      </c>
      <c r="N54" s="15">
        <f t="shared" si="21"/>
        <v>0</v>
      </c>
      <c r="O54" s="17">
        <f t="shared" si="13"/>
        <v>162950</v>
      </c>
    </row>
    <row r="55" spans="1:15">
      <c r="A55" s="20" t="s">
        <v>25</v>
      </c>
      <c r="B55" s="14">
        <f t="shared" ref="B55:N55" si="22">B16</f>
        <v>136950</v>
      </c>
      <c r="C55" s="15">
        <f t="shared" si="22"/>
        <v>17803.5</v>
      </c>
      <c r="D55" s="16">
        <f t="shared" si="22"/>
        <v>161500</v>
      </c>
      <c r="E55" s="14">
        <f t="shared" si="22"/>
        <v>14900</v>
      </c>
      <c r="F55" s="15">
        <f t="shared" si="22"/>
        <v>1937</v>
      </c>
      <c r="G55" s="17">
        <f t="shared" si="22"/>
        <v>16000</v>
      </c>
      <c r="H55" s="18">
        <f t="shared" si="22"/>
        <v>2300</v>
      </c>
      <c r="I55" s="15">
        <f t="shared" si="22"/>
        <v>299</v>
      </c>
      <c r="J55" s="16">
        <f t="shared" si="22"/>
        <v>0</v>
      </c>
      <c r="K55" s="19">
        <f t="shared" si="22"/>
        <v>154150</v>
      </c>
      <c r="L55" s="15">
        <f t="shared" si="22"/>
        <v>20050</v>
      </c>
      <c r="M55" s="15">
        <f t="shared" si="22"/>
        <v>177500</v>
      </c>
      <c r="N55" s="15">
        <f t="shared" si="22"/>
        <v>0</v>
      </c>
      <c r="O55" s="17">
        <f t="shared" si="13"/>
        <v>-43400</v>
      </c>
    </row>
    <row r="56" spans="1:15">
      <c r="A56" s="13" t="s">
        <v>26</v>
      </c>
      <c r="B56" s="14">
        <f t="shared" ref="B56:N56" si="23">B17</f>
        <v>163750</v>
      </c>
      <c r="C56" s="15">
        <f t="shared" si="23"/>
        <v>21287.5</v>
      </c>
      <c r="D56" s="16">
        <f t="shared" si="23"/>
        <v>272000</v>
      </c>
      <c r="E56" s="14">
        <f t="shared" si="23"/>
        <v>20550</v>
      </c>
      <c r="F56" s="15">
        <f t="shared" si="23"/>
        <v>2671.5</v>
      </c>
      <c r="G56" s="17">
        <f t="shared" si="23"/>
        <v>0</v>
      </c>
      <c r="H56" s="18">
        <f t="shared" si="23"/>
        <v>900</v>
      </c>
      <c r="I56" s="15">
        <f t="shared" si="23"/>
        <v>117</v>
      </c>
      <c r="J56" s="16">
        <f t="shared" si="23"/>
        <v>0</v>
      </c>
      <c r="K56" s="19">
        <f t="shared" si="23"/>
        <v>185200</v>
      </c>
      <c r="L56" s="15">
        <f t="shared" si="23"/>
        <v>24100</v>
      </c>
      <c r="M56" s="15">
        <f t="shared" si="23"/>
        <v>272000</v>
      </c>
      <c r="N56" s="15">
        <f t="shared" si="23"/>
        <v>0</v>
      </c>
      <c r="O56" s="17">
        <f t="shared" si="13"/>
        <v>-110900</v>
      </c>
    </row>
    <row r="57" spans="1:15">
      <c r="A57" s="20" t="s">
        <v>27</v>
      </c>
      <c r="B57" s="14">
        <f t="shared" ref="B57:N57" si="24">B18</f>
        <v>186300</v>
      </c>
      <c r="C57" s="15">
        <f t="shared" si="24"/>
        <v>24219</v>
      </c>
      <c r="D57" s="16">
        <f t="shared" si="24"/>
        <v>0</v>
      </c>
      <c r="E57" s="14">
        <f t="shared" si="24"/>
        <v>9900</v>
      </c>
      <c r="F57" s="15">
        <f t="shared" si="24"/>
        <v>1287</v>
      </c>
      <c r="G57" s="17">
        <f t="shared" si="24"/>
        <v>16000</v>
      </c>
      <c r="H57" s="18">
        <f t="shared" si="24"/>
        <v>9400</v>
      </c>
      <c r="I57" s="15">
        <f t="shared" si="24"/>
        <v>1222</v>
      </c>
      <c r="J57" s="16">
        <f t="shared" si="24"/>
        <v>40000</v>
      </c>
      <c r="K57" s="19">
        <f t="shared" si="24"/>
        <v>205600</v>
      </c>
      <c r="L57" s="15">
        <f t="shared" si="24"/>
        <v>26750</v>
      </c>
      <c r="M57" s="15">
        <f t="shared" si="24"/>
        <v>56000</v>
      </c>
      <c r="N57" s="15">
        <f t="shared" si="24"/>
        <v>0</v>
      </c>
      <c r="O57" s="17">
        <f t="shared" si="13"/>
        <v>122850</v>
      </c>
    </row>
    <row r="58" spans="1:15">
      <c r="A58" s="20" t="s">
        <v>28</v>
      </c>
      <c r="B58" s="14">
        <f t="shared" ref="B58:N58" si="25">B19</f>
        <v>85500</v>
      </c>
      <c r="C58" s="15">
        <f t="shared" si="25"/>
        <v>11115</v>
      </c>
      <c r="D58" s="16">
        <f t="shared" si="25"/>
        <v>55250</v>
      </c>
      <c r="E58" s="14">
        <f t="shared" si="25"/>
        <v>25650</v>
      </c>
      <c r="F58" s="15">
        <f t="shared" si="25"/>
        <v>3334.5</v>
      </c>
      <c r="G58" s="17">
        <f t="shared" si="25"/>
        <v>80000</v>
      </c>
      <c r="H58" s="18">
        <f t="shared" si="25"/>
        <v>11400</v>
      </c>
      <c r="I58" s="15">
        <f t="shared" si="25"/>
        <v>1482</v>
      </c>
      <c r="J58" s="16">
        <f t="shared" si="25"/>
        <v>0</v>
      </c>
      <c r="K58" s="19">
        <f t="shared" si="25"/>
        <v>122550</v>
      </c>
      <c r="L58" s="15">
        <f t="shared" si="25"/>
        <v>15950</v>
      </c>
      <c r="M58" s="15">
        <f t="shared" si="25"/>
        <v>135250</v>
      </c>
      <c r="N58" s="15">
        <f t="shared" si="25"/>
        <v>0</v>
      </c>
      <c r="O58" s="17">
        <f t="shared" si="13"/>
        <v>-28650</v>
      </c>
    </row>
    <row r="59" spans="1:15">
      <c r="A59" s="13" t="s">
        <v>29</v>
      </c>
      <c r="B59" s="14">
        <f t="shared" ref="B59:N59" si="26">B20</f>
        <v>0</v>
      </c>
      <c r="C59" s="15">
        <f t="shared" si="26"/>
        <v>0</v>
      </c>
      <c r="D59" s="16">
        <f t="shared" si="26"/>
        <v>0</v>
      </c>
      <c r="E59" s="14">
        <f t="shared" si="26"/>
        <v>0</v>
      </c>
      <c r="F59" s="15">
        <f t="shared" si="26"/>
        <v>0</v>
      </c>
      <c r="G59" s="17">
        <f t="shared" si="26"/>
        <v>0</v>
      </c>
      <c r="H59" s="18">
        <f t="shared" si="26"/>
        <v>0</v>
      </c>
      <c r="I59" s="15">
        <f t="shared" si="26"/>
        <v>0</v>
      </c>
      <c r="J59" s="16">
        <f t="shared" si="26"/>
        <v>0</v>
      </c>
      <c r="K59" s="19">
        <f t="shared" si="26"/>
        <v>0</v>
      </c>
      <c r="L59" s="15">
        <f t="shared" si="26"/>
        <v>0</v>
      </c>
      <c r="M59" s="15">
        <f t="shared" si="26"/>
        <v>0</v>
      </c>
      <c r="N59" s="15">
        <f t="shared" si="26"/>
        <v>0</v>
      </c>
      <c r="O59" s="17">
        <f t="shared" si="13"/>
        <v>0</v>
      </c>
    </row>
    <row r="60" spans="1:15">
      <c r="A60" s="20" t="s">
        <v>30</v>
      </c>
      <c r="B60" s="14">
        <f t="shared" ref="B60:N60" si="27">B21</f>
        <v>0</v>
      </c>
      <c r="C60" s="81">
        <f t="shared" si="27"/>
        <v>0</v>
      </c>
      <c r="D60" s="82">
        <f t="shared" si="27"/>
        <v>0</v>
      </c>
      <c r="E60" s="14">
        <f t="shared" si="27"/>
        <v>0</v>
      </c>
      <c r="F60" s="81">
        <f t="shared" si="27"/>
        <v>0</v>
      </c>
      <c r="G60" s="85">
        <f t="shared" si="27"/>
        <v>0</v>
      </c>
      <c r="H60" s="19">
        <f t="shared" si="27"/>
        <v>0</v>
      </c>
      <c r="I60" s="15">
        <f t="shared" si="27"/>
        <v>0</v>
      </c>
      <c r="J60" s="17">
        <f t="shared" si="27"/>
        <v>0</v>
      </c>
      <c r="K60" s="19">
        <f t="shared" si="27"/>
        <v>0</v>
      </c>
      <c r="L60" s="15">
        <f t="shared" si="27"/>
        <v>0</v>
      </c>
      <c r="M60" s="15">
        <f t="shared" si="27"/>
        <v>0</v>
      </c>
      <c r="N60" s="15">
        <f t="shared" si="27"/>
        <v>0</v>
      </c>
      <c r="O60" s="17">
        <f t="shared" ref="O60:O61" si="28">+O20</f>
        <v>0</v>
      </c>
    </row>
    <row r="61" spans="1:15">
      <c r="A61" s="13" t="s">
        <v>31</v>
      </c>
      <c r="B61" s="14">
        <f t="shared" ref="B61:N61" si="29">B22</f>
        <v>0</v>
      </c>
      <c r="C61" s="81">
        <f t="shared" si="29"/>
        <v>0</v>
      </c>
      <c r="D61" s="82">
        <f t="shared" si="29"/>
        <v>0</v>
      </c>
      <c r="E61" s="14">
        <f t="shared" si="29"/>
        <v>0</v>
      </c>
      <c r="F61" s="81">
        <f t="shared" si="29"/>
        <v>0</v>
      </c>
      <c r="G61" s="85">
        <f t="shared" si="29"/>
        <v>0</v>
      </c>
      <c r="H61" s="19">
        <f t="shared" si="29"/>
        <v>0</v>
      </c>
      <c r="I61" s="15">
        <f t="shared" si="29"/>
        <v>0</v>
      </c>
      <c r="J61" s="17">
        <f t="shared" si="29"/>
        <v>0</v>
      </c>
      <c r="K61" s="19">
        <f t="shared" si="29"/>
        <v>0</v>
      </c>
      <c r="L61" s="15">
        <f t="shared" si="29"/>
        <v>0</v>
      </c>
      <c r="M61" s="15">
        <f t="shared" si="29"/>
        <v>0</v>
      </c>
      <c r="N61" s="15">
        <f t="shared" si="29"/>
        <v>0</v>
      </c>
      <c r="O61" s="17">
        <f t="shared" si="28"/>
        <v>0</v>
      </c>
    </row>
    <row r="62" spans="1:15">
      <c r="A62" s="20" t="s">
        <v>32</v>
      </c>
      <c r="B62" s="14">
        <f t="shared" ref="B62:N62" si="30">B23</f>
        <v>0</v>
      </c>
      <c r="C62" s="81">
        <f t="shared" si="30"/>
        <v>0</v>
      </c>
      <c r="D62" s="82">
        <f t="shared" si="30"/>
        <v>0</v>
      </c>
      <c r="E62" s="14">
        <f t="shared" si="30"/>
        <v>0</v>
      </c>
      <c r="F62" s="81">
        <f t="shared" si="30"/>
        <v>0</v>
      </c>
      <c r="G62" s="85">
        <f t="shared" si="30"/>
        <v>0</v>
      </c>
      <c r="H62" s="19">
        <f t="shared" si="30"/>
        <v>0</v>
      </c>
      <c r="I62" s="15">
        <f t="shared" si="30"/>
        <v>0</v>
      </c>
      <c r="J62" s="17">
        <f t="shared" si="30"/>
        <v>0</v>
      </c>
      <c r="K62" s="19">
        <f t="shared" si="30"/>
        <v>0</v>
      </c>
      <c r="L62" s="15">
        <f t="shared" si="30"/>
        <v>0</v>
      </c>
      <c r="M62" s="15">
        <f t="shared" si="30"/>
        <v>0</v>
      </c>
      <c r="N62" s="15">
        <f t="shared" si="30"/>
        <v>0</v>
      </c>
      <c r="O62" s="17">
        <f t="shared" ref="O62:O75" si="31">+O22</f>
        <v>0</v>
      </c>
    </row>
    <row r="63" spans="1:15">
      <c r="A63" s="13" t="s">
        <v>33</v>
      </c>
      <c r="B63" s="14">
        <f t="shared" ref="B63:N63" si="32">B24</f>
        <v>0</v>
      </c>
      <c r="C63" s="81">
        <f t="shared" si="32"/>
        <v>0</v>
      </c>
      <c r="D63" s="82">
        <f t="shared" si="32"/>
        <v>0</v>
      </c>
      <c r="E63" s="14">
        <f t="shared" si="32"/>
        <v>0</v>
      </c>
      <c r="F63" s="81">
        <f t="shared" si="32"/>
        <v>0</v>
      </c>
      <c r="G63" s="85">
        <f t="shared" si="32"/>
        <v>0</v>
      </c>
      <c r="H63" s="19">
        <f t="shared" si="32"/>
        <v>0</v>
      </c>
      <c r="I63" s="15">
        <f t="shared" si="32"/>
        <v>0</v>
      </c>
      <c r="J63" s="17">
        <f t="shared" si="32"/>
        <v>0</v>
      </c>
      <c r="K63" s="19">
        <f t="shared" si="32"/>
        <v>0</v>
      </c>
      <c r="L63" s="15">
        <f t="shared" si="32"/>
        <v>0</v>
      </c>
      <c r="M63" s="15">
        <f t="shared" si="32"/>
        <v>0</v>
      </c>
      <c r="N63" s="15">
        <f t="shared" si="32"/>
        <v>0</v>
      </c>
      <c r="O63" s="17">
        <f t="shared" si="31"/>
        <v>0</v>
      </c>
    </row>
    <row r="64" spans="1:15">
      <c r="A64" s="20" t="s">
        <v>34</v>
      </c>
      <c r="B64" s="14">
        <f t="shared" ref="B64:N64" si="33">B25</f>
        <v>0</v>
      </c>
      <c r="C64" s="81">
        <f t="shared" si="33"/>
        <v>0</v>
      </c>
      <c r="D64" s="82">
        <f t="shared" si="33"/>
        <v>0</v>
      </c>
      <c r="E64" s="14">
        <f t="shared" si="33"/>
        <v>0</v>
      </c>
      <c r="F64" s="81">
        <f t="shared" si="33"/>
        <v>0</v>
      </c>
      <c r="G64" s="85">
        <f t="shared" si="33"/>
        <v>0</v>
      </c>
      <c r="H64" s="19">
        <f t="shared" si="33"/>
        <v>0</v>
      </c>
      <c r="I64" s="15">
        <f t="shared" si="33"/>
        <v>0</v>
      </c>
      <c r="J64" s="17">
        <f t="shared" si="33"/>
        <v>0</v>
      </c>
      <c r="K64" s="19">
        <f t="shared" si="33"/>
        <v>0</v>
      </c>
      <c r="L64" s="15">
        <f t="shared" si="33"/>
        <v>0</v>
      </c>
      <c r="M64" s="15">
        <f t="shared" si="33"/>
        <v>0</v>
      </c>
      <c r="N64" s="15">
        <f t="shared" si="33"/>
        <v>0</v>
      </c>
      <c r="O64" s="17">
        <f t="shared" si="31"/>
        <v>0</v>
      </c>
    </row>
    <row r="65" spans="1:15">
      <c r="A65" s="13" t="s">
        <v>35</v>
      </c>
      <c r="B65" s="14">
        <f t="shared" ref="B65:N65" si="34">B26</f>
        <v>0</v>
      </c>
      <c r="C65" s="81">
        <f t="shared" si="34"/>
        <v>0</v>
      </c>
      <c r="D65" s="82">
        <f t="shared" si="34"/>
        <v>0</v>
      </c>
      <c r="E65" s="14">
        <f t="shared" si="34"/>
        <v>0</v>
      </c>
      <c r="F65" s="81">
        <f t="shared" si="34"/>
        <v>0</v>
      </c>
      <c r="G65" s="85">
        <f t="shared" si="34"/>
        <v>0</v>
      </c>
      <c r="H65" s="19">
        <f t="shared" si="34"/>
        <v>0</v>
      </c>
      <c r="I65" s="15">
        <f t="shared" si="34"/>
        <v>0</v>
      </c>
      <c r="J65" s="17">
        <f t="shared" si="34"/>
        <v>0</v>
      </c>
      <c r="K65" s="19">
        <f t="shared" si="34"/>
        <v>0</v>
      </c>
      <c r="L65" s="15">
        <f t="shared" si="34"/>
        <v>0</v>
      </c>
      <c r="M65" s="15">
        <f t="shared" si="34"/>
        <v>0</v>
      </c>
      <c r="N65" s="15">
        <f t="shared" si="34"/>
        <v>0</v>
      </c>
      <c r="O65" s="17">
        <f t="shared" si="31"/>
        <v>0</v>
      </c>
    </row>
    <row r="66" spans="1:15">
      <c r="A66" s="20" t="s">
        <v>36</v>
      </c>
      <c r="B66" s="14">
        <f t="shared" ref="B66:N66" si="35">B27</f>
        <v>0</v>
      </c>
      <c r="C66" s="81">
        <f t="shared" si="35"/>
        <v>0</v>
      </c>
      <c r="D66" s="82">
        <f t="shared" si="35"/>
        <v>0</v>
      </c>
      <c r="E66" s="14">
        <f t="shared" si="35"/>
        <v>0</v>
      </c>
      <c r="F66" s="81">
        <f t="shared" si="35"/>
        <v>0</v>
      </c>
      <c r="G66" s="85">
        <f t="shared" si="35"/>
        <v>0</v>
      </c>
      <c r="H66" s="19">
        <f t="shared" si="35"/>
        <v>0</v>
      </c>
      <c r="I66" s="15">
        <f t="shared" si="35"/>
        <v>0</v>
      </c>
      <c r="J66" s="17">
        <f t="shared" si="35"/>
        <v>0</v>
      </c>
      <c r="K66" s="19">
        <f t="shared" si="35"/>
        <v>0</v>
      </c>
      <c r="L66" s="15">
        <f t="shared" si="35"/>
        <v>0</v>
      </c>
      <c r="M66" s="15">
        <f t="shared" si="35"/>
        <v>0</v>
      </c>
      <c r="N66" s="15">
        <f t="shared" si="35"/>
        <v>0</v>
      </c>
      <c r="O66" s="17">
        <f t="shared" si="31"/>
        <v>0</v>
      </c>
    </row>
    <row r="67" spans="1:15">
      <c r="A67" s="13" t="s">
        <v>37</v>
      </c>
      <c r="B67" s="14">
        <f t="shared" ref="B67:N67" si="36">B28</f>
        <v>0</v>
      </c>
      <c r="C67" s="81">
        <f t="shared" si="36"/>
        <v>0</v>
      </c>
      <c r="D67" s="82">
        <f t="shared" si="36"/>
        <v>0</v>
      </c>
      <c r="E67" s="14">
        <f t="shared" si="36"/>
        <v>0</v>
      </c>
      <c r="F67" s="81">
        <f t="shared" si="36"/>
        <v>0</v>
      </c>
      <c r="G67" s="85">
        <f t="shared" si="36"/>
        <v>0</v>
      </c>
      <c r="H67" s="19">
        <f t="shared" si="36"/>
        <v>0</v>
      </c>
      <c r="I67" s="15">
        <f t="shared" si="36"/>
        <v>0</v>
      </c>
      <c r="J67" s="17">
        <f t="shared" si="36"/>
        <v>0</v>
      </c>
      <c r="K67" s="19">
        <f t="shared" si="36"/>
        <v>0</v>
      </c>
      <c r="L67" s="15">
        <f t="shared" si="36"/>
        <v>0</v>
      </c>
      <c r="M67" s="15">
        <f t="shared" si="36"/>
        <v>0</v>
      </c>
      <c r="N67" s="15">
        <f t="shared" si="36"/>
        <v>0</v>
      </c>
      <c r="O67" s="17">
        <f t="shared" si="31"/>
        <v>0</v>
      </c>
    </row>
    <row r="68" spans="1:15">
      <c r="A68" s="20" t="s">
        <v>38</v>
      </c>
      <c r="B68" s="14">
        <f t="shared" ref="B68:N68" si="37">B29</f>
        <v>0</v>
      </c>
      <c r="C68" s="81">
        <f t="shared" si="37"/>
        <v>0</v>
      </c>
      <c r="D68" s="82">
        <f t="shared" si="37"/>
        <v>0</v>
      </c>
      <c r="E68" s="14">
        <f t="shared" si="37"/>
        <v>0</v>
      </c>
      <c r="F68" s="81">
        <f t="shared" si="37"/>
        <v>0</v>
      </c>
      <c r="G68" s="85">
        <f t="shared" si="37"/>
        <v>0</v>
      </c>
      <c r="H68" s="19">
        <f t="shared" si="37"/>
        <v>0</v>
      </c>
      <c r="I68" s="15">
        <f t="shared" si="37"/>
        <v>0</v>
      </c>
      <c r="J68" s="17">
        <f t="shared" si="37"/>
        <v>0</v>
      </c>
      <c r="K68" s="19">
        <f t="shared" si="37"/>
        <v>0</v>
      </c>
      <c r="L68" s="15">
        <f t="shared" si="37"/>
        <v>0</v>
      </c>
      <c r="M68" s="15">
        <f t="shared" si="37"/>
        <v>0</v>
      </c>
      <c r="N68" s="15">
        <f t="shared" si="37"/>
        <v>0</v>
      </c>
      <c r="O68" s="17">
        <f t="shared" si="31"/>
        <v>0</v>
      </c>
    </row>
    <row r="69" spans="1:15">
      <c r="A69" s="13" t="s">
        <v>39</v>
      </c>
      <c r="B69" s="14">
        <f t="shared" ref="B69:N69" si="38">B30</f>
        <v>0</v>
      </c>
      <c r="C69" s="81">
        <f t="shared" si="38"/>
        <v>0</v>
      </c>
      <c r="D69" s="82">
        <f t="shared" si="38"/>
        <v>0</v>
      </c>
      <c r="E69" s="14">
        <f t="shared" si="38"/>
        <v>0</v>
      </c>
      <c r="F69" s="81">
        <f t="shared" si="38"/>
        <v>0</v>
      </c>
      <c r="G69" s="85">
        <f t="shared" si="38"/>
        <v>0</v>
      </c>
      <c r="H69" s="19">
        <f t="shared" si="38"/>
        <v>0</v>
      </c>
      <c r="I69" s="15">
        <f t="shared" si="38"/>
        <v>0</v>
      </c>
      <c r="J69" s="17">
        <f t="shared" si="38"/>
        <v>0</v>
      </c>
      <c r="K69" s="19">
        <f t="shared" si="38"/>
        <v>0</v>
      </c>
      <c r="L69" s="15">
        <f t="shared" si="38"/>
        <v>0</v>
      </c>
      <c r="M69" s="15">
        <f t="shared" si="38"/>
        <v>0</v>
      </c>
      <c r="N69" s="15">
        <f t="shared" si="38"/>
        <v>0</v>
      </c>
      <c r="O69" s="17">
        <f t="shared" si="31"/>
        <v>0</v>
      </c>
    </row>
    <row r="70" spans="1:15">
      <c r="A70" s="20" t="s">
        <v>40</v>
      </c>
      <c r="B70" s="14">
        <f t="shared" ref="B70:N70" si="39">B31</f>
        <v>0</v>
      </c>
      <c r="C70" s="81">
        <f t="shared" si="39"/>
        <v>0</v>
      </c>
      <c r="D70" s="82">
        <f t="shared" si="39"/>
        <v>0</v>
      </c>
      <c r="E70" s="14">
        <f t="shared" si="39"/>
        <v>0</v>
      </c>
      <c r="F70" s="81">
        <f t="shared" si="39"/>
        <v>0</v>
      </c>
      <c r="G70" s="85">
        <f t="shared" si="39"/>
        <v>0</v>
      </c>
      <c r="H70" s="19">
        <f t="shared" si="39"/>
        <v>0</v>
      </c>
      <c r="I70" s="15">
        <f t="shared" si="39"/>
        <v>0</v>
      </c>
      <c r="J70" s="17">
        <f t="shared" si="39"/>
        <v>0</v>
      </c>
      <c r="K70" s="19">
        <f t="shared" si="39"/>
        <v>0</v>
      </c>
      <c r="L70" s="15">
        <f t="shared" si="39"/>
        <v>0</v>
      </c>
      <c r="M70" s="15">
        <f t="shared" si="39"/>
        <v>0</v>
      </c>
      <c r="N70" s="15">
        <f t="shared" si="39"/>
        <v>0</v>
      </c>
      <c r="O70" s="17">
        <f t="shared" si="31"/>
        <v>0</v>
      </c>
    </row>
    <row r="71" spans="1:15">
      <c r="A71" s="20" t="s">
        <v>41</v>
      </c>
      <c r="B71" s="14">
        <f t="shared" ref="B71:N71" si="40">B32</f>
        <v>0</v>
      </c>
      <c r="C71" s="81">
        <f t="shared" si="40"/>
        <v>0</v>
      </c>
      <c r="D71" s="82">
        <f t="shared" si="40"/>
        <v>0</v>
      </c>
      <c r="E71" s="14">
        <f t="shared" si="40"/>
        <v>0</v>
      </c>
      <c r="F71" s="81">
        <f t="shared" si="40"/>
        <v>0</v>
      </c>
      <c r="G71" s="85">
        <f t="shared" si="40"/>
        <v>0</v>
      </c>
      <c r="H71" s="19">
        <f t="shared" si="40"/>
        <v>0</v>
      </c>
      <c r="I71" s="15">
        <f t="shared" si="40"/>
        <v>0</v>
      </c>
      <c r="J71" s="17">
        <f t="shared" si="40"/>
        <v>0</v>
      </c>
      <c r="K71" s="19">
        <f t="shared" si="40"/>
        <v>0</v>
      </c>
      <c r="L71" s="15">
        <f t="shared" si="40"/>
        <v>0</v>
      </c>
      <c r="M71" s="15">
        <f t="shared" si="40"/>
        <v>0</v>
      </c>
      <c r="N71" s="15">
        <f t="shared" si="40"/>
        <v>0</v>
      </c>
      <c r="O71" s="17">
        <f t="shared" si="31"/>
        <v>0</v>
      </c>
    </row>
    <row r="72" spans="1:15">
      <c r="A72" s="13" t="s">
        <v>42</v>
      </c>
      <c r="B72" s="14">
        <f t="shared" ref="B72:N72" si="41">B33</f>
        <v>0</v>
      </c>
      <c r="C72" s="81">
        <f t="shared" si="41"/>
        <v>0</v>
      </c>
      <c r="D72" s="82">
        <f t="shared" si="41"/>
        <v>0</v>
      </c>
      <c r="E72" s="14">
        <f t="shared" si="41"/>
        <v>0</v>
      </c>
      <c r="F72" s="81">
        <f t="shared" si="41"/>
        <v>0</v>
      </c>
      <c r="G72" s="85">
        <f t="shared" si="41"/>
        <v>0</v>
      </c>
      <c r="H72" s="19">
        <f t="shared" si="41"/>
        <v>0</v>
      </c>
      <c r="I72" s="15">
        <f t="shared" si="41"/>
        <v>0</v>
      </c>
      <c r="J72" s="17">
        <f t="shared" si="41"/>
        <v>0</v>
      </c>
      <c r="K72" s="19">
        <f t="shared" si="41"/>
        <v>0</v>
      </c>
      <c r="L72" s="15">
        <f t="shared" si="41"/>
        <v>0</v>
      </c>
      <c r="M72" s="15">
        <f t="shared" si="41"/>
        <v>0</v>
      </c>
      <c r="N72" s="15">
        <f t="shared" si="41"/>
        <v>0</v>
      </c>
      <c r="O72" s="17">
        <f t="shared" si="31"/>
        <v>0</v>
      </c>
    </row>
    <row r="73" spans="1:15">
      <c r="A73" s="20" t="s">
        <v>43</v>
      </c>
      <c r="B73" s="14">
        <f t="shared" ref="B73:N73" si="42">B34</f>
        <v>0</v>
      </c>
      <c r="C73" s="81">
        <f t="shared" si="42"/>
        <v>0</v>
      </c>
      <c r="D73" s="82">
        <f t="shared" si="42"/>
        <v>0</v>
      </c>
      <c r="E73" s="14">
        <f t="shared" si="42"/>
        <v>0</v>
      </c>
      <c r="F73" s="81">
        <f t="shared" si="42"/>
        <v>0</v>
      </c>
      <c r="G73" s="85">
        <f t="shared" si="42"/>
        <v>0</v>
      </c>
      <c r="H73" s="19">
        <f t="shared" si="42"/>
        <v>0</v>
      </c>
      <c r="I73" s="15">
        <f t="shared" si="42"/>
        <v>0</v>
      </c>
      <c r="J73" s="17">
        <f t="shared" si="42"/>
        <v>0</v>
      </c>
      <c r="K73" s="19">
        <f t="shared" si="42"/>
        <v>0</v>
      </c>
      <c r="L73" s="15">
        <f t="shared" si="42"/>
        <v>0</v>
      </c>
      <c r="M73" s="15">
        <f t="shared" si="42"/>
        <v>0</v>
      </c>
      <c r="N73" s="15">
        <f t="shared" si="42"/>
        <v>0</v>
      </c>
      <c r="O73" s="17">
        <f t="shared" si="31"/>
        <v>0</v>
      </c>
    </row>
    <row r="74" spans="1:15">
      <c r="A74" s="13" t="s">
        <v>44</v>
      </c>
      <c r="B74" s="14">
        <f t="shared" ref="B74:N74" si="43">B35</f>
        <v>0</v>
      </c>
      <c r="C74" s="81">
        <f t="shared" si="43"/>
        <v>0</v>
      </c>
      <c r="D74" s="82">
        <f t="shared" si="43"/>
        <v>0</v>
      </c>
      <c r="E74" s="14">
        <f t="shared" si="43"/>
        <v>0</v>
      </c>
      <c r="F74" s="81">
        <f t="shared" si="43"/>
        <v>0</v>
      </c>
      <c r="G74" s="85">
        <f t="shared" si="43"/>
        <v>0</v>
      </c>
      <c r="H74" s="19">
        <f t="shared" si="43"/>
        <v>0</v>
      </c>
      <c r="I74" s="15">
        <f t="shared" si="43"/>
        <v>0</v>
      </c>
      <c r="J74" s="17">
        <f t="shared" si="43"/>
        <v>0</v>
      </c>
      <c r="K74" s="19">
        <f t="shared" si="43"/>
        <v>0</v>
      </c>
      <c r="L74" s="15">
        <f t="shared" si="43"/>
        <v>0</v>
      </c>
      <c r="M74" s="15">
        <f t="shared" si="43"/>
        <v>0</v>
      </c>
      <c r="N74" s="15">
        <f t="shared" si="43"/>
        <v>0</v>
      </c>
      <c r="O74" s="17">
        <f t="shared" si="31"/>
        <v>0</v>
      </c>
    </row>
    <row r="75" spans="1:15" ht="15.75" thickBot="1">
      <c r="A75" s="20" t="s">
        <v>45</v>
      </c>
      <c r="B75" s="21">
        <f t="shared" ref="B75:N75" si="44">B36</f>
        <v>0</v>
      </c>
      <c r="C75" s="83">
        <f t="shared" si="44"/>
        <v>0</v>
      </c>
      <c r="D75" s="84">
        <f t="shared" si="44"/>
        <v>0</v>
      </c>
      <c r="E75" s="21">
        <f t="shared" si="44"/>
        <v>0</v>
      </c>
      <c r="F75" s="83">
        <f t="shared" si="44"/>
        <v>0</v>
      </c>
      <c r="G75" s="86">
        <f t="shared" si="44"/>
        <v>0</v>
      </c>
      <c r="H75" s="26">
        <f t="shared" si="44"/>
        <v>0</v>
      </c>
      <c r="I75" s="22">
        <f t="shared" si="44"/>
        <v>0</v>
      </c>
      <c r="J75" s="24">
        <f t="shared" si="44"/>
        <v>0</v>
      </c>
      <c r="K75" s="26">
        <f t="shared" si="44"/>
        <v>0</v>
      </c>
      <c r="L75" s="22">
        <f t="shared" si="44"/>
        <v>0</v>
      </c>
      <c r="M75" s="22">
        <f t="shared" si="44"/>
        <v>0</v>
      </c>
      <c r="N75" s="22">
        <f t="shared" si="44"/>
        <v>0</v>
      </c>
      <c r="O75" s="24">
        <f t="shared" si="31"/>
        <v>0</v>
      </c>
    </row>
    <row r="76" spans="1:15" ht="16.5" thickBot="1">
      <c r="A76" s="5" t="s">
        <v>46</v>
      </c>
      <c r="B76" s="27">
        <f t="shared" ref="B76:N76" si="45">SUM(B44:B75)</f>
        <v>2260000</v>
      </c>
      <c r="C76" s="28">
        <f t="shared" si="45"/>
        <v>293800</v>
      </c>
      <c r="D76" s="29">
        <f t="shared" si="45"/>
        <v>1997500</v>
      </c>
      <c r="E76" s="30">
        <f t="shared" si="45"/>
        <v>349300</v>
      </c>
      <c r="F76" s="28">
        <f t="shared" si="45"/>
        <v>45409</v>
      </c>
      <c r="G76" s="31">
        <f t="shared" si="45"/>
        <v>504000</v>
      </c>
      <c r="H76" s="27">
        <f t="shared" si="45"/>
        <v>81300</v>
      </c>
      <c r="I76" s="28">
        <f t="shared" si="45"/>
        <v>10569</v>
      </c>
      <c r="J76" s="29">
        <f t="shared" si="45"/>
        <v>120000</v>
      </c>
      <c r="K76" s="60">
        <f t="shared" si="45"/>
        <v>2690600</v>
      </c>
      <c r="L76" s="32">
        <f t="shared" si="45"/>
        <v>349850</v>
      </c>
      <c r="M76" s="32">
        <f t="shared" si="45"/>
        <v>2621500</v>
      </c>
      <c r="N76" s="32">
        <f t="shared" si="45"/>
        <v>0</v>
      </c>
      <c r="O76" s="33">
        <f>SUM(O44:O75)</f>
        <v>-280750</v>
      </c>
    </row>
  </sheetData>
  <mergeCells count="3">
    <mergeCell ref="I1:N1"/>
    <mergeCell ref="B2:D2"/>
    <mergeCell ref="B41:D41"/>
  </mergeCells>
  <phoneticPr fontId="12" type="noConversion"/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76"/>
  <sheetViews>
    <sheetView showGridLines="0" zoomScale="80" zoomScaleNormal="80" workbookViewId="0"/>
  </sheetViews>
  <sheetFormatPr baseColWidth="10" defaultColWidth="11.42578125" defaultRowHeight="15"/>
  <cols>
    <col min="1" max="1" width="10.140625" style="1" customWidth="1"/>
    <col min="2" max="3" width="11.42578125" style="1"/>
    <col min="4" max="4" width="11.28515625" style="1" customWidth="1"/>
    <col min="5" max="5" width="10.5703125" style="1" customWidth="1"/>
    <col min="6" max="7" width="10.42578125" style="1" bestFit="1" customWidth="1"/>
    <col min="8" max="8" width="11.5703125" style="1" customWidth="1"/>
    <col min="9" max="14" width="11.42578125" style="1"/>
    <col min="15" max="15" width="12.425781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 ht="15.75" thickBot="1">
      <c r="H1" s="134" t="s">
        <v>0</v>
      </c>
      <c r="I1" s="135"/>
      <c r="J1" s="135"/>
      <c r="K1" s="135"/>
      <c r="L1" s="135"/>
      <c r="M1" s="135"/>
      <c r="N1" s="135"/>
      <c r="O1" s="136"/>
    </row>
    <row r="2" spans="1:15" ht="19.5" thickBot="1">
      <c r="A2" s="2" t="s">
        <v>1</v>
      </c>
      <c r="B2" s="137" t="s">
        <v>116</v>
      </c>
      <c r="C2" s="137"/>
      <c r="D2" s="137"/>
      <c r="H2" s="3" t="s">
        <v>2</v>
      </c>
      <c r="I2" s="4">
        <v>0.13</v>
      </c>
      <c r="J2" s="3" t="s">
        <v>3</v>
      </c>
      <c r="K2" s="4">
        <v>0.13</v>
      </c>
      <c r="L2" s="3" t="s">
        <v>4</v>
      </c>
      <c r="M2" s="4">
        <v>0.1</v>
      </c>
      <c r="N2" s="3" t="s">
        <v>88</v>
      </c>
      <c r="O2" s="4">
        <v>0.13</v>
      </c>
    </row>
    <row r="3" spans="1:15" ht="15.75" thickBot="1"/>
    <row r="4" spans="1:15" ht="30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36" si="0">+K5-L5-M5+N5</f>
        <v>0</v>
      </c>
    </row>
    <row r="6" spans="1:15">
      <c r="A6" s="20" t="s">
        <v>49</v>
      </c>
      <c r="B6" s="53">
        <f>[1]Vendedor3!$J$4</f>
        <v>0</v>
      </c>
      <c r="C6" s="58">
        <f>[1]Vendedor3!$K$4</f>
        <v>0</v>
      </c>
      <c r="D6" s="54">
        <f>[1]Vendedor3!$L$4</f>
        <v>0</v>
      </c>
      <c r="E6" s="53">
        <f>[1]Vendedor3!$J$5</f>
        <v>0</v>
      </c>
      <c r="F6" s="58">
        <f>[1]Vendedor3!$K$5</f>
        <v>0</v>
      </c>
      <c r="G6" s="55">
        <f>[1]Vendedor3!$L$5</f>
        <v>0</v>
      </c>
      <c r="H6" s="61">
        <f>[1]Vendedor3!$J$6</f>
        <v>0</v>
      </c>
      <c r="I6" s="58">
        <f>[1]Vendedor3!$K$6</f>
        <v>0</v>
      </c>
      <c r="J6" s="54">
        <f>[1]Vendedor3!$L$6</f>
        <v>0</v>
      </c>
      <c r="K6" s="59">
        <f>+B6+E6+H6</f>
        <v>0</v>
      </c>
      <c r="L6" s="58">
        <f>MROUND(C6+F6+I6,50)</f>
        <v>0</v>
      </c>
      <c r="M6" s="58">
        <f t="shared" ref="M6:M36" si="1">+D6+G6+J6</f>
        <v>0</v>
      </c>
      <c r="N6" s="58">
        <v>0</v>
      </c>
      <c r="O6" s="55">
        <f t="shared" si="0"/>
        <v>0</v>
      </c>
    </row>
    <row r="7" spans="1:15">
      <c r="A7" s="13" t="s">
        <v>50</v>
      </c>
      <c r="B7" s="14">
        <f>[2]Vendedor3!$J$4</f>
        <v>0</v>
      </c>
      <c r="C7" s="15">
        <f>[2]Vendedor3!$K$4</f>
        <v>0</v>
      </c>
      <c r="D7" s="16">
        <f>[2]Vendedor3!$L$4</f>
        <v>0</v>
      </c>
      <c r="E7" s="14">
        <f>[2]Vendedor3!$J$5</f>
        <v>0</v>
      </c>
      <c r="F7" s="15">
        <f>[2]Vendedor3!$K$5</f>
        <v>0</v>
      </c>
      <c r="G7" s="17">
        <f>[2]Vendedor3!$L$5</f>
        <v>0</v>
      </c>
      <c r="H7" s="18">
        <f>[2]Vendedor3!$J$6</f>
        <v>0</v>
      </c>
      <c r="I7" s="15">
        <f>[2]Vendedor3!$K$6</f>
        <v>0</v>
      </c>
      <c r="J7" s="16">
        <f>[2]Vendedor3!$L$6</f>
        <v>0</v>
      </c>
      <c r="K7" s="19">
        <f>+B7+E7+H7</f>
        <v>0</v>
      </c>
      <c r="L7" s="15">
        <f>MROUND(C7+F7+I7,50)</f>
        <v>0</v>
      </c>
      <c r="M7" s="15">
        <f t="shared" si="1"/>
        <v>0</v>
      </c>
      <c r="N7" s="15">
        <v>0</v>
      </c>
      <c r="O7" s="17">
        <f t="shared" si="0"/>
        <v>0</v>
      </c>
    </row>
    <row r="8" spans="1:15">
      <c r="A8" s="20" t="s">
        <v>51</v>
      </c>
      <c r="B8" s="14">
        <f>[3]Vendedor3!$J$4</f>
        <v>0</v>
      </c>
      <c r="C8" s="15">
        <f>[3]Vendedor3!$K$4</f>
        <v>0</v>
      </c>
      <c r="D8" s="16">
        <f>[3]Vendedor3!$L$4</f>
        <v>0</v>
      </c>
      <c r="E8" s="14">
        <f>[3]Vendedor3!$J$5</f>
        <v>0</v>
      </c>
      <c r="F8" s="15">
        <f>[3]Vendedor3!$K$5</f>
        <v>0</v>
      </c>
      <c r="G8" s="17">
        <f>[3]Vendedor3!$L$5</f>
        <v>0</v>
      </c>
      <c r="H8" s="18">
        <f>[3]Vendedor3!$J$6</f>
        <v>0</v>
      </c>
      <c r="I8" s="15">
        <f>[3]Vendedor3!$K$6</f>
        <v>0</v>
      </c>
      <c r="J8" s="16">
        <f>[3]Vendedor3!$L$6</f>
        <v>0</v>
      </c>
      <c r="K8" s="19">
        <f>+B8+E8+H8</f>
        <v>0</v>
      </c>
      <c r="L8" s="15">
        <f t="shared" ref="L8:L36" si="2">MROUND(C8+F8+I8,50)</f>
        <v>0</v>
      </c>
      <c r="M8" s="15">
        <f t="shared" si="1"/>
        <v>0</v>
      </c>
      <c r="N8" s="15">
        <v>0</v>
      </c>
      <c r="O8" s="17">
        <f t="shared" si="0"/>
        <v>0</v>
      </c>
    </row>
    <row r="9" spans="1:15">
      <c r="A9" s="13" t="s">
        <v>52</v>
      </c>
      <c r="B9" s="14">
        <f>[4]Vendedor3!$J$4</f>
        <v>0</v>
      </c>
      <c r="C9" s="15">
        <f>[4]Vendedor3!$K$4</f>
        <v>0</v>
      </c>
      <c r="D9" s="16">
        <f>[4]Vendedor3!$L$4</f>
        <v>0</v>
      </c>
      <c r="E9" s="14">
        <f>[4]Vendedor3!$J$5</f>
        <v>0</v>
      </c>
      <c r="F9" s="15">
        <f>[4]Vendedor3!$K$5</f>
        <v>0</v>
      </c>
      <c r="G9" s="17">
        <f>[4]Vendedor3!$L$5</f>
        <v>0</v>
      </c>
      <c r="H9" s="18">
        <f>[4]Vendedor3!$J$6</f>
        <v>0</v>
      </c>
      <c r="I9" s="15">
        <f>[4]Vendedor3!$K$6</f>
        <v>0</v>
      </c>
      <c r="J9" s="16">
        <f>[4]Vendedor3!$L$6</f>
        <v>0</v>
      </c>
      <c r="K9" s="19">
        <f>+B9+E9+H9</f>
        <v>0</v>
      </c>
      <c r="L9" s="15">
        <f t="shared" si="2"/>
        <v>0</v>
      </c>
      <c r="M9" s="15">
        <f t="shared" si="1"/>
        <v>0</v>
      </c>
      <c r="N9" s="15">
        <v>0</v>
      </c>
      <c r="O9" s="17">
        <f t="shared" si="0"/>
        <v>0</v>
      </c>
    </row>
    <row r="10" spans="1:15">
      <c r="A10" s="20" t="s">
        <v>53</v>
      </c>
      <c r="B10" s="14">
        <f>[5]Vendedor3!$J$4</f>
        <v>0</v>
      </c>
      <c r="C10" s="15">
        <f>[5]Vendedor3!$K$4</f>
        <v>0</v>
      </c>
      <c r="D10" s="16">
        <f>[5]Vendedor3!$L$4</f>
        <v>0</v>
      </c>
      <c r="E10" s="14">
        <f>[5]Vendedor3!$J$5</f>
        <v>0</v>
      </c>
      <c r="F10" s="15">
        <f>[5]Vendedor3!$K$5</f>
        <v>0</v>
      </c>
      <c r="G10" s="17">
        <f>[5]Vendedor3!$L$5</f>
        <v>0</v>
      </c>
      <c r="H10" s="18">
        <f>[5]Vendedor3!$J$6</f>
        <v>0</v>
      </c>
      <c r="I10" s="15">
        <f>[5]Vendedor3!$K$6</f>
        <v>0</v>
      </c>
      <c r="J10" s="16">
        <f>[5]Vendedor3!$L$6</f>
        <v>0</v>
      </c>
      <c r="K10" s="19">
        <f t="shared" ref="K10:K36" si="3">+B10+E10+H10</f>
        <v>0</v>
      </c>
      <c r="L10" s="15">
        <f t="shared" si="2"/>
        <v>0</v>
      </c>
      <c r="M10" s="15">
        <f t="shared" si="1"/>
        <v>0</v>
      </c>
      <c r="N10" s="15">
        <v>0</v>
      </c>
      <c r="O10" s="17">
        <f t="shared" si="0"/>
        <v>0</v>
      </c>
    </row>
    <row r="11" spans="1:15">
      <c r="A11" s="13" t="s">
        <v>20</v>
      </c>
      <c r="B11" s="14">
        <f>[6]Vendedor3!$J$4</f>
        <v>0</v>
      </c>
      <c r="C11" s="15">
        <f>[6]Vendedor3!$K$4</f>
        <v>0</v>
      </c>
      <c r="D11" s="16">
        <f>[6]Vendedor3!$L$4</f>
        <v>0</v>
      </c>
      <c r="E11" s="14">
        <f>[6]Vendedor3!$J$5</f>
        <v>0</v>
      </c>
      <c r="F11" s="15">
        <f>[6]Vendedor3!$K$5</f>
        <v>0</v>
      </c>
      <c r="G11" s="17">
        <f>[6]Vendedor3!$L$5</f>
        <v>0</v>
      </c>
      <c r="H11" s="18">
        <f>[6]Vendedor3!$J$6</f>
        <v>0</v>
      </c>
      <c r="I11" s="15">
        <f>[6]Vendedor3!$K$6</f>
        <v>0</v>
      </c>
      <c r="J11" s="16">
        <f>[6]Vendedor3!$L$6</f>
        <v>0</v>
      </c>
      <c r="K11" s="19">
        <f t="shared" si="3"/>
        <v>0</v>
      </c>
      <c r="L11" s="15">
        <f t="shared" si="2"/>
        <v>0</v>
      </c>
      <c r="M11" s="15">
        <f t="shared" si="1"/>
        <v>0</v>
      </c>
      <c r="N11" s="15">
        <v>0</v>
      </c>
      <c r="O11" s="17">
        <f t="shared" si="0"/>
        <v>0</v>
      </c>
    </row>
    <row r="12" spans="1:15">
      <c r="A12" s="20" t="s">
        <v>21</v>
      </c>
      <c r="B12" s="14">
        <f>[7]Vendedor3!$J$4</f>
        <v>0</v>
      </c>
      <c r="C12" s="15">
        <f>[7]Vendedor3!$K$4</f>
        <v>0</v>
      </c>
      <c r="D12" s="16">
        <f>[7]Vendedor3!$L$4</f>
        <v>0</v>
      </c>
      <c r="E12" s="14">
        <f>[7]Vendedor3!$J$5</f>
        <v>0</v>
      </c>
      <c r="F12" s="15">
        <f>[7]Vendedor3!$K$5</f>
        <v>0</v>
      </c>
      <c r="G12" s="17">
        <f>[7]Vendedor3!$L$5</f>
        <v>0</v>
      </c>
      <c r="H12" s="18">
        <f>[7]Vendedor3!$J$6</f>
        <v>0</v>
      </c>
      <c r="I12" s="15">
        <f>[7]Vendedor3!$K$6</f>
        <v>0</v>
      </c>
      <c r="J12" s="16">
        <f>[7]Vendedor3!$L$6</f>
        <v>0</v>
      </c>
      <c r="K12" s="19">
        <f t="shared" si="3"/>
        <v>0</v>
      </c>
      <c r="L12" s="15">
        <f t="shared" si="2"/>
        <v>0</v>
      </c>
      <c r="M12" s="15">
        <f t="shared" si="1"/>
        <v>0</v>
      </c>
      <c r="N12" s="15">
        <v>0</v>
      </c>
      <c r="O12" s="17">
        <f t="shared" si="0"/>
        <v>0</v>
      </c>
    </row>
    <row r="13" spans="1:15">
      <c r="A13" s="13" t="s">
        <v>22</v>
      </c>
      <c r="B13" s="14">
        <f>[8]Vendedor3!$J$4</f>
        <v>0</v>
      </c>
      <c r="C13" s="15">
        <f>[8]Vendedor3!$K$4</f>
        <v>0</v>
      </c>
      <c r="D13" s="16">
        <f>[8]Vendedor3!$L$4</f>
        <v>0</v>
      </c>
      <c r="E13" s="14">
        <f>[8]Vendedor3!$J$5</f>
        <v>0</v>
      </c>
      <c r="F13" s="15">
        <f>[8]Vendedor3!$K$5</f>
        <v>0</v>
      </c>
      <c r="G13" s="17">
        <f>[8]Vendedor3!$L$5</f>
        <v>0</v>
      </c>
      <c r="H13" s="18">
        <f>[8]Vendedor3!$J$6</f>
        <v>0</v>
      </c>
      <c r="I13" s="15">
        <f>[8]Vendedor3!$K$6</f>
        <v>0</v>
      </c>
      <c r="J13" s="16">
        <f>[8]Vendedor3!$L$6</f>
        <v>0</v>
      </c>
      <c r="K13" s="19">
        <f t="shared" si="3"/>
        <v>0</v>
      </c>
      <c r="L13" s="15">
        <f t="shared" si="2"/>
        <v>0</v>
      </c>
      <c r="M13" s="15">
        <f t="shared" si="1"/>
        <v>0</v>
      </c>
      <c r="N13" s="15">
        <v>0</v>
      </c>
      <c r="O13" s="17">
        <f t="shared" si="0"/>
        <v>0</v>
      </c>
    </row>
    <row r="14" spans="1:15">
      <c r="A14" s="20" t="s">
        <v>23</v>
      </c>
      <c r="B14" s="14">
        <f>[9]Vendedor3!$J$4</f>
        <v>0</v>
      </c>
      <c r="C14" s="15">
        <f>[9]Vendedor3!$K$4</f>
        <v>0</v>
      </c>
      <c r="D14" s="16">
        <f>[9]Vendedor3!$L$4</f>
        <v>0</v>
      </c>
      <c r="E14" s="14">
        <f>[9]Vendedor3!$J$5</f>
        <v>0</v>
      </c>
      <c r="F14" s="15">
        <f>[9]Vendedor3!$K$5</f>
        <v>0</v>
      </c>
      <c r="G14" s="17">
        <f>[9]Vendedor3!$L$5</f>
        <v>0</v>
      </c>
      <c r="H14" s="18">
        <f>[9]Vendedor3!$J$6</f>
        <v>0</v>
      </c>
      <c r="I14" s="15">
        <f>[9]Vendedor3!$K$6</f>
        <v>0</v>
      </c>
      <c r="J14" s="16">
        <f>[9]Vendedor3!$L$6</f>
        <v>0</v>
      </c>
      <c r="K14" s="19">
        <f t="shared" si="3"/>
        <v>0</v>
      </c>
      <c r="L14" s="15">
        <f t="shared" si="2"/>
        <v>0</v>
      </c>
      <c r="M14" s="15">
        <f t="shared" si="1"/>
        <v>0</v>
      </c>
      <c r="N14" s="15">
        <v>0</v>
      </c>
      <c r="O14" s="17">
        <f t="shared" si="0"/>
        <v>0</v>
      </c>
    </row>
    <row r="15" spans="1:15">
      <c r="A15" s="13" t="s">
        <v>24</v>
      </c>
      <c r="B15" s="14">
        <f>[12]Vendedor3!$J$4</f>
        <v>0</v>
      </c>
      <c r="C15" s="15">
        <f>[12]Vendedor3!$K$4</f>
        <v>0</v>
      </c>
      <c r="D15" s="16">
        <f>[12]Vendedor3!$L$4</f>
        <v>0</v>
      </c>
      <c r="E15" s="14">
        <f>[12]Vendedor3!$J$5</f>
        <v>0</v>
      </c>
      <c r="F15" s="15">
        <f>[12]Vendedor3!$K$5</f>
        <v>0</v>
      </c>
      <c r="G15" s="17">
        <f>[12]Vendedor3!$L$5</f>
        <v>0</v>
      </c>
      <c r="H15" s="18">
        <f>[12]Vendedor3!$J$6</f>
        <v>0</v>
      </c>
      <c r="I15" s="15">
        <f>[12]Vendedor3!$K$6</f>
        <v>0</v>
      </c>
      <c r="J15" s="16">
        <f>[12]Vendedor3!$L$6</f>
        <v>0</v>
      </c>
      <c r="K15" s="19">
        <f t="shared" si="3"/>
        <v>0</v>
      </c>
      <c r="L15" s="15">
        <f t="shared" si="2"/>
        <v>0</v>
      </c>
      <c r="M15" s="15">
        <f t="shared" si="1"/>
        <v>0</v>
      </c>
      <c r="N15" s="15">
        <v>0</v>
      </c>
      <c r="O15" s="17">
        <f t="shared" si="0"/>
        <v>0</v>
      </c>
    </row>
    <row r="16" spans="1:15">
      <c r="A16" s="20" t="s">
        <v>25</v>
      </c>
      <c r="B16" s="14">
        <f>[13]Vendedor3!$J$4</f>
        <v>0</v>
      </c>
      <c r="C16" s="15">
        <f>[13]Vendedor3!$K$4</f>
        <v>0</v>
      </c>
      <c r="D16" s="16">
        <f>[13]Vendedor3!$L$4</f>
        <v>0</v>
      </c>
      <c r="E16" s="14">
        <f>[13]Vendedor3!$J$5</f>
        <v>0</v>
      </c>
      <c r="F16" s="15">
        <f>[13]Vendedor3!$K$5</f>
        <v>0</v>
      </c>
      <c r="G16" s="17">
        <f>[13]Vendedor3!$L$5</f>
        <v>0</v>
      </c>
      <c r="H16" s="18">
        <f>[13]Vendedor3!$J$6</f>
        <v>0</v>
      </c>
      <c r="I16" s="15">
        <f>[13]Vendedor3!$K$6</f>
        <v>0</v>
      </c>
      <c r="J16" s="16">
        <f>[13]Vendedor3!$L$6</f>
        <v>0</v>
      </c>
      <c r="K16" s="19">
        <f t="shared" si="3"/>
        <v>0</v>
      </c>
      <c r="L16" s="15">
        <f t="shared" si="2"/>
        <v>0</v>
      </c>
      <c r="M16" s="15">
        <f t="shared" si="1"/>
        <v>0</v>
      </c>
      <c r="N16" s="15">
        <v>0</v>
      </c>
      <c r="O16" s="17">
        <f t="shared" si="0"/>
        <v>0</v>
      </c>
    </row>
    <row r="17" spans="1:15">
      <c r="A17" s="13" t="s">
        <v>26</v>
      </c>
      <c r="B17" s="14">
        <f>[14]Vendedor3!$J$4</f>
        <v>0</v>
      </c>
      <c r="C17" s="15">
        <f>[14]Vendedor3!$K$4</f>
        <v>0</v>
      </c>
      <c r="D17" s="16">
        <f>[14]Vendedor3!$L$4</f>
        <v>0</v>
      </c>
      <c r="E17" s="14">
        <f>[14]Vendedor3!$J$5</f>
        <v>0</v>
      </c>
      <c r="F17" s="15">
        <f>[14]Vendedor3!$K$5</f>
        <v>0</v>
      </c>
      <c r="G17" s="17">
        <f>[14]Vendedor3!$L$5</f>
        <v>0</v>
      </c>
      <c r="H17" s="18">
        <f>[14]Vendedor3!$J$6</f>
        <v>0</v>
      </c>
      <c r="I17" s="15">
        <f>[14]Vendedor3!$K$6</f>
        <v>0</v>
      </c>
      <c r="J17" s="16">
        <f>[14]Vendedor3!$L$6</f>
        <v>0</v>
      </c>
      <c r="K17" s="19">
        <f t="shared" si="3"/>
        <v>0</v>
      </c>
      <c r="L17" s="15">
        <f t="shared" si="2"/>
        <v>0</v>
      </c>
      <c r="M17" s="15">
        <f t="shared" si="1"/>
        <v>0</v>
      </c>
      <c r="N17" s="15">
        <v>0</v>
      </c>
      <c r="O17" s="17">
        <f t="shared" si="0"/>
        <v>0</v>
      </c>
    </row>
    <row r="18" spans="1:15">
      <c r="A18" s="20" t="s">
        <v>27</v>
      </c>
      <c r="B18" s="14">
        <f>[15]Vendedor3!$J$4</f>
        <v>0</v>
      </c>
      <c r="C18" s="15">
        <f>[15]Vendedor3!$K$4</f>
        <v>0</v>
      </c>
      <c r="D18" s="16">
        <f>[15]Vendedor3!$L$4</f>
        <v>0</v>
      </c>
      <c r="E18" s="14">
        <f>[15]Vendedor3!$J$5</f>
        <v>0</v>
      </c>
      <c r="F18" s="15">
        <f>[15]Vendedor3!$K$5</f>
        <v>0</v>
      </c>
      <c r="G18" s="17">
        <f>[15]Vendedor3!$L$5</f>
        <v>0</v>
      </c>
      <c r="H18" s="18">
        <f>[15]Vendedor3!$J$6</f>
        <v>0</v>
      </c>
      <c r="I18" s="15">
        <f>[15]Vendedor3!$K$6</f>
        <v>0</v>
      </c>
      <c r="J18" s="16">
        <f>[15]Vendedor3!$L$6</f>
        <v>0</v>
      </c>
      <c r="K18" s="19">
        <f t="shared" si="3"/>
        <v>0</v>
      </c>
      <c r="L18" s="15">
        <f t="shared" si="2"/>
        <v>0</v>
      </c>
      <c r="M18" s="15">
        <f t="shared" si="1"/>
        <v>0</v>
      </c>
      <c r="N18" s="15">
        <v>0</v>
      </c>
      <c r="O18" s="17">
        <f t="shared" si="0"/>
        <v>0</v>
      </c>
    </row>
    <row r="19" spans="1:15">
      <c r="A19" s="20" t="s">
        <v>28</v>
      </c>
      <c r="B19" s="14">
        <f>[16]Vendedor3!$J$4</f>
        <v>0</v>
      </c>
      <c r="C19" s="15">
        <f>[16]Vendedor3!$K$4</f>
        <v>0</v>
      </c>
      <c r="D19" s="16">
        <f>[16]Vendedor3!$L$4</f>
        <v>0</v>
      </c>
      <c r="E19" s="14">
        <f>[16]Vendedor3!$J$5</f>
        <v>0</v>
      </c>
      <c r="F19" s="15">
        <f>[16]Vendedor3!$K$5</f>
        <v>0</v>
      </c>
      <c r="G19" s="17">
        <f>[16]Vendedor3!$L$5</f>
        <v>0</v>
      </c>
      <c r="H19" s="18">
        <f>[16]Vendedor3!$J$6</f>
        <v>0</v>
      </c>
      <c r="I19" s="15">
        <f>[16]Vendedor3!$K$6</f>
        <v>0</v>
      </c>
      <c r="J19" s="16">
        <f>[16]Vendedor3!$L$6</f>
        <v>0</v>
      </c>
      <c r="K19" s="19">
        <f t="shared" si="3"/>
        <v>0</v>
      </c>
      <c r="L19" s="15">
        <f t="shared" si="2"/>
        <v>0</v>
      </c>
      <c r="M19" s="15">
        <f t="shared" si="1"/>
        <v>0</v>
      </c>
      <c r="N19" s="15">
        <v>0</v>
      </c>
      <c r="O19" s="17">
        <f t="shared" si="0"/>
        <v>0</v>
      </c>
    </row>
    <row r="20" spans="1:15">
      <c r="A20" s="13" t="s">
        <v>29</v>
      </c>
      <c r="B20" s="14">
        <f>[17]Vendedor3!$J$4</f>
        <v>0</v>
      </c>
      <c r="C20" s="15">
        <f>[17]Vendedor3!$K$4</f>
        <v>0</v>
      </c>
      <c r="D20" s="16">
        <f>[17]Vendedor3!$L$4</f>
        <v>0</v>
      </c>
      <c r="E20" s="14">
        <f>[17]Vendedor3!$J$5</f>
        <v>0</v>
      </c>
      <c r="F20" s="15">
        <f>[17]Vendedor3!$K$5</f>
        <v>0</v>
      </c>
      <c r="G20" s="17">
        <f>[17]Vendedor3!$L$5</f>
        <v>0</v>
      </c>
      <c r="H20" s="18">
        <f>[17]Vendedor3!$J$6</f>
        <v>0</v>
      </c>
      <c r="I20" s="15">
        <f>[17]Vendedor3!$K$6</f>
        <v>0</v>
      </c>
      <c r="J20" s="16">
        <f>[17]Vendedor3!$L$6</f>
        <v>0</v>
      </c>
      <c r="K20" s="19">
        <f t="shared" si="3"/>
        <v>0</v>
      </c>
      <c r="L20" s="15">
        <f t="shared" si="2"/>
        <v>0</v>
      </c>
      <c r="M20" s="15">
        <f t="shared" si="1"/>
        <v>0</v>
      </c>
      <c r="N20" s="15">
        <v>0</v>
      </c>
      <c r="O20" s="17">
        <f t="shared" si="0"/>
        <v>0</v>
      </c>
    </row>
    <row r="21" spans="1:15">
      <c r="A21" s="20" t="s">
        <v>30</v>
      </c>
      <c r="B21" s="14">
        <f>[18]Vendedor3!$J$4</f>
        <v>0</v>
      </c>
      <c r="C21" s="81">
        <f>[18]Vendedor3!$K$4</f>
        <v>0</v>
      </c>
      <c r="D21" s="82">
        <f>[18]Vendedor3!$L$4</f>
        <v>0</v>
      </c>
      <c r="E21" s="14">
        <f>[18]Vendedor3!$J$5</f>
        <v>0</v>
      </c>
      <c r="F21" s="81">
        <f>[18]Vendedor3!$K$5</f>
        <v>0</v>
      </c>
      <c r="G21" s="85">
        <f>[18]Vendedor3!$L$5</f>
        <v>0</v>
      </c>
      <c r="H21" s="19">
        <f>[18]Vendedor3!$J$6</f>
        <v>0</v>
      </c>
      <c r="I21" s="15">
        <f>[18]Vendedor3!$K$6</f>
        <v>0</v>
      </c>
      <c r="J21" s="17">
        <f>[18]Vendedor3!$L$6</f>
        <v>0</v>
      </c>
      <c r="K21" s="19">
        <f t="shared" si="3"/>
        <v>0</v>
      </c>
      <c r="L21" s="15">
        <f t="shared" si="2"/>
        <v>0</v>
      </c>
      <c r="M21" s="15">
        <f t="shared" si="1"/>
        <v>0</v>
      </c>
      <c r="N21" s="15">
        <v>0</v>
      </c>
      <c r="O21" s="17">
        <f t="shared" si="0"/>
        <v>0</v>
      </c>
    </row>
    <row r="22" spans="1:15">
      <c r="A22" s="13" t="s">
        <v>31</v>
      </c>
      <c r="B22" s="14">
        <f>[19]Vendedor3!$J$4</f>
        <v>0</v>
      </c>
      <c r="C22" s="81">
        <f>[19]Vendedor3!$K$4</f>
        <v>0</v>
      </c>
      <c r="D22" s="82">
        <f>[19]Vendedor3!$L$4</f>
        <v>0</v>
      </c>
      <c r="E22" s="14">
        <f>[19]Vendedor3!$J$5</f>
        <v>0</v>
      </c>
      <c r="F22" s="81">
        <f>[19]Vendedor3!$K$5</f>
        <v>0</v>
      </c>
      <c r="G22" s="85">
        <f>[19]Vendedor3!$L$5</f>
        <v>0</v>
      </c>
      <c r="H22" s="19">
        <f>[19]Vendedor3!$J$6</f>
        <v>0</v>
      </c>
      <c r="I22" s="15">
        <f>[19]Vendedor3!$K$6</f>
        <v>0</v>
      </c>
      <c r="J22" s="17">
        <f>[19]Vendedor3!$L$6</f>
        <v>0</v>
      </c>
      <c r="K22" s="19">
        <f t="shared" si="3"/>
        <v>0</v>
      </c>
      <c r="L22" s="15">
        <f t="shared" si="2"/>
        <v>0</v>
      </c>
      <c r="M22" s="15">
        <f t="shared" si="1"/>
        <v>0</v>
      </c>
      <c r="N22" s="15">
        <v>0</v>
      </c>
      <c r="O22" s="17">
        <f t="shared" si="0"/>
        <v>0</v>
      </c>
    </row>
    <row r="23" spans="1:15">
      <c r="A23" s="20" t="s">
        <v>32</v>
      </c>
      <c r="B23" s="14">
        <f>[20]Vendedor3!$J$4</f>
        <v>0</v>
      </c>
      <c r="C23" s="81">
        <f>[20]Vendedor3!$K$4</f>
        <v>0</v>
      </c>
      <c r="D23" s="82">
        <f>[20]Vendedor3!$L$4</f>
        <v>0</v>
      </c>
      <c r="E23" s="14">
        <f>[20]Vendedor3!$J$5</f>
        <v>0</v>
      </c>
      <c r="F23" s="81">
        <f>[20]Vendedor3!$K$5</f>
        <v>0</v>
      </c>
      <c r="G23" s="85">
        <f>[20]Vendedor3!$L$5</f>
        <v>0</v>
      </c>
      <c r="H23" s="19">
        <f>[20]Vendedor3!$J$6</f>
        <v>0</v>
      </c>
      <c r="I23" s="15">
        <f>[20]Vendedor3!$K$6</f>
        <v>0</v>
      </c>
      <c r="J23" s="17">
        <f>[20]Vendedor3!$L$6</f>
        <v>0</v>
      </c>
      <c r="K23" s="19">
        <f t="shared" si="3"/>
        <v>0</v>
      </c>
      <c r="L23" s="15">
        <f t="shared" si="2"/>
        <v>0</v>
      </c>
      <c r="M23" s="15">
        <f t="shared" si="1"/>
        <v>0</v>
      </c>
      <c r="N23" s="15">
        <v>0</v>
      </c>
      <c r="O23" s="17">
        <f t="shared" si="0"/>
        <v>0</v>
      </c>
    </row>
    <row r="24" spans="1:15">
      <c r="A24" s="13" t="s">
        <v>33</v>
      </c>
      <c r="B24" s="14">
        <f>[21]Vendedor3!$J$4</f>
        <v>0</v>
      </c>
      <c r="C24" s="81">
        <f>[21]Vendedor3!$K$4</f>
        <v>0</v>
      </c>
      <c r="D24" s="82">
        <f>[21]Vendedor3!$L$4</f>
        <v>0</v>
      </c>
      <c r="E24" s="14">
        <f>[21]Vendedor3!$J$5</f>
        <v>0</v>
      </c>
      <c r="F24" s="81">
        <f>[21]Vendedor3!$K$5</f>
        <v>0</v>
      </c>
      <c r="G24" s="85">
        <f>[21]Vendedor3!$L$5</f>
        <v>0</v>
      </c>
      <c r="H24" s="19">
        <f>[21]Vendedor3!$J$6</f>
        <v>0</v>
      </c>
      <c r="I24" s="15">
        <f>[21]Vendedor3!$K$6</f>
        <v>0</v>
      </c>
      <c r="J24" s="17">
        <f>[21]Vendedor3!$L$6</f>
        <v>0</v>
      </c>
      <c r="K24" s="19">
        <f t="shared" si="3"/>
        <v>0</v>
      </c>
      <c r="L24" s="15">
        <f t="shared" si="2"/>
        <v>0</v>
      </c>
      <c r="M24" s="15">
        <f t="shared" si="1"/>
        <v>0</v>
      </c>
      <c r="N24" s="15">
        <v>0</v>
      </c>
      <c r="O24" s="17">
        <f t="shared" si="0"/>
        <v>0</v>
      </c>
    </row>
    <row r="25" spans="1:15">
      <c r="A25" s="20" t="s">
        <v>34</v>
      </c>
      <c r="B25" s="14">
        <f>[22]Vendedor3!$J$4</f>
        <v>0</v>
      </c>
      <c r="C25" s="81">
        <f>[22]Vendedor3!$K$4</f>
        <v>0</v>
      </c>
      <c r="D25" s="82">
        <f>[22]Vendedor3!$L$4</f>
        <v>0</v>
      </c>
      <c r="E25" s="14">
        <f>[22]Vendedor3!$J$5</f>
        <v>0</v>
      </c>
      <c r="F25" s="81">
        <f>[22]Vendedor3!$K$5</f>
        <v>0</v>
      </c>
      <c r="G25" s="85">
        <f>[22]Vendedor3!$L$5</f>
        <v>0</v>
      </c>
      <c r="H25" s="19">
        <f>[22]Vendedor3!$J$6</f>
        <v>0</v>
      </c>
      <c r="I25" s="15">
        <f>[22]Vendedor3!$K$6</f>
        <v>0</v>
      </c>
      <c r="J25" s="17">
        <f>[22]Vendedor3!$L$6</f>
        <v>0</v>
      </c>
      <c r="K25" s="19">
        <f t="shared" si="3"/>
        <v>0</v>
      </c>
      <c r="L25" s="15">
        <f t="shared" si="2"/>
        <v>0</v>
      </c>
      <c r="M25" s="15">
        <f t="shared" si="1"/>
        <v>0</v>
      </c>
      <c r="N25" s="15">
        <v>0</v>
      </c>
      <c r="O25" s="17">
        <f t="shared" si="0"/>
        <v>0</v>
      </c>
    </row>
    <row r="26" spans="1:15">
      <c r="A26" s="13" t="s">
        <v>35</v>
      </c>
      <c r="B26" s="14">
        <f>[23]Vendedor3!$J$4</f>
        <v>0</v>
      </c>
      <c r="C26" s="81">
        <f>[23]Vendedor3!$K$4</f>
        <v>0</v>
      </c>
      <c r="D26" s="82">
        <f>[23]Vendedor3!$L$4</f>
        <v>0</v>
      </c>
      <c r="E26" s="14">
        <f>[23]Vendedor3!$J$5</f>
        <v>0</v>
      </c>
      <c r="F26" s="81">
        <f>[23]Vendedor3!$K$5</f>
        <v>0</v>
      </c>
      <c r="G26" s="85">
        <f>[23]Vendedor3!$L$5</f>
        <v>0</v>
      </c>
      <c r="H26" s="19">
        <f>[23]Vendedor3!$J$6</f>
        <v>0</v>
      </c>
      <c r="I26" s="15">
        <f>[23]Vendedor3!$K$6</f>
        <v>0</v>
      </c>
      <c r="J26" s="17">
        <f>[23]Vendedor3!$L$6</f>
        <v>0</v>
      </c>
      <c r="K26" s="19">
        <f t="shared" si="3"/>
        <v>0</v>
      </c>
      <c r="L26" s="15">
        <f t="shared" si="2"/>
        <v>0</v>
      </c>
      <c r="M26" s="15">
        <f t="shared" si="1"/>
        <v>0</v>
      </c>
      <c r="N26" s="15">
        <v>0</v>
      </c>
      <c r="O26" s="17">
        <f t="shared" si="0"/>
        <v>0</v>
      </c>
    </row>
    <row r="27" spans="1:15">
      <c r="A27" s="20" t="s">
        <v>36</v>
      </c>
      <c r="B27" s="14">
        <f>[24]Vendedor3!$J$4</f>
        <v>0</v>
      </c>
      <c r="C27" s="81">
        <f>[24]Vendedor3!$K$4</f>
        <v>0</v>
      </c>
      <c r="D27" s="82">
        <f>[24]Vendedor3!$L$4</f>
        <v>0</v>
      </c>
      <c r="E27" s="14">
        <f>[24]Vendedor3!$J$5</f>
        <v>0</v>
      </c>
      <c r="F27" s="81">
        <f>[24]Vendedor3!$K$5</f>
        <v>0</v>
      </c>
      <c r="G27" s="85">
        <f>[24]Vendedor3!$L$5</f>
        <v>0</v>
      </c>
      <c r="H27" s="19">
        <f>[24]Vendedor3!$J$6</f>
        <v>0</v>
      </c>
      <c r="I27" s="15">
        <f>[24]Vendedor3!$K$6</f>
        <v>0</v>
      </c>
      <c r="J27" s="17">
        <f>[24]Vendedor3!$L$6</f>
        <v>0</v>
      </c>
      <c r="K27" s="19">
        <f t="shared" si="3"/>
        <v>0</v>
      </c>
      <c r="L27" s="15">
        <f t="shared" si="2"/>
        <v>0</v>
      </c>
      <c r="M27" s="15">
        <f t="shared" si="1"/>
        <v>0</v>
      </c>
      <c r="N27" s="15">
        <v>0</v>
      </c>
      <c r="O27" s="17">
        <f t="shared" si="0"/>
        <v>0</v>
      </c>
    </row>
    <row r="28" spans="1:15">
      <c r="A28" s="13" t="s">
        <v>37</v>
      </c>
      <c r="B28" s="14">
        <f>[25]Vendedor3!$J$4</f>
        <v>0</v>
      </c>
      <c r="C28" s="81">
        <f>[25]Vendedor3!$K$4</f>
        <v>0</v>
      </c>
      <c r="D28" s="82">
        <f>[25]Vendedor3!$L$4</f>
        <v>0</v>
      </c>
      <c r="E28" s="14">
        <f>[25]Vendedor3!$J$5</f>
        <v>0</v>
      </c>
      <c r="F28" s="81">
        <f>[25]Vendedor3!$K$5</f>
        <v>0</v>
      </c>
      <c r="G28" s="85">
        <f>[25]Vendedor3!$L$5</f>
        <v>0</v>
      </c>
      <c r="H28" s="19">
        <f>[25]Vendedor3!$J$6</f>
        <v>0</v>
      </c>
      <c r="I28" s="15">
        <f>[25]Vendedor3!$K$6</f>
        <v>0</v>
      </c>
      <c r="J28" s="17">
        <f>[25]Vendedor3!$L$6</f>
        <v>0</v>
      </c>
      <c r="K28" s="19">
        <f t="shared" si="3"/>
        <v>0</v>
      </c>
      <c r="L28" s="15">
        <f t="shared" si="2"/>
        <v>0</v>
      </c>
      <c r="M28" s="15">
        <f t="shared" si="1"/>
        <v>0</v>
      </c>
      <c r="N28" s="15">
        <v>0</v>
      </c>
      <c r="O28" s="17">
        <f t="shared" si="0"/>
        <v>0</v>
      </c>
    </row>
    <row r="29" spans="1:15">
      <c r="A29" s="20" t="s">
        <v>38</v>
      </c>
      <c r="B29" s="14">
        <f>[26]Vendedor3!$J$4</f>
        <v>0</v>
      </c>
      <c r="C29" s="81">
        <f>[26]Vendedor3!$K$4</f>
        <v>0</v>
      </c>
      <c r="D29" s="82">
        <f>[26]Vendedor3!$L$4</f>
        <v>0</v>
      </c>
      <c r="E29" s="14">
        <f>[26]Vendedor3!$J$5</f>
        <v>0</v>
      </c>
      <c r="F29" s="81">
        <f>[26]Vendedor3!$K$5</f>
        <v>0</v>
      </c>
      <c r="G29" s="85">
        <f>[26]Vendedor3!$L$5</f>
        <v>0</v>
      </c>
      <c r="H29" s="19">
        <f>[26]Vendedor3!$J$6</f>
        <v>0</v>
      </c>
      <c r="I29" s="15">
        <f>[26]Vendedor3!$K$6</f>
        <v>0</v>
      </c>
      <c r="J29" s="17">
        <f>[26]Vendedor3!$L$6</f>
        <v>0</v>
      </c>
      <c r="K29" s="19">
        <f t="shared" si="3"/>
        <v>0</v>
      </c>
      <c r="L29" s="15">
        <f t="shared" si="2"/>
        <v>0</v>
      </c>
      <c r="M29" s="15">
        <f t="shared" si="1"/>
        <v>0</v>
      </c>
      <c r="N29" s="15">
        <v>0</v>
      </c>
      <c r="O29" s="17">
        <f t="shared" si="0"/>
        <v>0</v>
      </c>
    </row>
    <row r="30" spans="1:15">
      <c r="A30" s="13" t="s">
        <v>39</v>
      </c>
      <c r="B30" s="14">
        <f>[27]Vendedor3!$J$4</f>
        <v>0</v>
      </c>
      <c r="C30" s="81">
        <f>[27]Vendedor3!$K$4</f>
        <v>0</v>
      </c>
      <c r="D30" s="82">
        <f>[27]Vendedor3!$L$4</f>
        <v>0</v>
      </c>
      <c r="E30" s="14">
        <f>[27]Vendedor3!$J$5</f>
        <v>0</v>
      </c>
      <c r="F30" s="81">
        <f>[27]Vendedor3!$K$5</f>
        <v>0</v>
      </c>
      <c r="G30" s="85">
        <f>[27]Vendedor3!$L$5</f>
        <v>0</v>
      </c>
      <c r="H30" s="19">
        <f>[27]Vendedor3!$J$6</f>
        <v>0</v>
      </c>
      <c r="I30" s="15">
        <f>[27]Vendedor3!$K$6</f>
        <v>0</v>
      </c>
      <c r="J30" s="17">
        <f>[27]Vendedor3!$L$6</f>
        <v>0</v>
      </c>
      <c r="K30" s="19">
        <f t="shared" si="3"/>
        <v>0</v>
      </c>
      <c r="L30" s="15">
        <f t="shared" si="2"/>
        <v>0</v>
      </c>
      <c r="M30" s="15">
        <f t="shared" si="1"/>
        <v>0</v>
      </c>
      <c r="N30" s="15">
        <v>0</v>
      </c>
      <c r="O30" s="17">
        <f t="shared" si="0"/>
        <v>0</v>
      </c>
    </row>
    <row r="31" spans="1:15">
      <c r="A31" s="20" t="s">
        <v>40</v>
      </c>
      <c r="B31" s="14">
        <f>[28]Vendedor3!$J$4</f>
        <v>0</v>
      </c>
      <c r="C31" s="81">
        <f>[28]Vendedor3!$K$4</f>
        <v>0</v>
      </c>
      <c r="D31" s="82">
        <f>[28]Vendedor3!$L$4</f>
        <v>0</v>
      </c>
      <c r="E31" s="14">
        <f>[28]Vendedor3!$J$5</f>
        <v>0</v>
      </c>
      <c r="F31" s="81">
        <f>[28]Vendedor3!$K$5</f>
        <v>0</v>
      </c>
      <c r="G31" s="85">
        <f>[28]Vendedor3!$L$5</f>
        <v>0</v>
      </c>
      <c r="H31" s="19">
        <f>[28]Vendedor3!$J$6</f>
        <v>0</v>
      </c>
      <c r="I31" s="15">
        <f>[28]Vendedor3!$K$6</f>
        <v>0</v>
      </c>
      <c r="J31" s="17">
        <f>[28]Vendedor3!$L$6</f>
        <v>0</v>
      </c>
      <c r="K31" s="19">
        <f t="shared" si="3"/>
        <v>0</v>
      </c>
      <c r="L31" s="15">
        <f t="shared" si="2"/>
        <v>0</v>
      </c>
      <c r="M31" s="15">
        <f t="shared" si="1"/>
        <v>0</v>
      </c>
      <c r="N31" s="15">
        <v>0</v>
      </c>
      <c r="O31" s="17">
        <f t="shared" si="0"/>
        <v>0</v>
      </c>
    </row>
    <row r="32" spans="1:15">
      <c r="A32" s="20" t="s">
        <v>41</v>
      </c>
      <c r="B32" s="14">
        <f>[29]Vendedor3!$J$4</f>
        <v>0</v>
      </c>
      <c r="C32" s="81">
        <f>[29]Vendedor3!$K$4</f>
        <v>0</v>
      </c>
      <c r="D32" s="82">
        <f>[29]Vendedor3!$L$4</f>
        <v>0</v>
      </c>
      <c r="E32" s="14">
        <f>[29]Vendedor3!$J$5</f>
        <v>0</v>
      </c>
      <c r="F32" s="81">
        <f>[29]Vendedor3!$K$5</f>
        <v>0</v>
      </c>
      <c r="G32" s="85">
        <f>[29]Vendedor3!$L$5</f>
        <v>0</v>
      </c>
      <c r="H32" s="19">
        <f>[29]Vendedor3!$J$6</f>
        <v>0</v>
      </c>
      <c r="I32" s="15">
        <f>[29]Vendedor3!$K$6</f>
        <v>0</v>
      </c>
      <c r="J32" s="17">
        <f>[29]Vendedor3!$L$6</f>
        <v>0</v>
      </c>
      <c r="K32" s="19">
        <f t="shared" si="3"/>
        <v>0</v>
      </c>
      <c r="L32" s="15">
        <f t="shared" si="2"/>
        <v>0</v>
      </c>
      <c r="M32" s="15">
        <f t="shared" si="1"/>
        <v>0</v>
      </c>
      <c r="N32" s="15">
        <v>0</v>
      </c>
      <c r="O32" s="17">
        <f t="shared" si="0"/>
        <v>0</v>
      </c>
    </row>
    <row r="33" spans="1:15">
      <c r="A33" s="13" t="s">
        <v>42</v>
      </c>
      <c r="B33" s="14">
        <f>[30]Vendedor3!$J$4</f>
        <v>0</v>
      </c>
      <c r="C33" s="81">
        <f>[30]Vendedor3!$K$4</f>
        <v>0</v>
      </c>
      <c r="D33" s="82">
        <f>[30]Vendedor3!$L$4</f>
        <v>0</v>
      </c>
      <c r="E33" s="14">
        <f>[30]Vendedor3!$J$5</f>
        <v>0</v>
      </c>
      <c r="F33" s="81">
        <f>[30]Vendedor3!$K$5</f>
        <v>0</v>
      </c>
      <c r="G33" s="85">
        <f>[30]Vendedor3!$L$5</f>
        <v>0</v>
      </c>
      <c r="H33" s="19">
        <f>[30]Vendedor3!$J$6</f>
        <v>0</v>
      </c>
      <c r="I33" s="15">
        <f>[30]Vendedor3!$K$6</f>
        <v>0</v>
      </c>
      <c r="J33" s="17">
        <f>[30]Vendedor3!$L$6</f>
        <v>0</v>
      </c>
      <c r="K33" s="19">
        <f t="shared" si="3"/>
        <v>0</v>
      </c>
      <c r="L33" s="15">
        <f t="shared" si="2"/>
        <v>0</v>
      </c>
      <c r="M33" s="15">
        <f t="shared" si="1"/>
        <v>0</v>
      </c>
      <c r="N33" s="15">
        <v>0</v>
      </c>
      <c r="O33" s="17">
        <f t="shared" si="0"/>
        <v>0</v>
      </c>
    </row>
    <row r="34" spans="1:15">
      <c r="A34" s="20" t="s">
        <v>43</v>
      </c>
      <c r="B34" s="14">
        <f>[31]Vendedor3!$J$4</f>
        <v>0</v>
      </c>
      <c r="C34" s="81">
        <f>[31]Vendedor3!$K$4</f>
        <v>0</v>
      </c>
      <c r="D34" s="82">
        <f>[31]Vendedor3!$L$4</f>
        <v>0</v>
      </c>
      <c r="E34" s="14">
        <f>[31]Vendedor3!$J$5</f>
        <v>0</v>
      </c>
      <c r="F34" s="81">
        <f>[31]Vendedor3!$K$5</f>
        <v>0</v>
      </c>
      <c r="G34" s="85">
        <f>[31]Vendedor3!$L$5</f>
        <v>0</v>
      </c>
      <c r="H34" s="19">
        <f>[31]Vendedor3!$J$6</f>
        <v>0</v>
      </c>
      <c r="I34" s="15">
        <f>[31]Vendedor3!$K$6</f>
        <v>0</v>
      </c>
      <c r="J34" s="17">
        <f>[31]Vendedor3!$L$6</f>
        <v>0</v>
      </c>
      <c r="K34" s="19">
        <f t="shared" si="3"/>
        <v>0</v>
      </c>
      <c r="L34" s="15">
        <f t="shared" si="2"/>
        <v>0</v>
      </c>
      <c r="M34" s="15">
        <f t="shared" si="1"/>
        <v>0</v>
      </c>
      <c r="N34" s="15">
        <v>0</v>
      </c>
      <c r="O34" s="17">
        <f t="shared" si="0"/>
        <v>0</v>
      </c>
    </row>
    <row r="35" spans="1:15">
      <c r="A35" s="13" t="s">
        <v>44</v>
      </c>
      <c r="B35" s="14">
        <f>[10]Vendedor3!$J$4</f>
        <v>0</v>
      </c>
      <c r="C35" s="81">
        <f>[10]Vendedor3!$K$4</f>
        <v>0</v>
      </c>
      <c r="D35" s="82">
        <f>[10]Vendedor3!$L$4</f>
        <v>0</v>
      </c>
      <c r="E35" s="14">
        <f>[10]Vendedor3!$J$5</f>
        <v>0</v>
      </c>
      <c r="F35" s="81">
        <f>[10]Vendedor3!$K$5</f>
        <v>0</v>
      </c>
      <c r="G35" s="85">
        <f>[10]Vendedor3!$L$5</f>
        <v>0</v>
      </c>
      <c r="H35" s="19">
        <f>[10]Vendedor3!$J$6</f>
        <v>0</v>
      </c>
      <c r="I35" s="15">
        <f>[10]Vendedor3!$K$6</f>
        <v>0</v>
      </c>
      <c r="J35" s="17">
        <f>[10]Vendedor3!$L$6</f>
        <v>0</v>
      </c>
      <c r="K35" s="19">
        <f t="shared" si="3"/>
        <v>0</v>
      </c>
      <c r="L35" s="15">
        <f t="shared" si="2"/>
        <v>0</v>
      </c>
      <c r="M35" s="15">
        <f t="shared" si="1"/>
        <v>0</v>
      </c>
      <c r="N35" s="15">
        <v>0</v>
      </c>
      <c r="O35" s="17">
        <f t="shared" si="0"/>
        <v>0</v>
      </c>
    </row>
    <row r="36" spans="1:15" ht="15.75" thickBot="1">
      <c r="A36" s="20" t="s">
        <v>45</v>
      </c>
      <c r="B36" s="21">
        <f>[11]Vendedor3!$J$4</f>
        <v>0</v>
      </c>
      <c r="C36" s="83">
        <f>[11]Vendedor3!$K$4</f>
        <v>0</v>
      </c>
      <c r="D36" s="84">
        <f>[11]Vendedor3!$L$4</f>
        <v>0</v>
      </c>
      <c r="E36" s="21">
        <f>[11]Vendedor3!$J$5</f>
        <v>0</v>
      </c>
      <c r="F36" s="83">
        <f>[11]Vendedor3!$K$5</f>
        <v>0</v>
      </c>
      <c r="G36" s="86">
        <f>[11]Vendedor3!$L$5</f>
        <v>0</v>
      </c>
      <c r="H36" s="26">
        <f>[11]Vendedor3!$J$6</f>
        <v>0</v>
      </c>
      <c r="I36" s="22">
        <f>[11]Vendedor3!$K$6</f>
        <v>0</v>
      </c>
      <c r="J36" s="24">
        <f>[11]Vendedor3!$L$6</f>
        <v>0</v>
      </c>
      <c r="K36" s="26">
        <f t="shared" si="3"/>
        <v>0</v>
      </c>
      <c r="L36" s="22">
        <f t="shared" si="2"/>
        <v>0</v>
      </c>
      <c r="M36" s="22">
        <f t="shared" si="1"/>
        <v>0</v>
      </c>
      <c r="N36" s="22">
        <v>0</v>
      </c>
      <c r="O36" s="24">
        <f t="shared" si="0"/>
        <v>0</v>
      </c>
    </row>
    <row r="37" spans="1:15" ht="16.5" thickBot="1">
      <c r="A37" s="5" t="s">
        <v>46</v>
      </c>
      <c r="B37" s="27">
        <f t="shared" ref="B37:M37" si="4">SUM(B6:B36)</f>
        <v>0</v>
      </c>
      <c r="C37" s="28">
        <f t="shared" si="4"/>
        <v>0</v>
      </c>
      <c r="D37" s="29">
        <f t="shared" si="4"/>
        <v>0</v>
      </c>
      <c r="E37" s="30">
        <f t="shared" si="4"/>
        <v>0</v>
      </c>
      <c r="F37" s="28">
        <f t="shared" si="4"/>
        <v>0</v>
      </c>
      <c r="G37" s="31">
        <f t="shared" si="4"/>
        <v>0</v>
      </c>
      <c r="H37" s="27">
        <f t="shared" si="4"/>
        <v>0</v>
      </c>
      <c r="I37" s="28">
        <f t="shared" si="4"/>
        <v>0</v>
      </c>
      <c r="J37" s="29">
        <f t="shared" si="4"/>
        <v>0</v>
      </c>
      <c r="K37" s="60">
        <f t="shared" si="4"/>
        <v>0</v>
      </c>
      <c r="L37" s="32">
        <f t="shared" si="4"/>
        <v>0</v>
      </c>
      <c r="M37" s="32">
        <f t="shared" si="4"/>
        <v>0</v>
      </c>
      <c r="N37" s="32">
        <f>SUM(N5:N36)</f>
        <v>0</v>
      </c>
      <c r="O37" s="33">
        <f>SUM(O5:O36)</f>
        <v>0</v>
      </c>
    </row>
    <row r="40" spans="1:15" ht="15.75" thickBot="1"/>
    <row r="41" spans="1:15" ht="19.5" thickBot="1">
      <c r="A41" s="2" t="s">
        <v>1</v>
      </c>
      <c r="B41" s="137" t="s">
        <v>116</v>
      </c>
      <c r="C41" s="137"/>
      <c r="D41" s="137"/>
    </row>
    <row r="42" spans="1:15" ht="15.75" thickBot="1"/>
    <row r="43" spans="1:15" ht="30.75" thickBot="1">
      <c r="A43" s="5" t="s">
        <v>5</v>
      </c>
      <c r="B43" s="6" t="s">
        <v>6</v>
      </c>
      <c r="C43" s="7" t="s">
        <v>7</v>
      </c>
      <c r="D43" s="8" t="s">
        <v>8</v>
      </c>
      <c r="E43" s="9" t="s">
        <v>9</v>
      </c>
      <c r="F43" s="7" t="s">
        <v>10</v>
      </c>
      <c r="G43" s="10" t="s">
        <v>11</v>
      </c>
      <c r="H43" s="6" t="s">
        <v>89</v>
      </c>
      <c r="I43" s="7" t="s">
        <v>90</v>
      </c>
      <c r="J43" s="8" t="s">
        <v>91</v>
      </c>
      <c r="K43" s="56" t="s">
        <v>15</v>
      </c>
      <c r="L43" s="57" t="s">
        <v>16</v>
      </c>
      <c r="M43" s="57" t="s">
        <v>17</v>
      </c>
      <c r="N43" s="11" t="s">
        <v>18</v>
      </c>
      <c r="O43" s="12" t="s">
        <v>19</v>
      </c>
    </row>
    <row r="44" spans="1:15" ht="15.75" thickBot="1">
      <c r="A44" s="68" t="s">
        <v>83</v>
      </c>
      <c r="B44" s="67">
        <f>B5</f>
        <v>0</v>
      </c>
      <c r="C44" s="57">
        <f t="shared" ref="C44:N44" si="5">C5</f>
        <v>0</v>
      </c>
      <c r="D44" s="11">
        <f t="shared" si="5"/>
        <v>0</v>
      </c>
      <c r="E44" s="56">
        <f t="shared" si="5"/>
        <v>0</v>
      </c>
      <c r="F44" s="57">
        <f t="shared" si="5"/>
        <v>0</v>
      </c>
      <c r="G44" s="12">
        <f t="shared" si="5"/>
        <v>0</v>
      </c>
      <c r="H44" s="67">
        <f t="shared" si="5"/>
        <v>0</v>
      </c>
      <c r="I44" s="57">
        <f t="shared" si="5"/>
        <v>0</v>
      </c>
      <c r="J44" s="11">
        <f t="shared" si="5"/>
        <v>0</v>
      </c>
      <c r="K44" s="56">
        <f t="shared" si="5"/>
        <v>0</v>
      </c>
      <c r="L44" s="57">
        <f t="shared" si="5"/>
        <v>0</v>
      </c>
      <c r="M44" s="57">
        <f t="shared" si="5"/>
        <v>0</v>
      </c>
      <c r="N44" s="69">
        <f t="shared" si="5"/>
        <v>0</v>
      </c>
      <c r="O44" s="70">
        <f t="shared" ref="O44" si="6">+K44-L44-M44+N44</f>
        <v>0</v>
      </c>
    </row>
    <row r="45" spans="1:15">
      <c r="A45" s="20" t="s">
        <v>49</v>
      </c>
      <c r="B45" s="53">
        <f t="shared" ref="B45:N45" si="7">B6</f>
        <v>0</v>
      </c>
      <c r="C45" s="58">
        <f t="shared" si="7"/>
        <v>0</v>
      </c>
      <c r="D45" s="54">
        <f t="shared" si="7"/>
        <v>0</v>
      </c>
      <c r="E45" s="53">
        <f t="shared" si="7"/>
        <v>0</v>
      </c>
      <c r="F45" s="58">
        <f t="shared" si="7"/>
        <v>0</v>
      </c>
      <c r="G45" s="55">
        <f t="shared" si="7"/>
        <v>0</v>
      </c>
      <c r="H45" s="61">
        <f t="shared" si="7"/>
        <v>0</v>
      </c>
      <c r="I45" s="58">
        <f t="shared" si="7"/>
        <v>0</v>
      </c>
      <c r="J45" s="54">
        <f t="shared" si="7"/>
        <v>0</v>
      </c>
      <c r="K45" s="59">
        <f t="shared" si="7"/>
        <v>0</v>
      </c>
      <c r="L45" s="58">
        <f t="shared" si="7"/>
        <v>0</v>
      </c>
      <c r="M45" s="58">
        <f t="shared" si="7"/>
        <v>0</v>
      </c>
      <c r="N45" s="58">
        <f t="shared" si="7"/>
        <v>0</v>
      </c>
      <c r="O45" s="55">
        <f>+K45-L45-M45+N45</f>
        <v>0</v>
      </c>
    </row>
    <row r="46" spans="1:15">
      <c r="A46" s="13" t="s">
        <v>50</v>
      </c>
      <c r="B46" s="14">
        <f t="shared" ref="B46:N46" si="8">B7</f>
        <v>0</v>
      </c>
      <c r="C46" s="15">
        <f t="shared" si="8"/>
        <v>0</v>
      </c>
      <c r="D46" s="16">
        <f t="shared" si="8"/>
        <v>0</v>
      </c>
      <c r="E46" s="14">
        <f t="shared" si="8"/>
        <v>0</v>
      </c>
      <c r="F46" s="15">
        <f t="shared" si="8"/>
        <v>0</v>
      </c>
      <c r="G46" s="17">
        <f t="shared" si="8"/>
        <v>0</v>
      </c>
      <c r="H46" s="18">
        <f t="shared" si="8"/>
        <v>0</v>
      </c>
      <c r="I46" s="15">
        <f t="shared" si="8"/>
        <v>0</v>
      </c>
      <c r="J46" s="16">
        <f t="shared" si="8"/>
        <v>0</v>
      </c>
      <c r="K46" s="19">
        <f t="shared" si="8"/>
        <v>0</v>
      </c>
      <c r="L46" s="15">
        <f t="shared" si="8"/>
        <v>0</v>
      </c>
      <c r="M46" s="15">
        <f t="shared" si="8"/>
        <v>0</v>
      </c>
      <c r="N46" s="15">
        <f t="shared" si="8"/>
        <v>0</v>
      </c>
      <c r="O46" s="17">
        <f t="shared" ref="O46:O59" si="9">+K46-L46-M46+N46</f>
        <v>0</v>
      </c>
    </row>
    <row r="47" spans="1:15">
      <c r="A47" s="20" t="s">
        <v>51</v>
      </c>
      <c r="B47" s="14">
        <f t="shared" ref="B47:N47" si="10">B8</f>
        <v>0</v>
      </c>
      <c r="C47" s="15">
        <f t="shared" si="10"/>
        <v>0</v>
      </c>
      <c r="D47" s="16">
        <f t="shared" si="10"/>
        <v>0</v>
      </c>
      <c r="E47" s="14">
        <f t="shared" si="10"/>
        <v>0</v>
      </c>
      <c r="F47" s="15">
        <f t="shared" si="10"/>
        <v>0</v>
      </c>
      <c r="G47" s="17">
        <f t="shared" si="10"/>
        <v>0</v>
      </c>
      <c r="H47" s="18">
        <f t="shared" si="10"/>
        <v>0</v>
      </c>
      <c r="I47" s="15">
        <f t="shared" si="10"/>
        <v>0</v>
      </c>
      <c r="J47" s="16">
        <f t="shared" si="10"/>
        <v>0</v>
      </c>
      <c r="K47" s="19">
        <f t="shared" si="10"/>
        <v>0</v>
      </c>
      <c r="L47" s="15">
        <f t="shared" si="10"/>
        <v>0</v>
      </c>
      <c r="M47" s="15">
        <f t="shared" si="10"/>
        <v>0</v>
      </c>
      <c r="N47" s="15">
        <f t="shared" si="10"/>
        <v>0</v>
      </c>
      <c r="O47" s="17">
        <f t="shared" si="9"/>
        <v>0</v>
      </c>
    </row>
    <row r="48" spans="1:15">
      <c r="A48" s="13" t="s">
        <v>52</v>
      </c>
      <c r="B48" s="14">
        <f t="shared" ref="B48:N48" si="11">B9</f>
        <v>0</v>
      </c>
      <c r="C48" s="15">
        <f t="shared" si="11"/>
        <v>0</v>
      </c>
      <c r="D48" s="16">
        <f t="shared" si="11"/>
        <v>0</v>
      </c>
      <c r="E48" s="14">
        <f t="shared" si="11"/>
        <v>0</v>
      </c>
      <c r="F48" s="15">
        <f t="shared" si="11"/>
        <v>0</v>
      </c>
      <c r="G48" s="17">
        <f t="shared" si="11"/>
        <v>0</v>
      </c>
      <c r="H48" s="18">
        <f t="shared" si="11"/>
        <v>0</v>
      </c>
      <c r="I48" s="15">
        <f t="shared" si="11"/>
        <v>0</v>
      </c>
      <c r="J48" s="16">
        <f t="shared" si="11"/>
        <v>0</v>
      </c>
      <c r="K48" s="19">
        <f t="shared" si="11"/>
        <v>0</v>
      </c>
      <c r="L48" s="15">
        <f t="shared" si="11"/>
        <v>0</v>
      </c>
      <c r="M48" s="15">
        <f t="shared" si="11"/>
        <v>0</v>
      </c>
      <c r="N48" s="15">
        <f t="shared" si="11"/>
        <v>0</v>
      </c>
      <c r="O48" s="17">
        <f t="shared" si="9"/>
        <v>0</v>
      </c>
    </row>
    <row r="49" spans="1:15">
      <c r="A49" s="20" t="s">
        <v>53</v>
      </c>
      <c r="B49" s="14">
        <f t="shared" ref="B49:N49" si="12">B10</f>
        <v>0</v>
      </c>
      <c r="C49" s="15">
        <f t="shared" si="12"/>
        <v>0</v>
      </c>
      <c r="D49" s="16">
        <f t="shared" si="12"/>
        <v>0</v>
      </c>
      <c r="E49" s="14">
        <f t="shared" si="12"/>
        <v>0</v>
      </c>
      <c r="F49" s="15">
        <f t="shared" si="12"/>
        <v>0</v>
      </c>
      <c r="G49" s="17">
        <f t="shared" si="12"/>
        <v>0</v>
      </c>
      <c r="H49" s="18">
        <f t="shared" si="12"/>
        <v>0</v>
      </c>
      <c r="I49" s="15">
        <f t="shared" si="12"/>
        <v>0</v>
      </c>
      <c r="J49" s="16">
        <f t="shared" si="12"/>
        <v>0</v>
      </c>
      <c r="K49" s="19">
        <f t="shared" si="12"/>
        <v>0</v>
      </c>
      <c r="L49" s="15">
        <f t="shared" si="12"/>
        <v>0</v>
      </c>
      <c r="M49" s="15">
        <f t="shared" si="12"/>
        <v>0</v>
      </c>
      <c r="N49" s="15">
        <f t="shared" si="12"/>
        <v>0</v>
      </c>
      <c r="O49" s="17">
        <f t="shared" si="9"/>
        <v>0</v>
      </c>
    </row>
    <row r="50" spans="1:15">
      <c r="A50" s="13" t="s">
        <v>20</v>
      </c>
      <c r="B50" s="14">
        <f t="shared" ref="B50:N50" si="13">B11</f>
        <v>0</v>
      </c>
      <c r="C50" s="15">
        <f t="shared" si="13"/>
        <v>0</v>
      </c>
      <c r="D50" s="16">
        <f t="shared" si="13"/>
        <v>0</v>
      </c>
      <c r="E50" s="14">
        <f t="shared" si="13"/>
        <v>0</v>
      </c>
      <c r="F50" s="15">
        <f t="shared" si="13"/>
        <v>0</v>
      </c>
      <c r="G50" s="17">
        <f t="shared" si="13"/>
        <v>0</v>
      </c>
      <c r="H50" s="18">
        <f t="shared" si="13"/>
        <v>0</v>
      </c>
      <c r="I50" s="15">
        <f t="shared" si="13"/>
        <v>0</v>
      </c>
      <c r="J50" s="16">
        <f t="shared" si="13"/>
        <v>0</v>
      </c>
      <c r="K50" s="19">
        <f t="shared" si="13"/>
        <v>0</v>
      </c>
      <c r="L50" s="15">
        <f t="shared" si="13"/>
        <v>0</v>
      </c>
      <c r="M50" s="15">
        <f t="shared" si="13"/>
        <v>0</v>
      </c>
      <c r="N50" s="15">
        <f t="shared" si="13"/>
        <v>0</v>
      </c>
      <c r="O50" s="17">
        <f t="shared" si="9"/>
        <v>0</v>
      </c>
    </row>
    <row r="51" spans="1:15">
      <c r="A51" s="20" t="s">
        <v>21</v>
      </c>
      <c r="B51" s="14">
        <f t="shared" ref="B51:N51" si="14">B12</f>
        <v>0</v>
      </c>
      <c r="C51" s="15">
        <f t="shared" si="14"/>
        <v>0</v>
      </c>
      <c r="D51" s="16">
        <f t="shared" si="14"/>
        <v>0</v>
      </c>
      <c r="E51" s="14">
        <f t="shared" si="14"/>
        <v>0</v>
      </c>
      <c r="F51" s="15">
        <f t="shared" si="14"/>
        <v>0</v>
      </c>
      <c r="G51" s="17">
        <f t="shared" si="14"/>
        <v>0</v>
      </c>
      <c r="H51" s="18">
        <f t="shared" si="14"/>
        <v>0</v>
      </c>
      <c r="I51" s="15">
        <f t="shared" si="14"/>
        <v>0</v>
      </c>
      <c r="J51" s="16">
        <f t="shared" si="14"/>
        <v>0</v>
      </c>
      <c r="K51" s="19">
        <f t="shared" si="14"/>
        <v>0</v>
      </c>
      <c r="L51" s="15">
        <f t="shared" si="14"/>
        <v>0</v>
      </c>
      <c r="M51" s="15">
        <f t="shared" si="14"/>
        <v>0</v>
      </c>
      <c r="N51" s="15">
        <f t="shared" si="14"/>
        <v>0</v>
      </c>
      <c r="O51" s="17">
        <f t="shared" si="9"/>
        <v>0</v>
      </c>
    </row>
    <row r="52" spans="1:15">
      <c r="A52" s="13" t="s">
        <v>22</v>
      </c>
      <c r="B52" s="14">
        <f t="shared" ref="B52:N52" si="15">B13</f>
        <v>0</v>
      </c>
      <c r="C52" s="15">
        <f t="shared" si="15"/>
        <v>0</v>
      </c>
      <c r="D52" s="16">
        <f t="shared" si="15"/>
        <v>0</v>
      </c>
      <c r="E52" s="14">
        <f t="shared" si="15"/>
        <v>0</v>
      </c>
      <c r="F52" s="15">
        <f t="shared" si="15"/>
        <v>0</v>
      </c>
      <c r="G52" s="17">
        <f t="shared" si="15"/>
        <v>0</v>
      </c>
      <c r="H52" s="18">
        <f t="shared" si="15"/>
        <v>0</v>
      </c>
      <c r="I52" s="15">
        <f t="shared" si="15"/>
        <v>0</v>
      </c>
      <c r="J52" s="16">
        <f t="shared" si="15"/>
        <v>0</v>
      </c>
      <c r="K52" s="19">
        <f t="shared" si="15"/>
        <v>0</v>
      </c>
      <c r="L52" s="15">
        <f t="shared" si="15"/>
        <v>0</v>
      </c>
      <c r="M52" s="15">
        <f t="shared" si="15"/>
        <v>0</v>
      </c>
      <c r="N52" s="15">
        <f t="shared" si="15"/>
        <v>0</v>
      </c>
      <c r="O52" s="17">
        <f t="shared" si="9"/>
        <v>0</v>
      </c>
    </row>
    <row r="53" spans="1:15">
      <c r="A53" s="20" t="s">
        <v>23</v>
      </c>
      <c r="B53" s="14">
        <f t="shared" ref="B53:N53" si="16">B14</f>
        <v>0</v>
      </c>
      <c r="C53" s="15">
        <f t="shared" si="16"/>
        <v>0</v>
      </c>
      <c r="D53" s="16">
        <f t="shared" si="16"/>
        <v>0</v>
      </c>
      <c r="E53" s="14">
        <f t="shared" si="16"/>
        <v>0</v>
      </c>
      <c r="F53" s="15">
        <f t="shared" si="16"/>
        <v>0</v>
      </c>
      <c r="G53" s="17">
        <f t="shared" si="16"/>
        <v>0</v>
      </c>
      <c r="H53" s="18">
        <f t="shared" si="16"/>
        <v>0</v>
      </c>
      <c r="I53" s="15">
        <f t="shared" si="16"/>
        <v>0</v>
      </c>
      <c r="J53" s="16">
        <f t="shared" si="16"/>
        <v>0</v>
      </c>
      <c r="K53" s="19">
        <f t="shared" si="16"/>
        <v>0</v>
      </c>
      <c r="L53" s="15">
        <f t="shared" si="16"/>
        <v>0</v>
      </c>
      <c r="M53" s="15">
        <f t="shared" si="16"/>
        <v>0</v>
      </c>
      <c r="N53" s="15">
        <f t="shared" si="16"/>
        <v>0</v>
      </c>
      <c r="O53" s="17">
        <f t="shared" si="9"/>
        <v>0</v>
      </c>
    </row>
    <row r="54" spans="1:15">
      <c r="A54" s="13" t="s">
        <v>24</v>
      </c>
      <c r="B54" s="14">
        <f t="shared" ref="B54:N54" si="17">B15</f>
        <v>0</v>
      </c>
      <c r="C54" s="15">
        <f t="shared" si="17"/>
        <v>0</v>
      </c>
      <c r="D54" s="16">
        <f t="shared" si="17"/>
        <v>0</v>
      </c>
      <c r="E54" s="14">
        <f t="shared" si="17"/>
        <v>0</v>
      </c>
      <c r="F54" s="15">
        <f t="shared" si="17"/>
        <v>0</v>
      </c>
      <c r="G54" s="17">
        <f t="shared" si="17"/>
        <v>0</v>
      </c>
      <c r="H54" s="18">
        <f t="shared" si="17"/>
        <v>0</v>
      </c>
      <c r="I54" s="15">
        <f t="shared" si="17"/>
        <v>0</v>
      </c>
      <c r="J54" s="16">
        <f t="shared" si="17"/>
        <v>0</v>
      </c>
      <c r="K54" s="19">
        <f t="shared" si="17"/>
        <v>0</v>
      </c>
      <c r="L54" s="15">
        <f t="shared" si="17"/>
        <v>0</v>
      </c>
      <c r="M54" s="15">
        <f t="shared" si="17"/>
        <v>0</v>
      </c>
      <c r="N54" s="15">
        <f t="shared" si="17"/>
        <v>0</v>
      </c>
      <c r="O54" s="17">
        <f t="shared" si="9"/>
        <v>0</v>
      </c>
    </row>
    <row r="55" spans="1:15">
      <c r="A55" s="20" t="s">
        <v>25</v>
      </c>
      <c r="B55" s="14">
        <f t="shared" ref="B55:N55" si="18">B16</f>
        <v>0</v>
      </c>
      <c r="C55" s="15">
        <f t="shared" si="18"/>
        <v>0</v>
      </c>
      <c r="D55" s="16">
        <f t="shared" si="18"/>
        <v>0</v>
      </c>
      <c r="E55" s="14">
        <f t="shared" si="18"/>
        <v>0</v>
      </c>
      <c r="F55" s="15">
        <f t="shared" si="18"/>
        <v>0</v>
      </c>
      <c r="G55" s="17">
        <f t="shared" si="18"/>
        <v>0</v>
      </c>
      <c r="H55" s="18">
        <f t="shared" si="18"/>
        <v>0</v>
      </c>
      <c r="I55" s="15">
        <f t="shared" si="18"/>
        <v>0</v>
      </c>
      <c r="J55" s="16">
        <f t="shared" si="18"/>
        <v>0</v>
      </c>
      <c r="K55" s="19">
        <f t="shared" si="18"/>
        <v>0</v>
      </c>
      <c r="L55" s="15">
        <f t="shared" si="18"/>
        <v>0</v>
      </c>
      <c r="M55" s="15">
        <f t="shared" si="18"/>
        <v>0</v>
      </c>
      <c r="N55" s="15">
        <f t="shared" si="18"/>
        <v>0</v>
      </c>
      <c r="O55" s="17">
        <f t="shared" si="9"/>
        <v>0</v>
      </c>
    </row>
    <row r="56" spans="1:15">
      <c r="A56" s="13" t="s">
        <v>26</v>
      </c>
      <c r="B56" s="14">
        <f t="shared" ref="B56:N56" si="19">B17</f>
        <v>0</v>
      </c>
      <c r="C56" s="15">
        <f t="shared" si="19"/>
        <v>0</v>
      </c>
      <c r="D56" s="16">
        <f t="shared" si="19"/>
        <v>0</v>
      </c>
      <c r="E56" s="14">
        <f t="shared" si="19"/>
        <v>0</v>
      </c>
      <c r="F56" s="15">
        <f t="shared" si="19"/>
        <v>0</v>
      </c>
      <c r="G56" s="17">
        <f t="shared" si="19"/>
        <v>0</v>
      </c>
      <c r="H56" s="18">
        <f t="shared" si="19"/>
        <v>0</v>
      </c>
      <c r="I56" s="15">
        <f t="shared" si="19"/>
        <v>0</v>
      </c>
      <c r="J56" s="16">
        <f t="shared" si="19"/>
        <v>0</v>
      </c>
      <c r="K56" s="19">
        <f t="shared" si="19"/>
        <v>0</v>
      </c>
      <c r="L56" s="15">
        <f t="shared" si="19"/>
        <v>0</v>
      </c>
      <c r="M56" s="15">
        <f t="shared" si="19"/>
        <v>0</v>
      </c>
      <c r="N56" s="15">
        <f t="shared" si="19"/>
        <v>0</v>
      </c>
      <c r="O56" s="17">
        <f t="shared" si="9"/>
        <v>0</v>
      </c>
    </row>
    <row r="57" spans="1:15">
      <c r="A57" s="20" t="s">
        <v>27</v>
      </c>
      <c r="B57" s="14">
        <f t="shared" ref="B57:N57" si="20">B18</f>
        <v>0</v>
      </c>
      <c r="C57" s="15">
        <f t="shared" si="20"/>
        <v>0</v>
      </c>
      <c r="D57" s="16">
        <f t="shared" si="20"/>
        <v>0</v>
      </c>
      <c r="E57" s="14">
        <f t="shared" si="20"/>
        <v>0</v>
      </c>
      <c r="F57" s="15">
        <f t="shared" si="20"/>
        <v>0</v>
      </c>
      <c r="G57" s="17">
        <f t="shared" si="20"/>
        <v>0</v>
      </c>
      <c r="H57" s="18">
        <f t="shared" si="20"/>
        <v>0</v>
      </c>
      <c r="I57" s="15">
        <f t="shared" si="20"/>
        <v>0</v>
      </c>
      <c r="J57" s="16">
        <f t="shared" si="20"/>
        <v>0</v>
      </c>
      <c r="K57" s="19">
        <f t="shared" si="20"/>
        <v>0</v>
      </c>
      <c r="L57" s="15">
        <f t="shared" si="20"/>
        <v>0</v>
      </c>
      <c r="M57" s="15">
        <f t="shared" si="20"/>
        <v>0</v>
      </c>
      <c r="N57" s="15">
        <f t="shared" si="20"/>
        <v>0</v>
      </c>
      <c r="O57" s="17">
        <f t="shared" si="9"/>
        <v>0</v>
      </c>
    </row>
    <row r="58" spans="1:15">
      <c r="A58" s="20" t="s">
        <v>28</v>
      </c>
      <c r="B58" s="14">
        <f t="shared" ref="B58:N58" si="21">B19</f>
        <v>0</v>
      </c>
      <c r="C58" s="15">
        <f t="shared" si="21"/>
        <v>0</v>
      </c>
      <c r="D58" s="16">
        <f t="shared" si="21"/>
        <v>0</v>
      </c>
      <c r="E58" s="14">
        <f t="shared" si="21"/>
        <v>0</v>
      </c>
      <c r="F58" s="15">
        <f t="shared" si="21"/>
        <v>0</v>
      </c>
      <c r="G58" s="17">
        <f t="shared" si="21"/>
        <v>0</v>
      </c>
      <c r="H58" s="18">
        <f t="shared" si="21"/>
        <v>0</v>
      </c>
      <c r="I58" s="15">
        <f t="shared" si="21"/>
        <v>0</v>
      </c>
      <c r="J58" s="16">
        <f t="shared" si="21"/>
        <v>0</v>
      </c>
      <c r="K58" s="19">
        <f t="shared" si="21"/>
        <v>0</v>
      </c>
      <c r="L58" s="15">
        <f t="shared" si="21"/>
        <v>0</v>
      </c>
      <c r="M58" s="15">
        <f t="shared" si="21"/>
        <v>0</v>
      </c>
      <c r="N58" s="15">
        <f t="shared" si="21"/>
        <v>0</v>
      </c>
      <c r="O58" s="17">
        <f t="shared" si="9"/>
        <v>0</v>
      </c>
    </row>
    <row r="59" spans="1:15">
      <c r="A59" s="13" t="s">
        <v>29</v>
      </c>
      <c r="B59" s="14">
        <f t="shared" ref="B59:N59" si="22">B20</f>
        <v>0</v>
      </c>
      <c r="C59" s="15">
        <f t="shared" si="22"/>
        <v>0</v>
      </c>
      <c r="D59" s="16">
        <f t="shared" si="22"/>
        <v>0</v>
      </c>
      <c r="E59" s="14">
        <f t="shared" si="22"/>
        <v>0</v>
      </c>
      <c r="F59" s="15">
        <f t="shared" si="22"/>
        <v>0</v>
      </c>
      <c r="G59" s="17">
        <f t="shared" si="22"/>
        <v>0</v>
      </c>
      <c r="H59" s="18">
        <f t="shared" si="22"/>
        <v>0</v>
      </c>
      <c r="I59" s="15">
        <f t="shared" si="22"/>
        <v>0</v>
      </c>
      <c r="J59" s="16">
        <f t="shared" si="22"/>
        <v>0</v>
      </c>
      <c r="K59" s="19">
        <f t="shared" si="22"/>
        <v>0</v>
      </c>
      <c r="L59" s="15">
        <f t="shared" si="22"/>
        <v>0</v>
      </c>
      <c r="M59" s="15">
        <f t="shared" si="22"/>
        <v>0</v>
      </c>
      <c r="N59" s="15">
        <f t="shared" si="22"/>
        <v>0</v>
      </c>
      <c r="O59" s="17">
        <f t="shared" si="9"/>
        <v>0</v>
      </c>
    </row>
    <row r="60" spans="1:15">
      <c r="A60" s="20" t="s">
        <v>30</v>
      </c>
      <c r="B60" s="14">
        <f t="shared" ref="B60:N60" si="23">B21</f>
        <v>0</v>
      </c>
      <c r="C60" s="81">
        <f t="shared" si="23"/>
        <v>0</v>
      </c>
      <c r="D60" s="82">
        <f t="shared" si="23"/>
        <v>0</v>
      </c>
      <c r="E60" s="14">
        <f t="shared" si="23"/>
        <v>0</v>
      </c>
      <c r="F60" s="81">
        <f t="shared" si="23"/>
        <v>0</v>
      </c>
      <c r="G60" s="85">
        <f t="shared" si="23"/>
        <v>0</v>
      </c>
      <c r="H60" s="19">
        <f t="shared" si="23"/>
        <v>0</v>
      </c>
      <c r="I60" s="15">
        <f t="shared" si="23"/>
        <v>0</v>
      </c>
      <c r="J60" s="17">
        <f t="shared" si="23"/>
        <v>0</v>
      </c>
      <c r="K60" s="19">
        <f t="shared" si="23"/>
        <v>0</v>
      </c>
      <c r="L60" s="15">
        <f t="shared" si="23"/>
        <v>0</v>
      </c>
      <c r="M60" s="15">
        <f t="shared" si="23"/>
        <v>0</v>
      </c>
      <c r="N60" s="15">
        <f t="shared" si="23"/>
        <v>0</v>
      </c>
      <c r="O60" s="17">
        <f t="shared" ref="O60:O75" si="24">+O21</f>
        <v>0</v>
      </c>
    </row>
    <row r="61" spans="1:15">
      <c r="A61" s="13" t="s">
        <v>31</v>
      </c>
      <c r="B61" s="14">
        <f t="shared" ref="B61:N61" si="25">B22</f>
        <v>0</v>
      </c>
      <c r="C61" s="81">
        <f t="shared" si="25"/>
        <v>0</v>
      </c>
      <c r="D61" s="82">
        <f t="shared" si="25"/>
        <v>0</v>
      </c>
      <c r="E61" s="14">
        <f t="shared" si="25"/>
        <v>0</v>
      </c>
      <c r="F61" s="81">
        <f t="shared" si="25"/>
        <v>0</v>
      </c>
      <c r="G61" s="85">
        <f t="shared" si="25"/>
        <v>0</v>
      </c>
      <c r="H61" s="19">
        <f t="shared" si="25"/>
        <v>0</v>
      </c>
      <c r="I61" s="15">
        <f t="shared" si="25"/>
        <v>0</v>
      </c>
      <c r="J61" s="17">
        <f t="shared" si="25"/>
        <v>0</v>
      </c>
      <c r="K61" s="19">
        <f t="shared" si="25"/>
        <v>0</v>
      </c>
      <c r="L61" s="15">
        <f t="shared" si="25"/>
        <v>0</v>
      </c>
      <c r="M61" s="15">
        <f t="shared" si="25"/>
        <v>0</v>
      </c>
      <c r="N61" s="15">
        <f t="shared" si="25"/>
        <v>0</v>
      </c>
      <c r="O61" s="17">
        <f t="shared" si="24"/>
        <v>0</v>
      </c>
    </row>
    <row r="62" spans="1:15">
      <c r="A62" s="20" t="s">
        <v>32</v>
      </c>
      <c r="B62" s="14">
        <f t="shared" ref="B62:N62" si="26">B23</f>
        <v>0</v>
      </c>
      <c r="C62" s="81">
        <f t="shared" si="26"/>
        <v>0</v>
      </c>
      <c r="D62" s="82">
        <f t="shared" si="26"/>
        <v>0</v>
      </c>
      <c r="E62" s="14">
        <f t="shared" si="26"/>
        <v>0</v>
      </c>
      <c r="F62" s="81">
        <f t="shared" si="26"/>
        <v>0</v>
      </c>
      <c r="G62" s="85">
        <f t="shared" si="26"/>
        <v>0</v>
      </c>
      <c r="H62" s="19">
        <f t="shared" si="26"/>
        <v>0</v>
      </c>
      <c r="I62" s="15">
        <f t="shared" si="26"/>
        <v>0</v>
      </c>
      <c r="J62" s="17">
        <f t="shared" si="26"/>
        <v>0</v>
      </c>
      <c r="K62" s="19">
        <f t="shared" si="26"/>
        <v>0</v>
      </c>
      <c r="L62" s="15">
        <f t="shared" si="26"/>
        <v>0</v>
      </c>
      <c r="M62" s="15">
        <f t="shared" si="26"/>
        <v>0</v>
      </c>
      <c r="N62" s="15">
        <f t="shared" si="26"/>
        <v>0</v>
      </c>
      <c r="O62" s="17">
        <f t="shared" si="24"/>
        <v>0</v>
      </c>
    </row>
    <row r="63" spans="1:15">
      <c r="A63" s="13" t="s">
        <v>33</v>
      </c>
      <c r="B63" s="14">
        <f t="shared" ref="B63:N63" si="27">B24</f>
        <v>0</v>
      </c>
      <c r="C63" s="81">
        <f t="shared" si="27"/>
        <v>0</v>
      </c>
      <c r="D63" s="82">
        <f t="shared" si="27"/>
        <v>0</v>
      </c>
      <c r="E63" s="14">
        <f t="shared" si="27"/>
        <v>0</v>
      </c>
      <c r="F63" s="81">
        <f t="shared" si="27"/>
        <v>0</v>
      </c>
      <c r="G63" s="85">
        <f t="shared" si="27"/>
        <v>0</v>
      </c>
      <c r="H63" s="19">
        <f t="shared" si="27"/>
        <v>0</v>
      </c>
      <c r="I63" s="15">
        <f t="shared" si="27"/>
        <v>0</v>
      </c>
      <c r="J63" s="17">
        <f t="shared" si="27"/>
        <v>0</v>
      </c>
      <c r="K63" s="19">
        <f t="shared" si="27"/>
        <v>0</v>
      </c>
      <c r="L63" s="15">
        <f t="shared" si="27"/>
        <v>0</v>
      </c>
      <c r="M63" s="15">
        <f t="shared" si="27"/>
        <v>0</v>
      </c>
      <c r="N63" s="15">
        <f t="shared" si="27"/>
        <v>0</v>
      </c>
      <c r="O63" s="17">
        <f t="shared" si="24"/>
        <v>0</v>
      </c>
    </row>
    <row r="64" spans="1:15">
      <c r="A64" s="20" t="s">
        <v>34</v>
      </c>
      <c r="B64" s="14">
        <f t="shared" ref="B64:N64" si="28">B25</f>
        <v>0</v>
      </c>
      <c r="C64" s="81">
        <f t="shared" si="28"/>
        <v>0</v>
      </c>
      <c r="D64" s="82">
        <f t="shared" si="28"/>
        <v>0</v>
      </c>
      <c r="E64" s="14">
        <f t="shared" si="28"/>
        <v>0</v>
      </c>
      <c r="F64" s="81">
        <f t="shared" si="28"/>
        <v>0</v>
      </c>
      <c r="G64" s="85">
        <f t="shared" si="28"/>
        <v>0</v>
      </c>
      <c r="H64" s="19">
        <f t="shared" si="28"/>
        <v>0</v>
      </c>
      <c r="I64" s="15">
        <f t="shared" si="28"/>
        <v>0</v>
      </c>
      <c r="J64" s="17">
        <f t="shared" si="28"/>
        <v>0</v>
      </c>
      <c r="K64" s="19">
        <f t="shared" si="28"/>
        <v>0</v>
      </c>
      <c r="L64" s="15">
        <f t="shared" si="28"/>
        <v>0</v>
      </c>
      <c r="M64" s="15">
        <f t="shared" si="28"/>
        <v>0</v>
      </c>
      <c r="N64" s="15">
        <f t="shared" si="28"/>
        <v>0</v>
      </c>
      <c r="O64" s="17">
        <f t="shared" si="24"/>
        <v>0</v>
      </c>
    </row>
    <row r="65" spans="1:15">
      <c r="A65" s="13" t="s">
        <v>35</v>
      </c>
      <c r="B65" s="14">
        <f t="shared" ref="B65:N65" si="29">B26</f>
        <v>0</v>
      </c>
      <c r="C65" s="81">
        <f t="shared" si="29"/>
        <v>0</v>
      </c>
      <c r="D65" s="82">
        <f t="shared" si="29"/>
        <v>0</v>
      </c>
      <c r="E65" s="14">
        <f t="shared" si="29"/>
        <v>0</v>
      </c>
      <c r="F65" s="81">
        <f t="shared" si="29"/>
        <v>0</v>
      </c>
      <c r="G65" s="85">
        <f t="shared" si="29"/>
        <v>0</v>
      </c>
      <c r="H65" s="19">
        <f t="shared" si="29"/>
        <v>0</v>
      </c>
      <c r="I65" s="15">
        <f t="shared" si="29"/>
        <v>0</v>
      </c>
      <c r="J65" s="17">
        <f t="shared" si="29"/>
        <v>0</v>
      </c>
      <c r="K65" s="19">
        <f t="shared" si="29"/>
        <v>0</v>
      </c>
      <c r="L65" s="15">
        <f t="shared" si="29"/>
        <v>0</v>
      </c>
      <c r="M65" s="15">
        <f t="shared" si="29"/>
        <v>0</v>
      </c>
      <c r="N65" s="15">
        <f t="shared" si="29"/>
        <v>0</v>
      </c>
      <c r="O65" s="17">
        <f t="shared" si="24"/>
        <v>0</v>
      </c>
    </row>
    <row r="66" spans="1:15">
      <c r="A66" s="20" t="s">
        <v>36</v>
      </c>
      <c r="B66" s="14">
        <f t="shared" ref="B66:N66" si="30">B27</f>
        <v>0</v>
      </c>
      <c r="C66" s="81">
        <f t="shared" si="30"/>
        <v>0</v>
      </c>
      <c r="D66" s="82">
        <f t="shared" si="30"/>
        <v>0</v>
      </c>
      <c r="E66" s="14">
        <f t="shared" si="30"/>
        <v>0</v>
      </c>
      <c r="F66" s="81">
        <f t="shared" si="30"/>
        <v>0</v>
      </c>
      <c r="G66" s="85">
        <f t="shared" si="30"/>
        <v>0</v>
      </c>
      <c r="H66" s="19">
        <f t="shared" si="30"/>
        <v>0</v>
      </c>
      <c r="I66" s="15">
        <f t="shared" si="30"/>
        <v>0</v>
      </c>
      <c r="J66" s="17">
        <f t="shared" si="30"/>
        <v>0</v>
      </c>
      <c r="K66" s="19">
        <f t="shared" si="30"/>
        <v>0</v>
      </c>
      <c r="L66" s="15">
        <f t="shared" si="30"/>
        <v>0</v>
      </c>
      <c r="M66" s="15">
        <f t="shared" si="30"/>
        <v>0</v>
      </c>
      <c r="N66" s="15">
        <f t="shared" si="30"/>
        <v>0</v>
      </c>
      <c r="O66" s="17">
        <f t="shared" si="24"/>
        <v>0</v>
      </c>
    </row>
    <row r="67" spans="1:15">
      <c r="A67" s="13" t="s">
        <v>37</v>
      </c>
      <c r="B67" s="14">
        <f t="shared" ref="B67:N67" si="31">B28</f>
        <v>0</v>
      </c>
      <c r="C67" s="81">
        <f t="shared" si="31"/>
        <v>0</v>
      </c>
      <c r="D67" s="82">
        <f t="shared" si="31"/>
        <v>0</v>
      </c>
      <c r="E67" s="14">
        <f t="shared" si="31"/>
        <v>0</v>
      </c>
      <c r="F67" s="81">
        <f t="shared" si="31"/>
        <v>0</v>
      </c>
      <c r="G67" s="85">
        <f t="shared" si="31"/>
        <v>0</v>
      </c>
      <c r="H67" s="19">
        <f t="shared" si="31"/>
        <v>0</v>
      </c>
      <c r="I67" s="15">
        <f t="shared" si="31"/>
        <v>0</v>
      </c>
      <c r="J67" s="17">
        <f t="shared" si="31"/>
        <v>0</v>
      </c>
      <c r="K67" s="19">
        <f t="shared" si="31"/>
        <v>0</v>
      </c>
      <c r="L67" s="15">
        <f t="shared" si="31"/>
        <v>0</v>
      </c>
      <c r="M67" s="15">
        <f t="shared" si="31"/>
        <v>0</v>
      </c>
      <c r="N67" s="15">
        <f t="shared" si="31"/>
        <v>0</v>
      </c>
      <c r="O67" s="17">
        <f t="shared" si="24"/>
        <v>0</v>
      </c>
    </row>
    <row r="68" spans="1:15">
      <c r="A68" s="20" t="s">
        <v>38</v>
      </c>
      <c r="B68" s="14">
        <f t="shared" ref="B68:N68" si="32">B29</f>
        <v>0</v>
      </c>
      <c r="C68" s="81">
        <f t="shared" si="32"/>
        <v>0</v>
      </c>
      <c r="D68" s="82">
        <f t="shared" si="32"/>
        <v>0</v>
      </c>
      <c r="E68" s="14">
        <f t="shared" si="32"/>
        <v>0</v>
      </c>
      <c r="F68" s="81">
        <f t="shared" si="32"/>
        <v>0</v>
      </c>
      <c r="G68" s="85">
        <f t="shared" si="32"/>
        <v>0</v>
      </c>
      <c r="H68" s="19">
        <f t="shared" si="32"/>
        <v>0</v>
      </c>
      <c r="I68" s="15">
        <f t="shared" si="32"/>
        <v>0</v>
      </c>
      <c r="J68" s="17">
        <f t="shared" si="32"/>
        <v>0</v>
      </c>
      <c r="K68" s="19">
        <f t="shared" si="32"/>
        <v>0</v>
      </c>
      <c r="L68" s="15">
        <f t="shared" si="32"/>
        <v>0</v>
      </c>
      <c r="M68" s="15">
        <f t="shared" si="32"/>
        <v>0</v>
      </c>
      <c r="N68" s="15">
        <f t="shared" si="32"/>
        <v>0</v>
      </c>
      <c r="O68" s="17">
        <f t="shared" si="24"/>
        <v>0</v>
      </c>
    </row>
    <row r="69" spans="1:15">
      <c r="A69" s="13" t="s">
        <v>39</v>
      </c>
      <c r="B69" s="14">
        <f t="shared" ref="B69:N69" si="33">B30</f>
        <v>0</v>
      </c>
      <c r="C69" s="81">
        <f t="shared" si="33"/>
        <v>0</v>
      </c>
      <c r="D69" s="82">
        <f t="shared" si="33"/>
        <v>0</v>
      </c>
      <c r="E69" s="14">
        <f t="shared" si="33"/>
        <v>0</v>
      </c>
      <c r="F69" s="81">
        <f t="shared" si="33"/>
        <v>0</v>
      </c>
      <c r="G69" s="85">
        <f t="shared" si="33"/>
        <v>0</v>
      </c>
      <c r="H69" s="19">
        <f t="shared" si="33"/>
        <v>0</v>
      </c>
      <c r="I69" s="15">
        <f t="shared" si="33"/>
        <v>0</v>
      </c>
      <c r="J69" s="17">
        <f t="shared" si="33"/>
        <v>0</v>
      </c>
      <c r="K69" s="19">
        <f t="shared" si="33"/>
        <v>0</v>
      </c>
      <c r="L69" s="15">
        <f t="shared" si="33"/>
        <v>0</v>
      </c>
      <c r="M69" s="15">
        <f t="shared" si="33"/>
        <v>0</v>
      </c>
      <c r="N69" s="15">
        <f t="shared" si="33"/>
        <v>0</v>
      </c>
      <c r="O69" s="17">
        <f t="shared" si="24"/>
        <v>0</v>
      </c>
    </row>
    <row r="70" spans="1:15">
      <c r="A70" s="20" t="s">
        <v>40</v>
      </c>
      <c r="B70" s="14">
        <f t="shared" ref="B70:N70" si="34">B31</f>
        <v>0</v>
      </c>
      <c r="C70" s="81">
        <f t="shared" si="34"/>
        <v>0</v>
      </c>
      <c r="D70" s="82">
        <f t="shared" si="34"/>
        <v>0</v>
      </c>
      <c r="E70" s="14">
        <f t="shared" si="34"/>
        <v>0</v>
      </c>
      <c r="F70" s="81">
        <f t="shared" si="34"/>
        <v>0</v>
      </c>
      <c r="G70" s="85">
        <f t="shared" si="34"/>
        <v>0</v>
      </c>
      <c r="H70" s="19">
        <f t="shared" si="34"/>
        <v>0</v>
      </c>
      <c r="I70" s="15">
        <f t="shared" si="34"/>
        <v>0</v>
      </c>
      <c r="J70" s="17">
        <f t="shared" si="34"/>
        <v>0</v>
      </c>
      <c r="K70" s="19">
        <f t="shared" si="34"/>
        <v>0</v>
      </c>
      <c r="L70" s="15">
        <f t="shared" si="34"/>
        <v>0</v>
      </c>
      <c r="M70" s="15">
        <f t="shared" si="34"/>
        <v>0</v>
      </c>
      <c r="N70" s="15">
        <f t="shared" si="34"/>
        <v>0</v>
      </c>
      <c r="O70" s="17">
        <f t="shared" si="24"/>
        <v>0</v>
      </c>
    </row>
    <row r="71" spans="1:15">
      <c r="A71" s="20" t="s">
        <v>41</v>
      </c>
      <c r="B71" s="14">
        <f t="shared" ref="B71:N71" si="35">B32</f>
        <v>0</v>
      </c>
      <c r="C71" s="81">
        <f t="shared" si="35"/>
        <v>0</v>
      </c>
      <c r="D71" s="82">
        <f t="shared" si="35"/>
        <v>0</v>
      </c>
      <c r="E71" s="14">
        <f t="shared" si="35"/>
        <v>0</v>
      </c>
      <c r="F71" s="81">
        <f t="shared" si="35"/>
        <v>0</v>
      </c>
      <c r="G71" s="85">
        <f t="shared" si="35"/>
        <v>0</v>
      </c>
      <c r="H71" s="19">
        <f t="shared" si="35"/>
        <v>0</v>
      </c>
      <c r="I71" s="15">
        <f t="shared" si="35"/>
        <v>0</v>
      </c>
      <c r="J71" s="17">
        <f t="shared" si="35"/>
        <v>0</v>
      </c>
      <c r="K71" s="19">
        <f t="shared" si="35"/>
        <v>0</v>
      </c>
      <c r="L71" s="15">
        <f t="shared" si="35"/>
        <v>0</v>
      </c>
      <c r="M71" s="15">
        <f t="shared" si="35"/>
        <v>0</v>
      </c>
      <c r="N71" s="15">
        <f t="shared" si="35"/>
        <v>0</v>
      </c>
      <c r="O71" s="17">
        <f t="shared" si="24"/>
        <v>0</v>
      </c>
    </row>
    <row r="72" spans="1:15">
      <c r="A72" s="13" t="s">
        <v>42</v>
      </c>
      <c r="B72" s="14">
        <f t="shared" ref="B72:N72" si="36">B33</f>
        <v>0</v>
      </c>
      <c r="C72" s="81">
        <f t="shared" si="36"/>
        <v>0</v>
      </c>
      <c r="D72" s="82">
        <f t="shared" si="36"/>
        <v>0</v>
      </c>
      <c r="E72" s="14">
        <f t="shared" si="36"/>
        <v>0</v>
      </c>
      <c r="F72" s="81">
        <f t="shared" si="36"/>
        <v>0</v>
      </c>
      <c r="G72" s="85">
        <f t="shared" si="36"/>
        <v>0</v>
      </c>
      <c r="H72" s="19">
        <f t="shared" si="36"/>
        <v>0</v>
      </c>
      <c r="I72" s="15">
        <f t="shared" si="36"/>
        <v>0</v>
      </c>
      <c r="J72" s="17">
        <f t="shared" si="36"/>
        <v>0</v>
      </c>
      <c r="K72" s="19">
        <f t="shared" si="36"/>
        <v>0</v>
      </c>
      <c r="L72" s="15">
        <f t="shared" si="36"/>
        <v>0</v>
      </c>
      <c r="M72" s="15">
        <f t="shared" si="36"/>
        <v>0</v>
      </c>
      <c r="N72" s="15">
        <f t="shared" si="36"/>
        <v>0</v>
      </c>
      <c r="O72" s="17">
        <f t="shared" si="24"/>
        <v>0</v>
      </c>
    </row>
    <row r="73" spans="1:15">
      <c r="A73" s="20" t="s">
        <v>43</v>
      </c>
      <c r="B73" s="14">
        <f t="shared" ref="B73:N73" si="37">B34</f>
        <v>0</v>
      </c>
      <c r="C73" s="81">
        <f t="shared" si="37"/>
        <v>0</v>
      </c>
      <c r="D73" s="82">
        <f t="shared" si="37"/>
        <v>0</v>
      </c>
      <c r="E73" s="14">
        <f t="shared" si="37"/>
        <v>0</v>
      </c>
      <c r="F73" s="81">
        <f t="shared" si="37"/>
        <v>0</v>
      </c>
      <c r="G73" s="85">
        <f t="shared" si="37"/>
        <v>0</v>
      </c>
      <c r="H73" s="19">
        <f t="shared" si="37"/>
        <v>0</v>
      </c>
      <c r="I73" s="15">
        <f t="shared" si="37"/>
        <v>0</v>
      </c>
      <c r="J73" s="17">
        <f t="shared" si="37"/>
        <v>0</v>
      </c>
      <c r="K73" s="19">
        <f t="shared" si="37"/>
        <v>0</v>
      </c>
      <c r="L73" s="15">
        <f t="shared" si="37"/>
        <v>0</v>
      </c>
      <c r="M73" s="15">
        <f t="shared" si="37"/>
        <v>0</v>
      </c>
      <c r="N73" s="15">
        <f t="shared" si="37"/>
        <v>0</v>
      </c>
      <c r="O73" s="17">
        <f t="shared" si="24"/>
        <v>0</v>
      </c>
    </row>
    <row r="74" spans="1:15">
      <c r="A74" s="13" t="s">
        <v>44</v>
      </c>
      <c r="B74" s="14">
        <f t="shared" ref="B74:N74" si="38">B35</f>
        <v>0</v>
      </c>
      <c r="C74" s="81">
        <f t="shared" si="38"/>
        <v>0</v>
      </c>
      <c r="D74" s="82">
        <f t="shared" si="38"/>
        <v>0</v>
      </c>
      <c r="E74" s="14">
        <f t="shared" si="38"/>
        <v>0</v>
      </c>
      <c r="F74" s="81">
        <f t="shared" si="38"/>
        <v>0</v>
      </c>
      <c r="G74" s="85">
        <f t="shared" si="38"/>
        <v>0</v>
      </c>
      <c r="H74" s="19">
        <f t="shared" si="38"/>
        <v>0</v>
      </c>
      <c r="I74" s="15">
        <f t="shared" si="38"/>
        <v>0</v>
      </c>
      <c r="J74" s="17">
        <f t="shared" si="38"/>
        <v>0</v>
      </c>
      <c r="K74" s="19">
        <f t="shared" si="38"/>
        <v>0</v>
      </c>
      <c r="L74" s="15">
        <f t="shared" si="38"/>
        <v>0</v>
      </c>
      <c r="M74" s="15">
        <f t="shared" si="38"/>
        <v>0</v>
      </c>
      <c r="N74" s="15">
        <f t="shared" si="38"/>
        <v>0</v>
      </c>
      <c r="O74" s="17">
        <f t="shared" si="24"/>
        <v>0</v>
      </c>
    </row>
    <row r="75" spans="1:15" ht="15.75" thickBot="1">
      <c r="A75" s="20" t="s">
        <v>45</v>
      </c>
      <c r="B75" s="21">
        <f t="shared" ref="B75:N75" si="39">B36</f>
        <v>0</v>
      </c>
      <c r="C75" s="83">
        <f t="shared" si="39"/>
        <v>0</v>
      </c>
      <c r="D75" s="84">
        <f t="shared" si="39"/>
        <v>0</v>
      </c>
      <c r="E75" s="21">
        <f t="shared" si="39"/>
        <v>0</v>
      </c>
      <c r="F75" s="83">
        <f t="shared" si="39"/>
        <v>0</v>
      </c>
      <c r="G75" s="86">
        <f t="shared" si="39"/>
        <v>0</v>
      </c>
      <c r="H75" s="26">
        <f t="shared" si="39"/>
        <v>0</v>
      </c>
      <c r="I75" s="22">
        <f t="shared" si="39"/>
        <v>0</v>
      </c>
      <c r="J75" s="24">
        <f t="shared" si="39"/>
        <v>0</v>
      </c>
      <c r="K75" s="26">
        <f t="shared" si="39"/>
        <v>0</v>
      </c>
      <c r="L75" s="22">
        <f t="shared" si="39"/>
        <v>0</v>
      </c>
      <c r="M75" s="22">
        <f t="shared" si="39"/>
        <v>0</v>
      </c>
      <c r="N75" s="22">
        <f t="shared" si="39"/>
        <v>0</v>
      </c>
      <c r="O75" s="24">
        <f t="shared" si="24"/>
        <v>0</v>
      </c>
    </row>
    <row r="76" spans="1:15" ht="16.5" thickBot="1">
      <c r="A76" s="5" t="s">
        <v>46</v>
      </c>
      <c r="B76" s="27">
        <f t="shared" ref="B76:N76" si="40">SUM(B44:B75)</f>
        <v>0</v>
      </c>
      <c r="C76" s="28">
        <f t="shared" si="40"/>
        <v>0</v>
      </c>
      <c r="D76" s="29">
        <f t="shared" si="40"/>
        <v>0</v>
      </c>
      <c r="E76" s="30">
        <f t="shared" si="40"/>
        <v>0</v>
      </c>
      <c r="F76" s="28">
        <f t="shared" si="40"/>
        <v>0</v>
      </c>
      <c r="G76" s="31">
        <f t="shared" si="40"/>
        <v>0</v>
      </c>
      <c r="H76" s="27">
        <f t="shared" si="40"/>
        <v>0</v>
      </c>
      <c r="I76" s="28">
        <f t="shared" si="40"/>
        <v>0</v>
      </c>
      <c r="J76" s="29">
        <f t="shared" si="40"/>
        <v>0</v>
      </c>
      <c r="K76" s="60">
        <f t="shared" si="40"/>
        <v>0</v>
      </c>
      <c r="L76" s="32">
        <f t="shared" si="40"/>
        <v>0</v>
      </c>
      <c r="M76" s="32">
        <f t="shared" si="40"/>
        <v>0</v>
      </c>
      <c r="N76" s="32">
        <f t="shared" si="40"/>
        <v>0</v>
      </c>
      <c r="O76" s="33">
        <f>SUM(O44:O75)</f>
        <v>0</v>
      </c>
    </row>
  </sheetData>
  <mergeCells count="3">
    <mergeCell ref="B2:D2"/>
    <mergeCell ref="H1:O1"/>
    <mergeCell ref="B41:D4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7"/>
  <sheetViews>
    <sheetView showGridLines="0" zoomScale="80" zoomScaleNormal="80" workbookViewId="0">
      <selection activeCell="L15" sqref="L15"/>
    </sheetView>
  </sheetViews>
  <sheetFormatPr baseColWidth="10" defaultColWidth="11.42578125" defaultRowHeight="15"/>
  <cols>
    <col min="1" max="1" width="10.140625" style="1" customWidth="1"/>
    <col min="2" max="2" width="12.140625" style="1" customWidth="1"/>
    <col min="3" max="3" width="11.42578125" style="1"/>
    <col min="4" max="4" width="11.85546875" style="1" customWidth="1"/>
    <col min="5" max="5" width="13.140625" style="1" customWidth="1"/>
    <col min="6" max="14" width="11.42578125" style="1"/>
    <col min="15" max="15" width="12.1406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 ht="15.75" thickBot="1">
      <c r="I1" s="134" t="s">
        <v>0</v>
      </c>
      <c r="J1" s="135"/>
      <c r="K1" s="135"/>
      <c r="L1" s="135"/>
      <c r="M1" s="135"/>
      <c r="N1" s="136"/>
    </row>
    <row r="2" spans="1:15" ht="19.5" thickBot="1">
      <c r="A2" s="2" t="s">
        <v>1</v>
      </c>
      <c r="B2" s="139" t="s">
        <v>86</v>
      </c>
      <c r="C2" s="139"/>
      <c r="D2" s="137"/>
      <c r="I2" s="3" t="s">
        <v>2</v>
      </c>
      <c r="J2" s="4">
        <v>0.15</v>
      </c>
      <c r="K2" s="3" t="s">
        <v>3</v>
      </c>
      <c r="L2" s="4">
        <v>0.2</v>
      </c>
      <c r="M2" s="3" t="s">
        <v>4</v>
      </c>
      <c r="N2" s="4">
        <v>0.12</v>
      </c>
    </row>
    <row r="4" spans="1:15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>
      <c r="A6" s="20" t="s">
        <v>49</v>
      </c>
      <c r="B6" s="53">
        <f>[1]Resumen!$B$6</f>
        <v>0</v>
      </c>
      <c r="C6" s="58">
        <f>[1]Resumen!$C$6</f>
        <v>0</v>
      </c>
      <c r="D6" s="54">
        <f>[1]Resumen!$D$6</f>
        <v>0</v>
      </c>
      <c r="E6" s="53">
        <f>[1]Resumen!$E$6</f>
        <v>0</v>
      </c>
      <c r="F6" s="58">
        <f>[1]Resumen!$F$6</f>
        <v>0</v>
      </c>
      <c r="G6" s="55">
        <f>[1]Resumen!$G$6</f>
        <v>0</v>
      </c>
      <c r="H6" s="61">
        <f>[1]Resumen!$H$6</f>
        <v>0</v>
      </c>
      <c r="I6" s="58">
        <f>[1]Resumen!$I$6</f>
        <v>0</v>
      </c>
      <c r="J6" s="54">
        <f>[1]Resumen!$J$6</f>
        <v>0</v>
      </c>
      <c r="K6" s="59">
        <f t="shared" ref="K6:K36" si="1">+B6+E6+H6</f>
        <v>0</v>
      </c>
      <c r="L6" s="58">
        <f>C6+F6+I6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>
      <c r="A7" s="13" t="s">
        <v>50</v>
      </c>
      <c r="B7" s="14">
        <f>[2]Resumen!$B$6</f>
        <v>0</v>
      </c>
      <c r="C7" s="15">
        <f>[2]Resumen!$C$6</f>
        <v>0</v>
      </c>
      <c r="D7" s="16">
        <f>[2]Resumen!$D$6</f>
        <v>0</v>
      </c>
      <c r="E7" s="14">
        <f>[2]Resumen!$E$6</f>
        <v>0</v>
      </c>
      <c r="F7" s="15">
        <f>[2]Resumen!$F$6</f>
        <v>0</v>
      </c>
      <c r="G7" s="17">
        <f>[2]Resumen!$G$6</f>
        <v>0</v>
      </c>
      <c r="H7" s="18">
        <f>[2]Resumen!$H$6</f>
        <v>0</v>
      </c>
      <c r="I7" s="15">
        <f>[2]Resumen!$I$6</f>
        <v>0</v>
      </c>
      <c r="J7" s="16">
        <f>[2]Resumen!$J$6</f>
        <v>0</v>
      </c>
      <c r="K7" s="19">
        <f t="shared" si="1"/>
        <v>0</v>
      </c>
      <c r="L7" s="15">
        <f t="shared" ref="L7:L36" si="4">C7+F7+I7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>
      <c r="A8" s="20" t="s">
        <v>51</v>
      </c>
      <c r="B8" s="14">
        <f>[3]Resumen!$B$6</f>
        <v>0</v>
      </c>
      <c r="C8" s="15">
        <f>[3]Resumen!$C$6</f>
        <v>0</v>
      </c>
      <c r="D8" s="16">
        <f>[3]Resumen!$D$6</f>
        <v>0</v>
      </c>
      <c r="E8" s="14">
        <f>[3]Resumen!$E$6</f>
        <v>0</v>
      </c>
      <c r="F8" s="15">
        <f>[3]Resumen!$F$6</f>
        <v>0</v>
      </c>
      <c r="G8" s="17">
        <f>[3]Resumen!$G$6</f>
        <v>0</v>
      </c>
      <c r="H8" s="18">
        <f>[3]Resumen!$H$6</f>
        <v>0</v>
      </c>
      <c r="I8" s="15">
        <f>[3]Resumen!$I$6</f>
        <v>0</v>
      </c>
      <c r="J8" s="16">
        <f>[3]Resumen!$J$6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>
      <c r="A9" s="13" t="s">
        <v>52</v>
      </c>
      <c r="B9" s="14">
        <f>[4]Resumen!$B$6</f>
        <v>5000</v>
      </c>
      <c r="C9" s="15">
        <f>[4]Resumen!$C$6</f>
        <v>600</v>
      </c>
      <c r="D9" s="16">
        <f>[4]Resumen!$D$6</f>
        <v>0</v>
      </c>
      <c r="E9" s="14">
        <f>[4]Resumen!$E$6</f>
        <v>0</v>
      </c>
      <c r="F9" s="15">
        <f>[4]Resumen!$F$6</f>
        <v>4400</v>
      </c>
      <c r="G9" s="17">
        <f>[4]Resumen!$G$6</f>
        <v>0</v>
      </c>
      <c r="H9" s="18">
        <f>[4]Resumen!$H$6</f>
        <v>0</v>
      </c>
      <c r="I9" s="15">
        <f>[4]Resumen!$I$6</f>
        <v>0</v>
      </c>
      <c r="J9" s="16">
        <f>[4]Resumen!$J$6</f>
        <v>0</v>
      </c>
      <c r="K9" s="19">
        <f t="shared" si="1"/>
        <v>5000</v>
      </c>
      <c r="L9" s="15">
        <f t="shared" si="4"/>
        <v>5000</v>
      </c>
      <c r="M9" s="15">
        <f t="shared" si="2"/>
        <v>0</v>
      </c>
      <c r="N9" s="15">
        <v>0</v>
      </c>
      <c r="O9" s="17">
        <f t="shared" si="3"/>
        <v>0</v>
      </c>
    </row>
    <row r="10" spans="1:15">
      <c r="A10" s="20" t="s">
        <v>53</v>
      </c>
      <c r="B10" s="14">
        <f>[5]Resumen!$B$6</f>
        <v>0</v>
      </c>
      <c r="C10" s="15">
        <f>[5]Resumen!$C$6</f>
        <v>0</v>
      </c>
      <c r="D10" s="16">
        <f>[5]Resumen!$D$6</f>
        <v>0</v>
      </c>
      <c r="E10" s="14">
        <f>[5]Resumen!$E$6</f>
        <v>0</v>
      </c>
      <c r="F10" s="15">
        <f>[5]Resumen!$F$6</f>
        <v>0</v>
      </c>
      <c r="G10" s="17">
        <f>[5]Resumen!$G$6</f>
        <v>0</v>
      </c>
      <c r="H10" s="18">
        <f>[5]Resumen!$H$6</f>
        <v>0</v>
      </c>
      <c r="I10" s="15">
        <f>[5]Resumen!$I$6</f>
        <v>0</v>
      </c>
      <c r="J10" s="16">
        <f>[5]Resumen!$J$6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>
      <c r="A11" s="13" t="s">
        <v>20</v>
      </c>
      <c r="B11" s="14">
        <f>[6]Resumen!$B$6</f>
        <v>0</v>
      </c>
      <c r="C11" s="15">
        <f>[6]Resumen!$C$6</f>
        <v>0</v>
      </c>
      <c r="D11" s="16">
        <f>[6]Resumen!$D$6</f>
        <v>0</v>
      </c>
      <c r="E11" s="14">
        <f>[6]Resumen!$E$6</f>
        <v>0</v>
      </c>
      <c r="F11" s="15">
        <f>[6]Resumen!$F$6</f>
        <v>0</v>
      </c>
      <c r="G11" s="17">
        <f>[6]Resumen!$G$6</f>
        <v>0</v>
      </c>
      <c r="H11" s="18">
        <f>[6]Resumen!$H$6</f>
        <v>0</v>
      </c>
      <c r="I11" s="15">
        <f>[6]Resumen!$I$6</f>
        <v>0</v>
      </c>
      <c r="J11" s="16">
        <f>[6]Resumen!$J$6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>
      <c r="A12" s="20" t="s">
        <v>21</v>
      </c>
      <c r="B12" s="14">
        <f>[7]Resumen!$B$6</f>
        <v>0</v>
      </c>
      <c r="C12" s="15">
        <f>[7]Resumen!$C$6</f>
        <v>0</v>
      </c>
      <c r="D12" s="16">
        <f>[7]Resumen!$D$6</f>
        <v>0</v>
      </c>
      <c r="E12" s="14">
        <f>[7]Resumen!$E$6</f>
        <v>0</v>
      </c>
      <c r="F12" s="15">
        <f>[7]Resumen!$F$6</f>
        <v>0</v>
      </c>
      <c r="G12" s="17">
        <f>[7]Resumen!$G$6</f>
        <v>0</v>
      </c>
      <c r="H12" s="18">
        <f>[7]Resumen!$H$6</f>
        <v>0</v>
      </c>
      <c r="I12" s="15">
        <f>[7]Resumen!$I$6</f>
        <v>0</v>
      </c>
      <c r="J12" s="16">
        <f>[7]Resumen!$J$6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>
      <c r="A13" s="13" t="s">
        <v>22</v>
      </c>
      <c r="B13" s="14">
        <f>[8]Resumen!$B$6</f>
        <v>0</v>
      </c>
      <c r="C13" s="15">
        <f>[8]Resumen!$C$6</f>
        <v>0</v>
      </c>
      <c r="D13" s="16">
        <f>[8]Resumen!$D$6</f>
        <v>0</v>
      </c>
      <c r="E13" s="14">
        <f>[8]Resumen!$E$6</f>
        <v>0</v>
      </c>
      <c r="F13" s="15">
        <f>[8]Resumen!$F$6</f>
        <v>0</v>
      </c>
      <c r="G13" s="17">
        <f>[8]Resumen!$G$6</f>
        <v>0</v>
      </c>
      <c r="H13" s="18">
        <f>[8]Resumen!$H$6</f>
        <v>0</v>
      </c>
      <c r="I13" s="15">
        <f>[8]Resumen!$I$6</f>
        <v>0</v>
      </c>
      <c r="J13" s="16">
        <f>[8]Resumen!$J$6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>
      <c r="A14" s="20" t="s">
        <v>23</v>
      </c>
      <c r="B14" s="14">
        <f>[9]Resumen!$B$6</f>
        <v>0</v>
      </c>
      <c r="C14" s="15">
        <f>[9]Resumen!$C$6</f>
        <v>0</v>
      </c>
      <c r="D14" s="16">
        <f>[9]Resumen!$D$6</f>
        <v>0</v>
      </c>
      <c r="E14" s="14">
        <f>[9]Resumen!$E$6</f>
        <v>0</v>
      </c>
      <c r="F14" s="15">
        <f>[9]Resumen!$F$6</f>
        <v>0</v>
      </c>
      <c r="G14" s="17">
        <f>[9]Resumen!$G$6</f>
        <v>0</v>
      </c>
      <c r="H14" s="18">
        <f>[9]Resumen!$H$6</f>
        <v>0</v>
      </c>
      <c r="I14" s="15">
        <f>[9]Resumen!$I$6</f>
        <v>0</v>
      </c>
      <c r="J14" s="16">
        <f>[9]Resumen!$J$6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>
      <c r="A15" s="13" t="s">
        <v>24</v>
      </c>
      <c r="B15" s="14">
        <f>[12]Resumen!$B$6</f>
        <v>0</v>
      </c>
      <c r="C15" s="15">
        <f>[12]Resumen!$C$6</f>
        <v>0</v>
      </c>
      <c r="D15" s="16">
        <f>[12]Resumen!$D$6</f>
        <v>0</v>
      </c>
      <c r="E15" s="14">
        <f>[12]Resumen!$E$6</f>
        <v>0</v>
      </c>
      <c r="F15" s="15">
        <f>[12]Resumen!$F$6</f>
        <v>0</v>
      </c>
      <c r="G15" s="17">
        <f>[12]Resumen!$G$6</f>
        <v>0</v>
      </c>
      <c r="H15" s="18">
        <f>[12]Resumen!$H$6</f>
        <v>0</v>
      </c>
      <c r="I15" s="15">
        <f>[12]Resumen!$I$6</f>
        <v>0</v>
      </c>
      <c r="J15" s="16">
        <f>[12]Resumen!$J$6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>
      <c r="A16" s="20" t="s">
        <v>25</v>
      </c>
      <c r="B16" s="14">
        <f>[13]Resumen!$B$6</f>
        <v>0</v>
      </c>
      <c r="C16" s="15">
        <f>[13]Resumen!$C$6</f>
        <v>0</v>
      </c>
      <c r="D16" s="16">
        <f>[13]Resumen!$D$6</f>
        <v>0</v>
      </c>
      <c r="E16" s="14">
        <f>[13]Resumen!$E$6</f>
        <v>0</v>
      </c>
      <c r="F16" s="15">
        <f>[13]Resumen!$F$6</f>
        <v>0</v>
      </c>
      <c r="G16" s="17">
        <f>[13]Resumen!$G$6</f>
        <v>0</v>
      </c>
      <c r="H16" s="18">
        <f>[13]Resumen!$H$6</f>
        <v>0</v>
      </c>
      <c r="I16" s="15">
        <f>[13]Resumen!$I$6</f>
        <v>0</v>
      </c>
      <c r="J16" s="16">
        <f>[13]Resumen!$J$6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>
      <c r="A17" s="13" t="s">
        <v>26</v>
      </c>
      <c r="B17" s="14">
        <f>[14]Resumen!$B$6</f>
        <v>0</v>
      </c>
      <c r="C17" s="15">
        <f>[14]Resumen!$C$6</f>
        <v>0</v>
      </c>
      <c r="D17" s="16">
        <f>[14]Resumen!$D$6</f>
        <v>0</v>
      </c>
      <c r="E17" s="14">
        <f>[14]Resumen!$E$6</f>
        <v>0</v>
      </c>
      <c r="F17" s="15">
        <f>[14]Resumen!$F$6</f>
        <v>0</v>
      </c>
      <c r="G17" s="17">
        <f>[14]Resumen!$G$6</f>
        <v>0</v>
      </c>
      <c r="H17" s="18">
        <f>[14]Resumen!$H$6</f>
        <v>0</v>
      </c>
      <c r="I17" s="15">
        <f>[14]Resumen!$I$6</f>
        <v>0</v>
      </c>
      <c r="J17" s="16">
        <f>[14]Resumen!$J$6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>
      <c r="A18" s="20" t="s">
        <v>27</v>
      </c>
      <c r="B18" s="14">
        <f>[15]Resumen!$B$6</f>
        <v>0</v>
      </c>
      <c r="C18" s="15">
        <f>[15]Resumen!$C$6</f>
        <v>0</v>
      </c>
      <c r="D18" s="16">
        <f>[15]Resumen!$D$6</f>
        <v>0</v>
      </c>
      <c r="E18" s="14">
        <f>[15]Resumen!$E$6</f>
        <v>0</v>
      </c>
      <c r="F18" s="15">
        <f>[15]Resumen!$F$6</f>
        <v>0</v>
      </c>
      <c r="G18" s="17">
        <f>[15]Resumen!$G$6</f>
        <v>0</v>
      </c>
      <c r="H18" s="18">
        <f>[15]Resumen!$H$6</f>
        <v>0</v>
      </c>
      <c r="I18" s="15">
        <f>[15]Resumen!$I$6</f>
        <v>0</v>
      </c>
      <c r="J18" s="16">
        <f>[15]Resumen!$J$6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>
      <c r="A19" s="20" t="s">
        <v>28</v>
      </c>
      <c r="B19" s="14">
        <f>[16]Resumen!$B$6</f>
        <v>0</v>
      </c>
      <c r="C19" s="15">
        <f>[16]Resumen!$C$6</f>
        <v>0</v>
      </c>
      <c r="D19" s="16">
        <f>[16]Resumen!$D$6</f>
        <v>0</v>
      </c>
      <c r="E19" s="14">
        <f>[16]Resumen!$E$6</f>
        <v>0</v>
      </c>
      <c r="F19" s="15">
        <f>[16]Resumen!$F$6</f>
        <v>0</v>
      </c>
      <c r="G19" s="17">
        <f>[16]Resumen!$G$6</f>
        <v>0</v>
      </c>
      <c r="H19" s="18">
        <f>[16]Resumen!$H$6</f>
        <v>0</v>
      </c>
      <c r="I19" s="15">
        <f>[16]Resumen!$I$6</f>
        <v>0</v>
      </c>
      <c r="J19" s="16">
        <f>[16]Resumen!$J$6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>
      <c r="A20" s="13" t="s">
        <v>29</v>
      </c>
      <c r="B20" s="14">
        <f>[17]Resumen!$B$6</f>
        <v>0</v>
      </c>
      <c r="C20" s="15">
        <f>[17]Resumen!$C$6</f>
        <v>0</v>
      </c>
      <c r="D20" s="16">
        <f>[17]Resumen!$D$6</f>
        <v>0</v>
      </c>
      <c r="E20" s="14">
        <f>[17]Resumen!$E$6</f>
        <v>0</v>
      </c>
      <c r="F20" s="15">
        <f>[17]Resumen!$F$6</f>
        <v>0</v>
      </c>
      <c r="G20" s="17">
        <f>[17]Resumen!$G$6</f>
        <v>0</v>
      </c>
      <c r="H20" s="18">
        <f>[17]Resumen!$H$6</f>
        <v>0</v>
      </c>
      <c r="I20" s="15">
        <f>[17]Resumen!$I$6</f>
        <v>0</v>
      </c>
      <c r="J20" s="16">
        <f>[17]Resumen!$J$6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>
      <c r="A21" s="20" t="s">
        <v>30</v>
      </c>
      <c r="B21" s="14">
        <f>[18]Vendedor4!$J$4</f>
        <v>0</v>
      </c>
      <c r="C21" s="81">
        <f>[18]Vendedor4!$K$4</f>
        <v>0</v>
      </c>
      <c r="D21" s="82">
        <f>[18]Vendedor4!$L$4</f>
        <v>0</v>
      </c>
      <c r="E21" s="14">
        <f>[18]Vendedor4!$J$5</f>
        <v>0</v>
      </c>
      <c r="F21" s="81">
        <f>[18]Vendedor4!$K$5</f>
        <v>0</v>
      </c>
      <c r="G21" s="85">
        <f>[18]Vendedor4!$L$5</f>
        <v>0</v>
      </c>
      <c r="H21" s="19">
        <f>[18]Vendedor4!$J$6</f>
        <v>0</v>
      </c>
      <c r="I21" s="15">
        <f>[18]Vendedor4!$K$6</f>
        <v>0</v>
      </c>
      <c r="J21" s="17">
        <f>[18]Vendedor4!$L$6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>
      <c r="A22" s="13" t="s">
        <v>31</v>
      </c>
      <c r="B22" s="14">
        <f>[19]Vendedor4!$J$4</f>
        <v>0</v>
      </c>
      <c r="C22" s="81">
        <f>[19]Vendedor4!$K$4</f>
        <v>0</v>
      </c>
      <c r="D22" s="82">
        <f>[19]Vendedor4!$L$4</f>
        <v>0</v>
      </c>
      <c r="E22" s="14">
        <f>[19]Vendedor4!$J$5</f>
        <v>0</v>
      </c>
      <c r="F22" s="81">
        <f>[19]Vendedor4!$K$5</f>
        <v>0</v>
      </c>
      <c r="G22" s="85">
        <f>[19]Vendedor4!$L$5</f>
        <v>0</v>
      </c>
      <c r="H22" s="19">
        <f>[19]Vendedor4!$J$6</f>
        <v>0</v>
      </c>
      <c r="I22" s="15">
        <f>[19]Vendedor4!$K$6</f>
        <v>0</v>
      </c>
      <c r="J22" s="17">
        <f>[19]Vendedor4!$L$6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>
      <c r="A23" s="20" t="s">
        <v>32</v>
      </c>
      <c r="B23" s="14">
        <f>[20]Vendedor4!$J$4</f>
        <v>0</v>
      </c>
      <c r="C23" s="81">
        <f>[20]Vendedor4!$K$4</f>
        <v>0</v>
      </c>
      <c r="D23" s="82">
        <f>[20]Vendedor4!$L$4</f>
        <v>0</v>
      </c>
      <c r="E23" s="14">
        <f>[20]Vendedor4!$J$5</f>
        <v>0</v>
      </c>
      <c r="F23" s="81">
        <f>[20]Vendedor4!$K$5</f>
        <v>0</v>
      </c>
      <c r="G23" s="85">
        <f>[20]Vendedor4!$L$5</f>
        <v>0</v>
      </c>
      <c r="H23" s="19">
        <f>[20]Vendedor4!$J$6</f>
        <v>0</v>
      </c>
      <c r="I23" s="15">
        <f>[20]Vendedor4!$K$6</f>
        <v>0</v>
      </c>
      <c r="J23" s="17">
        <f>[20]Vendedor4!$L$6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>
      <c r="A24" s="13" t="s">
        <v>33</v>
      </c>
      <c r="B24" s="14">
        <f>[21]Vendedor4!$J$4</f>
        <v>0</v>
      </c>
      <c r="C24" s="81">
        <f>[21]Vendedor4!$K$4</f>
        <v>0</v>
      </c>
      <c r="D24" s="82">
        <f>[21]Vendedor4!$L$4</f>
        <v>0</v>
      </c>
      <c r="E24" s="14">
        <f>[21]Vendedor4!$J$5</f>
        <v>0</v>
      </c>
      <c r="F24" s="81">
        <f>[21]Vendedor4!$K$5</f>
        <v>0</v>
      </c>
      <c r="G24" s="85">
        <f>[21]Vendedor4!$L$5</f>
        <v>0</v>
      </c>
      <c r="H24" s="19">
        <f>[21]Vendedor4!$J$6</f>
        <v>0</v>
      </c>
      <c r="I24" s="15">
        <f>[21]Vendedor4!$K$6</f>
        <v>0</v>
      </c>
      <c r="J24" s="17">
        <f>[21]Vendedor4!$L$6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>
      <c r="A25" s="20" t="s">
        <v>34</v>
      </c>
      <c r="B25" s="14">
        <f>[22]Vendedor4!$J$4</f>
        <v>0</v>
      </c>
      <c r="C25" s="81">
        <f>[22]Vendedor4!$K$4</f>
        <v>0</v>
      </c>
      <c r="D25" s="82">
        <f>[22]Vendedor4!$L$4</f>
        <v>0</v>
      </c>
      <c r="E25" s="14">
        <f>[22]Vendedor4!$J$5</f>
        <v>0</v>
      </c>
      <c r="F25" s="81">
        <f>[22]Vendedor4!$K$5</f>
        <v>0</v>
      </c>
      <c r="G25" s="85">
        <f>[22]Vendedor4!$L$5</f>
        <v>0</v>
      </c>
      <c r="H25" s="19">
        <f>[22]Vendedor4!$J$6</f>
        <v>0</v>
      </c>
      <c r="I25" s="15">
        <f>[22]Vendedor4!$K$6</f>
        <v>0</v>
      </c>
      <c r="J25" s="17">
        <f>[22]Vendedor4!$L$6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>
      <c r="A26" s="13" t="s">
        <v>35</v>
      </c>
      <c r="B26" s="14">
        <f>[23]Vendedor4!$J$4</f>
        <v>0</v>
      </c>
      <c r="C26" s="81">
        <f>[23]Vendedor4!$K$4</f>
        <v>0</v>
      </c>
      <c r="D26" s="82">
        <f>[23]Vendedor4!$L$4</f>
        <v>0</v>
      </c>
      <c r="E26" s="14">
        <f>[23]Vendedor4!$J$5</f>
        <v>0</v>
      </c>
      <c r="F26" s="81">
        <f>[23]Vendedor4!$K$5</f>
        <v>0</v>
      </c>
      <c r="G26" s="85">
        <f>[23]Vendedor4!$L$5</f>
        <v>0</v>
      </c>
      <c r="H26" s="19">
        <f>[23]Vendedor4!$J$6</f>
        <v>0</v>
      </c>
      <c r="I26" s="15">
        <f>[23]Vendedor4!$K$6</f>
        <v>0</v>
      </c>
      <c r="J26" s="17">
        <f>[23]Vendedor4!$L$6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>
      <c r="A27" s="20" t="s">
        <v>36</v>
      </c>
      <c r="B27" s="14">
        <f>[24]Vendedor4!$J$4</f>
        <v>0</v>
      </c>
      <c r="C27" s="81">
        <f>[24]Vendedor4!$K$4</f>
        <v>0</v>
      </c>
      <c r="D27" s="82">
        <f>[24]Vendedor4!$L$4</f>
        <v>0</v>
      </c>
      <c r="E27" s="14">
        <f>[24]Vendedor4!$J$5</f>
        <v>0</v>
      </c>
      <c r="F27" s="81">
        <f>[24]Vendedor4!$K$5</f>
        <v>0</v>
      </c>
      <c r="G27" s="85">
        <f>[24]Vendedor4!$L$5</f>
        <v>0</v>
      </c>
      <c r="H27" s="19">
        <f>[24]Vendedor4!$J$6</f>
        <v>0</v>
      </c>
      <c r="I27" s="15">
        <f>[24]Vendedor4!$K$6</f>
        <v>0</v>
      </c>
      <c r="J27" s="17">
        <f>[24]Vendedor4!$L$6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>
      <c r="A28" s="13" t="s">
        <v>37</v>
      </c>
      <c r="B28" s="14">
        <f>[25]Vendedor4!$J$4</f>
        <v>0</v>
      </c>
      <c r="C28" s="81">
        <f>[25]Vendedor4!$K$4</f>
        <v>0</v>
      </c>
      <c r="D28" s="82">
        <f>[25]Vendedor4!$L$4</f>
        <v>0</v>
      </c>
      <c r="E28" s="14">
        <f>[25]Vendedor4!$J$5</f>
        <v>0</v>
      </c>
      <c r="F28" s="81">
        <f>[25]Vendedor4!$K$5</f>
        <v>0</v>
      </c>
      <c r="G28" s="85">
        <f>[25]Vendedor4!$L$5</f>
        <v>0</v>
      </c>
      <c r="H28" s="19">
        <f>[25]Vendedor4!$J$6</f>
        <v>0</v>
      </c>
      <c r="I28" s="15">
        <f>[25]Vendedor4!$K$6</f>
        <v>0</v>
      </c>
      <c r="J28" s="17">
        <f>[25]Vendedor4!$L$6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>
      <c r="A29" s="20" t="s">
        <v>38</v>
      </c>
      <c r="B29" s="14">
        <f>[26]Vendedor4!$J$4</f>
        <v>0</v>
      </c>
      <c r="C29" s="81">
        <f>[26]Vendedor4!$K$4</f>
        <v>0</v>
      </c>
      <c r="D29" s="82">
        <f>[26]Vendedor4!$L$4</f>
        <v>0</v>
      </c>
      <c r="E29" s="14">
        <f>[26]Vendedor4!$J$5</f>
        <v>0</v>
      </c>
      <c r="F29" s="81">
        <f>[26]Vendedor4!$K$5</f>
        <v>0</v>
      </c>
      <c r="G29" s="85">
        <f>[26]Vendedor4!$L$5</f>
        <v>0</v>
      </c>
      <c r="H29" s="19">
        <f>[26]Vendedor4!$J$6</f>
        <v>0</v>
      </c>
      <c r="I29" s="15">
        <f>[26]Vendedor4!$K$6</f>
        <v>0</v>
      </c>
      <c r="J29" s="17">
        <f>[26]Vendedor4!$L$6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>
      <c r="A30" s="13" t="s">
        <v>39</v>
      </c>
      <c r="B30" s="14">
        <f>[27]Vendedor4!$J$4</f>
        <v>0</v>
      </c>
      <c r="C30" s="81">
        <f>[27]Vendedor4!$K$4</f>
        <v>0</v>
      </c>
      <c r="D30" s="82">
        <f>[27]Vendedor4!$L$4</f>
        <v>0</v>
      </c>
      <c r="E30" s="14">
        <f>[27]Vendedor4!$J$5</f>
        <v>0</v>
      </c>
      <c r="F30" s="81">
        <f>[27]Vendedor4!$K$5</f>
        <v>0</v>
      </c>
      <c r="G30" s="85">
        <f>[27]Vendedor4!$L$5</f>
        <v>0</v>
      </c>
      <c r="H30" s="19">
        <f>[27]Vendedor4!$J$6</f>
        <v>0</v>
      </c>
      <c r="I30" s="15">
        <f>[27]Vendedor4!$K$6</f>
        <v>0</v>
      </c>
      <c r="J30" s="17">
        <f>[27]Vendedor4!$L$6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>
      <c r="A31" s="20" t="s">
        <v>40</v>
      </c>
      <c r="B31" s="14">
        <f>[28]Vendedor4!$J$4</f>
        <v>0</v>
      </c>
      <c r="C31" s="81">
        <f>[28]Vendedor4!$K$4</f>
        <v>0</v>
      </c>
      <c r="D31" s="82">
        <f>[28]Vendedor4!$L$4</f>
        <v>0</v>
      </c>
      <c r="E31" s="14">
        <f>[28]Vendedor4!$J$5</f>
        <v>0</v>
      </c>
      <c r="F31" s="81">
        <f>[28]Vendedor4!$K$5</f>
        <v>0</v>
      </c>
      <c r="G31" s="85">
        <f>[28]Vendedor4!$L$5</f>
        <v>0</v>
      </c>
      <c r="H31" s="19">
        <f>[28]Vendedor4!$J$6</f>
        <v>0</v>
      </c>
      <c r="I31" s="15">
        <f>[28]Vendedor4!$K$6</f>
        <v>0</v>
      </c>
      <c r="J31" s="17">
        <f>[28]Vendedor4!$L$6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>
      <c r="A32" s="20" t="s">
        <v>41</v>
      </c>
      <c r="B32" s="14">
        <f>[29]Vendedor4!$J$4</f>
        <v>0</v>
      </c>
      <c r="C32" s="81">
        <f>[29]Vendedor4!$K$4</f>
        <v>0</v>
      </c>
      <c r="D32" s="82">
        <f>[29]Vendedor4!$L$4</f>
        <v>0</v>
      </c>
      <c r="E32" s="14">
        <f>[29]Vendedor4!$J$5</f>
        <v>0</v>
      </c>
      <c r="F32" s="81">
        <f>[29]Vendedor4!$K$5</f>
        <v>0</v>
      </c>
      <c r="G32" s="85">
        <f>[29]Vendedor4!$L$5</f>
        <v>0</v>
      </c>
      <c r="H32" s="19">
        <f>[29]Vendedor4!$J$6</f>
        <v>0</v>
      </c>
      <c r="I32" s="15">
        <f>[29]Vendedor4!$K$6</f>
        <v>0</v>
      </c>
      <c r="J32" s="17">
        <f>[29]Vendedor4!$L$6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>
      <c r="A33" s="13" t="s">
        <v>42</v>
      </c>
      <c r="B33" s="14">
        <f>[30]Vendedor4!$J$4</f>
        <v>0</v>
      </c>
      <c r="C33" s="81">
        <f>[30]Vendedor4!$K$4</f>
        <v>0</v>
      </c>
      <c r="D33" s="82">
        <f>[30]Vendedor4!$L$4</f>
        <v>0</v>
      </c>
      <c r="E33" s="14">
        <f>[30]Vendedor4!$J$5</f>
        <v>0</v>
      </c>
      <c r="F33" s="81">
        <f>[30]Vendedor4!$K$5</f>
        <v>0</v>
      </c>
      <c r="G33" s="85">
        <f>[30]Vendedor4!$L$5</f>
        <v>0</v>
      </c>
      <c r="H33" s="19">
        <f>[30]Vendedor4!$J$6</f>
        <v>0</v>
      </c>
      <c r="I33" s="15">
        <f>[30]Vendedor4!$K$6</f>
        <v>0</v>
      </c>
      <c r="J33" s="17">
        <f>[30]Vendedor4!$L$6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>
      <c r="A34" s="20" t="s">
        <v>43</v>
      </c>
      <c r="B34" s="14">
        <f>[31]Vendedor4!$J$4</f>
        <v>0</v>
      </c>
      <c r="C34" s="81">
        <f>[31]Vendedor4!$K$4</f>
        <v>0</v>
      </c>
      <c r="D34" s="82">
        <f>[31]Vendedor4!$L$4</f>
        <v>0</v>
      </c>
      <c r="E34" s="14">
        <f>[31]Vendedor4!$J$5</f>
        <v>0</v>
      </c>
      <c r="F34" s="81">
        <f>[31]Vendedor4!$K$5</f>
        <v>0</v>
      </c>
      <c r="G34" s="85">
        <f>[31]Vendedor4!$L$5</f>
        <v>0</v>
      </c>
      <c r="H34" s="19">
        <f>[31]Vendedor4!$J$6</f>
        <v>0</v>
      </c>
      <c r="I34" s="15">
        <f>[31]Vendedor4!$K$6</f>
        <v>0</v>
      </c>
      <c r="J34" s="17">
        <f>[31]Vendedor4!$L$6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>
      <c r="A35" s="13" t="s">
        <v>44</v>
      </c>
      <c r="B35" s="14">
        <f>[10]Vendedor4!$J$4</f>
        <v>0</v>
      </c>
      <c r="C35" s="81">
        <f>[10]Vendedor4!$K$4</f>
        <v>0</v>
      </c>
      <c r="D35" s="82">
        <f>[10]Vendedor4!$L$4</f>
        <v>0</v>
      </c>
      <c r="E35" s="14">
        <f>[10]Vendedor4!$J$5</f>
        <v>0</v>
      </c>
      <c r="F35" s="81">
        <f>[10]Vendedor4!$K$5</f>
        <v>0</v>
      </c>
      <c r="G35" s="85">
        <f>[10]Vendedor4!$L$5</f>
        <v>0</v>
      </c>
      <c r="H35" s="19">
        <f>[10]Vendedor4!$J$6</f>
        <v>0</v>
      </c>
      <c r="I35" s="15">
        <f>[10]Vendedor4!$K$6</f>
        <v>0</v>
      </c>
      <c r="J35" s="17">
        <f>[10]Vendedor4!$L$6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>
      <c r="A36" s="20" t="s">
        <v>45</v>
      </c>
      <c r="B36" s="21">
        <f>[11]Vendedor4!$J$4</f>
        <v>0</v>
      </c>
      <c r="C36" s="83">
        <f>[11]Vendedor4!$K$4</f>
        <v>0</v>
      </c>
      <c r="D36" s="84">
        <f>[11]Vendedor4!$L$4</f>
        <v>0</v>
      </c>
      <c r="E36" s="21">
        <f>[11]Vendedor4!$J$5</f>
        <v>0</v>
      </c>
      <c r="F36" s="83">
        <f>[11]Vendedor4!$K$5</f>
        <v>0</v>
      </c>
      <c r="G36" s="86">
        <f>[11]Vendedor4!$L$5</f>
        <v>0</v>
      </c>
      <c r="H36" s="26">
        <f>[11]Vendedor4!$J$6</f>
        <v>0</v>
      </c>
      <c r="I36" s="22">
        <f>[11]Vendedor4!$K$6</f>
        <v>0</v>
      </c>
      <c r="J36" s="24">
        <f>[11]Vendedor4!$L$6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75">
      <c r="A37" s="5" t="s">
        <v>46</v>
      </c>
      <c r="B37" s="27">
        <f t="shared" ref="B37:M37" si="5">SUM(B6:B36)</f>
        <v>5000</v>
      </c>
      <c r="C37" s="28">
        <f t="shared" si="5"/>
        <v>600</v>
      </c>
      <c r="D37" s="29">
        <f t="shared" si="5"/>
        <v>0</v>
      </c>
      <c r="E37" s="30">
        <f t="shared" si="5"/>
        <v>0</v>
      </c>
      <c r="F37" s="28">
        <f t="shared" si="5"/>
        <v>4400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5000</v>
      </c>
      <c r="L37" s="28">
        <f t="shared" si="5"/>
        <v>5000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47"/>
  <sheetViews>
    <sheetView showGridLines="0" zoomScale="90" zoomScaleNormal="90" workbookViewId="0">
      <selection activeCell="B5" sqref="B5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1406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55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</row>
    <row r="3" spans="1:15" ht="15.75" thickBot="1"/>
    <row r="4" spans="1:15" ht="30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36" si="0">+K5-L5-M5+N5</f>
        <v>0</v>
      </c>
    </row>
    <row r="6" spans="1:15">
      <c r="A6" s="20" t="s">
        <v>49</v>
      </c>
      <c r="B6" s="53">
        <f>[1]Vendedor5!$J$4</f>
        <v>122200</v>
      </c>
      <c r="C6" s="58">
        <f>[1]Vendedor5!$K$4</f>
        <v>14664</v>
      </c>
      <c r="D6" s="54">
        <f>[1]Vendedor5!$L$4</f>
        <v>221000</v>
      </c>
      <c r="E6" s="53">
        <f>[1]Vendedor5!$J$5</f>
        <v>122800</v>
      </c>
      <c r="F6" s="58">
        <f>[1]Vendedor5!$K$5</f>
        <v>14736</v>
      </c>
      <c r="G6" s="55">
        <f>[1]Vendedor5!$L$5</f>
        <v>12000</v>
      </c>
      <c r="H6" s="61">
        <f>[1]Vendedor5!$J$7</f>
        <v>27550</v>
      </c>
      <c r="I6" s="58">
        <f>[1]Vendedor5!$K$7</f>
        <v>3306</v>
      </c>
      <c r="J6" s="54">
        <f>[1]Vendedor5!$L$7</f>
        <v>20000</v>
      </c>
      <c r="K6" s="59">
        <f>+B6+E6+H6</f>
        <v>272550</v>
      </c>
      <c r="L6" s="58">
        <f>MROUND(C6+F6+I6,50)</f>
        <v>32700</v>
      </c>
      <c r="M6" s="58">
        <f t="shared" ref="M6:M36" si="1">+D6+G6+J6</f>
        <v>253000</v>
      </c>
      <c r="N6" s="58">
        <v>0</v>
      </c>
      <c r="O6" s="55">
        <f t="shared" si="0"/>
        <v>-13150</v>
      </c>
    </row>
    <row r="7" spans="1:15">
      <c r="A7" s="13" t="s">
        <v>50</v>
      </c>
      <c r="B7" s="14">
        <f>[2]Vendedor5!$J$4</f>
        <v>195050</v>
      </c>
      <c r="C7" s="15">
        <f>[2]Vendedor5!$K$4</f>
        <v>23406</v>
      </c>
      <c r="D7" s="16">
        <f>[2]Vendedor5!$L$4</f>
        <v>199750</v>
      </c>
      <c r="E7" s="14">
        <f>[2]Vendedor5!$J$5</f>
        <v>139650</v>
      </c>
      <c r="F7" s="15">
        <f>[2]Vendedor5!$K$5</f>
        <v>16758</v>
      </c>
      <c r="G7" s="17">
        <f>[2]Vendedor5!$L$5</f>
        <v>156000</v>
      </c>
      <c r="H7" s="18">
        <f>[2]Vendedor5!$J$7</f>
        <v>26350</v>
      </c>
      <c r="I7" s="15">
        <f>[2]Vendedor5!$K$7</f>
        <v>3162</v>
      </c>
      <c r="J7" s="16">
        <f>[2]Vendedor5!$L$7</f>
        <v>16000</v>
      </c>
      <c r="K7" s="19">
        <f>+B7+E7+H7</f>
        <v>361050</v>
      </c>
      <c r="L7" s="15">
        <f>MROUND(C7+F7+I7,50)</f>
        <v>43350</v>
      </c>
      <c r="M7" s="15">
        <f t="shared" si="1"/>
        <v>371750</v>
      </c>
      <c r="N7" s="15">
        <v>0</v>
      </c>
      <c r="O7" s="17">
        <f t="shared" si="0"/>
        <v>-54050</v>
      </c>
    </row>
    <row r="8" spans="1:15">
      <c r="A8" s="20" t="s">
        <v>51</v>
      </c>
      <c r="B8" s="14">
        <f>[3]Vendedor5!$J$4</f>
        <v>179250</v>
      </c>
      <c r="C8" s="15">
        <f>[3]Vendedor5!$K$4</f>
        <v>21510</v>
      </c>
      <c r="D8" s="16">
        <f>[3]Vendedor5!$L$4</f>
        <v>233750</v>
      </c>
      <c r="E8" s="14">
        <f>[3]Vendedor5!$J$5</f>
        <v>113900</v>
      </c>
      <c r="F8" s="15">
        <f>[3]Vendedor5!$K$5</f>
        <v>13668</v>
      </c>
      <c r="G8" s="17">
        <f>[3]Vendedor5!$L$5</f>
        <v>152000</v>
      </c>
      <c r="H8" s="18">
        <f>[3]Vendedor5!$J$7</f>
        <v>30600</v>
      </c>
      <c r="I8" s="15">
        <f>[3]Vendedor5!$K$7</f>
        <v>3672</v>
      </c>
      <c r="J8" s="16">
        <f>[3]Vendedor5!$L$7</f>
        <v>8000</v>
      </c>
      <c r="K8" s="19">
        <f>+B8+E8+H8</f>
        <v>323750</v>
      </c>
      <c r="L8" s="15">
        <f t="shared" ref="L8:L36" si="2">MROUND(C8+F8+I8,50)</f>
        <v>38850</v>
      </c>
      <c r="M8" s="15">
        <f t="shared" si="1"/>
        <v>393750</v>
      </c>
      <c r="N8" s="15">
        <v>0</v>
      </c>
      <c r="O8" s="17">
        <f t="shared" si="0"/>
        <v>-108850</v>
      </c>
    </row>
    <row r="9" spans="1:15">
      <c r="A9" s="13" t="s">
        <v>52</v>
      </c>
      <c r="B9" s="14">
        <f>[4]Vendedor5!$J$4</f>
        <v>193000</v>
      </c>
      <c r="C9" s="15">
        <f>[4]Vendedor5!$K$4</f>
        <v>23160</v>
      </c>
      <c r="D9" s="16">
        <f>[4]Vendedor5!$L$4</f>
        <v>348500</v>
      </c>
      <c r="E9" s="14">
        <f>[4]Vendedor5!$J$5</f>
        <v>169150</v>
      </c>
      <c r="F9" s="15">
        <f>[4]Vendedor5!$K$5</f>
        <v>20298</v>
      </c>
      <c r="G9" s="17">
        <f>[4]Vendedor5!$L$5</f>
        <v>128000</v>
      </c>
      <c r="H9" s="18">
        <f>[4]Vendedor5!$J$7</f>
        <v>30950</v>
      </c>
      <c r="I9" s="15">
        <f>[4]Vendedor5!$K$7</f>
        <v>3714</v>
      </c>
      <c r="J9" s="16">
        <f>[4]Vendedor5!$L$7</f>
        <v>0</v>
      </c>
      <c r="K9" s="19">
        <f>+B9+E9+H9</f>
        <v>393100</v>
      </c>
      <c r="L9" s="15">
        <f t="shared" si="2"/>
        <v>47150</v>
      </c>
      <c r="M9" s="15">
        <f t="shared" si="1"/>
        <v>476500</v>
      </c>
      <c r="N9" s="15">
        <v>0</v>
      </c>
      <c r="O9" s="17">
        <f t="shared" si="0"/>
        <v>-130550</v>
      </c>
    </row>
    <row r="10" spans="1:15">
      <c r="A10" s="20" t="s">
        <v>53</v>
      </c>
      <c r="B10" s="14">
        <f>[5]Vendedor5!$J$4</f>
        <v>196050</v>
      </c>
      <c r="C10" s="15">
        <f>[5]Vendedor5!$K$4</f>
        <v>23526</v>
      </c>
      <c r="D10" s="16">
        <f>[5]Vendedor5!$L$4</f>
        <v>238000</v>
      </c>
      <c r="E10" s="14">
        <f>[5]Vendedor5!$J$5</f>
        <v>144400</v>
      </c>
      <c r="F10" s="15">
        <f>[5]Vendedor5!$K$5</f>
        <v>17328</v>
      </c>
      <c r="G10" s="17">
        <f>[5]Vendedor5!$L$5</f>
        <v>136000</v>
      </c>
      <c r="H10" s="18">
        <f>[5]Vendedor5!$J$7</f>
        <v>39250</v>
      </c>
      <c r="I10" s="15">
        <f>[5]Vendedor5!$K$7</f>
        <v>4710</v>
      </c>
      <c r="J10" s="16">
        <f>[5]Vendedor5!$L$7</f>
        <v>8000</v>
      </c>
      <c r="K10" s="19">
        <f t="shared" ref="K10:K36" si="3">+B10+E10+H10</f>
        <v>379700</v>
      </c>
      <c r="L10" s="15">
        <f t="shared" si="2"/>
        <v>45550</v>
      </c>
      <c r="M10" s="15">
        <f t="shared" si="1"/>
        <v>382000</v>
      </c>
      <c r="N10" s="15">
        <v>0</v>
      </c>
      <c r="O10" s="17">
        <f t="shared" si="0"/>
        <v>-47850</v>
      </c>
    </row>
    <row r="11" spans="1:15">
      <c r="A11" s="13" t="s">
        <v>20</v>
      </c>
      <c r="B11" s="14">
        <f>[6]Vendedor5!$J$4</f>
        <v>153550</v>
      </c>
      <c r="C11" s="15">
        <f>[6]Vendedor5!$K$4</f>
        <v>18426</v>
      </c>
      <c r="D11" s="16">
        <f>[6]Vendedor5!$L$4</f>
        <v>17000</v>
      </c>
      <c r="E11" s="14">
        <f>[6]Vendedor5!$J$5</f>
        <v>125050</v>
      </c>
      <c r="F11" s="15">
        <f>[6]Vendedor5!$K$5</f>
        <v>15006</v>
      </c>
      <c r="G11" s="17">
        <f>[6]Vendedor5!$L$5</f>
        <v>68000</v>
      </c>
      <c r="H11" s="18">
        <f>[6]Vendedor5!$J$7</f>
        <v>44350</v>
      </c>
      <c r="I11" s="15">
        <f>[6]Vendedor5!$K$7</f>
        <v>5322</v>
      </c>
      <c r="J11" s="16">
        <f>[6]Vendedor5!$L$7</f>
        <v>0</v>
      </c>
      <c r="K11" s="19">
        <f t="shared" si="3"/>
        <v>322950</v>
      </c>
      <c r="L11" s="15">
        <f t="shared" si="2"/>
        <v>38750</v>
      </c>
      <c r="M11" s="15">
        <f t="shared" si="1"/>
        <v>85000</v>
      </c>
      <c r="N11" s="15">
        <v>0</v>
      </c>
      <c r="O11" s="17">
        <f t="shared" si="0"/>
        <v>199200</v>
      </c>
    </row>
    <row r="12" spans="1:15">
      <c r="A12" s="20" t="s">
        <v>21</v>
      </c>
      <c r="B12" s="14">
        <f>[7]Vendedor5!$J$4</f>
        <v>141500</v>
      </c>
      <c r="C12" s="15">
        <f>[7]Vendedor5!$K$4</f>
        <v>16980</v>
      </c>
      <c r="D12" s="16">
        <f>[7]Vendedor5!$L$4</f>
        <v>182750</v>
      </c>
      <c r="E12" s="14">
        <f>[7]Vendedor5!$J$5</f>
        <v>117750</v>
      </c>
      <c r="F12" s="15">
        <f>[7]Vendedor5!$K$5</f>
        <v>14130</v>
      </c>
      <c r="G12" s="17">
        <f>[7]Vendedor5!$L$5</f>
        <v>112000</v>
      </c>
      <c r="H12" s="18">
        <f>[7]Vendedor5!$J$7</f>
        <v>20250</v>
      </c>
      <c r="I12" s="15">
        <f>[7]Vendedor5!$K$7</f>
        <v>2430</v>
      </c>
      <c r="J12" s="16">
        <f>[7]Vendedor5!$L$7</f>
        <v>56000</v>
      </c>
      <c r="K12" s="19">
        <f t="shared" si="3"/>
        <v>279500</v>
      </c>
      <c r="L12" s="15">
        <f t="shared" si="2"/>
        <v>33550</v>
      </c>
      <c r="M12" s="15">
        <f t="shared" si="1"/>
        <v>350750</v>
      </c>
      <c r="N12" s="15">
        <v>0</v>
      </c>
      <c r="O12" s="17">
        <f t="shared" si="0"/>
        <v>-104800</v>
      </c>
    </row>
    <row r="13" spans="1:15">
      <c r="A13" s="13" t="s">
        <v>22</v>
      </c>
      <c r="B13" s="14">
        <f>[8]Vendedor5!$J$4</f>
        <v>175400</v>
      </c>
      <c r="C13" s="15">
        <f>[8]Vendedor5!$K$4</f>
        <v>21048</v>
      </c>
      <c r="D13" s="16">
        <f>[8]Vendedor5!$L$4</f>
        <v>195500</v>
      </c>
      <c r="E13" s="14">
        <f>[8]Vendedor5!$J$5</f>
        <v>124150</v>
      </c>
      <c r="F13" s="15">
        <f>[8]Vendedor5!$K$5</f>
        <v>14898</v>
      </c>
      <c r="G13" s="17">
        <f>[8]Vendedor5!$L$5</f>
        <v>40000</v>
      </c>
      <c r="H13" s="18">
        <f>[8]Vendedor5!$J$7</f>
        <v>26800</v>
      </c>
      <c r="I13" s="15">
        <f>[8]Vendedor5!$K$7</f>
        <v>3216</v>
      </c>
      <c r="J13" s="16">
        <f>[8]Vendedor5!$L$7</f>
        <v>0</v>
      </c>
      <c r="K13" s="19">
        <f t="shared" si="3"/>
        <v>326350</v>
      </c>
      <c r="L13" s="15">
        <f t="shared" si="2"/>
        <v>39150</v>
      </c>
      <c r="M13" s="15">
        <f t="shared" si="1"/>
        <v>235500</v>
      </c>
      <c r="N13" s="15">
        <v>0</v>
      </c>
      <c r="O13" s="17">
        <f t="shared" si="0"/>
        <v>51700</v>
      </c>
    </row>
    <row r="14" spans="1:15">
      <c r="A14" s="20" t="s">
        <v>23</v>
      </c>
      <c r="B14" s="14">
        <f>[9]Vendedor5!$J$4</f>
        <v>164350</v>
      </c>
      <c r="C14" s="15">
        <f>[9]Vendedor5!$K$4</f>
        <v>19722</v>
      </c>
      <c r="D14" s="16">
        <f>[9]Vendedor5!$L$4</f>
        <v>72250</v>
      </c>
      <c r="E14" s="14">
        <f>[9]Vendedor5!$J$5</f>
        <v>84200</v>
      </c>
      <c r="F14" s="15">
        <f>[9]Vendedor5!$K$5</f>
        <v>10104</v>
      </c>
      <c r="G14" s="17">
        <f>[9]Vendedor5!$L$5</f>
        <v>12000</v>
      </c>
      <c r="H14" s="18">
        <f>[9]Vendedor5!$J$7</f>
        <v>29900</v>
      </c>
      <c r="I14" s="15">
        <f>[9]Vendedor5!$K$7</f>
        <v>3588</v>
      </c>
      <c r="J14" s="16">
        <f>[9]Vendedor5!$L$7</f>
        <v>0</v>
      </c>
      <c r="K14" s="19">
        <f t="shared" si="3"/>
        <v>278450</v>
      </c>
      <c r="L14" s="15">
        <f t="shared" si="2"/>
        <v>33400</v>
      </c>
      <c r="M14" s="15">
        <f t="shared" si="1"/>
        <v>84250</v>
      </c>
      <c r="N14" s="15">
        <v>0</v>
      </c>
      <c r="O14" s="17">
        <f t="shared" si="0"/>
        <v>160800</v>
      </c>
    </row>
    <row r="15" spans="1:15">
      <c r="A15" s="13" t="s">
        <v>24</v>
      </c>
      <c r="B15" s="14">
        <f>[12]Vendedor5!$J$4</f>
        <v>128300</v>
      </c>
      <c r="C15" s="15">
        <f>[12]Vendedor5!$K$4</f>
        <v>15396</v>
      </c>
      <c r="D15" s="16">
        <f>[12]Vendedor5!$L$4</f>
        <v>114750</v>
      </c>
      <c r="E15" s="14">
        <f>[12]Vendedor5!$J$5</f>
        <v>121250</v>
      </c>
      <c r="F15" s="15">
        <f>[12]Vendedor5!$K$5</f>
        <v>14550</v>
      </c>
      <c r="G15" s="17">
        <f>[12]Vendedor5!$L$5</f>
        <v>88000</v>
      </c>
      <c r="H15" s="18">
        <f>[12]Vendedor5!$J$7</f>
        <v>21950</v>
      </c>
      <c r="I15" s="15">
        <f>[12]Vendedor5!$K$7</f>
        <v>2634</v>
      </c>
      <c r="J15" s="16">
        <f>[12]Vendedor5!$L$7</f>
        <v>0</v>
      </c>
      <c r="K15" s="19">
        <f t="shared" si="3"/>
        <v>271500</v>
      </c>
      <c r="L15" s="15">
        <f t="shared" si="2"/>
        <v>32600</v>
      </c>
      <c r="M15" s="15">
        <f t="shared" si="1"/>
        <v>202750</v>
      </c>
      <c r="N15" s="15">
        <v>0</v>
      </c>
      <c r="O15" s="17">
        <f t="shared" si="0"/>
        <v>36150</v>
      </c>
    </row>
    <row r="16" spans="1:15">
      <c r="A16" s="20" t="s">
        <v>25</v>
      </c>
      <c r="B16" s="14">
        <f>[13]Vendedor5!$J$4</f>
        <v>188300</v>
      </c>
      <c r="C16" s="15">
        <f>[13]Vendedor5!$K$4</f>
        <v>22596</v>
      </c>
      <c r="D16" s="16">
        <f>[13]Vendedor5!$L$4</f>
        <v>246500</v>
      </c>
      <c r="E16" s="14">
        <f>[13]Vendedor5!$J$5</f>
        <v>145150</v>
      </c>
      <c r="F16" s="15">
        <f>[13]Vendedor5!$K$5</f>
        <v>17418</v>
      </c>
      <c r="G16" s="17">
        <f>[13]Vendedor5!$L$5</f>
        <v>136000</v>
      </c>
      <c r="H16" s="18">
        <f>[13]Vendedor5!$J$7</f>
        <v>36050</v>
      </c>
      <c r="I16" s="15">
        <f>[13]Vendedor5!$K$7</f>
        <v>4326</v>
      </c>
      <c r="J16" s="16">
        <f>[13]Vendedor5!$L$7</f>
        <v>0</v>
      </c>
      <c r="K16" s="19">
        <f t="shared" si="3"/>
        <v>369500</v>
      </c>
      <c r="L16" s="15">
        <f t="shared" si="2"/>
        <v>44350</v>
      </c>
      <c r="M16" s="15">
        <f t="shared" si="1"/>
        <v>382500</v>
      </c>
      <c r="N16" s="15">
        <v>0</v>
      </c>
      <c r="O16" s="17">
        <f t="shared" si="0"/>
        <v>-57350</v>
      </c>
    </row>
    <row r="17" spans="1:15">
      <c r="A17" s="13" t="s">
        <v>26</v>
      </c>
      <c r="B17" s="14">
        <f>[14]Vendedor5!$J$4</f>
        <v>124450</v>
      </c>
      <c r="C17" s="15">
        <f>[14]Vendedor5!$K$4</f>
        <v>14934</v>
      </c>
      <c r="D17" s="16">
        <f>[14]Vendedor5!$L$4</f>
        <v>55250</v>
      </c>
      <c r="E17" s="14">
        <f>[14]Vendedor5!$J$5</f>
        <v>110950</v>
      </c>
      <c r="F17" s="15">
        <f>[14]Vendedor5!$K$5</f>
        <v>13314</v>
      </c>
      <c r="G17" s="17">
        <f>[14]Vendedor5!$L$5</f>
        <v>16000</v>
      </c>
      <c r="H17" s="18">
        <f>[14]Vendedor5!$J$7</f>
        <v>27050</v>
      </c>
      <c r="I17" s="15">
        <f>[14]Vendedor5!$K$7</f>
        <v>3246</v>
      </c>
      <c r="J17" s="16">
        <f>[14]Vendedor5!$L$7</f>
        <v>0</v>
      </c>
      <c r="K17" s="19">
        <f t="shared" si="3"/>
        <v>262450</v>
      </c>
      <c r="L17" s="15">
        <f t="shared" si="2"/>
        <v>31500</v>
      </c>
      <c r="M17" s="15">
        <f t="shared" si="1"/>
        <v>71250</v>
      </c>
      <c r="N17" s="15">
        <v>0</v>
      </c>
      <c r="O17" s="17">
        <f t="shared" si="0"/>
        <v>159700</v>
      </c>
    </row>
    <row r="18" spans="1:15">
      <c r="A18" s="20" t="s">
        <v>27</v>
      </c>
      <c r="B18" s="14">
        <f>[15]Vendedor5!$J$4</f>
        <v>136650</v>
      </c>
      <c r="C18" s="15">
        <f>[15]Vendedor5!$K$4</f>
        <v>16398</v>
      </c>
      <c r="D18" s="16">
        <f>[15]Vendedor5!$L$4</f>
        <v>68000</v>
      </c>
      <c r="E18" s="14">
        <f>[15]Vendedor5!$J$5</f>
        <v>99850</v>
      </c>
      <c r="F18" s="15">
        <f>[15]Vendedor5!$K$5</f>
        <v>11982</v>
      </c>
      <c r="G18" s="17">
        <f>[15]Vendedor5!$L$5</f>
        <v>68000</v>
      </c>
      <c r="H18" s="18">
        <f>[15]Vendedor5!$J$7</f>
        <v>31450</v>
      </c>
      <c r="I18" s="15">
        <f>[15]Vendedor5!$K$7</f>
        <v>3774</v>
      </c>
      <c r="J18" s="16">
        <f>[15]Vendedor5!$L$7</f>
        <v>16000</v>
      </c>
      <c r="K18" s="19">
        <f t="shared" si="3"/>
        <v>267950</v>
      </c>
      <c r="L18" s="15">
        <f t="shared" si="2"/>
        <v>32150</v>
      </c>
      <c r="M18" s="15">
        <f t="shared" si="1"/>
        <v>152000</v>
      </c>
      <c r="N18" s="15">
        <v>0</v>
      </c>
      <c r="O18" s="17">
        <f t="shared" si="0"/>
        <v>83800</v>
      </c>
    </row>
    <row r="19" spans="1:15">
      <c r="A19" s="20" t="s">
        <v>28</v>
      </c>
      <c r="B19" s="14">
        <f>[16]Vendedor5!$J$4</f>
        <v>107050</v>
      </c>
      <c r="C19" s="15">
        <f>[16]Vendedor5!$K$4</f>
        <v>12846</v>
      </c>
      <c r="D19" s="16">
        <f>[16]Vendedor5!$L$4</f>
        <v>63750</v>
      </c>
      <c r="E19" s="14">
        <f>[16]Vendedor5!$J$5</f>
        <v>119750</v>
      </c>
      <c r="F19" s="15">
        <f>[16]Vendedor5!$K$5</f>
        <v>14370</v>
      </c>
      <c r="G19" s="17">
        <f>[16]Vendedor5!$L$5</f>
        <v>80000</v>
      </c>
      <c r="H19" s="18">
        <f>[16]Vendedor5!$J$7</f>
        <v>33350</v>
      </c>
      <c r="I19" s="15">
        <f>[16]Vendedor5!$K$7</f>
        <v>4002</v>
      </c>
      <c r="J19" s="16">
        <f>[16]Vendedor5!$L$7</f>
        <v>52000</v>
      </c>
      <c r="K19" s="19">
        <f t="shared" si="3"/>
        <v>260150</v>
      </c>
      <c r="L19" s="15">
        <f t="shared" si="2"/>
        <v>31200</v>
      </c>
      <c r="M19" s="15">
        <f t="shared" si="1"/>
        <v>195750</v>
      </c>
      <c r="N19" s="15">
        <v>0</v>
      </c>
      <c r="O19" s="17">
        <f t="shared" si="0"/>
        <v>33200</v>
      </c>
    </row>
    <row r="20" spans="1:15">
      <c r="A20" s="13" t="s">
        <v>29</v>
      </c>
      <c r="B20" s="14">
        <f>[17]Vendedor5!$J$4</f>
        <v>0</v>
      </c>
      <c r="C20" s="15">
        <f>[17]Vendedor5!$K$4</f>
        <v>0</v>
      </c>
      <c r="D20" s="16">
        <f>[17]Vendedor5!$L$4</f>
        <v>0</v>
      </c>
      <c r="E20" s="14">
        <f>[17]Vendedor5!$J$5</f>
        <v>0</v>
      </c>
      <c r="F20" s="15">
        <f>[17]Vendedor5!$K$5</f>
        <v>0</v>
      </c>
      <c r="G20" s="17">
        <f>[17]Vendedor5!$L$5</f>
        <v>0</v>
      </c>
      <c r="H20" s="18">
        <f>[17]Vendedor5!$J$7</f>
        <v>0</v>
      </c>
      <c r="I20" s="15">
        <f>[17]Vendedor5!$K$7</f>
        <v>0</v>
      </c>
      <c r="J20" s="16">
        <f>[17]Vendedor5!$L$7</f>
        <v>0</v>
      </c>
      <c r="K20" s="19">
        <f t="shared" si="3"/>
        <v>0</v>
      </c>
      <c r="L20" s="15">
        <f t="shared" si="2"/>
        <v>0</v>
      </c>
      <c r="M20" s="15">
        <f t="shared" si="1"/>
        <v>0</v>
      </c>
      <c r="N20" s="15">
        <v>0</v>
      </c>
      <c r="O20" s="17">
        <f t="shared" si="0"/>
        <v>0</v>
      </c>
    </row>
    <row r="21" spans="1:15">
      <c r="A21" s="20" t="s">
        <v>30</v>
      </c>
      <c r="B21" s="14">
        <f>[18]Vendedor5!$J$4</f>
        <v>0</v>
      </c>
      <c r="C21" s="81">
        <f>[18]Vendedor5!$K$4</f>
        <v>0</v>
      </c>
      <c r="D21" s="82">
        <f>[18]Vendedor5!$L$4</f>
        <v>0</v>
      </c>
      <c r="E21" s="14">
        <f>[18]Vendedor5!$J$5</f>
        <v>0</v>
      </c>
      <c r="F21" s="81">
        <f>[18]Vendedor5!$K$5</f>
        <v>0</v>
      </c>
      <c r="G21" s="85">
        <f>[18]Vendedor5!$L$5</f>
        <v>0</v>
      </c>
      <c r="H21" s="19">
        <f>[18]Vendedor5!$J$7</f>
        <v>0</v>
      </c>
      <c r="I21" s="15">
        <f>[18]Vendedor5!$K$7</f>
        <v>0</v>
      </c>
      <c r="J21" s="17">
        <f>[18]Vendedor5!$L$7</f>
        <v>0</v>
      </c>
      <c r="K21" s="19">
        <f t="shared" si="3"/>
        <v>0</v>
      </c>
      <c r="L21" s="15">
        <f t="shared" si="2"/>
        <v>0</v>
      </c>
      <c r="M21" s="15">
        <f t="shared" si="1"/>
        <v>0</v>
      </c>
      <c r="N21" s="15">
        <v>0</v>
      </c>
      <c r="O21" s="17">
        <f t="shared" si="0"/>
        <v>0</v>
      </c>
    </row>
    <row r="22" spans="1:15">
      <c r="A22" s="13" t="s">
        <v>31</v>
      </c>
      <c r="B22" s="14">
        <f>[19]Vendedor5!$J$4</f>
        <v>0</v>
      </c>
      <c r="C22" s="81">
        <f>[19]Vendedor5!$K$4</f>
        <v>0</v>
      </c>
      <c r="D22" s="82">
        <f>[19]Vendedor5!$L$4</f>
        <v>0</v>
      </c>
      <c r="E22" s="14">
        <f>[19]Vendedor5!$J$5</f>
        <v>0</v>
      </c>
      <c r="F22" s="81">
        <f>[19]Vendedor5!$K$5</f>
        <v>0</v>
      </c>
      <c r="G22" s="85">
        <f>[19]Vendedor5!$L$5</f>
        <v>0</v>
      </c>
      <c r="H22" s="19">
        <f>[19]Vendedor5!$J$7</f>
        <v>0</v>
      </c>
      <c r="I22" s="15">
        <f>[19]Vendedor5!$K$7</f>
        <v>0</v>
      </c>
      <c r="J22" s="17">
        <f>[19]Vendedor5!$L$7</f>
        <v>0</v>
      </c>
      <c r="K22" s="19">
        <f t="shared" si="3"/>
        <v>0</v>
      </c>
      <c r="L22" s="15">
        <f t="shared" si="2"/>
        <v>0</v>
      </c>
      <c r="M22" s="15">
        <f t="shared" si="1"/>
        <v>0</v>
      </c>
      <c r="N22" s="15">
        <v>0</v>
      </c>
      <c r="O22" s="17">
        <f t="shared" si="0"/>
        <v>0</v>
      </c>
    </row>
    <row r="23" spans="1:15">
      <c r="A23" s="20" t="s">
        <v>32</v>
      </c>
      <c r="B23" s="14">
        <f>[20]Vendedor5!$J$4</f>
        <v>0</v>
      </c>
      <c r="C23" s="81">
        <f>[20]Vendedor5!$K$4</f>
        <v>0</v>
      </c>
      <c r="D23" s="82">
        <f>[20]Vendedor5!$L$4</f>
        <v>0</v>
      </c>
      <c r="E23" s="14">
        <f>[20]Vendedor5!$J$5</f>
        <v>0</v>
      </c>
      <c r="F23" s="81">
        <f>[20]Vendedor5!$K$5</f>
        <v>0</v>
      </c>
      <c r="G23" s="85">
        <f>[20]Vendedor5!$L$5</f>
        <v>0</v>
      </c>
      <c r="H23" s="19">
        <f>[20]Vendedor5!$J$7</f>
        <v>0</v>
      </c>
      <c r="I23" s="15">
        <f>[20]Vendedor5!$K$7</f>
        <v>0</v>
      </c>
      <c r="J23" s="17">
        <f>[20]Vendedor5!$L$7</f>
        <v>0</v>
      </c>
      <c r="K23" s="19">
        <f t="shared" si="3"/>
        <v>0</v>
      </c>
      <c r="L23" s="15">
        <f t="shared" si="2"/>
        <v>0</v>
      </c>
      <c r="M23" s="15">
        <f t="shared" si="1"/>
        <v>0</v>
      </c>
      <c r="N23" s="15">
        <v>0</v>
      </c>
      <c r="O23" s="17">
        <f t="shared" si="0"/>
        <v>0</v>
      </c>
    </row>
    <row r="24" spans="1:15">
      <c r="A24" s="13" t="s">
        <v>33</v>
      </c>
      <c r="B24" s="14">
        <f>[21]Vendedor5!$J$4</f>
        <v>0</v>
      </c>
      <c r="C24" s="81">
        <f>[21]Vendedor5!$K$4</f>
        <v>0</v>
      </c>
      <c r="D24" s="82">
        <f>[21]Vendedor5!$L$4</f>
        <v>0</v>
      </c>
      <c r="E24" s="14">
        <f>[21]Vendedor5!$J$5</f>
        <v>0</v>
      </c>
      <c r="F24" s="81">
        <f>[21]Vendedor5!$K$5</f>
        <v>0</v>
      </c>
      <c r="G24" s="85">
        <f>[21]Vendedor5!$L$5</f>
        <v>0</v>
      </c>
      <c r="H24" s="19">
        <f>[21]Vendedor5!$J$7</f>
        <v>0</v>
      </c>
      <c r="I24" s="15">
        <f>[21]Vendedor5!$K$7</f>
        <v>0</v>
      </c>
      <c r="J24" s="17">
        <f>[21]Vendedor5!$L$7</f>
        <v>0</v>
      </c>
      <c r="K24" s="19">
        <f t="shared" si="3"/>
        <v>0</v>
      </c>
      <c r="L24" s="15">
        <f t="shared" si="2"/>
        <v>0</v>
      </c>
      <c r="M24" s="15">
        <f t="shared" si="1"/>
        <v>0</v>
      </c>
      <c r="N24" s="15">
        <v>0</v>
      </c>
      <c r="O24" s="17">
        <f t="shared" si="0"/>
        <v>0</v>
      </c>
    </row>
    <row r="25" spans="1:15">
      <c r="A25" s="20" t="s">
        <v>34</v>
      </c>
      <c r="B25" s="14">
        <f>[22]Vendedor5!$J$4</f>
        <v>0</v>
      </c>
      <c r="C25" s="81">
        <f>[22]Vendedor5!$K$4</f>
        <v>0</v>
      </c>
      <c r="D25" s="82">
        <f>[22]Vendedor5!$L$4</f>
        <v>0</v>
      </c>
      <c r="E25" s="14">
        <f>[22]Vendedor5!$J$5</f>
        <v>0</v>
      </c>
      <c r="F25" s="81">
        <f>[22]Vendedor5!$K$5</f>
        <v>0</v>
      </c>
      <c r="G25" s="85">
        <f>[22]Vendedor5!$L$5</f>
        <v>0</v>
      </c>
      <c r="H25" s="19">
        <f>[22]Vendedor5!$J$7</f>
        <v>0</v>
      </c>
      <c r="I25" s="15">
        <f>[22]Vendedor5!$K$7</f>
        <v>0</v>
      </c>
      <c r="J25" s="17">
        <f>[22]Vendedor5!$L$7</f>
        <v>0</v>
      </c>
      <c r="K25" s="19">
        <f t="shared" si="3"/>
        <v>0</v>
      </c>
      <c r="L25" s="15">
        <f t="shared" si="2"/>
        <v>0</v>
      </c>
      <c r="M25" s="15">
        <f t="shared" si="1"/>
        <v>0</v>
      </c>
      <c r="N25" s="15">
        <v>0</v>
      </c>
      <c r="O25" s="17">
        <f t="shared" si="0"/>
        <v>0</v>
      </c>
    </row>
    <row r="26" spans="1:15">
      <c r="A26" s="13" t="s">
        <v>35</v>
      </c>
      <c r="B26" s="14">
        <f>[23]Vendedor5!$J$4</f>
        <v>0</v>
      </c>
      <c r="C26" s="81">
        <f>[23]Vendedor5!$K$4</f>
        <v>0</v>
      </c>
      <c r="D26" s="82">
        <f>[23]Vendedor5!$L$4</f>
        <v>0</v>
      </c>
      <c r="E26" s="14">
        <f>[23]Vendedor5!$J$5</f>
        <v>0</v>
      </c>
      <c r="F26" s="81">
        <f>[23]Vendedor5!$K$5</f>
        <v>0</v>
      </c>
      <c r="G26" s="85">
        <f>[23]Vendedor5!$L$5</f>
        <v>0</v>
      </c>
      <c r="H26" s="19">
        <f>[23]Vendedor5!$J$7</f>
        <v>0</v>
      </c>
      <c r="I26" s="15">
        <f>[23]Vendedor5!$K$7</f>
        <v>0</v>
      </c>
      <c r="J26" s="17">
        <f>[23]Vendedor5!$L$7</f>
        <v>0</v>
      </c>
      <c r="K26" s="19">
        <f t="shared" si="3"/>
        <v>0</v>
      </c>
      <c r="L26" s="15">
        <f t="shared" si="2"/>
        <v>0</v>
      </c>
      <c r="M26" s="15">
        <f t="shared" si="1"/>
        <v>0</v>
      </c>
      <c r="N26" s="15">
        <v>0</v>
      </c>
      <c r="O26" s="17">
        <f t="shared" si="0"/>
        <v>0</v>
      </c>
    </row>
    <row r="27" spans="1:15">
      <c r="A27" s="20" t="s">
        <v>36</v>
      </c>
      <c r="B27" s="14">
        <f>[24]Vendedor5!$J$4</f>
        <v>0</v>
      </c>
      <c r="C27" s="81">
        <f>[24]Vendedor5!$K$4</f>
        <v>0</v>
      </c>
      <c r="D27" s="82">
        <f>[24]Vendedor5!$L$4</f>
        <v>0</v>
      </c>
      <c r="E27" s="14">
        <f>[24]Vendedor5!$J$5</f>
        <v>0</v>
      </c>
      <c r="F27" s="81">
        <f>[24]Vendedor5!$K$5</f>
        <v>0</v>
      </c>
      <c r="G27" s="85">
        <f>[24]Vendedor5!$L$5</f>
        <v>0</v>
      </c>
      <c r="H27" s="19">
        <f>[24]Vendedor5!$J$7</f>
        <v>0</v>
      </c>
      <c r="I27" s="15">
        <f>[24]Vendedor5!$K$7</f>
        <v>0</v>
      </c>
      <c r="J27" s="17">
        <f>[24]Vendedor5!$L$7</f>
        <v>0</v>
      </c>
      <c r="K27" s="19">
        <f t="shared" si="3"/>
        <v>0</v>
      </c>
      <c r="L27" s="15">
        <f t="shared" si="2"/>
        <v>0</v>
      </c>
      <c r="M27" s="15">
        <f t="shared" si="1"/>
        <v>0</v>
      </c>
      <c r="N27" s="15">
        <v>0</v>
      </c>
      <c r="O27" s="17">
        <f t="shared" si="0"/>
        <v>0</v>
      </c>
    </row>
    <row r="28" spans="1:15">
      <c r="A28" s="13" t="s">
        <v>37</v>
      </c>
      <c r="B28" s="14">
        <f>[25]Vendedor5!$J$4</f>
        <v>0</v>
      </c>
      <c r="C28" s="81">
        <f>[25]Vendedor5!$K$4</f>
        <v>0</v>
      </c>
      <c r="D28" s="82">
        <f>[25]Vendedor5!$L$4</f>
        <v>0</v>
      </c>
      <c r="E28" s="14">
        <f>[25]Vendedor5!$J$5</f>
        <v>0</v>
      </c>
      <c r="F28" s="81">
        <f>[25]Vendedor5!$K$5</f>
        <v>0</v>
      </c>
      <c r="G28" s="85">
        <f>[25]Vendedor5!$L$5</f>
        <v>0</v>
      </c>
      <c r="H28" s="19">
        <f>[25]Vendedor5!$J$7</f>
        <v>0</v>
      </c>
      <c r="I28" s="15">
        <f>[25]Vendedor5!$K$7</f>
        <v>0</v>
      </c>
      <c r="J28" s="17">
        <f>[25]Vendedor5!$L$7</f>
        <v>0</v>
      </c>
      <c r="K28" s="19">
        <f t="shared" si="3"/>
        <v>0</v>
      </c>
      <c r="L28" s="15">
        <f t="shared" si="2"/>
        <v>0</v>
      </c>
      <c r="M28" s="15">
        <f t="shared" si="1"/>
        <v>0</v>
      </c>
      <c r="N28" s="15">
        <v>0</v>
      </c>
      <c r="O28" s="17">
        <f t="shared" si="0"/>
        <v>0</v>
      </c>
    </row>
    <row r="29" spans="1:15">
      <c r="A29" s="20" t="s">
        <v>38</v>
      </c>
      <c r="B29" s="14">
        <f>[26]Vendedor5!$J$4</f>
        <v>0</v>
      </c>
      <c r="C29" s="81">
        <f>[26]Vendedor5!$K$4</f>
        <v>0</v>
      </c>
      <c r="D29" s="82">
        <f>[26]Vendedor5!$L$4</f>
        <v>0</v>
      </c>
      <c r="E29" s="14">
        <f>[26]Vendedor5!$J$5</f>
        <v>0</v>
      </c>
      <c r="F29" s="81">
        <f>[26]Vendedor5!$K$5</f>
        <v>0</v>
      </c>
      <c r="G29" s="85">
        <f>[26]Vendedor5!$L$5</f>
        <v>0</v>
      </c>
      <c r="H29" s="19">
        <f>[26]Vendedor5!$J$7</f>
        <v>0</v>
      </c>
      <c r="I29" s="15">
        <f>[26]Vendedor5!$K$7</f>
        <v>0</v>
      </c>
      <c r="J29" s="17">
        <f>[26]Vendedor5!$L$7</f>
        <v>0</v>
      </c>
      <c r="K29" s="19">
        <f t="shared" si="3"/>
        <v>0</v>
      </c>
      <c r="L29" s="15">
        <f t="shared" si="2"/>
        <v>0</v>
      </c>
      <c r="M29" s="15">
        <f t="shared" si="1"/>
        <v>0</v>
      </c>
      <c r="N29" s="15">
        <v>0</v>
      </c>
      <c r="O29" s="17">
        <f t="shared" si="0"/>
        <v>0</v>
      </c>
    </row>
    <row r="30" spans="1:15">
      <c r="A30" s="13" t="s">
        <v>39</v>
      </c>
      <c r="B30" s="14">
        <f>[27]Vendedor5!$J$4</f>
        <v>0</v>
      </c>
      <c r="C30" s="81">
        <f>[27]Vendedor5!$K$4</f>
        <v>0</v>
      </c>
      <c r="D30" s="82">
        <f>[27]Vendedor5!$L$4</f>
        <v>0</v>
      </c>
      <c r="E30" s="14">
        <f>[27]Vendedor5!$J$5</f>
        <v>0</v>
      </c>
      <c r="F30" s="81">
        <f>[27]Vendedor5!$K$5</f>
        <v>0</v>
      </c>
      <c r="G30" s="85">
        <f>[27]Vendedor5!$L$5</f>
        <v>0</v>
      </c>
      <c r="H30" s="19">
        <f>[27]Vendedor5!$J$7</f>
        <v>0</v>
      </c>
      <c r="I30" s="15">
        <f>[27]Vendedor5!$K$7</f>
        <v>0</v>
      </c>
      <c r="J30" s="17">
        <f>[27]Vendedor5!$L$7</f>
        <v>0</v>
      </c>
      <c r="K30" s="19">
        <f t="shared" si="3"/>
        <v>0</v>
      </c>
      <c r="L30" s="15">
        <f t="shared" si="2"/>
        <v>0</v>
      </c>
      <c r="M30" s="15">
        <f t="shared" si="1"/>
        <v>0</v>
      </c>
      <c r="N30" s="15">
        <v>0</v>
      </c>
      <c r="O30" s="17">
        <f t="shared" si="0"/>
        <v>0</v>
      </c>
    </row>
    <row r="31" spans="1:15">
      <c r="A31" s="20" t="s">
        <v>40</v>
      </c>
      <c r="B31" s="14">
        <f>[28]Vendedor5!$J$4</f>
        <v>0</v>
      </c>
      <c r="C31" s="81">
        <f>[28]Vendedor5!$K$4</f>
        <v>0</v>
      </c>
      <c r="D31" s="82">
        <f>[28]Vendedor5!$L$4</f>
        <v>0</v>
      </c>
      <c r="E31" s="14">
        <f>[28]Vendedor5!$J$5</f>
        <v>0</v>
      </c>
      <c r="F31" s="81">
        <f>[28]Vendedor5!$K$5</f>
        <v>0</v>
      </c>
      <c r="G31" s="85">
        <f>[28]Vendedor5!$L$5</f>
        <v>0</v>
      </c>
      <c r="H31" s="19">
        <f>[28]Vendedor5!$J$7</f>
        <v>0</v>
      </c>
      <c r="I31" s="15">
        <f>[28]Vendedor5!$K$7</f>
        <v>0</v>
      </c>
      <c r="J31" s="17">
        <f>[28]Vendedor5!$L$7</f>
        <v>0</v>
      </c>
      <c r="K31" s="19">
        <f t="shared" si="3"/>
        <v>0</v>
      </c>
      <c r="L31" s="15">
        <f t="shared" si="2"/>
        <v>0</v>
      </c>
      <c r="M31" s="15">
        <f t="shared" si="1"/>
        <v>0</v>
      </c>
      <c r="N31" s="15">
        <v>0</v>
      </c>
      <c r="O31" s="17">
        <f t="shared" si="0"/>
        <v>0</v>
      </c>
    </row>
    <row r="32" spans="1:15">
      <c r="A32" s="20" t="s">
        <v>41</v>
      </c>
      <c r="B32" s="14">
        <f>[29]Vendedor5!$J$4</f>
        <v>0</v>
      </c>
      <c r="C32" s="81">
        <f>[29]Vendedor5!$K$4</f>
        <v>0</v>
      </c>
      <c r="D32" s="82">
        <f>[29]Vendedor5!$L$4</f>
        <v>0</v>
      </c>
      <c r="E32" s="14">
        <f>[29]Vendedor5!$J$5</f>
        <v>0</v>
      </c>
      <c r="F32" s="81">
        <f>[29]Vendedor5!$K$5</f>
        <v>0</v>
      </c>
      <c r="G32" s="85">
        <f>[29]Vendedor5!$L$5</f>
        <v>0</v>
      </c>
      <c r="H32" s="19">
        <f>[29]Vendedor5!$J$7</f>
        <v>0</v>
      </c>
      <c r="I32" s="15">
        <f>[29]Vendedor5!$K$7</f>
        <v>0</v>
      </c>
      <c r="J32" s="17">
        <f>[29]Vendedor5!$L$7</f>
        <v>0</v>
      </c>
      <c r="K32" s="19">
        <f t="shared" si="3"/>
        <v>0</v>
      </c>
      <c r="L32" s="15">
        <f t="shared" si="2"/>
        <v>0</v>
      </c>
      <c r="M32" s="15">
        <f t="shared" si="1"/>
        <v>0</v>
      </c>
      <c r="N32" s="15">
        <v>0</v>
      </c>
      <c r="O32" s="17">
        <f t="shared" si="0"/>
        <v>0</v>
      </c>
    </row>
    <row r="33" spans="1:15">
      <c r="A33" s="13" t="s">
        <v>42</v>
      </c>
      <c r="B33" s="14">
        <f>[30]Vendedor5!$J$4</f>
        <v>0</v>
      </c>
      <c r="C33" s="81">
        <f>[30]Vendedor5!$K$4</f>
        <v>0</v>
      </c>
      <c r="D33" s="82">
        <f>[30]Vendedor5!$L$4</f>
        <v>0</v>
      </c>
      <c r="E33" s="14">
        <f>[30]Vendedor5!$J$5</f>
        <v>0</v>
      </c>
      <c r="F33" s="81">
        <f>[30]Vendedor5!$K$5</f>
        <v>0</v>
      </c>
      <c r="G33" s="85">
        <f>[30]Vendedor5!$L$5</f>
        <v>0</v>
      </c>
      <c r="H33" s="19">
        <f>[30]Vendedor5!$J$7</f>
        <v>0</v>
      </c>
      <c r="I33" s="15">
        <f>[30]Vendedor5!$K$7</f>
        <v>0</v>
      </c>
      <c r="J33" s="17">
        <f>[30]Vendedor5!$L$7</f>
        <v>0</v>
      </c>
      <c r="K33" s="19">
        <f t="shared" si="3"/>
        <v>0</v>
      </c>
      <c r="L33" s="15">
        <f t="shared" si="2"/>
        <v>0</v>
      </c>
      <c r="M33" s="15">
        <f t="shared" si="1"/>
        <v>0</v>
      </c>
      <c r="N33" s="15">
        <v>0</v>
      </c>
      <c r="O33" s="17">
        <f t="shared" si="0"/>
        <v>0</v>
      </c>
    </row>
    <row r="34" spans="1:15">
      <c r="A34" s="20" t="s">
        <v>43</v>
      </c>
      <c r="B34" s="14">
        <f>[31]Vendedor5!$J$4</f>
        <v>0</v>
      </c>
      <c r="C34" s="81">
        <f>[31]Vendedor5!$K$4</f>
        <v>0</v>
      </c>
      <c r="D34" s="82">
        <f>[31]Vendedor5!$L$4</f>
        <v>0</v>
      </c>
      <c r="E34" s="14">
        <f>[31]Vendedor5!$J$5</f>
        <v>0</v>
      </c>
      <c r="F34" s="81">
        <f>[31]Vendedor5!$K$5</f>
        <v>0</v>
      </c>
      <c r="G34" s="85">
        <f>[31]Vendedor5!$L$5</f>
        <v>0</v>
      </c>
      <c r="H34" s="19">
        <f>[31]Vendedor5!$J$7</f>
        <v>0</v>
      </c>
      <c r="I34" s="15">
        <f>[31]Vendedor5!$K$7</f>
        <v>0</v>
      </c>
      <c r="J34" s="17">
        <f>[31]Vendedor5!$L$7</f>
        <v>0</v>
      </c>
      <c r="K34" s="19">
        <f t="shared" si="3"/>
        <v>0</v>
      </c>
      <c r="L34" s="15">
        <f t="shared" si="2"/>
        <v>0</v>
      </c>
      <c r="M34" s="15">
        <f t="shared" si="1"/>
        <v>0</v>
      </c>
      <c r="N34" s="15">
        <v>0</v>
      </c>
      <c r="O34" s="17">
        <f t="shared" si="0"/>
        <v>0</v>
      </c>
    </row>
    <row r="35" spans="1:15">
      <c r="A35" s="13" t="s">
        <v>44</v>
      </c>
      <c r="B35" s="14">
        <f>[10]Vendedor5!$J$4</f>
        <v>0</v>
      </c>
      <c r="C35" s="81">
        <f>[10]Vendedor5!$K$4</f>
        <v>0</v>
      </c>
      <c r="D35" s="82">
        <f>[10]Vendedor5!$L$4</f>
        <v>0</v>
      </c>
      <c r="E35" s="14">
        <f>[10]Vendedor5!$J$5</f>
        <v>0</v>
      </c>
      <c r="F35" s="81">
        <f>[10]Vendedor5!$K$5</f>
        <v>0</v>
      </c>
      <c r="G35" s="85">
        <f>[10]Vendedor5!$L$5</f>
        <v>0</v>
      </c>
      <c r="H35" s="19">
        <f>[10]Vendedor5!$J$7</f>
        <v>0</v>
      </c>
      <c r="I35" s="15">
        <f>[10]Vendedor5!$K$7</f>
        <v>0</v>
      </c>
      <c r="J35" s="17">
        <f>[10]Vendedor5!$L$7</f>
        <v>0</v>
      </c>
      <c r="K35" s="19">
        <f t="shared" si="3"/>
        <v>0</v>
      </c>
      <c r="L35" s="15">
        <f t="shared" si="2"/>
        <v>0</v>
      </c>
      <c r="M35" s="15">
        <f t="shared" si="1"/>
        <v>0</v>
      </c>
      <c r="N35" s="15">
        <v>0</v>
      </c>
      <c r="O35" s="17">
        <f t="shared" si="0"/>
        <v>0</v>
      </c>
    </row>
    <row r="36" spans="1:15" ht="15.75" thickBot="1">
      <c r="A36" s="20" t="s">
        <v>45</v>
      </c>
      <c r="B36" s="21">
        <f>[11]Vendedor5!$J$4</f>
        <v>0</v>
      </c>
      <c r="C36" s="83">
        <f>[11]Vendedor5!$K$4</f>
        <v>0</v>
      </c>
      <c r="D36" s="84">
        <f>[11]Vendedor5!$L$4</f>
        <v>0</v>
      </c>
      <c r="E36" s="21">
        <f>[11]Vendedor5!$J$5</f>
        <v>0</v>
      </c>
      <c r="F36" s="83">
        <f>[11]Vendedor5!$K$5</f>
        <v>0</v>
      </c>
      <c r="G36" s="86">
        <f>[11]Vendedor5!$L$5</f>
        <v>0</v>
      </c>
      <c r="H36" s="26">
        <f>[11]Vendedor5!$J$7</f>
        <v>0</v>
      </c>
      <c r="I36" s="22">
        <f>[11]Vendedor5!$K$7</f>
        <v>0</v>
      </c>
      <c r="J36" s="24">
        <f>[11]Vendedor5!$L$7</f>
        <v>0</v>
      </c>
      <c r="K36" s="26">
        <f t="shared" si="3"/>
        <v>0</v>
      </c>
      <c r="L36" s="22">
        <f t="shared" si="2"/>
        <v>0</v>
      </c>
      <c r="M36" s="22">
        <f t="shared" si="1"/>
        <v>0</v>
      </c>
      <c r="N36" s="22">
        <v>0</v>
      </c>
      <c r="O36" s="24">
        <f t="shared" si="0"/>
        <v>0</v>
      </c>
    </row>
    <row r="37" spans="1:15" ht="16.5" thickBot="1">
      <c r="A37" s="5" t="s">
        <v>46</v>
      </c>
      <c r="B37" s="27">
        <f t="shared" ref="B37:M37" si="4">SUM(B6:B36)</f>
        <v>2205100</v>
      </c>
      <c r="C37" s="28">
        <f t="shared" si="4"/>
        <v>264612</v>
      </c>
      <c r="D37" s="29">
        <f t="shared" si="4"/>
        <v>2256750</v>
      </c>
      <c r="E37" s="30">
        <f t="shared" si="4"/>
        <v>1738000</v>
      </c>
      <c r="F37" s="28">
        <f t="shared" si="4"/>
        <v>208560</v>
      </c>
      <c r="G37" s="31">
        <f t="shared" si="4"/>
        <v>1204000</v>
      </c>
      <c r="H37" s="27">
        <f t="shared" si="4"/>
        <v>425850</v>
      </c>
      <c r="I37" s="28">
        <f t="shared" si="4"/>
        <v>51102</v>
      </c>
      <c r="J37" s="29">
        <f t="shared" si="4"/>
        <v>176000</v>
      </c>
      <c r="K37" s="60">
        <f t="shared" si="4"/>
        <v>4368950</v>
      </c>
      <c r="L37" s="32">
        <f t="shared" si="4"/>
        <v>524250</v>
      </c>
      <c r="M37" s="32">
        <f t="shared" si="4"/>
        <v>3636750</v>
      </c>
      <c r="N37" s="32">
        <f>SUM(N5:N36)</f>
        <v>0</v>
      </c>
      <c r="O37" s="33">
        <f>SUM(O5:O36)</f>
        <v>207950</v>
      </c>
    </row>
    <row r="47" spans="1:15">
      <c r="A47" s="1" t="s">
        <v>46</v>
      </c>
      <c r="B47" s="1">
        <v>4386800</v>
      </c>
      <c r="C47" s="1">
        <v>526416</v>
      </c>
      <c r="D47" s="1">
        <v>5219000</v>
      </c>
      <c r="E47" s="1">
        <v>3629450</v>
      </c>
      <c r="F47" s="1">
        <v>435534</v>
      </c>
      <c r="G47" s="1">
        <v>2932000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M37"/>
  <sheetViews>
    <sheetView showGridLines="0" zoomScale="80" zoomScaleNormal="80" workbookViewId="0">
      <selection activeCell="B5" sqref="B5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7" width="11.42578125" style="1"/>
    <col min="18" max="18" width="12" style="1" customWidth="1"/>
    <col min="19" max="19" width="4.85546875" style="1" customWidth="1"/>
    <col min="20" max="20" width="10" style="1" customWidth="1"/>
    <col min="21" max="21" width="6.140625" style="1" customWidth="1"/>
    <col min="22" max="1027" width="11.42578125" style="1"/>
  </cols>
  <sheetData>
    <row r="1" spans="1:60" ht="15.75" thickBot="1">
      <c r="I1" s="134" t="s">
        <v>0</v>
      </c>
      <c r="J1" s="135"/>
      <c r="K1" s="135"/>
      <c r="L1" s="135"/>
      <c r="M1" s="135"/>
      <c r="N1" s="135"/>
      <c r="O1" s="135"/>
      <c r="P1" s="136"/>
    </row>
    <row r="2" spans="1:60" ht="19.5" thickBot="1">
      <c r="A2" s="2" t="s">
        <v>1</v>
      </c>
      <c r="B2" s="137" t="s">
        <v>134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71" t="s">
        <v>88</v>
      </c>
      <c r="P2" s="72">
        <v>0.12</v>
      </c>
    </row>
    <row r="3" spans="1:60" ht="15.75" thickBot="1"/>
    <row r="4" spans="1:60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15</v>
      </c>
      <c r="O4" s="7" t="s">
        <v>16</v>
      </c>
      <c r="P4" s="7" t="s">
        <v>17</v>
      </c>
      <c r="Q4" s="11" t="s">
        <v>18</v>
      </c>
      <c r="R4" s="12" t="s">
        <v>19</v>
      </c>
    </row>
    <row r="5" spans="1:60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57"/>
      <c r="Q5" s="69">
        <v>0</v>
      </c>
      <c r="R5" s="70">
        <f t="shared" ref="R5:R20" si="0">+N5-O5-P5+Q5</f>
        <v>0</v>
      </c>
    </row>
    <row r="6" spans="1:60">
      <c r="A6" s="20" t="s">
        <v>49</v>
      </c>
      <c r="B6" s="53">
        <f>[1]Vendedor6!$J$4</f>
        <v>0</v>
      </c>
      <c r="C6" s="87">
        <f>[1]Vendedor6!$K$4</f>
        <v>0</v>
      </c>
      <c r="D6" s="88">
        <f>[1]Vendedor6!$L$4</f>
        <v>0</v>
      </c>
      <c r="E6" s="53">
        <f>[1]Vendedor6!$J$5</f>
        <v>0</v>
      </c>
      <c r="F6" s="87">
        <f>[1]Vendedor6!$K$5</f>
        <v>0</v>
      </c>
      <c r="G6" s="89">
        <f>[1]Vendedor6!$L$5</f>
        <v>0</v>
      </c>
      <c r="H6" s="59">
        <f>[1]Vendedor6!$J$6</f>
        <v>0</v>
      </c>
      <c r="I6" s="58">
        <f>[1]Vendedor6!$K$6</f>
        <v>0</v>
      </c>
      <c r="J6" s="55">
        <f>[1]Vendedor6!$L$6</f>
        <v>0</v>
      </c>
      <c r="K6" s="61">
        <f>[1]Vendedor6!$J$7</f>
        <v>0</v>
      </c>
      <c r="L6" s="58">
        <f>[1]Vendedor6!$K$7</f>
        <v>0</v>
      </c>
      <c r="M6" s="54">
        <f>[1]Vendedor6!$L$7</f>
        <v>0</v>
      </c>
      <c r="N6" s="59">
        <f t="shared" ref="N6:N20" si="1">+B6+E6+H6+K6</f>
        <v>0</v>
      </c>
      <c r="O6" s="58">
        <f t="shared" ref="O6:O20" si="2">+C6+F6+I6+L6</f>
        <v>0</v>
      </c>
      <c r="P6" s="55">
        <f t="shared" ref="P6:P20" si="3">+D6+G6+J6+M6</f>
        <v>0</v>
      </c>
      <c r="Q6" s="61">
        <v>0</v>
      </c>
      <c r="R6" s="55">
        <f t="shared" si="0"/>
        <v>0</v>
      </c>
    </row>
    <row r="7" spans="1:60">
      <c r="A7" s="13" t="s">
        <v>50</v>
      </c>
      <c r="B7" s="14">
        <f>[2]Vendedor6!$J$4</f>
        <v>0</v>
      </c>
      <c r="C7" s="81">
        <f>[2]Vendedor6!$K$4</f>
        <v>0</v>
      </c>
      <c r="D7" s="82">
        <f>[2]Vendedor6!$L$4</f>
        <v>0</v>
      </c>
      <c r="E7" s="14">
        <f>[2]Vendedor6!$J$5</f>
        <v>0</v>
      </c>
      <c r="F7" s="81">
        <f>[2]Vendedor6!$K$5</f>
        <v>0</v>
      </c>
      <c r="G7" s="85">
        <f>[2]Vendedor6!$L$5</f>
        <v>0</v>
      </c>
      <c r="H7" s="19">
        <f>[2]Vendedor6!$J$6</f>
        <v>0</v>
      </c>
      <c r="I7" s="15">
        <f>[2]Vendedor6!$K$6</f>
        <v>0</v>
      </c>
      <c r="J7" s="17">
        <f>[2]Vendedor6!$L$6</f>
        <v>0</v>
      </c>
      <c r="K7" s="18">
        <f>[2]Vendedor6!$J$7</f>
        <v>0</v>
      </c>
      <c r="L7" s="15">
        <f>[2]Vendedor6!$K$7</f>
        <v>0</v>
      </c>
      <c r="M7" s="16">
        <f>[2]Vendedor6!$L$7</f>
        <v>0</v>
      </c>
      <c r="N7" s="19">
        <f t="shared" si="1"/>
        <v>0</v>
      </c>
      <c r="O7" s="15">
        <f t="shared" si="2"/>
        <v>0</v>
      </c>
      <c r="P7" s="17">
        <f t="shared" si="3"/>
        <v>0</v>
      </c>
      <c r="Q7" s="18">
        <v>0</v>
      </c>
      <c r="R7" s="17">
        <f t="shared" si="0"/>
        <v>0</v>
      </c>
    </row>
    <row r="8" spans="1:60">
      <c r="A8" s="20" t="s">
        <v>51</v>
      </c>
      <c r="B8" s="14">
        <f>[3]Vendedor6!$J$4</f>
        <v>0</v>
      </c>
      <c r="C8" s="81">
        <f>[3]Vendedor6!$K$4</f>
        <v>0</v>
      </c>
      <c r="D8" s="82">
        <f>[3]Vendedor6!$L$4</f>
        <v>0</v>
      </c>
      <c r="E8" s="14">
        <f>[3]Vendedor6!$J$5</f>
        <v>0</v>
      </c>
      <c r="F8" s="81">
        <f>[3]Vendedor6!$K$5</f>
        <v>0</v>
      </c>
      <c r="G8" s="85">
        <f>[3]Vendedor6!$L$5</f>
        <v>0</v>
      </c>
      <c r="H8" s="19">
        <f>[3]Vendedor6!$J$6</f>
        <v>0</v>
      </c>
      <c r="I8" s="15">
        <f>[3]Vendedor6!$K$6</f>
        <v>0</v>
      </c>
      <c r="J8" s="17">
        <f>[3]Vendedor6!$L$6</f>
        <v>0</v>
      </c>
      <c r="K8" s="18">
        <f>[3]Vendedor6!$J$7</f>
        <v>0</v>
      </c>
      <c r="L8" s="15">
        <f>[3]Vendedor6!$K$7</f>
        <v>0</v>
      </c>
      <c r="M8" s="16">
        <f>[3]Vendedor6!$L$7</f>
        <v>0</v>
      </c>
      <c r="N8" s="19">
        <f t="shared" si="1"/>
        <v>0</v>
      </c>
      <c r="O8" s="15">
        <f t="shared" si="2"/>
        <v>0</v>
      </c>
      <c r="P8" s="17">
        <f t="shared" si="3"/>
        <v>0</v>
      </c>
      <c r="Q8" s="18">
        <v>0</v>
      </c>
      <c r="R8" s="17">
        <f t="shared" si="0"/>
        <v>0</v>
      </c>
    </row>
    <row r="9" spans="1:60">
      <c r="A9" s="13" t="s">
        <v>52</v>
      </c>
      <c r="B9" s="14">
        <f>[4]Vendedor6!$J$4</f>
        <v>0</v>
      </c>
      <c r="C9" s="81">
        <f>[4]Vendedor6!$K$4</f>
        <v>0</v>
      </c>
      <c r="D9" s="82">
        <f>[4]Vendedor6!$L$4</f>
        <v>0</v>
      </c>
      <c r="E9" s="14">
        <f>[4]Vendedor6!$J$5</f>
        <v>0</v>
      </c>
      <c r="F9" s="81">
        <f>[4]Vendedor6!$K$5</f>
        <v>0</v>
      </c>
      <c r="G9" s="85">
        <f>[4]Vendedor6!$L$5</f>
        <v>0</v>
      </c>
      <c r="H9" s="19">
        <f>[4]Vendedor6!$J$6</f>
        <v>0</v>
      </c>
      <c r="I9" s="15">
        <f>[4]Vendedor6!$K$6</f>
        <v>0</v>
      </c>
      <c r="J9" s="17">
        <f>[4]Vendedor6!$L$6</f>
        <v>0</v>
      </c>
      <c r="K9" s="18">
        <f>[4]Vendedor6!$J$7</f>
        <v>0</v>
      </c>
      <c r="L9" s="15">
        <f>[4]Vendedor6!$K$7</f>
        <v>0</v>
      </c>
      <c r="M9" s="16">
        <f>[4]Vendedor6!$L$7</f>
        <v>0</v>
      </c>
      <c r="N9" s="19">
        <f t="shared" si="1"/>
        <v>0</v>
      </c>
      <c r="O9" s="15">
        <f t="shared" si="2"/>
        <v>0</v>
      </c>
      <c r="P9" s="17">
        <f t="shared" si="3"/>
        <v>0</v>
      </c>
      <c r="Q9" s="18">
        <v>0</v>
      </c>
      <c r="R9" s="17">
        <f t="shared" si="0"/>
        <v>0</v>
      </c>
    </row>
    <row r="10" spans="1:60">
      <c r="A10" s="20" t="s">
        <v>53</v>
      </c>
      <c r="B10" s="14">
        <f>[5]Vendedor6!$J$4</f>
        <v>0</v>
      </c>
      <c r="C10" s="81">
        <f>[5]Vendedor6!$K$4</f>
        <v>0</v>
      </c>
      <c r="D10" s="82">
        <f>[5]Vendedor6!$L$4</f>
        <v>0</v>
      </c>
      <c r="E10" s="14">
        <f>[5]Vendedor6!$J$5</f>
        <v>0</v>
      </c>
      <c r="F10" s="81">
        <f>[5]Vendedor6!$K$5</f>
        <v>0</v>
      </c>
      <c r="G10" s="85">
        <f>[5]Vendedor6!$L$5</f>
        <v>0</v>
      </c>
      <c r="H10" s="19">
        <f>[5]Vendedor6!$J$6</f>
        <v>0</v>
      </c>
      <c r="I10" s="15">
        <f>[5]Vendedor6!$K$6</f>
        <v>0</v>
      </c>
      <c r="J10" s="17">
        <f>[5]Vendedor6!$L$6</f>
        <v>0</v>
      </c>
      <c r="K10" s="18">
        <f>[5]Vendedor6!$J$7</f>
        <v>0</v>
      </c>
      <c r="L10" s="15">
        <f>[5]Vendedor6!$K$7</f>
        <v>0</v>
      </c>
      <c r="M10" s="16">
        <f>[5]Vendedor6!$L$7</f>
        <v>0</v>
      </c>
      <c r="N10" s="19">
        <f t="shared" si="1"/>
        <v>0</v>
      </c>
      <c r="O10" s="15">
        <f t="shared" si="2"/>
        <v>0</v>
      </c>
      <c r="P10" s="17">
        <f t="shared" si="3"/>
        <v>0</v>
      </c>
      <c r="Q10" s="18">
        <v>0</v>
      </c>
      <c r="R10" s="17">
        <f t="shared" si="0"/>
        <v>0</v>
      </c>
    </row>
    <row r="11" spans="1:60">
      <c r="A11" s="13" t="s">
        <v>20</v>
      </c>
      <c r="B11" s="14">
        <f>[6]Vendedor6!$J$4</f>
        <v>0</v>
      </c>
      <c r="C11" s="81">
        <f>[6]Vendedor6!$K$4</f>
        <v>0</v>
      </c>
      <c r="D11" s="82">
        <f>[6]Vendedor6!$L$4</f>
        <v>0</v>
      </c>
      <c r="E11" s="14">
        <f>[6]Vendedor6!$J$5</f>
        <v>0</v>
      </c>
      <c r="F11" s="81">
        <f>[6]Vendedor6!$K$5</f>
        <v>0</v>
      </c>
      <c r="G11" s="85">
        <f>[6]Vendedor6!$L$5</f>
        <v>0</v>
      </c>
      <c r="H11" s="19">
        <f>[6]Vendedor6!$J$6</f>
        <v>0</v>
      </c>
      <c r="I11" s="15">
        <f>[6]Vendedor6!$K$6</f>
        <v>0</v>
      </c>
      <c r="J11" s="17">
        <f>[6]Vendedor6!$L$6</f>
        <v>0</v>
      </c>
      <c r="K11" s="18">
        <f>[6]Vendedor6!$J$7</f>
        <v>0</v>
      </c>
      <c r="L11" s="15">
        <f>[6]Vendedor6!$K$7</f>
        <v>0</v>
      </c>
      <c r="M11" s="16">
        <f>[6]Vendedor6!$L$7</f>
        <v>0</v>
      </c>
      <c r="N11" s="19">
        <f t="shared" si="1"/>
        <v>0</v>
      </c>
      <c r="O11" s="15">
        <f t="shared" si="2"/>
        <v>0</v>
      </c>
      <c r="P11" s="17">
        <f t="shared" si="3"/>
        <v>0</v>
      </c>
      <c r="Q11" s="18">
        <v>0</v>
      </c>
      <c r="R11" s="17">
        <f t="shared" si="0"/>
        <v>0</v>
      </c>
    </row>
    <row r="12" spans="1:60">
      <c r="A12" s="20" t="s">
        <v>21</v>
      </c>
      <c r="B12" s="14">
        <f>[7]Vendedor6!$J$4</f>
        <v>0</v>
      </c>
      <c r="C12" s="81">
        <f>[7]Vendedor6!$K$4</f>
        <v>0</v>
      </c>
      <c r="D12" s="82">
        <f>[7]Vendedor6!$L$4</f>
        <v>0</v>
      </c>
      <c r="E12" s="14">
        <f>[7]Vendedor6!$J$5</f>
        <v>0</v>
      </c>
      <c r="F12" s="81">
        <f>[7]Vendedor6!$K$5</f>
        <v>0</v>
      </c>
      <c r="G12" s="85">
        <f>[7]Vendedor6!$L$5</f>
        <v>0</v>
      </c>
      <c r="H12" s="19">
        <f>[7]Vendedor6!$J$6</f>
        <v>0</v>
      </c>
      <c r="I12" s="15">
        <f>[7]Vendedor6!$K$6</f>
        <v>0</v>
      </c>
      <c r="J12" s="17">
        <f>[7]Vendedor6!$L$6</f>
        <v>0</v>
      </c>
      <c r="K12" s="18">
        <f>[7]Vendedor6!$J$7</f>
        <v>0</v>
      </c>
      <c r="L12" s="15">
        <f>[7]Vendedor6!$K$7</f>
        <v>0</v>
      </c>
      <c r="M12" s="16">
        <f>[7]Vendedor6!$L$7</f>
        <v>0</v>
      </c>
      <c r="N12" s="19">
        <f t="shared" si="1"/>
        <v>0</v>
      </c>
      <c r="O12" s="15">
        <f t="shared" si="2"/>
        <v>0</v>
      </c>
      <c r="P12" s="17">
        <f t="shared" si="3"/>
        <v>0</v>
      </c>
      <c r="Q12" s="18">
        <v>0</v>
      </c>
      <c r="R12" s="17">
        <f t="shared" si="0"/>
        <v>0</v>
      </c>
    </row>
    <row r="13" spans="1:60">
      <c r="A13" s="13" t="s">
        <v>22</v>
      </c>
      <c r="B13" s="14">
        <f>[8]Vendedor6!$J$4</f>
        <v>0</v>
      </c>
      <c r="C13" s="81">
        <f>[8]Vendedor6!$K$4</f>
        <v>0</v>
      </c>
      <c r="D13" s="82">
        <f>[8]Vendedor6!$L$4</f>
        <v>0</v>
      </c>
      <c r="E13" s="14">
        <f>[8]Vendedor6!$J$5</f>
        <v>0</v>
      </c>
      <c r="F13" s="81">
        <f>[8]Vendedor6!$K$5</f>
        <v>0</v>
      </c>
      <c r="G13" s="85">
        <f>[8]Vendedor6!$L$5</f>
        <v>0</v>
      </c>
      <c r="H13" s="19">
        <f>[8]Vendedor6!$J$6</f>
        <v>0</v>
      </c>
      <c r="I13" s="15">
        <f>[8]Vendedor6!$K$6</f>
        <v>0</v>
      </c>
      <c r="J13" s="17">
        <f>[8]Vendedor6!$L$6</f>
        <v>0</v>
      </c>
      <c r="K13" s="18">
        <f>[8]Vendedor6!$J$7</f>
        <v>0</v>
      </c>
      <c r="L13" s="15">
        <f>[8]Vendedor6!$K$7</f>
        <v>0</v>
      </c>
      <c r="M13" s="16">
        <f>[8]Vendedor6!$L$7</f>
        <v>0</v>
      </c>
      <c r="N13" s="19">
        <f t="shared" si="1"/>
        <v>0</v>
      </c>
      <c r="O13" s="15">
        <f t="shared" si="2"/>
        <v>0</v>
      </c>
      <c r="P13" s="17">
        <f t="shared" si="3"/>
        <v>0</v>
      </c>
      <c r="Q13" s="18">
        <v>0</v>
      </c>
      <c r="R13" s="17">
        <f t="shared" si="0"/>
        <v>0</v>
      </c>
    </row>
    <row r="14" spans="1:60">
      <c r="A14" s="20" t="s">
        <v>23</v>
      </c>
      <c r="B14" s="14">
        <f>[9]Vendedor6!$J$4</f>
        <v>0</v>
      </c>
      <c r="C14" s="81">
        <f>[9]Vendedor6!$K$4</f>
        <v>0</v>
      </c>
      <c r="D14" s="82">
        <f>[9]Vendedor6!$L$4</f>
        <v>0</v>
      </c>
      <c r="E14" s="14">
        <f>[9]Vendedor6!$J$5</f>
        <v>0</v>
      </c>
      <c r="F14" s="81">
        <f>[9]Vendedor6!$K$5</f>
        <v>0</v>
      </c>
      <c r="G14" s="85">
        <f>[9]Vendedor6!$L$5</f>
        <v>0</v>
      </c>
      <c r="H14" s="19">
        <f>[9]Vendedor6!$J$6</f>
        <v>0</v>
      </c>
      <c r="I14" s="15">
        <f>[9]Vendedor6!$K$6</f>
        <v>0</v>
      </c>
      <c r="J14" s="17">
        <f>[9]Vendedor6!$L$6</f>
        <v>0</v>
      </c>
      <c r="K14" s="18">
        <f>[9]Vendedor6!$J$7</f>
        <v>0</v>
      </c>
      <c r="L14" s="15">
        <f>[9]Vendedor6!$K$7</f>
        <v>0</v>
      </c>
      <c r="M14" s="16">
        <f>[9]Vendedor6!$L$7</f>
        <v>0</v>
      </c>
      <c r="N14" s="19">
        <f t="shared" si="1"/>
        <v>0</v>
      </c>
      <c r="O14" s="15">
        <f t="shared" si="2"/>
        <v>0</v>
      </c>
      <c r="P14" s="17">
        <f t="shared" si="3"/>
        <v>0</v>
      </c>
      <c r="Q14" s="18">
        <v>0</v>
      </c>
      <c r="R14" s="17">
        <f t="shared" si="0"/>
        <v>0</v>
      </c>
    </row>
    <row r="15" spans="1:60" s="76" customFormat="1">
      <c r="A15" s="20" t="s">
        <v>24</v>
      </c>
      <c r="B15" s="14">
        <f>[12]Vendedor6!$J$4</f>
        <v>0</v>
      </c>
      <c r="C15" s="81">
        <f>[12]Vendedor6!$K$4</f>
        <v>0</v>
      </c>
      <c r="D15" s="82">
        <f>[12]Vendedor6!$L$4</f>
        <v>0</v>
      </c>
      <c r="E15" s="14">
        <f>[12]Vendedor6!$J$5</f>
        <v>0</v>
      </c>
      <c r="F15" s="81">
        <f>[12]Vendedor6!$K$5</f>
        <v>0</v>
      </c>
      <c r="G15" s="85">
        <f>[12]Vendedor6!$L$5</f>
        <v>0</v>
      </c>
      <c r="H15" s="19">
        <f>[12]Vendedor6!$J$6</f>
        <v>0</v>
      </c>
      <c r="I15" s="15">
        <f>[12]Vendedor6!$K$6</f>
        <v>0</v>
      </c>
      <c r="J15" s="17">
        <f>[12]Vendedor6!$L$6</f>
        <v>0</v>
      </c>
      <c r="K15" s="18">
        <f>[12]Vendedor6!$J$7</f>
        <v>0</v>
      </c>
      <c r="L15" s="15">
        <f>[12]Vendedor6!$K$7</f>
        <v>0</v>
      </c>
      <c r="M15" s="16">
        <f>[12]Vendedor6!$L$7</f>
        <v>0</v>
      </c>
      <c r="N15" s="19">
        <f t="shared" si="1"/>
        <v>0</v>
      </c>
      <c r="O15" s="15">
        <f t="shared" si="2"/>
        <v>0</v>
      </c>
      <c r="P15" s="17">
        <f t="shared" si="3"/>
        <v>0</v>
      </c>
      <c r="Q15" s="18">
        <v>0</v>
      </c>
      <c r="R15" s="17">
        <f t="shared" si="0"/>
        <v>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</row>
    <row r="16" spans="1:60" s="76" customFormat="1">
      <c r="A16" s="20" t="s">
        <v>25</v>
      </c>
      <c r="B16" s="14">
        <f>[13]Vendedor6!$J$4</f>
        <v>0</v>
      </c>
      <c r="C16" s="81">
        <f>[13]Vendedor6!$K$4</f>
        <v>0</v>
      </c>
      <c r="D16" s="82">
        <f>[13]Vendedor6!$L$4</f>
        <v>0</v>
      </c>
      <c r="E16" s="14">
        <f>[13]Vendedor6!$J$5</f>
        <v>0</v>
      </c>
      <c r="F16" s="81">
        <f>[13]Vendedor6!$K$5</f>
        <v>0</v>
      </c>
      <c r="G16" s="85">
        <f>[13]Vendedor6!$L$5</f>
        <v>0</v>
      </c>
      <c r="H16" s="19">
        <f>[13]Vendedor6!$J$6</f>
        <v>0</v>
      </c>
      <c r="I16" s="15">
        <f>[13]Vendedor6!$K$6</f>
        <v>0</v>
      </c>
      <c r="J16" s="17">
        <f>[13]Vendedor6!$L$6</f>
        <v>0</v>
      </c>
      <c r="K16" s="18">
        <f>[13]Vendedor6!$J$7</f>
        <v>0</v>
      </c>
      <c r="L16" s="15">
        <f>[13]Vendedor6!$K$7</f>
        <v>0</v>
      </c>
      <c r="M16" s="16">
        <f>[13]Vendedor6!$L$7</f>
        <v>0</v>
      </c>
      <c r="N16" s="19">
        <f t="shared" si="1"/>
        <v>0</v>
      </c>
      <c r="O16" s="15">
        <f t="shared" si="2"/>
        <v>0</v>
      </c>
      <c r="P16" s="17">
        <f t="shared" si="3"/>
        <v>0</v>
      </c>
      <c r="Q16" s="18">
        <v>0</v>
      </c>
      <c r="R16" s="17">
        <f t="shared" si="0"/>
        <v>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</row>
    <row r="17" spans="1:60" s="76" customFormat="1">
      <c r="A17" s="20" t="s">
        <v>26</v>
      </c>
      <c r="B17" s="14">
        <f>[14]Vendedor6!$J$4</f>
        <v>0</v>
      </c>
      <c r="C17" s="81">
        <f>[14]Vendedor6!$K$4</f>
        <v>0</v>
      </c>
      <c r="D17" s="82">
        <f>[14]Vendedor6!$L$4</f>
        <v>0</v>
      </c>
      <c r="E17" s="14">
        <f>[14]Vendedor6!$J$5</f>
        <v>0</v>
      </c>
      <c r="F17" s="81">
        <f>[14]Vendedor6!$K$5</f>
        <v>0</v>
      </c>
      <c r="G17" s="85">
        <f>[14]Vendedor6!$L$5</f>
        <v>0</v>
      </c>
      <c r="H17" s="19">
        <f>[14]Vendedor6!$J$6</f>
        <v>0</v>
      </c>
      <c r="I17" s="15">
        <f>[14]Vendedor6!$K$6</f>
        <v>0</v>
      </c>
      <c r="J17" s="17">
        <f>[14]Vendedor6!$L$6</f>
        <v>0</v>
      </c>
      <c r="K17" s="18">
        <f>[14]Vendedor6!$J$7</f>
        <v>0</v>
      </c>
      <c r="L17" s="15">
        <f>[14]Vendedor6!$K$7</f>
        <v>0</v>
      </c>
      <c r="M17" s="16">
        <f>[14]Vendedor6!$L$7</f>
        <v>0</v>
      </c>
      <c r="N17" s="19">
        <f t="shared" si="1"/>
        <v>0</v>
      </c>
      <c r="O17" s="15">
        <f t="shared" si="2"/>
        <v>0</v>
      </c>
      <c r="P17" s="17">
        <f t="shared" si="3"/>
        <v>0</v>
      </c>
      <c r="Q17" s="18">
        <v>0</v>
      </c>
      <c r="R17" s="17">
        <f t="shared" si="0"/>
        <v>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</row>
    <row r="18" spans="1:60">
      <c r="A18" s="20" t="s">
        <v>27</v>
      </c>
      <c r="B18" s="14">
        <f>[15]Vendedor6!$J$4</f>
        <v>0</v>
      </c>
      <c r="C18" s="81">
        <f>[15]Vendedor6!$K$4</f>
        <v>0</v>
      </c>
      <c r="D18" s="82">
        <f>[15]Vendedor6!$L$4</f>
        <v>0</v>
      </c>
      <c r="E18" s="14">
        <f>[15]Vendedor6!$J$5</f>
        <v>0</v>
      </c>
      <c r="F18" s="81">
        <f>[15]Vendedor6!$K$5</f>
        <v>0</v>
      </c>
      <c r="G18" s="85">
        <f>[15]Vendedor6!$L$5</f>
        <v>0</v>
      </c>
      <c r="H18" s="19">
        <f>[15]Vendedor6!$J$6</f>
        <v>0</v>
      </c>
      <c r="I18" s="15">
        <f>[15]Vendedor6!$K$6</f>
        <v>0</v>
      </c>
      <c r="J18" s="17">
        <f>[15]Vendedor6!$L$6</f>
        <v>0</v>
      </c>
      <c r="K18" s="18">
        <f>[15]Vendedor6!$J$7</f>
        <v>0</v>
      </c>
      <c r="L18" s="15">
        <f>[15]Vendedor6!$K$7</f>
        <v>0</v>
      </c>
      <c r="M18" s="16">
        <f>[15]Vendedor6!$L$7</f>
        <v>0</v>
      </c>
      <c r="N18" s="19">
        <f t="shared" si="1"/>
        <v>0</v>
      </c>
      <c r="O18" s="15">
        <f t="shared" si="2"/>
        <v>0</v>
      </c>
      <c r="P18" s="17">
        <f t="shared" si="3"/>
        <v>0</v>
      </c>
      <c r="Q18" s="18">
        <v>0</v>
      </c>
      <c r="R18" s="17">
        <f t="shared" si="0"/>
        <v>0</v>
      </c>
    </row>
    <row r="19" spans="1:60">
      <c r="A19" s="20" t="s">
        <v>28</v>
      </c>
      <c r="B19" s="14">
        <f>[16]Vendedor6!$J$4</f>
        <v>0</v>
      </c>
      <c r="C19" s="81">
        <f>[16]Vendedor6!$K$4</f>
        <v>0</v>
      </c>
      <c r="D19" s="82">
        <f>[16]Vendedor6!$L$4</f>
        <v>0</v>
      </c>
      <c r="E19" s="14">
        <f>[16]Vendedor6!$J$5</f>
        <v>0</v>
      </c>
      <c r="F19" s="81">
        <f>[16]Vendedor6!$K$5</f>
        <v>0</v>
      </c>
      <c r="G19" s="85">
        <f>[16]Vendedor6!$L$5</f>
        <v>0</v>
      </c>
      <c r="H19" s="19">
        <f>[16]Vendedor6!$J$6</f>
        <v>0</v>
      </c>
      <c r="I19" s="15">
        <f>[16]Vendedor6!$K$6</f>
        <v>0</v>
      </c>
      <c r="J19" s="17">
        <f>[16]Vendedor6!$L$6</f>
        <v>0</v>
      </c>
      <c r="K19" s="18">
        <f>[16]Vendedor6!$J$7</f>
        <v>0</v>
      </c>
      <c r="L19" s="15">
        <f>[16]Vendedor6!$K$7</f>
        <v>0</v>
      </c>
      <c r="M19" s="16">
        <f>[16]Vendedor6!$L$7</f>
        <v>0</v>
      </c>
      <c r="N19" s="19">
        <f t="shared" si="1"/>
        <v>0</v>
      </c>
      <c r="O19" s="15">
        <f t="shared" si="2"/>
        <v>0</v>
      </c>
      <c r="P19" s="17">
        <f t="shared" si="3"/>
        <v>0</v>
      </c>
      <c r="Q19" s="18">
        <v>0</v>
      </c>
      <c r="R19" s="17">
        <f t="shared" si="0"/>
        <v>0</v>
      </c>
    </row>
    <row r="20" spans="1:60">
      <c r="A20" s="13" t="s">
        <v>29</v>
      </c>
      <c r="B20" s="14">
        <f>[17]Vendedor6!$J$4</f>
        <v>0</v>
      </c>
      <c r="C20" s="81">
        <f>[17]Vendedor6!$K$4</f>
        <v>0</v>
      </c>
      <c r="D20" s="82">
        <f>[17]Vendedor6!$L$4</f>
        <v>0</v>
      </c>
      <c r="E20" s="14">
        <f>[17]Vendedor6!$J$5</f>
        <v>0</v>
      </c>
      <c r="F20" s="81">
        <f>[17]Vendedor6!$K$5</f>
        <v>0</v>
      </c>
      <c r="G20" s="85">
        <f>[17]Vendedor6!$L$5</f>
        <v>0</v>
      </c>
      <c r="H20" s="19">
        <f>[17]Vendedor6!$J$6</f>
        <v>0</v>
      </c>
      <c r="I20" s="15">
        <f>[17]Vendedor6!$K$6</f>
        <v>0</v>
      </c>
      <c r="J20" s="17">
        <f>[17]Vendedor6!$L$6</f>
        <v>0</v>
      </c>
      <c r="K20" s="18">
        <f>[17]Vendedor6!$J$7</f>
        <v>0</v>
      </c>
      <c r="L20" s="15">
        <f>[17]Vendedor6!$K$7</f>
        <v>0</v>
      </c>
      <c r="M20" s="16">
        <f>[17]Vendedor6!$L$7</f>
        <v>0</v>
      </c>
      <c r="N20" s="19">
        <f t="shared" si="1"/>
        <v>0</v>
      </c>
      <c r="O20" s="15">
        <f t="shared" si="2"/>
        <v>0</v>
      </c>
      <c r="P20" s="17">
        <f t="shared" si="3"/>
        <v>0</v>
      </c>
      <c r="Q20" s="18">
        <v>0</v>
      </c>
      <c r="R20" s="17">
        <f t="shared" si="0"/>
        <v>0</v>
      </c>
    </row>
    <row r="21" spans="1:60">
      <c r="A21" s="20" t="s">
        <v>30</v>
      </c>
      <c r="B21" s="14">
        <f>[18]Vendedor6!$J$4</f>
        <v>0</v>
      </c>
      <c r="C21" s="81">
        <f>[18]Vendedor6!$K$4</f>
        <v>0</v>
      </c>
      <c r="D21" s="82">
        <f>[18]Vendedor6!$L$4</f>
        <v>0</v>
      </c>
      <c r="E21" s="14">
        <f>[18]Vendedor6!$J$5</f>
        <v>0</v>
      </c>
      <c r="F21" s="81">
        <f>[18]Vendedor6!$K$5</f>
        <v>0</v>
      </c>
      <c r="G21" s="85">
        <f>[18]Vendedor6!$L$5</f>
        <v>0</v>
      </c>
      <c r="H21" s="19">
        <f>[18]Vendedor6!$J$6</f>
        <v>0</v>
      </c>
      <c r="I21" s="15">
        <f>[18]Vendedor6!$K$6</f>
        <v>0</v>
      </c>
      <c r="J21" s="17">
        <f>[18]Vendedor6!$L$6</f>
        <v>0</v>
      </c>
      <c r="K21" s="18">
        <f>[18]Vendedor6!$J$7</f>
        <v>0</v>
      </c>
      <c r="L21" s="15">
        <f>[18]Vendedor6!$K$7</f>
        <v>0</v>
      </c>
      <c r="M21" s="16">
        <f>[18]Vendedor6!$L$7</f>
        <v>0</v>
      </c>
      <c r="N21" s="19">
        <f t="shared" ref="N21:N36" si="4">+B21+E21+H21+K21</f>
        <v>0</v>
      </c>
      <c r="O21" s="15">
        <f t="shared" ref="O21:O36" si="5">+C21+F21+I21+L21</f>
        <v>0</v>
      </c>
      <c r="P21" s="17">
        <f t="shared" ref="P21:P36" si="6">+D21+G21+J21+M21</f>
        <v>0</v>
      </c>
      <c r="Q21" s="18">
        <v>0</v>
      </c>
      <c r="R21" s="17">
        <f t="shared" ref="R21:R36" si="7">+N21-O21-P21+Q21</f>
        <v>0</v>
      </c>
    </row>
    <row r="22" spans="1:60">
      <c r="A22" s="13" t="s">
        <v>31</v>
      </c>
      <c r="B22" s="14">
        <f>[19]Vendedor6!$J$4</f>
        <v>0</v>
      </c>
      <c r="C22" s="81">
        <f>[19]Vendedor6!$K$4</f>
        <v>0</v>
      </c>
      <c r="D22" s="82">
        <f>[19]Vendedor6!$L$4</f>
        <v>0</v>
      </c>
      <c r="E22" s="14">
        <f>[19]Vendedor6!$J$5</f>
        <v>0</v>
      </c>
      <c r="F22" s="81">
        <f>[19]Vendedor6!$K$5</f>
        <v>0</v>
      </c>
      <c r="G22" s="85">
        <f>[19]Vendedor6!$L$5</f>
        <v>0</v>
      </c>
      <c r="H22" s="19">
        <f>[19]Vendedor6!$J$6</f>
        <v>0</v>
      </c>
      <c r="I22" s="15">
        <f>[19]Vendedor6!$K$6</f>
        <v>0</v>
      </c>
      <c r="J22" s="17">
        <f>[19]Vendedor6!$L$6</f>
        <v>0</v>
      </c>
      <c r="K22" s="18">
        <f>[19]Vendedor6!$J$7</f>
        <v>0</v>
      </c>
      <c r="L22" s="15">
        <f>[19]Vendedor6!$K$7</f>
        <v>0</v>
      </c>
      <c r="M22" s="16">
        <f>[19]Vendedor6!$L$7</f>
        <v>0</v>
      </c>
      <c r="N22" s="19">
        <f t="shared" si="4"/>
        <v>0</v>
      </c>
      <c r="O22" s="15">
        <f t="shared" si="5"/>
        <v>0</v>
      </c>
      <c r="P22" s="17">
        <f t="shared" si="6"/>
        <v>0</v>
      </c>
      <c r="Q22" s="18">
        <v>0</v>
      </c>
      <c r="R22" s="17">
        <f t="shared" si="7"/>
        <v>0</v>
      </c>
    </row>
    <row r="23" spans="1:60">
      <c r="A23" s="20" t="s">
        <v>32</v>
      </c>
      <c r="B23" s="14">
        <f>[20]Vendedor6!$J$4</f>
        <v>0</v>
      </c>
      <c r="C23" s="81">
        <f>[20]Vendedor6!$K$4</f>
        <v>0</v>
      </c>
      <c r="D23" s="82">
        <f>[20]Vendedor6!$L$4</f>
        <v>0</v>
      </c>
      <c r="E23" s="14">
        <f>[20]Vendedor6!$J$5</f>
        <v>0</v>
      </c>
      <c r="F23" s="81">
        <f>[20]Vendedor6!$K$5</f>
        <v>0</v>
      </c>
      <c r="G23" s="85">
        <f>[20]Vendedor6!$L$5</f>
        <v>0</v>
      </c>
      <c r="H23" s="19">
        <f>[20]Vendedor6!$J$6</f>
        <v>0</v>
      </c>
      <c r="I23" s="15">
        <f>[20]Vendedor6!$K$6</f>
        <v>0</v>
      </c>
      <c r="J23" s="17">
        <f>[20]Vendedor6!$L$6</f>
        <v>0</v>
      </c>
      <c r="K23" s="18">
        <f>[20]Vendedor6!$J$7</f>
        <v>0</v>
      </c>
      <c r="L23" s="15">
        <f>[20]Vendedor6!$K$7</f>
        <v>0</v>
      </c>
      <c r="M23" s="16">
        <f>[20]Vendedor6!$L$7</f>
        <v>0</v>
      </c>
      <c r="N23" s="19">
        <f t="shared" si="4"/>
        <v>0</v>
      </c>
      <c r="O23" s="15">
        <f t="shared" si="5"/>
        <v>0</v>
      </c>
      <c r="P23" s="17">
        <f t="shared" si="6"/>
        <v>0</v>
      </c>
      <c r="Q23" s="18">
        <v>0</v>
      </c>
      <c r="R23" s="17">
        <f t="shared" si="7"/>
        <v>0</v>
      </c>
    </row>
    <row r="24" spans="1:60">
      <c r="A24" s="13" t="s">
        <v>33</v>
      </c>
      <c r="B24" s="14">
        <f>[21]Vendedor6!$J$4</f>
        <v>0</v>
      </c>
      <c r="C24" s="81">
        <f>[21]Vendedor6!$K$4</f>
        <v>0</v>
      </c>
      <c r="D24" s="82">
        <f>[21]Vendedor6!$L$4</f>
        <v>0</v>
      </c>
      <c r="E24" s="14">
        <f>[21]Vendedor6!$J$5</f>
        <v>0</v>
      </c>
      <c r="F24" s="81">
        <f>[21]Vendedor6!$K$5</f>
        <v>0</v>
      </c>
      <c r="G24" s="85">
        <f>[21]Vendedor6!$L$5</f>
        <v>0</v>
      </c>
      <c r="H24" s="19">
        <f>[21]Vendedor6!$J$6</f>
        <v>0</v>
      </c>
      <c r="I24" s="15">
        <f>[21]Vendedor6!$K$6</f>
        <v>0</v>
      </c>
      <c r="J24" s="17">
        <f>[21]Vendedor6!$L$6</f>
        <v>0</v>
      </c>
      <c r="K24" s="18">
        <f>[21]Vendedor6!$J$7</f>
        <v>0</v>
      </c>
      <c r="L24" s="15">
        <f>[21]Vendedor6!$K$7</f>
        <v>0</v>
      </c>
      <c r="M24" s="16">
        <f>[21]Vendedor6!$L$7</f>
        <v>0</v>
      </c>
      <c r="N24" s="19">
        <f t="shared" si="4"/>
        <v>0</v>
      </c>
      <c r="O24" s="15">
        <f t="shared" si="5"/>
        <v>0</v>
      </c>
      <c r="P24" s="17">
        <f t="shared" si="6"/>
        <v>0</v>
      </c>
      <c r="Q24" s="18">
        <v>0</v>
      </c>
      <c r="R24" s="17">
        <f t="shared" si="7"/>
        <v>0</v>
      </c>
    </row>
    <row r="25" spans="1:60">
      <c r="A25" s="20" t="s">
        <v>34</v>
      </c>
      <c r="B25" s="14">
        <f>[22]Vendedor6!$J$4</f>
        <v>0</v>
      </c>
      <c r="C25" s="81">
        <f>[22]Vendedor6!$K$4</f>
        <v>0</v>
      </c>
      <c r="D25" s="82">
        <f>[22]Vendedor6!$L$4</f>
        <v>0</v>
      </c>
      <c r="E25" s="14">
        <f>[22]Vendedor6!$J$5</f>
        <v>0</v>
      </c>
      <c r="F25" s="81">
        <f>[22]Vendedor6!$K$5</f>
        <v>0</v>
      </c>
      <c r="G25" s="85">
        <f>[22]Vendedor6!$L$5</f>
        <v>0</v>
      </c>
      <c r="H25" s="19">
        <f>[22]Vendedor6!$J$6</f>
        <v>0</v>
      </c>
      <c r="I25" s="15">
        <f>[22]Vendedor6!$K$6</f>
        <v>0</v>
      </c>
      <c r="J25" s="17">
        <f>[22]Vendedor6!$L$6</f>
        <v>0</v>
      </c>
      <c r="K25" s="18">
        <f>[22]Vendedor6!$J$7</f>
        <v>0</v>
      </c>
      <c r="L25" s="15">
        <f>[22]Vendedor6!$K$7</f>
        <v>0</v>
      </c>
      <c r="M25" s="16">
        <f>[22]Vendedor6!$L$7</f>
        <v>0</v>
      </c>
      <c r="N25" s="19">
        <f t="shared" si="4"/>
        <v>0</v>
      </c>
      <c r="O25" s="15">
        <f t="shared" si="5"/>
        <v>0</v>
      </c>
      <c r="P25" s="17">
        <f t="shared" si="6"/>
        <v>0</v>
      </c>
      <c r="Q25" s="18">
        <v>0</v>
      </c>
      <c r="R25" s="17">
        <f t="shared" si="7"/>
        <v>0</v>
      </c>
    </row>
    <row r="26" spans="1:60">
      <c r="A26" s="13" t="s">
        <v>35</v>
      </c>
      <c r="B26" s="14">
        <f>[23]Vendedor6!$J$4</f>
        <v>0</v>
      </c>
      <c r="C26" s="81">
        <f>[23]Vendedor6!$K$4</f>
        <v>0</v>
      </c>
      <c r="D26" s="82">
        <f>[23]Vendedor6!$L$4</f>
        <v>0</v>
      </c>
      <c r="E26" s="14">
        <f>[23]Vendedor6!$J$5</f>
        <v>0</v>
      </c>
      <c r="F26" s="81">
        <f>[23]Vendedor6!$K$5</f>
        <v>0</v>
      </c>
      <c r="G26" s="85">
        <f>[23]Vendedor6!$L$5</f>
        <v>0</v>
      </c>
      <c r="H26" s="19">
        <f>[23]Vendedor6!$J$6</f>
        <v>0</v>
      </c>
      <c r="I26" s="15">
        <f>[23]Vendedor6!$K$6</f>
        <v>0</v>
      </c>
      <c r="J26" s="17">
        <f>[23]Vendedor6!$L$6</f>
        <v>0</v>
      </c>
      <c r="K26" s="18">
        <f>[23]Vendedor6!$J$7</f>
        <v>0</v>
      </c>
      <c r="L26" s="15">
        <f>[23]Vendedor6!$K$7</f>
        <v>0</v>
      </c>
      <c r="M26" s="16">
        <f>[23]Vendedor6!$L$7</f>
        <v>0</v>
      </c>
      <c r="N26" s="19">
        <f t="shared" si="4"/>
        <v>0</v>
      </c>
      <c r="O26" s="15">
        <f t="shared" si="5"/>
        <v>0</v>
      </c>
      <c r="P26" s="17">
        <f t="shared" si="6"/>
        <v>0</v>
      </c>
      <c r="Q26" s="18">
        <v>0</v>
      </c>
      <c r="R26" s="17">
        <f t="shared" si="7"/>
        <v>0</v>
      </c>
    </row>
    <row r="27" spans="1:60">
      <c r="A27" s="20" t="s">
        <v>36</v>
      </c>
      <c r="B27" s="14">
        <f>[24]Vendedor6!$J$4</f>
        <v>0</v>
      </c>
      <c r="C27" s="81">
        <f>[24]Vendedor6!$K$4</f>
        <v>0</v>
      </c>
      <c r="D27" s="82">
        <f>[24]Vendedor6!$L$4</f>
        <v>0</v>
      </c>
      <c r="E27" s="14">
        <f>[24]Vendedor6!$J$5</f>
        <v>0</v>
      </c>
      <c r="F27" s="81">
        <f>[24]Vendedor6!$K$5</f>
        <v>0</v>
      </c>
      <c r="G27" s="85">
        <f>[24]Vendedor6!$L$5</f>
        <v>0</v>
      </c>
      <c r="H27" s="19">
        <f>[24]Vendedor6!$J$6</f>
        <v>0</v>
      </c>
      <c r="I27" s="15">
        <f>[24]Vendedor6!$K$6</f>
        <v>0</v>
      </c>
      <c r="J27" s="17">
        <f>[24]Vendedor6!$L$6</f>
        <v>0</v>
      </c>
      <c r="K27" s="18">
        <f>[24]Vendedor6!$J$7</f>
        <v>0</v>
      </c>
      <c r="L27" s="15">
        <f>[24]Vendedor6!$K$7</f>
        <v>0</v>
      </c>
      <c r="M27" s="16">
        <f>[24]Vendedor6!$L$7</f>
        <v>0</v>
      </c>
      <c r="N27" s="19">
        <f t="shared" si="4"/>
        <v>0</v>
      </c>
      <c r="O27" s="15">
        <f t="shared" si="5"/>
        <v>0</v>
      </c>
      <c r="P27" s="17">
        <f t="shared" si="6"/>
        <v>0</v>
      </c>
      <c r="Q27" s="18">
        <v>0</v>
      </c>
      <c r="R27" s="17">
        <f t="shared" si="7"/>
        <v>0</v>
      </c>
    </row>
    <row r="28" spans="1:60">
      <c r="A28" s="13" t="s">
        <v>37</v>
      </c>
      <c r="B28" s="14">
        <f>[25]Vendedor6!$J$4</f>
        <v>0</v>
      </c>
      <c r="C28" s="81">
        <f>[25]Vendedor6!$K$4</f>
        <v>0</v>
      </c>
      <c r="D28" s="82">
        <f>[25]Vendedor6!$L$4</f>
        <v>0</v>
      </c>
      <c r="E28" s="14">
        <f>[25]Vendedor6!$J$5</f>
        <v>0</v>
      </c>
      <c r="F28" s="81">
        <f>[25]Vendedor6!$K$5</f>
        <v>0</v>
      </c>
      <c r="G28" s="85">
        <f>[25]Vendedor6!$L$5</f>
        <v>0</v>
      </c>
      <c r="H28" s="19">
        <f>[25]Vendedor6!$J$6</f>
        <v>0</v>
      </c>
      <c r="I28" s="15">
        <f>[25]Vendedor6!$K$6</f>
        <v>0</v>
      </c>
      <c r="J28" s="17">
        <f>[25]Vendedor6!$L$6</f>
        <v>0</v>
      </c>
      <c r="K28" s="18">
        <f>[25]Vendedor6!$J$7</f>
        <v>0</v>
      </c>
      <c r="L28" s="15">
        <f>[25]Vendedor6!$K$7</f>
        <v>0</v>
      </c>
      <c r="M28" s="16">
        <f>[25]Vendedor6!$L$7</f>
        <v>0</v>
      </c>
      <c r="N28" s="19">
        <f t="shared" si="4"/>
        <v>0</v>
      </c>
      <c r="O28" s="15">
        <f t="shared" si="5"/>
        <v>0</v>
      </c>
      <c r="P28" s="17">
        <f t="shared" si="6"/>
        <v>0</v>
      </c>
      <c r="Q28" s="18">
        <v>0</v>
      </c>
      <c r="R28" s="17">
        <f t="shared" si="7"/>
        <v>0</v>
      </c>
    </row>
    <row r="29" spans="1:60">
      <c r="A29" s="20" t="s">
        <v>38</v>
      </c>
      <c r="B29" s="14">
        <f>[26]Vendedor6!$J$4</f>
        <v>0</v>
      </c>
      <c r="C29" s="81">
        <f>[26]Vendedor6!$K$4</f>
        <v>0</v>
      </c>
      <c r="D29" s="82">
        <f>[26]Vendedor6!$L$4</f>
        <v>0</v>
      </c>
      <c r="E29" s="14">
        <f>[26]Vendedor6!$J$5</f>
        <v>0</v>
      </c>
      <c r="F29" s="81">
        <f>[26]Vendedor6!$K$5</f>
        <v>0</v>
      </c>
      <c r="G29" s="85">
        <f>[26]Vendedor6!$L$5</f>
        <v>0</v>
      </c>
      <c r="H29" s="19">
        <f>[26]Vendedor6!$J$6</f>
        <v>0</v>
      </c>
      <c r="I29" s="15">
        <f>[26]Vendedor6!$K$6</f>
        <v>0</v>
      </c>
      <c r="J29" s="17">
        <f>[26]Vendedor6!$L$6</f>
        <v>0</v>
      </c>
      <c r="K29" s="18">
        <f>[26]Vendedor6!$J$7</f>
        <v>0</v>
      </c>
      <c r="L29" s="15">
        <f>[26]Vendedor6!$K$7</f>
        <v>0</v>
      </c>
      <c r="M29" s="16">
        <f>[26]Vendedor6!$L$7</f>
        <v>0</v>
      </c>
      <c r="N29" s="19">
        <f t="shared" si="4"/>
        <v>0</v>
      </c>
      <c r="O29" s="15">
        <f t="shared" si="5"/>
        <v>0</v>
      </c>
      <c r="P29" s="17">
        <f t="shared" si="6"/>
        <v>0</v>
      </c>
      <c r="Q29" s="18">
        <v>0</v>
      </c>
      <c r="R29" s="17">
        <f t="shared" si="7"/>
        <v>0</v>
      </c>
    </row>
    <row r="30" spans="1:60">
      <c r="A30" s="13" t="s">
        <v>39</v>
      </c>
      <c r="B30" s="14">
        <f>[27]Vendedor6!$J$4</f>
        <v>0</v>
      </c>
      <c r="C30" s="81">
        <f>[27]Vendedor6!$K$4</f>
        <v>0</v>
      </c>
      <c r="D30" s="82">
        <f>[27]Vendedor6!$L$4</f>
        <v>0</v>
      </c>
      <c r="E30" s="14">
        <f>[27]Vendedor6!$J$5</f>
        <v>0</v>
      </c>
      <c r="F30" s="81">
        <f>[27]Vendedor6!$K$5</f>
        <v>0</v>
      </c>
      <c r="G30" s="85">
        <f>[27]Vendedor6!$L$5</f>
        <v>0</v>
      </c>
      <c r="H30" s="19">
        <f>[27]Vendedor6!$J$6</f>
        <v>0</v>
      </c>
      <c r="I30" s="15">
        <f>[27]Vendedor6!$K$6</f>
        <v>0</v>
      </c>
      <c r="J30" s="17">
        <f>[27]Vendedor6!$L$6</f>
        <v>0</v>
      </c>
      <c r="K30" s="18">
        <f>[27]Vendedor6!$J$7</f>
        <v>0</v>
      </c>
      <c r="L30" s="15">
        <f>[27]Vendedor6!$K$7</f>
        <v>0</v>
      </c>
      <c r="M30" s="16">
        <f>[27]Vendedor6!$L$7</f>
        <v>0</v>
      </c>
      <c r="N30" s="19">
        <f t="shared" si="4"/>
        <v>0</v>
      </c>
      <c r="O30" s="15">
        <f t="shared" si="5"/>
        <v>0</v>
      </c>
      <c r="P30" s="17">
        <f t="shared" si="6"/>
        <v>0</v>
      </c>
      <c r="Q30" s="18">
        <v>0</v>
      </c>
      <c r="R30" s="17">
        <f t="shared" si="7"/>
        <v>0</v>
      </c>
    </row>
    <row r="31" spans="1:60">
      <c r="A31" s="20" t="s">
        <v>40</v>
      </c>
      <c r="B31" s="14">
        <f>[28]Vendedor6!$J$4</f>
        <v>0</v>
      </c>
      <c r="C31" s="81">
        <f>[28]Vendedor6!$K$4</f>
        <v>0</v>
      </c>
      <c r="D31" s="82">
        <f>[28]Vendedor6!$L$4</f>
        <v>0</v>
      </c>
      <c r="E31" s="14">
        <f>[28]Vendedor6!$J$5</f>
        <v>0</v>
      </c>
      <c r="F31" s="81">
        <f>[28]Vendedor6!$K$5</f>
        <v>0</v>
      </c>
      <c r="G31" s="85">
        <f>[28]Vendedor6!$L$5</f>
        <v>0</v>
      </c>
      <c r="H31" s="19">
        <f>[28]Vendedor6!$J$6</f>
        <v>0</v>
      </c>
      <c r="I31" s="15">
        <f>[28]Vendedor6!$K$6</f>
        <v>0</v>
      </c>
      <c r="J31" s="17">
        <f>[28]Vendedor6!$L$6</f>
        <v>0</v>
      </c>
      <c r="K31" s="18">
        <f>[28]Vendedor6!$J$7</f>
        <v>0</v>
      </c>
      <c r="L31" s="15">
        <f>[28]Vendedor6!$K$7</f>
        <v>0</v>
      </c>
      <c r="M31" s="16">
        <f>[28]Vendedor6!$L$7</f>
        <v>0</v>
      </c>
      <c r="N31" s="19">
        <f t="shared" si="4"/>
        <v>0</v>
      </c>
      <c r="O31" s="15">
        <f t="shared" si="5"/>
        <v>0</v>
      </c>
      <c r="P31" s="17">
        <f t="shared" si="6"/>
        <v>0</v>
      </c>
      <c r="Q31" s="18">
        <v>0</v>
      </c>
      <c r="R31" s="17">
        <f t="shared" si="7"/>
        <v>0</v>
      </c>
    </row>
    <row r="32" spans="1:60">
      <c r="A32" s="20" t="s">
        <v>41</v>
      </c>
      <c r="B32" s="14">
        <f>[29]Vendedor6!$J$4</f>
        <v>0</v>
      </c>
      <c r="C32" s="81">
        <f>[29]Vendedor6!$K$4</f>
        <v>0</v>
      </c>
      <c r="D32" s="82">
        <f>[29]Vendedor6!$L$4</f>
        <v>0</v>
      </c>
      <c r="E32" s="14">
        <f>[29]Vendedor6!$J$5</f>
        <v>0</v>
      </c>
      <c r="F32" s="81">
        <f>[29]Vendedor6!$K$5</f>
        <v>0</v>
      </c>
      <c r="G32" s="85">
        <f>[29]Vendedor6!$L$5</f>
        <v>0</v>
      </c>
      <c r="H32" s="19">
        <f>[29]Vendedor6!$J$6</f>
        <v>0</v>
      </c>
      <c r="I32" s="15">
        <f>[29]Vendedor6!$K$6</f>
        <v>0</v>
      </c>
      <c r="J32" s="17">
        <f>[29]Vendedor6!$L$6</f>
        <v>0</v>
      </c>
      <c r="K32" s="18">
        <f>[29]Vendedor6!$J$7</f>
        <v>0</v>
      </c>
      <c r="L32" s="15">
        <f>[29]Vendedor6!$K$7</f>
        <v>0</v>
      </c>
      <c r="M32" s="16">
        <f>[29]Vendedor6!$L$7</f>
        <v>0</v>
      </c>
      <c r="N32" s="19">
        <f t="shared" si="4"/>
        <v>0</v>
      </c>
      <c r="O32" s="15">
        <f t="shared" si="5"/>
        <v>0</v>
      </c>
      <c r="P32" s="17">
        <f t="shared" si="6"/>
        <v>0</v>
      </c>
      <c r="Q32" s="18">
        <v>0</v>
      </c>
      <c r="R32" s="17">
        <f t="shared" si="7"/>
        <v>0</v>
      </c>
    </row>
    <row r="33" spans="1:18">
      <c r="A33" s="13" t="s">
        <v>42</v>
      </c>
      <c r="B33" s="14">
        <f>[30]Vendedor6!$J$4</f>
        <v>0</v>
      </c>
      <c r="C33" s="81">
        <f>[30]Vendedor6!$K$4</f>
        <v>0</v>
      </c>
      <c r="D33" s="82">
        <f>[30]Vendedor6!$L$4</f>
        <v>0</v>
      </c>
      <c r="E33" s="14">
        <f>[30]Vendedor6!$J$5</f>
        <v>0</v>
      </c>
      <c r="F33" s="81">
        <f>[30]Vendedor6!$K$5</f>
        <v>0</v>
      </c>
      <c r="G33" s="85">
        <f>[30]Vendedor6!$L$5</f>
        <v>0</v>
      </c>
      <c r="H33" s="19">
        <f>[30]Vendedor6!$J$6</f>
        <v>0</v>
      </c>
      <c r="I33" s="15">
        <f>[30]Vendedor6!$K$6</f>
        <v>0</v>
      </c>
      <c r="J33" s="17">
        <f>[30]Vendedor6!$L$6</f>
        <v>0</v>
      </c>
      <c r="K33" s="18">
        <f>[30]Vendedor6!$J$7</f>
        <v>0</v>
      </c>
      <c r="L33" s="15">
        <f>[30]Vendedor6!$K$7</f>
        <v>0</v>
      </c>
      <c r="M33" s="16">
        <f>[30]Vendedor6!$L$7</f>
        <v>0</v>
      </c>
      <c r="N33" s="19">
        <f t="shared" si="4"/>
        <v>0</v>
      </c>
      <c r="O33" s="15">
        <f t="shared" si="5"/>
        <v>0</v>
      </c>
      <c r="P33" s="17">
        <f t="shared" si="6"/>
        <v>0</v>
      </c>
      <c r="Q33" s="18">
        <v>0</v>
      </c>
      <c r="R33" s="17">
        <f t="shared" si="7"/>
        <v>0</v>
      </c>
    </row>
    <row r="34" spans="1:18">
      <c r="A34" s="20" t="s">
        <v>43</v>
      </c>
      <c r="B34" s="14">
        <f>[31]Vendedor6!$J$4</f>
        <v>0</v>
      </c>
      <c r="C34" s="81">
        <f>[31]Vendedor6!$K$4</f>
        <v>0</v>
      </c>
      <c r="D34" s="82">
        <f>[31]Vendedor6!$L$4</f>
        <v>0</v>
      </c>
      <c r="E34" s="14">
        <f>[31]Vendedor6!$J$5</f>
        <v>0</v>
      </c>
      <c r="F34" s="81">
        <f>[31]Vendedor6!$K$5</f>
        <v>0</v>
      </c>
      <c r="G34" s="85">
        <f>[31]Vendedor6!$L$5</f>
        <v>0</v>
      </c>
      <c r="H34" s="19">
        <f>[31]Vendedor6!$J$6</f>
        <v>0</v>
      </c>
      <c r="I34" s="15">
        <f>[31]Vendedor6!$K$6</f>
        <v>0</v>
      </c>
      <c r="J34" s="17">
        <f>[31]Vendedor6!$L$6</f>
        <v>0</v>
      </c>
      <c r="K34" s="18">
        <f>[31]Vendedor6!$J$7</f>
        <v>0</v>
      </c>
      <c r="L34" s="15">
        <f>[31]Vendedor6!$K$7</f>
        <v>0</v>
      </c>
      <c r="M34" s="16">
        <f>[31]Vendedor6!$L$7</f>
        <v>0</v>
      </c>
      <c r="N34" s="19">
        <f t="shared" si="4"/>
        <v>0</v>
      </c>
      <c r="O34" s="15">
        <f t="shared" si="5"/>
        <v>0</v>
      </c>
      <c r="P34" s="17">
        <f t="shared" si="6"/>
        <v>0</v>
      </c>
      <c r="Q34" s="18">
        <v>0</v>
      </c>
      <c r="R34" s="17">
        <f t="shared" si="7"/>
        <v>0</v>
      </c>
    </row>
    <row r="35" spans="1:18">
      <c r="A35" s="13" t="s">
        <v>44</v>
      </c>
      <c r="B35" s="14">
        <f>[10]Vendedor6!$J$4</f>
        <v>0</v>
      </c>
      <c r="C35" s="81">
        <f>[10]Vendedor6!$K$4</f>
        <v>0</v>
      </c>
      <c r="D35" s="82">
        <f>[10]Vendedor6!$L$4</f>
        <v>0</v>
      </c>
      <c r="E35" s="14">
        <f>[10]Vendedor6!$J$5</f>
        <v>0</v>
      </c>
      <c r="F35" s="81">
        <f>[10]Vendedor6!$K$5</f>
        <v>0</v>
      </c>
      <c r="G35" s="85">
        <f>[10]Vendedor6!$L$5</f>
        <v>0</v>
      </c>
      <c r="H35" s="19">
        <f>[10]Vendedor6!$J$6</f>
        <v>0</v>
      </c>
      <c r="I35" s="15">
        <f>[10]Vendedor6!$K$6</f>
        <v>0</v>
      </c>
      <c r="J35" s="17">
        <f>[10]Vendedor6!$L$6</f>
        <v>0</v>
      </c>
      <c r="K35" s="18">
        <f>[10]Vendedor6!$J$7</f>
        <v>0</v>
      </c>
      <c r="L35" s="15">
        <f>[10]Vendedor6!$K$7</f>
        <v>0</v>
      </c>
      <c r="M35" s="16">
        <f>[10]Vendedor6!$L$7</f>
        <v>0</v>
      </c>
      <c r="N35" s="19">
        <f t="shared" si="4"/>
        <v>0</v>
      </c>
      <c r="O35" s="15">
        <f t="shared" si="5"/>
        <v>0</v>
      </c>
      <c r="P35" s="17">
        <f t="shared" si="6"/>
        <v>0</v>
      </c>
      <c r="Q35" s="18">
        <v>0</v>
      </c>
      <c r="R35" s="17">
        <f t="shared" si="7"/>
        <v>0</v>
      </c>
    </row>
    <row r="36" spans="1:18" ht="15.75" thickBot="1">
      <c r="A36" s="20" t="s">
        <v>45</v>
      </c>
      <c r="B36" s="21">
        <f>[11]Vendedor6!$J$4</f>
        <v>0</v>
      </c>
      <c r="C36" s="83">
        <f>[11]Vendedor6!$K$4</f>
        <v>0</v>
      </c>
      <c r="D36" s="84">
        <f>[11]Vendedor6!$L$4</f>
        <v>0</v>
      </c>
      <c r="E36" s="21">
        <f>[11]Vendedor6!$J$5</f>
        <v>0</v>
      </c>
      <c r="F36" s="83">
        <f>[11]Vendedor6!$K$5</f>
        <v>0</v>
      </c>
      <c r="G36" s="86">
        <f>[11]Vendedor6!$L$5</f>
        <v>0</v>
      </c>
      <c r="H36" s="26">
        <f>[11]Vendedor6!$J$6</f>
        <v>0</v>
      </c>
      <c r="I36" s="22">
        <f>[11]Vendedor6!$K$6</f>
        <v>0</v>
      </c>
      <c r="J36" s="24">
        <f>[11]Vendedor6!$L$6</f>
        <v>0</v>
      </c>
      <c r="K36" s="25">
        <f>[11]Vendedor6!$J$7</f>
        <v>0</v>
      </c>
      <c r="L36" s="22">
        <f>[11]Vendedor6!$K$7</f>
        <v>0</v>
      </c>
      <c r="M36" s="23">
        <f>[11]Vendedor6!$L$7</f>
        <v>0</v>
      </c>
      <c r="N36" s="26">
        <f t="shared" si="4"/>
        <v>0</v>
      </c>
      <c r="O36" s="22">
        <f t="shared" si="5"/>
        <v>0</v>
      </c>
      <c r="P36" s="24">
        <f t="shared" si="6"/>
        <v>0</v>
      </c>
      <c r="Q36" s="25">
        <v>0</v>
      </c>
      <c r="R36" s="24">
        <f t="shared" si="7"/>
        <v>0</v>
      </c>
    </row>
    <row r="37" spans="1:18" ht="16.5" thickBot="1">
      <c r="A37" s="5" t="s">
        <v>46</v>
      </c>
      <c r="B37" s="27">
        <f t="shared" ref="B37:P37" si="8">SUM(B6:B36)</f>
        <v>0</v>
      </c>
      <c r="C37" s="28">
        <f t="shared" si="8"/>
        <v>0</v>
      </c>
      <c r="D37" s="29">
        <f t="shared" si="8"/>
        <v>0</v>
      </c>
      <c r="E37" s="30">
        <f t="shared" si="8"/>
        <v>0</v>
      </c>
      <c r="F37" s="28">
        <f t="shared" si="8"/>
        <v>0</v>
      </c>
      <c r="G37" s="31">
        <f t="shared" si="8"/>
        <v>0</v>
      </c>
      <c r="H37" s="27">
        <f t="shared" si="8"/>
        <v>0</v>
      </c>
      <c r="I37" s="28">
        <f t="shared" si="8"/>
        <v>0</v>
      </c>
      <c r="J37" s="29">
        <f t="shared" si="8"/>
        <v>0</v>
      </c>
      <c r="K37" s="60">
        <f t="shared" ref="K37:M37" si="9">SUM(K6:K36)</f>
        <v>0</v>
      </c>
      <c r="L37" s="32">
        <f t="shared" si="9"/>
        <v>0</v>
      </c>
      <c r="M37" s="73">
        <f t="shared" si="9"/>
        <v>0</v>
      </c>
      <c r="N37" s="30">
        <f t="shared" si="8"/>
        <v>0</v>
      </c>
      <c r="O37" s="28">
        <f t="shared" si="8"/>
        <v>0</v>
      </c>
      <c r="P37" s="28">
        <f t="shared" si="8"/>
        <v>0</v>
      </c>
      <c r="Q37" s="32">
        <f>SUM(Q5:Q36)</f>
        <v>0</v>
      </c>
      <c r="R37" s="33">
        <f>SUM(R5:R36)</f>
        <v>0</v>
      </c>
    </row>
  </sheetData>
  <mergeCells count="2">
    <mergeCell ref="B2:D2"/>
    <mergeCell ref="I1:P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V37"/>
  <sheetViews>
    <sheetView showGridLines="0" zoomScale="80" zoomScaleNormal="80" workbookViewId="0">
      <selection activeCell="B5" sqref="B5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6" width="11.42578125" style="1"/>
    <col min="17" max="19" width="14.5703125" style="1" customWidth="1"/>
    <col min="20" max="26" width="11.42578125" style="1"/>
    <col min="27" max="27" width="12.140625" style="1" customWidth="1"/>
    <col min="28" max="28" width="4.85546875" style="1" customWidth="1"/>
    <col min="29" max="29" width="11.140625" style="1" customWidth="1"/>
    <col min="30" max="30" width="6.140625" style="1" customWidth="1"/>
    <col min="31" max="1036" width="11.42578125" style="1"/>
  </cols>
  <sheetData>
    <row r="1" spans="1:27" ht="15.75" thickBot="1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  <c r="U1" s="135"/>
      <c r="V1" s="135"/>
      <c r="W1" s="135"/>
      <c r="X1" s="135"/>
      <c r="Y1" s="136"/>
    </row>
    <row r="2" spans="1:27" ht="19.5" thickBot="1">
      <c r="A2" s="2" t="s">
        <v>1</v>
      </c>
      <c r="B2" s="137" t="s">
        <v>87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102</v>
      </c>
      <c r="T2" s="4">
        <v>0.12</v>
      </c>
      <c r="U2" s="3" t="s">
        <v>103</v>
      </c>
      <c r="V2" s="4">
        <v>0.12</v>
      </c>
    </row>
    <row r="3" spans="1:27" ht="15.75" thickBot="1"/>
    <row r="4" spans="1:27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56" t="s">
        <v>89</v>
      </c>
      <c r="L4" s="57" t="s">
        <v>90</v>
      </c>
      <c r="M4" s="12" t="s">
        <v>91</v>
      </c>
      <c r="N4" s="56" t="s">
        <v>96</v>
      </c>
      <c r="O4" s="57" t="s">
        <v>95</v>
      </c>
      <c r="P4" s="12" t="s">
        <v>97</v>
      </c>
      <c r="Q4" s="56" t="s">
        <v>98</v>
      </c>
      <c r="R4" s="57" t="s">
        <v>99</v>
      </c>
      <c r="S4" s="12" t="s">
        <v>100</v>
      </c>
      <c r="T4" s="56" t="s">
        <v>92</v>
      </c>
      <c r="U4" s="57" t="s">
        <v>93</v>
      </c>
      <c r="V4" s="12" t="s">
        <v>94</v>
      </c>
      <c r="W4" s="6" t="s">
        <v>15</v>
      </c>
      <c r="X4" s="7" t="s">
        <v>16</v>
      </c>
      <c r="Y4" s="7" t="s">
        <v>17</v>
      </c>
      <c r="Z4" s="11" t="s">
        <v>18</v>
      </c>
      <c r="AA4" s="12" t="s">
        <v>19</v>
      </c>
    </row>
    <row r="5" spans="1:27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56"/>
      <c r="R5" s="57"/>
      <c r="S5" s="12"/>
      <c r="T5" s="56"/>
      <c r="U5" s="57"/>
      <c r="V5" s="12"/>
      <c r="W5" s="67"/>
      <c r="X5" s="57"/>
      <c r="Y5" s="57"/>
      <c r="Z5" s="69"/>
      <c r="AA5" s="70">
        <f t="shared" ref="AA5" si="0">+W5-X5-Y5+Z5</f>
        <v>0</v>
      </c>
    </row>
    <row r="6" spans="1:27">
      <c r="A6" s="79" t="s">
        <v>49</v>
      </c>
      <c r="B6" s="53">
        <f>[1]Vendedor7!$J$4</f>
        <v>337200</v>
      </c>
      <c r="C6" s="58">
        <f>[1]Vendedor7!$K$4</f>
        <v>40464</v>
      </c>
      <c r="D6" s="55">
        <f>[1]Vendedor7!$L$4</f>
        <v>612000</v>
      </c>
      <c r="E6" s="53">
        <f>[1]Vendedor7!$J$5</f>
        <v>256800</v>
      </c>
      <c r="F6" s="58">
        <f>[1]Vendedor7!$K$5</f>
        <v>30816</v>
      </c>
      <c r="G6" s="54">
        <f>[1]Vendedor7!$L$5</f>
        <v>80750</v>
      </c>
      <c r="H6" s="59">
        <f>[1]Vendedor7!$J$6</f>
        <v>48500</v>
      </c>
      <c r="I6" s="58">
        <f>[1]Vendedor7!$K$6</f>
        <v>4850</v>
      </c>
      <c r="J6" s="55">
        <f>[1]Vendedor7!$L$6</f>
        <v>0</v>
      </c>
      <c r="K6" s="61">
        <f>[1]Vendedor7!$J$7</f>
        <v>39900</v>
      </c>
      <c r="L6" s="58">
        <f>[1]Vendedor7!$K$7</f>
        <v>4788</v>
      </c>
      <c r="M6" s="54">
        <f>[1]Vendedor7!$L$7</f>
        <v>0</v>
      </c>
      <c r="N6" s="59">
        <f>[1]Vendedor7!$J$8</f>
        <v>29000</v>
      </c>
      <c r="O6" s="58">
        <f>[1]Vendedor7!$K$8</f>
        <v>3480</v>
      </c>
      <c r="P6" s="55">
        <f>[1]Vendedor7!$L$8</f>
        <v>51000</v>
      </c>
      <c r="Q6" s="61">
        <f>[1]Vendedor7!$J$9</f>
        <v>106000</v>
      </c>
      <c r="R6" s="58">
        <f>[1]Vendedor7!$K$9</f>
        <v>12720</v>
      </c>
      <c r="S6" s="54">
        <f>[1]Vendedor7!$L$9</f>
        <v>63750</v>
      </c>
      <c r="T6" s="59">
        <f>[1]Vendedor7!$J$10</f>
        <v>0</v>
      </c>
      <c r="U6" s="58">
        <f>[1]Vendedor7!$K$10</f>
        <v>0</v>
      </c>
      <c r="V6" s="55">
        <f>[1]Vendedor7!$L$10</f>
        <v>0</v>
      </c>
      <c r="W6" s="61">
        <f>+B6+E6+H6+K6+N6+Q6+T6</f>
        <v>817400</v>
      </c>
      <c r="X6" s="58">
        <f t="shared" ref="X6:X36" si="1">+C6+F6+I6+L6+O6+R6+U6</f>
        <v>97118</v>
      </c>
      <c r="Y6" s="58">
        <f t="shared" ref="Y6:Y36" si="2">+D6+G6+J6+M6+P6+S6+V6</f>
        <v>807500</v>
      </c>
      <c r="Z6" s="58">
        <v>0</v>
      </c>
      <c r="AA6" s="55">
        <f t="shared" ref="AA6:AA36" si="3">+W6-X6-Y6+Z6</f>
        <v>-87218</v>
      </c>
    </row>
    <row r="7" spans="1:27">
      <c r="A7" s="80" t="s">
        <v>50</v>
      </c>
      <c r="B7" s="14">
        <f>[2]Vendedor7!$J$4</f>
        <v>280300</v>
      </c>
      <c r="C7" s="15">
        <f>[2]Vendedor7!$K$4</f>
        <v>33636</v>
      </c>
      <c r="D7" s="17">
        <f>[2]Vendedor7!$L$4</f>
        <v>114750</v>
      </c>
      <c r="E7" s="14">
        <f>[2]Vendedor7!$J$5</f>
        <v>154400</v>
      </c>
      <c r="F7" s="15">
        <f>[2]Vendedor7!$K$5</f>
        <v>18528</v>
      </c>
      <c r="G7" s="16">
        <f>[2]Vendedor7!$L$5</f>
        <v>68000</v>
      </c>
      <c r="H7" s="19">
        <f>[2]Vendedor7!$J$6</f>
        <v>52650</v>
      </c>
      <c r="I7" s="15">
        <f>[2]Vendedor7!$K$6</f>
        <v>5265</v>
      </c>
      <c r="J7" s="17">
        <f>[2]Vendedor7!$L$6</f>
        <v>0</v>
      </c>
      <c r="K7" s="18">
        <f>[2]Vendedor7!$J$7</f>
        <v>29000</v>
      </c>
      <c r="L7" s="15">
        <f>[2]Vendedor7!$K$7</f>
        <v>3480</v>
      </c>
      <c r="M7" s="16">
        <f>[2]Vendedor7!$L$7</f>
        <v>0</v>
      </c>
      <c r="N7" s="19">
        <f>[2]Vendedor7!$J$8</f>
        <v>16700</v>
      </c>
      <c r="O7" s="15">
        <f>[2]Vendedor7!$K$8</f>
        <v>2004</v>
      </c>
      <c r="P7" s="17">
        <f>[2]Vendedor7!$L$8</f>
        <v>0</v>
      </c>
      <c r="Q7" s="18">
        <f>[2]Vendedor7!$J$9</f>
        <v>95500</v>
      </c>
      <c r="R7" s="15">
        <f>[2]Vendedor7!$K$9</f>
        <v>11460</v>
      </c>
      <c r="S7" s="16">
        <f>[2]Vendedor7!$L$9</f>
        <v>85000</v>
      </c>
      <c r="T7" s="19">
        <f>[2]Vendedor7!$J$10</f>
        <v>0</v>
      </c>
      <c r="U7" s="15">
        <f>[2]Vendedor7!$K$10</f>
        <v>0</v>
      </c>
      <c r="V7" s="17">
        <f>[2]Vendedor7!$L$10</f>
        <v>0</v>
      </c>
      <c r="W7" s="18">
        <f t="shared" ref="W7:W36" si="4">+B7+E7+H7+K7+N7+Q7+T7</f>
        <v>628550</v>
      </c>
      <c r="X7" s="15">
        <f t="shared" si="1"/>
        <v>74373</v>
      </c>
      <c r="Y7" s="15">
        <f t="shared" si="2"/>
        <v>267750</v>
      </c>
      <c r="Z7" s="15">
        <v>0</v>
      </c>
      <c r="AA7" s="17">
        <f t="shared" si="3"/>
        <v>286427</v>
      </c>
    </row>
    <row r="8" spans="1:27">
      <c r="A8" s="79" t="s">
        <v>51</v>
      </c>
      <c r="B8" s="14">
        <f>[3]Vendedor7!$J$4</f>
        <v>324550</v>
      </c>
      <c r="C8" s="15">
        <f>[3]Vendedor7!$K$4</f>
        <v>38946</v>
      </c>
      <c r="D8" s="17">
        <f>[3]Vendedor7!$L$4</f>
        <v>195500</v>
      </c>
      <c r="E8" s="14">
        <f>[3]Vendedor7!$J$5</f>
        <v>149250</v>
      </c>
      <c r="F8" s="15">
        <f>[3]Vendedor7!$K$5</f>
        <v>17910</v>
      </c>
      <c r="G8" s="16">
        <f>[3]Vendedor7!$L$5</f>
        <v>51000</v>
      </c>
      <c r="H8" s="19">
        <f>[3]Vendedor7!$J$6</f>
        <v>30950</v>
      </c>
      <c r="I8" s="15">
        <f>[3]Vendedor7!$K$6</f>
        <v>3095</v>
      </c>
      <c r="J8" s="17">
        <f>[3]Vendedor7!$L$6</f>
        <v>0</v>
      </c>
      <c r="K8" s="18">
        <f>[3]Vendedor7!$J$7</f>
        <v>25900</v>
      </c>
      <c r="L8" s="15">
        <f>[3]Vendedor7!$K$7</f>
        <v>3108</v>
      </c>
      <c r="M8" s="16">
        <f>[3]Vendedor7!$L$7</f>
        <v>0</v>
      </c>
      <c r="N8" s="19">
        <f>[3]Vendedor7!$J$8</f>
        <v>4600</v>
      </c>
      <c r="O8" s="15">
        <f>[3]Vendedor7!$K$8</f>
        <v>552</v>
      </c>
      <c r="P8" s="17">
        <f>[3]Vendedor7!$L$8</f>
        <v>8500</v>
      </c>
      <c r="Q8" s="18">
        <f>[3]Vendedor7!$J$9</f>
        <v>94200</v>
      </c>
      <c r="R8" s="15">
        <f>[3]Vendedor7!$K$9</f>
        <v>11304</v>
      </c>
      <c r="S8" s="16">
        <f>[3]Vendedor7!$L$9</f>
        <v>0</v>
      </c>
      <c r="T8" s="19">
        <f>[3]Vendedor7!$J$10</f>
        <v>0</v>
      </c>
      <c r="U8" s="15">
        <f>[3]Vendedor7!$K$10</f>
        <v>0</v>
      </c>
      <c r="V8" s="17">
        <f>[3]Vendedor7!$L$10</f>
        <v>0</v>
      </c>
      <c r="W8" s="18">
        <f t="shared" si="4"/>
        <v>629450</v>
      </c>
      <c r="X8" s="15">
        <f t="shared" si="1"/>
        <v>74915</v>
      </c>
      <c r="Y8" s="15">
        <f t="shared" si="2"/>
        <v>255000</v>
      </c>
      <c r="Z8" s="15">
        <v>0</v>
      </c>
      <c r="AA8" s="17">
        <f t="shared" si="3"/>
        <v>299535</v>
      </c>
    </row>
    <row r="9" spans="1:27">
      <c r="A9" s="80" t="s">
        <v>52</v>
      </c>
      <c r="B9" s="14">
        <f>[4]Vendedor7!$J$4</f>
        <v>240750</v>
      </c>
      <c r="C9" s="15">
        <f>[4]Vendedor7!$K$4</f>
        <v>28890</v>
      </c>
      <c r="D9" s="17">
        <f>[4]Vendedor7!$L$4</f>
        <v>165750</v>
      </c>
      <c r="E9" s="14">
        <f>[4]Vendedor7!$J$5</f>
        <v>222000</v>
      </c>
      <c r="F9" s="15">
        <f>[4]Vendedor7!$K$5</f>
        <v>26640</v>
      </c>
      <c r="G9" s="16">
        <f>[4]Vendedor7!$L$5</f>
        <v>29750</v>
      </c>
      <c r="H9" s="19">
        <f>[4]Vendedor7!$J$6</f>
        <v>36200</v>
      </c>
      <c r="I9" s="15">
        <f>[4]Vendedor7!$K$6</f>
        <v>3620</v>
      </c>
      <c r="J9" s="17">
        <f>[4]Vendedor7!$L$6</f>
        <v>0</v>
      </c>
      <c r="K9" s="18">
        <f>[4]Vendedor7!$J$7</f>
        <v>33550</v>
      </c>
      <c r="L9" s="15">
        <f>[4]Vendedor7!$K$7</f>
        <v>4026</v>
      </c>
      <c r="M9" s="16">
        <f>[4]Vendedor7!$L$7</f>
        <v>25500</v>
      </c>
      <c r="N9" s="19">
        <f>[4]Vendedor7!$J$8</f>
        <v>25700</v>
      </c>
      <c r="O9" s="15">
        <f>[4]Vendedor7!$K$8</f>
        <v>3084</v>
      </c>
      <c r="P9" s="17">
        <f>[4]Vendedor7!$L$8</f>
        <v>21250</v>
      </c>
      <c r="Q9" s="18">
        <f>[4]Vendedor7!$J$9</f>
        <v>110000</v>
      </c>
      <c r="R9" s="15">
        <f>[4]Vendedor7!$K$9</f>
        <v>13200</v>
      </c>
      <c r="S9" s="16">
        <f>[4]Vendedor7!$L$9</f>
        <v>0</v>
      </c>
      <c r="T9" s="19">
        <f>[4]Vendedor7!$J$10</f>
        <v>0</v>
      </c>
      <c r="U9" s="15">
        <f>[4]Vendedor7!$K$10</f>
        <v>0</v>
      </c>
      <c r="V9" s="17">
        <f>[4]Vendedor7!$L$10</f>
        <v>0</v>
      </c>
      <c r="W9" s="18">
        <f t="shared" si="4"/>
        <v>668200</v>
      </c>
      <c r="X9" s="15">
        <f t="shared" si="1"/>
        <v>79460</v>
      </c>
      <c r="Y9" s="15">
        <f t="shared" si="2"/>
        <v>242250</v>
      </c>
      <c r="Z9" s="15">
        <v>0</v>
      </c>
      <c r="AA9" s="17">
        <f t="shared" si="3"/>
        <v>346490</v>
      </c>
    </row>
    <row r="10" spans="1:27">
      <c r="A10" s="79" t="s">
        <v>53</v>
      </c>
      <c r="B10" s="14">
        <f>[5]Vendedor7!$J$4</f>
        <v>283900</v>
      </c>
      <c r="C10" s="15">
        <f>[5]Vendedor7!$K$4</f>
        <v>34068</v>
      </c>
      <c r="D10" s="17">
        <f>[5]Vendedor7!$L$4</f>
        <v>348500</v>
      </c>
      <c r="E10" s="14">
        <f>[5]Vendedor7!$J$5</f>
        <v>173600</v>
      </c>
      <c r="F10" s="15">
        <f>[5]Vendedor7!$K$5</f>
        <v>20832</v>
      </c>
      <c r="G10" s="16">
        <f>[5]Vendedor7!$L$5</f>
        <v>323000</v>
      </c>
      <c r="H10" s="19">
        <f>[5]Vendedor7!$J$6</f>
        <v>24850</v>
      </c>
      <c r="I10" s="15">
        <f>[5]Vendedor7!$K$6</f>
        <v>2485</v>
      </c>
      <c r="J10" s="17">
        <f>[5]Vendedor7!$L$6</f>
        <v>0</v>
      </c>
      <c r="K10" s="18">
        <f>[5]Vendedor7!$J$7</f>
        <v>23850</v>
      </c>
      <c r="L10" s="15">
        <f>[5]Vendedor7!$K$7</f>
        <v>2862</v>
      </c>
      <c r="M10" s="16">
        <f>[5]Vendedor7!$L$7</f>
        <v>42500</v>
      </c>
      <c r="N10" s="19">
        <f>[5]Vendedor7!$J$8</f>
        <v>50700</v>
      </c>
      <c r="O10" s="15">
        <f>[5]Vendedor7!$K$8</f>
        <v>6084</v>
      </c>
      <c r="P10" s="17">
        <f>[5]Vendedor7!$L$8</f>
        <v>0</v>
      </c>
      <c r="Q10" s="18">
        <f>[5]Vendedor7!$J$9</f>
        <v>88500</v>
      </c>
      <c r="R10" s="15">
        <f>[5]Vendedor7!$K$9</f>
        <v>10620</v>
      </c>
      <c r="S10" s="16">
        <f>[5]Vendedor7!$L$9</f>
        <v>0</v>
      </c>
      <c r="T10" s="19">
        <f>[5]Vendedor7!$J$10</f>
        <v>0</v>
      </c>
      <c r="U10" s="15">
        <f>[5]Vendedor7!$K$10</f>
        <v>0</v>
      </c>
      <c r="V10" s="17">
        <f>[5]Vendedor7!$L$10</f>
        <v>0</v>
      </c>
      <c r="W10" s="18">
        <f t="shared" si="4"/>
        <v>645400</v>
      </c>
      <c r="X10" s="15">
        <f t="shared" si="1"/>
        <v>76951</v>
      </c>
      <c r="Y10" s="15">
        <f t="shared" si="2"/>
        <v>714000</v>
      </c>
      <c r="Z10" s="15">
        <v>0</v>
      </c>
      <c r="AA10" s="17">
        <f t="shared" si="3"/>
        <v>-145551</v>
      </c>
    </row>
    <row r="11" spans="1:27">
      <c r="A11" s="80" t="s">
        <v>20</v>
      </c>
      <c r="B11" s="14">
        <f>[6]Vendedor7!$J$4</f>
        <v>318350</v>
      </c>
      <c r="C11" s="15">
        <f>[6]Vendedor7!$K$4</f>
        <v>38202</v>
      </c>
      <c r="D11" s="17">
        <f>[6]Vendedor7!$L$4</f>
        <v>34000</v>
      </c>
      <c r="E11" s="14">
        <f>[6]Vendedor7!$J$5</f>
        <v>156300</v>
      </c>
      <c r="F11" s="15">
        <f>[6]Vendedor7!$K$5</f>
        <v>18756</v>
      </c>
      <c r="G11" s="16">
        <f>[6]Vendedor7!$L$5</f>
        <v>42500</v>
      </c>
      <c r="H11" s="19">
        <f>[6]Vendedor7!$J$6</f>
        <v>26700</v>
      </c>
      <c r="I11" s="15">
        <f>[6]Vendedor7!$K$6</f>
        <v>2670</v>
      </c>
      <c r="J11" s="17">
        <f>[6]Vendedor7!$L$6</f>
        <v>0</v>
      </c>
      <c r="K11" s="18">
        <f>[6]Vendedor7!$J$7</f>
        <v>28150</v>
      </c>
      <c r="L11" s="15">
        <f>[6]Vendedor7!$K$7</f>
        <v>3378</v>
      </c>
      <c r="M11" s="16">
        <f>[6]Vendedor7!$L$7</f>
        <v>0</v>
      </c>
      <c r="N11" s="19">
        <f>[6]Vendedor7!$J$8</f>
        <v>30500</v>
      </c>
      <c r="O11" s="15">
        <f>[6]Vendedor7!$K$8</f>
        <v>3660</v>
      </c>
      <c r="P11" s="17">
        <f>[6]Vendedor7!$L$8</f>
        <v>0</v>
      </c>
      <c r="Q11" s="18">
        <f>[6]Vendedor7!$J$9</f>
        <v>88000</v>
      </c>
      <c r="R11" s="15">
        <f>[6]Vendedor7!$K$9</f>
        <v>10560</v>
      </c>
      <c r="S11" s="16">
        <f>[6]Vendedor7!$L$9</f>
        <v>0</v>
      </c>
      <c r="T11" s="19">
        <f>[6]Vendedor7!$J$10</f>
        <v>0</v>
      </c>
      <c r="U11" s="15">
        <f>[6]Vendedor7!$K$10</f>
        <v>0</v>
      </c>
      <c r="V11" s="17">
        <f>[6]Vendedor7!$L$10</f>
        <v>0</v>
      </c>
      <c r="W11" s="18">
        <f t="shared" si="4"/>
        <v>648000</v>
      </c>
      <c r="X11" s="15">
        <f t="shared" si="1"/>
        <v>77226</v>
      </c>
      <c r="Y11" s="15">
        <f t="shared" si="2"/>
        <v>76500</v>
      </c>
      <c r="Z11" s="15">
        <v>0</v>
      </c>
      <c r="AA11" s="17">
        <f t="shared" si="3"/>
        <v>494274</v>
      </c>
    </row>
    <row r="12" spans="1:27">
      <c r="A12" s="79" t="s">
        <v>21</v>
      </c>
      <c r="B12" s="14">
        <f>[7]Vendedor7!$J$4</f>
        <v>246000</v>
      </c>
      <c r="C12" s="15">
        <f>[7]Vendedor7!$K$4</f>
        <v>29520</v>
      </c>
      <c r="D12" s="17">
        <f>[7]Vendedor7!$L$4</f>
        <v>17000</v>
      </c>
      <c r="E12" s="14">
        <f>[7]Vendedor7!$J$5</f>
        <v>154650</v>
      </c>
      <c r="F12" s="15">
        <f>[7]Vendedor7!$K$5</f>
        <v>18558</v>
      </c>
      <c r="G12" s="16">
        <f>[7]Vendedor7!$L$5</f>
        <v>119000</v>
      </c>
      <c r="H12" s="19">
        <f>[7]Vendedor7!$J$6</f>
        <v>35150</v>
      </c>
      <c r="I12" s="15">
        <f>[7]Vendedor7!$K$6</f>
        <v>3515</v>
      </c>
      <c r="J12" s="17">
        <f>[7]Vendedor7!$L$6</f>
        <v>0</v>
      </c>
      <c r="K12" s="18">
        <f>[7]Vendedor7!$J$7</f>
        <v>20000</v>
      </c>
      <c r="L12" s="15">
        <f>[7]Vendedor7!$K$7</f>
        <v>2400</v>
      </c>
      <c r="M12" s="16">
        <f>[7]Vendedor7!$L$7</f>
        <v>114750</v>
      </c>
      <c r="N12" s="19">
        <f>[7]Vendedor7!$J$8</f>
        <v>7750</v>
      </c>
      <c r="O12" s="15">
        <f>[7]Vendedor7!$K$8</f>
        <v>930</v>
      </c>
      <c r="P12" s="17">
        <f>[7]Vendedor7!$L$8</f>
        <v>0</v>
      </c>
      <c r="Q12" s="18">
        <f>[7]Vendedor7!$J$9</f>
        <v>94250</v>
      </c>
      <c r="R12" s="15">
        <f>[7]Vendedor7!$K$9</f>
        <v>11310</v>
      </c>
      <c r="S12" s="16">
        <f>[7]Vendedor7!$L$9</f>
        <v>0</v>
      </c>
      <c r="T12" s="19">
        <f>[7]Vendedor7!$J$10</f>
        <v>0</v>
      </c>
      <c r="U12" s="15">
        <f>[7]Vendedor7!$K$10</f>
        <v>0</v>
      </c>
      <c r="V12" s="17">
        <f>[7]Vendedor7!$L$10</f>
        <v>0</v>
      </c>
      <c r="W12" s="18">
        <f t="shared" si="4"/>
        <v>557800</v>
      </c>
      <c r="X12" s="15">
        <f t="shared" si="1"/>
        <v>66233</v>
      </c>
      <c r="Y12" s="15">
        <f t="shared" si="2"/>
        <v>250750</v>
      </c>
      <c r="Z12" s="15">
        <v>0</v>
      </c>
      <c r="AA12" s="17">
        <f t="shared" si="3"/>
        <v>240817</v>
      </c>
    </row>
    <row r="13" spans="1:27">
      <c r="A13" s="80" t="s">
        <v>22</v>
      </c>
      <c r="B13" s="14">
        <f>[8]Vendedor7!$J$4</f>
        <v>216650</v>
      </c>
      <c r="C13" s="15">
        <f>[8]Vendedor7!$K$4</f>
        <v>25998</v>
      </c>
      <c r="D13" s="17">
        <f>[8]Vendedor7!$L$4</f>
        <v>123250</v>
      </c>
      <c r="E13" s="14">
        <f>[8]Vendedor7!$J$5</f>
        <v>194700</v>
      </c>
      <c r="F13" s="15">
        <f>[8]Vendedor7!$K$5</f>
        <v>23364</v>
      </c>
      <c r="G13" s="16">
        <f>[8]Vendedor7!$L$5</f>
        <v>59500</v>
      </c>
      <c r="H13" s="19">
        <f>[8]Vendedor7!$J$6</f>
        <v>38900</v>
      </c>
      <c r="I13" s="15">
        <f>[8]Vendedor7!$K$6</f>
        <v>3890</v>
      </c>
      <c r="J13" s="17">
        <f>[8]Vendedor7!$L$6</f>
        <v>0</v>
      </c>
      <c r="K13" s="18">
        <f>[8]Vendedor7!$J$7</f>
        <v>46100</v>
      </c>
      <c r="L13" s="15">
        <f>[8]Vendedor7!$K$7</f>
        <v>5532</v>
      </c>
      <c r="M13" s="16">
        <f>[8]Vendedor7!$L$7</f>
        <v>0</v>
      </c>
      <c r="N13" s="19">
        <f>[8]Vendedor7!$J$8</f>
        <v>37450</v>
      </c>
      <c r="O13" s="15">
        <f>[8]Vendedor7!$K$8</f>
        <v>4494</v>
      </c>
      <c r="P13" s="17">
        <f>[8]Vendedor7!$L$8</f>
        <v>85000</v>
      </c>
      <c r="Q13" s="18">
        <f>[8]Vendedor7!$J$9</f>
        <v>95000</v>
      </c>
      <c r="R13" s="15">
        <f>[8]Vendedor7!$K$9</f>
        <v>11400</v>
      </c>
      <c r="S13" s="16">
        <f>[8]Vendedor7!$L$9</f>
        <v>0</v>
      </c>
      <c r="T13" s="19">
        <f>[8]Vendedor7!$J$10</f>
        <v>0</v>
      </c>
      <c r="U13" s="15">
        <f>[8]Vendedor7!$K$10</f>
        <v>0</v>
      </c>
      <c r="V13" s="17">
        <f>[8]Vendedor7!$L$10</f>
        <v>0</v>
      </c>
      <c r="W13" s="18">
        <f t="shared" si="4"/>
        <v>628800</v>
      </c>
      <c r="X13" s="15">
        <f t="shared" si="1"/>
        <v>74678</v>
      </c>
      <c r="Y13" s="15">
        <f t="shared" si="2"/>
        <v>267750</v>
      </c>
      <c r="Z13" s="15">
        <v>0</v>
      </c>
      <c r="AA13" s="17">
        <f t="shared" si="3"/>
        <v>286372</v>
      </c>
    </row>
    <row r="14" spans="1:27">
      <c r="A14" s="79" t="s">
        <v>23</v>
      </c>
      <c r="B14" s="14">
        <f>[9]Vendedor7!$J$4</f>
        <v>338600</v>
      </c>
      <c r="C14" s="15">
        <f>[9]Vendedor7!$K$4</f>
        <v>40632</v>
      </c>
      <c r="D14" s="17">
        <f>[9]Vendedor7!$L$4</f>
        <v>267750</v>
      </c>
      <c r="E14" s="14">
        <f>[9]Vendedor7!$J$5</f>
        <v>171900</v>
      </c>
      <c r="F14" s="15">
        <f>[9]Vendedor7!$K$5</f>
        <v>20628</v>
      </c>
      <c r="G14" s="16">
        <f>[9]Vendedor7!$L$5</f>
        <v>59500</v>
      </c>
      <c r="H14" s="19">
        <f>[9]Vendedor7!$J$6</f>
        <v>30050</v>
      </c>
      <c r="I14" s="15">
        <f>[9]Vendedor7!$K$6</f>
        <v>3005</v>
      </c>
      <c r="J14" s="17">
        <f>[9]Vendedor7!$L$6</f>
        <v>100000</v>
      </c>
      <c r="K14" s="18">
        <f>[9]Vendedor7!$J$7</f>
        <v>29850</v>
      </c>
      <c r="L14" s="15">
        <f>[9]Vendedor7!$K$7</f>
        <v>3582</v>
      </c>
      <c r="M14" s="16">
        <f>[9]Vendedor7!$L$7</f>
        <v>0</v>
      </c>
      <c r="N14" s="19">
        <f>[9]Vendedor7!$J$8</f>
        <v>50000</v>
      </c>
      <c r="O14" s="15">
        <f>[9]Vendedor7!$K$8</f>
        <v>6000</v>
      </c>
      <c r="P14" s="17">
        <f>[9]Vendedor7!$L$8</f>
        <v>0</v>
      </c>
      <c r="Q14" s="18">
        <f>[9]Vendedor7!$J$9</f>
        <v>131000</v>
      </c>
      <c r="R14" s="15">
        <f>[9]Vendedor7!$K$9</f>
        <v>15720</v>
      </c>
      <c r="S14" s="16">
        <f>[9]Vendedor7!$L$9</f>
        <v>63750</v>
      </c>
      <c r="T14" s="19">
        <f>[9]Vendedor7!$J$10</f>
        <v>2000</v>
      </c>
      <c r="U14" s="15">
        <f>[9]Vendedor7!$K$10</f>
        <v>240</v>
      </c>
      <c r="V14" s="17">
        <f>[9]Vendedor7!$L$10</f>
        <v>0</v>
      </c>
      <c r="W14" s="18">
        <f t="shared" si="4"/>
        <v>753400</v>
      </c>
      <c r="X14" s="15">
        <f t="shared" si="1"/>
        <v>89807</v>
      </c>
      <c r="Y14" s="15">
        <f t="shared" si="2"/>
        <v>491000</v>
      </c>
      <c r="Z14" s="15">
        <v>0</v>
      </c>
      <c r="AA14" s="17">
        <f t="shared" si="3"/>
        <v>172593</v>
      </c>
    </row>
    <row r="15" spans="1:27">
      <c r="A15" s="80" t="s">
        <v>24</v>
      </c>
      <c r="B15" s="14">
        <f>[12]Vendedor7!$J$4</f>
        <v>274950</v>
      </c>
      <c r="C15" s="15">
        <f>[12]Vendedor7!$K$4</f>
        <v>32994</v>
      </c>
      <c r="D15" s="17">
        <f>[12]Vendedor7!$L$4</f>
        <v>8500</v>
      </c>
      <c r="E15" s="14">
        <f>[12]Vendedor7!$J$5</f>
        <v>123950</v>
      </c>
      <c r="F15" s="15">
        <f>[12]Vendedor7!$K$5</f>
        <v>14874</v>
      </c>
      <c r="G15" s="16">
        <f>[12]Vendedor7!$L$5</f>
        <v>29750</v>
      </c>
      <c r="H15" s="19">
        <f>[12]Vendedor7!$J$6</f>
        <v>22800</v>
      </c>
      <c r="I15" s="15">
        <f>[12]Vendedor7!$K$6</f>
        <v>2280</v>
      </c>
      <c r="J15" s="17">
        <f>[12]Vendedor7!$L$6</f>
        <v>0</v>
      </c>
      <c r="K15" s="18">
        <f>[12]Vendedor7!$J$7</f>
        <v>28650</v>
      </c>
      <c r="L15" s="15">
        <f>[12]Vendedor7!$K$7</f>
        <v>3438</v>
      </c>
      <c r="M15" s="16">
        <f>[12]Vendedor7!$L$7</f>
        <v>0</v>
      </c>
      <c r="N15" s="19">
        <f>[12]Vendedor7!$J$8</f>
        <v>6000</v>
      </c>
      <c r="O15" s="15">
        <f>[12]Vendedor7!$K$8</f>
        <v>720</v>
      </c>
      <c r="P15" s="17">
        <f>[12]Vendedor7!$L$8</f>
        <v>0</v>
      </c>
      <c r="Q15" s="18">
        <f>[12]Vendedor7!$J$9</f>
        <v>72000</v>
      </c>
      <c r="R15" s="15">
        <f>[12]Vendedor7!$K$9</f>
        <v>8640</v>
      </c>
      <c r="S15" s="16">
        <f>[12]Vendedor7!$L$9</f>
        <v>63750</v>
      </c>
      <c r="T15" s="19">
        <f>[12]Vendedor7!$J$10</f>
        <v>0</v>
      </c>
      <c r="U15" s="15">
        <f>[12]Vendedor7!$K$10</f>
        <v>0</v>
      </c>
      <c r="V15" s="17">
        <f>[12]Vendedor7!$L$10</f>
        <v>0</v>
      </c>
      <c r="W15" s="18">
        <f t="shared" si="4"/>
        <v>528350</v>
      </c>
      <c r="X15" s="15">
        <f t="shared" si="1"/>
        <v>62946</v>
      </c>
      <c r="Y15" s="15">
        <f t="shared" si="2"/>
        <v>102000</v>
      </c>
      <c r="Z15" s="15">
        <v>0</v>
      </c>
      <c r="AA15" s="17">
        <f t="shared" si="3"/>
        <v>363404</v>
      </c>
    </row>
    <row r="16" spans="1:27">
      <c r="A16" s="79" t="s">
        <v>25</v>
      </c>
      <c r="B16" s="14">
        <f>[13]Vendedor7!$J$4</f>
        <v>386300</v>
      </c>
      <c r="C16" s="15">
        <f>[13]Vendedor7!$K$4</f>
        <v>46356</v>
      </c>
      <c r="D16" s="17">
        <f>[13]Vendedor7!$L$4</f>
        <v>335750</v>
      </c>
      <c r="E16" s="14">
        <f>[13]Vendedor7!$J$5</f>
        <v>173950</v>
      </c>
      <c r="F16" s="15">
        <f>[13]Vendedor7!$K$5</f>
        <v>20874</v>
      </c>
      <c r="G16" s="16">
        <f>[13]Vendedor7!$L$5</f>
        <v>55250</v>
      </c>
      <c r="H16" s="19">
        <f>[13]Vendedor7!$J$6</f>
        <v>18250</v>
      </c>
      <c r="I16" s="15">
        <f>[13]Vendedor7!$K$6</f>
        <v>1825</v>
      </c>
      <c r="J16" s="17">
        <f>[13]Vendedor7!$L$6</f>
        <v>0</v>
      </c>
      <c r="K16" s="18">
        <f>[13]Vendedor7!$J$7</f>
        <v>52550</v>
      </c>
      <c r="L16" s="15">
        <f>[13]Vendedor7!$K$7</f>
        <v>6306</v>
      </c>
      <c r="M16" s="16">
        <f>[13]Vendedor7!$L$7</f>
        <v>0</v>
      </c>
      <c r="N16" s="19">
        <f>[13]Vendedor7!$J$8</f>
        <v>46450</v>
      </c>
      <c r="O16" s="15">
        <f>[13]Vendedor7!$K$8</f>
        <v>5574</v>
      </c>
      <c r="P16" s="17">
        <f>[13]Vendedor7!$L$8</f>
        <v>0</v>
      </c>
      <c r="Q16" s="18">
        <f>[13]Vendedor7!$J$9</f>
        <v>28000</v>
      </c>
      <c r="R16" s="15">
        <f>[13]Vendedor7!$K$9</f>
        <v>3360</v>
      </c>
      <c r="S16" s="16">
        <f>[13]Vendedor7!$L$9</f>
        <v>0</v>
      </c>
      <c r="T16" s="19">
        <f>[13]Vendedor7!$J$10</f>
        <v>0</v>
      </c>
      <c r="U16" s="15">
        <f>[13]Vendedor7!$K$10</f>
        <v>0</v>
      </c>
      <c r="V16" s="17">
        <f>[13]Vendedor7!$L$10</f>
        <v>0</v>
      </c>
      <c r="W16" s="18">
        <f t="shared" si="4"/>
        <v>705500</v>
      </c>
      <c r="X16" s="15">
        <f t="shared" si="1"/>
        <v>84295</v>
      </c>
      <c r="Y16" s="15">
        <f t="shared" si="2"/>
        <v>391000</v>
      </c>
      <c r="Z16" s="15">
        <v>0</v>
      </c>
      <c r="AA16" s="17">
        <f t="shared" si="3"/>
        <v>230205</v>
      </c>
    </row>
    <row r="17" spans="1:29">
      <c r="A17" s="80" t="s">
        <v>26</v>
      </c>
      <c r="B17" s="14">
        <f>[14]Vendedor7!$J$4</f>
        <v>243500</v>
      </c>
      <c r="C17" s="15">
        <f>[14]Vendedor7!$K$4</f>
        <v>29220</v>
      </c>
      <c r="D17" s="17">
        <f>[14]Vendedor7!$L$4</f>
        <v>293250</v>
      </c>
      <c r="E17" s="14">
        <f>[14]Vendedor7!$J$5</f>
        <v>218150</v>
      </c>
      <c r="F17" s="15">
        <f>[14]Vendedor7!$K$5</f>
        <v>26178</v>
      </c>
      <c r="G17" s="16">
        <f>[14]Vendedor7!$L$5</f>
        <v>97750</v>
      </c>
      <c r="H17" s="19">
        <f>[14]Vendedor7!$J$6</f>
        <v>26250</v>
      </c>
      <c r="I17" s="15">
        <f>[14]Vendedor7!$K$6</f>
        <v>2625</v>
      </c>
      <c r="J17" s="17">
        <f>[14]Vendedor7!$L$6</f>
        <v>0</v>
      </c>
      <c r="K17" s="18">
        <f>[14]Vendedor7!$J$7</f>
        <v>16750</v>
      </c>
      <c r="L17" s="15">
        <f>[14]Vendedor7!$K$7</f>
        <v>2010</v>
      </c>
      <c r="M17" s="16">
        <f>[14]Vendedor7!$L$7</f>
        <v>0</v>
      </c>
      <c r="N17" s="19">
        <f>[14]Vendedor7!$J$8</f>
        <v>60500</v>
      </c>
      <c r="O17" s="15">
        <f>[14]Vendedor7!$K$8</f>
        <v>7260</v>
      </c>
      <c r="P17" s="17">
        <f>[14]Vendedor7!$L$8</f>
        <v>0</v>
      </c>
      <c r="Q17" s="18">
        <f>[14]Vendedor7!$J$9</f>
        <v>0</v>
      </c>
      <c r="R17" s="15">
        <f>[14]Vendedor7!$K$9</f>
        <v>0</v>
      </c>
      <c r="S17" s="16">
        <f>[14]Vendedor7!$L$9</f>
        <v>0</v>
      </c>
      <c r="T17" s="19">
        <f>[14]Vendedor7!$J$10</f>
        <v>0</v>
      </c>
      <c r="U17" s="15">
        <f>[14]Vendedor7!$K$10</f>
        <v>0</v>
      </c>
      <c r="V17" s="17">
        <f>[14]Vendedor7!$L$10</f>
        <v>0</v>
      </c>
      <c r="W17" s="18">
        <f t="shared" si="4"/>
        <v>565150</v>
      </c>
      <c r="X17" s="15">
        <f t="shared" si="1"/>
        <v>67293</v>
      </c>
      <c r="Y17" s="15">
        <f t="shared" si="2"/>
        <v>391000</v>
      </c>
      <c r="Z17" s="15">
        <v>0</v>
      </c>
      <c r="AA17" s="17">
        <f t="shared" si="3"/>
        <v>106857</v>
      </c>
    </row>
    <row r="18" spans="1:29">
      <c r="A18" s="79" t="s">
        <v>27</v>
      </c>
      <c r="B18" s="14">
        <f>[15]Vendedor7!$J$4</f>
        <v>289250</v>
      </c>
      <c r="C18" s="15">
        <f>[15]Vendedor7!$K$4</f>
        <v>34710</v>
      </c>
      <c r="D18" s="17">
        <f>[15]Vendedor7!$L$4</f>
        <v>212500</v>
      </c>
      <c r="E18" s="14">
        <f>[15]Vendedor7!$J$5</f>
        <v>190000</v>
      </c>
      <c r="F18" s="15">
        <f>[15]Vendedor7!$K$5</f>
        <v>22800</v>
      </c>
      <c r="G18" s="16">
        <f>[15]Vendedor7!$L$5</f>
        <v>467500</v>
      </c>
      <c r="H18" s="19">
        <f>[15]Vendedor7!$J$6</f>
        <v>41100</v>
      </c>
      <c r="I18" s="15">
        <f>[15]Vendedor7!$K$6</f>
        <v>4110</v>
      </c>
      <c r="J18" s="17">
        <f>[15]Vendedor7!$L$6</f>
        <v>0</v>
      </c>
      <c r="K18" s="18">
        <f>[15]Vendedor7!$J$7</f>
        <v>41800</v>
      </c>
      <c r="L18" s="15">
        <f>[15]Vendedor7!$K$7</f>
        <v>5016</v>
      </c>
      <c r="M18" s="16">
        <f>[15]Vendedor7!$L$7</f>
        <v>17000</v>
      </c>
      <c r="N18" s="19">
        <f>[15]Vendedor7!$J$8</f>
        <v>16000</v>
      </c>
      <c r="O18" s="15">
        <f>[15]Vendedor7!$K$8</f>
        <v>1920</v>
      </c>
      <c r="P18" s="17">
        <f>[15]Vendedor7!$L$8</f>
        <v>0</v>
      </c>
      <c r="Q18" s="18">
        <f>[15]Vendedor7!$J$9</f>
        <v>1200</v>
      </c>
      <c r="R18" s="15">
        <f>[15]Vendedor7!$K$9</f>
        <v>144</v>
      </c>
      <c r="S18" s="16">
        <f>[15]Vendedor7!$L$9</f>
        <v>0</v>
      </c>
      <c r="T18" s="19">
        <f>[15]Vendedor7!$J$10</f>
        <v>0</v>
      </c>
      <c r="U18" s="15">
        <f>[15]Vendedor7!$K$10</f>
        <v>0</v>
      </c>
      <c r="V18" s="17">
        <f>[15]Vendedor7!$L$10</f>
        <v>0</v>
      </c>
      <c r="W18" s="18">
        <f t="shared" si="4"/>
        <v>579350</v>
      </c>
      <c r="X18" s="15">
        <f t="shared" si="1"/>
        <v>68700</v>
      </c>
      <c r="Y18" s="15">
        <f t="shared" si="2"/>
        <v>697000</v>
      </c>
      <c r="Z18" s="15">
        <v>0</v>
      </c>
      <c r="AA18" s="17">
        <f t="shared" si="3"/>
        <v>-186350</v>
      </c>
      <c r="AC18" s="62"/>
    </row>
    <row r="19" spans="1:29">
      <c r="A19" s="79" t="s">
        <v>28</v>
      </c>
      <c r="B19" s="14">
        <f>[16]Vendedor7!$J$4</f>
        <v>239850</v>
      </c>
      <c r="C19" s="15">
        <f>[16]Vendedor7!$K$4</f>
        <v>28782</v>
      </c>
      <c r="D19" s="17">
        <f>[16]Vendedor7!$L$4</f>
        <v>178500</v>
      </c>
      <c r="E19" s="14">
        <f>[16]Vendedor7!$J$5</f>
        <v>96850</v>
      </c>
      <c r="F19" s="15">
        <f>[16]Vendedor7!$K$5</f>
        <v>11622</v>
      </c>
      <c r="G19" s="16">
        <f>[16]Vendedor7!$L$5</f>
        <v>0</v>
      </c>
      <c r="H19" s="19">
        <f>[16]Vendedor7!$J$6</f>
        <v>25150</v>
      </c>
      <c r="I19" s="15">
        <f>[16]Vendedor7!$K$6</f>
        <v>2515</v>
      </c>
      <c r="J19" s="17">
        <f>[16]Vendedor7!$L$6</f>
        <v>0</v>
      </c>
      <c r="K19" s="18">
        <f>[16]Vendedor7!$J$7</f>
        <v>28500</v>
      </c>
      <c r="L19" s="15">
        <f>[16]Vendedor7!$K$7</f>
        <v>3420</v>
      </c>
      <c r="M19" s="16">
        <f>[16]Vendedor7!$L$7</f>
        <v>0</v>
      </c>
      <c r="N19" s="19">
        <f>[16]Vendedor7!$J$8</f>
        <v>6450</v>
      </c>
      <c r="O19" s="15">
        <f>[16]Vendedor7!$K$8</f>
        <v>774</v>
      </c>
      <c r="P19" s="17">
        <f>[16]Vendedor7!$L$8</f>
        <v>0</v>
      </c>
      <c r="Q19" s="18">
        <f>[16]Vendedor7!$J$9</f>
        <v>0</v>
      </c>
      <c r="R19" s="15">
        <f>[16]Vendedor7!$K$9</f>
        <v>0</v>
      </c>
      <c r="S19" s="16">
        <f>[16]Vendedor7!$L$9</f>
        <v>0</v>
      </c>
      <c r="T19" s="19">
        <f>[16]Vendedor7!$J$10</f>
        <v>0</v>
      </c>
      <c r="U19" s="15">
        <f>[16]Vendedor7!$K$10</f>
        <v>0</v>
      </c>
      <c r="V19" s="17">
        <f>[16]Vendedor7!$L$10</f>
        <v>0</v>
      </c>
      <c r="W19" s="18">
        <f t="shared" si="4"/>
        <v>396800</v>
      </c>
      <c r="X19" s="15">
        <f t="shared" si="1"/>
        <v>47113</v>
      </c>
      <c r="Y19" s="15">
        <f t="shared" si="2"/>
        <v>178500</v>
      </c>
      <c r="Z19" s="15">
        <v>0</v>
      </c>
      <c r="AA19" s="17">
        <f t="shared" si="3"/>
        <v>171187</v>
      </c>
      <c r="AC19" s="62"/>
    </row>
    <row r="20" spans="1:29">
      <c r="A20" s="80" t="s">
        <v>29</v>
      </c>
      <c r="B20" s="14">
        <f>[17]Vendedor7!$J$4</f>
        <v>0</v>
      </c>
      <c r="C20" s="15">
        <f>[17]Vendedor7!$K$4</f>
        <v>0</v>
      </c>
      <c r="D20" s="17">
        <f>[17]Vendedor7!$L$4</f>
        <v>0</v>
      </c>
      <c r="E20" s="14">
        <f>[17]Vendedor7!$J$5</f>
        <v>0</v>
      </c>
      <c r="F20" s="15">
        <f>[17]Vendedor7!$K$5</f>
        <v>0</v>
      </c>
      <c r="G20" s="16">
        <f>[17]Vendedor7!$L$5</f>
        <v>0</v>
      </c>
      <c r="H20" s="19">
        <f>[17]Vendedor7!$J$6</f>
        <v>0</v>
      </c>
      <c r="I20" s="15">
        <f>[17]Vendedor7!$K$6</f>
        <v>0</v>
      </c>
      <c r="J20" s="17">
        <f>[17]Vendedor7!$L$6</f>
        <v>0</v>
      </c>
      <c r="K20" s="18">
        <f>[17]Vendedor7!$J$7</f>
        <v>0</v>
      </c>
      <c r="L20" s="15">
        <f>[17]Vendedor7!$K$7</f>
        <v>0</v>
      </c>
      <c r="M20" s="16">
        <f>[17]Vendedor7!$L$7</f>
        <v>0</v>
      </c>
      <c r="N20" s="19">
        <f>[17]Vendedor7!$J$8</f>
        <v>0</v>
      </c>
      <c r="O20" s="15">
        <f>[17]Vendedor7!$K$8</f>
        <v>0</v>
      </c>
      <c r="P20" s="17">
        <f>[17]Vendedor7!$L$8</f>
        <v>0</v>
      </c>
      <c r="Q20" s="18">
        <f>[17]Vendedor7!$J$9</f>
        <v>0</v>
      </c>
      <c r="R20" s="15">
        <f>[17]Vendedor7!$K$9</f>
        <v>0</v>
      </c>
      <c r="S20" s="16">
        <f>[17]Vendedor7!$L$9</f>
        <v>0</v>
      </c>
      <c r="T20" s="19">
        <f>[17]Vendedor7!$J$10</f>
        <v>0</v>
      </c>
      <c r="U20" s="15">
        <f>[17]Vendedor7!$K$10</f>
        <v>0</v>
      </c>
      <c r="V20" s="17">
        <f>[17]Vendedor7!$L$10</f>
        <v>0</v>
      </c>
      <c r="W20" s="18">
        <f t="shared" si="4"/>
        <v>0</v>
      </c>
      <c r="X20" s="15">
        <f t="shared" si="1"/>
        <v>0</v>
      </c>
      <c r="Y20" s="15">
        <f t="shared" si="2"/>
        <v>0</v>
      </c>
      <c r="Z20" s="15">
        <v>0</v>
      </c>
      <c r="AA20" s="17">
        <f t="shared" si="3"/>
        <v>0</v>
      </c>
    </row>
    <row r="21" spans="1:29">
      <c r="A21" s="79" t="s">
        <v>30</v>
      </c>
      <c r="B21" s="14">
        <f>[18]Vendedor7!$J$4</f>
        <v>0</v>
      </c>
      <c r="C21" s="81">
        <f>[18]Vendedor7!$K$4</f>
        <v>0</v>
      </c>
      <c r="D21" s="82">
        <f>[18]Vendedor7!$L$4</f>
        <v>0</v>
      </c>
      <c r="E21" s="14">
        <f>[18]Vendedor7!$J$5</f>
        <v>0</v>
      </c>
      <c r="F21" s="81">
        <f>[18]Vendedor7!$K$5</f>
        <v>0</v>
      </c>
      <c r="G21" s="85">
        <f>[18]Vendedor7!$L$5</f>
        <v>0</v>
      </c>
      <c r="H21" s="19">
        <f>[18]Vendedor7!$J$6</f>
        <v>0</v>
      </c>
      <c r="I21" s="15">
        <f>[18]Vendedor7!$K$6</f>
        <v>0</v>
      </c>
      <c r="J21" s="17">
        <f>[18]Vendedor7!$L$6</f>
        <v>0</v>
      </c>
      <c r="K21" s="18">
        <f>[18]Vendedor7!$J$7</f>
        <v>0</v>
      </c>
      <c r="L21" s="15">
        <f>[18]Vendedor7!$K$7</f>
        <v>0</v>
      </c>
      <c r="M21" s="16">
        <f>[18]Vendedor7!$L$7</f>
        <v>0</v>
      </c>
      <c r="N21" s="19">
        <f>[18]Vendedor7!$J$8</f>
        <v>0</v>
      </c>
      <c r="O21" s="15">
        <f>[18]Vendedor7!$K$8</f>
        <v>0</v>
      </c>
      <c r="P21" s="17">
        <f>[18]Vendedor7!$L$8</f>
        <v>0</v>
      </c>
      <c r="Q21" s="18">
        <f>[18]Vendedor7!$J$9</f>
        <v>0</v>
      </c>
      <c r="R21" s="15">
        <f>[18]Vendedor7!$K$9</f>
        <v>0</v>
      </c>
      <c r="S21" s="16">
        <f>[18]Vendedor7!$L$9</f>
        <v>0</v>
      </c>
      <c r="T21" s="19">
        <f>[18]Vendedor7!$J$10</f>
        <v>0</v>
      </c>
      <c r="U21" s="15">
        <f>[18]Vendedor7!$K$10</f>
        <v>0</v>
      </c>
      <c r="V21" s="17">
        <f>[18]Vendedor7!$L$10</f>
        <v>0</v>
      </c>
      <c r="W21" s="18">
        <f t="shared" si="4"/>
        <v>0</v>
      </c>
      <c r="X21" s="15">
        <f t="shared" si="1"/>
        <v>0</v>
      </c>
      <c r="Y21" s="15">
        <f t="shared" si="2"/>
        <v>0</v>
      </c>
      <c r="Z21" s="15">
        <v>0</v>
      </c>
      <c r="AA21" s="17">
        <f t="shared" si="3"/>
        <v>0</v>
      </c>
    </row>
    <row r="22" spans="1:29">
      <c r="A22" s="80" t="s">
        <v>31</v>
      </c>
      <c r="B22" s="14">
        <f>[19]Vendedor7!$J$4</f>
        <v>0</v>
      </c>
      <c r="C22" s="81">
        <f>[19]Vendedor7!$K$4</f>
        <v>0</v>
      </c>
      <c r="D22" s="82">
        <f>[19]Vendedor7!$L$4</f>
        <v>0</v>
      </c>
      <c r="E22" s="14">
        <f>[19]Vendedor7!$J$5</f>
        <v>0</v>
      </c>
      <c r="F22" s="81">
        <f>[19]Vendedor7!$K$5</f>
        <v>0</v>
      </c>
      <c r="G22" s="85">
        <f>[19]Vendedor7!$L$5</f>
        <v>0</v>
      </c>
      <c r="H22" s="19">
        <f>[19]Vendedor7!$J$6</f>
        <v>0</v>
      </c>
      <c r="I22" s="15">
        <f>[19]Vendedor7!$K$6</f>
        <v>0</v>
      </c>
      <c r="J22" s="17">
        <f>[19]Vendedor7!$L$6</f>
        <v>0</v>
      </c>
      <c r="K22" s="18">
        <f>[19]Vendedor7!$J$7</f>
        <v>0</v>
      </c>
      <c r="L22" s="15">
        <f>[19]Vendedor7!$K$7</f>
        <v>0</v>
      </c>
      <c r="M22" s="16">
        <f>[19]Vendedor7!$L$7</f>
        <v>0</v>
      </c>
      <c r="N22" s="19">
        <f>[19]Vendedor7!$J$8</f>
        <v>0</v>
      </c>
      <c r="O22" s="15">
        <f>[19]Vendedor7!$K$8</f>
        <v>0</v>
      </c>
      <c r="P22" s="17">
        <f>[19]Vendedor7!$L$8</f>
        <v>0</v>
      </c>
      <c r="Q22" s="18">
        <f>[19]Vendedor7!$J$9</f>
        <v>0</v>
      </c>
      <c r="R22" s="15">
        <f>[19]Vendedor7!$K$9</f>
        <v>0</v>
      </c>
      <c r="S22" s="16">
        <f>[19]Vendedor7!$L$9</f>
        <v>0</v>
      </c>
      <c r="T22" s="19">
        <f>[19]Vendedor7!$J$10</f>
        <v>0</v>
      </c>
      <c r="U22" s="15">
        <f>[19]Vendedor7!$K$10</f>
        <v>0</v>
      </c>
      <c r="V22" s="17">
        <f>[19]Vendedor7!$L$10</f>
        <v>0</v>
      </c>
      <c r="W22" s="18">
        <f t="shared" si="4"/>
        <v>0</v>
      </c>
      <c r="X22" s="15">
        <f t="shared" si="1"/>
        <v>0</v>
      </c>
      <c r="Y22" s="15">
        <f t="shared" si="2"/>
        <v>0</v>
      </c>
      <c r="Z22" s="15">
        <v>0</v>
      </c>
      <c r="AA22" s="17">
        <f t="shared" si="3"/>
        <v>0</v>
      </c>
    </row>
    <row r="23" spans="1:29">
      <c r="A23" s="79" t="s">
        <v>32</v>
      </c>
      <c r="B23" s="14">
        <f>[20]Vendedor7!$J$4</f>
        <v>0</v>
      </c>
      <c r="C23" s="81">
        <f>[20]Vendedor7!$K$4</f>
        <v>0</v>
      </c>
      <c r="D23" s="82">
        <f>[20]Vendedor7!$L$4</f>
        <v>0</v>
      </c>
      <c r="E23" s="14">
        <f>[20]Vendedor7!$J$5</f>
        <v>0</v>
      </c>
      <c r="F23" s="81">
        <f>[20]Vendedor7!$K$5</f>
        <v>0</v>
      </c>
      <c r="G23" s="85">
        <f>[20]Vendedor7!$L$5</f>
        <v>0</v>
      </c>
      <c r="H23" s="19">
        <f>[20]Vendedor7!$J$6</f>
        <v>0</v>
      </c>
      <c r="I23" s="15">
        <f>[20]Vendedor7!$K$6</f>
        <v>0</v>
      </c>
      <c r="J23" s="17">
        <f>[20]Vendedor7!$L$6</f>
        <v>0</v>
      </c>
      <c r="K23" s="18">
        <f>[20]Vendedor7!$J$7</f>
        <v>0</v>
      </c>
      <c r="L23" s="15">
        <f>[20]Vendedor7!$K$7</f>
        <v>0</v>
      </c>
      <c r="M23" s="16">
        <f>[20]Vendedor7!$L$7</f>
        <v>0</v>
      </c>
      <c r="N23" s="19">
        <f>[20]Vendedor7!$J$8</f>
        <v>0</v>
      </c>
      <c r="O23" s="15">
        <f>[20]Vendedor7!$K$8</f>
        <v>0</v>
      </c>
      <c r="P23" s="17">
        <f>[20]Vendedor7!$L$8</f>
        <v>0</v>
      </c>
      <c r="Q23" s="18">
        <f>[20]Vendedor7!$J$9</f>
        <v>0</v>
      </c>
      <c r="R23" s="15">
        <f>[20]Vendedor7!$K$9</f>
        <v>0</v>
      </c>
      <c r="S23" s="16">
        <f>[20]Vendedor7!$L$9</f>
        <v>0</v>
      </c>
      <c r="T23" s="19">
        <f>[20]Vendedor7!$J$10</f>
        <v>0</v>
      </c>
      <c r="U23" s="15">
        <f>[20]Vendedor7!$K$10</f>
        <v>0</v>
      </c>
      <c r="V23" s="17">
        <f>[20]Vendedor7!$L$10</f>
        <v>0</v>
      </c>
      <c r="W23" s="18">
        <f t="shared" si="4"/>
        <v>0</v>
      </c>
      <c r="X23" s="15">
        <f t="shared" si="1"/>
        <v>0</v>
      </c>
      <c r="Y23" s="15">
        <f t="shared" si="2"/>
        <v>0</v>
      </c>
      <c r="Z23" s="15">
        <v>0</v>
      </c>
      <c r="AA23" s="17">
        <f t="shared" si="3"/>
        <v>0</v>
      </c>
    </row>
    <row r="24" spans="1:29">
      <c r="A24" s="80" t="s">
        <v>33</v>
      </c>
      <c r="B24" s="14">
        <f>[21]Vendedor7!$J$4</f>
        <v>0</v>
      </c>
      <c r="C24" s="81">
        <f>[21]Vendedor7!$K$4</f>
        <v>0</v>
      </c>
      <c r="D24" s="82">
        <f>[21]Vendedor7!$L$4</f>
        <v>0</v>
      </c>
      <c r="E24" s="14">
        <f>[21]Vendedor7!$J$5</f>
        <v>0</v>
      </c>
      <c r="F24" s="81">
        <f>[21]Vendedor7!$K$5</f>
        <v>0</v>
      </c>
      <c r="G24" s="85">
        <f>[21]Vendedor7!$L$5</f>
        <v>0</v>
      </c>
      <c r="H24" s="19">
        <f>[21]Vendedor7!$J$6</f>
        <v>0</v>
      </c>
      <c r="I24" s="15">
        <f>[21]Vendedor7!$K$6</f>
        <v>0</v>
      </c>
      <c r="J24" s="17">
        <f>[21]Vendedor7!$L$6</f>
        <v>0</v>
      </c>
      <c r="K24" s="18">
        <f>[21]Vendedor7!$J$7</f>
        <v>0</v>
      </c>
      <c r="L24" s="15">
        <f>[21]Vendedor7!$K$7</f>
        <v>0</v>
      </c>
      <c r="M24" s="16">
        <f>[21]Vendedor7!$L$7</f>
        <v>0</v>
      </c>
      <c r="N24" s="19">
        <f>[21]Vendedor7!$J$8</f>
        <v>0</v>
      </c>
      <c r="O24" s="15">
        <f>[21]Vendedor7!$K$8</f>
        <v>0</v>
      </c>
      <c r="P24" s="17">
        <f>[21]Vendedor7!$L$8</f>
        <v>0</v>
      </c>
      <c r="Q24" s="18">
        <f>[21]Vendedor7!$J$9</f>
        <v>0</v>
      </c>
      <c r="R24" s="15">
        <f>[21]Vendedor7!$K$9</f>
        <v>0</v>
      </c>
      <c r="S24" s="16">
        <f>[21]Vendedor7!$L$9</f>
        <v>0</v>
      </c>
      <c r="T24" s="19">
        <f>[21]Vendedor7!$J$10</f>
        <v>0</v>
      </c>
      <c r="U24" s="15">
        <f>[21]Vendedor7!$K$10</f>
        <v>0</v>
      </c>
      <c r="V24" s="17">
        <f>[21]Vendedor7!$L$10</f>
        <v>0</v>
      </c>
      <c r="W24" s="18">
        <f t="shared" si="4"/>
        <v>0</v>
      </c>
      <c r="X24" s="15">
        <f t="shared" si="1"/>
        <v>0</v>
      </c>
      <c r="Y24" s="15">
        <f t="shared" si="2"/>
        <v>0</v>
      </c>
      <c r="Z24" s="15">
        <v>0</v>
      </c>
      <c r="AA24" s="17">
        <f t="shared" si="3"/>
        <v>0</v>
      </c>
    </row>
    <row r="25" spans="1:29">
      <c r="A25" s="79" t="s">
        <v>34</v>
      </c>
      <c r="B25" s="14">
        <f>[22]Vendedor7!$J$4</f>
        <v>0</v>
      </c>
      <c r="C25" s="81">
        <f>[22]Vendedor7!$K$4</f>
        <v>0</v>
      </c>
      <c r="D25" s="82">
        <f>[22]Vendedor7!$L$4</f>
        <v>0</v>
      </c>
      <c r="E25" s="14">
        <f>[22]Vendedor7!$J$5</f>
        <v>0</v>
      </c>
      <c r="F25" s="81">
        <f>[22]Vendedor7!$K$5</f>
        <v>0</v>
      </c>
      <c r="G25" s="85">
        <f>[22]Vendedor7!$L$5</f>
        <v>0</v>
      </c>
      <c r="H25" s="19">
        <f>[22]Vendedor7!$J$6</f>
        <v>0</v>
      </c>
      <c r="I25" s="15">
        <f>[22]Vendedor7!$K$6</f>
        <v>0</v>
      </c>
      <c r="J25" s="17">
        <f>[22]Vendedor7!$L$6</f>
        <v>0</v>
      </c>
      <c r="K25" s="18">
        <f>[22]Vendedor7!$J$7</f>
        <v>0</v>
      </c>
      <c r="L25" s="15">
        <f>[22]Vendedor7!$K$7</f>
        <v>0</v>
      </c>
      <c r="M25" s="16">
        <f>[22]Vendedor7!$L$7</f>
        <v>0</v>
      </c>
      <c r="N25" s="19">
        <f>[22]Vendedor7!$J$8</f>
        <v>0</v>
      </c>
      <c r="O25" s="15">
        <f>[22]Vendedor7!$K$8</f>
        <v>0</v>
      </c>
      <c r="P25" s="17">
        <f>[22]Vendedor7!$L$8</f>
        <v>0</v>
      </c>
      <c r="Q25" s="18">
        <f>[22]Vendedor7!$J$9</f>
        <v>0</v>
      </c>
      <c r="R25" s="15">
        <f>[22]Vendedor7!$K$9</f>
        <v>0</v>
      </c>
      <c r="S25" s="16">
        <f>[22]Vendedor7!$L$9</f>
        <v>0</v>
      </c>
      <c r="T25" s="19">
        <f>[22]Vendedor7!$J$10</f>
        <v>0</v>
      </c>
      <c r="U25" s="15">
        <f>[22]Vendedor7!$K$10</f>
        <v>0</v>
      </c>
      <c r="V25" s="17">
        <f>[22]Vendedor7!$L$10</f>
        <v>0</v>
      </c>
      <c r="W25" s="18">
        <f t="shared" si="4"/>
        <v>0</v>
      </c>
      <c r="X25" s="15">
        <f t="shared" si="1"/>
        <v>0</v>
      </c>
      <c r="Y25" s="15">
        <f t="shared" si="2"/>
        <v>0</v>
      </c>
      <c r="Z25" s="15">
        <v>0</v>
      </c>
      <c r="AA25" s="17">
        <f t="shared" si="3"/>
        <v>0</v>
      </c>
    </row>
    <row r="26" spans="1:29">
      <c r="A26" s="80" t="s">
        <v>35</v>
      </c>
      <c r="B26" s="14">
        <f>[23]Vendedor7!$J$4</f>
        <v>0</v>
      </c>
      <c r="C26" s="81">
        <f>[23]Vendedor7!$K$4</f>
        <v>0</v>
      </c>
      <c r="D26" s="82">
        <f>[23]Vendedor7!$L$4</f>
        <v>0</v>
      </c>
      <c r="E26" s="14">
        <f>[23]Vendedor7!$J$5</f>
        <v>0</v>
      </c>
      <c r="F26" s="81">
        <f>[23]Vendedor7!$K$5</f>
        <v>0</v>
      </c>
      <c r="G26" s="85">
        <f>[23]Vendedor7!$L$5</f>
        <v>0</v>
      </c>
      <c r="H26" s="19">
        <f>[23]Vendedor7!$J$6</f>
        <v>0</v>
      </c>
      <c r="I26" s="15">
        <f>[23]Vendedor7!$K$6</f>
        <v>0</v>
      </c>
      <c r="J26" s="17">
        <f>[23]Vendedor7!$L$6</f>
        <v>0</v>
      </c>
      <c r="K26" s="18">
        <f>[23]Vendedor7!$J$7</f>
        <v>0</v>
      </c>
      <c r="L26" s="15">
        <f>[23]Vendedor7!$K$7</f>
        <v>0</v>
      </c>
      <c r="M26" s="16">
        <f>[23]Vendedor7!$L$7</f>
        <v>0</v>
      </c>
      <c r="N26" s="19">
        <f>[23]Vendedor7!$J$8</f>
        <v>0</v>
      </c>
      <c r="O26" s="15">
        <f>[23]Vendedor7!$K$8</f>
        <v>0</v>
      </c>
      <c r="P26" s="17">
        <f>[23]Vendedor7!$L$8</f>
        <v>0</v>
      </c>
      <c r="Q26" s="18">
        <f>[23]Vendedor7!$J$9</f>
        <v>0</v>
      </c>
      <c r="R26" s="15">
        <f>[23]Vendedor7!$K$9</f>
        <v>0</v>
      </c>
      <c r="S26" s="16">
        <f>[23]Vendedor7!$L$9</f>
        <v>0</v>
      </c>
      <c r="T26" s="19">
        <f>[23]Vendedor7!$J$10</f>
        <v>0</v>
      </c>
      <c r="U26" s="15">
        <f>[23]Vendedor7!$K$10</f>
        <v>0</v>
      </c>
      <c r="V26" s="17">
        <f>[23]Vendedor7!$L$10</f>
        <v>0</v>
      </c>
      <c r="W26" s="18">
        <f t="shared" si="4"/>
        <v>0</v>
      </c>
      <c r="X26" s="15">
        <f t="shared" si="1"/>
        <v>0</v>
      </c>
      <c r="Y26" s="15">
        <f t="shared" si="2"/>
        <v>0</v>
      </c>
      <c r="Z26" s="15">
        <v>0</v>
      </c>
      <c r="AA26" s="17">
        <f t="shared" si="3"/>
        <v>0</v>
      </c>
    </row>
    <row r="27" spans="1:29">
      <c r="A27" s="79" t="s">
        <v>36</v>
      </c>
      <c r="B27" s="14">
        <f>[24]Vendedor7!$J$4</f>
        <v>0</v>
      </c>
      <c r="C27" s="81">
        <f>[24]Vendedor7!$K$4</f>
        <v>0</v>
      </c>
      <c r="D27" s="82">
        <f>[24]Vendedor7!$L$4</f>
        <v>0</v>
      </c>
      <c r="E27" s="14">
        <f>[24]Vendedor7!$J$5</f>
        <v>0</v>
      </c>
      <c r="F27" s="81">
        <f>[24]Vendedor7!$K$5</f>
        <v>0</v>
      </c>
      <c r="G27" s="85">
        <f>[24]Vendedor7!$L$5</f>
        <v>0</v>
      </c>
      <c r="H27" s="19">
        <f>[24]Vendedor7!$J$6</f>
        <v>0</v>
      </c>
      <c r="I27" s="15">
        <f>[24]Vendedor7!$K$6</f>
        <v>0</v>
      </c>
      <c r="J27" s="17">
        <f>[24]Vendedor7!$L$6</f>
        <v>0</v>
      </c>
      <c r="K27" s="18">
        <f>[24]Vendedor7!$J$7</f>
        <v>0</v>
      </c>
      <c r="L27" s="15">
        <f>[24]Vendedor7!$K$7</f>
        <v>0</v>
      </c>
      <c r="M27" s="16">
        <f>[24]Vendedor7!$L$7</f>
        <v>0</v>
      </c>
      <c r="N27" s="19">
        <f>[24]Vendedor7!$J$8</f>
        <v>0</v>
      </c>
      <c r="O27" s="15">
        <f>[24]Vendedor7!$K$8</f>
        <v>0</v>
      </c>
      <c r="P27" s="17">
        <f>[24]Vendedor7!$L$8</f>
        <v>0</v>
      </c>
      <c r="Q27" s="18">
        <f>[24]Vendedor7!$J$9</f>
        <v>0</v>
      </c>
      <c r="R27" s="15">
        <f>[24]Vendedor7!$K$9</f>
        <v>0</v>
      </c>
      <c r="S27" s="16">
        <f>[24]Vendedor7!$L$9</f>
        <v>0</v>
      </c>
      <c r="T27" s="19">
        <f>[24]Vendedor7!$J$10</f>
        <v>0</v>
      </c>
      <c r="U27" s="15">
        <f>[24]Vendedor7!$K$10</f>
        <v>0</v>
      </c>
      <c r="V27" s="17">
        <f>[24]Vendedor7!$L$10</f>
        <v>0</v>
      </c>
      <c r="W27" s="18">
        <f t="shared" si="4"/>
        <v>0</v>
      </c>
      <c r="X27" s="15">
        <f t="shared" si="1"/>
        <v>0</v>
      </c>
      <c r="Y27" s="15">
        <f t="shared" si="2"/>
        <v>0</v>
      </c>
      <c r="Z27" s="15">
        <v>0</v>
      </c>
      <c r="AA27" s="17">
        <f t="shared" si="3"/>
        <v>0</v>
      </c>
    </row>
    <row r="28" spans="1:29">
      <c r="A28" s="80" t="s">
        <v>37</v>
      </c>
      <c r="B28" s="14">
        <f>[25]Vendedor7!$J$4</f>
        <v>0</v>
      </c>
      <c r="C28" s="81">
        <f>[25]Vendedor7!$K$4</f>
        <v>0</v>
      </c>
      <c r="D28" s="82">
        <f>[25]Vendedor7!$L$4</f>
        <v>0</v>
      </c>
      <c r="E28" s="14">
        <f>[25]Vendedor7!$J$5</f>
        <v>0</v>
      </c>
      <c r="F28" s="81">
        <f>[25]Vendedor7!$K$5</f>
        <v>0</v>
      </c>
      <c r="G28" s="85">
        <f>[25]Vendedor7!$L$5</f>
        <v>0</v>
      </c>
      <c r="H28" s="19">
        <f>[25]Vendedor7!$J$6</f>
        <v>0</v>
      </c>
      <c r="I28" s="15">
        <f>[25]Vendedor7!$K$6</f>
        <v>0</v>
      </c>
      <c r="J28" s="17">
        <f>[25]Vendedor7!$L$6</f>
        <v>0</v>
      </c>
      <c r="K28" s="18">
        <f>[25]Vendedor7!$J$7</f>
        <v>0</v>
      </c>
      <c r="L28" s="15">
        <f>[25]Vendedor7!$K$7</f>
        <v>0</v>
      </c>
      <c r="M28" s="16">
        <f>[25]Vendedor7!$L$7</f>
        <v>0</v>
      </c>
      <c r="N28" s="19">
        <f>[25]Vendedor7!$J$8</f>
        <v>0</v>
      </c>
      <c r="O28" s="15">
        <f>[25]Vendedor7!$K$8</f>
        <v>0</v>
      </c>
      <c r="P28" s="17">
        <f>[25]Vendedor7!$L$8</f>
        <v>0</v>
      </c>
      <c r="Q28" s="18">
        <f>[25]Vendedor7!$J$9</f>
        <v>0</v>
      </c>
      <c r="R28" s="15">
        <f>[25]Vendedor7!$K$9</f>
        <v>0</v>
      </c>
      <c r="S28" s="16">
        <f>[25]Vendedor7!$L$9</f>
        <v>0</v>
      </c>
      <c r="T28" s="19">
        <f>[25]Vendedor7!$J$10</f>
        <v>0</v>
      </c>
      <c r="U28" s="15">
        <f>[25]Vendedor7!$K$10</f>
        <v>0</v>
      </c>
      <c r="V28" s="17">
        <f>[25]Vendedor7!$L$10</f>
        <v>0</v>
      </c>
      <c r="W28" s="18">
        <f t="shared" si="4"/>
        <v>0</v>
      </c>
      <c r="X28" s="15">
        <f t="shared" si="1"/>
        <v>0</v>
      </c>
      <c r="Y28" s="15">
        <f t="shared" si="2"/>
        <v>0</v>
      </c>
      <c r="Z28" s="15">
        <v>0</v>
      </c>
      <c r="AA28" s="17">
        <f t="shared" si="3"/>
        <v>0</v>
      </c>
    </row>
    <row r="29" spans="1:29">
      <c r="A29" s="79" t="s">
        <v>38</v>
      </c>
      <c r="B29" s="14">
        <f>[26]Vendedor7!$J$4</f>
        <v>0</v>
      </c>
      <c r="C29" s="81">
        <f>[26]Vendedor7!$K$4</f>
        <v>0</v>
      </c>
      <c r="D29" s="82">
        <f>[26]Vendedor7!$L$4</f>
        <v>0</v>
      </c>
      <c r="E29" s="14">
        <f>[26]Vendedor7!$J$5</f>
        <v>0</v>
      </c>
      <c r="F29" s="81">
        <f>[26]Vendedor7!$K$5</f>
        <v>0</v>
      </c>
      <c r="G29" s="85">
        <f>[26]Vendedor7!$L$5</f>
        <v>0</v>
      </c>
      <c r="H29" s="19">
        <f>[26]Vendedor7!$J$6</f>
        <v>0</v>
      </c>
      <c r="I29" s="15">
        <f>[26]Vendedor7!$K$6</f>
        <v>0</v>
      </c>
      <c r="J29" s="17">
        <f>[26]Vendedor7!$L$6</f>
        <v>0</v>
      </c>
      <c r="K29" s="18">
        <f>[26]Vendedor7!$J$7</f>
        <v>0</v>
      </c>
      <c r="L29" s="15">
        <f>[26]Vendedor7!$K$7</f>
        <v>0</v>
      </c>
      <c r="M29" s="16">
        <f>[26]Vendedor7!$L$7</f>
        <v>0</v>
      </c>
      <c r="N29" s="19">
        <f>[26]Vendedor7!$J$8</f>
        <v>0</v>
      </c>
      <c r="O29" s="15">
        <f>[26]Vendedor7!$K$8</f>
        <v>0</v>
      </c>
      <c r="P29" s="17">
        <f>[26]Vendedor7!$L$8</f>
        <v>0</v>
      </c>
      <c r="Q29" s="18">
        <f>[26]Vendedor7!$J$9</f>
        <v>0</v>
      </c>
      <c r="R29" s="15">
        <f>[26]Vendedor7!$K$9</f>
        <v>0</v>
      </c>
      <c r="S29" s="16">
        <f>[26]Vendedor7!$L$9</f>
        <v>0</v>
      </c>
      <c r="T29" s="19">
        <f>[26]Vendedor7!$J$10</f>
        <v>0</v>
      </c>
      <c r="U29" s="15">
        <f>[26]Vendedor7!$K$10</f>
        <v>0</v>
      </c>
      <c r="V29" s="17">
        <f>[26]Vendedor7!$L$10</f>
        <v>0</v>
      </c>
      <c r="W29" s="18">
        <f t="shared" si="4"/>
        <v>0</v>
      </c>
      <c r="X29" s="15">
        <f t="shared" si="1"/>
        <v>0</v>
      </c>
      <c r="Y29" s="15">
        <f t="shared" si="2"/>
        <v>0</v>
      </c>
      <c r="Z29" s="15">
        <v>0</v>
      </c>
      <c r="AA29" s="17">
        <f t="shared" si="3"/>
        <v>0</v>
      </c>
    </row>
    <row r="30" spans="1:29">
      <c r="A30" s="80" t="s">
        <v>39</v>
      </c>
      <c r="B30" s="14">
        <f>[27]Vendedor7!$J$4</f>
        <v>0</v>
      </c>
      <c r="C30" s="81">
        <f>[27]Vendedor7!$K$4</f>
        <v>0</v>
      </c>
      <c r="D30" s="82">
        <f>[27]Vendedor7!$L$4</f>
        <v>0</v>
      </c>
      <c r="E30" s="14">
        <f>[27]Vendedor7!$J$5</f>
        <v>0</v>
      </c>
      <c r="F30" s="81">
        <f>[27]Vendedor7!$K$5</f>
        <v>0</v>
      </c>
      <c r="G30" s="85">
        <f>[27]Vendedor7!$L$5</f>
        <v>0</v>
      </c>
      <c r="H30" s="19">
        <f>[27]Vendedor7!$J$6</f>
        <v>0</v>
      </c>
      <c r="I30" s="15">
        <f>[27]Vendedor7!$K$6</f>
        <v>0</v>
      </c>
      <c r="J30" s="17">
        <f>[27]Vendedor7!$L$6</f>
        <v>0</v>
      </c>
      <c r="K30" s="18">
        <f>[27]Vendedor7!$J$7</f>
        <v>0</v>
      </c>
      <c r="L30" s="15">
        <f>[27]Vendedor7!$K$7</f>
        <v>0</v>
      </c>
      <c r="M30" s="16">
        <f>[27]Vendedor7!$L$7</f>
        <v>0</v>
      </c>
      <c r="N30" s="19">
        <f>[27]Vendedor7!$J$8</f>
        <v>0</v>
      </c>
      <c r="O30" s="15">
        <f>[27]Vendedor7!$K$8</f>
        <v>0</v>
      </c>
      <c r="P30" s="17">
        <f>[27]Vendedor7!$L$8</f>
        <v>0</v>
      </c>
      <c r="Q30" s="18">
        <f>[27]Vendedor7!$J$9</f>
        <v>0</v>
      </c>
      <c r="R30" s="15">
        <f>[27]Vendedor7!$K$9</f>
        <v>0</v>
      </c>
      <c r="S30" s="16">
        <f>[27]Vendedor7!$L$9</f>
        <v>0</v>
      </c>
      <c r="T30" s="19">
        <f>[27]Vendedor7!$J$10</f>
        <v>0</v>
      </c>
      <c r="U30" s="15">
        <f>[27]Vendedor7!$K$10</f>
        <v>0</v>
      </c>
      <c r="V30" s="17">
        <f>[27]Vendedor7!$L$10</f>
        <v>0</v>
      </c>
      <c r="W30" s="18">
        <f t="shared" si="4"/>
        <v>0</v>
      </c>
      <c r="X30" s="15">
        <f t="shared" si="1"/>
        <v>0</v>
      </c>
      <c r="Y30" s="15">
        <f t="shared" si="2"/>
        <v>0</v>
      </c>
      <c r="Z30" s="15">
        <v>0</v>
      </c>
      <c r="AA30" s="17">
        <f t="shared" si="3"/>
        <v>0</v>
      </c>
    </row>
    <row r="31" spans="1:29">
      <c r="A31" s="79" t="s">
        <v>40</v>
      </c>
      <c r="B31" s="14">
        <f>[28]Vendedor7!$J$4</f>
        <v>0</v>
      </c>
      <c r="C31" s="81">
        <f>[28]Vendedor7!$K$4</f>
        <v>0</v>
      </c>
      <c r="D31" s="82">
        <f>[28]Vendedor7!$L$4</f>
        <v>0</v>
      </c>
      <c r="E31" s="14">
        <f>[28]Vendedor7!$J$5</f>
        <v>0</v>
      </c>
      <c r="F31" s="81">
        <f>[28]Vendedor7!$K$5</f>
        <v>0</v>
      </c>
      <c r="G31" s="85">
        <f>[28]Vendedor7!$L$5</f>
        <v>0</v>
      </c>
      <c r="H31" s="19">
        <f>[28]Vendedor7!$J$6</f>
        <v>0</v>
      </c>
      <c r="I31" s="15">
        <f>[28]Vendedor7!$K$6</f>
        <v>0</v>
      </c>
      <c r="J31" s="17">
        <f>[28]Vendedor7!$L$6</f>
        <v>0</v>
      </c>
      <c r="K31" s="18">
        <f>[28]Vendedor7!$J$7</f>
        <v>0</v>
      </c>
      <c r="L31" s="15">
        <f>[28]Vendedor7!$K$7</f>
        <v>0</v>
      </c>
      <c r="M31" s="16">
        <f>[28]Vendedor7!$L$7</f>
        <v>0</v>
      </c>
      <c r="N31" s="19">
        <f>[28]Vendedor7!$J$8</f>
        <v>0</v>
      </c>
      <c r="O31" s="15">
        <f>[28]Vendedor7!$K$8</f>
        <v>0</v>
      </c>
      <c r="P31" s="17">
        <f>[28]Vendedor7!$L$8</f>
        <v>0</v>
      </c>
      <c r="Q31" s="18">
        <f>[28]Vendedor7!$J$9</f>
        <v>0</v>
      </c>
      <c r="R31" s="15">
        <f>[28]Vendedor7!$K$9</f>
        <v>0</v>
      </c>
      <c r="S31" s="16">
        <f>[28]Vendedor7!$L$9</f>
        <v>0</v>
      </c>
      <c r="T31" s="19">
        <f>[28]Vendedor7!$J$10</f>
        <v>0</v>
      </c>
      <c r="U31" s="15">
        <f>[28]Vendedor7!$K$10</f>
        <v>0</v>
      </c>
      <c r="V31" s="17">
        <f>[28]Vendedor7!$L$10</f>
        <v>0</v>
      </c>
      <c r="W31" s="18">
        <f t="shared" si="4"/>
        <v>0</v>
      </c>
      <c r="X31" s="15">
        <f t="shared" si="1"/>
        <v>0</v>
      </c>
      <c r="Y31" s="15">
        <f t="shared" si="2"/>
        <v>0</v>
      </c>
      <c r="Z31" s="15">
        <v>0</v>
      </c>
      <c r="AA31" s="17">
        <f t="shared" si="3"/>
        <v>0</v>
      </c>
    </row>
    <row r="32" spans="1:29">
      <c r="A32" s="79" t="s">
        <v>41</v>
      </c>
      <c r="B32" s="14">
        <f>[29]Vendedor7!$J$4</f>
        <v>0</v>
      </c>
      <c r="C32" s="81">
        <f>[29]Vendedor7!$K$4</f>
        <v>0</v>
      </c>
      <c r="D32" s="82">
        <f>[29]Vendedor7!$L$4</f>
        <v>0</v>
      </c>
      <c r="E32" s="14">
        <f>[29]Vendedor7!$J$5</f>
        <v>0</v>
      </c>
      <c r="F32" s="81">
        <f>[29]Vendedor7!$K$5</f>
        <v>0</v>
      </c>
      <c r="G32" s="85">
        <f>[29]Vendedor7!$L$5</f>
        <v>0</v>
      </c>
      <c r="H32" s="19">
        <f>[29]Vendedor7!$J$6</f>
        <v>0</v>
      </c>
      <c r="I32" s="15">
        <f>[29]Vendedor7!$K$6</f>
        <v>0</v>
      </c>
      <c r="J32" s="17">
        <f>[29]Vendedor7!$L$6</f>
        <v>0</v>
      </c>
      <c r="K32" s="18">
        <f>[29]Vendedor7!$J$7</f>
        <v>0</v>
      </c>
      <c r="L32" s="15">
        <f>[29]Vendedor7!$K$7</f>
        <v>0</v>
      </c>
      <c r="M32" s="16">
        <f>[29]Vendedor7!$L$7</f>
        <v>0</v>
      </c>
      <c r="N32" s="19">
        <f>[29]Vendedor7!$J$8</f>
        <v>0</v>
      </c>
      <c r="O32" s="15">
        <f>[29]Vendedor7!$K$8</f>
        <v>0</v>
      </c>
      <c r="P32" s="17">
        <f>[29]Vendedor7!$L$8</f>
        <v>0</v>
      </c>
      <c r="Q32" s="18">
        <f>[29]Vendedor7!$J$9</f>
        <v>0</v>
      </c>
      <c r="R32" s="15">
        <f>[29]Vendedor7!$K$9</f>
        <v>0</v>
      </c>
      <c r="S32" s="16">
        <f>[29]Vendedor7!$L$9</f>
        <v>0</v>
      </c>
      <c r="T32" s="19">
        <f>[29]Vendedor7!$J$10</f>
        <v>0</v>
      </c>
      <c r="U32" s="15">
        <f>[29]Vendedor7!$K$10</f>
        <v>0</v>
      </c>
      <c r="V32" s="17">
        <f>[29]Vendedor7!$L$10</f>
        <v>0</v>
      </c>
      <c r="W32" s="18">
        <f t="shared" si="4"/>
        <v>0</v>
      </c>
      <c r="X32" s="15">
        <f t="shared" si="1"/>
        <v>0</v>
      </c>
      <c r="Y32" s="15">
        <f t="shared" si="2"/>
        <v>0</v>
      </c>
      <c r="Z32" s="15">
        <v>0</v>
      </c>
      <c r="AA32" s="17">
        <f t="shared" si="3"/>
        <v>0</v>
      </c>
    </row>
    <row r="33" spans="1:27">
      <c r="A33" s="80" t="s">
        <v>42</v>
      </c>
      <c r="B33" s="14">
        <f>[30]Vendedor7!$J$4</f>
        <v>0</v>
      </c>
      <c r="C33" s="81">
        <f>[30]Vendedor7!$K$4</f>
        <v>0</v>
      </c>
      <c r="D33" s="82">
        <f>[30]Vendedor7!$L$4</f>
        <v>0</v>
      </c>
      <c r="E33" s="14">
        <f>[30]Vendedor7!$J$5</f>
        <v>0</v>
      </c>
      <c r="F33" s="81">
        <f>[30]Vendedor7!$K$5</f>
        <v>0</v>
      </c>
      <c r="G33" s="85">
        <f>[30]Vendedor7!$L$5</f>
        <v>0</v>
      </c>
      <c r="H33" s="19">
        <f>[30]Vendedor7!$J$6</f>
        <v>0</v>
      </c>
      <c r="I33" s="15">
        <f>[30]Vendedor7!$K$6</f>
        <v>0</v>
      </c>
      <c r="J33" s="17">
        <f>[30]Vendedor7!$L$6</f>
        <v>0</v>
      </c>
      <c r="K33" s="18">
        <f>[30]Vendedor7!$J$7</f>
        <v>0</v>
      </c>
      <c r="L33" s="15">
        <f>[30]Vendedor7!$K$7</f>
        <v>0</v>
      </c>
      <c r="M33" s="16">
        <f>[30]Vendedor7!$L$7</f>
        <v>0</v>
      </c>
      <c r="N33" s="19">
        <f>[30]Vendedor7!$J$8</f>
        <v>0</v>
      </c>
      <c r="O33" s="15">
        <f>[30]Vendedor7!$K$8</f>
        <v>0</v>
      </c>
      <c r="P33" s="17">
        <f>[30]Vendedor7!$L$8</f>
        <v>0</v>
      </c>
      <c r="Q33" s="18">
        <f>[30]Vendedor7!$J$9</f>
        <v>0</v>
      </c>
      <c r="R33" s="15">
        <f>[30]Vendedor7!$K$9</f>
        <v>0</v>
      </c>
      <c r="S33" s="16">
        <f>[30]Vendedor7!$L$9</f>
        <v>0</v>
      </c>
      <c r="T33" s="19">
        <f>[30]Vendedor7!$J$10</f>
        <v>0</v>
      </c>
      <c r="U33" s="15">
        <f>[30]Vendedor7!$K$10</f>
        <v>0</v>
      </c>
      <c r="V33" s="17">
        <f>[30]Vendedor7!$L$10</f>
        <v>0</v>
      </c>
      <c r="W33" s="18">
        <f t="shared" si="4"/>
        <v>0</v>
      </c>
      <c r="X33" s="15">
        <f t="shared" si="1"/>
        <v>0</v>
      </c>
      <c r="Y33" s="15">
        <f t="shared" si="2"/>
        <v>0</v>
      </c>
      <c r="Z33" s="15">
        <v>0</v>
      </c>
      <c r="AA33" s="17">
        <f t="shared" si="3"/>
        <v>0</v>
      </c>
    </row>
    <row r="34" spans="1:27">
      <c r="A34" s="79" t="s">
        <v>43</v>
      </c>
      <c r="B34" s="14">
        <f>[31]Vendedor7!$J$4</f>
        <v>0</v>
      </c>
      <c r="C34" s="81">
        <f>[31]Vendedor7!$K$4</f>
        <v>0</v>
      </c>
      <c r="D34" s="82">
        <f>[31]Vendedor7!$L$4</f>
        <v>0</v>
      </c>
      <c r="E34" s="14">
        <f>[31]Vendedor7!$J$5</f>
        <v>0</v>
      </c>
      <c r="F34" s="81">
        <f>[31]Vendedor7!$K$5</f>
        <v>0</v>
      </c>
      <c r="G34" s="85">
        <f>[31]Vendedor7!$L$5</f>
        <v>0</v>
      </c>
      <c r="H34" s="19">
        <f>[31]Vendedor7!$J$6</f>
        <v>0</v>
      </c>
      <c r="I34" s="15">
        <f>[31]Vendedor7!$K$6</f>
        <v>0</v>
      </c>
      <c r="J34" s="17">
        <f>[31]Vendedor7!$L$6</f>
        <v>0</v>
      </c>
      <c r="K34" s="18">
        <f>[31]Vendedor7!$J$7</f>
        <v>0</v>
      </c>
      <c r="L34" s="15">
        <f>[31]Vendedor7!$K$7</f>
        <v>0</v>
      </c>
      <c r="M34" s="16">
        <f>[31]Vendedor7!$L$7</f>
        <v>0</v>
      </c>
      <c r="N34" s="19">
        <f>[31]Vendedor7!$J$8</f>
        <v>0</v>
      </c>
      <c r="O34" s="15">
        <f>[31]Vendedor7!$K$8</f>
        <v>0</v>
      </c>
      <c r="P34" s="17">
        <f>[31]Vendedor7!$L$8</f>
        <v>0</v>
      </c>
      <c r="Q34" s="18">
        <f>[31]Vendedor7!$J$9</f>
        <v>0</v>
      </c>
      <c r="R34" s="15">
        <f>[31]Vendedor7!$K$9</f>
        <v>0</v>
      </c>
      <c r="S34" s="16">
        <f>[31]Vendedor7!$L$9</f>
        <v>0</v>
      </c>
      <c r="T34" s="19">
        <f>[31]Vendedor7!$J$10</f>
        <v>0</v>
      </c>
      <c r="U34" s="15">
        <f>[31]Vendedor7!$K$10</f>
        <v>0</v>
      </c>
      <c r="V34" s="17">
        <f>[31]Vendedor7!$L$10</f>
        <v>0</v>
      </c>
      <c r="W34" s="18">
        <f t="shared" si="4"/>
        <v>0</v>
      </c>
      <c r="X34" s="15">
        <f t="shared" si="1"/>
        <v>0</v>
      </c>
      <c r="Y34" s="15">
        <f t="shared" si="2"/>
        <v>0</v>
      </c>
      <c r="Z34" s="15">
        <v>0</v>
      </c>
      <c r="AA34" s="17">
        <f t="shared" si="3"/>
        <v>0</v>
      </c>
    </row>
    <row r="35" spans="1:27">
      <c r="A35" s="80" t="s">
        <v>44</v>
      </c>
      <c r="B35" s="14">
        <f>[10]Vendedor7!$J$4</f>
        <v>0</v>
      </c>
      <c r="C35" s="81">
        <f>[10]Vendedor7!$K$4</f>
        <v>0</v>
      </c>
      <c r="D35" s="82">
        <f>[10]Vendedor7!$L$4</f>
        <v>0</v>
      </c>
      <c r="E35" s="14">
        <f>[10]Vendedor7!$J$5</f>
        <v>0</v>
      </c>
      <c r="F35" s="81">
        <f>[10]Vendedor7!$K$5</f>
        <v>0</v>
      </c>
      <c r="G35" s="85">
        <f>[10]Vendedor7!$L$5</f>
        <v>0</v>
      </c>
      <c r="H35" s="19">
        <f>[10]Vendedor7!$J$6</f>
        <v>0</v>
      </c>
      <c r="I35" s="15">
        <f>[10]Vendedor7!$K$6</f>
        <v>0</v>
      </c>
      <c r="J35" s="17">
        <f>[10]Vendedor7!$L$6</f>
        <v>0</v>
      </c>
      <c r="K35" s="18">
        <f>[10]Vendedor7!$J$7</f>
        <v>0</v>
      </c>
      <c r="L35" s="15">
        <f>[10]Vendedor7!$K$7</f>
        <v>0</v>
      </c>
      <c r="M35" s="16">
        <f>[10]Vendedor7!$L$7</f>
        <v>0</v>
      </c>
      <c r="N35" s="19">
        <f>[10]Vendedor7!$J$8</f>
        <v>0</v>
      </c>
      <c r="O35" s="15">
        <f>[10]Vendedor7!$K$8</f>
        <v>0</v>
      </c>
      <c r="P35" s="17">
        <f>[10]Vendedor7!$L$8</f>
        <v>0</v>
      </c>
      <c r="Q35" s="18">
        <f>[10]Vendedor7!$J$9</f>
        <v>0</v>
      </c>
      <c r="R35" s="15">
        <f>[10]Vendedor7!$K$9</f>
        <v>0</v>
      </c>
      <c r="S35" s="16">
        <f>[10]Vendedor7!$L$9</f>
        <v>0</v>
      </c>
      <c r="T35" s="19">
        <f>[10]Vendedor7!$J$10</f>
        <v>0</v>
      </c>
      <c r="U35" s="15">
        <f>[10]Vendedor7!$K$10</f>
        <v>0</v>
      </c>
      <c r="V35" s="17">
        <f>[10]Vendedor7!$L$10</f>
        <v>0</v>
      </c>
      <c r="W35" s="18">
        <f t="shared" si="4"/>
        <v>0</v>
      </c>
      <c r="X35" s="15">
        <f t="shared" si="1"/>
        <v>0</v>
      </c>
      <c r="Y35" s="15">
        <f t="shared" si="2"/>
        <v>0</v>
      </c>
      <c r="Z35" s="15">
        <v>0</v>
      </c>
      <c r="AA35" s="17">
        <f t="shared" si="3"/>
        <v>0</v>
      </c>
    </row>
    <row r="36" spans="1:27" ht="15.75" thickBot="1">
      <c r="A36" s="79" t="s">
        <v>45</v>
      </c>
      <c r="B36" s="21">
        <f>[11]Vendedor7!$J$4</f>
        <v>0</v>
      </c>
      <c r="C36" s="83">
        <f>[11]Vendedor7!$K$4</f>
        <v>0</v>
      </c>
      <c r="D36" s="84">
        <f>[11]Vendedor7!$L$4</f>
        <v>0</v>
      </c>
      <c r="E36" s="21">
        <f>[11]Vendedor7!$J$5</f>
        <v>0</v>
      </c>
      <c r="F36" s="83">
        <f>[11]Vendedor7!$K$5</f>
        <v>0</v>
      </c>
      <c r="G36" s="86">
        <f>[11]Vendedor7!$L$5</f>
        <v>0</v>
      </c>
      <c r="H36" s="26">
        <f>[11]Vendedor7!$J$6</f>
        <v>0</v>
      </c>
      <c r="I36" s="22">
        <f>[11]Vendedor7!$K$6</f>
        <v>0</v>
      </c>
      <c r="J36" s="24">
        <f>[11]Vendedor7!$L$6</f>
        <v>0</v>
      </c>
      <c r="K36" s="25">
        <f>[11]Vendedor7!$J$7</f>
        <v>0</v>
      </c>
      <c r="L36" s="22">
        <f>[11]Vendedor7!$K$7</f>
        <v>0</v>
      </c>
      <c r="M36" s="23">
        <f>[11]Vendedor7!$L$7</f>
        <v>0</v>
      </c>
      <c r="N36" s="26">
        <f>[11]Vendedor7!$J$8</f>
        <v>0</v>
      </c>
      <c r="O36" s="22">
        <f>[11]Vendedor7!$K$8</f>
        <v>0</v>
      </c>
      <c r="P36" s="24">
        <f>[11]Vendedor7!$L$8</f>
        <v>0</v>
      </c>
      <c r="Q36" s="25">
        <f>[11]Vendedor7!$J$9</f>
        <v>0</v>
      </c>
      <c r="R36" s="22">
        <f>[11]Vendedor7!$K$9</f>
        <v>0</v>
      </c>
      <c r="S36" s="23">
        <f>[11]Vendedor7!$L$9</f>
        <v>0</v>
      </c>
      <c r="T36" s="26">
        <f>[11]Vendedor7!$J$10</f>
        <v>0</v>
      </c>
      <c r="U36" s="22">
        <f>[11]Vendedor7!$K$10</f>
        <v>0</v>
      </c>
      <c r="V36" s="24">
        <f>[11]Vendedor7!$L$10</f>
        <v>0</v>
      </c>
      <c r="W36" s="25">
        <f t="shared" si="4"/>
        <v>0</v>
      </c>
      <c r="X36" s="22">
        <f t="shared" si="1"/>
        <v>0</v>
      </c>
      <c r="Y36" s="22">
        <f t="shared" si="2"/>
        <v>0</v>
      </c>
      <c r="Z36" s="22">
        <v>0</v>
      </c>
      <c r="AA36" s="24">
        <f t="shared" si="3"/>
        <v>0</v>
      </c>
    </row>
    <row r="37" spans="1:27" ht="16.5" thickBot="1">
      <c r="A37" s="5" t="s">
        <v>46</v>
      </c>
      <c r="B37" s="77">
        <f t="shared" ref="B37:Y37" si="5">SUM(B6:B36)</f>
        <v>4020150</v>
      </c>
      <c r="C37" s="32">
        <f t="shared" si="5"/>
        <v>482418</v>
      </c>
      <c r="D37" s="78">
        <f t="shared" si="5"/>
        <v>2907000</v>
      </c>
      <c r="E37" s="60">
        <f t="shared" si="5"/>
        <v>2436500</v>
      </c>
      <c r="F37" s="32">
        <f t="shared" si="5"/>
        <v>292380</v>
      </c>
      <c r="G37" s="73">
        <f t="shared" si="5"/>
        <v>1483250</v>
      </c>
      <c r="H37" s="77">
        <f t="shared" si="5"/>
        <v>457500</v>
      </c>
      <c r="I37" s="32">
        <f t="shared" si="5"/>
        <v>45750</v>
      </c>
      <c r="J37" s="78">
        <f t="shared" si="5"/>
        <v>100000</v>
      </c>
      <c r="K37" s="60">
        <f t="shared" ref="K37:M37" si="6">SUM(K6:K36)</f>
        <v>444550</v>
      </c>
      <c r="L37" s="32">
        <f t="shared" si="6"/>
        <v>53346</v>
      </c>
      <c r="M37" s="78">
        <f t="shared" si="6"/>
        <v>199750</v>
      </c>
      <c r="N37" s="60">
        <f t="shared" ref="N37:V37" si="7">SUM(N6:N36)</f>
        <v>387800</v>
      </c>
      <c r="O37" s="32">
        <f t="shared" si="7"/>
        <v>46536</v>
      </c>
      <c r="P37" s="73">
        <f t="shared" si="7"/>
        <v>165750</v>
      </c>
      <c r="Q37" s="77">
        <f t="shared" si="7"/>
        <v>1003650</v>
      </c>
      <c r="R37" s="32">
        <f t="shared" si="7"/>
        <v>120438</v>
      </c>
      <c r="S37" s="78">
        <f t="shared" si="7"/>
        <v>276250</v>
      </c>
      <c r="T37" s="60">
        <f t="shared" si="7"/>
        <v>2000</v>
      </c>
      <c r="U37" s="32">
        <f t="shared" si="7"/>
        <v>240</v>
      </c>
      <c r="V37" s="73">
        <f t="shared" si="7"/>
        <v>0</v>
      </c>
      <c r="W37" s="77">
        <f t="shared" si="5"/>
        <v>8752150</v>
      </c>
      <c r="X37" s="32">
        <f t="shared" si="5"/>
        <v>1041108</v>
      </c>
      <c r="Y37" s="32">
        <f t="shared" si="5"/>
        <v>5132000</v>
      </c>
      <c r="Z37" s="32">
        <f>SUM(Z5:Z36)</f>
        <v>0</v>
      </c>
      <c r="AA37" s="33">
        <f>SUM(AA5:AA36)</f>
        <v>2579042</v>
      </c>
    </row>
  </sheetData>
  <mergeCells count="2">
    <mergeCell ref="B2:D2"/>
    <mergeCell ref="I1:Y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7"/>
  <sheetViews>
    <sheetView showGridLines="0" topLeftCell="A4" zoomScale="90" zoomScaleNormal="90" workbookViewId="0">
      <selection activeCell="A7" sqref="A7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140625" style="1" customWidth="1"/>
    <col min="16" max="16" width="6.5703125" style="1" bestFit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115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88</v>
      </c>
      <c r="N2" s="4">
        <v>0.12</v>
      </c>
    </row>
    <row r="4" spans="1:15" ht="30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>
      <c r="A6" s="20" t="s">
        <v>49</v>
      </c>
      <c r="B6" s="14">
        <f>[1]Vendedor8!$J$4</f>
        <v>6100</v>
      </c>
      <c r="C6" s="81">
        <f>[1]Vendedor8!$K$4</f>
        <v>732</v>
      </c>
      <c r="D6" s="82">
        <f>[1]Vendedor8!$L$4</f>
        <v>68000</v>
      </c>
      <c r="E6" s="14">
        <f>[1]Vendedor8!$J$5</f>
        <v>0</v>
      </c>
      <c r="F6" s="81">
        <f>[1]Vendedor8!$K$5</f>
        <v>0</v>
      </c>
      <c r="G6" s="85">
        <f>[1]Vendedor8!$L$5</f>
        <v>0</v>
      </c>
      <c r="H6" s="19">
        <f>[1]Vendedor8!$J$7</f>
        <v>0</v>
      </c>
      <c r="I6" s="15">
        <f>[1]Vendedor8!$K$7</f>
        <v>0</v>
      </c>
      <c r="J6" s="17">
        <f>[1]Vendedor8!$L$7</f>
        <v>0</v>
      </c>
      <c r="K6" s="59">
        <f t="shared" ref="K6:K36" si="1">+B6+E6+H6</f>
        <v>6100</v>
      </c>
      <c r="L6" s="58">
        <f>MROUND(C6+F6+I6,50)</f>
        <v>750</v>
      </c>
      <c r="M6" s="58">
        <f t="shared" ref="M6:M36" si="2">+D6+G6+J6</f>
        <v>68000</v>
      </c>
      <c r="N6" s="58">
        <v>0</v>
      </c>
      <c r="O6" s="55">
        <f t="shared" ref="O6:O36" si="3">+K6-L6-M6+N6</f>
        <v>-62650</v>
      </c>
    </row>
    <row r="7" spans="1:15">
      <c r="A7" s="13" t="s">
        <v>50</v>
      </c>
      <c r="B7" s="14">
        <f>[2]Vendedor8!$J$4</f>
        <v>12300</v>
      </c>
      <c r="C7" s="81">
        <f>[2]Vendedor8!$K$4</f>
        <v>1476</v>
      </c>
      <c r="D7" s="82">
        <f>[2]Vendedor8!$L$4</f>
        <v>0</v>
      </c>
      <c r="E7" s="14">
        <f>[2]Vendedor8!$J$5</f>
        <v>0</v>
      </c>
      <c r="F7" s="81">
        <f>[2]Vendedor8!$K$5</f>
        <v>0</v>
      </c>
      <c r="G7" s="85">
        <f>[2]Vendedor8!$L$5</f>
        <v>0</v>
      </c>
      <c r="H7" s="19">
        <f>[2]Vendedor8!$J$7</f>
        <v>0</v>
      </c>
      <c r="I7" s="15">
        <f>[2]Vendedor8!$K$7</f>
        <v>0</v>
      </c>
      <c r="J7" s="17">
        <f>[2]Vendedor8!$L$7</f>
        <v>0</v>
      </c>
      <c r="K7" s="19">
        <f>+B7+E7+H7</f>
        <v>12300</v>
      </c>
      <c r="L7" s="15">
        <f>MROUND(C7+F7+I7,50)</f>
        <v>1500</v>
      </c>
      <c r="M7" s="15">
        <f>+D7+G7+J7</f>
        <v>0</v>
      </c>
      <c r="N7" s="15">
        <v>0</v>
      </c>
      <c r="O7" s="17">
        <f t="shared" si="3"/>
        <v>10800</v>
      </c>
    </row>
    <row r="8" spans="1:15">
      <c r="A8" s="20" t="s">
        <v>51</v>
      </c>
      <c r="B8" s="14">
        <f>[3]Vendedor8!$J$4</f>
        <v>2000</v>
      </c>
      <c r="C8" s="81">
        <f>[3]Vendedor8!$K$4</f>
        <v>240</v>
      </c>
      <c r="D8" s="82">
        <f>[3]Vendedor8!$L$4</f>
        <v>0</v>
      </c>
      <c r="E8" s="14">
        <f>[3]Vendedor8!$J$5</f>
        <v>0</v>
      </c>
      <c r="F8" s="81">
        <f>[3]Vendedor8!$K$5</f>
        <v>0</v>
      </c>
      <c r="G8" s="85">
        <f>[3]Vendedor8!$L$5</f>
        <v>0</v>
      </c>
      <c r="H8" s="19">
        <f>[3]Vendedor8!$J$7</f>
        <v>0</v>
      </c>
      <c r="I8" s="15">
        <f>[3]Vendedor8!$K$7</f>
        <v>0</v>
      </c>
      <c r="J8" s="17">
        <f>[3]Vendedor8!$L$7</f>
        <v>0</v>
      </c>
      <c r="K8" s="19">
        <f t="shared" si="1"/>
        <v>2000</v>
      </c>
      <c r="L8" s="15">
        <f t="shared" ref="L8:L36" si="4">MROUND(C8+F8+I8,50)</f>
        <v>250</v>
      </c>
      <c r="M8" s="15">
        <f t="shared" si="2"/>
        <v>0</v>
      </c>
      <c r="N8" s="15">
        <v>0</v>
      </c>
      <c r="O8" s="17">
        <f t="shared" si="3"/>
        <v>1750</v>
      </c>
    </row>
    <row r="9" spans="1:15">
      <c r="A9" s="13" t="s">
        <v>52</v>
      </c>
      <c r="B9" s="14">
        <f>[4]Vendedor8!$J$4</f>
        <v>16300</v>
      </c>
      <c r="C9" s="81">
        <f>[4]Vendedor8!$K$4</f>
        <v>1956</v>
      </c>
      <c r="D9" s="82">
        <f>[4]Vendedor8!$L$4</f>
        <v>0</v>
      </c>
      <c r="E9" s="14">
        <f>[4]Vendedor8!$J$5</f>
        <v>0</v>
      </c>
      <c r="F9" s="81">
        <f>[4]Vendedor8!$K$5</f>
        <v>0</v>
      </c>
      <c r="G9" s="85">
        <f>[4]Vendedor8!$L$5</f>
        <v>0</v>
      </c>
      <c r="H9" s="19">
        <f>[4]Vendedor8!$J$7</f>
        <v>0</v>
      </c>
      <c r="I9" s="15">
        <f>[4]Vendedor8!$K$7</f>
        <v>0</v>
      </c>
      <c r="J9" s="17">
        <f>[4]Vendedor8!$L$7</f>
        <v>0</v>
      </c>
      <c r="K9" s="19">
        <f t="shared" si="1"/>
        <v>16300</v>
      </c>
      <c r="L9" s="15">
        <f t="shared" si="4"/>
        <v>1950</v>
      </c>
      <c r="M9" s="15">
        <f t="shared" si="2"/>
        <v>0</v>
      </c>
      <c r="N9" s="15">
        <v>0</v>
      </c>
      <c r="O9" s="17">
        <f t="shared" si="3"/>
        <v>14350</v>
      </c>
    </row>
    <row r="10" spans="1:15">
      <c r="A10" s="20" t="s">
        <v>53</v>
      </c>
      <c r="B10" s="14">
        <f>[5]Vendedor8!$J$4</f>
        <v>7400</v>
      </c>
      <c r="C10" s="81">
        <f>[5]Vendedor8!$K$4</f>
        <v>888</v>
      </c>
      <c r="D10" s="82">
        <f>[5]Vendedor8!$L$4</f>
        <v>0</v>
      </c>
      <c r="E10" s="14">
        <f>[5]Vendedor8!$J$5</f>
        <v>0</v>
      </c>
      <c r="F10" s="81">
        <f>[5]Vendedor8!$K$5</f>
        <v>0</v>
      </c>
      <c r="G10" s="85">
        <f>[5]Vendedor8!$L$5</f>
        <v>0</v>
      </c>
      <c r="H10" s="19">
        <f>[5]Vendedor8!$J$7</f>
        <v>0</v>
      </c>
      <c r="I10" s="15">
        <f>[5]Vendedor8!$K$7</f>
        <v>0</v>
      </c>
      <c r="J10" s="17">
        <f>[5]Vendedor8!$L$7</f>
        <v>0</v>
      </c>
      <c r="K10" s="19">
        <f t="shared" si="1"/>
        <v>7400</v>
      </c>
      <c r="L10" s="15">
        <f t="shared" si="4"/>
        <v>900</v>
      </c>
      <c r="M10" s="15">
        <f t="shared" si="2"/>
        <v>0</v>
      </c>
      <c r="N10" s="15">
        <v>0</v>
      </c>
      <c r="O10" s="17">
        <f t="shared" si="3"/>
        <v>6500</v>
      </c>
    </row>
    <row r="11" spans="1:15">
      <c r="A11" s="13" t="s">
        <v>20</v>
      </c>
      <c r="B11" s="14">
        <f>[6]Vendedor8!$J$4</f>
        <v>6000</v>
      </c>
      <c r="C11" s="81">
        <f>[6]Vendedor8!$K$4</f>
        <v>720</v>
      </c>
      <c r="D11" s="82">
        <f>[6]Vendedor8!$L$4</f>
        <v>42500</v>
      </c>
      <c r="E11" s="14">
        <f>[6]Vendedor8!$J$5</f>
        <v>0</v>
      </c>
      <c r="F11" s="81">
        <f>[6]Vendedor8!$K$5</f>
        <v>0</v>
      </c>
      <c r="G11" s="85">
        <f>[6]Vendedor8!$L$5</f>
        <v>0</v>
      </c>
      <c r="H11" s="19">
        <f>[6]Vendedor8!$J$7</f>
        <v>0</v>
      </c>
      <c r="I11" s="15">
        <f>[6]Vendedor8!$K$7</f>
        <v>0</v>
      </c>
      <c r="J11" s="17">
        <f>[6]Vendedor8!$L$7</f>
        <v>0</v>
      </c>
      <c r="K11" s="19">
        <f t="shared" si="1"/>
        <v>6000</v>
      </c>
      <c r="L11" s="15">
        <f t="shared" si="4"/>
        <v>700</v>
      </c>
      <c r="M11" s="15">
        <f t="shared" si="2"/>
        <v>42500</v>
      </c>
      <c r="N11" s="15">
        <v>0</v>
      </c>
      <c r="O11" s="17">
        <f t="shared" si="3"/>
        <v>-37200</v>
      </c>
    </row>
    <row r="12" spans="1:15">
      <c r="A12" s="20" t="s">
        <v>21</v>
      </c>
      <c r="B12" s="14">
        <f>[7]Vendedor8!$J$4</f>
        <v>11700</v>
      </c>
      <c r="C12" s="81">
        <f>[7]Vendedor8!$K$4</f>
        <v>1404</v>
      </c>
      <c r="D12" s="82">
        <f>[7]Vendedor8!$L$4</f>
        <v>0</v>
      </c>
      <c r="E12" s="14">
        <f>[7]Vendedor8!$J$5</f>
        <v>0</v>
      </c>
      <c r="F12" s="81">
        <f>[7]Vendedor8!$K$5</f>
        <v>0</v>
      </c>
      <c r="G12" s="85">
        <f>[7]Vendedor8!$L$5</f>
        <v>0</v>
      </c>
      <c r="H12" s="19">
        <f>[7]Vendedor8!$J$7</f>
        <v>0</v>
      </c>
      <c r="I12" s="15">
        <f>[7]Vendedor8!$K$7</f>
        <v>0</v>
      </c>
      <c r="J12" s="17">
        <f>[7]Vendedor8!$L$7</f>
        <v>0</v>
      </c>
      <c r="K12" s="19">
        <f t="shared" si="1"/>
        <v>11700</v>
      </c>
      <c r="L12" s="15">
        <f t="shared" si="4"/>
        <v>1400</v>
      </c>
      <c r="M12" s="15">
        <f t="shared" si="2"/>
        <v>0</v>
      </c>
      <c r="N12" s="15">
        <v>0</v>
      </c>
      <c r="O12" s="17">
        <f t="shared" si="3"/>
        <v>10300</v>
      </c>
    </row>
    <row r="13" spans="1:15">
      <c r="A13" s="13" t="s">
        <v>22</v>
      </c>
      <c r="B13" s="14">
        <f>[8]Vendedor8!$J$4</f>
        <v>5000</v>
      </c>
      <c r="C13" s="81">
        <f>[8]Vendedor8!$K$4</f>
        <v>600</v>
      </c>
      <c r="D13" s="82">
        <f>[8]Vendedor8!$L$4</f>
        <v>0</v>
      </c>
      <c r="E13" s="14">
        <f>[8]Vendedor8!$J$5</f>
        <v>0</v>
      </c>
      <c r="F13" s="81">
        <f>[8]Vendedor8!$K$5</f>
        <v>0</v>
      </c>
      <c r="G13" s="85">
        <f>[8]Vendedor8!$L$5</f>
        <v>0</v>
      </c>
      <c r="H13" s="19">
        <f>[8]Vendedor8!$J$7</f>
        <v>0</v>
      </c>
      <c r="I13" s="15">
        <f>[8]Vendedor8!$K$7</f>
        <v>0</v>
      </c>
      <c r="J13" s="17">
        <f>[8]Vendedor8!$L$7</f>
        <v>0</v>
      </c>
      <c r="K13" s="19">
        <f t="shared" si="1"/>
        <v>5000</v>
      </c>
      <c r="L13" s="15">
        <f t="shared" si="4"/>
        <v>600</v>
      </c>
      <c r="M13" s="15">
        <f t="shared" si="2"/>
        <v>0</v>
      </c>
      <c r="N13" s="15">
        <v>0</v>
      </c>
      <c r="O13" s="17">
        <f t="shared" si="3"/>
        <v>4400</v>
      </c>
    </row>
    <row r="14" spans="1:15">
      <c r="A14" s="20" t="s">
        <v>23</v>
      </c>
      <c r="B14" s="14">
        <f>[9]Vendedor8!$J$4</f>
        <v>11000</v>
      </c>
      <c r="C14" s="81">
        <f>[9]Vendedor8!$K$4</f>
        <v>1320</v>
      </c>
      <c r="D14" s="82">
        <f>[9]Vendedor8!$L$4</f>
        <v>0</v>
      </c>
      <c r="E14" s="14">
        <f>[9]Vendedor8!$J$5</f>
        <v>0</v>
      </c>
      <c r="F14" s="81">
        <f>[9]Vendedor8!$K$5</f>
        <v>0</v>
      </c>
      <c r="G14" s="85">
        <f>[9]Vendedor8!$L$5</f>
        <v>0</v>
      </c>
      <c r="H14" s="19">
        <f>[9]Vendedor8!$J$7</f>
        <v>0</v>
      </c>
      <c r="I14" s="15">
        <f>[9]Vendedor8!$K$7</f>
        <v>0</v>
      </c>
      <c r="J14" s="17">
        <f>[9]Vendedor8!$L$7</f>
        <v>0</v>
      </c>
      <c r="K14" s="19">
        <f t="shared" si="1"/>
        <v>11000</v>
      </c>
      <c r="L14" s="15">
        <f t="shared" si="4"/>
        <v>1300</v>
      </c>
      <c r="M14" s="15">
        <f t="shared" si="2"/>
        <v>0</v>
      </c>
      <c r="N14" s="15">
        <v>0</v>
      </c>
      <c r="O14" s="17">
        <f t="shared" si="3"/>
        <v>9700</v>
      </c>
    </row>
    <row r="15" spans="1:15">
      <c r="A15" s="13" t="s">
        <v>24</v>
      </c>
      <c r="B15" s="14">
        <f>[12]Vendedor8!$J$4</f>
        <v>6500</v>
      </c>
      <c r="C15" s="81">
        <f>[12]Vendedor8!$K$4</f>
        <v>780</v>
      </c>
      <c r="D15" s="82">
        <f>[12]Vendedor8!$L$4</f>
        <v>0</v>
      </c>
      <c r="E15" s="14">
        <f>[12]Vendedor8!$J$5</f>
        <v>0</v>
      </c>
      <c r="F15" s="81">
        <f>[12]Vendedor8!$K$5</f>
        <v>0</v>
      </c>
      <c r="G15" s="85">
        <f>[12]Vendedor8!$L$5</f>
        <v>0</v>
      </c>
      <c r="H15" s="19">
        <f>[12]Vendedor8!$J$7</f>
        <v>0</v>
      </c>
      <c r="I15" s="15">
        <f>[12]Vendedor8!$K$7</f>
        <v>0</v>
      </c>
      <c r="J15" s="17">
        <f>[12]Vendedor8!$L$7</f>
        <v>0</v>
      </c>
      <c r="K15" s="19">
        <f t="shared" si="1"/>
        <v>6500</v>
      </c>
      <c r="L15" s="15">
        <f t="shared" si="4"/>
        <v>800</v>
      </c>
      <c r="M15" s="15">
        <f t="shared" si="2"/>
        <v>0</v>
      </c>
      <c r="N15" s="15">
        <v>0</v>
      </c>
      <c r="O15" s="17">
        <f t="shared" si="3"/>
        <v>5700</v>
      </c>
    </row>
    <row r="16" spans="1:15">
      <c r="A16" s="20" t="s">
        <v>25</v>
      </c>
      <c r="B16" s="14">
        <f>[13]Vendedor8!$J$4</f>
        <v>11300</v>
      </c>
      <c r="C16" s="81">
        <f>[13]Vendedor8!$K$4</f>
        <v>1356</v>
      </c>
      <c r="D16" s="82">
        <f>[13]Vendedor8!$L$4</f>
        <v>0</v>
      </c>
      <c r="E16" s="14">
        <f>[13]Vendedor8!$J$5</f>
        <v>0</v>
      </c>
      <c r="F16" s="81">
        <f>[13]Vendedor8!$K$5</f>
        <v>0</v>
      </c>
      <c r="G16" s="85">
        <f>[13]Vendedor8!$L$5</f>
        <v>0</v>
      </c>
      <c r="H16" s="19">
        <f>[13]Vendedor8!$J$7</f>
        <v>0</v>
      </c>
      <c r="I16" s="15">
        <f>[13]Vendedor8!$K$7</f>
        <v>0</v>
      </c>
      <c r="J16" s="17">
        <f>[13]Vendedor8!$L$7</f>
        <v>0</v>
      </c>
      <c r="K16" s="19">
        <f t="shared" si="1"/>
        <v>11300</v>
      </c>
      <c r="L16" s="15">
        <f t="shared" si="4"/>
        <v>1350</v>
      </c>
      <c r="M16" s="15">
        <f t="shared" si="2"/>
        <v>0</v>
      </c>
      <c r="N16" s="15">
        <v>0</v>
      </c>
      <c r="O16" s="17">
        <f t="shared" si="3"/>
        <v>9950</v>
      </c>
    </row>
    <row r="17" spans="1:15">
      <c r="A17" s="13" t="s">
        <v>26</v>
      </c>
      <c r="B17" s="14">
        <f>[14]Vendedor8!$J$4</f>
        <v>3000</v>
      </c>
      <c r="C17" s="81">
        <f>[14]Vendedor8!$K$4</f>
        <v>360</v>
      </c>
      <c r="D17" s="82">
        <f>[14]Vendedor8!$L$4</f>
        <v>0</v>
      </c>
      <c r="E17" s="14">
        <f>[14]Vendedor8!$J$5</f>
        <v>0</v>
      </c>
      <c r="F17" s="81">
        <f>[14]Vendedor8!$K$5</f>
        <v>0</v>
      </c>
      <c r="G17" s="85">
        <f>[14]Vendedor8!$L$5</f>
        <v>0</v>
      </c>
      <c r="H17" s="19">
        <f>[14]Vendedor8!$J$7</f>
        <v>0</v>
      </c>
      <c r="I17" s="15">
        <f>[14]Vendedor8!$K$7</f>
        <v>0</v>
      </c>
      <c r="J17" s="17">
        <f>[14]Vendedor8!$L$7</f>
        <v>0</v>
      </c>
      <c r="K17" s="19">
        <f t="shared" si="1"/>
        <v>3000</v>
      </c>
      <c r="L17" s="15">
        <f t="shared" si="4"/>
        <v>350</v>
      </c>
      <c r="M17" s="15">
        <f t="shared" si="2"/>
        <v>0</v>
      </c>
      <c r="N17" s="15">
        <v>0</v>
      </c>
      <c r="O17" s="17">
        <f t="shared" si="3"/>
        <v>2650</v>
      </c>
    </row>
    <row r="18" spans="1:15">
      <c r="A18" s="20" t="s">
        <v>27</v>
      </c>
      <c r="B18" s="14">
        <f>[15]Vendedor8!$J$4</f>
        <v>2000</v>
      </c>
      <c r="C18" s="81">
        <f>[15]Vendedor8!$K$4</f>
        <v>240</v>
      </c>
      <c r="D18" s="82">
        <f>[15]Vendedor8!$L$4</f>
        <v>0</v>
      </c>
      <c r="E18" s="14">
        <f>[15]Vendedor8!$J$5</f>
        <v>0</v>
      </c>
      <c r="F18" s="81">
        <f>[15]Vendedor8!$K$5</f>
        <v>0</v>
      </c>
      <c r="G18" s="85">
        <f>[15]Vendedor8!$L$5</f>
        <v>0</v>
      </c>
      <c r="H18" s="19">
        <f>[15]Vendedor8!$J$7</f>
        <v>0</v>
      </c>
      <c r="I18" s="15">
        <f>[15]Vendedor8!$K$7</f>
        <v>0</v>
      </c>
      <c r="J18" s="17">
        <f>[15]Vendedor8!$L$7</f>
        <v>0</v>
      </c>
      <c r="K18" s="19">
        <f t="shared" si="1"/>
        <v>2000</v>
      </c>
      <c r="L18" s="15">
        <f t="shared" si="4"/>
        <v>250</v>
      </c>
      <c r="M18" s="15">
        <f t="shared" si="2"/>
        <v>0</v>
      </c>
      <c r="N18" s="15">
        <v>0</v>
      </c>
      <c r="O18" s="17">
        <f t="shared" si="3"/>
        <v>1750</v>
      </c>
    </row>
    <row r="19" spans="1:15">
      <c r="A19" s="20" t="s">
        <v>28</v>
      </c>
      <c r="B19" s="14">
        <f>[16]Vendedor8!$J$4</f>
        <v>0</v>
      </c>
      <c r="C19" s="81">
        <f>[16]Vendedor8!$K$4</f>
        <v>0</v>
      </c>
      <c r="D19" s="82">
        <f>[16]Vendedor8!$L$4</f>
        <v>0</v>
      </c>
      <c r="E19" s="14">
        <f>[16]Vendedor8!$J$5</f>
        <v>0</v>
      </c>
      <c r="F19" s="81">
        <f>[16]Vendedor8!$K$5</f>
        <v>0</v>
      </c>
      <c r="G19" s="85">
        <f>[16]Vendedor8!$L$5</f>
        <v>0</v>
      </c>
      <c r="H19" s="19">
        <f>[16]Vendedor8!$J$7</f>
        <v>0</v>
      </c>
      <c r="I19" s="15">
        <f>[16]Vendedor8!$K$7</f>
        <v>0</v>
      </c>
      <c r="J19" s="17">
        <f>[16]Vendedor8!$L$7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>
      <c r="A20" s="13" t="s">
        <v>29</v>
      </c>
      <c r="B20" s="14">
        <f>[17]Vendedor8!$J$4</f>
        <v>0</v>
      </c>
      <c r="C20" s="81">
        <f>[17]Vendedor8!$K$4</f>
        <v>0</v>
      </c>
      <c r="D20" s="82">
        <f>[17]Vendedor8!$L$4</f>
        <v>0</v>
      </c>
      <c r="E20" s="14">
        <f>[17]Vendedor8!$J$5</f>
        <v>0</v>
      </c>
      <c r="F20" s="81">
        <f>[17]Vendedor8!$K$5</f>
        <v>0</v>
      </c>
      <c r="G20" s="85">
        <f>[17]Vendedor8!$L$5</f>
        <v>0</v>
      </c>
      <c r="H20" s="19">
        <f>[17]Vendedor8!$J$7</f>
        <v>0</v>
      </c>
      <c r="I20" s="15">
        <f>[17]Vendedor8!$K$7</f>
        <v>0</v>
      </c>
      <c r="J20" s="17">
        <f>[17]Vendedor8!$L$7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>
      <c r="A21" s="20" t="s">
        <v>30</v>
      </c>
      <c r="B21" s="14">
        <f>[18]Vendedor8!$J$4</f>
        <v>0</v>
      </c>
      <c r="C21" s="81">
        <f>[18]Vendedor8!$K$4</f>
        <v>0</v>
      </c>
      <c r="D21" s="82">
        <f>[18]Vendedor8!$L$4</f>
        <v>0</v>
      </c>
      <c r="E21" s="14">
        <f>[18]Vendedor8!$J$5</f>
        <v>0</v>
      </c>
      <c r="F21" s="81">
        <f>[18]Vendedor8!$K$5</f>
        <v>0</v>
      </c>
      <c r="G21" s="85">
        <f>[18]Vendedor8!$L$5</f>
        <v>0</v>
      </c>
      <c r="H21" s="19">
        <f>[18]Vendedor8!$J$7</f>
        <v>0</v>
      </c>
      <c r="I21" s="15">
        <f>[18]Vendedor8!$K$7</f>
        <v>0</v>
      </c>
      <c r="J21" s="17">
        <f>[18]Vendedor8!$L$7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>
      <c r="A22" s="13" t="s">
        <v>31</v>
      </c>
      <c r="B22" s="14">
        <f>[19]Vendedor8!$J$4</f>
        <v>0</v>
      </c>
      <c r="C22" s="81">
        <f>[19]Vendedor8!$K$4</f>
        <v>0</v>
      </c>
      <c r="D22" s="82">
        <f>[19]Vendedor8!$L$4</f>
        <v>0</v>
      </c>
      <c r="E22" s="14">
        <f>[19]Vendedor8!$J$5</f>
        <v>0</v>
      </c>
      <c r="F22" s="81">
        <f>[19]Vendedor8!$K$5</f>
        <v>0</v>
      </c>
      <c r="G22" s="85">
        <f>[19]Vendedor8!$L$5</f>
        <v>0</v>
      </c>
      <c r="H22" s="19">
        <f>[19]Vendedor8!$J$7</f>
        <v>0</v>
      </c>
      <c r="I22" s="15">
        <f>[19]Vendedor8!$K$7</f>
        <v>0</v>
      </c>
      <c r="J22" s="17">
        <f>[19]Vendedor8!$L$7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>
      <c r="A23" s="20" t="s">
        <v>32</v>
      </c>
      <c r="B23" s="14">
        <f>[20]Vendedor8!$J$4</f>
        <v>0</v>
      </c>
      <c r="C23" s="81">
        <f>[20]Vendedor8!$K$4</f>
        <v>0</v>
      </c>
      <c r="D23" s="82">
        <f>[20]Vendedor8!$L$4</f>
        <v>0</v>
      </c>
      <c r="E23" s="14">
        <f>[20]Vendedor8!$J$5</f>
        <v>0</v>
      </c>
      <c r="F23" s="81">
        <f>[20]Vendedor8!$K$5</f>
        <v>0</v>
      </c>
      <c r="G23" s="85">
        <f>[20]Vendedor8!$L$5</f>
        <v>0</v>
      </c>
      <c r="H23" s="19">
        <f>[20]Vendedor8!$J$7</f>
        <v>0</v>
      </c>
      <c r="I23" s="15">
        <f>[20]Vendedor8!$K$7</f>
        <v>0</v>
      </c>
      <c r="J23" s="17">
        <f>[20]Vendedor8!$L$7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>
      <c r="A24" s="13" t="s">
        <v>33</v>
      </c>
      <c r="B24" s="14">
        <f>[21]Vendedor8!$J$4</f>
        <v>0</v>
      </c>
      <c r="C24" s="81">
        <f>[21]Vendedor8!$K$4</f>
        <v>0</v>
      </c>
      <c r="D24" s="82">
        <f>[21]Vendedor8!$L$4</f>
        <v>0</v>
      </c>
      <c r="E24" s="14">
        <f>[21]Vendedor8!$J$5</f>
        <v>0</v>
      </c>
      <c r="F24" s="81">
        <f>[21]Vendedor8!$K$5</f>
        <v>0</v>
      </c>
      <c r="G24" s="85">
        <f>[21]Vendedor8!$L$5</f>
        <v>0</v>
      </c>
      <c r="H24" s="19">
        <f>[21]Vendedor8!$J$7</f>
        <v>0</v>
      </c>
      <c r="I24" s="15">
        <f>[21]Vendedor8!$K$7</f>
        <v>0</v>
      </c>
      <c r="J24" s="17">
        <f>[21]Vendedor8!$L$7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>
      <c r="A25" s="20" t="s">
        <v>34</v>
      </c>
      <c r="B25" s="14">
        <f>[22]Vendedor8!$J$4</f>
        <v>0</v>
      </c>
      <c r="C25" s="81">
        <f>[22]Vendedor8!$K$4</f>
        <v>0</v>
      </c>
      <c r="D25" s="82">
        <f>[22]Vendedor8!$L$4</f>
        <v>0</v>
      </c>
      <c r="E25" s="14">
        <f>[22]Vendedor8!$J$5</f>
        <v>0</v>
      </c>
      <c r="F25" s="81">
        <f>[22]Vendedor8!$K$5</f>
        <v>0</v>
      </c>
      <c r="G25" s="85">
        <f>[22]Vendedor8!$L$5</f>
        <v>0</v>
      </c>
      <c r="H25" s="19">
        <f>[22]Vendedor8!$J$7</f>
        <v>0</v>
      </c>
      <c r="I25" s="15">
        <f>[22]Vendedor8!$K$7</f>
        <v>0</v>
      </c>
      <c r="J25" s="17">
        <f>[22]Vendedor8!$L$7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>
      <c r="A26" s="13" t="s">
        <v>35</v>
      </c>
      <c r="B26" s="14">
        <f>[23]Vendedor8!$J$4</f>
        <v>0</v>
      </c>
      <c r="C26" s="81">
        <f>[23]Vendedor8!$K$4</f>
        <v>0</v>
      </c>
      <c r="D26" s="82">
        <f>[23]Vendedor8!$L$4</f>
        <v>0</v>
      </c>
      <c r="E26" s="14">
        <f>[23]Vendedor8!$J$5</f>
        <v>0</v>
      </c>
      <c r="F26" s="81">
        <f>[23]Vendedor8!$K$5</f>
        <v>0</v>
      </c>
      <c r="G26" s="85">
        <f>[23]Vendedor8!$L$5</f>
        <v>0</v>
      </c>
      <c r="H26" s="19">
        <f>[23]Vendedor8!$J$7</f>
        <v>0</v>
      </c>
      <c r="I26" s="15">
        <f>[23]Vendedor8!$K$7</f>
        <v>0</v>
      </c>
      <c r="J26" s="17">
        <f>[23]Vendedor8!$L$7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>
      <c r="A27" s="20" t="s">
        <v>36</v>
      </c>
      <c r="B27" s="14">
        <f>[24]Vendedor8!$J$4</f>
        <v>0</v>
      </c>
      <c r="C27" s="81">
        <f>[24]Vendedor8!$K$4</f>
        <v>0</v>
      </c>
      <c r="D27" s="82">
        <f>[24]Vendedor8!$L$4</f>
        <v>0</v>
      </c>
      <c r="E27" s="14">
        <f>[24]Vendedor8!$J$5</f>
        <v>0</v>
      </c>
      <c r="F27" s="81">
        <f>[24]Vendedor8!$K$5</f>
        <v>0</v>
      </c>
      <c r="G27" s="85">
        <f>[24]Vendedor8!$L$5</f>
        <v>0</v>
      </c>
      <c r="H27" s="19">
        <f>[24]Vendedor8!$J$7</f>
        <v>0</v>
      </c>
      <c r="I27" s="15">
        <f>[24]Vendedor8!$K$7</f>
        <v>0</v>
      </c>
      <c r="J27" s="17">
        <f>[24]Vendedor8!$L$7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>
      <c r="A28" s="13" t="s">
        <v>37</v>
      </c>
      <c r="B28" s="14">
        <f>[25]Vendedor8!$J$4</f>
        <v>0</v>
      </c>
      <c r="C28" s="81">
        <f>[25]Vendedor8!$K$4</f>
        <v>0</v>
      </c>
      <c r="D28" s="82">
        <f>[25]Vendedor8!$L$4</f>
        <v>0</v>
      </c>
      <c r="E28" s="14">
        <f>[25]Vendedor8!$J$5</f>
        <v>0</v>
      </c>
      <c r="F28" s="81">
        <f>[25]Vendedor8!$K$5</f>
        <v>0</v>
      </c>
      <c r="G28" s="85">
        <f>[25]Vendedor8!$L$5</f>
        <v>0</v>
      </c>
      <c r="H28" s="19">
        <f>[25]Vendedor8!$J$7</f>
        <v>0</v>
      </c>
      <c r="I28" s="15">
        <f>[25]Vendedor8!$K$7</f>
        <v>0</v>
      </c>
      <c r="J28" s="17">
        <f>[25]Vendedor8!$L$7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>
      <c r="A29" s="20" t="s">
        <v>38</v>
      </c>
      <c r="B29" s="14">
        <f>[26]Vendedor8!$J$4</f>
        <v>0</v>
      </c>
      <c r="C29" s="81">
        <f>[26]Vendedor8!$K$4</f>
        <v>0</v>
      </c>
      <c r="D29" s="82">
        <f>[26]Vendedor8!$L$4</f>
        <v>0</v>
      </c>
      <c r="E29" s="14">
        <f>[26]Vendedor8!$J$5</f>
        <v>0</v>
      </c>
      <c r="F29" s="81">
        <f>[26]Vendedor8!$K$5</f>
        <v>0</v>
      </c>
      <c r="G29" s="85">
        <f>[26]Vendedor8!$L$5</f>
        <v>0</v>
      </c>
      <c r="H29" s="19">
        <f>[26]Vendedor8!$J$7</f>
        <v>0</v>
      </c>
      <c r="I29" s="15">
        <f>[26]Vendedor8!$K$7</f>
        <v>0</v>
      </c>
      <c r="J29" s="17">
        <f>[26]Vendedor8!$L$7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>
      <c r="A30" s="13" t="s">
        <v>39</v>
      </c>
      <c r="B30" s="14">
        <f>[27]Vendedor8!$J$4</f>
        <v>0</v>
      </c>
      <c r="C30" s="81">
        <f>[27]Vendedor8!$K$4</f>
        <v>0</v>
      </c>
      <c r="D30" s="82">
        <f>[27]Vendedor8!$L$4</f>
        <v>0</v>
      </c>
      <c r="E30" s="14">
        <f>[27]Vendedor8!$J$5</f>
        <v>0</v>
      </c>
      <c r="F30" s="81">
        <f>[27]Vendedor8!$K$5</f>
        <v>0</v>
      </c>
      <c r="G30" s="85">
        <f>[27]Vendedor8!$L$5</f>
        <v>0</v>
      </c>
      <c r="H30" s="19">
        <f>[27]Vendedor8!$J$7</f>
        <v>0</v>
      </c>
      <c r="I30" s="15">
        <f>[27]Vendedor8!$K$7</f>
        <v>0</v>
      </c>
      <c r="J30" s="17">
        <f>[27]Vendedor8!$L$7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>
      <c r="A31" s="20" t="s">
        <v>40</v>
      </c>
      <c r="B31" s="14">
        <f>[28]Vendedor8!$J$4</f>
        <v>0</v>
      </c>
      <c r="C31" s="81">
        <f>[28]Vendedor8!$K$4</f>
        <v>0</v>
      </c>
      <c r="D31" s="82">
        <f>[28]Vendedor8!$L$4</f>
        <v>0</v>
      </c>
      <c r="E31" s="14">
        <f>[28]Vendedor8!$J$5</f>
        <v>0</v>
      </c>
      <c r="F31" s="81">
        <f>[28]Vendedor8!$K$5</f>
        <v>0</v>
      </c>
      <c r="G31" s="85">
        <f>[28]Vendedor8!$L$5</f>
        <v>0</v>
      </c>
      <c r="H31" s="19">
        <f>[28]Vendedor8!$J$7</f>
        <v>0</v>
      </c>
      <c r="I31" s="15">
        <f>[28]Vendedor8!$K$7</f>
        <v>0</v>
      </c>
      <c r="J31" s="17">
        <f>[28]Vendedor8!$L$7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>
      <c r="A32" s="20" t="s">
        <v>41</v>
      </c>
      <c r="B32" s="14">
        <f>[29]Vendedor8!$J$4</f>
        <v>0</v>
      </c>
      <c r="C32" s="81">
        <f>[29]Vendedor8!$K$4</f>
        <v>0</v>
      </c>
      <c r="D32" s="82">
        <f>[29]Vendedor8!$L$4</f>
        <v>0</v>
      </c>
      <c r="E32" s="14">
        <f>[29]Vendedor8!$J$5</f>
        <v>0</v>
      </c>
      <c r="F32" s="81">
        <f>[29]Vendedor8!$K$5</f>
        <v>0</v>
      </c>
      <c r="G32" s="85">
        <f>[29]Vendedor8!$L$5</f>
        <v>0</v>
      </c>
      <c r="H32" s="19">
        <f>[29]Vendedor8!$J$7</f>
        <v>0</v>
      </c>
      <c r="I32" s="15">
        <f>[29]Vendedor8!$K$7</f>
        <v>0</v>
      </c>
      <c r="J32" s="17">
        <f>[29]Vendedor8!$L$7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>
      <c r="A33" s="13" t="s">
        <v>42</v>
      </c>
      <c r="B33" s="14">
        <f>[30]Vendedor8!$J$4</f>
        <v>0</v>
      </c>
      <c r="C33" s="81">
        <f>[30]Vendedor8!$K$4</f>
        <v>0</v>
      </c>
      <c r="D33" s="82">
        <f>[30]Vendedor8!$L$4</f>
        <v>0</v>
      </c>
      <c r="E33" s="14">
        <f>[30]Vendedor8!$J$5</f>
        <v>0</v>
      </c>
      <c r="F33" s="81">
        <f>[30]Vendedor8!$K$5</f>
        <v>0</v>
      </c>
      <c r="G33" s="85">
        <f>[30]Vendedor8!$L$5</f>
        <v>0</v>
      </c>
      <c r="H33" s="19">
        <f>[30]Vendedor8!$J$7</f>
        <v>0</v>
      </c>
      <c r="I33" s="15">
        <f>[30]Vendedor8!$K$7</f>
        <v>0</v>
      </c>
      <c r="J33" s="17">
        <f>[30]Vendedor8!$L$7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>
      <c r="A34" s="20" t="s">
        <v>43</v>
      </c>
      <c r="B34" s="14">
        <f>[31]Vendedor8!$J$4</f>
        <v>0</v>
      </c>
      <c r="C34" s="81">
        <f>[31]Vendedor8!$K$4</f>
        <v>0</v>
      </c>
      <c r="D34" s="82">
        <f>[31]Vendedor8!$L$4</f>
        <v>0</v>
      </c>
      <c r="E34" s="14">
        <f>[31]Vendedor8!$J$5</f>
        <v>0</v>
      </c>
      <c r="F34" s="81">
        <f>[31]Vendedor8!$K$5</f>
        <v>0</v>
      </c>
      <c r="G34" s="85">
        <f>[31]Vendedor8!$L$5</f>
        <v>0</v>
      </c>
      <c r="H34" s="19">
        <f>[31]Vendedor8!$J$7</f>
        <v>0</v>
      </c>
      <c r="I34" s="15">
        <f>[31]Vendedor8!$K$7</f>
        <v>0</v>
      </c>
      <c r="J34" s="17">
        <f>[31]Vendedor8!$L$7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>
      <c r="A35" s="13" t="s">
        <v>44</v>
      </c>
      <c r="B35" s="14">
        <f>[10]Vendedor8!$J$4</f>
        <v>0</v>
      </c>
      <c r="C35" s="81">
        <f>[10]Vendedor8!$K$4</f>
        <v>0</v>
      </c>
      <c r="D35" s="82">
        <f>[10]Vendedor8!$L$4</f>
        <v>0</v>
      </c>
      <c r="E35" s="14">
        <f>[10]Vendedor8!$J$5</f>
        <v>0</v>
      </c>
      <c r="F35" s="81">
        <f>[10]Vendedor8!$K$5</f>
        <v>0</v>
      </c>
      <c r="G35" s="85">
        <f>[10]Vendedor8!$L$5</f>
        <v>0</v>
      </c>
      <c r="H35" s="19">
        <f>[10]Vendedor8!$J$7</f>
        <v>0</v>
      </c>
      <c r="I35" s="15">
        <f>[10]Vendedor8!$K$7</f>
        <v>0</v>
      </c>
      <c r="J35" s="17">
        <f>[10]Vendedor8!$L$7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ht="15.75" thickBot="1">
      <c r="A36" s="20" t="s">
        <v>45</v>
      </c>
      <c r="B36" s="21">
        <f>[11]Vendedor8!$J$4</f>
        <v>0</v>
      </c>
      <c r="C36" s="83">
        <f>[11]Vendedor8!$K$4</f>
        <v>0</v>
      </c>
      <c r="D36" s="84">
        <f>[11]Vendedor8!$L$4</f>
        <v>0</v>
      </c>
      <c r="E36" s="21">
        <f>[11]Vendedor8!$J$5</f>
        <v>0</v>
      </c>
      <c r="F36" s="83">
        <f>[11]Vendedor8!$K$5</f>
        <v>0</v>
      </c>
      <c r="G36" s="86">
        <f>[11]Vendedor8!$L$5</f>
        <v>0</v>
      </c>
      <c r="H36" s="26">
        <f>[11]Vendedor8!$J$7</f>
        <v>0</v>
      </c>
      <c r="I36" s="22">
        <f>[11]Vendedor8!$K$7</f>
        <v>0</v>
      </c>
      <c r="J36" s="24">
        <f>[11]Vendedor8!$L$7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6.5" thickBot="1">
      <c r="A37" s="5" t="s">
        <v>46</v>
      </c>
      <c r="B37" s="27">
        <f t="shared" ref="B37:M37" si="5">SUM(B6:B36)</f>
        <v>100600</v>
      </c>
      <c r="C37" s="28">
        <f t="shared" si="5"/>
        <v>12072</v>
      </c>
      <c r="D37" s="29">
        <f t="shared" si="5"/>
        <v>110500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100600</v>
      </c>
      <c r="L37" s="28">
        <f t="shared" si="5"/>
        <v>12100</v>
      </c>
      <c r="M37" s="28">
        <f t="shared" si="5"/>
        <v>110500</v>
      </c>
      <c r="N37" s="32">
        <f>SUM(N5:N36)</f>
        <v>0</v>
      </c>
      <c r="O37" s="33">
        <f>SUM(O5:O36)</f>
        <v>-22000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P40"/>
  <sheetViews>
    <sheetView showGridLines="0" topLeftCell="B1" zoomScale="70" zoomScaleNormal="70" workbookViewId="0">
      <selection activeCell="B3" sqref="B3"/>
    </sheetView>
  </sheetViews>
  <sheetFormatPr baseColWidth="10" defaultColWidth="11.42578125" defaultRowHeight="15"/>
  <cols>
    <col min="1" max="1" width="10.140625" style="1" customWidth="1"/>
    <col min="2" max="3" width="11.42578125" style="1"/>
    <col min="4" max="4" width="12.7109375" style="1" customWidth="1"/>
    <col min="5" max="5" width="13.140625" style="1" customWidth="1"/>
    <col min="6" max="20" width="11.42578125" style="1"/>
    <col min="21" max="21" width="12.140625" style="1" customWidth="1"/>
    <col min="22" max="22" width="4.85546875" style="1" customWidth="1"/>
    <col min="23" max="23" width="10" style="1" customWidth="1"/>
    <col min="24" max="24" width="6.140625" style="1" customWidth="1"/>
    <col min="25" max="1030" width="11.42578125" style="1"/>
  </cols>
  <sheetData>
    <row r="1" spans="1:21" ht="15.75" thickBot="1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6"/>
    </row>
    <row r="2" spans="1:21" ht="19.5" thickBot="1">
      <c r="A2" s="2" t="s">
        <v>1</v>
      </c>
      <c r="B2" s="137" t="s">
        <v>135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</row>
    <row r="3" spans="1:21" ht="15.75" thickBot="1"/>
    <row r="4" spans="1:21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56" t="s">
        <v>89</v>
      </c>
      <c r="L4" s="57" t="s">
        <v>90</v>
      </c>
      <c r="M4" s="12" t="s">
        <v>91</v>
      </c>
      <c r="N4" s="56" t="s">
        <v>96</v>
      </c>
      <c r="O4" s="57" t="s">
        <v>95</v>
      </c>
      <c r="P4" s="12" t="s">
        <v>97</v>
      </c>
      <c r="Q4" s="6" t="s">
        <v>15</v>
      </c>
      <c r="R4" s="7" t="s">
        <v>16</v>
      </c>
      <c r="S4" s="7" t="s">
        <v>17</v>
      </c>
      <c r="T4" s="11" t="s">
        <v>18</v>
      </c>
      <c r="U4" s="12" t="s">
        <v>19</v>
      </c>
    </row>
    <row r="5" spans="1:21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9"/>
      <c r="L5" s="7"/>
      <c r="M5" s="10"/>
      <c r="N5" s="9"/>
      <c r="O5" s="7"/>
      <c r="P5" s="10"/>
      <c r="Q5" s="67"/>
      <c r="R5" s="57"/>
      <c r="S5" s="57"/>
      <c r="T5" s="69">
        <v>0</v>
      </c>
      <c r="U5" s="70">
        <f t="shared" ref="U5" si="0">+Q5-R5-S5+T5</f>
        <v>0</v>
      </c>
    </row>
    <row r="6" spans="1:21">
      <c r="A6" s="20" t="s">
        <v>49</v>
      </c>
      <c r="B6" s="53">
        <f>[1]Vendedor9!$J$4</f>
        <v>79850</v>
      </c>
      <c r="C6" s="58">
        <f>[1]Vendedor9!$K$4</f>
        <v>9582</v>
      </c>
      <c r="D6" s="54">
        <f>[1]Vendedor9!$L$4</f>
        <v>123250</v>
      </c>
      <c r="E6" s="53">
        <f>[1]Vendedor9!$J$5</f>
        <v>69100</v>
      </c>
      <c r="F6" s="58">
        <f>[1]Vendedor9!$K$5</f>
        <v>8292</v>
      </c>
      <c r="G6" s="55">
        <f>[1]Vendedor9!$L$5</f>
        <v>51000</v>
      </c>
      <c r="H6" s="61">
        <f>[1]Vendedor9!$J$6</f>
        <v>4650</v>
      </c>
      <c r="I6" s="58">
        <f>[1]Vendedor9!$K$6</f>
        <v>465</v>
      </c>
      <c r="J6" s="54">
        <f>[1]Vendedor9!$L$6</f>
        <v>0</v>
      </c>
      <c r="K6" s="74">
        <f>[1]Vendedor9!$J$7</f>
        <v>40950</v>
      </c>
      <c r="L6" s="75">
        <f>[1]Vendedor9!$K$7</f>
        <v>4914</v>
      </c>
      <c r="M6" s="90">
        <f>[1]Vendedor9!$L$7</f>
        <v>63750</v>
      </c>
      <c r="N6" s="59">
        <f>[1]Vendedor9!$J$8</f>
        <v>0</v>
      </c>
      <c r="O6" s="58">
        <f>[1]Vendedor9!$K$8</f>
        <v>0</v>
      </c>
      <c r="P6" s="55">
        <f>[1]Vendedor9!$L$8</f>
        <v>0</v>
      </c>
      <c r="Q6" s="59">
        <f t="shared" ref="Q6:Q17" si="1">+B6+E6+H6+K6</f>
        <v>194550</v>
      </c>
      <c r="R6" s="58">
        <f t="shared" ref="R6:R36" si="2">+C6+F6+I6+L6</f>
        <v>23253</v>
      </c>
      <c r="S6" s="58">
        <f t="shared" ref="S6:S36" si="3">+D6+G6+J6+M6</f>
        <v>238000</v>
      </c>
      <c r="T6" s="58">
        <v>0</v>
      </c>
      <c r="U6" s="55">
        <f t="shared" ref="U6:U36" si="4">+Q6-R6-S6+T6</f>
        <v>-66703</v>
      </c>
    </row>
    <row r="7" spans="1:21">
      <c r="A7" s="13" t="s">
        <v>50</v>
      </c>
      <c r="B7" s="14">
        <f>[2]Vendedor9!$J$4</f>
        <v>66700</v>
      </c>
      <c r="C7" s="15">
        <f>[2]Vendedor9!$K$4</f>
        <v>8004</v>
      </c>
      <c r="D7" s="16">
        <f>[2]Vendedor9!$L$4</f>
        <v>46750</v>
      </c>
      <c r="E7" s="14">
        <f>[2]Vendedor9!$J$5</f>
        <v>64750</v>
      </c>
      <c r="F7" s="15">
        <f>[2]Vendedor9!$K$5</f>
        <v>7770</v>
      </c>
      <c r="G7" s="17">
        <f>[2]Vendedor9!$L$5</f>
        <v>17000</v>
      </c>
      <c r="H7" s="18">
        <f>[2]Vendedor9!$J$6</f>
        <v>1700</v>
      </c>
      <c r="I7" s="15">
        <f>[2]Vendedor9!$K$6</f>
        <v>170</v>
      </c>
      <c r="J7" s="16">
        <f>[2]Vendedor9!$L$6</f>
        <v>0</v>
      </c>
      <c r="K7" s="19">
        <f>[2]Vendedor9!$J$7</f>
        <v>34350</v>
      </c>
      <c r="L7" s="15">
        <f>[2]Vendedor9!$K$7</f>
        <v>4122</v>
      </c>
      <c r="M7" s="16">
        <f>[2]Vendedor9!$L$7</f>
        <v>0</v>
      </c>
      <c r="N7" s="19">
        <f>[2]Vendedor9!$J$8</f>
        <v>0</v>
      </c>
      <c r="O7" s="15">
        <f>[2]Vendedor9!$K$8</f>
        <v>0</v>
      </c>
      <c r="P7" s="17">
        <f>[2]Vendedor9!$L$8</f>
        <v>0</v>
      </c>
      <c r="Q7" s="19">
        <f t="shared" si="1"/>
        <v>167500</v>
      </c>
      <c r="R7" s="15">
        <f t="shared" si="2"/>
        <v>20066</v>
      </c>
      <c r="S7" s="15">
        <f t="shared" si="3"/>
        <v>63750</v>
      </c>
      <c r="T7" s="15">
        <v>0</v>
      </c>
      <c r="U7" s="17">
        <f t="shared" si="4"/>
        <v>83684</v>
      </c>
    </row>
    <row r="8" spans="1:21">
      <c r="A8" s="20" t="s">
        <v>51</v>
      </c>
      <c r="B8" s="14">
        <f>[3]Vendedor9!$J$4</f>
        <v>94650</v>
      </c>
      <c r="C8" s="15">
        <f>[3]Vendedor9!$K$4</f>
        <v>11358</v>
      </c>
      <c r="D8" s="16">
        <f>[3]Vendedor9!$L$4</f>
        <v>238000</v>
      </c>
      <c r="E8" s="14">
        <f>[3]Vendedor9!$J$5</f>
        <v>90850</v>
      </c>
      <c r="F8" s="15">
        <f>[3]Vendedor9!$K$5</f>
        <v>10902</v>
      </c>
      <c r="G8" s="17">
        <f>[3]Vendedor9!$L$5</f>
        <v>34000</v>
      </c>
      <c r="H8" s="18">
        <f>[3]Vendedor9!$J$6</f>
        <v>2000</v>
      </c>
      <c r="I8" s="15">
        <f>[3]Vendedor9!$K$6</f>
        <v>200</v>
      </c>
      <c r="J8" s="16">
        <f>[3]Vendedor9!$L$6</f>
        <v>0</v>
      </c>
      <c r="K8" s="19">
        <f>[3]Vendedor9!$J$7</f>
        <v>38600</v>
      </c>
      <c r="L8" s="15">
        <f>[3]Vendedor9!$K$7</f>
        <v>4632</v>
      </c>
      <c r="M8" s="16">
        <f>[3]Vendedor9!$L$7</f>
        <v>46750</v>
      </c>
      <c r="N8" s="19">
        <f>[3]Vendedor9!$J$8</f>
        <v>0</v>
      </c>
      <c r="O8" s="15">
        <f>[3]Vendedor9!$K$8</f>
        <v>0</v>
      </c>
      <c r="P8" s="17">
        <f>[3]Vendedor9!$L$8</f>
        <v>0</v>
      </c>
      <c r="Q8" s="19">
        <f t="shared" si="1"/>
        <v>226100</v>
      </c>
      <c r="R8" s="15">
        <f t="shared" si="2"/>
        <v>27092</v>
      </c>
      <c r="S8" s="15">
        <f t="shared" si="3"/>
        <v>318750</v>
      </c>
      <c r="T8" s="15">
        <v>0</v>
      </c>
      <c r="U8" s="17">
        <f t="shared" si="4"/>
        <v>-119742</v>
      </c>
    </row>
    <row r="9" spans="1:21">
      <c r="A9" s="13" t="s">
        <v>52</v>
      </c>
      <c r="B9" s="14">
        <f>[4]Vendedor9!$J$4</f>
        <v>107350</v>
      </c>
      <c r="C9" s="15">
        <f>[4]Vendedor9!$K$4</f>
        <v>12882</v>
      </c>
      <c r="D9" s="16">
        <f>[4]Vendedor9!$L$4</f>
        <v>42500</v>
      </c>
      <c r="E9" s="14">
        <f>[4]Vendedor9!$J$5</f>
        <v>71400</v>
      </c>
      <c r="F9" s="15">
        <f>[4]Vendedor9!$K$5</f>
        <v>8568</v>
      </c>
      <c r="G9" s="17">
        <f>[4]Vendedor9!$L$5</f>
        <v>42500</v>
      </c>
      <c r="H9" s="18">
        <f>[4]Vendedor9!$J$6</f>
        <v>5100</v>
      </c>
      <c r="I9" s="15">
        <f>[4]Vendedor9!$K$6</f>
        <v>510</v>
      </c>
      <c r="J9" s="16">
        <f>[4]Vendedor9!$L$6</f>
        <v>0</v>
      </c>
      <c r="K9" s="19">
        <f>[4]Vendedor9!$J$7</f>
        <v>60500</v>
      </c>
      <c r="L9" s="15">
        <f>[4]Vendedor9!$K$7</f>
        <v>7260</v>
      </c>
      <c r="M9" s="16">
        <f>[4]Vendedor9!$L$7</f>
        <v>38250</v>
      </c>
      <c r="N9" s="19">
        <f>[4]Vendedor9!$J$8</f>
        <v>0</v>
      </c>
      <c r="O9" s="15">
        <f>[4]Vendedor9!$K$8</f>
        <v>0</v>
      </c>
      <c r="P9" s="17">
        <f>[4]Vendedor9!$L$8</f>
        <v>0</v>
      </c>
      <c r="Q9" s="19">
        <f t="shared" si="1"/>
        <v>244350</v>
      </c>
      <c r="R9" s="15">
        <f t="shared" si="2"/>
        <v>29220</v>
      </c>
      <c r="S9" s="15">
        <f t="shared" si="3"/>
        <v>123250</v>
      </c>
      <c r="T9" s="15">
        <v>0</v>
      </c>
      <c r="U9" s="17">
        <f t="shared" si="4"/>
        <v>91880</v>
      </c>
    </row>
    <row r="10" spans="1:21">
      <c r="A10" s="20" t="s">
        <v>53</v>
      </c>
      <c r="B10" s="14">
        <f>[5]Vendedor9!$J$4</f>
        <v>82250</v>
      </c>
      <c r="C10" s="15">
        <f>[5]Vendedor9!$K$4</f>
        <v>9870</v>
      </c>
      <c r="D10" s="16">
        <f>[5]Vendedor9!$L$4</f>
        <v>72250</v>
      </c>
      <c r="E10" s="14">
        <f>[5]Vendedor9!$J$5</f>
        <v>52250</v>
      </c>
      <c r="F10" s="15">
        <f>[5]Vendedor9!$K$5</f>
        <v>6270</v>
      </c>
      <c r="G10" s="17">
        <f>[5]Vendedor9!$L$5</f>
        <v>55250</v>
      </c>
      <c r="H10" s="18">
        <f>[5]Vendedor9!$J$6</f>
        <v>4750</v>
      </c>
      <c r="I10" s="15">
        <f>[5]Vendedor9!$K$6</f>
        <v>475</v>
      </c>
      <c r="J10" s="16">
        <f>[5]Vendedor9!$L$6</f>
        <v>0</v>
      </c>
      <c r="K10" s="19">
        <f>[5]Vendedor9!$J$7</f>
        <v>35050</v>
      </c>
      <c r="L10" s="15">
        <f>[5]Vendedor9!$K$7</f>
        <v>4206</v>
      </c>
      <c r="M10" s="16">
        <f>[5]Vendedor9!$L$7</f>
        <v>38250</v>
      </c>
      <c r="N10" s="19">
        <f>[5]Vendedor9!$J$8</f>
        <v>6100</v>
      </c>
      <c r="O10" s="15">
        <f>[5]Vendedor9!$K$8</f>
        <v>732</v>
      </c>
      <c r="P10" s="17">
        <f>[5]Vendedor9!$L$8</f>
        <v>0</v>
      </c>
      <c r="Q10" s="19">
        <f t="shared" si="1"/>
        <v>174300</v>
      </c>
      <c r="R10" s="15">
        <f t="shared" si="2"/>
        <v>20821</v>
      </c>
      <c r="S10" s="15">
        <f t="shared" si="3"/>
        <v>165750</v>
      </c>
      <c r="T10" s="15">
        <v>0</v>
      </c>
      <c r="U10" s="17">
        <f t="shared" si="4"/>
        <v>-12271</v>
      </c>
    </row>
    <row r="11" spans="1:21">
      <c r="A11" s="13" t="s">
        <v>20</v>
      </c>
      <c r="B11" s="14">
        <f>[6]Vendedor9!$J$4</f>
        <v>98050</v>
      </c>
      <c r="C11" s="15">
        <f>[6]Vendedor9!$K$4</f>
        <v>11766</v>
      </c>
      <c r="D11" s="16">
        <f>[6]Vendedor9!$L$4</f>
        <v>225250</v>
      </c>
      <c r="E11" s="14">
        <f>[6]Vendedor9!$J$5</f>
        <v>59700</v>
      </c>
      <c r="F11" s="15">
        <f>[6]Vendedor9!$K$5</f>
        <v>7164</v>
      </c>
      <c r="G11" s="17">
        <f>[6]Vendedor9!$L$5</f>
        <v>63750</v>
      </c>
      <c r="H11" s="18">
        <f>[6]Vendedor9!$J$6</f>
        <v>6600</v>
      </c>
      <c r="I11" s="15">
        <f>[6]Vendedor9!$K$6</f>
        <v>660</v>
      </c>
      <c r="J11" s="16">
        <f>[6]Vendedor9!$L$6</f>
        <v>0</v>
      </c>
      <c r="K11" s="19">
        <f>[6]Vendedor9!$J$7</f>
        <v>39650</v>
      </c>
      <c r="L11" s="15">
        <f>[6]Vendedor9!$K$7</f>
        <v>4758</v>
      </c>
      <c r="M11" s="16">
        <f>[6]Vendedor9!$L$7</f>
        <v>21250</v>
      </c>
      <c r="N11" s="19">
        <f>[6]Vendedor9!$J$8</f>
        <v>0</v>
      </c>
      <c r="O11" s="15">
        <f>[6]Vendedor9!$K$8</f>
        <v>0</v>
      </c>
      <c r="P11" s="17">
        <f>[6]Vendedor9!$L$8</f>
        <v>0</v>
      </c>
      <c r="Q11" s="19">
        <f t="shared" si="1"/>
        <v>204000</v>
      </c>
      <c r="R11" s="15">
        <f t="shared" si="2"/>
        <v>24348</v>
      </c>
      <c r="S11" s="15">
        <f t="shared" si="3"/>
        <v>310250</v>
      </c>
      <c r="T11" s="15">
        <v>0</v>
      </c>
      <c r="U11" s="17">
        <f t="shared" si="4"/>
        <v>-130598</v>
      </c>
    </row>
    <row r="12" spans="1:21">
      <c r="A12" s="20" t="s">
        <v>21</v>
      </c>
      <c r="B12" s="14">
        <f>[7]Vendedor9!$J$4</f>
        <v>122300</v>
      </c>
      <c r="C12" s="15">
        <f>[7]Vendedor9!$K$4</f>
        <v>14676</v>
      </c>
      <c r="D12" s="16">
        <f>[7]Vendedor9!$L$4</f>
        <v>102000</v>
      </c>
      <c r="E12" s="14">
        <f>[7]Vendedor9!$J$5</f>
        <v>78050</v>
      </c>
      <c r="F12" s="15">
        <f>[7]Vendedor9!$K$5</f>
        <v>9366</v>
      </c>
      <c r="G12" s="17">
        <f>[7]Vendedor9!$L$5</f>
        <v>89250</v>
      </c>
      <c r="H12" s="18">
        <f>[7]Vendedor9!$J$6</f>
        <v>6250</v>
      </c>
      <c r="I12" s="15">
        <f>[7]Vendedor9!$K$6</f>
        <v>625</v>
      </c>
      <c r="J12" s="16">
        <f>[7]Vendedor9!$L$6</f>
        <v>0</v>
      </c>
      <c r="K12" s="19">
        <f>[7]Vendedor9!$J$7</f>
        <v>39200</v>
      </c>
      <c r="L12" s="15">
        <f>[7]Vendedor9!$K$7</f>
        <v>4704</v>
      </c>
      <c r="M12" s="16">
        <f>[7]Vendedor9!$L$7</f>
        <v>72250</v>
      </c>
      <c r="N12" s="19">
        <f>[7]Vendedor9!$J$8</f>
        <v>4800</v>
      </c>
      <c r="O12" s="15">
        <f>[7]Vendedor9!$K$8</f>
        <v>576</v>
      </c>
      <c r="P12" s="17">
        <f>[7]Vendedor9!$L$8</f>
        <v>0</v>
      </c>
      <c r="Q12" s="19">
        <f t="shared" si="1"/>
        <v>245800</v>
      </c>
      <c r="R12" s="15">
        <f t="shared" si="2"/>
        <v>29371</v>
      </c>
      <c r="S12" s="15">
        <f t="shared" si="3"/>
        <v>263500</v>
      </c>
      <c r="T12" s="15">
        <v>0</v>
      </c>
      <c r="U12" s="17">
        <f t="shared" si="4"/>
        <v>-47071</v>
      </c>
    </row>
    <row r="13" spans="1:21">
      <c r="A13" s="13" t="s">
        <v>22</v>
      </c>
      <c r="B13" s="14">
        <f>[8]Vendedor9!$J$4</f>
        <v>111850</v>
      </c>
      <c r="C13" s="15">
        <f>[8]Vendedor9!$K$4</f>
        <v>13422</v>
      </c>
      <c r="D13" s="16">
        <f>[8]Vendedor9!$L$4</f>
        <v>199750</v>
      </c>
      <c r="E13" s="14">
        <f>[8]Vendedor9!$J$5</f>
        <v>95250</v>
      </c>
      <c r="F13" s="15">
        <f>[8]Vendedor9!$K$5</f>
        <v>11430</v>
      </c>
      <c r="G13" s="17">
        <f>[8]Vendedor9!$L$5</f>
        <v>42500</v>
      </c>
      <c r="H13" s="18">
        <f>[8]Vendedor9!$J$6</f>
        <v>10350</v>
      </c>
      <c r="I13" s="15">
        <f>[8]Vendedor9!$K$6</f>
        <v>1035</v>
      </c>
      <c r="J13" s="16">
        <f>[8]Vendedor9!$L$6</f>
        <v>0</v>
      </c>
      <c r="K13" s="19">
        <f>[8]Vendedor9!$J$7</f>
        <v>49650</v>
      </c>
      <c r="L13" s="15">
        <f>[8]Vendedor9!$K$7</f>
        <v>5958</v>
      </c>
      <c r="M13" s="16">
        <f>[8]Vendedor9!$L$7</f>
        <v>38250</v>
      </c>
      <c r="N13" s="19">
        <f>[8]Vendedor9!$J$8</f>
        <v>5200</v>
      </c>
      <c r="O13" s="15">
        <f>[8]Vendedor9!$K$8</f>
        <v>624</v>
      </c>
      <c r="P13" s="17">
        <f>[8]Vendedor9!$L$8</f>
        <v>0</v>
      </c>
      <c r="Q13" s="19">
        <f t="shared" si="1"/>
        <v>267100</v>
      </c>
      <c r="R13" s="15">
        <f t="shared" si="2"/>
        <v>31845</v>
      </c>
      <c r="S13" s="15">
        <f t="shared" si="3"/>
        <v>280500</v>
      </c>
      <c r="T13" s="15">
        <v>0</v>
      </c>
      <c r="U13" s="17">
        <f t="shared" si="4"/>
        <v>-45245</v>
      </c>
    </row>
    <row r="14" spans="1:21">
      <c r="A14" s="20" t="s">
        <v>23</v>
      </c>
      <c r="B14" s="14">
        <f>[9]Vendedor9!$J$4</f>
        <v>109650</v>
      </c>
      <c r="C14" s="15">
        <f>[9]Vendedor9!$K$4</f>
        <v>13158</v>
      </c>
      <c r="D14" s="16">
        <f>[9]Vendedor9!$L$4</f>
        <v>80750</v>
      </c>
      <c r="E14" s="14">
        <f>[9]Vendedor9!$J$5</f>
        <v>55900</v>
      </c>
      <c r="F14" s="15">
        <f>[9]Vendedor9!$K$5</f>
        <v>6708</v>
      </c>
      <c r="G14" s="17">
        <f>[9]Vendedor9!$L$5</f>
        <v>63750</v>
      </c>
      <c r="H14" s="18">
        <f>[9]Vendedor9!$J$6</f>
        <v>4000</v>
      </c>
      <c r="I14" s="15">
        <f>[9]Vendedor9!$K$6</f>
        <v>400</v>
      </c>
      <c r="J14" s="16">
        <f>[9]Vendedor9!$L$6</f>
        <v>0</v>
      </c>
      <c r="K14" s="19">
        <f>[9]Vendedor9!$J$7</f>
        <v>28450</v>
      </c>
      <c r="L14" s="15">
        <f>[9]Vendedor9!$K$7</f>
        <v>3414</v>
      </c>
      <c r="M14" s="16">
        <f>[9]Vendedor9!$L$7</f>
        <v>21250</v>
      </c>
      <c r="N14" s="19">
        <f>[9]Vendedor9!$J$8</f>
        <v>0</v>
      </c>
      <c r="O14" s="15">
        <f>[9]Vendedor9!$K$8</f>
        <v>0</v>
      </c>
      <c r="P14" s="17">
        <f>[9]Vendedor9!$L$8</f>
        <v>0</v>
      </c>
      <c r="Q14" s="19">
        <f t="shared" si="1"/>
        <v>198000</v>
      </c>
      <c r="R14" s="15">
        <f t="shared" si="2"/>
        <v>23680</v>
      </c>
      <c r="S14" s="15">
        <f t="shared" si="3"/>
        <v>165750</v>
      </c>
      <c r="T14" s="15">
        <v>0</v>
      </c>
      <c r="U14" s="17">
        <f t="shared" si="4"/>
        <v>8570</v>
      </c>
    </row>
    <row r="15" spans="1:21">
      <c r="A15" s="13" t="s">
        <v>24</v>
      </c>
      <c r="B15" s="14">
        <f>[12]Vendedor9!$J$4</f>
        <v>120750</v>
      </c>
      <c r="C15" s="15">
        <f>[12]Vendedor9!$K$4</f>
        <v>14490</v>
      </c>
      <c r="D15" s="16">
        <f>[12]Vendedor9!$L$4</f>
        <v>127500</v>
      </c>
      <c r="E15" s="14">
        <f>[12]Vendedor9!$J$5</f>
        <v>90950</v>
      </c>
      <c r="F15" s="15">
        <f>[12]Vendedor9!$K$5</f>
        <v>10914</v>
      </c>
      <c r="G15" s="17">
        <f>[12]Vendedor9!$L$5</f>
        <v>42500</v>
      </c>
      <c r="H15" s="18">
        <f>[12]Vendedor9!$J$6</f>
        <v>5950</v>
      </c>
      <c r="I15" s="15">
        <f>[12]Vendedor9!$K$6</f>
        <v>595</v>
      </c>
      <c r="J15" s="16">
        <f>[12]Vendedor9!$L$6</f>
        <v>0</v>
      </c>
      <c r="K15" s="19">
        <f>[12]Vendedor9!$J$7</f>
        <v>48700</v>
      </c>
      <c r="L15" s="15">
        <f>[12]Vendedor9!$K$7</f>
        <v>5844</v>
      </c>
      <c r="M15" s="16">
        <f>[12]Vendedor9!$L$7</f>
        <v>46750</v>
      </c>
      <c r="N15" s="19">
        <f>[12]Vendedor9!$J$8</f>
        <v>0</v>
      </c>
      <c r="O15" s="15">
        <f>[12]Vendedor9!$K$8</f>
        <v>0</v>
      </c>
      <c r="P15" s="17">
        <f>[12]Vendedor9!$L$8</f>
        <v>0</v>
      </c>
      <c r="Q15" s="19">
        <f t="shared" si="1"/>
        <v>266350</v>
      </c>
      <c r="R15" s="15">
        <f t="shared" si="2"/>
        <v>31843</v>
      </c>
      <c r="S15" s="15">
        <f t="shared" si="3"/>
        <v>216750</v>
      </c>
      <c r="T15" s="15">
        <v>0</v>
      </c>
      <c r="U15" s="17">
        <f t="shared" si="4"/>
        <v>17757</v>
      </c>
    </row>
    <row r="16" spans="1:21">
      <c r="A16" s="20" t="s">
        <v>25</v>
      </c>
      <c r="B16" s="14">
        <f>[13]Vendedor9!$J$4</f>
        <v>114950</v>
      </c>
      <c r="C16" s="15">
        <f>[13]Vendedor9!$K$4</f>
        <v>13794</v>
      </c>
      <c r="D16" s="16">
        <f>[13]Vendedor9!$L$4</f>
        <v>97750</v>
      </c>
      <c r="E16" s="14">
        <f>[13]Vendedor9!$J$5</f>
        <v>82900</v>
      </c>
      <c r="F16" s="15">
        <f>[13]Vendedor9!$K$5</f>
        <v>9948</v>
      </c>
      <c r="G16" s="17">
        <f>[13]Vendedor9!$L$5</f>
        <v>42500</v>
      </c>
      <c r="H16" s="18">
        <f>[13]Vendedor9!$J$6</f>
        <v>5500</v>
      </c>
      <c r="I16" s="15">
        <f>[13]Vendedor9!$K$6</f>
        <v>550</v>
      </c>
      <c r="J16" s="16">
        <f>[13]Vendedor9!$L$6</f>
        <v>0</v>
      </c>
      <c r="K16" s="19">
        <f>[13]Vendedor9!$J$7</f>
        <v>61700</v>
      </c>
      <c r="L16" s="15">
        <f>[13]Vendedor9!$K$7</f>
        <v>7404</v>
      </c>
      <c r="M16" s="16">
        <f>[13]Vendedor9!$L$7</f>
        <v>38250</v>
      </c>
      <c r="N16" s="19">
        <f>[13]Vendedor9!$J$8</f>
        <v>6000</v>
      </c>
      <c r="O16" s="15">
        <f>[13]Vendedor9!$K$8</f>
        <v>720</v>
      </c>
      <c r="P16" s="17">
        <f>[13]Vendedor9!$L$8</f>
        <v>17000</v>
      </c>
      <c r="Q16" s="19">
        <f t="shared" si="1"/>
        <v>265050</v>
      </c>
      <c r="R16" s="15">
        <f t="shared" si="2"/>
        <v>31696</v>
      </c>
      <c r="S16" s="15">
        <f t="shared" si="3"/>
        <v>178500</v>
      </c>
      <c r="T16" s="15">
        <v>0</v>
      </c>
      <c r="U16" s="17">
        <f t="shared" si="4"/>
        <v>54854</v>
      </c>
    </row>
    <row r="17" spans="1:21">
      <c r="A17" s="13" t="s">
        <v>26</v>
      </c>
      <c r="B17" s="14">
        <f>[14]Vendedor9!$J$4</f>
        <v>144400</v>
      </c>
      <c r="C17" s="15">
        <f>[14]Vendedor9!$K$4</f>
        <v>17328</v>
      </c>
      <c r="D17" s="16">
        <f>[14]Vendedor9!$L$4</f>
        <v>306000</v>
      </c>
      <c r="E17" s="14">
        <f>[14]Vendedor9!$J$5</f>
        <v>95200</v>
      </c>
      <c r="F17" s="15">
        <f>[14]Vendedor9!$K$5</f>
        <v>11424</v>
      </c>
      <c r="G17" s="17">
        <f>[14]Vendedor9!$L$5</f>
        <v>153000</v>
      </c>
      <c r="H17" s="18">
        <f>[14]Vendedor9!$J$6</f>
        <v>5950</v>
      </c>
      <c r="I17" s="15">
        <f>[14]Vendedor9!$K$6</f>
        <v>595</v>
      </c>
      <c r="J17" s="16">
        <f>[14]Vendedor9!$L$6</f>
        <v>0</v>
      </c>
      <c r="K17" s="19">
        <f>[14]Vendedor9!$J$7</f>
        <v>55400</v>
      </c>
      <c r="L17" s="15">
        <f>[14]Vendedor9!$K$7</f>
        <v>6648</v>
      </c>
      <c r="M17" s="16">
        <f>[14]Vendedor9!$L$7</f>
        <v>34000</v>
      </c>
      <c r="N17" s="19">
        <f>[14]Vendedor9!$J$8</f>
        <v>0</v>
      </c>
      <c r="O17" s="15">
        <f>[14]Vendedor9!$K$8</f>
        <v>0</v>
      </c>
      <c r="P17" s="17">
        <f>[14]Vendedor9!$L$8</f>
        <v>0</v>
      </c>
      <c r="Q17" s="19">
        <f t="shared" si="1"/>
        <v>300950</v>
      </c>
      <c r="R17" s="15">
        <f t="shared" si="2"/>
        <v>35995</v>
      </c>
      <c r="S17" s="15">
        <f t="shared" si="3"/>
        <v>493000</v>
      </c>
      <c r="T17" s="15">
        <v>0</v>
      </c>
      <c r="U17" s="17">
        <f t="shared" si="4"/>
        <v>-228045</v>
      </c>
    </row>
    <row r="18" spans="1:21">
      <c r="A18" s="20" t="s">
        <v>27</v>
      </c>
      <c r="B18" s="14">
        <f>[15]Vendedor9!$J$4</f>
        <v>104400</v>
      </c>
      <c r="C18" s="15">
        <f>[15]Vendedor9!$K$4</f>
        <v>12528</v>
      </c>
      <c r="D18" s="16">
        <f>[15]Vendedor9!$L$4</f>
        <v>68000</v>
      </c>
      <c r="E18" s="14">
        <f>[15]Vendedor9!$J$5</f>
        <v>86900</v>
      </c>
      <c r="F18" s="15">
        <f>[15]Vendedor9!$K$5</f>
        <v>10428</v>
      </c>
      <c r="G18" s="17">
        <f>[15]Vendedor9!$L$5</f>
        <v>21250</v>
      </c>
      <c r="H18" s="18">
        <f>[15]Vendedor9!$J$6</f>
        <v>6250</v>
      </c>
      <c r="I18" s="15">
        <f>[15]Vendedor9!$K$6</f>
        <v>625</v>
      </c>
      <c r="J18" s="16">
        <f>[15]Vendedor9!$L$6</f>
        <v>0</v>
      </c>
      <c r="K18" s="19">
        <f>[15]Vendedor9!$J$7</f>
        <v>60450</v>
      </c>
      <c r="L18" s="15">
        <f>[15]Vendedor9!$K$7</f>
        <v>7254</v>
      </c>
      <c r="M18" s="16">
        <f>[15]Vendedor9!$L$7</f>
        <v>38250</v>
      </c>
      <c r="N18" s="19">
        <f>[15]Vendedor9!$J$8</f>
        <v>7000</v>
      </c>
      <c r="O18" s="15">
        <f>[15]Vendedor9!$K$8</f>
        <v>840</v>
      </c>
      <c r="P18" s="17">
        <f>[15]Vendedor9!$L$8</f>
        <v>17000</v>
      </c>
      <c r="Q18" s="19">
        <f>+B18+E18+H18+K18</f>
        <v>258000</v>
      </c>
      <c r="R18" s="15">
        <f>+C18+F18+I18+L18</f>
        <v>30835</v>
      </c>
      <c r="S18" s="15">
        <f>+D18+G18+J18+M18</f>
        <v>127500</v>
      </c>
      <c r="T18" s="15">
        <v>0</v>
      </c>
      <c r="U18" s="17">
        <f t="shared" si="4"/>
        <v>99665</v>
      </c>
    </row>
    <row r="19" spans="1:21">
      <c r="A19" s="20" t="s">
        <v>28</v>
      </c>
      <c r="B19" s="14">
        <f>[16]Vendedor9!$J$4</f>
        <v>91700</v>
      </c>
      <c r="C19" s="15">
        <f>[16]Vendedor9!$K$4</f>
        <v>11004</v>
      </c>
      <c r="D19" s="16">
        <f>[16]Vendedor9!$L$4</f>
        <v>148750</v>
      </c>
      <c r="E19" s="14">
        <f>[16]Vendedor9!$J$5</f>
        <v>78500</v>
      </c>
      <c r="F19" s="15">
        <f>[16]Vendedor9!$K$5</f>
        <v>9420</v>
      </c>
      <c r="G19" s="17">
        <f>[16]Vendedor9!$L$5</f>
        <v>55250</v>
      </c>
      <c r="H19" s="18">
        <f>[16]Vendedor9!$J$6</f>
        <v>7750</v>
      </c>
      <c r="I19" s="15">
        <f>[16]Vendedor9!$K$6</f>
        <v>775</v>
      </c>
      <c r="J19" s="16">
        <f>[16]Vendedor9!$L$6</f>
        <v>0</v>
      </c>
      <c r="K19" s="19">
        <f>[16]Vendedor9!$J$7</f>
        <v>42050</v>
      </c>
      <c r="L19" s="15">
        <f>[16]Vendedor9!$K$7</f>
        <v>5046</v>
      </c>
      <c r="M19" s="16">
        <f>[16]Vendedor9!$L$7</f>
        <v>21250</v>
      </c>
      <c r="N19" s="19">
        <f>[16]Vendedor9!$J$8</f>
        <v>6200</v>
      </c>
      <c r="O19" s="15">
        <f>[16]Vendedor9!$K$8</f>
        <v>744</v>
      </c>
      <c r="P19" s="17">
        <f>[16]Vendedor9!$L$8</f>
        <v>0</v>
      </c>
      <c r="Q19" s="19">
        <f t="shared" ref="Q19:Q36" si="5">+B19+E19+H19+K19</f>
        <v>220000</v>
      </c>
      <c r="R19" s="15">
        <f t="shared" si="2"/>
        <v>26245</v>
      </c>
      <c r="S19" s="15">
        <f t="shared" si="3"/>
        <v>225250</v>
      </c>
      <c r="T19" s="15">
        <v>0</v>
      </c>
      <c r="U19" s="17">
        <f t="shared" si="4"/>
        <v>-31495</v>
      </c>
    </row>
    <row r="20" spans="1:21">
      <c r="A20" s="13" t="s">
        <v>29</v>
      </c>
      <c r="B20" s="14">
        <f>[17]Vendedor9!$J$4</f>
        <v>0</v>
      </c>
      <c r="C20" s="15">
        <f>[17]Vendedor9!$K$4</f>
        <v>0</v>
      </c>
      <c r="D20" s="16">
        <f>[17]Vendedor9!$L$4</f>
        <v>0</v>
      </c>
      <c r="E20" s="14">
        <f>[17]Vendedor9!$J$5</f>
        <v>0</v>
      </c>
      <c r="F20" s="15">
        <f>[17]Vendedor9!$K$5</f>
        <v>0</v>
      </c>
      <c r="G20" s="17">
        <f>[17]Vendedor9!$L$5</f>
        <v>0</v>
      </c>
      <c r="H20" s="18">
        <f>[17]Vendedor9!$J$6</f>
        <v>0</v>
      </c>
      <c r="I20" s="15">
        <f>[17]Vendedor9!$K$6</f>
        <v>0</v>
      </c>
      <c r="J20" s="16">
        <f>[17]Vendedor9!$L$6</f>
        <v>0</v>
      </c>
      <c r="K20" s="19">
        <f>[17]Vendedor9!$J$7</f>
        <v>0</v>
      </c>
      <c r="L20" s="15">
        <f>[17]Vendedor9!$K$7</f>
        <v>0</v>
      </c>
      <c r="M20" s="16">
        <f>[17]Vendedor9!$L$7</f>
        <v>0</v>
      </c>
      <c r="N20" s="19">
        <f>[17]Vendedor9!$J$8</f>
        <v>0</v>
      </c>
      <c r="O20" s="15">
        <f>[17]Vendedor9!$K$8</f>
        <v>0</v>
      </c>
      <c r="P20" s="17">
        <f>[17]Vendedor9!$L$8</f>
        <v>0</v>
      </c>
      <c r="Q20" s="19">
        <f t="shared" si="5"/>
        <v>0</v>
      </c>
      <c r="R20" s="15">
        <f t="shared" si="2"/>
        <v>0</v>
      </c>
      <c r="S20" s="15">
        <f t="shared" si="3"/>
        <v>0</v>
      </c>
      <c r="T20" s="15">
        <v>0</v>
      </c>
      <c r="U20" s="17">
        <f t="shared" si="4"/>
        <v>0</v>
      </c>
    </row>
    <row r="21" spans="1:21">
      <c r="A21" s="20" t="s">
        <v>30</v>
      </c>
      <c r="B21" s="14">
        <f>[18]Vendedor9!$J$4</f>
        <v>0</v>
      </c>
      <c r="C21" s="81">
        <f>[18]Vendedor9!$K$4</f>
        <v>0</v>
      </c>
      <c r="D21" s="82">
        <f>[18]Vendedor9!$L$4</f>
        <v>0</v>
      </c>
      <c r="E21" s="14">
        <f>[18]Vendedor9!$J$5</f>
        <v>0</v>
      </c>
      <c r="F21" s="81">
        <f>[18]Vendedor9!$K$5</f>
        <v>0</v>
      </c>
      <c r="G21" s="85">
        <f>[18]Vendedor9!$L$5</f>
        <v>0</v>
      </c>
      <c r="H21" s="19">
        <f>[18]Vendedor9!$J$6</f>
        <v>0</v>
      </c>
      <c r="I21" s="15">
        <f>[18]Vendedor9!$K$6</f>
        <v>0</v>
      </c>
      <c r="J21" s="17">
        <f>[18]Vendedor9!$L$6</f>
        <v>0</v>
      </c>
      <c r="K21" s="18">
        <f>[18]Vendedor9!$J$7</f>
        <v>0</v>
      </c>
      <c r="L21" s="15">
        <f>[18]Vendedor9!$K$7</f>
        <v>0</v>
      </c>
      <c r="M21" s="16">
        <f>[18]Vendedor9!$L$7</f>
        <v>0</v>
      </c>
      <c r="N21" s="19">
        <f>[18]Vendedor9!$J$8</f>
        <v>0</v>
      </c>
      <c r="O21" s="15">
        <f>[18]Vendedor9!$K$8</f>
        <v>0</v>
      </c>
      <c r="P21" s="17">
        <f>[18]Vendedor9!$L$8</f>
        <v>0</v>
      </c>
      <c r="Q21" s="19">
        <f t="shared" si="5"/>
        <v>0</v>
      </c>
      <c r="R21" s="15">
        <f t="shared" si="2"/>
        <v>0</v>
      </c>
      <c r="S21" s="15">
        <f t="shared" si="3"/>
        <v>0</v>
      </c>
      <c r="T21" s="15">
        <v>0</v>
      </c>
      <c r="U21" s="17">
        <f t="shared" si="4"/>
        <v>0</v>
      </c>
    </row>
    <row r="22" spans="1:21">
      <c r="A22" s="13" t="s">
        <v>31</v>
      </c>
      <c r="B22" s="14">
        <f>[19]Vendedor9!$J$4</f>
        <v>0</v>
      </c>
      <c r="C22" s="81">
        <f>[19]Vendedor9!$K$4</f>
        <v>0</v>
      </c>
      <c r="D22" s="82">
        <f>[19]Vendedor9!$L$4</f>
        <v>0</v>
      </c>
      <c r="E22" s="14">
        <f>[19]Vendedor9!$J$5</f>
        <v>0</v>
      </c>
      <c r="F22" s="81">
        <f>[19]Vendedor9!$K$5</f>
        <v>0</v>
      </c>
      <c r="G22" s="85">
        <f>[19]Vendedor9!$L$5</f>
        <v>0</v>
      </c>
      <c r="H22" s="19">
        <f>[19]Vendedor9!$J$6</f>
        <v>0</v>
      </c>
      <c r="I22" s="15">
        <f>[19]Vendedor9!$K$6</f>
        <v>0</v>
      </c>
      <c r="J22" s="17">
        <f>[19]Vendedor9!$L$6</f>
        <v>0</v>
      </c>
      <c r="K22" s="18">
        <f>[19]Vendedor9!$J$7</f>
        <v>0</v>
      </c>
      <c r="L22" s="15">
        <f>[19]Vendedor9!$K$7</f>
        <v>0</v>
      </c>
      <c r="M22" s="16">
        <f>[19]Vendedor9!$L$7</f>
        <v>0</v>
      </c>
      <c r="N22" s="19">
        <f>[19]Vendedor9!$J$8</f>
        <v>0</v>
      </c>
      <c r="O22" s="15">
        <f>[19]Vendedor9!$K$8</f>
        <v>0</v>
      </c>
      <c r="P22" s="17">
        <f>[19]Vendedor9!$L$8</f>
        <v>0</v>
      </c>
      <c r="Q22" s="19">
        <f t="shared" si="5"/>
        <v>0</v>
      </c>
      <c r="R22" s="15">
        <f t="shared" si="2"/>
        <v>0</v>
      </c>
      <c r="S22" s="15">
        <f t="shared" si="3"/>
        <v>0</v>
      </c>
      <c r="T22" s="15">
        <v>0</v>
      </c>
      <c r="U22" s="17">
        <f t="shared" si="4"/>
        <v>0</v>
      </c>
    </row>
    <row r="23" spans="1:21">
      <c r="A23" s="20" t="s">
        <v>32</v>
      </c>
      <c r="B23" s="14">
        <f>[20]Vendedor9!$J$4</f>
        <v>0</v>
      </c>
      <c r="C23" s="81">
        <f>[20]Vendedor9!$K$4</f>
        <v>0</v>
      </c>
      <c r="D23" s="82">
        <f>[20]Vendedor9!$L$4</f>
        <v>0</v>
      </c>
      <c r="E23" s="14">
        <f>[20]Vendedor9!$J$5</f>
        <v>0</v>
      </c>
      <c r="F23" s="81">
        <f>[20]Vendedor9!$K$5</f>
        <v>0</v>
      </c>
      <c r="G23" s="85">
        <f>[20]Vendedor9!$L$5</f>
        <v>0</v>
      </c>
      <c r="H23" s="19">
        <f>[20]Vendedor9!$J$6</f>
        <v>0</v>
      </c>
      <c r="I23" s="15">
        <f>[20]Vendedor9!$K$6</f>
        <v>0</v>
      </c>
      <c r="J23" s="17">
        <f>[20]Vendedor9!$L$6</f>
        <v>0</v>
      </c>
      <c r="K23" s="18">
        <f>[20]Vendedor9!$J$7</f>
        <v>0</v>
      </c>
      <c r="L23" s="15">
        <f>[20]Vendedor9!$K$7</f>
        <v>0</v>
      </c>
      <c r="M23" s="16">
        <f>[20]Vendedor9!$L$7</f>
        <v>0</v>
      </c>
      <c r="N23" s="19">
        <f>[20]Vendedor9!$J$8</f>
        <v>0</v>
      </c>
      <c r="O23" s="15">
        <f>[20]Vendedor9!$K$8</f>
        <v>0</v>
      </c>
      <c r="P23" s="17">
        <f>[20]Vendedor9!$L$8</f>
        <v>0</v>
      </c>
      <c r="Q23" s="19">
        <f t="shared" si="5"/>
        <v>0</v>
      </c>
      <c r="R23" s="15">
        <f t="shared" si="2"/>
        <v>0</v>
      </c>
      <c r="S23" s="15">
        <f t="shared" si="3"/>
        <v>0</v>
      </c>
      <c r="T23" s="15">
        <v>0</v>
      </c>
      <c r="U23" s="17">
        <f t="shared" si="4"/>
        <v>0</v>
      </c>
    </row>
    <row r="24" spans="1:21">
      <c r="A24" s="13" t="s">
        <v>33</v>
      </c>
      <c r="B24" s="14">
        <f>[21]Vendedor9!$J$4</f>
        <v>0</v>
      </c>
      <c r="C24" s="81">
        <f>[21]Vendedor9!$K$4</f>
        <v>0</v>
      </c>
      <c r="D24" s="82">
        <f>[21]Vendedor9!$L$4</f>
        <v>0</v>
      </c>
      <c r="E24" s="14">
        <f>[21]Vendedor9!$J$5</f>
        <v>0</v>
      </c>
      <c r="F24" s="81">
        <f>[21]Vendedor9!$K$5</f>
        <v>0</v>
      </c>
      <c r="G24" s="85">
        <f>[21]Vendedor9!$L$5</f>
        <v>0</v>
      </c>
      <c r="H24" s="19">
        <f>[21]Vendedor9!$J$6</f>
        <v>0</v>
      </c>
      <c r="I24" s="15">
        <f>[21]Vendedor9!$K$6</f>
        <v>0</v>
      </c>
      <c r="J24" s="17">
        <f>[21]Vendedor9!$L$6</f>
        <v>0</v>
      </c>
      <c r="K24" s="18">
        <f>[21]Vendedor9!$J$7</f>
        <v>0</v>
      </c>
      <c r="L24" s="15">
        <f>[21]Vendedor9!$K$7</f>
        <v>0</v>
      </c>
      <c r="M24" s="16">
        <f>[21]Vendedor9!$L$7</f>
        <v>0</v>
      </c>
      <c r="N24" s="19">
        <f>[21]Vendedor9!$J$8</f>
        <v>0</v>
      </c>
      <c r="O24" s="15">
        <f>[21]Vendedor9!$K$8</f>
        <v>0</v>
      </c>
      <c r="P24" s="17">
        <f>[21]Vendedor9!$L$8</f>
        <v>0</v>
      </c>
      <c r="Q24" s="19">
        <f t="shared" si="5"/>
        <v>0</v>
      </c>
      <c r="R24" s="15">
        <f t="shared" si="2"/>
        <v>0</v>
      </c>
      <c r="S24" s="15">
        <f t="shared" si="3"/>
        <v>0</v>
      </c>
      <c r="T24" s="15">
        <v>0</v>
      </c>
      <c r="U24" s="17">
        <f t="shared" si="4"/>
        <v>0</v>
      </c>
    </row>
    <row r="25" spans="1:21">
      <c r="A25" s="20" t="s">
        <v>34</v>
      </c>
      <c r="B25" s="14">
        <f>[22]Vendedor9!$J$4</f>
        <v>0</v>
      </c>
      <c r="C25" s="81">
        <f>[22]Vendedor9!$K$4</f>
        <v>0</v>
      </c>
      <c r="D25" s="82">
        <f>[22]Vendedor9!$L$4</f>
        <v>0</v>
      </c>
      <c r="E25" s="14">
        <f>[22]Vendedor9!$J$5</f>
        <v>0</v>
      </c>
      <c r="F25" s="81">
        <f>[22]Vendedor9!$K$5</f>
        <v>0</v>
      </c>
      <c r="G25" s="85">
        <f>[22]Vendedor9!$L$5</f>
        <v>0</v>
      </c>
      <c r="H25" s="19">
        <f>[22]Vendedor9!$J$6</f>
        <v>0</v>
      </c>
      <c r="I25" s="15">
        <f>[22]Vendedor9!$K$6</f>
        <v>0</v>
      </c>
      <c r="J25" s="17">
        <f>[22]Vendedor9!$L$6</f>
        <v>0</v>
      </c>
      <c r="K25" s="18">
        <f>[22]Vendedor9!$J$7</f>
        <v>0</v>
      </c>
      <c r="L25" s="15">
        <f>[22]Vendedor9!$K$7</f>
        <v>0</v>
      </c>
      <c r="M25" s="16">
        <f>[22]Vendedor9!$L$7</f>
        <v>0</v>
      </c>
      <c r="N25" s="19">
        <f>[22]Vendedor9!$J$8</f>
        <v>0</v>
      </c>
      <c r="O25" s="15">
        <f>[22]Vendedor9!$K$8</f>
        <v>0</v>
      </c>
      <c r="P25" s="17">
        <f>[22]Vendedor9!$L$8</f>
        <v>0</v>
      </c>
      <c r="Q25" s="19">
        <f t="shared" si="5"/>
        <v>0</v>
      </c>
      <c r="R25" s="15">
        <f t="shared" si="2"/>
        <v>0</v>
      </c>
      <c r="S25" s="15">
        <f t="shared" si="3"/>
        <v>0</v>
      </c>
      <c r="T25" s="15">
        <v>0</v>
      </c>
      <c r="U25" s="17">
        <f t="shared" si="4"/>
        <v>0</v>
      </c>
    </row>
    <row r="26" spans="1:21">
      <c r="A26" s="13" t="s">
        <v>35</v>
      </c>
      <c r="B26" s="14">
        <f>[23]Vendedor9!$J$4</f>
        <v>0</v>
      </c>
      <c r="C26" s="81">
        <f>[23]Vendedor9!$K$4</f>
        <v>0</v>
      </c>
      <c r="D26" s="82">
        <f>[23]Vendedor9!$L$4</f>
        <v>0</v>
      </c>
      <c r="E26" s="14">
        <f>[23]Vendedor9!$J$5</f>
        <v>0</v>
      </c>
      <c r="F26" s="81">
        <f>[23]Vendedor9!$K$5</f>
        <v>0</v>
      </c>
      <c r="G26" s="85">
        <f>[23]Vendedor9!$L$5</f>
        <v>0</v>
      </c>
      <c r="H26" s="19">
        <f>[23]Vendedor9!$J$6</f>
        <v>0</v>
      </c>
      <c r="I26" s="15">
        <f>[23]Vendedor9!$K$6</f>
        <v>0</v>
      </c>
      <c r="J26" s="17">
        <f>[23]Vendedor9!$L$6</f>
        <v>0</v>
      </c>
      <c r="K26" s="18">
        <f>[23]Vendedor9!$J$7</f>
        <v>0</v>
      </c>
      <c r="L26" s="15">
        <f>[23]Vendedor9!$K$7</f>
        <v>0</v>
      </c>
      <c r="M26" s="16">
        <f>[23]Vendedor9!$L$7</f>
        <v>0</v>
      </c>
      <c r="N26" s="19">
        <f>[23]Vendedor9!$J$8</f>
        <v>0</v>
      </c>
      <c r="O26" s="15">
        <f>[23]Vendedor9!$K$8</f>
        <v>0</v>
      </c>
      <c r="P26" s="17">
        <f>[23]Vendedor9!$L$8</f>
        <v>0</v>
      </c>
      <c r="Q26" s="19">
        <f t="shared" si="5"/>
        <v>0</v>
      </c>
      <c r="R26" s="15">
        <f t="shared" si="2"/>
        <v>0</v>
      </c>
      <c r="S26" s="15">
        <f t="shared" si="3"/>
        <v>0</v>
      </c>
      <c r="T26" s="15">
        <v>0</v>
      </c>
      <c r="U26" s="17">
        <f t="shared" si="4"/>
        <v>0</v>
      </c>
    </row>
    <row r="27" spans="1:21">
      <c r="A27" s="20" t="s">
        <v>36</v>
      </c>
      <c r="B27" s="14">
        <f>[24]Vendedor9!$J$4</f>
        <v>0</v>
      </c>
      <c r="C27" s="81">
        <f>[24]Vendedor9!$K$4</f>
        <v>0</v>
      </c>
      <c r="D27" s="82">
        <f>[24]Vendedor9!$L$4</f>
        <v>0</v>
      </c>
      <c r="E27" s="14">
        <f>[24]Vendedor9!$J$5</f>
        <v>0</v>
      </c>
      <c r="F27" s="81">
        <f>[24]Vendedor9!$K$5</f>
        <v>0</v>
      </c>
      <c r="G27" s="85">
        <f>[24]Vendedor9!$L$5</f>
        <v>0</v>
      </c>
      <c r="H27" s="19">
        <f>[24]Vendedor9!$J$6</f>
        <v>0</v>
      </c>
      <c r="I27" s="15">
        <f>[24]Vendedor9!$K$6</f>
        <v>0</v>
      </c>
      <c r="J27" s="17">
        <f>[24]Vendedor9!$L$6</f>
        <v>0</v>
      </c>
      <c r="K27" s="18">
        <f>[24]Vendedor9!$J$7</f>
        <v>0</v>
      </c>
      <c r="L27" s="15">
        <f>[24]Vendedor9!$K$7</f>
        <v>0</v>
      </c>
      <c r="M27" s="16">
        <f>[24]Vendedor9!$L$7</f>
        <v>0</v>
      </c>
      <c r="N27" s="19">
        <f>[24]Vendedor9!$J$8</f>
        <v>0</v>
      </c>
      <c r="O27" s="15">
        <f>[24]Vendedor9!$K$8</f>
        <v>0</v>
      </c>
      <c r="P27" s="17">
        <f>[24]Vendedor9!$L$8</f>
        <v>0</v>
      </c>
      <c r="Q27" s="19">
        <f t="shared" si="5"/>
        <v>0</v>
      </c>
      <c r="R27" s="15">
        <f t="shared" si="2"/>
        <v>0</v>
      </c>
      <c r="S27" s="15">
        <f t="shared" si="3"/>
        <v>0</v>
      </c>
      <c r="T27" s="15">
        <v>0</v>
      </c>
      <c r="U27" s="17">
        <f t="shared" si="4"/>
        <v>0</v>
      </c>
    </row>
    <row r="28" spans="1:21">
      <c r="A28" s="13" t="s">
        <v>37</v>
      </c>
      <c r="B28" s="14">
        <f>[25]Vendedor9!$J$4</f>
        <v>0</v>
      </c>
      <c r="C28" s="81">
        <f>[25]Vendedor9!$K$4</f>
        <v>0</v>
      </c>
      <c r="D28" s="82">
        <f>[25]Vendedor9!$L$4</f>
        <v>0</v>
      </c>
      <c r="E28" s="14">
        <f>[25]Vendedor9!$J$5</f>
        <v>0</v>
      </c>
      <c r="F28" s="81">
        <f>[25]Vendedor9!$K$5</f>
        <v>0</v>
      </c>
      <c r="G28" s="85">
        <f>[25]Vendedor9!$L$5</f>
        <v>0</v>
      </c>
      <c r="H28" s="19">
        <f>[25]Vendedor9!$J$6</f>
        <v>0</v>
      </c>
      <c r="I28" s="15">
        <f>[25]Vendedor9!$K$6</f>
        <v>0</v>
      </c>
      <c r="J28" s="17">
        <f>[25]Vendedor9!$L$6</f>
        <v>0</v>
      </c>
      <c r="K28" s="18">
        <f>[25]Vendedor9!$J$7</f>
        <v>0</v>
      </c>
      <c r="L28" s="15">
        <f>[25]Vendedor9!$K$7</f>
        <v>0</v>
      </c>
      <c r="M28" s="16">
        <f>[25]Vendedor9!$L$7</f>
        <v>0</v>
      </c>
      <c r="N28" s="19">
        <f>[25]Vendedor9!$J$8</f>
        <v>0</v>
      </c>
      <c r="O28" s="15">
        <f>[25]Vendedor9!$K$8</f>
        <v>0</v>
      </c>
      <c r="P28" s="17">
        <f>[25]Vendedor9!$L$8</f>
        <v>0</v>
      </c>
      <c r="Q28" s="19">
        <f t="shared" si="5"/>
        <v>0</v>
      </c>
      <c r="R28" s="15">
        <f t="shared" si="2"/>
        <v>0</v>
      </c>
      <c r="S28" s="15">
        <f t="shared" si="3"/>
        <v>0</v>
      </c>
      <c r="T28" s="15">
        <v>0</v>
      </c>
      <c r="U28" s="17">
        <f t="shared" si="4"/>
        <v>0</v>
      </c>
    </row>
    <row r="29" spans="1:21">
      <c r="A29" s="20" t="s">
        <v>38</v>
      </c>
      <c r="B29" s="14">
        <f>[26]Vendedor9!$J$4</f>
        <v>0</v>
      </c>
      <c r="C29" s="81">
        <f>[26]Vendedor9!$K$4</f>
        <v>0</v>
      </c>
      <c r="D29" s="82">
        <f>[26]Vendedor9!$L$4</f>
        <v>0</v>
      </c>
      <c r="E29" s="14">
        <f>[26]Vendedor9!$J$5</f>
        <v>0</v>
      </c>
      <c r="F29" s="81">
        <f>[26]Vendedor9!$K$5</f>
        <v>0</v>
      </c>
      <c r="G29" s="85">
        <f>[26]Vendedor9!$L$5</f>
        <v>0</v>
      </c>
      <c r="H29" s="19">
        <f>[26]Vendedor9!$J$6</f>
        <v>0</v>
      </c>
      <c r="I29" s="15">
        <f>[26]Vendedor9!$K$6</f>
        <v>0</v>
      </c>
      <c r="J29" s="17">
        <f>[26]Vendedor9!$L$6</f>
        <v>0</v>
      </c>
      <c r="K29" s="18">
        <f>[26]Vendedor9!$J$7</f>
        <v>0</v>
      </c>
      <c r="L29" s="15">
        <f>[26]Vendedor9!$K$7</f>
        <v>0</v>
      </c>
      <c r="M29" s="16">
        <f>[26]Vendedor9!$L$7</f>
        <v>0</v>
      </c>
      <c r="N29" s="19">
        <f>[26]Vendedor9!$J$8</f>
        <v>0</v>
      </c>
      <c r="O29" s="15">
        <f>[26]Vendedor9!$K$8</f>
        <v>0</v>
      </c>
      <c r="P29" s="17">
        <f>[26]Vendedor9!$L$8</f>
        <v>0</v>
      </c>
      <c r="Q29" s="19">
        <f t="shared" si="5"/>
        <v>0</v>
      </c>
      <c r="R29" s="15">
        <f t="shared" si="2"/>
        <v>0</v>
      </c>
      <c r="S29" s="15">
        <f t="shared" si="3"/>
        <v>0</v>
      </c>
      <c r="T29" s="15">
        <v>0</v>
      </c>
      <c r="U29" s="17">
        <f t="shared" si="4"/>
        <v>0</v>
      </c>
    </row>
    <row r="30" spans="1:21">
      <c r="A30" s="13" t="s">
        <v>39</v>
      </c>
      <c r="B30" s="14">
        <f>[27]Vendedor9!$J$4</f>
        <v>0</v>
      </c>
      <c r="C30" s="81">
        <f>[27]Vendedor9!$K$4</f>
        <v>0</v>
      </c>
      <c r="D30" s="82">
        <f>[27]Vendedor9!$L$4</f>
        <v>0</v>
      </c>
      <c r="E30" s="14">
        <f>[27]Vendedor9!$J$5</f>
        <v>0</v>
      </c>
      <c r="F30" s="81">
        <f>[27]Vendedor9!$K$5</f>
        <v>0</v>
      </c>
      <c r="G30" s="85">
        <f>[27]Vendedor9!$L$5</f>
        <v>0</v>
      </c>
      <c r="H30" s="19">
        <f>[27]Vendedor9!$J$6</f>
        <v>0</v>
      </c>
      <c r="I30" s="15">
        <f>[27]Vendedor9!$K$6</f>
        <v>0</v>
      </c>
      <c r="J30" s="17">
        <f>[27]Vendedor9!$L$6</f>
        <v>0</v>
      </c>
      <c r="K30" s="18">
        <f>[27]Vendedor9!$J$7</f>
        <v>0</v>
      </c>
      <c r="L30" s="15">
        <f>[27]Vendedor9!$K$7</f>
        <v>0</v>
      </c>
      <c r="M30" s="16">
        <f>[27]Vendedor9!$L$7</f>
        <v>0</v>
      </c>
      <c r="N30" s="19">
        <f>[27]Vendedor9!$J$8</f>
        <v>0</v>
      </c>
      <c r="O30" s="15">
        <f>[27]Vendedor9!$K$8</f>
        <v>0</v>
      </c>
      <c r="P30" s="17">
        <f>[27]Vendedor9!$L$8</f>
        <v>0</v>
      </c>
      <c r="Q30" s="19">
        <f t="shared" si="5"/>
        <v>0</v>
      </c>
      <c r="R30" s="15">
        <f t="shared" si="2"/>
        <v>0</v>
      </c>
      <c r="S30" s="15">
        <f t="shared" si="3"/>
        <v>0</v>
      </c>
      <c r="T30" s="15">
        <v>0</v>
      </c>
      <c r="U30" s="17">
        <f t="shared" si="4"/>
        <v>0</v>
      </c>
    </row>
    <row r="31" spans="1:21">
      <c r="A31" s="20" t="s">
        <v>40</v>
      </c>
      <c r="B31" s="14">
        <f>[28]Vendedor9!$J$4</f>
        <v>0</v>
      </c>
      <c r="C31" s="81">
        <f>[28]Vendedor9!$K$4</f>
        <v>0</v>
      </c>
      <c r="D31" s="82">
        <f>[28]Vendedor9!$L$4</f>
        <v>0</v>
      </c>
      <c r="E31" s="14">
        <f>[28]Vendedor9!$J$5</f>
        <v>0</v>
      </c>
      <c r="F31" s="81">
        <f>[28]Vendedor9!$K$5</f>
        <v>0</v>
      </c>
      <c r="G31" s="85">
        <f>[28]Vendedor9!$L$5</f>
        <v>0</v>
      </c>
      <c r="H31" s="19">
        <f>[28]Vendedor9!$J$6</f>
        <v>0</v>
      </c>
      <c r="I31" s="15">
        <f>[28]Vendedor9!$K$6</f>
        <v>0</v>
      </c>
      <c r="J31" s="17">
        <f>[28]Vendedor9!$L$6</f>
        <v>0</v>
      </c>
      <c r="K31" s="18">
        <f>[28]Vendedor9!$J$7</f>
        <v>0</v>
      </c>
      <c r="L31" s="15">
        <f>[28]Vendedor9!$K$7</f>
        <v>0</v>
      </c>
      <c r="M31" s="16">
        <f>[28]Vendedor9!$L$7</f>
        <v>0</v>
      </c>
      <c r="N31" s="19">
        <f>[28]Vendedor9!$J$8</f>
        <v>0</v>
      </c>
      <c r="O31" s="15">
        <f>[28]Vendedor9!$K$8</f>
        <v>0</v>
      </c>
      <c r="P31" s="17">
        <f>[28]Vendedor9!$L$8</f>
        <v>0</v>
      </c>
      <c r="Q31" s="19">
        <f t="shared" si="5"/>
        <v>0</v>
      </c>
      <c r="R31" s="15">
        <f t="shared" si="2"/>
        <v>0</v>
      </c>
      <c r="S31" s="15">
        <f t="shared" si="3"/>
        <v>0</v>
      </c>
      <c r="T31" s="15">
        <v>0</v>
      </c>
      <c r="U31" s="17">
        <f t="shared" si="4"/>
        <v>0</v>
      </c>
    </row>
    <row r="32" spans="1:21">
      <c r="A32" s="20" t="s">
        <v>41</v>
      </c>
      <c r="B32" s="14">
        <f>[29]Vendedor9!$J$4</f>
        <v>0</v>
      </c>
      <c r="C32" s="81">
        <f>[29]Vendedor9!$K$4</f>
        <v>0</v>
      </c>
      <c r="D32" s="82">
        <f>[29]Vendedor9!$L$4</f>
        <v>0</v>
      </c>
      <c r="E32" s="14">
        <f>[29]Vendedor9!$J$5</f>
        <v>0</v>
      </c>
      <c r="F32" s="81">
        <f>[29]Vendedor9!$K$5</f>
        <v>0</v>
      </c>
      <c r="G32" s="85">
        <f>[29]Vendedor9!$L$5</f>
        <v>0</v>
      </c>
      <c r="H32" s="19">
        <f>[29]Vendedor9!$J$6</f>
        <v>0</v>
      </c>
      <c r="I32" s="15">
        <f>[29]Vendedor9!$K$6</f>
        <v>0</v>
      </c>
      <c r="J32" s="17">
        <f>[29]Vendedor9!$L$6</f>
        <v>0</v>
      </c>
      <c r="K32" s="18">
        <f>[29]Vendedor9!$J$7</f>
        <v>0</v>
      </c>
      <c r="L32" s="15">
        <f>[29]Vendedor9!$K$7</f>
        <v>0</v>
      </c>
      <c r="M32" s="16">
        <f>[29]Vendedor9!$L$7</f>
        <v>0</v>
      </c>
      <c r="N32" s="19">
        <f>[29]Vendedor9!$J$8</f>
        <v>0</v>
      </c>
      <c r="O32" s="15">
        <f>[29]Vendedor9!$K$8</f>
        <v>0</v>
      </c>
      <c r="P32" s="17">
        <f>[29]Vendedor9!$L$8</f>
        <v>0</v>
      </c>
      <c r="Q32" s="19">
        <f t="shared" si="5"/>
        <v>0</v>
      </c>
      <c r="R32" s="15">
        <f t="shared" si="2"/>
        <v>0</v>
      </c>
      <c r="S32" s="15">
        <f t="shared" si="3"/>
        <v>0</v>
      </c>
      <c r="T32" s="15">
        <v>0</v>
      </c>
      <c r="U32" s="17">
        <f t="shared" si="4"/>
        <v>0</v>
      </c>
    </row>
    <row r="33" spans="1:21">
      <c r="A33" s="13" t="s">
        <v>42</v>
      </c>
      <c r="B33" s="14">
        <f>[30]Vendedor9!$J$4</f>
        <v>0</v>
      </c>
      <c r="C33" s="81">
        <f>[30]Vendedor9!$K$4</f>
        <v>0</v>
      </c>
      <c r="D33" s="82">
        <f>[30]Vendedor9!$L$4</f>
        <v>0</v>
      </c>
      <c r="E33" s="14">
        <f>[30]Vendedor9!$J$5</f>
        <v>0</v>
      </c>
      <c r="F33" s="81">
        <f>[30]Vendedor9!$K$5</f>
        <v>0</v>
      </c>
      <c r="G33" s="85">
        <f>[30]Vendedor9!$L$5</f>
        <v>0</v>
      </c>
      <c r="H33" s="19">
        <f>[30]Vendedor9!$J$6</f>
        <v>0</v>
      </c>
      <c r="I33" s="15">
        <f>[30]Vendedor9!$K$6</f>
        <v>0</v>
      </c>
      <c r="J33" s="17">
        <f>[30]Vendedor9!$L$6</f>
        <v>0</v>
      </c>
      <c r="K33" s="18">
        <f>[30]Vendedor9!$J$7</f>
        <v>0</v>
      </c>
      <c r="L33" s="15">
        <f>[30]Vendedor9!$K$7</f>
        <v>0</v>
      </c>
      <c r="M33" s="16">
        <f>[30]Vendedor9!$L$7</f>
        <v>0</v>
      </c>
      <c r="N33" s="19">
        <f>[30]Vendedor9!$J$8</f>
        <v>0</v>
      </c>
      <c r="O33" s="15">
        <f>[30]Vendedor9!$K$8</f>
        <v>0</v>
      </c>
      <c r="P33" s="17">
        <f>[30]Vendedor9!$L$8</f>
        <v>0</v>
      </c>
      <c r="Q33" s="19">
        <f t="shared" si="5"/>
        <v>0</v>
      </c>
      <c r="R33" s="15">
        <f t="shared" si="2"/>
        <v>0</v>
      </c>
      <c r="S33" s="15">
        <f t="shared" si="3"/>
        <v>0</v>
      </c>
      <c r="T33" s="15">
        <v>0</v>
      </c>
      <c r="U33" s="17">
        <f t="shared" si="4"/>
        <v>0</v>
      </c>
    </row>
    <row r="34" spans="1:21">
      <c r="A34" s="20" t="s">
        <v>43</v>
      </c>
      <c r="B34" s="14">
        <f>[31]Vendedor9!$J$4</f>
        <v>0</v>
      </c>
      <c r="C34" s="81">
        <f>[31]Vendedor9!$K$4</f>
        <v>0</v>
      </c>
      <c r="D34" s="82">
        <f>[31]Vendedor9!$L$4</f>
        <v>0</v>
      </c>
      <c r="E34" s="14">
        <f>[31]Vendedor9!$J$5</f>
        <v>0</v>
      </c>
      <c r="F34" s="81">
        <f>[31]Vendedor9!$K$5</f>
        <v>0</v>
      </c>
      <c r="G34" s="85">
        <f>[31]Vendedor9!$L$5</f>
        <v>0</v>
      </c>
      <c r="H34" s="19">
        <f>[31]Vendedor9!$J$6</f>
        <v>0</v>
      </c>
      <c r="I34" s="15">
        <f>[31]Vendedor9!$K$6</f>
        <v>0</v>
      </c>
      <c r="J34" s="17">
        <f>[31]Vendedor9!$L$6</f>
        <v>0</v>
      </c>
      <c r="K34" s="18">
        <f>[31]Vendedor9!$J$7</f>
        <v>0</v>
      </c>
      <c r="L34" s="15">
        <f>[31]Vendedor9!$K$7</f>
        <v>0</v>
      </c>
      <c r="M34" s="16">
        <f>[31]Vendedor9!$L$7</f>
        <v>0</v>
      </c>
      <c r="N34" s="19">
        <f>[31]Vendedor9!$J$8</f>
        <v>0</v>
      </c>
      <c r="O34" s="15">
        <f>[31]Vendedor9!$K$8</f>
        <v>0</v>
      </c>
      <c r="P34" s="17">
        <f>[31]Vendedor9!$L$8</f>
        <v>0</v>
      </c>
      <c r="Q34" s="19">
        <f t="shared" si="5"/>
        <v>0</v>
      </c>
      <c r="R34" s="15">
        <f t="shared" si="2"/>
        <v>0</v>
      </c>
      <c r="S34" s="15">
        <f t="shared" si="3"/>
        <v>0</v>
      </c>
      <c r="T34" s="15">
        <v>0</v>
      </c>
      <c r="U34" s="17">
        <f t="shared" si="4"/>
        <v>0</v>
      </c>
    </row>
    <row r="35" spans="1:21">
      <c r="A35" s="13" t="s">
        <v>44</v>
      </c>
      <c r="B35" s="14">
        <f>[10]Vendedor9!$J$4</f>
        <v>0</v>
      </c>
      <c r="C35" s="81">
        <f>[10]Vendedor9!$K$4</f>
        <v>0</v>
      </c>
      <c r="D35" s="82">
        <f>[10]Vendedor9!$L$4</f>
        <v>0</v>
      </c>
      <c r="E35" s="14">
        <f>[10]Vendedor9!$J$5</f>
        <v>0</v>
      </c>
      <c r="F35" s="81">
        <f>[10]Vendedor9!$K$5</f>
        <v>0</v>
      </c>
      <c r="G35" s="85">
        <f>[10]Vendedor9!$L$5</f>
        <v>0</v>
      </c>
      <c r="H35" s="19">
        <f>[10]Vendedor9!$J$6</f>
        <v>0</v>
      </c>
      <c r="I35" s="15">
        <f>[10]Vendedor9!$K$6</f>
        <v>0</v>
      </c>
      <c r="J35" s="17">
        <f>[10]Vendedor9!$L$6</f>
        <v>0</v>
      </c>
      <c r="K35" s="18">
        <f>[10]Vendedor9!$J$7</f>
        <v>0</v>
      </c>
      <c r="L35" s="15">
        <f>[10]Vendedor9!$K$7</f>
        <v>0</v>
      </c>
      <c r="M35" s="16">
        <f>[10]Vendedor9!$L$7</f>
        <v>0</v>
      </c>
      <c r="N35" s="19">
        <f>[10]Vendedor9!$J$8</f>
        <v>0</v>
      </c>
      <c r="O35" s="15">
        <f>[10]Vendedor9!$K$8</f>
        <v>0</v>
      </c>
      <c r="P35" s="17">
        <f>[10]Vendedor9!$L$8</f>
        <v>0</v>
      </c>
      <c r="Q35" s="19">
        <f t="shared" si="5"/>
        <v>0</v>
      </c>
      <c r="R35" s="15">
        <f t="shared" si="2"/>
        <v>0</v>
      </c>
      <c r="S35" s="15">
        <f t="shared" si="3"/>
        <v>0</v>
      </c>
      <c r="T35" s="15">
        <v>0</v>
      </c>
      <c r="U35" s="17">
        <f t="shared" si="4"/>
        <v>0</v>
      </c>
    </row>
    <row r="36" spans="1:21" ht="15.75" thickBot="1">
      <c r="A36" s="20" t="s">
        <v>45</v>
      </c>
      <c r="B36" s="21">
        <f>[11]Vendedor9!$J$4</f>
        <v>0</v>
      </c>
      <c r="C36" s="83">
        <f>[11]Vendedor9!$K$4</f>
        <v>0</v>
      </c>
      <c r="D36" s="84">
        <f>[11]Vendedor9!$L$4</f>
        <v>0</v>
      </c>
      <c r="E36" s="21">
        <f>[11]Vendedor9!$J$5</f>
        <v>0</v>
      </c>
      <c r="F36" s="83">
        <f>[11]Vendedor9!$K$5</f>
        <v>0</v>
      </c>
      <c r="G36" s="86">
        <f>[11]Vendedor9!$L$5</f>
        <v>0</v>
      </c>
      <c r="H36" s="26">
        <f>[11]Vendedor9!$J$6</f>
        <v>0</v>
      </c>
      <c r="I36" s="22">
        <f>[11]Vendedor9!$K$6</f>
        <v>0</v>
      </c>
      <c r="J36" s="24">
        <f>[11]Vendedor9!$L$6</f>
        <v>0</v>
      </c>
      <c r="K36" s="25">
        <f>[11]Vendedor9!$J$7</f>
        <v>0</v>
      </c>
      <c r="L36" s="22">
        <f>[11]Vendedor9!$K$7</f>
        <v>0</v>
      </c>
      <c r="M36" s="23">
        <f>[11]Vendedor9!$L$7</f>
        <v>0</v>
      </c>
      <c r="N36" s="26">
        <f>[11]Vendedor9!$J$8</f>
        <v>0</v>
      </c>
      <c r="O36" s="22">
        <f>[11]Vendedor9!$K$8</f>
        <v>0</v>
      </c>
      <c r="P36" s="24">
        <f>[11]Vendedor9!$L$8</f>
        <v>0</v>
      </c>
      <c r="Q36" s="26">
        <f t="shared" si="5"/>
        <v>0</v>
      </c>
      <c r="R36" s="22">
        <f t="shared" si="2"/>
        <v>0</v>
      </c>
      <c r="S36" s="22">
        <f t="shared" si="3"/>
        <v>0</v>
      </c>
      <c r="T36" s="22">
        <v>0</v>
      </c>
      <c r="U36" s="24">
        <f t="shared" si="4"/>
        <v>0</v>
      </c>
    </row>
    <row r="37" spans="1:21" ht="16.5" thickBot="1">
      <c r="A37" s="5" t="s">
        <v>46</v>
      </c>
      <c r="B37" s="27">
        <f t="shared" ref="B37:S37" si="6">SUM(B6:B36)</f>
        <v>1448850</v>
      </c>
      <c r="C37" s="28">
        <f t="shared" si="6"/>
        <v>173862</v>
      </c>
      <c r="D37" s="29">
        <f t="shared" si="6"/>
        <v>1878500</v>
      </c>
      <c r="E37" s="30">
        <f t="shared" si="6"/>
        <v>1071700</v>
      </c>
      <c r="F37" s="28">
        <f t="shared" si="6"/>
        <v>128604</v>
      </c>
      <c r="G37" s="31">
        <f t="shared" si="6"/>
        <v>773500</v>
      </c>
      <c r="H37" s="27">
        <f t="shared" si="6"/>
        <v>76800</v>
      </c>
      <c r="I37" s="28">
        <f t="shared" si="6"/>
        <v>7680</v>
      </c>
      <c r="J37" s="29">
        <f t="shared" si="6"/>
        <v>0</v>
      </c>
      <c r="K37" s="30">
        <f t="shared" si="6"/>
        <v>634700</v>
      </c>
      <c r="L37" s="28">
        <f t="shared" si="6"/>
        <v>76164</v>
      </c>
      <c r="M37" s="31">
        <f t="shared" si="6"/>
        <v>518500</v>
      </c>
      <c r="N37" s="30">
        <f t="shared" ref="N37:P37" si="7">SUM(N6:N36)</f>
        <v>35300</v>
      </c>
      <c r="O37" s="28">
        <f t="shared" si="7"/>
        <v>4236</v>
      </c>
      <c r="P37" s="31">
        <f t="shared" si="7"/>
        <v>34000</v>
      </c>
      <c r="Q37" s="27">
        <f t="shared" si="6"/>
        <v>3232050</v>
      </c>
      <c r="R37" s="28">
        <f t="shared" si="6"/>
        <v>386310</v>
      </c>
      <c r="S37" s="28">
        <f t="shared" si="6"/>
        <v>3170500</v>
      </c>
      <c r="T37" s="32">
        <f>SUM(T5:T36)</f>
        <v>0</v>
      </c>
      <c r="U37" s="33">
        <f>SUM(U5:U36)</f>
        <v>-324760</v>
      </c>
    </row>
    <row r="40" spans="1:21">
      <c r="S40" s="62"/>
    </row>
  </sheetData>
  <mergeCells count="2">
    <mergeCell ref="B2:D2"/>
    <mergeCell ref="I1:R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7"/>
  <sheetViews>
    <sheetView showGridLines="0" topLeftCell="A19" zoomScale="90" zoomScaleNormal="90" workbookViewId="0">
      <selection activeCell="B5" sqref="B5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77</v>
      </c>
      <c r="C2" s="137"/>
      <c r="D2" s="137"/>
      <c r="I2" s="3" t="s">
        <v>2</v>
      </c>
      <c r="J2" s="4">
        <v>0.12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>
      <c r="A6" s="20" t="s">
        <v>49</v>
      </c>
      <c r="B6" s="53">
        <f>[1]Vendedor10!$J$4</f>
        <v>80250</v>
      </c>
      <c r="C6" s="58">
        <f>[1]Vendedor10!$K$4</f>
        <v>9630</v>
      </c>
      <c r="D6" s="54">
        <f>[1]Vendedor10!$L$4</f>
        <v>178500</v>
      </c>
      <c r="E6" s="53">
        <f>[1]Vendedor10!$J$5</f>
        <v>56400</v>
      </c>
      <c r="F6" s="58">
        <f>[1]Vendedor10!$K$5</f>
        <v>6768</v>
      </c>
      <c r="G6" s="55">
        <f>[1]Vendedor10!$L$5</f>
        <v>0</v>
      </c>
      <c r="H6" s="61">
        <f>[1]Vendedor10!$J$6</f>
        <v>0</v>
      </c>
      <c r="I6" s="58">
        <f>[1]Vendedor10!$K$6</f>
        <v>0</v>
      </c>
      <c r="J6" s="54">
        <f>[1]Vendedor10!$L$6</f>
        <v>0</v>
      </c>
      <c r="K6" s="59">
        <f t="shared" ref="K6:K36" si="1">+B6+E6+H6</f>
        <v>136650</v>
      </c>
      <c r="L6" s="58">
        <f>MROUND(C6+F6+I6,50)</f>
        <v>16400</v>
      </c>
      <c r="M6" s="58">
        <f t="shared" ref="M6:M36" si="2">+D6+G6+J6</f>
        <v>178500</v>
      </c>
      <c r="N6" s="58">
        <v>0</v>
      </c>
      <c r="O6" s="55">
        <f t="shared" ref="O6:O36" si="3">+K6-L6-M6+N6</f>
        <v>-58250</v>
      </c>
    </row>
    <row r="7" spans="1:15">
      <c r="A7" s="13" t="s">
        <v>50</v>
      </c>
      <c r="B7" s="14">
        <f>[2]Vendedor10!$J$4</f>
        <v>0</v>
      </c>
      <c r="C7" s="15">
        <f>[2]Vendedor10!$K$4</f>
        <v>0</v>
      </c>
      <c r="D7" s="16">
        <f>[2]Vendedor10!$L$4</f>
        <v>0</v>
      </c>
      <c r="E7" s="14">
        <f>[2]Vendedor10!$J$5</f>
        <v>0</v>
      </c>
      <c r="F7" s="15">
        <f>[2]Vendedor10!$K$5</f>
        <v>0</v>
      </c>
      <c r="G7" s="17">
        <f>[2]Vendedor10!$L$5</f>
        <v>0</v>
      </c>
      <c r="H7" s="18">
        <f>[2]Vendedor10!$J$6</f>
        <v>0</v>
      </c>
      <c r="I7" s="15">
        <f>[2]Vendedor10!$K$6</f>
        <v>0</v>
      </c>
      <c r="J7" s="16">
        <f>[2]Vendedor10!$L$6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>
      <c r="A8" s="20" t="s">
        <v>51</v>
      </c>
      <c r="B8" s="14">
        <f>[3]Vendedor10!$J$4</f>
        <v>128500</v>
      </c>
      <c r="C8" s="15">
        <f>[3]Vendedor10!$K$4</f>
        <v>15420</v>
      </c>
      <c r="D8" s="16">
        <f>[3]Vendedor10!$L$4</f>
        <v>12750</v>
      </c>
      <c r="E8" s="14">
        <f>[3]Vendedor10!$J$5</f>
        <v>39850</v>
      </c>
      <c r="F8" s="15">
        <f>[3]Vendedor10!$K$5</f>
        <v>4782</v>
      </c>
      <c r="G8" s="17">
        <f>[3]Vendedor10!$L$5</f>
        <v>8000</v>
      </c>
      <c r="H8" s="18">
        <f>[3]Vendedor10!$J$6</f>
        <v>0</v>
      </c>
      <c r="I8" s="15">
        <f>[3]Vendedor10!$K$6</f>
        <v>0</v>
      </c>
      <c r="J8" s="16">
        <f>[3]Vendedor10!$L$6</f>
        <v>0</v>
      </c>
      <c r="K8" s="19">
        <f t="shared" si="1"/>
        <v>168350</v>
      </c>
      <c r="L8" s="15">
        <f t="shared" si="4"/>
        <v>20200</v>
      </c>
      <c r="M8" s="15">
        <f t="shared" si="2"/>
        <v>20750</v>
      </c>
      <c r="N8" s="15">
        <v>0</v>
      </c>
      <c r="O8" s="17">
        <f t="shared" si="3"/>
        <v>127400</v>
      </c>
    </row>
    <row r="9" spans="1:15">
      <c r="A9" s="13" t="s">
        <v>52</v>
      </c>
      <c r="B9" s="14">
        <f>[4]Vendedor10!$J$4</f>
        <v>107150</v>
      </c>
      <c r="C9" s="15">
        <f>[4]Vendedor10!$K$4</f>
        <v>12858</v>
      </c>
      <c r="D9" s="16">
        <f>[4]Vendedor10!$L$4</f>
        <v>242250</v>
      </c>
      <c r="E9" s="14">
        <f>[4]Vendedor10!$J$5</f>
        <v>47400</v>
      </c>
      <c r="F9" s="15">
        <f>[4]Vendedor10!$K$5</f>
        <v>5688</v>
      </c>
      <c r="G9" s="17">
        <f>[4]Vendedor10!$L$5</f>
        <v>80000</v>
      </c>
      <c r="H9" s="18">
        <f>[4]Vendedor10!$J$6</f>
        <v>0</v>
      </c>
      <c r="I9" s="15">
        <f>[4]Vendedor10!$K$6</f>
        <v>0</v>
      </c>
      <c r="J9" s="16">
        <f>[4]Vendedor10!$L$6</f>
        <v>0</v>
      </c>
      <c r="K9" s="19">
        <f t="shared" si="1"/>
        <v>154550</v>
      </c>
      <c r="L9" s="15">
        <f t="shared" si="4"/>
        <v>18550</v>
      </c>
      <c r="M9" s="15">
        <f t="shared" si="2"/>
        <v>322250</v>
      </c>
      <c r="N9" s="15">
        <v>0</v>
      </c>
      <c r="O9" s="17">
        <f t="shared" si="3"/>
        <v>-186250</v>
      </c>
    </row>
    <row r="10" spans="1:15">
      <c r="A10" s="20" t="s">
        <v>53</v>
      </c>
      <c r="B10" s="14">
        <f>[5]Vendedor10!$J$4</f>
        <v>115550</v>
      </c>
      <c r="C10" s="15">
        <f>[5]Vendedor10!$K$4</f>
        <v>13866</v>
      </c>
      <c r="D10" s="16">
        <f>[5]Vendedor10!$L$4</f>
        <v>85000</v>
      </c>
      <c r="E10" s="14">
        <f>[5]Vendedor10!$J$5</f>
        <v>42700</v>
      </c>
      <c r="F10" s="15">
        <f>[5]Vendedor10!$K$5</f>
        <v>5124</v>
      </c>
      <c r="G10" s="17">
        <f>[5]Vendedor10!$L$5</f>
        <v>40000</v>
      </c>
      <c r="H10" s="18">
        <f>[5]Vendedor10!$J$6</f>
        <v>0</v>
      </c>
      <c r="I10" s="15">
        <f>[5]Vendedor10!$K$6</f>
        <v>0</v>
      </c>
      <c r="J10" s="16">
        <f>[5]Vendedor10!$L$6</f>
        <v>0</v>
      </c>
      <c r="K10" s="19">
        <f t="shared" si="1"/>
        <v>158250</v>
      </c>
      <c r="L10" s="15">
        <f t="shared" si="4"/>
        <v>19000</v>
      </c>
      <c r="M10" s="15">
        <f t="shared" si="2"/>
        <v>125000</v>
      </c>
      <c r="N10" s="15">
        <v>0</v>
      </c>
      <c r="O10" s="17">
        <f t="shared" si="3"/>
        <v>14250</v>
      </c>
    </row>
    <row r="11" spans="1:15">
      <c r="A11" s="13" t="s">
        <v>20</v>
      </c>
      <c r="B11" s="14">
        <f>[6]Vendedor10!$J$4</f>
        <v>116350</v>
      </c>
      <c r="C11" s="15">
        <f>[6]Vendedor10!$K$4</f>
        <v>13962</v>
      </c>
      <c r="D11" s="16">
        <f>[6]Vendedor10!$L$4</f>
        <v>85000</v>
      </c>
      <c r="E11" s="14">
        <f>[6]Vendedor10!$J$5</f>
        <v>40550</v>
      </c>
      <c r="F11" s="15">
        <f>[6]Vendedor10!$K$5</f>
        <v>4866</v>
      </c>
      <c r="G11" s="17">
        <f>[6]Vendedor10!$L$5</f>
        <v>24000</v>
      </c>
      <c r="H11" s="18">
        <f>[6]Vendedor10!$J$6</f>
        <v>0</v>
      </c>
      <c r="I11" s="15">
        <f>[6]Vendedor10!$K$6</f>
        <v>0</v>
      </c>
      <c r="J11" s="16">
        <f>[6]Vendedor10!$L$6</f>
        <v>0</v>
      </c>
      <c r="K11" s="19">
        <f t="shared" si="1"/>
        <v>156900</v>
      </c>
      <c r="L11" s="15">
        <f t="shared" si="4"/>
        <v>18850</v>
      </c>
      <c r="M11" s="15">
        <f t="shared" si="2"/>
        <v>109000</v>
      </c>
      <c r="N11" s="15">
        <v>0</v>
      </c>
      <c r="O11" s="17">
        <f t="shared" si="3"/>
        <v>29050</v>
      </c>
    </row>
    <row r="12" spans="1:15">
      <c r="A12" s="20" t="s">
        <v>21</v>
      </c>
      <c r="B12" s="14">
        <f>[7]Vendedor10!$J$4</f>
        <v>117700</v>
      </c>
      <c r="C12" s="15">
        <f>[7]Vendedor10!$K$4</f>
        <v>14124</v>
      </c>
      <c r="D12" s="16">
        <f>[7]Vendedor10!$L$4</f>
        <v>34000</v>
      </c>
      <c r="E12" s="14">
        <f>[7]Vendedor10!$J$5</f>
        <v>42150</v>
      </c>
      <c r="F12" s="15">
        <f>[7]Vendedor10!$K$5</f>
        <v>5058</v>
      </c>
      <c r="G12" s="17">
        <f>[7]Vendedor10!$L$5</f>
        <v>0</v>
      </c>
      <c r="H12" s="18">
        <f>[7]Vendedor10!$J$6</f>
        <v>0</v>
      </c>
      <c r="I12" s="15">
        <f>[7]Vendedor10!$K$6</f>
        <v>0</v>
      </c>
      <c r="J12" s="16">
        <f>[7]Vendedor10!$L$6</f>
        <v>0</v>
      </c>
      <c r="K12" s="19">
        <f t="shared" si="1"/>
        <v>159850</v>
      </c>
      <c r="L12" s="15">
        <f t="shared" si="4"/>
        <v>19200</v>
      </c>
      <c r="M12" s="15">
        <f t="shared" si="2"/>
        <v>34000</v>
      </c>
      <c r="N12" s="15">
        <v>0</v>
      </c>
      <c r="O12" s="17">
        <f t="shared" si="3"/>
        <v>106650</v>
      </c>
    </row>
    <row r="13" spans="1:15">
      <c r="A13" s="13" t="s">
        <v>22</v>
      </c>
      <c r="B13" s="14">
        <f>[8]Vendedor10!$J$4</f>
        <v>84700</v>
      </c>
      <c r="C13" s="15">
        <f>[8]Vendedor10!$K$4</f>
        <v>10164</v>
      </c>
      <c r="D13" s="16">
        <f>[8]Vendedor10!$L$4</f>
        <v>59500</v>
      </c>
      <c r="E13" s="14">
        <f>[8]Vendedor10!$J$5</f>
        <v>35000</v>
      </c>
      <c r="F13" s="15">
        <f>[8]Vendedor10!$K$5</f>
        <v>4200</v>
      </c>
      <c r="G13" s="17">
        <f>[8]Vendedor10!$L$5</f>
        <v>0</v>
      </c>
      <c r="H13" s="18">
        <f>[8]Vendedor10!$J$6</f>
        <v>0</v>
      </c>
      <c r="I13" s="15">
        <f>[8]Vendedor10!$K$6</f>
        <v>0</v>
      </c>
      <c r="J13" s="16">
        <f>[8]Vendedor10!$L$6</f>
        <v>0</v>
      </c>
      <c r="K13" s="19">
        <f t="shared" si="1"/>
        <v>119700</v>
      </c>
      <c r="L13" s="15">
        <f t="shared" si="4"/>
        <v>14350</v>
      </c>
      <c r="M13" s="15">
        <f t="shared" si="2"/>
        <v>59500</v>
      </c>
      <c r="N13" s="15">
        <v>0</v>
      </c>
      <c r="O13" s="17">
        <f t="shared" si="3"/>
        <v>45850</v>
      </c>
    </row>
    <row r="14" spans="1:15">
      <c r="A14" s="20" t="s">
        <v>23</v>
      </c>
      <c r="B14" s="14">
        <f>[9]Vendedor10!$J$4</f>
        <v>86250</v>
      </c>
      <c r="C14" s="15">
        <f>[9]Vendedor10!$K$4</f>
        <v>10350</v>
      </c>
      <c r="D14" s="16">
        <f>[9]Vendedor10!$L$4</f>
        <v>38250</v>
      </c>
      <c r="E14" s="14">
        <f>[9]Vendedor10!$J$5</f>
        <v>32200</v>
      </c>
      <c r="F14" s="15">
        <f>[9]Vendedor10!$K$5</f>
        <v>3864</v>
      </c>
      <c r="G14" s="17">
        <f>[9]Vendedor10!$L$5</f>
        <v>0</v>
      </c>
      <c r="H14" s="18">
        <f>[9]Vendedor10!$J$6</f>
        <v>0</v>
      </c>
      <c r="I14" s="15">
        <f>[9]Vendedor10!$K$6</f>
        <v>0</v>
      </c>
      <c r="J14" s="16">
        <f>[9]Vendedor10!$L$6</f>
        <v>0</v>
      </c>
      <c r="K14" s="19">
        <f t="shared" si="1"/>
        <v>118450</v>
      </c>
      <c r="L14" s="15">
        <f t="shared" si="4"/>
        <v>14200</v>
      </c>
      <c r="M14" s="15">
        <f t="shared" si="2"/>
        <v>38250</v>
      </c>
      <c r="N14" s="15">
        <v>0</v>
      </c>
      <c r="O14" s="17">
        <f t="shared" si="3"/>
        <v>66000</v>
      </c>
    </row>
    <row r="15" spans="1:15">
      <c r="A15" s="13" t="s">
        <v>24</v>
      </c>
      <c r="B15" s="14">
        <f>[12]Vendedor10!$J$4</f>
        <v>63250</v>
      </c>
      <c r="C15" s="15">
        <f>[12]Vendedor10!$K$4</f>
        <v>7590</v>
      </c>
      <c r="D15" s="16">
        <f>[12]Vendedor10!$L$4</f>
        <v>42500</v>
      </c>
      <c r="E15" s="14">
        <f>[12]Vendedor10!$J$5</f>
        <v>41950</v>
      </c>
      <c r="F15" s="15">
        <f>[12]Vendedor10!$K$5</f>
        <v>5034</v>
      </c>
      <c r="G15" s="17">
        <f>[12]Vendedor10!$L$5</f>
        <v>24000</v>
      </c>
      <c r="H15" s="18">
        <f>[12]Vendedor10!$J$6</f>
        <v>0</v>
      </c>
      <c r="I15" s="15">
        <f>[12]Vendedor10!$K$6</f>
        <v>0</v>
      </c>
      <c r="J15" s="16">
        <f>[12]Vendedor10!$L$6</f>
        <v>0</v>
      </c>
      <c r="K15" s="19">
        <f t="shared" si="1"/>
        <v>105200</v>
      </c>
      <c r="L15" s="15">
        <f t="shared" si="4"/>
        <v>12600</v>
      </c>
      <c r="M15" s="15">
        <f t="shared" si="2"/>
        <v>66500</v>
      </c>
      <c r="N15" s="15">
        <v>0</v>
      </c>
      <c r="O15" s="17">
        <f t="shared" si="3"/>
        <v>26100</v>
      </c>
    </row>
    <row r="16" spans="1:15">
      <c r="A16" s="20" t="s">
        <v>25</v>
      </c>
      <c r="B16" s="14">
        <f>[13]Vendedor10!$J$4</f>
        <v>64750</v>
      </c>
      <c r="C16" s="15">
        <f>[13]Vendedor10!$K$4</f>
        <v>7770</v>
      </c>
      <c r="D16" s="16">
        <f>[13]Vendedor10!$L$4</f>
        <v>131750</v>
      </c>
      <c r="E16" s="14">
        <f>[13]Vendedor10!$J$5</f>
        <v>44250</v>
      </c>
      <c r="F16" s="15">
        <f>[13]Vendedor10!$K$5</f>
        <v>5310</v>
      </c>
      <c r="G16" s="17">
        <f>[13]Vendedor10!$L$5</f>
        <v>8000</v>
      </c>
      <c r="H16" s="18">
        <f>[13]Vendedor10!$J$6</f>
        <v>0</v>
      </c>
      <c r="I16" s="15">
        <f>[13]Vendedor10!$K$6</f>
        <v>0</v>
      </c>
      <c r="J16" s="16">
        <f>[13]Vendedor10!$L$6</f>
        <v>0</v>
      </c>
      <c r="K16" s="19">
        <f t="shared" si="1"/>
        <v>109000</v>
      </c>
      <c r="L16" s="15">
        <f t="shared" si="4"/>
        <v>13100</v>
      </c>
      <c r="M16" s="15">
        <f t="shared" si="2"/>
        <v>139750</v>
      </c>
      <c r="N16" s="15">
        <v>0</v>
      </c>
      <c r="O16" s="17">
        <f t="shared" si="3"/>
        <v>-43850</v>
      </c>
    </row>
    <row r="17" spans="1:15">
      <c r="A17" s="13" t="s">
        <v>26</v>
      </c>
      <c r="B17" s="14">
        <f>[14]Vendedor10!$J$4</f>
        <v>71300</v>
      </c>
      <c r="C17" s="15">
        <f>[14]Vendedor10!$K$4</f>
        <v>8556</v>
      </c>
      <c r="D17" s="16">
        <f>[14]Vendedor10!$L$4</f>
        <v>0</v>
      </c>
      <c r="E17" s="14">
        <f>[14]Vendedor10!$J$5</f>
        <v>32300</v>
      </c>
      <c r="F17" s="15">
        <f>[14]Vendedor10!$K$5</f>
        <v>3876</v>
      </c>
      <c r="G17" s="17">
        <f>[14]Vendedor10!$L$5</f>
        <v>20000</v>
      </c>
      <c r="H17" s="18">
        <f>[14]Vendedor10!$J$6</f>
        <v>0</v>
      </c>
      <c r="I17" s="15">
        <f>[14]Vendedor10!$K$6</f>
        <v>0</v>
      </c>
      <c r="J17" s="16">
        <f>[14]Vendedor10!$L$6</f>
        <v>0</v>
      </c>
      <c r="K17" s="19">
        <f t="shared" si="1"/>
        <v>103600</v>
      </c>
      <c r="L17" s="15">
        <f t="shared" si="4"/>
        <v>12450</v>
      </c>
      <c r="M17" s="15">
        <f t="shared" si="2"/>
        <v>20000</v>
      </c>
      <c r="N17" s="15">
        <v>0</v>
      </c>
      <c r="O17" s="17">
        <f t="shared" si="3"/>
        <v>71150</v>
      </c>
    </row>
    <row r="18" spans="1:15">
      <c r="A18" s="20" t="s">
        <v>27</v>
      </c>
      <c r="B18" s="14">
        <f>[15]Vendedor10!$J$4</f>
        <v>65250</v>
      </c>
      <c r="C18" s="15">
        <f>[15]Vendedor10!$K$4</f>
        <v>7830</v>
      </c>
      <c r="D18" s="16">
        <f>[15]Vendedor10!$L$4</f>
        <v>0</v>
      </c>
      <c r="E18" s="14">
        <f>[15]Vendedor10!$J$5</f>
        <v>37750</v>
      </c>
      <c r="F18" s="15">
        <f>[15]Vendedor10!$K$5</f>
        <v>4530</v>
      </c>
      <c r="G18" s="17">
        <f>[15]Vendedor10!$L$5</f>
        <v>0</v>
      </c>
      <c r="H18" s="18">
        <f>[15]Vendedor10!$J$6</f>
        <v>0</v>
      </c>
      <c r="I18" s="15">
        <f>[15]Vendedor10!$K$6</f>
        <v>0</v>
      </c>
      <c r="J18" s="16">
        <f>[15]Vendedor10!$L$6</f>
        <v>0</v>
      </c>
      <c r="K18" s="19">
        <f t="shared" si="1"/>
        <v>103000</v>
      </c>
      <c r="L18" s="15">
        <f t="shared" si="4"/>
        <v>12350</v>
      </c>
      <c r="M18" s="15">
        <f t="shared" si="2"/>
        <v>0</v>
      </c>
      <c r="N18" s="15">
        <v>0</v>
      </c>
      <c r="O18" s="17">
        <f t="shared" si="3"/>
        <v>90650</v>
      </c>
    </row>
    <row r="19" spans="1:15">
      <c r="A19" s="20" t="s">
        <v>28</v>
      </c>
      <c r="B19" s="14">
        <f>[16]Vendedor10!$J$4</f>
        <v>44000</v>
      </c>
      <c r="C19" s="15">
        <f>[16]Vendedor10!$K$4</f>
        <v>5280</v>
      </c>
      <c r="D19" s="16">
        <f>[16]Vendedor10!$L$4</f>
        <v>38250</v>
      </c>
      <c r="E19" s="14">
        <f>[16]Vendedor10!$J$5</f>
        <v>24800</v>
      </c>
      <c r="F19" s="15">
        <f>[16]Vendedor10!$K$5</f>
        <v>2976</v>
      </c>
      <c r="G19" s="17">
        <f>[16]Vendedor10!$L$5</f>
        <v>0</v>
      </c>
      <c r="H19" s="18">
        <f>[16]Vendedor10!$J$6</f>
        <v>0</v>
      </c>
      <c r="I19" s="15">
        <f>[16]Vendedor10!$K$6</f>
        <v>0</v>
      </c>
      <c r="J19" s="16">
        <f>[16]Vendedor10!$L$6</f>
        <v>0</v>
      </c>
      <c r="K19" s="19">
        <f t="shared" si="1"/>
        <v>68800</v>
      </c>
      <c r="L19" s="15">
        <f t="shared" si="4"/>
        <v>8250</v>
      </c>
      <c r="M19" s="15">
        <f t="shared" si="2"/>
        <v>38250</v>
      </c>
      <c r="N19" s="15">
        <v>0</v>
      </c>
      <c r="O19" s="17">
        <f t="shared" si="3"/>
        <v>22300</v>
      </c>
    </row>
    <row r="20" spans="1:15">
      <c r="A20" s="13" t="s">
        <v>29</v>
      </c>
      <c r="B20" s="14">
        <f>[17]Vendedor10!$J$4</f>
        <v>0</v>
      </c>
      <c r="C20" s="15">
        <f>[17]Vendedor10!$K$4</f>
        <v>0</v>
      </c>
      <c r="D20" s="16">
        <f>[17]Vendedor10!$L$4</f>
        <v>0</v>
      </c>
      <c r="E20" s="14">
        <f>[17]Vendedor10!$J$5</f>
        <v>0</v>
      </c>
      <c r="F20" s="15">
        <f>[17]Vendedor10!$K$5</f>
        <v>0</v>
      </c>
      <c r="G20" s="17">
        <f>[17]Vendedor10!$L$5</f>
        <v>0</v>
      </c>
      <c r="H20" s="18">
        <f>[17]Vendedor10!$J$6</f>
        <v>0</v>
      </c>
      <c r="I20" s="15">
        <f>[17]Vendedor10!$K$6</f>
        <v>0</v>
      </c>
      <c r="J20" s="16">
        <f>[17]Vendedor10!$L$6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>
      <c r="A21" s="20" t="s">
        <v>30</v>
      </c>
      <c r="B21" s="14">
        <f>[18]Vendedor10!$J$4</f>
        <v>0</v>
      </c>
      <c r="C21" s="81">
        <f>[18]Vendedor10!$K$4</f>
        <v>0</v>
      </c>
      <c r="D21" s="82">
        <f>[18]Vendedor10!$L$4</f>
        <v>0</v>
      </c>
      <c r="E21" s="14">
        <f>[18]Vendedor10!$J$5</f>
        <v>0</v>
      </c>
      <c r="F21" s="81">
        <f>[18]Vendedor10!$K$5</f>
        <v>0</v>
      </c>
      <c r="G21" s="85">
        <f>[18]Vendedor10!$L$5</f>
        <v>0</v>
      </c>
      <c r="H21" s="19">
        <f>[18]Vendedor10!$J$6</f>
        <v>0</v>
      </c>
      <c r="I21" s="15">
        <f>[18]Vendedor10!$K$6</f>
        <v>0</v>
      </c>
      <c r="J21" s="17">
        <f>[18]Vendedor10!$L$6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>
      <c r="A22" s="13" t="s">
        <v>31</v>
      </c>
      <c r="B22" s="14">
        <f>[19]Vendedor10!$J$4</f>
        <v>0</v>
      </c>
      <c r="C22" s="81">
        <f>[19]Vendedor10!$K$4</f>
        <v>0</v>
      </c>
      <c r="D22" s="82">
        <f>[19]Vendedor10!$L$4</f>
        <v>0</v>
      </c>
      <c r="E22" s="14">
        <f>[19]Vendedor10!$J$5</f>
        <v>0</v>
      </c>
      <c r="F22" s="81">
        <f>[19]Vendedor10!$K$5</f>
        <v>0</v>
      </c>
      <c r="G22" s="85">
        <f>[19]Vendedor10!$L$5</f>
        <v>0</v>
      </c>
      <c r="H22" s="19">
        <f>[19]Vendedor10!$J$6</f>
        <v>0</v>
      </c>
      <c r="I22" s="15">
        <f>[19]Vendedor10!$K$6</f>
        <v>0</v>
      </c>
      <c r="J22" s="17">
        <f>[19]Vendedor10!$L$6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>
      <c r="A23" s="20" t="s">
        <v>32</v>
      </c>
      <c r="B23" s="14">
        <f>[20]Vendedor10!$J$4</f>
        <v>0</v>
      </c>
      <c r="C23" s="81">
        <f>[20]Vendedor10!$K$4</f>
        <v>0</v>
      </c>
      <c r="D23" s="82">
        <f>[20]Vendedor10!$L$4</f>
        <v>0</v>
      </c>
      <c r="E23" s="14">
        <f>[20]Vendedor10!$J$5</f>
        <v>0</v>
      </c>
      <c r="F23" s="81">
        <f>[20]Vendedor10!$K$5</f>
        <v>0</v>
      </c>
      <c r="G23" s="85">
        <f>[20]Vendedor10!$L$5</f>
        <v>0</v>
      </c>
      <c r="H23" s="19">
        <f>[20]Vendedor10!$J$6</f>
        <v>0</v>
      </c>
      <c r="I23" s="15">
        <f>[20]Vendedor10!$K$6</f>
        <v>0</v>
      </c>
      <c r="J23" s="17">
        <f>[20]Vendedor10!$L$6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>
      <c r="A24" s="13" t="s">
        <v>33</v>
      </c>
      <c r="B24" s="14">
        <f>[21]Vendedor10!$J$4</f>
        <v>0</v>
      </c>
      <c r="C24" s="81">
        <f>[21]Vendedor10!$K$4</f>
        <v>0</v>
      </c>
      <c r="D24" s="82">
        <f>[21]Vendedor10!$L$4</f>
        <v>0</v>
      </c>
      <c r="E24" s="14">
        <f>[21]Vendedor10!$J$5</f>
        <v>0</v>
      </c>
      <c r="F24" s="81">
        <f>[21]Vendedor10!$K$5</f>
        <v>0</v>
      </c>
      <c r="G24" s="85">
        <f>[21]Vendedor10!$L$5</f>
        <v>0</v>
      </c>
      <c r="H24" s="19">
        <f>[21]Vendedor10!$J$6</f>
        <v>0</v>
      </c>
      <c r="I24" s="15">
        <f>[21]Vendedor10!$K$6</f>
        <v>0</v>
      </c>
      <c r="J24" s="17">
        <f>[21]Vendedor10!$L$6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>
      <c r="A25" s="20" t="s">
        <v>34</v>
      </c>
      <c r="B25" s="14">
        <f>[22]Vendedor10!$J$4</f>
        <v>0</v>
      </c>
      <c r="C25" s="81">
        <f>[22]Vendedor10!$K$4</f>
        <v>0</v>
      </c>
      <c r="D25" s="82">
        <f>[22]Vendedor10!$L$4</f>
        <v>0</v>
      </c>
      <c r="E25" s="14">
        <f>[22]Vendedor10!$J$5</f>
        <v>0</v>
      </c>
      <c r="F25" s="81">
        <f>[22]Vendedor10!$K$5</f>
        <v>0</v>
      </c>
      <c r="G25" s="85">
        <f>[22]Vendedor10!$L$5</f>
        <v>0</v>
      </c>
      <c r="H25" s="19">
        <f>[22]Vendedor10!$J$6</f>
        <v>0</v>
      </c>
      <c r="I25" s="15">
        <f>[22]Vendedor10!$K$6</f>
        <v>0</v>
      </c>
      <c r="J25" s="17">
        <f>[22]Vendedor10!$L$6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>
      <c r="A26" s="13" t="s">
        <v>35</v>
      </c>
      <c r="B26" s="14">
        <f>[23]Vendedor10!$J$4</f>
        <v>0</v>
      </c>
      <c r="C26" s="81">
        <f>[23]Vendedor10!$K$4</f>
        <v>0</v>
      </c>
      <c r="D26" s="82">
        <f>[23]Vendedor10!$L$4</f>
        <v>0</v>
      </c>
      <c r="E26" s="14">
        <f>[23]Vendedor10!$J$5</f>
        <v>0</v>
      </c>
      <c r="F26" s="81">
        <f>[23]Vendedor10!$K$5</f>
        <v>0</v>
      </c>
      <c r="G26" s="85">
        <f>[23]Vendedor10!$L$5</f>
        <v>0</v>
      </c>
      <c r="H26" s="19">
        <f>[23]Vendedor10!$J$6</f>
        <v>0</v>
      </c>
      <c r="I26" s="15">
        <f>[23]Vendedor10!$K$6</f>
        <v>0</v>
      </c>
      <c r="J26" s="17">
        <f>[23]Vendedor10!$L$6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>
      <c r="A27" s="20" t="s">
        <v>36</v>
      </c>
      <c r="B27" s="14">
        <f>[24]Vendedor10!$J$4</f>
        <v>0</v>
      </c>
      <c r="C27" s="81">
        <f>[24]Vendedor10!$K$4</f>
        <v>0</v>
      </c>
      <c r="D27" s="82">
        <f>[24]Vendedor10!$L$4</f>
        <v>0</v>
      </c>
      <c r="E27" s="14">
        <f>[24]Vendedor10!$J$5</f>
        <v>0</v>
      </c>
      <c r="F27" s="81">
        <f>[24]Vendedor10!$K$5</f>
        <v>0</v>
      </c>
      <c r="G27" s="85">
        <f>[24]Vendedor10!$L$5</f>
        <v>0</v>
      </c>
      <c r="H27" s="19">
        <f>[24]Vendedor10!$J$6</f>
        <v>0</v>
      </c>
      <c r="I27" s="15">
        <f>[24]Vendedor10!$K$6</f>
        <v>0</v>
      </c>
      <c r="J27" s="17">
        <f>[24]Vendedor10!$L$6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>
      <c r="A28" s="13" t="s">
        <v>37</v>
      </c>
      <c r="B28" s="14">
        <f>[25]Vendedor10!$J$4</f>
        <v>0</v>
      </c>
      <c r="C28" s="81">
        <f>[25]Vendedor10!$K$4</f>
        <v>0</v>
      </c>
      <c r="D28" s="82">
        <f>[25]Vendedor10!$L$4</f>
        <v>0</v>
      </c>
      <c r="E28" s="14">
        <f>[25]Vendedor10!$J$5</f>
        <v>0</v>
      </c>
      <c r="F28" s="81">
        <f>[25]Vendedor10!$K$5</f>
        <v>0</v>
      </c>
      <c r="G28" s="85">
        <f>[25]Vendedor10!$L$5</f>
        <v>0</v>
      </c>
      <c r="H28" s="19">
        <f>[25]Vendedor10!$J$6</f>
        <v>0</v>
      </c>
      <c r="I28" s="15">
        <f>[25]Vendedor10!$K$6</f>
        <v>0</v>
      </c>
      <c r="J28" s="17">
        <f>[25]Vendedor10!$L$6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>
      <c r="A29" s="20" t="s">
        <v>38</v>
      </c>
      <c r="B29" s="14">
        <f>[26]Vendedor10!$J$4</f>
        <v>0</v>
      </c>
      <c r="C29" s="81">
        <f>[26]Vendedor10!$K$4</f>
        <v>0</v>
      </c>
      <c r="D29" s="82">
        <f>[26]Vendedor10!$L$4</f>
        <v>0</v>
      </c>
      <c r="E29" s="14">
        <f>[26]Vendedor10!$J$5</f>
        <v>0</v>
      </c>
      <c r="F29" s="81">
        <f>[26]Vendedor10!$K$5</f>
        <v>0</v>
      </c>
      <c r="G29" s="85">
        <f>[26]Vendedor10!$L$5</f>
        <v>0</v>
      </c>
      <c r="H29" s="19">
        <f>[26]Vendedor10!$J$6</f>
        <v>0</v>
      </c>
      <c r="I29" s="15">
        <f>[26]Vendedor10!$K$6</f>
        <v>0</v>
      </c>
      <c r="J29" s="17">
        <f>[26]Vendedor10!$L$6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>
      <c r="A30" s="13" t="s">
        <v>39</v>
      </c>
      <c r="B30" s="14">
        <f>[27]Vendedor10!$J$4</f>
        <v>0</v>
      </c>
      <c r="C30" s="81">
        <f>[27]Vendedor10!$K$4</f>
        <v>0</v>
      </c>
      <c r="D30" s="82">
        <f>[27]Vendedor10!$L$4</f>
        <v>0</v>
      </c>
      <c r="E30" s="14">
        <f>[27]Vendedor10!$J$5</f>
        <v>0</v>
      </c>
      <c r="F30" s="81">
        <f>[27]Vendedor10!$K$5</f>
        <v>0</v>
      </c>
      <c r="G30" s="85">
        <f>[27]Vendedor10!$L$5</f>
        <v>0</v>
      </c>
      <c r="H30" s="19">
        <f>[27]Vendedor10!$J$6</f>
        <v>0</v>
      </c>
      <c r="I30" s="15">
        <f>[27]Vendedor10!$K$6</f>
        <v>0</v>
      </c>
      <c r="J30" s="17">
        <f>[27]Vendedor10!$L$6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>
      <c r="A31" s="20" t="s">
        <v>40</v>
      </c>
      <c r="B31" s="14">
        <f>[28]Vendedor10!$J$4</f>
        <v>0</v>
      </c>
      <c r="C31" s="81">
        <f>[28]Vendedor10!$K$4</f>
        <v>0</v>
      </c>
      <c r="D31" s="82">
        <f>[28]Vendedor10!$L$4</f>
        <v>0</v>
      </c>
      <c r="E31" s="14">
        <f>[28]Vendedor10!$J$5</f>
        <v>0</v>
      </c>
      <c r="F31" s="81">
        <f>[28]Vendedor10!$K$5</f>
        <v>0</v>
      </c>
      <c r="G31" s="85">
        <f>[28]Vendedor10!$L$5</f>
        <v>0</v>
      </c>
      <c r="H31" s="19">
        <f>[28]Vendedor10!$J$6</f>
        <v>0</v>
      </c>
      <c r="I31" s="15">
        <f>[28]Vendedor10!$K$6</f>
        <v>0</v>
      </c>
      <c r="J31" s="17">
        <f>[28]Vendedor10!$L$6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>
      <c r="A32" s="20" t="s">
        <v>41</v>
      </c>
      <c r="B32" s="14">
        <f>[29]Vendedor10!$J$4</f>
        <v>0</v>
      </c>
      <c r="C32" s="81">
        <f>[29]Vendedor10!$K$4</f>
        <v>0</v>
      </c>
      <c r="D32" s="82">
        <f>[29]Vendedor10!$L$4</f>
        <v>0</v>
      </c>
      <c r="E32" s="14">
        <f>[29]Vendedor10!$J$5</f>
        <v>0</v>
      </c>
      <c r="F32" s="81">
        <f>[29]Vendedor10!$K$5</f>
        <v>0</v>
      </c>
      <c r="G32" s="85">
        <f>[29]Vendedor10!$L$5</f>
        <v>0</v>
      </c>
      <c r="H32" s="19">
        <f>[29]Vendedor10!$J$6</f>
        <v>0</v>
      </c>
      <c r="I32" s="15">
        <f>[29]Vendedor10!$K$6</f>
        <v>0</v>
      </c>
      <c r="J32" s="17">
        <f>[29]Vendedor10!$L$6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>
      <c r="A33" s="13" t="s">
        <v>42</v>
      </c>
      <c r="B33" s="14">
        <f>[30]Vendedor10!$J$4</f>
        <v>0</v>
      </c>
      <c r="C33" s="81">
        <f>[30]Vendedor10!$K$4</f>
        <v>0</v>
      </c>
      <c r="D33" s="82">
        <f>[30]Vendedor10!$L$4</f>
        <v>0</v>
      </c>
      <c r="E33" s="14">
        <f>[30]Vendedor10!$J$5</f>
        <v>0</v>
      </c>
      <c r="F33" s="81">
        <f>[30]Vendedor10!$K$5</f>
        <v>0</v>
      </c>
      <c r="G33" s="85">
        <f>[30]Vendedor10!$L$5</f>
        <v>0</v>
      </c>
      <c r="H33" s="19">
        <f>[30]Vendedor10!$J$6</f>
        <v>0</v>
      </c>
      <c r="I33" s="15">
        <f>[30]Vendedor10!$K$6</f>
        <v>0</v>
      </c>
      <c r="J33" s="17">
        <f>[30]Vendedor10!$L$6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>
      <c r="A34" s="20" t="s">
        <v>43</v>
      </c>
      <c r="B34" s="14">
        <f>[31]Vendedor10!$J$4</f>
        <v>0</v>
      </c>
      <c r="C34" s="81">
        <f>[31]Vendedor10!$K$4</f>
        <v>0</v>
      </c>
      <c r="D34" s="82">
        <f>[31]Vendedor10!$L$4</f>
        <v>0</v>
      </c>
      <c r="E34" s="14">
        <f>[31]Vendedor10!$J$5</f>
        <v>0</v>
      </c>
      <c r="F34" s="81">
        <f>[31]Vendedor10!$K$5</f>
        <v>0</v>
      </c>
      <c r="G34" s="85">
        <f>[31]Vendedor10!$L$5</f>
        <v>0</v>
      </c>
      <c r="H34" s="19">
        <f>[31]Vendedor10!$J$6</f>
        <v>0</v>
      </c>
      <c r="I34" s="15">
        <f>[31]Vendedor10!$K$6</f>
        <v>0</v>
      </c>
      <c r="J34" s="17">
        <f>[31]Vendedor10!$L$6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>
      <c r="A35" s="13" t="s">
        <v>44</v>
      </c>
      <c r="B35" s="14">
        <f>[10]Vendedor10!$J$4</f>
        <v>0</v>
      </c>
      <c r="C35" s="81">
        <f>[10]Vendedor10!$K$4</f>
        <v>0</v>
      </c>
      <c r="D35" s="82">
        <f>[10]Vendedor10!$L$4</f>
        <v>0</v>
      </c>
      <c r="E35" s="14">
        <f>[10]Vendedor10!$J$5</f>
        <v>0</v>
      </c>
      <c r="F35" s="81">
        <f>[10]Vendedor10!$K$5</f>
        <v>0</v>
      </c>
      <c r="G35" s="85">
        <f>[10]Vendedor10!$L$5</f>
        <v>0</v>
      </c>
      <c r="H35" s="19">
        <f>[10]Vendedor10!$J$6</f>
        <v>0</v>
      </c>
      <c r="I35" s="15">
        <f>[10]Vendedor10!$K$6</f>
        <v>0</v>
      </c>
      <c r="J35" s="17">
        <f>[10]Vendedor10!$L$6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>
      <c r="A36" s="20" t="s">
        <v>45</v>
      </c>
      <c r="B36" s="21">
        <f>[11]Vendedor10!$J$4</f>
        <v>0</v>
      </c>
      <c r="C36" s="83">
        <f>[11]Vendedor10!$K$4</f>
        <v>0</v>
      </c>
      <c r="D36" s="84">
        <f>[11]Vendedor10!$L$4</f>
        <v>0</v>
      </c>
      <c r="E36" s="21">
        <f>[11]Vendedor10!$J$5</f>
        <v>0</v>
      </c>
      <c r="F36" s="83">
        <f>[11]Vendedor10!$K$5</f>
        <v>0</v>
      </c>
      <c r="G36" s="86">
        <f>[11]Vendedor10!$L$5</f>
        <v>0</v>
      </c>
      <c r="H36" s="26">
        <f>[11]Vendedor10!$J$6</f>
        <v>0</v>
      </c>
      <c r="I36" s="22">
        <f>[11]Vendedor10!$K$6</f>
        <v>0</v>
      </c>
      <c r="J36" s="24">
        <f>[11]Vendedor10!$L$6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75">
      <c r="A37" s="5" t="s">
        <v>46</v>
      </c>
      <c r="B37" s="27">
        <f t="shared" ref="B37:M37" si="5">SUM(B6:B36)</f>
        <v>1145000</v>
      </c>
      <c r="C37" s="28">
        <f t="shared" si="5"/>
        <v>137400</v>
      </c>
      <c r="D37" s="29">
        <f t="shared" si="5"/>
        <v>947750</v>
      </c>
      <c r="E37" s="30">
        <f t="shared" si="5"/>
        <v>517300</v>
      </c>
      <c r="F37" s="28">
        <f t="shared" si="5"/>
        <v>62076</v>
      </c>
      <c r="G37" s="31">
        <f t="shared" si="5"/>
        <v>204000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1662300</v>
      </c>
      <c r="L37" s="28">
        <f t="shared" si="5"/>
        <v>199500</v>
      </c>
      <c r="M37" s="28">
        <f t="shared" si="5"/>
        <v>1151750</v>
      </c>
      <c r="N37" s="32">
        <f>SUM(N5:N36)</f>
        <v>0</v>
      </c>
      <c r="O37" s="33">
        <f>SUM(O5:O36)</f>
        <v>311050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7"/>
  <sheetViews>
    <sheetView showGridLines="0" zoomScale="90" zoomScaleNormal="90" workbookViewId="0">
      <selection activeCell="B3" sqref="B3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1406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139</v>
      </c>
      <c r="C2" s="137"/>
      <c r="D2" s="137"/>
      <c r="I2" s="3" t="s">
        <v>2</v>
      </c>
      <c r="J2" s="4">
        <v>0.15</v>
      </c>
      <c r="K2" s="3" t="s">
        <v>3</v>
      </c>
      <c r="L2" s="4">
        <v>0</v>
      </c>
      <c r="M2" s="3" t="s">
        <v>4</v>
      </c>
      <c r="N2" s="4">
        <v>0.1</v>
      </c>
    </row>
    <row r="4" spans="1:15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/>
      <c r="O5" s="70">
        <f t="shared" ref="O5" si="0">+K5-L5-M5+N5</f>
        <v>0</v>
      </c>
    </row>
    <row r="6" spans="1:15">
      <c r="A6" s="20" t="s">
        <v>49</v>
      </c>
      <c r="B6" s="53">
        <f>[1]Vendedor11!$J$4</f>
        <v>96300</v>
      </c>
      <c r="C6" s="87">
        <f>[1]Vendedor11!$K$4</f>
        <v>14445</v>
      </c>
      <c r="D6" s="88">
        <f>[1]Vendedor11!$L$4</f>
        <v>284000</v>
      </c>
      <c r="E6" s="53">
        <f>[1]Vendedor11!$J$5</f>
        <v>0</v>
      </c>
      <c r="F6" s="87">
        <f>[1]Vendedor11!$K$5</f>
        <v>0</v>
      </c>
      <c r="G6" s="89">
        <f>[1]Vendedor11!$L$5</f>
        <v>0</v>
      </c>
      <c r="H6" s="59">
        <f>[1]Vendedor11!$J$6</f>
        <v>0</v>
      </c>
      <c r="I6" s="58">
        <f>[1]Vendedor11!$K$6</f>
        <v>0</v>
      </c>
      <c r="J6" s="55">
        <f>[1]Vendedor11!$L$6</f>
        <v>0</v>
      </c>
      <c r="K6" s="59">
        <f t="shared" ref="K6:K36" si="1">+B6+E6+H6</f>
        <v>96300</v>
      </c>
      <c r="L6" s="58">
        <f>MROUND(C6+F6+I6,50)</f>
        <v>14450</v>
      </c>
      <c r="M6" s="58">
        <f t="shared" ref="M6:M36" si="2">+D6+G6+J6</f>
        <v>284000</v>
      </c>
      <c r="N6" s="58">
        <v>0</v>
      </c>
      <c r="O6" s="55">
        <f t="shared" ref="O6:O36" si="3">+K6-L6-M6+N6</f>
        <v>-202150</v>
      </c>
    </row>
    <row r="7" spans="1:15">
      <c r="A7" s="13" t="s">
        <v>50</v>
      </c>
      <c r="B7" s="14">
        <f>[2]Vendedor11!$J$4</f>
        <v>111800</v>
      </c>
      <c r="C7" s="81">
        <f>[2]Vendedor11!$K$4</f>
        <v>16770</v>
      </c>
      <c r="D7" s="82">
        <f>[2]Vendedor11!$L$4</f>
        <v>16000</v>
      </c>
      <c r="E7" s="14">
        <f>[2]Vendedor11!$J$5</f>
        <v>0</v>
      </c>
      <c r="F7" s="81">
        <f>[2]Vendedor11!$K$5</f>
        <v>0</v>
      </c>
      <c r="G7" s="85">
        <f>[2]Vendedor11!$L$5</f>
        <v>0</v>
      </c>
      <c r="H7" s="19">
        <f>[2]Vendedor11!$J$6</f>
        <v>0</v>
      </c>
      <c r="I7" s="15">
        <f>[2]Vendedor11!$K$6</f>
        <v>0</v>
      </c>
      <c r="J7" s="17">
        <f>[2]Vendedor11!$L$6</f>
        <v>0</v>
      </c>
      <c r="K7" s="19">
        <f t="shared" si="1"/>
        <v>111800</v>
      </c>
      <c r="L7" s="15">
        <f t="shared" ref="L7:L36" si="4">MROUND(C7+F7+I7,50)</f>
        <v>16750</v>
      </c>
      <c r="M7" s="15">
        <f t="shared" si="2"/>
        <v>16000</v>
      </c>
      <c r="N7" s="15">
        <v>0</v>
      </c>
      <c r="O7" s="17">
        <f t="shared" si="3"/>
        <v>79050</v>
      </c>
    </row>
    <row r="8" spans="1:15">
      <c r="A8" s="20" t="s">
        <v>51</v>
      </c>
      <c r="B8" s="14">
        <f>[3]Vendedor11!$J$4</f>
        <v>98700</v>
      </c>
      <c r="C8" s="81">
        <f>[3]Vendedor11!$K$4</f>
        <v>14805</v>
      </c>
      <c r="D8" s="82">
        <f>[3]Vendedor11!$L$4</f>
        <v>0</v>
      </c>
      <c r="E8" s="14">
        <f>[3]Vendedor11!$J$5</f>
        <v>0</v>
      </c>
      <c r="F8" s="81">
        <f>[3]Vendedor11!$K$5</f>
        <v>0</v>
      </c>
      <c r="G8" s="85">
        <f>[3]Vendedor11!$L$5</f>
        <v>0</v>
      </c>
      <c r="H8" s="19">
        <f>[3]Vendedor11!$J$6</f>
        <v>0</v>
      </c>
      <c r="I8" s="15">
        <f>[3]Vendedor11!$K$6</f>
        <v>0</v>
      </c>
      <c r="J8" s="17">
        <f>[3]Vendedor11!$L$6</f>
        <v>0</v>
      </c>
      <c r="K8" s="19">
        <f t="shared" si="1"/>
        <v>98700</v>
      </c>
      <c r="L8" s="15">
        <f t="shared" si="4"/>
        <v>14800</v>
      </c>
      <c r="M8" s="15">
        <f t="shared" si="2"/>
        <v>0</v>
      </c>
      <c r="N8" s="15">
        <v>0</v>
      </c>
      <c r="O8" s="17">
        <f t="shared" si="3"/>
        <v>83900</v>
      </c>
    </row>
    <row r="9" spans="1:15">
      <c r="A9" s="13" t="s">
        <v>52</v>
      </c>
      <c r="B9" s="14">
        <f>[4]Vendedor11!$J$4</f>
        <v>96500</v>
      </c>
      <c r="C9" s="81">
        <f>[4]Vendedor11!$K$4</f>
        <v>14475</v>
      </c>
      <c r="D9" s="82">
        <f>[4]Vendedor11!$L$4</f>
        <v>100000</v>
      </c>
      <c r="E9" s="14">
        <f>[4]Vendedor11!$J$5</f>
        <v>0</v>
      </c>
      <c r="F9" s="81">
        <f>[4]Vendedor11!$K$5</f>
        <v>0</v>
      </c>
      <c r="G9" s="85">
        <f>[4]Vendedor11!$L$5</f>
        <v>0</v>
      </c>
      <c r="H9" s="19">
        <f>[4]Vendedor11!$J$6</f>
        <v>0</v>
      </c>
      <c r="I9" s="15">
        <f>[4]Vendedor11!$K$6</f>
        <v>0</v>
      </c>
      <c r="J9" s="17">
        <f>[4]Vendedor11!$L$6</f>
        <v>0</v>
      </c>
      <c r="K9" s="19">
        <f t="shared" si="1"/>
        <v>96500</v>
      </c>
      <c r="L9" s="15">
        <f t="shared" si="4"/>
        <v>14500</v>
      </c>
      <c r="M9" s="15">
        <f t="shared" si="2"/>
        <v>100000</v>
      </c>
      <c r="N9" s="15">
        <v>0</v>
      </c>
      <c r="O9" s="17">
        <f t="shared" si="3"/>
        <v>-18000</v>
      </c>
    </row>
    <row r="10" spans="1:15">
      <c r="A10" s="20" t="s">
        <v>53</v>
      </c>
      <c r="B10" s="14">
        <f>[5]Vendedor11!$J$4</f>
        <v>84450</v>
      </c>
      <c r="C10" s="81">
        <f>[5]Vendedor11!$K$4</f>
        <v>12667.5</v>
      </c>
      <c r="D10" s="82">
        <f>[5]Vendedor11!$L$4</f>
        <v>16000</v>
      </c>
      <c r="E10" s="14">
        <f>[5]Vendedor11!$J$5</f>
        <v>0</v>
      </c>
      <c r="F10" s="81">
        <f>[5]Vendedor11!$K$5</f>
        <v>0</v>
      </c>
      <c r="G10" s="85">
        <f>[5]Vendedor11!$L$5</f>
        <v>0</v>
      </c>
      <c r="H10" s="19">
        <f>[5]Vendedor11!$J$6</f>
        <v>0</v>
      </c>
      <c r="I10" s="15">
        <f>[5]Vendedor11!$K$6</f>
        <v>0</v>
      </c>
      <c r="J10" s="17">
        <f>[5]Vendedor11!$L$6</f>
        <v>0</v>
      </c>
      <c r="K10" s="19">
        <f t="shared" si="1"/>
        <v>84450</v>
      </c>
      <c r="L10" s="15">
        <f t="shared" si="4"/>
        <v>12650</v>
      </c>
      <c r="M10" s="15">
        <f t="shared" si="2"/>
        <v>16000</v>
      </c>
      <c r="N10" s="15">
        <v>0</v>
      </c>
      <c r="O10" s="17">
        <f t="shared" si="3"/>
        <v>55800</v>
      </c>
    </row>
    <row r="11" spans="1:15">
      <c r="A11" s="13" t="s">
        <v>20</v>
      </c>
      <c r="B11" s="14">
        <f>[6]Vendedor11!$J$4</f>
        <v>93750</v>
      </c>
      <c r="C11" s="81">
        <f>[6]Vendedor11!$K$4</f>
        <v>14062.5</v>
      </c>
      <c r="D11" s="82">
        <f>[6]Vendedor11!$L$4</f>
        <v>148000</v>
      </c>
      <c r="E11" s="14">
        <f>[6]Vendedor11!$J$5</f>
        <v>0</v>
      </c>
      <c r="F11" s="81">
        <f>[6]Vendedor11!$K$5</f>
        <v>0</v>
      </c>
      <c r="G11" s="85">
        <f>[6]Vendedor11!$L$5</f>
        <v>0</v>
      </c>
      <c r="H11" s="19">
        <f>[6]Vendedor11!$J$6</f>
        <v>0</v>
      </c>
      <c r="I11" s="15">
        <f>[6]Vendedor11!$K$6</f>
        <v>0</v>
      </c>
      <c r="J11" s="17">
        <f>[6]Vendedor11!$L$6</f>
        <v>0</v>
      </c>
      <c r="K11" s="19">
        <f t="shared" si="1"/>
        <v>93750</v>
      </c>
      <c r="L11" s="15">
        <f t="shared" si="4"/>
        <v>14050</v>
      </c>
      <c r="M11" s="15">
        <f t="shared" si="2"/>
        <v>148000</v>
      </c>
      <c r="N11" s="15">
        <v>0</v>
      </c>
      <c r="O11" s="17">
        <f t="shared" si="3"/>
        <v>-68300</v>
      </c>
    </row>
    <row r="12" spans="1:15">
      <c r="A12" s="20" t="s">
        <v>21</v>
      </c>
      <c r="B12" s="14">
        <f>[7]Vendedor11!$J$4</f>
        <v>92000</v>
      </c>
      <c r="C12" s="81">
        <f>[7]Vendedor11!$K$4</f>
        <v>13800</v>
      </c>
      <c r="D12" s="82">
        <f>[7]Vendedor11!$L$4</f>
        <v>24000</v>
      </c>
      <c r="E12" s="14">
        <f>[7]Vendedor11!$J$5</f>
        <v>0</v>
      </c>
      <c r="F12" s="81">
        <f>[7]Vendedor11!$K$5</f>
        <v>0</v>
      </c>
      <c r="G12" s="85">
        <f>[7]Vendedor11!$L$5</f>
        <v>0</v>
      </c>
      <c r="H12" s="19">
        <f>[7]Vendedor11!$J$6</f>
        <v>0</v>
      </c>
      <c r="I12" s="15">
        <f>[7]Vendedor11!$K$6</f>
        <v>0</v>
      </c>
      <c r="J12" s="17">
        <f>[7]Vendedor11!$L$6</f>
        <v>0</v>
      </c>
      <c r="K12" s="19">
        <f t="shared" si="1"/>
        <v>92000</v>
      </c>
      <c r="L12" s="15">
        <f t="shared" si="4"/>
        <v>13800</v>
      </c>
      <c r="M12" s="15">
        <f t="shared" si="2"/>
        <v>24000</v>
      </c>
      <c r="N12" s="15">
        <v>0</v>
      </c>
      <c r="O12" s="17">
        <f t="shared" si="3"/>
        <v>54200</v>
      </c>
    </row>
    <row r="13" spans="1:15">
      <c r="A13" s="13" t="s">
        <v>22</v>
      </c>
      <c r="B13" s="14">
        <f>[8]Vendedor11!$J$4</f>
        <v>68050</v>
      </c>
      <c r="C13" s="81">
        <f>[8]Vendedor11!$K$4</f>
        <v>10207.5</v>
      </c>
      <c r="D13" s="82">
        <f>[8]Vendedor11!$L$4</f>
        <v>40000</v>
      </c>
      <c r="E13" s="14">
        <f>[8]Vendedor11!$J$5</f>
        <v>0</v>
      </c>
      <c r="F13" s="81">
        <f>[8]Vendedor11!$K$5</f>
        <v>0</v>
      </c>
      <c r="G13" s="85">
        <f>[8]Vendedor11!$L$5</f>
        <v>0</v>
      </c>
      <c r="H13" s="19">
        <f>[8]Vendedor11!$J$6</f>
        <v>0</v>
      </c>
      <c r="I13" s="15">
        <f>[8]Vendedor11!$K$6</f>
        <v>0</v>
      </c>
      <c r="J13" s="17">
        <f>[8]Vendedor11!$L$6</f>
        <v>0</v>
      </c>
      <c r="K13" s="19">
        <f t="shared" si="1"/>
        <v>68050</v>
      </c>
      <c r="L13" s="15">
        <f t="shared" si="4"/>
        <v>10200</v>
      </c>
      <c r="M13" s="15">
        <f t="shared" si="2"/>
        <v>40000</v>
      </c>
      <c r="N13" s="15">
        <v>0</v>
      </c>
      <c r="O13" s="17">
        <f t="shared" si="3"/>
        <v>17850</v>
      </c>
    </row>
    <row r="14" spans="1:15">
      <c r="A14" s="20" t="s">
        <v>23</v>
      </c>
      <c r="B14" s="14">
        <f>[9]Vendedor11!$J$4</f>
        <v>59300</v>
      </c>
      <c r="C14" s="81">
        <f>[9]Vendedor11!$K$4</f>
        <v>8895</v>
      </c>
      <c r="D14" s="82">
        <f>[9]Vendedor11!$L$4</f>
        <v>0</v>
      </c>
      <c r="E14" s="14">
        <f>[9]Vendedor11!$J$5</f>
        <v>0</v>
      </c>
      <c r="F14" s="81">
        <f>[9]Vendedor11!$K$5</f>
        <v>0</v>
      </c>
      <c r="G14" s="85">
        <f>[9]Vendedor11!$L$5</f>
        <v>0</v>
      </c>
      <c r="H14" s="19">
        <f>[9]Vendedor11!$J$6</f>
        <v>0</v>
      </c>
      <c r="I14" s="15">
        <f>[9]Vendedor11!$K$6</f>
        <v>0</v>
      </c>
      <c r="J14" s="17">
        <f>[9]Vendedor11!$L$6</f>
        <v>0</v>
      </c>
      <c r="K14" s="19">
        <f t="shared" si="1"/>
        <v>59300</v>
      </c>
      <c r="L14" s="15">
        <f t="shared" si="4"/>
        <v>8900</v>
      </c>
      <c r="M14" s="15">
        <f t="shared" si="2"/>
        <v>0</v>
      </c>
      <c r="N14" s="15">
        <v>0</v>
      </c>
      <c r="O14" s="17">
        <f t="shared" si="3"/>
        <v>50400</v>
      </c>
    </row>
    <row r="15" spans="1:15">
      <c r="A15" s="13" t="s">
        <v>24</v>
      </c>
      <c r="B15" s="14">
        <f>[12]Vendedor11!$J$4</f>
        <v>93650</v>
      </c>
      <c r="C15" s="81">
        <f>[12]Vendedor11!$K$4</f>
        <v>14047.5</v>
      </c>
      <c r="D15" s="82">
        <f>[12]Vendedor11!$L$4</f>
        <v>80000</v>
      </c>
      <c r="E15" s="14">
        <f>[12]Vendedor11!$J$5</f>
        <v>0</v>
      </c>
      <c r="F15" s="81">
        <f>[12]Vendedor11!$K$5</f>
        <v>0</v>
      </c>
      <c r="G15" s="85">
        <f>[12]Vendedor11!$L$5</f>
        <v>0</v>
      </c>
      <c r="H15" s="19">
        <f>[12]Vendedor11!$J$6</f>
        <v>0</v>
      </c>
      <c r="I15" s="15">
        <f>[12]Vendedor11!$K$6</f>
        <v>0</v>
      </c>
      <c r="J15" s="17">
        <f>[12]Vendedor11!$L$6</f>
        <v>0</v>
      </c>
      <c r="K15" s="19">
        <f t="shared" si="1"/>
        <v>93650</v>
      </c>
      <c r="L15" s="15">
        <f t="shared" si="4"/>
        <v>14050</v>
      </c>
      <c r="M15" s="15">
        <f t="shared" si="2"/>
        <v>80000</v>
      </c>
      <c r="N15" s="15">
        <v>0</v>
      </c>
      <c r="O15" s="17">
        <f t="shared" si="3"/>
        <v>-400</v>
      </c>
    </row>
    <row r="16" spans="1:15">
      <c r="A16" s="20" t="s">
        <v>25</v>
      </c>
      <c r="B16" s="14">
        <f>[13]Vendedor11!$J$4</f>
        <v>81650</v>
      </c>
      <c r="C16" s="81">
        <f>[13]Vendedor11!$K$4</f>
        <v>12247.5</v>
      </c>
      <c r="D16" s="82">
        <f>[13]Vendedor11!$L$4</f>
        <v>0</v>
      </c>
      <c r="E16" s="14">
        <f>[13]Vendedor11!$J$5</f>
        <v>0</v>
      </c>
      <c r="F16" s="81">
        <f>[13]Vendedor11!$K$5</f>
        <v>0</v>
      </c>
      <c r="G16" s="85">
        <f>[13]Vendedor11!$L$5</f>
        <v>0</v>
      </c>
      <c r="H16" s="19">
        <f>[13]Vendedor11!$J$6</f>
        <v>0</v>
      </c>
      <c r="I16" s="15">
        <f>[13]Vendedor11!$K$6</f>
        <v>0</v>
      </c>
      <c r="J16" s="17">
        <f>[13]Vendedor11!$L$6</f>
        <v>0</v>
      </c>
      <c r="K16" s="19">
        <f t="shared" si="1"/>
        <v>81650</v>
      </c>
      <c r="L16" s="15">
        <f t="shared" si="4"/>
        <v>12250</v>
      </c>
      <c r="M16" s="15">
        <f t="shared" si="2"/>
        <v>0</v>
      </c>
      <c r="N16" s="15">
        <v>0</v>
      </c>
      <c r="O16" s="17">
        <f t="shared" si="3"/>
        <v>69400</v>
      </c>
    </row>
    <row r="17" spans="1:15">
      <c r="A17" s="13" t="s">
        <v>26</v>
      </c>
      <c r="B17" s="14">
        <f>[14]Vendedor11!$J$4</f>
        <v>108850</v>
      </c>
      <c r="C17" s="81">
        <f>[14]Vendedor11!$K$4</f>
        <v>16327.5</v>
      </c>
      <c r="D17" s="82">
        <f>[14]Vendedor11!$L$4</f>
        <v>144000</v>
      </c>
      <c r="E17" s="14">
        <f>[14]Vendedor11!$J$5</f>
        <v>0</v>
      </c>
      <c r="F17" s="81">
        <f>[14]Vendedor11!$K$5</f>
        <v>0</v>
      </c>
      <c r="G17" s="85">
        <f>[14]Vendedor11!$L$5</f>
        <v>0</v>
      </c>
      <c r="H17" s="19">
        <f>[14]Vendedor11!$J$6</f>
        <v>0</v>
      </c>
      <c r="I17" s="15">
        <f>[14]Vendedor11!$K$6</f>
        <v>0</v>
      </c>
      <c r="J17" s="17">
        <f>[14]Vendedor11!$L$6</f>
        <v>0</v>
      </c>
      <c r="K17" s="19">
        <f t="shared" si="1"/>
        <v>108850</v>
      </c>
      <c r="L17" s="15">
        <f t="shared" si="4"/>
        <v>16350</v>
      </c>
      <c r="M17" s="15">
        <f t="shared" si="2"/>
        <v>144000</v>
      </c>
      <c r="N17" s="15">
        <v>0</v>
      </c>
      <c r="O17" s="17">
        <f t="shared" si="3"/>
        <v>-51500</v>
      </c>
    </row>
    <row r="18" spans="1:15">
      <c r="A18" s="20" t="s">
        <v>27</v>
      </c>
      <c r="B18" s="14">
        <f>[15]Vendedor11!$J$4</f>
        <v>153900</v>
      </c>
      <c r="C18" s="81">
        <f>[15]Vendedor11!$K$4</f>
        <v>23085</v>
      </c>
      <c r="D18" s="82">
        <f>[15]Vendedor11!$L$4</f>
        <v>148000</v>
      </c>
      <c r="E18" s="14">
        <f>[15]Vendedor11!$J$5</f>
        <v>0</v>
      </c>
      <c r="F18" s="81">
        <f>[15]Vendedor11!$K$5</f>
        <v>0</v>
      </c>
      <c r="G18" s="85">
        <f>[15]Vendedor11!$L$5</f>
        <v>0</v>
      </c>
      <c r="H18" s="19">
        <f>[15]Vendedor11!$J$6</f>
        <v>0</v>
      </c>
      <c r="I18" s="15">
        <f>[15]Vendedor11!$K$6</f>
        <v>0</v>
      </c>
      <c r="J18" s="17">
        <f>[15]Vendedor11!$L$6</f>
        <v>0</v>
      </c>
      <c r="K18" s="19">
        <f t="shared" si="1"/>
        <v>153900</v>
      </c>
      <c r="L18" s="15">
        <f t="shared" si="4"/>
        <v>23100</v>
      </c>
      <c r="M18" s="15">
        <f t="shared" si="2"/>
        <v>148000</v>
      </c>
      <c r="N18" s="15">
        <v>0</v>
      </c>
      <c r="O18" s="17">
        <f t="shared" si="3"/>
        <v>-17200</v>
      </c>
    </row>
    <row r="19" spans="1:15">
      <c r="A19" s="20" t="s">
        <v>28</v>
      </c>
      <c r="B19" s="14">
        <f>[16]Vendedor11!$J$4</f>
        <v>78700</v>
      </c>
      <c r="C19" s="81">
        <f>[16]Vendedor11!$K$4</f>
        <v>11805</v>
      </c>
      <c r="D19" s="82">
        <f>[16]Vendedor11!$L$4</f>
        <v>96000</v>
      </c>
      <c r="E19" s="14">
        <f>[16]Vendedor11!$J$5</f>
        <v>0</v>
      </c>
      <c r="F19" s="81">
        <f>[16]Vendedor11!$K$5</f>
        <v>0</v>
      </c>
      <c r="G19" s="85">
        <f>[16]Vendedor11!$L$5</f>
        <v>0</v>
      </c>
      <c r="H19" s="19">
        <f>[16]Vendedor11!$J$6</f>
        <v>0</v>
      </c>
      <c r="I19" s="15">
        <f>[16]Vendedor11!$K$6</f>
        <v>0</v>
      </c>
      <c r="J19" s="17">
        <f>[16]Vendedor11!$L$6</f>
        <v>0</v>
      </c>
      <c r="K19" s="19">
        <f t="shared" si="1"/>
        <v>78700</v>
      </c>
      <c r="L19" s="15">
        <f t="shared" si="4"/>
        <v>11800</v>
      </c>
      <c r="M19" s="15">
        <f t="shared" si="2"/>
        <v>96000</v>
      </c>
      <c r="N19" s="15">
        <v>0</v>
      </c>
      <c r="O19" s="17">
        <f t="shared" si="3"/>
        <v>-29100</v>
      </c>
    </row>
    <row r="20" spans="1:15">
      <c r="A20" s="13" t="s">
        <v>29</v>
      </c>
      <c r="B20" s="14">
        <f>[17]Vendedor11!$J$4</f>
        <v>0</v>
      </c>
      <c r="C20" s="81">
        <f>[17]Vendedor11!$K$4</f>
        <v>0</v>
      </c>
      <c r="D20" s="82">
        <f>[17]Vendedor11!$L$4</f>
        <v>0</v>
      </c>
      <c r="E20" s="14">
        <f>[17]Vendedor11!$J$5</f>
        <v>0</v>
      </c>
      <c r="F20" s="81">
        <f>[17]Vendedor11!$K$5</f>
        <v>0</v>
      </c>
      <c r="G20" s="85">
        <f>[17]Vendedor11!$L$5</f>
        <v>0</v>
      </c>
      <c r="H20" s="19">
        <f>[17]Vendedor11!$J$6</f>
        <v>0</v>
      </c>
      <c r="I20" s="15">
        <f>[17]Vendedor11!$K$6</f>
        <v>0</v>
      </c>
      <c r="J20" s="17">
        <f>[17]Vendedor11!$L$6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>
      <c r="A21" s="20" t="s">
        <v>30</v>
      </c>
      <c r="B21" s="14">
        <f>[18]Vendedor11!$J$4</f>
        <v>0</v>
      </c>
      <c r="C21" s="81">
        <f>[18]Vendedor11!$K$4</f>
        <v>0</v>
      </c>
      <c r="D21" s="82">
        <f>[18]Vendedor11!$L$4</f>
        <v>0</v>
      </c>
      <c r="E21" s="14">
        <f>[18]Vendedor11!$J$5</f>
        <v>0</v>
      </c>
      <c r="F21" s="81">
        <f>[18]Vendedor11!$K$5</f>
        <v>0</v>
      </c>
      <c r="G21" s="85">
        <f>[18]Vendedor11!$L$5</f>
        <v>0</v>
      </c>
      <c r="H21" s="19">
        <f>[18]Vendedor11!$J$6</f>
        <v>0</v>
      </c>
      <c r="I21" s="15">
        <f>[18]Vendedor11!$K$6</f>
        <v>0</v>
      </c>
      <c r="J21" s="17">
        <f>[18]Vendedor11!$L$6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>
      <c r="A22" s="13" t="s">
        <v>31</v>
      </c>
      <c r="B22" s="14">
        <f>[19]Vendedor11!$J$4</f>
        <v>0</v>
      </c>
      <c r="C22" s="81">
        <f>[19]Vendedor11!$K$4</f>
        <v>0</v>
      </c>
      <c r="D22" s="82">
        <f>[19]Vendedor11!$L$4</f>
        <v>0</v>
      </c>
      <c r="E22" s="14">
        <f>[19]Vendedor11!$J$5</f>
        <v>0</v>
      </c>
      <c r="F22" s="81">
        <f>[19]Vendedor11!$K$5</f>
        <v>0</v>
      </c>
      <c r="G22" s="85">
        <f>[19]Vendedor11!$L$5</f>
        <v>0</v>
      </c>
      <c r="H22" s="19">
        <f>[19]Vendedor11!$J$6</f>
        <v>0</v>
      </c>
      <c r="I22" s="15">
        <f>[19]Vendedor11!$K$6</f>
        <v>0</v>
      </c>
      <c r="J22" s="17">
        <f>[19]Vendedor11!$L$6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>
      <c r="A23" s="20" t="s">
        <v>32</v>
      </c>
      <c r="B23" s="14">
        <f>[20]Vendedor11!$J$4</f>
        <v>0</v>
      </c>
      <c r="C23" s="81">
        <f>[20]Vendedor11!$K$4</f>
        <v>0</v>
      </c>
      <c r="D23" s="82">
        <f>[20]Vendedor11!$L$4</f>
        <v>0</v>
      </c>
      <c r="E23" s="14">
        <f>[20]Vendedor11!$J$5</f>
        <v>0</v>
      </c>
      <c r="F23" s="81">
        <f>[20]Vendedor11!$K$5</f>
        <v>0</v>
      </c>
      <c r="G23" s="85">
        <f>[20]Vendedor11!$L$5</f>
        <v>0</v>
      </c>
      <c r="H23" s="19">
        <f>[20]Vendedor11!$J$6</f>
        <v>0</v>
      </c>
      <c r="I23" s="15">
        <f>[20]Vendedor11!$K$6</f>
        <v>0</v>
      </c>
      <c r="J23" s="17">
        <f>[20]Vendedor11!$L$6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>
      <c r="A24" s="13" t="s">
        <v>33</v>
      </c>
      <c r="B24" s="14">
        <f>[21]Vendedor11!$J$4</f>
        <v>0</v>
      </c>
      <c r="C24" s="81">
        <f>[21]Vendedor11!$K$4</f>
        <v>0</v>
      </c>
      <c r="D24" s="82">
        <f>[21]Vendedor11!$L$4</f>
        <v>0</v>
      </c>
      <c r="E24" s="14">
        <f>[21]Vendedor11!$J$5</f>
        <v>0</v>
      </c>
      <c r="F24" s="81">
        <f>[21]Vendedor11!$K$5</f>
        <v>0</v>
      </c>
      <c r="G24" s="85">
        <f>[21]Vendedor11!$L$5</f>
        <v>0</v>
      </c>
      <c r="H24" s="19">
        <f>[21]Vendedor11!$J$6</f>
        <v>0</v>
      </c>
      <c r="I24" s="15">
        <f>[21]Vendedor11!$K$6</f>
        <v>0</v>
      </c>
      <c r="J24" s="17">
        <f>[21]Vendedor11!$L$6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>
      <c r="A25" s="20" t="s">
        <v>34</v>
      </c>
      <c r="B25" s="14">
        <f>[22]Vendedor11!$J$4</f>
        <v>0</v>
      </c>
      <c r="C25" s="81">
        <f>[22]Vendedor11!$K$4</f>
        <v>0</v>
      </c>
      <c r="D25" s="82">
        <f>[22]Vendedor11!$L$4</f>
        <v>0</v>
      </c>
      <c r="E25" s="14">
        <f>[22]Vendedor11!$J$5</f>
        <v>0</v>
      </c>
      <c r="F25" s="81">
        <f>[22]Vendedor11!$K$5</f>
        <v>0</v>
      </c>
      <c r="G25" s="85">
        <f>[22]Vendedor11!$L$5</f>
        <v>0</v>
      </c>
      <c r="H25" s="19">
        <f>[22]Vendedor11!$J$6</f>
        <v>0</v>
      </c>
      <c r="I25" s="15">
        <f>[22]Vendedor11!$K$6</f>
        <v>0</v>
      </c>
      <c r="J25" s="17">
        <f>[22]Vendedor11!$L$6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>
      <c r="A26" s="13" t="s">
        <v>35</v>
      </c>
      <c r="B26" s="14">
        <f>[23]Vendedor11!$J$4</f>
        <v>0</v>
      </c>
      <c r="C26" s="81">
        <f>[23]Vendedor11!$K$4</f>
        <v>0</v>
      </c>
      <c r="D26" s="82">
        <f>[23]Vendedor11!$L$4</f>
        <v>0</v>
      </c>
      <c r="E26" s="14">
        <f>[23]Vendedor11!$J$5</f>
        <v>0</v>
      </c>
      <c r="F26" s="81">
        <f>[23]Vendedor11!$K$5</f>
        <v>0</v>
      </c>
      <c r="G26" s="85">
        <f>[23]Vendedor11!$L$5</f>
        <v>0</v>
      </c>
      <c r="H26" s="19">
        <f>[23]Vendedor11!$J$6</f>
        <v>0</v>
      </c>
      <c r="I26" s="15">
        <f>[23]Vendedor11!$K$6</f>
        <v>0</v>
      </c>
      <c r="J26" s="17">
        <f>[23]Vendedor11!$L$6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>
      <c r="A27" s="20" t="s">
        <v>36</v>
      </c>
      <c r="B27" s="14">
        <f>[24]Vendedor11!$J$4</f>
        <v>0</v>
      </c>
      <c r="C27" s="81">
        <f>[24]Vendedor11!$K$4</f>
        <v>0</v>
      </c>
      <c r="D27" s="82">
        <f>[24]Vendedor11!$L$4</f>
        <v>0</v>
      </c>
      <c r="E27" s="14">
        <f>[24]Vendedor11!$J$5</f>
        <v>0</v>
      </c>
      <c r="F27" s="81">
        <f>[24]Vendedor11!$K$5</f>
        <v>0</v>
      </c>
      <c r="G27" s="85">
        <f>[24]Vendedor11!$L$5</f>
        <v>0</v>
      </c>
      <c r="H27" s="19">
        <f>[24]Vendedor11!$J$6</f>
        <v>0</v>
      </c>
      <c r="I27" s="15">
        <f>[24]Vendedor11!$K$6</f>
        <v>0</v>
      </c>
      <c r="J27" s="17">
        <f>[24]Vendedor11!$L$6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>
      <c r="A28" s="13" t="s">
        <v>37</v>
      </c>
      <c r="B28" s="14">
        <f>[25]Vendedor11!$J$4</f>
        <v>0</v>
      </c>
      <c r="C28" s="81">
        <f>[25]Vendedor11!$K$4</f>
        <v>0</v>
      </c>
      <c r="D28" s="82">
        <f>[25]Vendedor11!$L$4</f>
        <v>0</v>
      </c>
      <c r="E28" s="14">
        <f>[25]Vendedor11!$J$5</f>
        <v>0</v>
      </c>
      <c r="F28" s="81">
        <f>[25]Vendedor11!$K$5</f>
        <v>0</v>
      </c>
      <c r="G28" s="85">
        <f>[25]Vendedor11!$L$5</f>
        <v>0</v>
      </c>
      <c r="H28" s="19">
        <f>[25]Vendedor11!$J$6</f>
        <v>0</v>
      </c>
      <c r="I28" s="15">
        <f>[25]Vendedor11!$K$6</f>
        <v>0</v>
      </c>
      <c r="J28" s="17">
        <f>[25]Vendedor11!$L$6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>
      <c r="A29" s="20" t="s">
        <v>38</v>
      </c>
      <c r="B29" s="14">
        <f>[26]Vendedor11!$J$4</f>
        <v>0</v>
      </c>
      <c r="C29" s="81">
        <f>[26]Vendedor11!$K$4</f>
        <v>0</v>
      </c>
      <c r="D29" s="82">
        <f>[26]Vendedor11!$L$4</f>
        <v>0</v>
      </c>
      <c r="E29" s="14">
        <f>[26]Vendedor11!$J$5</f>
        <v>0</v>
      </c>
      <c r="F29" s="81">
        <f>[26]Vendedor11!$K$5</f>
        <v>0</v>
      </c>
      <c r="G29" s="85">
        <f>[26]Vendedor11!$L$5</f>
        <v>0</v>
      </c>
      <c r="H29" s="19">
        <f>[26]Vendedor11!$J$6</f>
        <v>0</v>
      </c>
      <c r="I29" s="15">
        <f>[26]Vendedor11!$K$6</f>
        <v>0</v>
      </c>
      <c r="J29" s="17">
        <f>[26]Vendedor11!$L$6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>
      <c r="A30" s="13" t="s">
        <v>39</v>
      </c>
      <c r="B30" s="14">
        <f>[27]Vendedor11!$J$4</f>
        <v>0</v>
      </c>
      <c r="C30" s="81">
        <f>[27]Vendedor11!$K$4</f>
        <v>0</v>
      </c>
      <c r="D30" s="82">
        <f>[27]Vendedor11!$L$4</f>
        <v>0</v>
      </c>
      <c r="E30" s="14">
        <f>[27]Vendedor11!$J$5</f>
        <v>0</v>
      </c>
      <c r="F30" s="81">
        <f>[27]Vendedor11!$K$5</f>
        <v>0</v>
      </c>
      <c r="G30" s="85">
        <f>[27]Vendedor11!$L$5</f>
        <v>0</v>
      </c>
      <c r="H30" s="19">
        <f>[27]Vendedor11!$J$6</f>
        <v>0</v>
      </c>
      <c r="I30" s="15">
        <f>[27]Vendedor11!$K$6</f>
        <v>0</v>
      </c>
      <c r="J30" s="17">
        <f>[27]Vendedor11!$L$6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>
      <c r="A31" s="20" t="s">
        <v>40</v>
      </c>
      <c r="B31" s="14">
        <f>[28]Vendedor11!$J$4</f>
        <v>0</v>
      </c>
      <c r="C31" s="81">
        <f>[28]Vendedor11!$K$4</f>
        <v>0</v>
      </c>
      <c r="D31" s="82">
        <f>[28]Vendedor11!$L$4</f>
        <v>0</v>
      </c>
      <c r="E31" s="14">
        <f>[28]Vendedor11!$J$5</f>
        <v>0</v>
      </c>
      <c r="F31" s="81">
        <f>[28]Vendedor11!$K$5</f>
        <v>0</v>
      </c>
      <c r="G31" s="85">
        <f>[28]Vendedor11!$L$5</f>
        <v>0</v>
      </c>
      <c r="H31" s="19">
        <f>[28]Vendedor11!$J$6</f>
        <v>0</v>
      </c>
      <c r="I31" s="15">
        <f>[28]Vendedor11!$K$6</f>
        <v>0</v>
      </c>
      <c r="J31" s="17">
        <f>[28]Vendedor11!$L$6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>
      <c r="A32" s="20" t="s">
        <v>41</v>
      </c>
      <c r="B32" s="14">
        <f>[29]Vendedor11!$J$4</f>
        <v>0</v>
      </c>
      <c r="C32" s="81">
        <f>[29]Vendedor11!$K$4</f>
        <v>0</v>
      </c>
      <c r="D32" s="82">
        <f>[29]Vendedor11!$L$4</f>
        <v>0</v>
      </c>
      <c r="E32" s="14">
        <f>[29]Vendedor11!$J$5</f>
        <v>0</v>
      </c>
      <c r="F32" s="81">
        <f>[29]Vendedor11!$K$5</f>
        <v>0</v>
      </c>
      <c r="G32" s="85">
        <f>[29]Vendedor11!$L$5</f>
        <v>0</v>
      </c>
      <c r="H32" s="19">
        <f>[29]Vendedor11!$J$6</f>
        <v>0</v>
      </c>
      <c r="I32" s="15">
        <f>[29]Vendedor11!$K$6</f>
        <v>0</v>
      </c>
      <c r="J32" s="17">
        <f>[29]Vendedor11!$L$6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>
      <c r="A33" s="13" t="s">
        <v>42</v>
      </c>
      <c r="B33" s="14">
        <f>[30]Vendedor11!$J$4</f>
        <v>0</v>
      </c>
      <c r="C33" s="81">
        <f>[30]Vendedor11!$K$4</f>
        <v>0</v>
      </c>
      <c r="D33" s="82">
        <f>[30]Vendedor11!$L$4</f>
        <v>0</v>
      </c>
      <c r="E33" s="14">
        <f>[30]Vendedor11!$J$5</f>
        <v>0</v>
      </c>
      <c r="F33" s="81">
        <f>[30]Vendedor11!$K$5</f>
        <v>0</v>
      </c>
      <c r="G33" s="85">
        <f>[30]Vendedor11!$L$5</f>
        <v>0</v>
      </c>
      <c r="H33" s="19">
        <f>[30]Vendedor11!$J$6</f>
        <v>0</v>
      </c>
      <c r="I33" s="15">
        <f>[30]Vendedor11!$K$6</f>
        <v>0</v>
      </c>
      <c r="J33" s="17">
        <f>[30]Vendedor11!$L$6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>
      <c r="A34" s="20" t="s">
        <v>43</v>
      </c>
      <c r="B34" s="14">
        <f>[31]Vendedor11!$J$4</f>
        <v>0</v>
      </c>
      <c r="C34" s="81">
        <f>[31]Vendedor11!$K$4</f>
        <v>0</v>
      </c>
      <c r="D34" s="82">
        <f>[31]Vendedor11!$L$4</f>
        <v>0</v>
      </c>
      <c r="E34" s="14">
        <f>[31]Vendedor11!$J$5</f>
        <v>0</v>
      </c>
      <c r="F34" s="81">
        <f>[31]Vendedor11!$K$5</f>
        <v>0</v>
      </c>
      <c r="G34" s="85">
        <f>[31]Vendedor11!$L$5</f>
        <v>0</v>
      </c>
      <c r="H34" s="19">
        <f>[31]Vendedor11!$J$6</f>
        <v>0</v>
      </c>
      <c r="I34" s="15">
        <f>[31]Vendedor11!$K$6</f>
        <v>0</v>
      </c>
      <c r="J34" s="17">
        <f>[31]Vendedor11!$L$6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>
      <c r="A35" s="13" t="s">
        <v>44</v>
      </c>
      <c r="B35" s="14">
        <f>[10]Vendedor11!$J$4</f>
        <v>0</v>
      </c>
      <c r="C35" s="81">
        <f>[10]Vendedor11!$K$4</f>
        <v>0</v>
      </c>
      <c r="D35" s="82">
        <f>[10]Vendedor11!$L$4</f>
        <v>0</v>
      </c>
      <c r="E35" s="14">
        <f>[10]Vendedor11!$J$5</f>
        <v>0</v>
      </c>
      <c r="F35" s="81">
        <f>[10]Vendedor11!$K$5</f>
        <v>0</v>
      </c>
      <c r="G35" s="85">
        <f>[10]Vendedor11!$L$5</f>
        <v>0</v>
      </c>
      <c r="H35" s="19">
        <f>[10]Vendedor11!$J$6</f>
        <v>0</v>
      </c>
      <c r="I35" s="15">
        <f>[10]Vendedor11!$K$6</f>
        <v>0</v>
      </c>
      <c r="J35" s="17">
        <f>[10]Vendedor11!$L$6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ht="15.75" thickBot="1">
      <c r="A36" s="20" t="s">
        <v>45</v>
      </c>
      <c r="B36" s="21">
        <f>[11]Vendedor11!$J$4</f>
        <v>0</v>
      </c>
      <c r="C36" s="83">
        <f>[11]Vendedor11!$K$4</f>
        <v>0</v>
      </c>
      <c r="D36" s="84">
        <f>[11]Vendedor11!$L$4</f>
        <v>0</v>
      </c>
      <c r="E36" s="21">
        <f>[11]Vendedor11!$J$5</f>
        <v>0</v>
      </c>
      <c r="F36" s="83">
        <f>[11]Vendedor11!$K$5</f>
        <v>0</v>
      </c>
      <c r="G36" s="86">
        <f>[11]Vendedor11!$L$5</f>
        <v>0</v>
      </c>
      <c r="H36" s="26">
        <f>[11]Vendedor11!$J$6</f>
        <v>0</v>
      </c>
      <c r="I36" s="22">
        <f>[11]Vendedor11!$K$6</f>
        <v>0</v>
      </c>
      <c r="J36" s="24">
        <f>[11]Vendedor11!$L$6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6.5" thickBot="1">
      <c r="A37" s="5" t="s">
        <v>46</v>
      </c>
      <c r="B37" s="27">
        <f t="shared" ref="B37:M37" si="5">SUM(B6:B36)</f>
        <v>1317600</v>
      </c>
      <c r="C37" s="28">
        <f t="shared" si="5"/>
        <v>197640</v>
      </c>
      <c r="D37" s="29">
        <f t="shared" si="5"/>
        <v>1096000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1317600</v>
      </c>
      <c r="L37" s="28">
        <f t="shared" si="5"/>
        <v>197650</v>
      </c>
      <c r="M37" s="28">
        <f t="shared" si="5"/>
        <v>1096000</v>
      </c>
      <c r="N37" s="32">
        <f>SUM(N5:N36)</f>
        <v>0</v>
      </c>
      <c r="O37" s="33">
        <f>SUM(O5:O36)</f>
        <v>23950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7"/>
  <sheetViews>
    <sheetView showGridLines="0" zoomScale="90" zoomScaleNormal="90" workbookViewId="0">
      <selection activeCell="B3" sqref="B3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1406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136</v>
      </c>
      <c r="C2" s="137"/>
      <c r="D2" s="137"/>
      <c r="I2" s="3" t="s">
        <v>2</v>
      </c>
      <c r="J2" s="4">
        <v>0.1</v>
      </c>
      <c r="K2" s="3" t="s">
        <v>3</v>
      </c>
      <c r="L2" s="4">
        <v>0.12</v>
      </c>
      <c r="M2" s="3" t="s">
        <v>4</v>
      </c>
      <c r="N2" s="4">
        <v>0.1</v>
      </c>
    </row>
    <row r="4" spans="1:15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>
      <c r="A6" s="20" t="s">
        <v>49</v>
      </c>
      <c r="B6" s="53">
        <f>[1]Vendedor12!$J$4</f>
        <v>0</v>
      </c>
      <c r="C6" s="58">
        <f>[1]Vendedor12!$K$4</f>
        <v>0</v>
      </c>
      <c r="D6" s="54">
        <f>[1]Vendedor12!$L$4</f>
        <v>0</v>
      </c>
      <c r="E6" s="53">
        <f>[1]Vendedor12!$J$5</f>
        <v>0</v>
      </c>
      <c r="F6" s="58">
        <f>[1]Vendedor12!$K$5</f>
        <v>0</v>
      </c>
      <c r="G6" s="55">
        <f>[1]Vendedor12!$L$5</f>
        <v>0</v>
      </c>
      <c r="H6" s="61">
        <f>[1]Vendedor12!$J$6</f>
        <v>0</v>
      </c>
      <c r="I6" s="58">
        <f>[1]Vendedor12!$K$6</f>
        <v>0</v>
      </c>
      <c r="J6" s="54">
        <f>[1]Vendedor12!$L$6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>
      <c r="A7" s="13" t="s">
        <v>50</v>
      </c>
      <c r="B7" s="14">
        <f>[2]Vendedor12!$J$4</f>
        <v>0</v>
      </c>
      <c r="C7" s="15">
        <f>[2]Vendedor12!$K$4</f>
        <v>0</v>
      </c>
      <c r="D7" s="16">
        <f>[2]Vendedor12!$L$4</f>
        <v>0</v>
      </c>
      <c r="E7" s="14">
        <f>[2]Vendedor12!$J$5</f>
        <v>0</v>
      </c>
      <c r="F7" s="15">
        <f>[2]Vendedor12!$K$5</f>
        <v>0</v>
      </c>
      <c r="G7" s="17">
        <f>[2]Vendedor12!$L$5</f>
        <v>0</v>
      </c>
      <c r="H7" s="18">
        <f>[2]Vendedor12!$J$6</f>
        <v>0</v>
      </c>
      <c r="I7" s="15">
        <f>[2]Vendedor12!$K$6</f>
        <v>0</v>
      </c>
      <c r="J7" s="16">
        <f>[2]Vendedor12!$L$6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>
      <c r="A8" s="20" t="s">
        <v>51</v>
      </c>
      <c r="B8" s="14">
        <f>[3]Vendedor12!$J$4</f>
        <v>0</v>
      </c>
      <c r="C8" s="15">
        <f>[3]Vendedor12!$K$4</f>
        <v>0</v>
      </c>
      <c r="D8" s="16">
        <f>[3]Vendedor12!$L$4</f>
        <v>0</v>
      </c>
      <c r="E8" s="14">
        <f>[3]Vendedor12!$J$5</f>
        <v>0</v>
      </c>
      <c r="F8" s="15">
        <f>[3]Vendedor12!$K$5</f>
        <v>0</v>
      </c>
      <c r="G8" s="17">
        <f>[3]Vendedor12!$L$5</f>
        <v>0</v>
      </c>
      <c r="H8" s="18">
        <f>[3]Vendedor12!$J$6</f>
        <v>0</v>
      </c>
      <c r="I8" s="15">
        <f>[3]Vendedor12!$K$6</f>
        <v>0</v>
      </c>
      <c r="J8" s="16">
        <f>[3]Vendedor12!$L$6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>
      <c r="A9" s="13" t="s">
        <v>52</v>
      </c>
      <c r="B9" s="14">
        <f>[4]Vendedor12!$J$4</f>
        <v>0</v>
      </c>
      <c r="C9" s="15">
        <f>[4]Vendedor12!$K$4</f>
        <v>0</v>
      </c>
      <c r="D9" s="16">
        <f>[4]Vendedor12!$L$4</f>
        <v>0</v>
      </c>
      <c r="E9" s="14">
        <f>[4]Vendedor12!$J$5</f>
        <v>0</v>
      </c>
      <c r="F9" s="15">
        <f>[4]Vendedor12!$K$5</f>
        <v>0</v>
      </c>
      <c r="G9" s="17">
        <f>[4]Vendedor12!$L$5</f>
        <v>0</v>
      </c>
      <c r="H9" s="18">
        <f>[4]Vendedor12!$J$6</f>
        <v>0</v>
      </c>
      <c r="I9" s="15">
        <f>[4]Vendedor12!$K$6</f>
        <v>0</v>
      </c>
      <c r="J9" s="16">
        <f>[4]Vendedor12!$L$6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>
      <c r="A10" s="20" t="s">
        <v>53</v>
      </c>
      <c r="B10" s="14">
        <f>[5]Vendedor12!$J$4</f>
        <v>0</v>
      </c>
      <c r="C10" s="15">
        <f>[5]Vendedor12!$K$4</f>
        <v>0</v>
      </c>
      <c r="D10" s="16">
        <f>[5]Vendedor12!$L$4</f>
        <v>0</v>
      </c>
      <c r="E10" s="14">
        <f>[5]Vendedor12!$J$5</f>
        <v>0</v>
      </c>
      <c r="F10" s="15">
        <f>[5]Vendedor12!$K$5</f>
        <v>0</v>
      </c>
      <c r="G10" s="17">
        <f>[5]Vendedor12!$L$5</f>
        <v>0</v>
      </c>
      <c r="H10" s="18">
        <f>[5]Vendedor12!$J$6</f>
        <v>0</v>
      </c>
      <c r="I10" s="15">
        <f>[5]Vendedor12!$K$6</f>
        <v>0</v>
      </c>
      <c r="J10" s="16">
        <f>[5]Vendedor12!$L$6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>
      <c r="A11" s="13" t="s">
        <v>20</v>
      </c>
      <c r="B11" s="14">
        <f>[6]Vendedor12!$J$4</f>
        <v>0</v>
      </c>
      <c r="C11" s="15">
        <f>[6]Vendedor12!$K$4</f>
        <v>0</v>
      </c>
      <c r="D11" s="16">
        <f>[6]Vendedor12!$L$4</f>
        <v>0</v>
      </c>
      <c r="E11" s="14">
        <f>[6]Vendedor12!$J$5</f>
        <v>0</v>
      </c>
      <c r="F11" s="15">
        <f>[6]Vendedor12!$K$5</f>
        <v>0</v>
      </c>
      <c r="G11" s="17">
        <f>[6]Vendedor12!$L$5</f>
        <v>0</v>
      </c>
      <c r="H11" s="18">
        <f>[6]Vendedor12!$J$6</f>
        <v>0</v>
      </c>
      <c r="I11" s="15">
        <f>[6]Vendedor12!$K$6</f>
        <v>0</v>
      </c>
      <c r="J11" s="16">
        <f>[6]Vendedor12!$L$6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>
      <c r="A12" s="20" t="s">
        <v>21</v>
      </c>
      <c r="B12" s="14">
        <f>[7]Vendedor12!$J$4</f>
        <v>0</v>
      </c>
      <c r="C12" s="15">
        <f>[7]Vendedor12!$K$4</f>
        <v>0</v>
      </c>
      <c r="D12" s="16">
        <f>[7]Vendedor12!$L$4</f>
        <v>0</v>
      </c>
      <c r="E12" s="14">
        <f>[7]Vendedor12!$J$5</f>
        <v>0</v>
      </c>
      <c r="F12" s="15">
        <f>[7]Vendedor12!$K$5</f>
        <v>0</v>
      </c>
      <c r="G12" s="17">
        <f>[7]Vendedor12!$L$5</f>
        <v>0</v>
      </c>
      <c r="H12" s="18">
        <f>[7]Vendedor12!$J$6</f>
        <v>0</v>
      </c>
      <c r="I12" s="15">
        <f>[7]Vendedor12!$K$6</f>
        <v>0</v>
      </c>
      <c r="J12" s="16">
        <f>[7]Vendedor12!$L$6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>
      <c r="A13" s="13" t="s">
        <v>22</v>
      </c>
      <c r="B13" s="14">
        <f>[8]Vendedor12!$J$4</f>
        <v>0</v>
      </c>
      <c r="C13" s="15">
        <f>[8]Vendedor12!$K$4</f>
        <v>0</v>
      </c>
      <c r="D13" s="16">
        <f>[8]Vendedor12!$L$4</f>
        <v>0</v>
      </c>
      <c r="E13" s="14">
        <f>[8]Vendedor12!$J$5</f>
        <v>0</v>
      </c>
      <c r="F13" s="15">
        <f>[8]Vendedor12!$K$5</f>
        <v>0</v>
      </c>
      <c r="G13" s="17">
        <f>[8]Vendedor12!$L$5</f>
        <v>0</v>
      </c>
      <c r="H13" s="18">
        <f>[8]Vendedor12!$J$6</f>
        <v>0</v>
      </c>
      <c r="I13" s="15">
        <f>[8]Vendedor12!$K$6</f>
        <v>0</v>
      </c>
      <c r="J13" s="16">
        <f>[8]Vendedor12!$L$6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>
      <c r="A14" s="20" t="s">
        <v>23</v>
      </c>
      <c r="B14" s="14">
        <f>[9]Vendedor12!$J$4</f>
        <v>0</v>
      </c>
      <c r="C14" s="15">
        <f>[9]Vendedor12!$K$4</f>
        <v>0</v>
      </c>
      <c r="D14" s="16">
        <f>[9]Vendedor12!$L$4</f>
        <v>0</v>
      </c>
      <c r="E14" s="14">
        <f>[9]Vendedor12!$J$5</f>
        <v>0</v>
      </c>
      <c r="F14" s="15">
        <f>[9]Vendedor12!$K$5</f>
        <v>0</v>
      </c>
      <c r="G14" s="17">
        <f>[9]Vendedor12!$L$5</f>
        <v>0</v>
      </c>
      <c r="H14" s="18">
        <f>[9]Vendedor12!$J$6</f>
        <v>0</v>
      </c>
      <c r="I14" s="15">
        <f>[9]Vendedor12!$K$6</f>
        <v>0</v>
      </c>
      <c r="J14" s="16">
        <f>[9]Vendedor12!$L$6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>
      <c r="A15" s="13" t="s">
        <v>24</v>
      </c>
      <c r="B15" s="14">
        <f>[12]Vendedor12!$J$4</f>
        <v>0</v>
      </c>
      <c r="C15" s="15">
        <f>[12]Vendedor12!$K$4</f>
        <v>0</v>
      </c>
      <c r="D15" s="16">
        <f>[12]Vendedor12!$L$4</f>
        <v>0</v>
      </c>
      <c r="E15" s="14">
        <f>[12]Vendedor12!$J$5</f>
        <v>0</v>
      </c>
      <c r="F15" s="15">
        <f>[12]Vendedor12!$K$5</f>
        <v>0</v>
      </c>
      <c r="G15" s="17">
        <f>[12]Vendedor12!$L$5</f>
        <v>0</v>
      </c>
      <c r="H15" s="18">
        <f>[12]Vendedor12!$J$6</f>
        <v>0</v>
      </c>
      <c r="I15" s="15">
        <f>[12]Vendedor12!$K$6</f>
        <v>0</v>
      </c>
      <c r="J15" s="16">
        <f>[12]Vendedor12!$L$6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>
      <c r="A16" s="20" t="s">
        <v>25</v>
      </c>
      <c r="B16" s="14">
        <f>[13]Vendedor12!$J$4</f>
        <v>0</v>
      </c>
      <c r="C16" s="15">
        <f>[13]Vendedor12!$K$4</f>
        <v>0</v>
      </c>
      <c r="D16" s="16">
        <f>[13]Vendedor12!$L$4</f>
        <v>0</v>
      </c>
      <c r="E16" s="14">
        <f>[13]Vendedor12!$J$5</f>
        <v>0</v>
      </c>
      <c r="F16" s="15">
        <f>[13]Vendedor12!$K$5</f>
        <v>0</v>
      </c>
      <c r="G16" s="17">
        <f>[13]Vendedor12!$L$5</f>
        <v>0</v>
      </c>
      <c r="H16" s="18">
        <f>[13]Vendedor12!$J$6</f>
        <v>0</v>
      </c>
      <c r="I16" s="15">
        <f>[13]Vendedor12!$K$6</f>
        <v>0</v>
      </c>
      <c r="J16" s="16">
        <f>[13]Vendedor12!$L$6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>
      <c r="A17" s="13" t="s">
        <v>26</v>
      </c>
      <c r="B17" s="14">
        <f>[14]Vendedor12!$J$4</f>
        <v>0</v>
      </c>
      <c r="C17" s="15">
        <f>[14]Vendedor12!$K$4</f>
        <v>0</v>
      </c>
      <c r="D17" s="16">
        <f>[14]Vendedor12!$L$4</f>
        <v>0</v>
      </c>
      <c r="E17" s="14">
        <f>[14]Vendedor12!$J$5</f>
        <v>0</v>
      </c>
      <c r="F17" s="15">
        <f>[14]Vendedor12!$K$5</f>
        <v>0</v>
      </c>
      <c r="G17" s="17">
        <f>[14]Vendedor12!$L$5</f>
        <v>0</v>
      </c>
      <c r="H17" s="18">
        <f>[14]Vendedor12!$J$6</f>
        <v>0</v>
      </c>
      <c r="I17" s="15">
        <f>[14]Vendedor12!$K$6</f>
        <v>0</v>
      </c>
      <c r="J17" s="16">
        <f>[14]Vendedor12!$L$6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>
      <c r="A18" s="20" t="s">
        <v>27</v>
      </c>
      <c r="B18" s="14">
        <f>[15]Vendedor12!$J$4</f>
        <v>0</v>
      </c>
      <c r="C18" s="15">
        <f>[15]Vendedor12!$K$4</f>
        <v>0</v>
      </c>
      <c r="D18" s="16">
        <f>[15]Vendedor12!$L$4</f>
        <v>0</v>
      </c>
      <c r="E18" s="14">
        <f>[15]Vendedor12!$J$5</f>
        <v>0</v>
      </c>
      <c r="F18" s="15">
        <f>[15]Vendedor12!$K$5</f>
        <v>0</v>
      </c>
      <c r="G18" s="17">
        <f>[15]Vendedor12!$L$5</f>
        <v>0</v>
      </c>
      <c r="H18" s="18">
        <f>[15]Vendedor12!$J$6</f>
        <v>0</v>
      </c>
      <c r="I18" s="15">
        <f>[15]Vendedor12!$K$6</f>
        <v>0</v>
      </c>
      <c r="J18" s="16">
        <f>[15]Vendedor12!$L$6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>
      <c r="A19" s="20" t="s">
        <v>28</v>
      </c>
      <c r="B19" s="14">
        <f>[16]Vendedor12!$J$4</f>
        <v>0</v>
      </c>
      <c r="C19" s="15">
        <f>[16]Vendedor12!$K$4</f>
        <v>0</v>
      </c>
      <c r="D19" s="16">
        <f>[16]Vendedor12!$L$4</f>
        <v>0</v>
      </c>
      <c r="E19" s="14">
        <f>[16]Vendedor12!$J$5</f>
        <v>0</v>
      </c>
      <c r="F19" s="15">
        <f>[16]Vendedor12!$K$5</f>
        <v>0</v>
      </c>
      <c r="G19" s="17">
        <f>[16]Vendedor12!$L$5</f>
        <v>0</v>
      </c>
      <c r="H19" s="18">
        <f>[16]Vendedor12!$J$6</f>
        <v>0</v>
      </c>
      <c r="I19" s="15">
        <f>[16]Vendedor12!$K$6</f>
        <v>0</v>
      </c>
      <c r="J19" s="16">
        <f>[16]Vendedor12!$L$6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>
      <c r="A20" s="13" t="s">
        <v>29</v>
      </c>
      <c r="B20" s="14">
        <f>[17]Vendedor12!$J$4</f>
        <v>0</v>
      </c>
      <c r="C20" s="15">
        <f>[17]Vendedor12!$K$4</f>
        <v>0</v>
      </c>
      <c r="D20" s="16">
        <f>[17]Vendedor12!$L$4</f>
        <v>0</v>
      </c>
      <c r="E20" s="14">
        <f>[17]Vendedor12!$J$5</f>
        <v>0</v>
      </c>
      <c r="F20" s="15">
        <f>[17]Vendedor12!$K$5</f>
        <v>0</v>
      </c>
      <c r="G20" s="17">
        <f>[17]Vendedor12!$L$5</f>
        <v>0</v>
      </c>
      <c r="H20" s="18">
        <f>[17]Vendedor12!$J$6</f>
        <v>0</v>
      </c>
      <c r="I20" s="15">
        <f>[17]Vendedor12!$K$6</f>
        <v>0</v>
      </c>
      <c r="J20" s="16">
        <f>[17]Vendedor12!$L$6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>
      <c r="A21" s="20" t="s">
        <v>30</v>
      </c>
      <c r="B21" s="14">
        <f>[18]Vendedor12!$J$4</f>
        <v>0</v>
      </c>
      <c r="C21" s="81">
        <f>[18]Vendedor12!$K$4</f>
        <v>0</v>
      </c>
      <c r="D21" s="82">
        <f>[18]Vendedor12!$L$4</f>
        <v>0</v>
      </c>
      <c r="E21" s="14">
        <f>[18]Vendedor12!$J$5</f>
        <v>0</v>
      </c>
      <c r="F21" s="81">
        <f>[18]Vendedor12!$K$5</f>
        <v>0</v>
      </c>
      <c r="G21" s="85">
        <f>[18]Vendedor12!$L$5</f>
        <v>0</v>
      </c>
      <c r="H21" s="19">
        <f>[18]Vendedor12!$J$6</f>
        <v>0</v>
      </c>
      <c r="I21" s="15">
        <f>[18]Vendedor12!$K$6</f>
        <v>0</v>
      </c>
      <c r="J21" s="17">
        <f>[18]Vendedor12!$L$6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>
      <c r="A22" s="13" t="s">
        <v>31</v>
      </c>
      <c r="B22" s="14">
        <f>[19]Vendedor12!$J$4</f>
        <v>0</v>
      </c>
      <c r="C22" s="81">
        <f>[19]Vendedor12!$K$4</f>
        <v>0</v>
      </c>
      <c r="D22" s="82">
        <f>[19]Vendedor12!$L$4</f>
        <v>0</v>
      </c>
      <c r="E22" s="14">
        <f>[19]Vendedor12!$J$5</f>
        <v>0</v>
      </c>
      <c r="F22" s="81">
        <f>[19]Vendedor12!$K$5</f>
        <v>0</v>
      </c>
      <c r="G22" s="85">
        <f>[19]Vendedor12!$L$5</f>
        <v>0</v>
      </c>
      <c r="H22" s="19">
        <f>[19]Vendedor12!$J$6</f>
        <v>0</v>
      </c>
      <c r="I22" s="15">
        <f>[19]Vendedor12!$K$6</f>
        <v>0</v>
      </c>
      <c r="J22" s="17">
        <f>[19]Vendedor12!$L$6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>
      <c r="A23" s="20" t="s">
        <v>32</v>
      </c>
      <c r="B23" s="14">
        <f>[20]Vendedor12!$J$4</f>
        <v>0</v>
      </c>
      <c r="C23" s="81">
        <f>[20]Vendedor12!$K$4</f>
        <v>0</v>
      </c>
      <c r="D23" s="82">
        <f>[20]Vendedor12!$L$4</f>
        <v>0</v>
      </c>
      <c r="E23" s="14">
        <f>[20]Vendedor12!$J$5</f>
        <v>0</v>
      </c>
      <c r="F23" s="81">
        <f>[20]Vendedor12!$K$5</f>
        <v>0</v>
      </c>
      <c r="G23" s="85">
        <f>[20]Vendedor12!$L$5</f>
        <v>0</v>
      </c>
      <c r="H23" s="19">
        <f>[20]Vendedor12!$J$6</f>
        <v>0</v>
      </c>
      <c r="I23" s="15">
        <f>[20]Vendedor12!$K$6</f>
        <v>0</v>
      </c>
      <c r="J23" s="17">
        <f>[20]Vendedor12!$L$6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>
      <c r="A24" s="13" t="s">
        <v>33</v>
      </c>
      <c r="B24" s="14">
        <f>[21]Vendedor12!$J$4</f>
        <v>0</v>
      </c>
      <c r="C24" s="81">
        <f>[21]Vendedor12!$K$4</f>
        <v>0</v>
      </c>
      <c r="D24" s="82">
        <f>[21]Vendedor12!$L$4</f>
        <v>0</v>
      </c>
      <c r="E24" s="14">
        <f>[21]Vendedor12!$J$5</f>
        <v>0</v>
      </c>
      <c r="F24" s="81">
        <f>[21]Vendedor12!$K$5</f>
        <v>0</v>
      </c>
      <c r="G24" s="85">
        <f>[21]Vendedor12!$L$5</f>
        <v>0</v>
      </c>
      <c r="H24" s="19">
        <f>[21]Vendedor12!$J$6</f>
        <v>0</v>
      </c>
      <c r="I24" s="15">
        <f>[21]Vendedor12!$K$6</f>
        <v>0</v>
      </c>
      <c r="J24" s="17">
        <f>[21]Vendedor12!$L$6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>
      <c r="A25" s="20" t="s">
        <v>34</v>
      </c>
      <c r="B25" s="14">
        <f>[22]Vendedor12!$J$4</f>
        <v>0</v>
      </c>
      <c r="C25" s="81">
        <f>[22]Vendedor12!$K$4</f>
        <v>0</v>
      </c>
      <c r="D25" s="82">
        <f>[22]Vendedor12!$L$4</f>
        <v>0</v>
      </c>
      <c r="E25" s="14">
        <f>[22]Vendedor12!$J$5</f>
        <v>0</v>
      </c>
      <c r="F25" s="81">
        <f>[22]Vendedor12!$K$5</f>
        <v>0</v>
      </c>
      <c r="G25" s="85">
        <f>[22]Vendedor12!$L$5</f>
        <v>0</v>
      </c>
      <c r="H25" s="19">
        <f>[22]Vendedor12!$J$6</f>
        <v>0</v>
      </c>
      <c r="I25" s="15">
        <f>[22]Vendedor12!$K$6</f>
        <v>0</v>
      </c>
      <c r="J25" s="17">
        <f>[22]Vendedor12!$L$6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>
      <c r="A26" s="13" t="s">
        <v>35</v>
      </c>
      <c r="B26" s="14">
        <f>[23]Vendedor12!$J$4</f>
        <v>0</v>
      </c>
      <c r="C26" s="81">
        <f>[23]Vendedor12!$K$4</f>
        <v>0</v>
      </c>
      <c r="D26" s="82">
        <f>[23]Vendedor12!$L$4</f>
        <v>0</v>
      </c>
      <c r="E26" s="14">
        <f>[23]Vendedor12!$J$5</f>
        <v>0</v>
      </c>
      <c r="F26" s="81">
        <f>[23]Vendedor12!$K$5</f>
        <v>0</v>
      </c>
      <c r="G26" s="85">
        <f>[23]Vendedor12!$L$5</f>
        <v>0</v>
      </c>
      <c r="H26" s="19">
        <f>[23]Vendedor12!$J$6</f>
        <v>0</v>
      </c>
      <c r="I26" s="15">
        <f>[23]Vendedor12!$K$6</f>
        <v>0</v>
      </c>
      <c r="J26" s="17">
        <f>[23]Vendedor12!$L$6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>
      <c r="A27" s="20" t="s">
        <v>36</v>
      </c>
      <c r="B27" s="14">
        <f>[24]Vendedor12!$J$4</f>
        <v>0</v>
      </c>
      <c r="C27" s="81">
        <f>[24]Vendedor12!$K$4</f>
        <v>0</v>
      </c>
      <c r="D27" s="82">
        <f>[24]Vendedor12!$L$4</f>
        <v>0</v>
      </c>
      <c r="E27" s="14">
        <f>[24]Vendedor12!$J$5</f>
        <v>0</v>
      </c>
      <c r="F27" s="81">
        <f>[24]Vendedor12!$K$5</f>
        <v>0</v>
      </c>
      <c r="G27" s="85">
        <f>[24]Vendedor12!$L$5</f>
        <v>0</v>
      </c>
      <c r="H27" s="19">
        <f>[24]Vendedor12!$J$6</f>
        <v>0</v>
      </c>
      <c r="I27" s="15">
        <f>[24]Vendedor12!$K$6</f>
        <v>0</v>
      </c>
      <c r="J27" s="17">
        <f>[24]Vendedor12!$L$6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>
      <c r="A28" s="13" t="s">
        <v>37</v>
      </c>
      <c r="B28" s="14">
        <f>[25]Vendedor12!$J$4</f>
        <v>0</v>
      </c>
      <c r="C28" s="81">
        <f>[25]Vendedor12!$K$4</f>
        <v>0</v>
      </c>
      <c r="D28" s="82">
        <f>[25]Vendedor12!$L$4</f>
        <v>0</v>
      </c>
      <c r="E28" s="14">
        <f>[25]Vendedor12!$J$5</f>
        <v>0</v>
      </c>
      <c r="F28" s="81">
        <f>[25]Vendedor12!$K$5</f>
        <v>0</v>
      </c>
      <c r="G28" s="85">
        <f>[25]Vendedor12!$L$5</f>
        <v>0</v>
      </c>
      <c r="H28" s="19">
        <f>[25]Vendedor12!$J$6</f>
        <v>0</v>
      </c>
      <c r="I28" s="15">
        <f>[25]Vendedor12!$K$6</f>
        <v>0</v>
      </c>
      <c r="J28" s="17">
        <f>[25]Vendedor12!$L$6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>
      <c r="A29" s="20" t="s">
        <v>38</v>
      </c>
      <c r="B29" s="14">
        <f>[26]Vendedor12!$J$4</f>
        <v>0</v>
      </c>
      <c r="C29" s="81">
        <f>[26]Vendedor12!$K$4</f>
        <v>0</v>
      </c>
      <c r="D29" s="82">
        <f>[26]Vendedor12!$L$4</f>
        <v>0</v>
      </c>
      <c r="E29" s="14">
        <f>[26]Vendedor12!$J$5</f>
        <v>0</v>
      </c>
      <c r="F29" s="81">
        <f>[26]Vendedor12!$K$5</f>
        <v>0</v>
      </c>
      <c r="G29" s="85">
        <f>[26]Vendedor12!$L$5</f>
        <v>0</v>
      </c>
      <c r="H29" s="19">
        <f>[26]Vendedor12!$J$6</f>
        <v>0</v>
      </c>
      <c r="I29" s="15">
        <f>[26]Vendedor12!$K$6</f>
        <v>0</v>
      </c>
      <c r="J29" s="17">
        <f>[26]Vendedor12!$L$6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>
      <c r="A30" s="13" t="s">
        <v>39</v>
      </c>
      <c r="B30" s="14">
        <f>[27]Vendedor12!$J$4</f>
        <v>0</v>
      </c>
      <c r="C30" s="81">
        <f>[27]Vendedor12!$K$4</f>
        <v>0</v>
      </c>
      <c r="D30" s="82">
        <f>[27]Vendedor12!$L$4</f>
        <v>0</v>
      </c>
      <c r="E30" s="14">
        <f>[27]Vendedor12!$J$5</f>
        <v>0</v>
      </c>
      <c r="F30" s="81">
        <f>[27]Vendedor12!$K$5</f>
        <v>0</v>
      </c>
      <c r="G30" s="85">
        <f>[27]Vendedor12!$L$5</f>
        <v>0</v>
      </c>
      <c r="H30" s="19">
        <f>[27]Vendedor12!$J$6</f>
        <v>0</v>
      </c>
      <c r="I30" s="15">
        <f>[27]Vendedor12!$K$6</f>
        <v>0</v>
      </c>
      <c r="J30" s="17">
        <f>[27]Vendedor12!$L$6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>
      <c r="A31" s="20" t="s">
        <v>40</v>
      </c>
      <c r="B31" s="14">
        <f>[28]Vendedor12!$J$4</f>
        <v>0</v>
      </c>
      <c r="C31" s="81">
        <f>[28]Vendedor12!$K$4</f>
        <v>0</v>
      </c>
      <c r="D31" s="82">
        <f>[28]Vendedor12!$L$4</f>
        <v>0</v>
      </c>
      <c r="E31" s="14">
        <f>[28]Vendedor12!$J$5</f>
        <v>0</v>
      </c>
      <c r="F31" s="81">
        <f>[28]Vendedor12!$K$5</f>
        <v>0</v>
      </c>
      <c r="G31" s="85">
        <f>[28]Vendedor12!$L$5</f>
        <v>0</v>
      </c>
      <c r="H31" s="19">
        <f>[28]Vendedor12!$J$6</f>
        <v>0</v>
      </c>
      <c r="I31" s="15">
        <f>[28]Vendedor12!$K$6</f>
        <v>0</v>
      </c>
      <c r="J31" s="17">
        <f>[28]Vendedor12!$L$6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>
      <c r="A32" s="20" t="s">
        <v>41</v>
      </c>
      <c r="B32" s="14">
        <f>[29]Vendedor12!$J$4</f>
        <v>0</v>
      </c>
      <c r="C32" s="81">
        <f>[29]Vendedor12!$K$4</f>
        <v>0</v>
      </c>
      <c r="D32" s="82">
        <f>[29]Vendedor12!$L$4</f>
        <v>0</v>
      </c>
      <c r="E32" s="14">
        <f>[29]Vendedor12!$J$5</f>
        <v>0</v>
      </c>
      <c r="F32" s="81">
        <f>[29]Vendedor12!$K$5</f>
        <v>0</v>
      </c>
      <c r="G32" s="85">
        <f>[29]Vendedor12!$L$5</f>
        <v>0</v>
      </c>
      <c r="H32" s="19">
        <f>[29]Vendedor12!$J$6</f>
        <v>0</v>
      </c>
      <c r="I32" s="15">
        <f>[29]Vendedor12!$K$6</f>
        <v>0</v>
      </c>
      <c r="J32" s="17">
        <f>[29]Vendedor12!$L$6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>
      <c r="A33" s="13" t="s">
        <v>42</v>
      </c>
      <c r="B33" s="14">
        <f>[30]Vendedor12!$J$4</f>
        <v>0</v>
      </c>
      <c r="C33" s="81">
        <f>[30]Vendedor12!$K$4</f>
        <v>0</v>
      </c>
      <c r="D33" s="82">
        <f>[30]Vendedor12!$L$4</f>
        <v>0</v>
      </c>
      <c r="E33" s="14">
        <f>[30]Vendedor12!$J$5</f>
        <v>0</v>
      </c>
      <c r="F33" s="81">
        <f>[30]Vendedor12!$K$5</f>
        <v>0</v>
      </c>
      <c r="G33" s="85">
        <f>[30]Vendedor12!$L$5</f>
        <v>0</v>
      </c>
      <c r="H33" s="19">
        <f>[30]Vendedor12!$J$6</f>
        <v>0</v>
      </c>
      <c r="I33" s="15">
        <f>[30]Vendedor12!$K$6</f>
        <v>0</v>
      </c>
      <c r="J33" s="17">
        <f>[30]Vendedor12!$L$6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>
      <c r="A34" s="20" t="s">
        <v>43</v>
      </c>
      <c r="B34" s="14">
        <f>[31]Vendedor12!$J$4</f>
        <v>0</v>
      </c>
      <c r="C34" s="81">
        <f>[31]Vendedor12!$K$4</f>
        <v>0</v>
      </c>
      <c r="D34" s="82">
        <f>[31]Vendedor12!$L$4</f>
        <v>0</v>
      </c>
      <c r="E34" s="14">
        <f>[31]Vendedor12!$J$5</f>
        <v>0</v>
      </c>
      <c r="F34" s="81">
        <f>[31]Vendedor12!$K$5</f>
        <v>0</v>
      </c>
      <c r="G34" s="85">
        <f>[31]Vendedor12!$L$5</f>
        <v>0</v>
      </c>
      <c r="H34" s="19">
        <f>[31]Vendedor12!$J$6</f>
        <v>0</v>
      </c>
      <c r="I34" s="15">
        <f>[31]Vendedor12!$K$6</f>
        <v>0</v>
      </c>
      <c r="J34" s="17">
        <f>[31]Vendedor12!$L$6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>
      <c r="A35" s="13" t="s">
        <v>44</v>
      </c>
      <c r="B35" s="14">
        <f>[10]Vendedor12!$J$4</f>
        <v>0</v>
      </c>
      <c r="C35" s="81">
        <f>[10]Vendedor12!$K$4</f>
        <v>0</v>
      </c>
      <c r="D35" s="82">
        <f>[10]Vendedor12!$L$4</f>
        <v>0</v>
      </c>
      <c r="E35" s="14">
        <f>[10]Vendedor12!$J$5</f>
        <v>0</v>
      </c>
      <c r="F35" s="81">
        <f>[10]Vendedor12!$K$5</f>
        <v>0</v>
      </c>
      <c r="G35" s="85">
        <f>[10]Vendedor12!$L$5</f>
        <v>0</v>
      </c>
      <c r="H35" s="19">
        <f>[10]Vendedor12!$J$6</f>
        <v>0</v>
      </c>
      <c r="I35" s="15">
        <f>[10]Vendedor12!$K$6</f>
        <v>0</v>
      </c>
      <c r="J35" s="17">
        <f>[10]Vendedor12!$L$6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ht="15.75" thickBot="1">
      <c r="A36" s="20" t="s">
        <v>45</v>
      </c>
      <c r="B36" s="21">
        <f>[11]Vendedor12!$J$4</f>
        <v>0</v>
      </c>
      <c r="C36" s="83">
        <f>[11]Vendedor12!$K$4</f>
        <v>0</v>
      </c>
      <c r="D36" s="84">
        <f>[11]Vendedor12!$L$4</f>
        <v>0</v>
      </c>
      <c r="E36" s="21">
        <f>[11]Vendedor12!$J$5</f>
        <v>0</v>
      </c>
      <c r="F36" s="83">
        <f>[11]Vendedor12!$K$5</f>
        <v>0</v>
      </c>
      <c r="G36" s="86">
        <f>[11]Vendedor12!$L$5</f>
        <v>0</v>
      </c>
      <c r="H36" s="26">
        <f>[11]Vendedor12!$J$6</f>
        <v>0</v>
      </c>
      <c r="I36" s="22">
        <f>[11]Vendedor12!$K$6</f>
        <v>0</v>
      </c>
      <c r="J36" s="24">
        <f>[11]Vendedor12!$L$6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6.5" thickBot="1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28">
        <f>SUM(N5:N36)</f>
        <v>0</v>
      </c>
      <c r="O37" s="64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M37"/>
  <sheetViews>
    <sheetView showGridLines="0" zoomScale="80" zoomScaleNormal="80" workbookViewId="0">
      <selection activeCell="B5" sqref="B5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7" width="11.42578125" style="1"/>
    <col min="18" max="18" width="9.7109375" style="1" bestFit="1" customWidth="1"/>
    <col min="19" max="19" width="16.5703125" style="1" customWidth="1"/>
    <col min="20" max="20" width="13" style="1" customWidth="1"/>
    <col min="21" max="21" width="10.5703125" style="1" bestFit="1" customWidth="1"/>
    <col min="22" max="1027" width="11.42578125" style="1"/>
  </cols>
  <sheetData>
    <row r="1" spans="1:60" ht="15.75" thickBot="1">
      <c r="I1" s="134" t="s">
        <v>0</v>
      </c>
      <c r="J1" s="135"/>
      <c r="K1" s="135"/>
      <c r="L1" s="135"/>
      <c r="M1" s="135"/>
      <c r="N1" s="135"/>
      <c r="O1" s="135"/>
      <c r="P1" s="136"/>
    </row>
    <row r="2" spans="1:60" ht="19.5" thickBot="1">
      <c r="A2" s="2" t="s">
        <v>1</v>
      </c>
      <c r="B2" s="137" t="s">
        <v>137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71" t="s">
        <v>88</v>
      </c>
      <c r="P2" s="72">
        <v>0.12</v>
      </c>
    </row>
    <row r="3" spans="1:60" ht="15.75" thickBot="1"/>
    <row r="4" spans="1:60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8" t="s">
        <v>91</v>
      </c>
      <c r="N4" s="9" t="s">
        <v>96</v>
      </c>
      <c r="O4" s="7" t="s">
        <v>95</v>
      </c>
      <c r="P4" s="10" t="s">
        <v>97</v>
      </c>
      <c r="Q4" s="9" t="s">
        <v>15</v>
      </c>
      <c r="R4" s="7" t="s">
        <v>16</v>
      </c>
      <c r="S4" s="7" t="s">
        <v>17</v>
      </c>
      <c r="T4" s="11" t="s">
        <v>18</v>
      </c>
      <c r="U4" s="12" t="s">
        <v>19</v>
      </c>
    </row>
    <row r="5" spans="1:60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1"/>
      <c r="N5" s="56"/>
      <c r="O5" s="57"/>
      <c r="P5" s="12"/>
      <c r="Q5" s="56"/>
      <c r="R5" s="57"/>
      <c r="S5" s="57"/>
      <c r="T5" s="69">
        <v>0</v>
      </c>
      <c r="U5" s="70">
        <f t="shared" ref="U5:U36" si="0">+Q5-R5-S5+T5</f>
        <v>0</v>
      </c>
    </row>
    <row r="6" spans="1:60">
      <c r="A6" s="20" t="s">
        <v>49</v>
      </c>
      <c r="B6" s="53">
        <f>[1]Vendedor13!$J$4</f>
        <v>56100</v>
      </c>
      <c r="C6" s="87">
        <f>[1]Vendedor13!$K$4</f>
        <v>6732</v>
      </c>
      <c r="D6" s="88">
        <f>[1]Vendedor13!$L$4</f>
        <v>42500</v>
      </c>
      <c r="E6" s="53">
        <f>[1]Vendedor13!$J$5</f>
        <v>23050</v>
      </c>
      <c r="F6" s="87">
        <f>[1]Vendedor13!$K$5</f>
        <v>2766</v>
      </c>
      <c r="G6" s="89">
        <f>[1]Vendedor13!$L$5</f>
        <v>0</v>
      </c>
      <c r="H6" s="59">
        <f>[1]Vendedor13!$J$6</f>
        <v>0</v>
      </c>
      <c r="I6" s="58">
        <f>[1]Vendedor13!$K$6</f>
        <v>0</v>
      </c>
      <c r="J6" s="55">
        <f>[1]Vendedor13!$L$6</f>
        <v>0</v>
      </c>
      <c r="K6" s="61">
        <f>[1]Vendedor13!$J$7</f>
        <v>0</v>
      </c>
      <c r="L6" s="58">
        <f>[1]Vendedor13!$K$7</f>
        <v>0</v>
      </c>
      <c r="M6" s="54">
        <f>[1]Vendedor13!$L$7</f>
        <v>0</v>
      </c>
      <c r="N6" s="59">
        <f>[1]Vendedor13!$J$8</f>
        <v>0</v>
      </c>
      <c r="O6" s="58">
        <f>[1]Vendedor13!$K$8</f>
        <v>0</v>
      </c>
      <c r="P6" s="55">
        <f>[1]Vendedor13!$L$8</f>
        <v>0</v>
      </c>
      <c r="Q6" s="59">
        <f>+B6+E6+H6+K6+N6</f>
        <v>79150</v>
      </c>
      <c r="R6" s="58">
        <f t="shared" ref="R6:R36" si="1">+C6+F6+I6+L6+O6</f>
        <v>9498</v>
      </c>
      <c r="S6" s="55">
        <f t="shared" ref="S6:S36" si="2">+D6+G6+J6+M6+P6</f>
        <v>42500</v>
      </c>
      <c r="T6" s="61">
        <v>0</v>
      </c>
      <c r="U6" s="55">
        <f t="shared" si="0"/>
        <v>27152</v>
      </c>
    </row>
    <row r="7" spans="1:60">
      <c r="A7" s="13" t="s">
        <v>50</v>
      </c>
      <c r="B7" s="14">
        <f>[2]Vendedor13!$J$4</f>
        <v>118400</v>
      </c>
      <c r="C7" s="81">
        <f>[2]Vendedor13!$K$4</f>
        <v>14208</v>
      </c>
      <c r="D7" s="82">
        <f>[2]Vendedor13!$L$4</f>
        <v>297500</v>
      </c>
      <c r="E7" s="14">
        <f>[2]Vendedor13!$J$5</f>
        <v>62500</v>
      </c>
      <c r="F7" s="81">
        <f>[2]Vendedor13!$K$5</f>
        <v>7500</v>
      </c>
      <c r="G7" s="85">
        <f>[2]Vendedor13!$L$5</f>
        <v>40000</v>
      </c>
      <c r="H7" s="19">
        <f>[2]Vendedor13!$J$6</f>
        <v>9000</v>
      </c>
      <c r="I7" s="15">
        <f>[2]Vendedor13!$K$6</f>
        <v>900</v>
      </c>
      <c r="J7" s="17">
        <f>[2]Vendedor13!$L$6</f>
        <v>0</v>
      </c>
      <c r="K7" s="18">
        <f>[2]Vendedor13!$J$7</f>
        <v>6300</v>
      </c>
      <c r="L7" s="15">
        <f>[2]Vendedor13!$K$7</f>
        <v>756</v>
      </c>
      <c r="M7" s="16">
        <f>[2]Vendedor13!$L$7</f>
        <v>0</v>
      </c>
      <c r="N7" s="19">
        <f>[2]Vendedor13!$J$8</f>
        <v>0</v>
      </c>
      <c r="O7" s="15">
        <f>[2]Vendedor13!$K$8</f>
        <v>0</v>
      </c>
      <c r="P7" s="17">
        <f>[2]Vendedor13!$L$8</f>
        <v>0</v>
      </c>
      <c r="Q7" s="19">
        <f t="shared" ref="Q7:Q36" si="3">+B7+E7+H7+K7+N7</f>
        <v>196200</v>
      </c>
      <c r="R7" s="15">
        <f t="shared" si="1"/>
        <v>23364</v>
      </c>
      <c r="S7" s="17">
        <f t="shared" si="2"/>
        <v>337500</v>
      </c>
      <c r="T7" s="18">
        <v>0</v>
      </c>
      <c r="U7" s="17">
        <f t="shared" si="0"/>
        <v>-164664</v>
      </c>
    </row>
    <row r="8" spans="1:60">
      <c r="A8" s="20" t="s">
        <v>51</v>
      </c>
      <c r="B8" s="14">
        <f>[3]Vendedor13!$J$4</f>
        <v>42300</v>
      </c>
      <c r="C8" s="81">
        <f>[3]Vendedor13!$K$4</f>
        <v>5076</v>
      </c>
      <c r="D8" s="82">
        <f>[3]Vendedor13!$L$4</f>
        <v>21250</v>
      </c>
      <c r="E8" s="14">
        <f>[3]Vendedor13!$J$5</f>
        <v>19750</v>
      </c>
      <c r="F8" s="81">
        <f>[3]Vendedor13!$K$5</f>
        <v>2370</v>
      </c>
      <c r="G8" s="85">
        <f>[3]Vendedor13!$L$5</f>
        <v>0</v>
      </c>
      <c r="H8" s="19">
        <f>[3]Vendedor13!$J$6</f>
        <v>500</v>
      </c>
      <c r="I8" s="15">
        <f>[3]Vendedor13!$K$6</f>
        <v>50</v>
      </c>
      <c r="J8" s="17">
        <f>[3]Vendedor13!$L$6</f>
        <v>0</v>
      </c>
      <c r="K8" s="18">
        <f>[3]Vendedor13!$J$7</f>
        <v>0</v>
      </c>
      <c r="L8" s="15">
        <f>[3]Vendedor13!$K$7</f>
        <v>0</v>
      </c>
      <c r="M8" s="16">
        <f>[3]Vendedor13!$L$7</f>
        <v>0</v>
      </c>
      <c r="N8" s="19">
        <f>[3]Vendedor13!$J$8</f>
        <v>0</v>
      </c>
      <c r="O8" s="15">
        <f>[3]Vendedor13!$K$8</f>
        <v>0</v>
      </c>
      <c r="P8" s="17">
        <f>[3]Vendedor13!$L$8</f>
        <v>0</v>
      </c>
      <c r="Q8" s="19">
        <f t="shared" si="3"/>
        <v>62550</v>
      </c>
      <c r="R8" s="15">
        <f t="shared" si="1"/>
        <v>7496</v>
      </c>
      <c r="S8" s="17">
        <f t="shared" si="2"/>
        <v>21250</v>
      </c>
      <c r="T8" s="18">
        <v>0</v>
      </c>
      <c r="U8" s="17">
        <f t="shared" si="0"/>
        <v>33804</v>
      </c>
    </row>
    <row r="9" spans="1:60">
      <c r="A9" s="13" t="s">
        <v>52</v>
      </c>
      <c r="B9" s="14">
        <f>[4]Vendedor13!$J$4</f>
        <v>54800</v>
      </c>
      <c r="C9" s="81">
        <f>[4]Vendedor13!$K$4</f>
        <v>6576</v>
      </c>
      <c r="D9" s="82">
        <f>[4]Vendedor13!$L$4</f>
        <v>59500</v>
      </c>
      <c r="E9" s="14">
        <f>[4]Vendedor13!$J$5</f>
        <v>26550</v>
      </c>
      <c r="F9" s="81">
        <f>[4]Vendedor13!$K$5</f>
        <v>3186</v>
      </c>
      <c r="G9" s="85">
        <f>[4]Vendedor13!$L$5</f>
        <v>0</v>
      </c>
      <c r="H9" s="19">
        <f>[4]Vendedor13!$J$6</f>
        <v>500</v>
      </c>
      <c r="I9" s="15">
        <f>[4]Vendedor13!$K$6</f>
        <v>50</v>
      </c>
      <c r="J9" s="17">
        <f>[4]Vendedor13!$L$6</f>
        <v>0</v>
      </c>
      <c r="K9" s="18">
        <f>[4]Vendedor13!$J$7</f>
        <v>0</v>
      </c>
      <c r="L9" s="15">
        <f>[4]Vendedor13!$K$7</f>
        <v>0</v>
      </c>
      <c r="M9" s="16">
        <f>[4]Vendedor13!$L$7</f>
        <v>0</v>
      </c>
      <c r="N9" s="19">
        <f>[4]Vendedor13!$J$8</f>
        <v>0</v>
      </c>
      <c r="O9" s="15">
        <f>[4]Vendedor13!$K$8</f>
        <v>0</v>
      </c>
      <c r="P9" s="17">
        <f>[4]Vendedor13!$L$8</f>
        <v>0</v>
      </c>
      <c r="Q9" s="19">
        <f t="shared" si="3"/>
        <v>81850</v>
      </c>
      <c r="R9" s="15">
        <f t="shared" si="1"/>
        <v>9812</v>
      </c>
      <c r="S9" s="17">
        <f t="shared" si="2"/>
        <v>59500</v>
      </c>
      <c r="T9" s="18">
        <v>0</v>
      </c>
      <c r="U9" s="17">
        <f t="shared" si="0"/>
        <v>12538</v>
      </c>
    </row>
    <row r="10" spans="1:60">
      <c r="A10" s="20" t="s">
        <v>53</v>
      </c>
      <c r="B10" s="14">
        <f>[5]Vendedor13!$J$4</f>
        <v>76000</v>
      </c>
      <c r="C10" s="81">
        <f>[5]Vendedor13!$K$4</f>
        <v>9120</v>
      </c>
      <c r="D10" s="82">
        <f>[5]Vendedor13!$L$4</f>
        <v>0</v>
      </c>
      <c r="E10" s="14">
        <f>[5]Vendedor13!$J$5</f>
        <v>21000</v>
      </c>
      <c r="F10" s="81">
        <f>[5]Vendedor13!$K$5</f>
        <v>2520</v>
      </c>
      <c r="G10" s="85">
        <f>[5]Vendedor13!$L$5</f>
        <v>16000</v>
      </c>
      <c r="H10" s="19">
        <f>[5]Vendedor13!$J$6</f>
        <v>1500</v>
      </c>
      <c r="I10" s="15">
        <f>[5]Vendedor13!$K$6</f>
        <v>150</v>
      </c>
      <c r="J10" s="17">
        <f>[5]Vendedor13!$L$6</f>
        <v>0</v>
      </c>
      <c r="K10" s="18">
        <f>[5]Vendedor13!$J$7</f>
        <v>0</v>
      </c>
      <c r="L10" s="15">
        <f>[5]Vendedor13!$K$7</f>
        <v>0</v>
      </c>
      <c r="M10" s="16">
        <f>[5]Vendedor13!$L$7</f>
        <v>0</v>
      </c>
      <c r="N10" s="19">
        <f>[5]Vendedor13!$J$8</f>
        <v>1200</v>
      </c>
      <c r="O10" s="15">
        <f>[5]Vendedor13!$K$8</f>
        <v>144</v>
      </c>
      <c r="P10" s="17">
        <f>[5]Vendedor13!$L$8</f>
        <v>0</v>
      </c>
      <c r="Q10" s="19">
        <f t="shared" si="3"/>
        <v>99700</v>
      </c>
      <c r="R10" s="15">
        <f t="shared" si="1"/>
        <v>11934</v>
      </c>
      <c r="S10" s="17">
        <f t="shared" si="2"/>
        <v>16000</v>
      </c>
      <c r="T10" s="18">
        <v>0</v>
      </c>
      <c r="U10" s="17">
        <f t="shared" si="0"/>
        <v>71766</v>
      </c>
    </row>
    <row r="11" spans="1:60">
      <c r="A11" s="13" t="s">
        <v>20</v>
      </c>
      <c r="B11" s="14">
        <f>[6]Vendedor13!$J$4</f>
        <v>60600</v>
      </c>
      <c r="C11" s="81">
        <f>[6]Vendedor13!$K$4</f>
        <v>7272</v>
      </c>
      <c r="D11" s="82">
        <f>[6]Vendedor13!$L$4</f>
        <v>59500</v>
      </c>
      <c r="E11" s="14">
        <f>[6]Vendedor13!$J$5</f>
        <v>12600</v>
      </c>
      <c r="F11" s="81">
        <f>[6]Vendedor13!$K$5</f>
        <v>1512</v>
      </c>
      <c r="G11" s="85">
        <f>[6]Vendedor13!$L$5</f>
        <v>0</v>
      </c>
      <c r="H11" s="19">
        <f>[6]Vendedor13!$J$6</f>
        <v>900</v>
      </c>
      <c r="I11" s="15">
        <f>[6]Vendedor13!$K$6</f>
        <v>90</v>
      </c>
      <c r="J11" s="17">
        <f>[6]Vendedor13!$L$6</f>
        <v>0</v>
      </c>
      <c r="K11" s="18">
        <f>[6]Vendedor13!$J$7</f>
        <v>0</v>
      </c>
      <c r="L11" s="15">
        <f>[6]Vendedor13!$K$7</f>
        <v>0</v>
      </c>
      <c r="M11" s="16">
        <f>[6]Vendedor13!$L$7</f>
        <v>0</v>
      </c>
      <c r="N11" s="19">
        <f>[6]Vendedor13!$J$8</f>
        <v>0</v>
      </c>
      <c r="O11" s="15">
        <f>[6]Vendedor13!$K$8</f>
        <v>0</v>
      </c>
      <c r="P11" s="17">
        <f>[6]Vendedor13!$L$8</f>
        <v>0</v>
      </c>
      <c r="Q11" s="19">
        <f t="shared" si="3"/>
        <v>74100</v>
      </c>
      <c r="R11" s="15">
        <f t="shared" si="1"/>
        <v>8874</v>
      </c>
      <c r="S11" s="17">
        <f t="shared" si="2"/>
        <v>59500</v>
      </c>
      <c r="T11" s="18">
        <v>0</v>
      </c>
      <c r="U11" s="17">
        <f t="shared" si="0"/>
        <v>5726</v>
      </c>
    </row>
    <row r="12" spans="1:60">
      <c r="A12" s="20" t="s">
        <v>21</v>
      </c>
      <c r="B12" s="14">
        <f>[7]Vendedor13!$J$4</f>
        <v>72450</v>
      </c>
      <c r="C12" s="81">
        <f>[7]Vendedor13!$K$4</f>
        <v>8694</v>
      </c>
      <c r="D12" s="82">
        <f>[7]Vendedor13!$L$4</f>
        <v>127500</v>
      </c>
      <c r="E12" s="14">
        <f>[7]Vendedor13!$J$5</f>
        <v>31550</v>
      </c>
      <c r="F12" s="81">
        <f>[7]Vendedor13!$K$5</f>
        <v>3786</v>
      </c>
      <c r="G12" s="85">
        <f>[7]Vendedor13!$L$5</f>
        <v>64000</v>
      </c>
      <c r="H12" s="19">
        <f>[7]Vendedor13!$J$6</f>
        <v>500</v>
      </c>
      <c r="I12" s="15">
        <f>[7]Vendedor13!$K$6</f>
        <v>50</v>
      </c>
      <c r="J12" s="17">
        <f>[7]Vendedor13!$L$6</f>
        <v>0</v>
      </c>
      <c r="K12" s="18">
        <f>[7]Vendedor13!$J$7</f>
        <v>500</v>
      </c>
      <c r="L12" s="15">
        <f>[7]Vendedor13!$K$7</f>
        <v>60</v>
      </c>
      <c r="M12" s="16">
        <f>[7]Vendedor13!$L$7</f>
        <v>0</v>
      </c>
      <c r="N12" s="19">
        <f>[7]Vendedor13!$J$8</f>
        <v>0</v>
      </c>
      <c r="O12" s="15">
        <f>[7]Vendedor13!$K$8</f>
        <v>0</v>
      </c>
      <c r="P12" s="17">
        <f>[7]Vendedor13!$L$8</f>
        <v>0</v>
      </c>
      <c r="Q12" s="19">
        <f t="shared" si="3"/>
        <v>105000</v>
      </c>
      <c r="R12" s="15">
        <f t="shared" si="1"/>
        <v>12590</v>
      </c>
      <c r="S12" s="17">
        <f t="shared" si="2"/>
        <v>191500</v>
      </c>
      <c r="T12" s="18">
        <v>0</v>
      </c>
      <c r="U12" s="17">
        <f t="shared" si="0"/>
        <v>-99090</v>
      </c>
    </row>
    <row r="13" spans="1:60">
      <c r="A13" s="13" t="s">
        <v>22</v>
      </c>
      <c r="B13" s="14">
        <f>[8]Vendedor13!$J$4</f>
        <v>55450</v>
      </c>
      <c r="C13" s="81">
        <f>[8]Vendedor13!$K$4</f>
        <v>6654</v>
      </c>
      <c r="D13" s="82">
        <f>[8]Vendedor13!$L$4</f>
        <v>80750</v>
      </c>
      <c r="E13" s="14">
        <f>[8]Vendedor13!$J$5</f>
        <v>19600</v>
      </c>
      <c r="F13" s="81">
        <f>[8]Vendedor13!$K$5</f>
        <v>2352</v>
      </c>
      <c r="G13" s="85">
        <f>[8]Vendedor13!$L$5</f>
        <v>0</v>
      </c>
      <c r="H13" s="19">
        <f>[8]Vendedor13!$J$6</f>
        <v>0</v>
      </c>
      <c r="I13" s="15">
        <f>[8]Vendedor13!$K$6</f>
        <v>0</v>
      </c>
      <c r="J13" s="17">
        <f>[8]Vendedor13!$L$6</f>
        <v>0</v>
      </c>
      <c r="K13" s="18">
        <f>[8]Vendedor13!$J$7</f>
        <v>0</v>
      </c>
      <c r="L13" s="15">
        <f>[8]Vendedor13!$K$7</f>
        <v>0</v>
      </c>
      <c r="M13" s="16">
        <f>[8]Vendedor13!$L$7</f>
        <v>0</v>
      </c>
      <c r="N13" s="19">
        <f>[8]Vendedor13!$J$8</f>
        <v>0</v>
      </c>
      <c r="O13" s="15">
        <f>[8]Vendedor13!$K$8</f>
        <v>0</v>
      </c>
      <c r="P13" s="17">
        <f>[8]Vendedor13!$L$8</f>
        <v>0</v>
      </c>
      <c r="Q13" s="19">
        <f t="shared" si="3"/>
        <v>75050</v>
      </c>
      <c r="R13" s="15">
        <f t="shared" si="1"/>
        <v>9006</v>
      </c>
      <c r="S13" s="17">
        <f t="shared" si="2"/>
        <v>80750</v>
      </c>
      <c r="T13" s="18">
        <v>0</v>
      </c>
      <c r="U13" s="17">
        <f t="shared" si="0"/>
        <v>-14706</v>
      </c>
    </row>
    <row r="14" spans="1:60">
      <c r="A14" s="20" t="s">
        <v>23</v>
      </c>
      <c r="B14" s="14">
        <f>[9]Vendedor13!$J$4</f>
        <v>100050</v>
      </c>
      <c r="C14" s="81">
        <f>[9]Vendedor13!$K$4</f>
        <v>12006</v>
      </c>
      <c r="D14" s="82">
        <f>[9]Vendedor13!$L$4</f>
        <v>42500</v>
      </c>
      <c r="E14" s="14">
        <f>[9]Vendedor13!$J$5</f>
        <v>36700</v>
      </c>
      <c r="F14" s="81">
        <f>[9]Vendedor13!$K$5</f>
        <v>4404</v>
      </c>
      <c r="G14" s="85">
        <f>[9]Vendedor13!$L$5</f>
        <v>20000</v>
      </c>
      <c r="H14" s="19">
        <f>[9]Vendedor13!$J$6</f>
        <v>10000</v>
      </c>
      <c r="I14" s="15">
        <f>[9]Vendedor13!$K$6</f>
        <v>1000</v>
      </c>
      <c r="J14" s="17">
        <f>[9]Vendedor13!$L$6</f>
        <v>0</v>
      </c>
      <c r="K14" s="18">
        <f>[9]Vendedor13!$J$7</f>
        <v>2700</v>
      </c>
      <c r="L14" s="15">
        <f>[9]Vendedor13!$K$7</f>
        <v>324</v>
      </c>
      <c r="M14" s="16">
        <f>[9]Vendedor13!$L$7</f>
        <v>0</v>
      </c>
      <c r="N14" s="19">
        <f>[9]Vendedor13!$J$8</f>
        <v>0</v>
      </c>
      <c r="O14" s="15">
        <f>[9]Vendedor13!$K$8</f>
        <v>0</v>
      </c>
      <c r="P14" s="17">
        <f>[9]Vendedor13!$L$8</f>
        <v>0</v>
      </c>
      <c r="Q14" s="19">
        <f t="shared" si="3"/>
        <v>149450</v>
      </c>
      <c r="R14" s="15">
        <f t="shared" si="1"/>
        <v>17734</v>
      </c>
      <c r="S14" s="17">
        <f t="shared" si="2"/>
        <v>62500</v>
      </c>
      <c r="T14" s="18">
        <v>0</v>
      </c>
      <c r="U14" s="17">
        <f t="shared" si="0"/>
        <v>69216</v>
      </c>
    </row>
    <row r="15" spans="1:60" s="76" customFormat="1">
      <c r="A15" s="20" t="s">
        <v>24</v>
      </c>
      <c r="B15" s="14">
        <f>[12]Vendedor13!$J$4</f>
        <v>66050</v>
      </c>
      <c r="C15" s="81">
        <f>[12]Vendedor13!$K$4</f>
        <v>7926</v>
      </c>
      <c r="D15" s="82">
        <f>[12]Vendedor13!$L$4</f>
        <v>29750</v>
      </c>
      <c r="E15" s="14">
        <f>[12]Vendedor13!$J$5</f>
        <v>37200</v>
      </c>
      <c r="F15" s="81">
        <f>[12]Vendedor13!$K$5</f>
        <v>4464</v>
      </c>
      <c r="G15" s="85">
        <f>[12]Vendedor13!$L$5</f>
        <v>8000</v>
      </c>
      <c r="H15" s="19">
        <f>[12]Vendedor13!$J$6</f>
        <v>2100</v>
      </c>
      <c r="I15" s="15">
        <f>[12]Vendedor13!$K$6</f>
        <v>210</v>
      </c>
      <c r="J15" s="17">
        <f>[12]Vendedor13!$L$6</f>
        <v>0</v>
      </c>
      <c r="K15" s="18">
        <f>[12]Vendedor13!$J$7</f>
        <v>0</v>
      </c>
      <c r="L15" s="15">
        <f>[12]Vendedor13!$K$7</f>
        <v>0</v>
      </c>
      <c r="M15" s="16">
        <f>[12]Vendedor13!$L$7</f>
        <v>0</v>
      </c>
      <c r="N15" s="19">
        <f>[12]Vendedor13!$J$8</f>
        <v>0</v>
      </c>
      <c r="O15" s="15">
        <f>[12]Vendedor13!$K$8</f>
        <v>0</v>
      </c>
      <c r="P15" s="17">
        <f>[12]Vendedor13!$L$8</f>
        <v>0</v>
      </c>
      <c r="Q15" s="19">
        <f t="shared" si="3"/>
        <v>105350</v>
      </c>
      <c r="R15" s="15">
        <f t="shared" si="1"/>
        <v>12600</v>
      </c>
      <c r="S15" s="17">
        <f t="shared" si="2"/>
        <v>37750</v>
      </c>
      <c r="T15" s="18">
        <v>0</v>
      </c>
      <c r="U15" s="17">
        <f t="shared" si="0"/>
        <v>55000</v>
      </c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</row>
    <row r="16" spans="1:60" s="76" customFormat="1">
      <c r="A16" s="20" t="s">
        <v>25</v>
      </c>
      <c r="B16" s="14">
        <f>[13]Vendedor13!$J$4</f>
        <v>78150</v>
      </c>
      <c r="C16" s="81">
        <f>[13]Vendedor13!$K$4</f>
        <v>9378</v>
      </c>
      <c r="D16" s="82">
        <f>[13]Vendedor13!$L$4</f>
        <v>208250</v>
      </c>
      <c r="E16" s="14">
        <f>[13]Vendedor13!$J$5</f>
        <v>30800</v>
      </c>
      <c r="F16" s="81">
        <f>[13]Vendedor13!$K$5</f>
        <v>3696</v>
      </c>
      <c r="G16" s="85">
        <f>[13]Vendedor13!$L$5</f>
        <v>0</v>
      </c>
      <c r="H16" s="19">
        <f>[13]Vendedor13!$J$6</f>
        <v>1900</v>
      </c>
      <c r="I16" s="15">
        <f>[13]Vendedor13!$K$6</f>
        <v>190</v>
      </c>
      <c r="J16" s="17">
        <f>[13]Vendedor13!$L$6</f>
        <v>0</v>
      </c>
      <c r="K16" s="18">
        <f>[13]Vendedor13!$J$7</f>
        <v>2900</v>
      </c>
      <c r="L16" s="15">
        <f>[13]Vendedor13!$K$7</f>
        <v>348</v>
      </c>
      <c r="M16" s="16">
        <f>[13]Vendedor13!$L$7</f>
        <v>0</v>
      </c>
      <c r="N16" s="19">
        <f>[13]Vendedor13!$J$8</f>
        <v>0</v>
      </c>
      <c r="O16" s="15">
        <f>[13]Vendedor13!$K$8</f>
        <v>0</v>
      </c>
      <c r="P16" s="17">
        <f>[13]Vendedor13!$L$8</f>
        <v>0</v>
      </c>
      <c r="Q16" s="19">
        <f t="shared" si="3"/>
        <v>113750</v>
      </c>
      <c r="R16" s="15">
        <f t="shared" si="1"/>
        <v>13612</v>
      </c>
      <c r="S16" s="17">
        <f t="shared" si="2"/>
        <v>208250</v>
      </c>
      <c r="T16" s="18">
        <v>0</v>
      </c>
      <c r="U16" s="17">
        <f t="shared" si="0"/>
        <v>-108112</v>
      </c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</row>
    <row r="17" spans="1:60" s="76" customFormat="1">
      <c r="A17" s="20" t="s">
        <v>26</v>
      </c>
      <c r="B17" s="14">
        <f>[14]Vendedor13!$J$4</f>
        <v>57600</v>
      </c>
      <c r="C17" s="81">
        <f>[14]Vendedor13!$K$4</f>
        <v>6912</v>
      </c>
      <c r="D17" s="82">
        <f>[14]Vendedor13!$L$4</f>
        <v>127500</v>
      </c>
      <c r="E17" s="14">
        <f>[14]Vendedor13!$J$5</f>
        <v>23650</v>
      </c>
      <c r="F17" s="81">
        <f>[14]Vendedor13!$K$5</f>
        <v>2838</v>
      </c>
      <c r="G17" s="85">
        <f>[14]Vendedor13!$L$5</f>
        <v>0</v>
      </c>
      <c r="H17" s="19">
        <f>[14]Vendedor13!$J$6</f>
        <v>4000</v>
      </c>
      <c r="I17" s="15">
        <f>[14]Vendedor13!$K$6</f>
        <v>400</v>
      </c>
      <c r="J17" s="17">
        <f>[14]Vendedor13!$L$6</f>
        <v>0</v>
      </c>
      <c r="K17" s="18">
        <f>[14]Vendedor13!$J$7</f>
        <v>4200</v>
      </c>
      <c r="L17" s="15">
        <f>[14]Vendedor13!$K$7</f>
        <v>504</v>
      </c>
      <c r="M17" s="16">
        <f>[14]Vendedor13!$L$7</f>
        <v>0</v>
      </c>
      <c r="N17" s="19">
        <f>[14]Vendedor13!$J$8</f>
        <v>0</v>
      </c>
      <c r="O17" s="15">
        <f>[14]Vendedor13!$K$8</f>
        <v>0</v>
      </c>
      <c r="P17" s="17">
        <f>[14]Vendedor13!$L$8</f>
        <v>0</v>
      </c>
      <c r="Q17" s="19">
        <f t="shared" si="3"/>
        <v>89450</v>
      </c>
      <c r="R17" s="15">
        <f t="shared" si="1"/>
        <v>10654</v>
      </c>
      <c r="S17" s="17">
        <f t="shared" si="2"/>
        <v>127500</v>
      </c>
      <c r="T17" s="18">
        <v>0</v>
      </c>
      <c r="U17" s="17">
        <f t="shared" si="0"/>
        <v>-48704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</row>
    <row r="18" spans="1:60">
      <c r="A18" s="20" t="s">
        <v>27</v>
      </c>
      <c r="B18" s="14">
        <f>[15]Vendedor13!$J$4</f>
        <v>68200</v>
      </c>
      <c r="C18" s="81">
        <f>[15]Vendedor13!$K$4</f>
        <v>8184</v>
      </c>
      <c r="D18" s="82">
        <f>[15]Vendedor13!$L$4</f>
        <v>25500</v>
      </c>
      <c r="E18" s="14">
        <f>[15]Vendedor13!$J$5</f>
        <v>21850</v>
      </c>
      <c r="F18" s="81">
        <f>[15]Vendedor13!$K$5</f>
        <v>2622</v>
      </c>
      <c r="G18" s="85">
        <f>[15]Vendedor13!$L$5</f>
        <v>0</v>
      </c>
      <c r="H18" s="19">
        <f>[15]Vendedor13!$J$6</f>
        <v>2400</v>
      </c>
      <c r="I18" s="15">
        <f>[15]Vendedor13!$K$6</f>
        <v>240</v>
      </c>
      <c r="J18" s="17">
        <f>[15]Vendedor13!$L$6</f>
        <v>0</v>
      </c>
      <c r="K18" s="18">
        <f>[15]Vendedor13!$J$7</f>
        <v>0</v>
      </c>
      <c r="L18" s="15">
        <f>[15]Vendedor13!$K$7</f>
        <v>0</v>
      </c>
      <c r="M18" s="16">
        <f>[15]Vendedor13!$L$7</f>
        <v>0</v>
      </c>
      <c r="N18" s="19">
        <f>[15]Vendedor13!$J$8</f>
        <v>300</v>
      </c>
      <c r="O18" s="15">
        <f>[15]Vendedor13!$K$8</f>
        <v>36</v>
      </c>
      <c r="P18" s="17">
        <f>[15]Vendedor13!$L$8</f>
        <v>0</v>
      </c>
      <c r="Q18" s="19">
        <f t="shared" si="3"/>
        <v>92750</v>
      </c>
      <c r="R18" s="15">
        <f t="shared" si="1"/>
        <v>11082</v>
      </c>
      <c r="S18" s="17">
        <f t="shared" si="2"/>
        <v>25500</v>
      </c>
      <c r="T18" s="18">
        <v>0</v>
      </c>
      <c r="U18" s="17">
        <f t="shared" si="0"/>
        <v>56168</v>
      </c>
    </row>
    <row r="19" spans="1:60">
      <c r="A19" s="20" t="s">
        <v>28</v>
      </c>
      <c r="B19" s="14">
        <f>[16]Vendedor13!$J$4</f>
        <v>29950</v>
      </c>
      <c r="C19" s="81">
        <f>[16]Vendedor13!$K$4</f>
        <v>3594</v>
      </c>
      <c r="D19" s="82">
        <f>[16]Vendedor13!$L$4</f>
        <v>42500</v>
      </c>
      <c r="E19" s="14">
        <f>[16]Vendedor13!$J$5</f>
        <v>9000</v>
      </c>
      <c r="F19" s="81">
        <f>[16]Vendedor13!$K$5</f>
        <v>1080</v>
      </c>
      <c r="G19" s="85">
        <f>[16]Vendedor13!$L$5</f>
        <v>0</v>
      </c>
      <c r="H19" s="19">
        <f>[16]Vendedor13!$J$6</f>
        <v>0</v>
      </c>
      <c r="I19" s="15">
        <f>[16]Vendedor13!$K$6</f>
        <v>0</v>
      </c>
      <c r="J19" s="17">
        <f>[16]Vendedor13!$L$6</f>
        <v>0</v>
      </c>
      <c r="K19" s="18">
        <f>[16]Vendedor13!$J$7</f>
        <v>0</v>
      </c>
      <c r="L19" s="15">
        <f>[16]Vendedor13!$K$7</f>
        <v>0</v>
      </c>
      <c r="M19" s="16">
        <f>[16]Vendedor13!$L$7</f>
        <v>0</v>
      </c>
      <c r="N19" s="19">
        <f>[16]Vendedor13!$J$8</f>
        <v>0</v>
      </c>
      <c r="O19" s="15">
        <f>[16]Vendedor13!$K$8</f>
        <v>0</v>
      </c>
      <c r="P19" s="17">
        <f>[16]Vendedor13!$L$8</f>
        <v>0</v>
      </c>
      <c r="Q19" s="19">
        <f t="shared" si="3"/>
        <v>38950</v>
      </c>
      <c r="R19" s="15">
        <f t="shared" si="1"/>
        <v>4674</v>
      </c>
      <c r="S19" s="17">
        <f t="shared" si="2"/>
        <v>42500</v>
      </c>
      <c r="T19" s="18">
        <v>0</v>
      </c>
      <c r="U19" s="17">
        <f t="shared" si="0"/>
        <v>-8224</v>
      </c>
    </row>
    <row r="20" spans="1:60">
      <c r="A20" s="13" t="s">
        <v>29</v>
      </c>
      <c r="B20" s="14">
        <f>[17]Vendedor13!$J$4</f>
        <v>0</v>
      </c>
      <c r="C20" s="81">
        <f>[17]Vendedor13!$K$4</f>
        <v>0</v>
      </c>
      <c r="D20" s="82">
        <f>[17]Vendedor13!$L$4</f>
        <v>0</v>
      </c>
      <c r="E20" s="14">
        <f>[17]Vendedor13!$J$5</f>
        <v>0</v>
      </c>
      <c r="F20" s="81">
        <f>[17]Vendedor13!$K$5</f>
        <v>0</v>
      </c>
      <c r="G20" s="85">
        <f>[17]Vendedor13!$L$5</f>
        <v>0</v>
      </c>
      <c r="H20" s="19">
        <f>[17]Vendedor13!$J$6</f>
        <v>0</v>
      </c>
      <c r="I20" s="15">
        <f>[17]Vendedor13!$K$6</f>
        <v>0</v>
      </c>
      <c r="J20" s="17">
        <f>[17]Vendedor13!$L$6</f>
        <v>0</v>
      </c>
      <c r="K20" s="18">
        <f>[17]Vendedor13!$J$7</f>
        <v>0</v>
      </c>
      <c r="L20" s="15">
        <f>[17]Vendedor13!$K$7</f>
        <v>0</v>
      </c>
      <c r="M20" s="16">
        <f>[17]Vendedor13!$L$7</f>
        <v>0</v>
      </c>
      <c r="N20" s="19">
        <f>[17]Vendedor13!$J$8</f>
        <v>0</v>
      </c>
      <c r="O20" s="15">
        <f>[17]Vendedor13!$K$8</f>
        <v>0</v>
      </c>
      <c r="P20" s="17">
        <f>[17]Vendedor13!$L$8</f>
        <v>0</v>
      </c>
      <c r="Q20" s="19">
        <f t="shared" si="3"/>
        <v>0</v>
      </c>
      <c r="R20" s="15">
        <f t="shared" si="1"/>
        <v>0</v>
      </c>
      <c r="S20" s="17">
        <f t="shared" si="2"/>
        <v>0</v>
      </c>
      <c r="T20" s="18">
        <v>0</v>
      </c>
      <c r="U20" s="17">
        <f t="shared" si="0"/>
        <v>0</v>
      </c>
    </row>
    <row r="21" spans="1:60">
      <c r="A21" s="20" t="s">
        <v>30</v>
      </c>
      <c r="B21" s="14">
        <f>[18]Vendedor13!$J$4</f>
        <v>0</v>
      </c>
      <c r="C21" s="81">
        <f>[18]Vendedor13!$K$4</f>
        <v>0</v>
      </c>
      <c r="D21" s="82">
        <f>[18]Vendedor13!$L$4</f>
        <v>0</v>
      </c>
      <c r="E21" s="14">
        <f>[18]Vendedor13!$J$5</f>
        <v>0</v>
      </c>
      <c r="F21" s="81">
        <f>[18]Vendedor13!$K$5</f>
        <v>0</v>
      </c>
      <c r="G21" s="85">
        <f>[18]Vendedor13!$L$5</f>
        <v>0</v>
      </c>
      <c r="H21" s="19">
        <f>[18]Vendedor13!$J$6</f>
        <v>0</v>
      </c>
      <c r="I21" s="15">
        <f>[18]Vendedor13!$K$6</f>
        <v>0</v>
      </c>
      <c r="J21" s="17">
        <f>[18]Vendedor13!$L$6</f>
        <v>0</v>
      </c>
      <c r="K21" s="18">
        <f>[18]Vendedor13!$J$7</f>
        <v>0</v>
      </c>
      <c r="L21" s="15">
        <f>[18]Vendedor13!$K$7</f>
        <v>0</v>
      </c>
      <c r="M21" s="16">
        <f>[18]Vendedor13!$L$7</f>
        <v>0</v>
      </c>
      <c r="N21" s="19">
        <f>[18]Vendedor13!$J$8</f>
        <v>0</v>
      </c>
      <c r="O21" s="15">
        <f>[18]Vendedor13!$K$8</f>
        <v>0</v>
      </c>
      <c r="P21" s="17">
        <f>[18]Vendedor13!$L$8</f>
        <v>0</v>
      </c>
      <c r="Q21" s="19">
        <f t="shared" si="3"/>
        <v>0</v>
      </c>
      <c r="R21" s="15">
        <f t="shared" si="1"/>
        <v>0</v>
      </c>
      <c r="S21" s="17">
        <f t="shared" si="2"/>
        <v>0</v>
      </c>
      <c r="T21" s="18">
        <v>0</v>
      </c>
      <c r="U21" s="17">
        <f t="shared" si="0"/>
        <v>0</v>
      </c>
    </row>
    <row r="22" spans="1:60">
      <c r="A22" s="13" t="s">
        <v>31</v>
      </c>
      <c r="B22" s="14">
        <f>[19]Vendedor13!$J$4</f>
        <v>0</v>
      </c>
      <c r="C22" s="81">
        <f>[19]Vendedor13!$K$4</f>
        <v>0</v>
      </c>
      <c r="D22" s="82">
        <f>[19]Vendedor13!$L$4</f>
        <v>0</v>
      </c>
      <c r="E22" s="14">
        <f>[19]Vendedor13!$J$5</f>
        <v>0</v>
      </c>
      <c r="F22" s="81">
        <f>[19]Vendedor13!$K$5</f>
        <v>0</v>
      </c>
      <c r="G22" s="85">
        <f>[19]Vendedor13!$L$5</f>
        <v>0</v>
      </c>
      <c r="H22" s="19">
        <f>[19]Vendedor13!$J$6</f>
        <v>0</v>
      </c>
      <c r="I22" s="15">
        <f>[19]Vendedor13!$K$6</f>
        <v>0</v>
      </c>
      <c r="J22" s="17">
        <f>[19]Vendedor13!$L$6</f>
        <v>0</v>
      </c>
      <c r="K22" s="18">
        <f>[19]Vendedor13!$J$7</f>
        <v>0</v>
      </c>
      <c r="L22" s="15">
        <f>[19]Vendedor13!$K$7</f>
        <v>0</v>
      </c>
      <c r="M22" s="16">
        <f>[19]Vendedor13!$L$7</f>
        <v>0</v>
      </c>
      <c r="N22" s="19">
        <f>[19]Vendedor13!$J$8</f>
        <v>0</v>
      </c>
      <c r="O22" s="15">
        <f>[19]Vendedor13!$K$8</f>
        <v>0</v>
      </c>
      <c r="P22" s="17">
        <f>[19]Vendedor13!$L$8</f>
        <v>0</v>
      </c>
      <c r="Q22" s="19">
        <f t="shared" si="3"/>
        <v>0</v>
      </c>
      <c r="R22" s="15">
        <f t="shared" si="1"/>
        <v>0</v>
      </c>
      <c r="S22" s="17">
        <f t="shared" si="2"/>
        <v>0</v>
      </c>
      <c r="T22" s="18">
        <v>0</v>
      </c>
      <c r="U22" s="17">
        <f t="shared" si="0"/>
        <v>0</v>
      </c>
    </row>
    <row r="23" spans="1:60">
      <c r="A23" s="20" t="s">
        <v>32</v>
      </c>
      <c r="B23" s="14">
        <f>[20]Vendedor13!$J$4</f>
        <v>0</v>
      </c>
      <c r="C23" s="81">
        <f>[20]Vendedor13!$K$4</f>
        <v>0</v>
      </c>
      <c r="D23" s="82">
        <f>[20]Vendedor13!$L$4</f>
        <v>0</v>
      </c>
      <c r="E23" s="14">
        <f>[20]Vendedor13!$J$5</f>
        <v>0</v>
      </c>
      <c r="F23" s="81">
        <f>[20]Vendedor13!$K$5</f>
        <v>0</v>
      </c>
      <c r="G23" s="85">
        <f>[20]Vendedor13!$L$5</f>
        <v>0</v>
      </c>
      <c r="H23" s="19">
        <f>[20]Vendedor13!$J$6</f>
        <v>0</v>
      </c>
      <c r="I23" s="15">
        <f>[20]Vendedor13!$K$6</f>
        <v>0</v>
      </c>
      <c r="J23" s="17">
        <f>[20]Vendedor13!$L$6</f>
        <v>0</v>
      </c>
      <c r="K23" s="18">
        <f>[20]Vendedor13!$J$7</f>
        <v>0</v>
      </c>
      <c r="L23" s="15">
        <f>[20]Vendedor13!$K$7</f>
        <v>0</v>
      </c>
      <c r="M23" s="16">
        <f>[20]Vendedor13!$L$7</f>
        <v>0</v>
      </c>
      <c r="N23" s="19">
        <f>[20]Vendedor13!$J$8</f>
        <v>0</v>
      </c>
      <c r="O23" s="15">
        <f>[20]Vendedor13!$K$8</f>
        <v>0</v>
      </c>
      <c r="P23" s="17">
        <f>[20]Vendedor13!$L$8</f>
        <v>0</v>
      </c>
      <c r="Q23" s="19">
        <f t="shared" si="3"/>
        <v>0</v>
      </c>
      <c r="R23" s="15">
        <f t="shared" si="1"/>
        <v>0</v>
      </c>
      <c r="S23" s="17">
        <f t="shared" si="2"/>
        <v>0</v>
      </c>
      <c r="T23" s="18">
        <v>0</v>
      </c>
      <c r="U23" s="17">
        <f t="shared" si="0"/>
        <v>0</v>
      </c>
    </row>
    <row r="24" spans="1:60">
      <c r="A24" s="13" t="s">
        <v>33</v>
      </c>
      <c r="B24" s="14">
        <f>[21]Vendedor13!$J$4</f>
        <v>0</v>
      </c>
      <c r="C24" s="81">
        <f>[21]Vendedor13!$K$4</f>
        <v>0</v>
      </c>
      <c r="D24" s="82">
        <f>[21]Vendedor13!$L$4</f>
        <v>0</v>
      </c>
      <c r="E24" s="14">
        <f>[21]Vendedor13!$J$5</f>
        <v>0</v>
      </c>
      <c r="F24" s="81">
        <f>[21]Vendedor13!$K$5</f>
        <v>0</v>
      </c>
      <c r="G24" s="85">
        <f>[21]Vendedor13!$L$5</f>
        <v>0</v>
      </c>
      <c r="H24" s="19">
        <f>[21]Vendedor13!$J$6</f>
        <v>0</v>
      </c>
      <c r="I24" s="15">
        <f>[21]Vendedor13!$K$6</f>
        <v>0</v>
      </c>
      <c r="J24" s="17">
        <f>[21]Vendedor13!$L$6</f>
        <v>0</v>
      </c>
      <c r="K24" s="18">
        <f>[21]Vendedor13!$J$7</f>
        <v>0</v>
      </c>
      <c r="L24" s="15">
        <f>[21]Vendedor13!$K$7</f>
        <v>0</v>
      </c>
      <c r="M24" s="16">
        <f>[21]Vendedor13!$L$7</f>
        <v>0</v>
      </c>
      <c r="N24" s="19">
        <f>[21]Vendedor13!$J$8</f>
        <v>0</v>
      </c>
      <c r="O24" s="15">
        <f>[21]Vendedor13!$K$8</f>
        <v>0</v>
      </c>
      <c r="P24" s="17">
        <f>[21]Vendedor13!$L$8</f>
        <v>0</v>
      </c>
      <c r="Q24" s="19">
        <f t="shared" si="3"/>
        <v>0</v>
      </c>
      <c r="R24" s="15">
        <f t="shared" si="1"/>
        <v>0</v>
      </c>
      <c r="S24" s="17">
        <f t="shared" si="2"/>
        <v>0</v>
      </c>
      <c r="T24" s="18">
        <v>0</v>
      </c>
      <c r="U24" s="17">
        <f t="shared" si="0"/>
        <v>0</v>
      </c>
    </row>
    <row r="25" spans="1:60">
      <c r="A25" s="20" t="s">
        <v>34</v>
      </c>
      <c r="B25" s="14">
        <f>[22]Vendedor13!$J$4</f>
        <v>0</v>
      </c>
      <c r="C25" s="81">
        <f>[22]Vendedor13!$K$4</f>
        <v>0</v>
      </c>
      <c r="D25" s="82">
        <f>[22]Vendedor13!$L$4</f>
        <v>0</v>
      </c>
      <c r="E25" s="14">
        <f>[22]Vendedor13!$J$5</f>
        <v>0</v>
      </c>
      <c r="F25" s="81">
        <f>[22]Vendedor13!$K$5</f>
        <v>0</v>
      </c>
      <c r="G25" s="85">
        <f>[22]Vendedor13!$L$5</f>
        <v>0</v>
      </c>
      <c r="H25" s="19">
        <f>[22]Vendedor13!$J$6</f>
        <v>0</v>
      </c>
      <c r="I25" s="15">
        <f>[22]Vendedor13!$K$6</f>
        <v>0</v>
      </c>
      <c r="J25" s="17">
        <f>[22]Vendedor13!$L$6</f>
        <v>0</v>
      </c>
      <c r="K25" s="18">
        <f>[22]Vendedor13!$J$7</f>
        <v>0</v>
      </c>
      <c r="L25" s="15">
        <f>[22]Vendedor13!$K$7</f>
        <v>0</v>
      </c>
      <c r="M25" s="16">
        <f>[22]Vendedor13!$L$7</f>
        <v>0</v>
      </c>
      <c r="N25" s="19">
        <f>[22]Vendedor13!$J$8</f>
        <v>0</v>
      </c>
      <c r="O25" s="15">
        <f>[22]Vendedor13!$K$8</f>
        <v>0</v>
      </c>
      <c r="P25" s="17">
        <f>[22]Vendedor13!$L$8</f>
        <v>0</v>
      </c>
      <c r="Q25" s="19">
        <f>+B25+E25+H25+K25+N25</f>
        <v>0</v>
      </c>
      <c r="R25" s="15">
        <f>+C25+F25+I25+L25+O25</f>
        <v>0</v>
      </c>
      <c r="S25" s="17">
        <f t="shared" si="2"/>
        <v>0</v>
      </c>
      <c r="T25" s="18">
        <v>0</v>
      </c>
      <c r="U25" s="17">
        <f t="shared" si="0"/>
        <v>0</v>
      </c>
    </row>
    <row r="26" spans="1:60">
      <c r="A26" s="13" t="s">
        <v>35</v>
      </c>
      <c r="B26" s="14">
        <f>[23]Vendedor13!$J$4</f>
        <v>0</v>
      </c>
      <c r="C26" s="81">
        <f>[23]Vendedor13!$K$4</f>
        <v>0</v>
      </c>
      <c r="D26" s="82">
        <f>[23]Vendedor13!$L$4</f>
        <v>0</v>
      </c>
      <c r="E26" s="14">
        <f>[23]Vendedor13!$J$5</f>
        <v>0</v>
      </c>
      <c r="F26" s="81">
        <f>[23]Vendedor13!$K$5</f>
        <v>0</v>
      </c>
      <c r="G26" s="85">
        <f>[23]Vendedor13!$L$5</f>
        <v>0</v>
      </c>
      <c r="H26" s="19">
        <f>[23]Vendedor13!$J$6</f>
        <v>0</v>
      </c>
      <c r="I26" s="15">
        <f>[23]Vendedor13!$K$6</f>
        <v>0</v>
      </c>
      <c r="J26" s="17">
        <f>[23]Vendedor13!$L$6</f>
        <v>0</v>
      </c>
      <c r="K26" s="18">
        <f>[23]Vendedor13!$J$7</f>
        <v>0</v>
      </c>
      <c r="L26" s="15">
        <f>[23]Vendedor13!$K$7</f>
        <v>0</v>
      </c>
      <c r="M26" s="16">
        <f>[23]Vendedor13!$L$7</f>
        <v>0</v>
      </c>
      <c r="N26" s="19">
        <f>[23]Vendedor13!$J$8</f>
        <v>0</v>
      </c>
      <c r="O26" s="15">
        <f>[23]Vendedor13!$K$8</f>
        <v>0</v>
      </c>
      <c r="P26" s="17">
        <f>[23]Vendedor13!$L$8</f>
        <v>0</v>
      </c>
      <c r="Q26" s="19">
        <f t="shared" si="3"/>
        <v>0</v>
      </c>
      <c r="R26" s="15">
        <f t="shared" si="1"/>
        <v>0</v>
      </c>
      <c r="S26" s="17">
        <f t="shared" si="2"/>
        <v>0</v>
      </c>
      <c r="T26" s="18">
        <v>0</v>
      </c>
      <c r="U26" s="17">
        <f t="shared" si="0"/>
        <v>0</v>
      </c>
    </row>
    <row r="27" spans="1:60">
      <c r="A27" s="20" t="s">
        <v>36</v>
      </c>
      <c r="B27" s="14">
        <f>[24]Vendedor13!$J$4</f>
        <v>0</v>
      </c>
      <c r="C27" s="81">
        <f>[24]Vendedor13!$K$4</f>
        <v>0</v>
      </c>
      <c r="D27" s="82">
        <f>[24]Vendedor13!$L$4</f>
        <v>0</v>
      </c>
      <c r="E27" s="14">
        <f>[24]Vendedor13!$J$5</f>
        <v>0</v>
      </c>
      <c r="F27" s="81">
        <f>[24]Vendedor13!$K$5</f>
        <v>0</v>
      </c>
      <c r="G27" s="85">
        <f>[24]Vendedor13!$L$5</f>
        <v>0</v>
      </c>
      <c r="H27" s="19">
        <f>[24]Vendedor13!$J$6</f>
        <v>0</v>
      </c>
      <c r="I27" s="15">
        <f>[24]Vendedor13!$K$6</f>
        <v>0</v>
      </c>
      <c r="J27" s="17">
        <f>[24]Vendedor13!$L$6</f>
        <v>0</v>
      </c>
      <c r="K27" s="18">
        <f>[24]Vendedor13!$J$7</f>
        <v>0</v>
      </c>
      <c r="L27" s="15">
        <f>[24]Vendedor13!$K$7</f>
        <v>0</v>
      </c>
      <c r="M27" s="16">
        <f>[24]Vendedor13!$L$7</f>
        <v>0</v>
      </c>
      <c r="N27" s="19">
        <f>[24]Vendedor13!$J$8</f>
        <v>0</v>
      </c>
      <c r="O27" s="15">
        <f>[24]Vendedor13!$K$8</f>
        <v>0</v>
      </c>
      <c r="P27" s="17">
        <f>[24]Vendedor13!$L$8</f>
        <v>0</v>
      </c>
      <c r="Q27" s="19">
        <f t="shared" si="3"/>
        <v>0</v>
      </c>
      <c r="R27" s="15">
        <f t="shared" si="1"/>
        <v>0</v>
      </c>
      <c r="S27" s="17">
        <f t="shared" si="2"/>
        <v>0</v>
      </c>
      <c r="T27" s="18">
        <v>0</v>
      </c>
      <c r="U27" s="17">
        <f t="shared" si="0"/>
        <v>0</v>
      </c>
    </row>
    <row r="28" spans="1:60">
      <c r="A28" s="13" t="s">
        <v>37</v>
      </c>
      <c r="B28" s="14">
        <f>[25]Vendedor13!$J$4</f>
        <v>0</v>
      </c>
      <c r="C28" s="81">
        <f>[25]Vendedor13!$K$4</f>
        <v>0</v>
      </c>
      <c r="D28" s="82">
        <f>[25]Vendedor13!$L$4</f>
        <v>0</v>
      </c>
      <c r="E28" s="14">
        <f>[25]Vendedor13!$J$5</f>
        <v>0</v>
      </c>
      <c r="F28" s="81">
        <f>[25]Vendedor13!$K$5</f>
        <v>0</v>
      </c>
      <c r="G28" s="85">
        <f>[25]Vendedor13!$L$5</f>
        <v>0</v>
      </c>
      <c r="H28" s="19">
        <f>[25]Vendedor13!$J$6</f>
        <v>0</v>
      </c>
      <c r="I28" s="15">
        <f>[25]Vendedor13!$K$6</f>
        <v>0</v>
      </c>
      <c r="J28" s="17">
        <f>[25]Vendedor13!$L$6</f>
        <v>0</v>
      </c>
      <c r="K28" s="18">
        <f>[25]Vendedor13!$J$7</f>
        <v>0</v>
      </c>
      <c r="L28" s="15">
        <f>[25]Vendedor13!$K$7</f>
        <v>0</v>
      </c>
      <c r="M28" s="16">
        <f>[25]Vendedor13!$L$7</f>
        <v>0</v>
      </c>
      <c r="N28" s="19">
        <f>[25]Vendedor13!$J$8</f>
        <v>0</v>
      </c>
      <c r="O28" s="15">
        <f>[25]Vendedor13!$K$8</f>
        <v>0</v>
      </c>
      <c r="P28" s="17">
        <f>[25]Vendedor13!$L$8</f>
        <v>0</v>
      </c>
      <c r="Q28" s="19">
        <f t="shared" si="3"/>
        <v>0</v>
      </c>
      <c r="R28" s="15">
        <f t="shared" si="1"/>
        <v>0</v>
      </c>
      <c r="S28" s="17">
        <f t="shared" si="2"/>
        <v>0</v>
      </c>
      <c r="T28" s="18">
        <v>0</v>
      </c>
      <c r="U28" s="17">
        <f t="shared" si="0"/>
        <v>0</v>
      </c>
    </row>
    <row r="29" spans="1:60">
      <c r="A29" s="20" t="s">
        <v>38</v>
      </c>
      <c r="B29" s="14">
        <f>[26]Vendedor13!$J$4</f>
        <v>0</v>
      </c>
      <c r="C29" s="81">
        <f>[26]Vendedor13!$K$4</f>
        <v>0</v>
      </c>
      <c r="D29" s="82">
        <f>[26]Vendedor13!$L$4</f>
        <v>0</v>
      </c>
      <c r="E29" s="14">
        <f>[26]Vendedor13!$J$5</f>
        <v>0</v>
      </c>
      <c r="F29" s="81">
        <f>[26]Vendedor13!$K$5</f>
        <v>0</v>
      </c>
      <c r="G29" s="85">
        <f>[26]Vendedor13!$L$5</f>
        <v>0</v>
      </c>
      <c r="H29" s="19">
        <f>[26]Vendedor13!$J$6</f>
        <v>0</v>
      </c>
      <c r="I29" s="15">
        <f>[26]Vendedor13!$K$6</f>
        <v>0</v>
      </c>
      <c r="J29" s="17">
        <f>[26]Vendedor13!$L$6</f>
        <v>0</v>
      </c>
      <c r="K29" s="18">
        <f>[26]Vendedor13!$J$7</f>
        <v>0</v>
      </c>
      <c r="L29" s="15">
        <f>[26]Vendedor13!$K$7</f>
        <v>0</v>
      </c>
      <c r="M29" s="16">
        <f>[26]Vendedor13!$L$7</f>
        <v>0</v>
      </c>
      <c r="N29" s="19">
        <f>[26]Vendedor13!$J$8</f>
        <v>0</v>
      </c>
      <c r="O29" s="15">
        <f>[26]Vendedor13!$K$8</f>
        <v>0</v>
      </c>
      <c r="P29" s="17">
        <f>[26]Vendedor13!$L$8</f>
        <v>0</v>
      </c>
      <c r="Q29" s="19">
        <f t="shared" si="3"/>
        <v>0</v>
      </c>
      <c r="R29" s="15">
        <f t="shared" si="1"/>
        <v>0</v>
      </c>
      <c r="S29" s="17">
        <f t="shared" si="2"/>
        <v>0</v>
      </c>
      <c r="T29" s="18">
        <v>0</v>
      </c>
      <c r="U29" s="17">
        <f t="shared" si="0"/>
        <v>0</v>
      </c>
    </row>
    <row r="30" spans="1:60">
      <c r="A30" s="13" t="s">
        <v>39</v>
      </c>
      <c r="B30" s="14">
        <f>[27]Vendedor13!$J$4</f>
        <v>0</v>
      </c>
      <c r="C30" s="81">
        <f>[27]Vendedor13!$K$4</f>
        <v>0</v>
      </c>
      <c r="D30" s="82">
        <f>[27]Vendedor13!$L$4</f>
        <v>0</v>
      </c>
      <c r="E30" s="14">
        <f>[27]Vendedor13!$J$5</f>
        <v>0</v>
      </c>
      <c r="F30" s="81">
        <f>[27]Vendedor13!$K$5</f>
        <v>0</v>
      </c>
      <c r="G30" s="85">
        <f>[27]Vendedor13!$L$5</f>
        <v>0</v>
      </c>
      <c r="H30" s="19">
        <f>[27]Vendedor13!$J$6</f>
        <v>0</v>
      </c>
      <c r="I30" s="15">
        <f>[27]Vendedor13!$K$6</f>
        <v>0</v>
      </c>
      <c r="J30" s="17">
        <f>[27]Vendedor13!$L$6</f>
        <v>0</v>
      </c>
      <c r="K30" s="18">
        <f>[27]Vendedor13!$J$7</f>
        <v>0</v>
      </c>
      <c r="L30" s="15">
        <f>[27]Vendedor13!$K$7</f>
        <v>0</v>
      </c>
      <c r="M30" s="16">
        <f>[27]Vendedor13!$L$7</f>
        <v>0</v>
      </c>
      <c r="N30" s="19">
        <f>[27]Vendedor13!$J$8</f>
        <v>0</v>
      </c>
      <c r="O30" s="15">
        <f>[27]Vendedor13!$K$8</f>
        <v>0</v>
      </c>
      <c r="P30" s="17">
        <f>[27]Vendedor13!$L$8</f>
        <v>0</v>
      </c>
      <c r="Q30" s="19">
        <f t="shared" si="3"/>
        <v>0</v>
      </c>
      <c r="R30" s="15">
        <f t="shared" si="1"/>
        <v>0</v>
      </c>
      <c r="S30" s="17">
        <f t="shared" si="2"/>
        <v>0</v>
      </c>
      <c r="T30" s="18">
        <v>0</v>
      </c>
      <c r="U30" s="17">
        <f t="shared" si="0"/>
        <v>0</v>
      </c>
    </row>
    <row r="31" spans="1:60">
      <c r="A31" s="20" t="s">
        <v>40</v>
      </c>
      <c r="B31" s="14">
        <f>[28]Vendedor13!$J$4</f>
        <v>0</v>
      </c>
      <c r="C31" s="81">
        <f>[28]Vendedor13!$K$4</f>
        <v>0</v>
      </c>
      <c r="D31" s="82">
        <f>[28]Vendedor13!$L$4</f>
        <v>0</v>
      </c>
      <c r="E31" s="14">
        <f>[28]Vendedor13!$J$5</f>
        <v>0</v>
      </c>
      <c r="F31" s="81">
        <f>[28]Vendedor13!$K$5</f>
        <v>0</v>
      </c>
      <c r="G31" s="85">
        <f>[28]Vendedor13!$L$5</f>
        <v>0</v>
      </c>
      <c r="H31" s="19">
        <f>[28]Vendedor13!$J$6</f>
        <v>0</v>
      </c>
      <c r="I31" s="15">
        <f>[28]Vendedor13!$K$6</f>
        <v>0</v>
      </c>
      <c r="J31" s="17">
        <f>[28]Vendedor13!$L$6</f>
        <v>0</v>
      </c>
      <c r="K31" s="18">
        <f>[28]Vendedor13!$J$7</f>
        <v>0</v>
      </c>
      <c r="L31" s="15">
        <f>[28]Vendedor13!$K$7</f>
        <v>0</v>
      </c>
      <c r="M31" s="16">
        <f>[28]Vendedor13!$L$7</f>
        <v>0</v>
      </c>
      <c r="N31" s="19">
        <f>[28]Vendedor13!$J$8</f>
        <v>0</v>
      </c>
      <c r="O31" s="15">
        <f>[28]Vendedor13!$K$8</f>
        <v>0</v>
      </c>
      <c r="P31" s="17">
        <f>[28]Vendedor13!$L$8</f>
        <v>0</v>
      </c>
      <c r="Q31" s="19">
        <f t="shared" si="3"/>
        <v>0</v>
      </c>
      <c r="R31" s="15">
        <f t="shared" si="1"/>
        <v>0</v>
      </c>
      <c r="S31" s="17">
        <f t="shared" si="2"/>
        <v>0</v>
      </c>
      <c r="T31" s="18">
        <v>0</v>
      </c>
      <c r="U31" s="17">
        <f t="shared" si="0"/>
        <v>0</v>
      </c>
    </row>
    <row r="32" spans="1:60">
      <c r="A32" s="20" t="s">
        <v>41</v>
      </c>
      <c r="B32" s="14">
        <f>[29]Vendedor13!$J$4</f>
        <v>0</v>
      </c>
      <c r="C32" s="81">
        <f>[29]Vendedor13!$K$4</f>
        <v>0</v>
      </c>
      <c r="D32" s="82">
        <f>[29]Vendedor13!$L$4</f>
        <v>0</v>
      </c>
      <c r="E32" s="14">
        <f>[29]Vendedor13!$J$5</f>
        <v>0</v>
      </c>
      <c r="F32" s="81">
        <f>[29]Vendedor13!$K$5</f>
        <v>0</v>
      </c>
      <c r="G32" s="85">
        <f>[29]Vendedor13!$L$5</f>
        <v>0</v>
      </c>
      <c r="H32" s="19">
        <f>[29]Vendedor13!$J$6</f>
        <v>0</v>
      </c>
      <c r="I32" s="15">
        <f>[29]Vendedor13!$K$6</f>
        <v>0</v>
      </c>
      <c r="J32" s="17">
        <f>[29]Vendedor13!$L$6</f>
        <v>0</v>
      </c>
      <c r="K32" s="18">
        <f>[29]Vendedor13!$J$7</f>
        <v>0</v>
      </c>
      <c r="L32" s="15">
        <f>[29]Vendedor13!$K$7</f>
        <v>0</v>
      </c>
      <c r="M32" s="16">
        <f>[29]Vendedor13!$L$7</f>
        <v>0</v>
      </c>
      <c r="N32" s="19">
        <f>[29]Vendedor13!$J$8</f>
        <v>0</v>
      </c>
      <c r="O32" s="15">
        <f>[29]Vendedor13!$K$8</f>
        <v>0</v>
      </c>
      <c r="P32" s="17">
        <f>[29]Vendedor13!$L$8</f>
        <v>0</v>
      </c>
      <c r="Q32" s="19">
        <f t="shared" si="3"/>
        <v>0</v>
      </c>
      <c r="R32" s="15">
        <f t="shared" si="1"/>
        <v>0</v>
      </c>
      <c r="S32" s="17">
        <f t="shared" si="2"/>
        <v>0</v>
      </c>
      <c r="T32" s="18">
        <v>0</v>
      </c>
      <c r="U32" s="17">
        <f t="shared" si="0"/>
        <v>0</v>
      </c>
    </row>
    <row r="33" spans="1:21">
      <c r="A33" s="13" t="s">
        <v>42</v>
      </c>
      <c r="B33" s="14">
        <f>[30]Vendedor13!$J$4</f>
        <v>0</v>
      </c>
      <c r="C33" s="81">
        <f>[30]Vendedor13!$K$4</f>
        <v>0</v>
      </c>
      <c r="D33" s="82">
        <f>[30]Vendedor13!$L$4</f>
        <v>0</v>
      </c>
      <c r="E33" s="14">
        <f>[30]Vendedor13!$J$5</f>
        <v>0</v>
      </c>
      <c r="F33" s="81">
        <f>[30]Vendedor13!$K$5</f>
        <v>0</v>
      </c>
      <c r="G33" s="85">
        <f>[30]Vendedor13!$L$5</f>
        <v>0</v>
      </c>
      <c r="H33" s="19">
        <f>[30]Vendedor13!$J$6</f>
        <v>0</v>
      </c>
      <c r="I33" s="15">
        <f>[30]Vendedor13!$K$6</f>
        <v>0</v>
      </c>
      <c r="J33" s="17">
        <f>[30]Vendedor13!$L$6</f>
        <v>0</v>
      </c>
      <c r="K33" s="18">
        <f>[30]Vendedor13!$J$7</f>
        <v>0</v>
      </c>
      <c r="L33" s="15">
        <f>[30]Vendedor13!$K$7</f>
        <v>0</v>
      </c>
      <c r="M33" s="16">
        <f>[30]Vendedor13!$L$7</f>
        <v>0</v>
      </c>
      <c r="N33" s="19">
        <f>[30]Vendedor13!$J$8</f>
        <v>0</v>
      </c>
      <c r="O33" s="15">
        <f>[30]Vendedor13!$K$8</f>
        <v>0</v>
      </c>
      <c r="P33" s="17">
        <f>[30]Vendedor13!$L$8</f>
        <v>0</v>
      </c>
      <c r="Q33" s="19">
        <f t="shared" si="3"/>
        <v>0</v>
      </c>
      <c r="R33" s="15">
        <f t="shared" si="1"/>
        <v>0</v>
      </c>
      <c r="S33" s="17">
        <f t="shared" si="2"/>
        <v>0</v>
      </c>
      <c r="T33" s="18">
        <v>0</v>
      </c>
      <c r="U33" s="17">
        <f t="shared" si="0"/>
        <v>0</v>
      </c>
    </row>
    <row r="34" spans="1:21">
      <c r="A34" s="20" t="s">
        <v>43</v>
      </c>
      <c r="B34" s="14">
        <f>[31]Vendedor13!$J$4</f>
        <v>0</v>
      </c>
      <c r="C34" s="81">
        <f>[31]Vendedor13!$K$4</f>
        <v>0</v>
      </c>
      <c r="D34" s="82">
        <f>[31]Vendedor13!$L$4</f>
        <v>0</v>
      </c>
      <c r="E34" s="14">
        <f>[31]Vendedor13!$J$5</f>
        <v>0</v>
      </c>
      <c r="F34" s="81">
        <f>[31]Vendedor13!$K$5</f>
        <v>0</v>
      </c>
      <c r="G34" s="85">
        <f>[31]Vendedor13!$L$5</f>
        <v>0</v>
      </c>
      <c r="H34" s="19">
        <f>[31]Vendedor13!$J$6</f>
        <v>0</v>
      </c>
      <c r="I34" s="15">
        <f>[31]Vendedor13!$K$6</f>
        <v>0</v>
      </c>
      <c r="J34" s="17">
        <f>[31]Vendedor13!$L$6</f>
        <v>0</v>
      </c>
      <c r="K34" s="18">
        <f>[31]Vendedor13!$J$7</f>
        <v>0</v>
      </c>
      <c r="L34" s="15">
        <f>[31]Vendedor13!$K$7</f>
        <v>0</v>
      </c>
      <c r="M34" s="16">
        <f>[31]Vendedor13!$L$7</f>
        <v>0</v>
      </c>
      <c r="N34" s="19">
        <f>[31]Vendedor13!$J$8</f>
        <v>0</v>
      </c>
      <c r="O34" s="15">
        <f>[31]Vendedor13!$K$8</f>
        <v>0</v>
      </c>
      <c r="P34" s="17">
        <f>[31]Vendedor13!$L$8</f>
        <v>0</v>
      </c>
      <c r="Q34" s="19">
        <f t="shared" si="3"/>
        <v>0</v>
      </c>
      <c r="R34" s="15">
        <f t="shared" si="1"/>
        <v>0</v>
      </c>
      <c r="S34" s="17">
        <f t="shared" si="2"/>
        <v>0</v>
      </c>
      <c r="T34" s="18">
        <v>0</v>
      </c>
      <c r="U34" s="17">
        <f t="shared" si="0"/>
        <v>0</v>
      </c>
    </row>
    <row r="35" spans="1:21">
      <c r="A35" s="13" t="s">
        <v>44</v>
      </c>
      <c r="B35" s="14">
        <f>[10]Vendedor13!$J$4</f>
        <v>0</v>
      </c>
      <c r="C35" s="81">
        <f>[10]Vendedor13!$K$4</f>
        <v>0</v>
      </c>
      <c r="D35" s="82">
        <f>[10]Vendedor13!$L$4</f>
        <v>0</v>
      </c>
      <c r="E35" s="14">
        <f>[10]Vendedor13!$J$5</f>
        <v>0</v>
      </c>
      <c r="F35" s="81">
        <f>[10]Vendedor13!$K$5</f>
        <v>0</v>
      </c>
      <c r="G35" s="85">
        <f>[10]Vendedor13!$L$5</f>
        <v>0</v>
      </c>
      <c r="H35" s="19">
        <f>[10]Vendedor13!$J$6</f>
        <v>0</v>
      </c>
      <c r="I35" s="15">
        <f>[10]Vendedor13!$K$6</f>
        <v>0</v>
      </c>
      <c r="J35" s="17">
        <f>[10]Vendedor13!$L$6</f>
        <v>0</v>
      </c>
      <c r="K35" s="18">
        <f>[10]Vendedor13!$J$7</f>
        <v>0</v>
      </c>
      <c r="L35" s="15">
        <f>[10]Vendedor13!$K$7</f>
        <v>0</v>
      </c>
      <c r="M35" s="16">
        <f>[10]Vendedor13!$L$7</f>
        <v>0</v>
      </c>
      <c r="N35" s="19">
        <f>[10]Vendedor13!$J$8</f>
        <v>0</v>
      </c>
      <c r="O35" s="15">
        <f>[10]Vendedor13!$K$8</f>
        <v>0</v>
      </c>
      <c r="P35" s="17">
        <f>[10]Vendedor13!$L$8</f>
        <v>0</v>
      </c>
      <c r="Q35" s="19">
        <f t="shared" si="3"/>
        <v>0</v>
      </c>
      <c r="R35" s="15">
        <f t="shared" si="1"/>
        <v>0</v>
      </c>
      <c r="S35" s="17">
        <f t="shared" si="2"/>
        <v>0</v>
      </c>
      <c r="T35" s="18">
        <v>0</v>
      </c>
      <c r="U35" s="17">
        <f t="shared" si="0"/>
        <v>0</v>
      </c>
    </row>
    <row r="36" spans="1:21" ht="15.75" thickBot="1">
      <c r="A36" s="20" t="s">
        <v>45</v>
      </c>
      <c r="B36" s="21">
        <f>[11]Vendedor13!$J$4</f>
        <v>0</v>
      </c>
      <c r="C36" s="83">
        <f>[11]Vendedor13!$K$4</f>
        <v>0</v>
      </c>
      <c r="D36" s="84">
        <f>[11]Vendedor13!$L$4</f>
        <v>0</v>
      </c>
      <c r="E36" s="21">
        <f>[11]Vendedor13!$J$5</f>
        <v>0</v>
      </c>
      <c r="F36" s="83">
        <f>[11]Vendedor13!$K$5</f>
        <v>0</v>
      </c>
      <c r="G36" s="86">
        <f>[11]Vendedor13!$L$5</f>
        <v>0</v>
      </c>
      <c r="H36" s="26">
        <f>[11]Vendedor13!$J$6</f>
        <v>0</v>
      </c>
      <c r="I36" s="22">
        <f>[11]Vendedor13!$K$6</f>
        <v>0</v>
      </c>
      <c r="J36" s="24">
        <f>[11]Vendedor13!$L$6</f>
        <v>0</v>
      </c>
      <c r="K36" s="25">
        <f>[11]Vendedor13!$J$7</f>
        <v>0</v>
      </c>
      <c r="L36" s="22">
        <f>[11]Vendedor13!$K$7</f>
        <v>0</v>
      </c>
      <c r="M36" s="23">
        <f>[11]Vendedor13!$L$7</f>
        <v>0</v>
      </c>
      <c r="N36" s="26">
        <f>[11]Vendedor13!$J$8</f>
        <v>0</v>
      </c>
      <c r="O36" s="22">
        <f>[11]Vendedor13!$K$8</f>
        <v>0</v>
      </c>
      <c r="P36" s="24">
        <f>[11]Vendedor13!$L$8</f>
        <v>0</v>
      </c>
      <c r="Q36" s="26">
        <f t="shared" si="3"/>
        <v>0</v>
      </c>
      <c r="R36" s="22">
        <f t="shared" si="1"/>
        <v>0</v>
      </c>
      <c r="S36" s="24">
        <f t="shared" si="2"/>
        <v>0</v>
      </c>
      <c r="T36" s="25">
        <v>0</v>
      </c>
      <c r="U36" s="24">
        <f t="shared" si="0"/>
        <v>0</v>
      </c>
    </row>
    <row r="37" spans="1:21" ht="16.5" thickBot="1">
      <c r="A37" s="5" t="s">
        <v>46</v>
      </c>
      <c r="B37" s="27">
        <f t="shared" ref="B37:J37" si="4">SUM(B6:B36)</f>
        <v>936100</v>
      </c>
      <c r="C37" s="28">
        <f t="shared" si="4"/>
        <v>112332</v>
      </c>
      <c r="D37" s="29">
        <f t="shared" si="4"/>
        <v>1164500</v>
      </c>
      <c r="E37" s="30">
        <f t="shared" si="4"/>
        <v>375800</v>
      </c>
      <c r="F37" s="28">
        <f t="shared" si="4"/>
        <v>45096</v>
      </c>
      <c r="G37" s="31">
        <f t="shared" si="4"/>
        <v>148000</v>
      </c>
      <c r="H37" s="27">
        <f t="shared" si="4"/>
        <v>33300</v>
      </c>
      <c r="I37" s="28">
        <f t="shared" si="4"/>
        <v>3330</v>
      </c>
      <c r="J37" s="29">
        <f t="shared" si="4"/>
        <v>0</v>
      </c>
      <c r="K37" s="60">
        <f t="shared" ref="K37:M37" si="5">SUM(K6:K36)</f>
        <v>16600</v>
      </c>
      <c r="L37" s="32">
        <f t="shared" si="5"/>
        <v>1992</v>
      </c>
      <c r="M37" s="78">
        <f t="shared" si="5"/>
        <v>0</v>
      </c>
      <c r="N37" s="60">
        <f t="shared" ref="N37:P37" si="6">SUM(N6:N36)</f>
        <v>1500</v>
      </c>
      <c r="O37" s="32">
        <f t="shared" si="6"/>
        <v>180</v>
      </c>
      <c r="P37" s="73">
        <f t="shared" si="6"/>
        <v>0</v>
      </c>
      <c r="Q37" s="30">
        <f>SUM(Q6:Q36)</f>
        <v>1363300</v>
      </c>
      <c r="R37" s="28">
        <f>SUM(R6:R36)</f>
        <v>162930</v>
      </c>
      <c r="S37" s="28">
        <f>SUM(S6:S36)</f>
        <v>1312500</v>
      </c>
      <c r="T37" s="32">
        <f>SUM(T5:T36)</f>
        <v>0</v>
      </c>
      <c r="U37" s="33">
        <f>SUM(U5:U36)</f>
        <v>-112130</v>
      </c>
    </row>
  </sheetData>
  <mergeCells count="2">
    <mergeCell ref="I1:P1"/>
    <mergeCell ref="B2:D2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S37"/>
  <sheetViews>
    <sheetView showGridLines="0" topLeftCell="B5" zoomScale="90" zoomScaleNormal="90" workbookViewId="0">
      <selection activeCell="B5" sqref="B5"/>
    </sheetView>
  </sheetViews>
  <sheetFormatPr baseColWidth="10" defaultColWidth="11.42578125" defaultRowHeight="15"/>
  <cols>
    <col min="1" max="1" width="10.140625" style="1" customWidth="1"/>
    <col min="2" max="2" width="11.5703125" style="1" bestFit="1" customWidth="1"/>
    <col min="3" max="3" width="10.42578125" style="1" customWidth="1"/>
    <col min="4" max="4" width="11.5703125" style="1" bestFit="1" customWidth="1"/>
    <col min="5" max="5" width="10.5703125" style="1" customWidth="1"/>
    <col min="6" max="7" width="10.42578125" style="1" customWidth="1"/>
    <col min="8" max="10" width="11.5703125" style="1" bestFit="1" customWidth="1"/>
    <col min="11" max="19" width="11.5703125" style="1" customWidth="1"/>
    <col min="20" max="20" width="11.5703125" style="1" bestFit="1" customWidth="1"/>
    <col min="21" max="21" width="10.42578125" style="1" customWidth="1"/>
    <col min="22" max="22" width="11.5703125" style="1" bestFit="1" customWidth="1"/>
    <col min="23" max="23" width="9.85546875" style="1" bestFit="1" customWidth="1"/>
    <col min="24" max="24" width="12.140625" style="1" bestFit="1" customWidth="1"/>
    <col min="25" max="25" width="5.42578125" style="1" customWidth="1"/>
    <col min="26" max="26" width="11.140625" style="1" bestFit="1" customWidth="1"/>
    <col min="27" max="27" width="11.5703125" style="1" customWidth="1"/>
    <col min="28" max="1033" width="11.42578125" style="1"/>
  </cols>
  <sheetData>
    <row r="1" spans="1:24" ht="15.75" thickBot="1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  <c r="U1" s="136"/>
    </row>
    <row r="2" spans="1:24" ht="19.5" thickBot="1">
      <c r="A2" s="2" t="s">
        <v>1</v>
      </c>
      <c r="B2" s="137" t="s">
        <v>84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103</v>
      </c>
      <c r="T2" s="4">
        <v>0.12</v>
      </c>
      <c r="U2" s="4">
        <v>0.12</v>
      </c>
    </row>
    <row r="3" spans="1:24" ht="15.75" thickBot="1"/>
    <row r="4" spans="1:24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96</v>
      </c>
      <c r="O4" s="7" t="s">
        <v>95</v>
      </c>
      <c r="P4" s="10" t="s">
        <v>97</v>
      </c>
      <c r="Q4" s="9" t="s">
        <v>92</v>
      </c>
      <c r="R4" s="7" t="s">
        <v>93</v>
      </c>
      <c r="S4" s="10" t="s">
        <v>94</v>
      </c>
      <c r="T4" s="6" t="s">
        <v>15</v>
      </c>
      <c r="U4" s="7" t="s">
        <v>16</v>
      </c>
      <c r="V4" s="7" t="s">
        <v>17</v>
      </c>
      <c r="W4" s="11" t="s">
        <v>18</v>
      </c>
      <c r="X4" s="12" t="s">
        <v>19</v>
      </c>
    </row>
    <row r="5" spans="1:24" ht="15.75" thickBot="1">
      <c r="A5" s="5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56"/>
      <c r="R5" s="57"/>
      <c r="S5" s="12"/>
      <c r="T5" s="67"/>
      <c r="U5" s="57"/>
      <c r="V5" s="57"/>
      <c r="W5" s="69"/>
      <c r="X5" s="70">
        <f t="shared" ref="X5" si="0">+T5-U5-V5+W5</f>
        <v>0</v>
      </c>
    </row>
    <row r="6" spans="1:24">
      <c r="A6" s="20" t="s">
        <v>49</v>
      </c>
      <c r="B6" s="53">
        <f>[1]Vendedor14!$J$4</f>
        <v>0</v>
      </c>
      <c r="C6" s="87">
        <f>[1]Vendedor14!$K$4</f>
        <v>0</v>
      </c>
      <c r="D6" s="88">
        <f>[1]Vendedor14!$L$4</f>
        <v>0</v>
      </c>
      <c r="E6" s="53">
        <f>[1]Vendedor14!$J$5</f>
        <v>0</v>
      </c>
      <c r="F6" s="87">
        <f>[1]Vendedor14!$K$5</f>
        <v>0</v>
      </c>
      <c r="G6" s="89">
        <f>[1]Vendedor14!$L$5</f>
        <v>0</v>
      </c>
      <c r="H6" s="59">
        <f>[1]Vendedor14!$J$6</f>
        <v>0</v>
      </c>
      <c r="I6" s="58">
        <f>[1]Vendedor14!$K$6</f>
        <v>0</v>
      </c>
      <c r="J6" s="55">
        <f>[1]Vendedor14!$L$6</f>
        <v>0</v>
      </c>
      <c r="K6" s="61">
        <f>[1]Vendedor14!$J$7</f>
        <v>0</v>
      </c>
      <c r="L6" s="58">
        <f>[1]Vendedor14!$K$7</f>
        <v>0</v>
      </c>
      <c r="M6" s="54">
        <f>[1]Vendedor14!$L$7</f>
        <v>0</v>
      </c>
      <c r="N6" s="59">
        <f>[1]Vendedor14!$J$8</f>
        <v>0</v>
      </c>
      <c r="O6" s="58">
        <f>[1]Vendedor14!$K$8</f>
        <v>0</v>
      </c>
      <c r="P6" s="55">
        <f>[1]Vendedor14!$L$8</f>
        <v>0</v>
      </c>
      <c r="Q6" s="59">
        <f>[1]Vendedor14!$J$10</f>
        <v>0</v>
      </c>
      <c r="R6" s="58">
        <f>[1]Vendedor14!$K$10</f>
        <v>0</v>
      </c>
      <c r="S6" s="55">
        <f>[1]Vendedor14!$L$10</f>
        <v>0</v>
      </c>
      <c r="T6" s="61">
        <f>+B6+E6+H6+K6+N6+Q6</f>
        <v>0</v>
      </c>
      <c r="U6" s="58">
        <f t="shared" ref="U6:U36" si="1">+C6+F6+I6+L6+O6+R6</f>
        <v>0</v>
      </c>
      <c r="V6" s="58">
        <f t="shared" ref="V6:V36" si="2">+D6+G6+J6+M6+P6+S6</f>
        <v>0</v>
      </c>
      <c r="W6" s="58">
        <v>0</v>
      </c>
      <c r="X6" s="55">
        <f>+T6-U6-V6+W6</f>
        <v>0</v>
      </c>
    </row>
    <row r="7" spans="1:24">
      <c r="A7" s="13" t="s">
        <v>50</v>
      </c>
      <c r="B7" s="14">
        <f>[2]Vendedor14!$J$4</f>
        <v>0</v>
      </c>
      <c r="C7" s="81">
        <f>[2]Vendedor14!$K$4</f>
        <v>0</v>
      </c>
      <c r="D7" s="82">
        <f>[2]Vendedor14!$L$4</f>
        <v>0</v>
      </c>
      <c r="E7" s="14">
        <f>[2]Vendedor14!$J$5</f>
        <v>0</v>
      </c>
      <c r="F7" s="81">
        <f>[2]Vendedor14!$K$5</f>
        <v>0</v>
      </c>
      <c r="G7" s="85">
        <f>[2]Vendedor14!$L$5</f>
        <v>0</v>
      </c>
      <c r="H7" s="19">
        <f>[2]Vendedor14!$J$6</f>
        <v>0</v>
      </c>
      <c r="I7" s="15">
        <f>[2]Vendedor14!$K$6</f>
        <v>0</v>
      </c>
      <c r="J7" s="17">
        <f>[2]Vendedor14!$L$6</f>
        <v>0</v>
      </c>
      <c r="K7" s="18">
        <f>[2]Vendedor14!$J$7</f>
        <v>0</v>
      </c>
      <c r="L7" s="15">
        <f>[2]Vendedor14!$K$7</f>
        <v>0</v>
      </c>
      <c r="M7" s="16">
        <f>[2]Vendedor14!$L$7</f>
        <v>0</v>
      </c>
      <c r="N7" s="19">
        <f>[2]Vendedor14!$J$8</f>
        <v>0</v>
      </c>
      <c r="O7" s="15">
        <f>[2]Vendedor14!$K$8</f>
        <v>0</v>
      </c>
      <c r="P7" s="17">
        <f>[2]Vendedor14!$L$8</f>
        <v>0</v>
      </c>
      <c r="Q7" s="19">
        <f>[2]Vendedor14!$J$10</f>
        <v>0</v>
      </c>
      <c r="R7" s="15">
        <f>[2]Vendedor14!$K$10</f>
        <v>0</v>
      </c>
      <c r="S7" s="17">
        <f>[2]Vendedor14!$L$10</f>
        <v>0</v>
      </c>
      <c r="T7" s="18">
        <f t="shared" ref="T7:T36" si="3">+B7+E7+H7+K7+N7+Q7</f>
        <v>0</v>
      </c>
      <c r="U7" s="15">
        <f t="shared" si="1"/>
        <v>0</v>
      </c>
      <c r="V7" s="15">
        <f t="shared" si="2"/>
        <v>0</v>
      </c>
      <c r="W7" s="15">
        <v>0</v>
      </c>
      <c r="X7" s="17">
        <f>+T7-U7-V7+W7</f>
        <v>0</v>
      </c>
    </row>
    <row r="8" spans="1:24">
      <c r="A8" s="20" t="s">
        <v>51</v>
      </c>
      <c r="B8" s="14">
        <f>[3]Vendedor14!$J$4</f>
        <v>0</v>
      </c>
      <c r="C8" s="81">
        <f>[3]Vendedor14!$K$4</f>
        <v>0</v>
      </c>
      <c r="D8" s="82">
        <f>[3]Vendedor14!$L$4</f>
        <v>0</v>
      </c>
      <c r="E8" s="14">
        <f>[3]Vendedor14!$J$5</f>
        <v>0</v>
      </c>
      <c r="F8" s="81">
        <f>[3]Vendedor14!$K$5</f>
        <v>0</v>
      </c>
      <c r="G8" s="85">
        <f>[3]Vendedor14!$L$5</f>
        <v>0</v>
      </c>
      <c r="H8" s="19">
        <f>[3]Vendedor14!$J$6</f>
        <v>0</v>
      </c>
      <c r="I8" s="15">
        <f>[3]Vendedor14!$K$6</f>
        <v>0</v>
      </c>
      <c r="J8" s="17">
        <f>[3]Vendedor14!$L$6</f>
        <v>0</v>
      </c>
      <c r="K8" s="18">
        <f>[3]Vendedor14!$J$7</f>
        <v>0</v>
      </c>
      <c r="L8" s="15">
        <f>[3]Vendedor14!$K$7</f>
        <v>0</v>
      </c>
      <c r="M8" s="16">
        <f>[3]Vendedor14!$L$7</f>
        <v>0</v>
      </c>
      <c r="N8" s="19">
        <f>[3]Vendedor14!$J$8</f>
        <v>0</v>
      </c>
      <c r="O8" s="15">
        <f>[3]Vendedor14!$K$8</f>
        <v>0</v>
      </c>
      <c r="P8" s="17">
        <f>[3]Vendedor14!$L$8</f>
        <v>0</v>
      </c>
      <c r="Q8" s="19">
        <f>[3]Vendedor14!$J$10</f>
        <v>0</v>
      </c>
      <c r="R8" s="15">
        <f>[3]Vendedor14!$K$10</f>
        <v>0</v>
      </c>
      <c r="S8" s="17">
        <f>[3]Vendedor14!$L$10</f>
        <v>0</v>
      </c>
      <c r="T8" s="18">
        <f t="shared" si="3"/>
        <v>0</v>
      </c>
      <c r="U8" s="15">
        <f t="shared" si="1"/>
        <v>0</v>
      </c>
      <c r="V8" s="15">
        <f t="shared" si="2"/>
        <v>0</v>
      </c>
      <c r="W8" s="15">
        <v>0</v>
      </c>
      <c r="X8" s="17">
        <f>+T8-U8-V8+W8</f>
        <v>0</v>
      </c>
    </row>
    <row r="9" spans="1:24">
      <c r="A9" s="13" t="s">
        <v>52</v>
      </c>
      <c r="B9" s="14">
        <f>[4]Vendedor14!$J$4</f>
        <v>0</v>
      </c>
      <c r="C9" s="81">
        <f>[4]Vendedor14!$K$4</f>
        <v>0</v>
      </c>
      <c r="D9" s="82">
        <f>[4]Vendedor14!$L$4</f>
        <v>0</v>
      </c>
      <c r="E9" s="14">
        <f>[4]Vendedor14!$J$5</f>
        <v>0</v>
      </c>
      <c r="F9" s="81">
        <f>[4]Vendedor14!$K$5</f>
        <v>0</v>
      </c>
      <c r="G9" s="85">
        <f>[4]Vendedor14!$L$5</f>
        <v>0</v>
      </c>
      <c r="H9" s="19">
        <f>[4]Vendedor14!$J$6</f>
        <v>0</v>
      </c>
      <c r="I9" s="15">
        <f>[4]Vendedor14!$K$6</f>
        <v>0</v>
      </c>
      <c r="J9" s="17">
        <f>[4]Vendedor14!$L$6</f>
        <v>0</v>
      </c>
      <c r="K9" s="18">
        <f>[4]Vendedor14!$J$7</f>
        <v>0</v>
      </c>
      <c r="L9" s="15">
        <f>[4]Vendedor14!$K$7</f>
        <v>0</v>
      </c>
      <c r="M9" s="16">
        <f>[4]Vendedor14!$L$7</f>
        <v>0</v>
      </c>
      <c r="N9" s="19">
        <f>[4]Vendedor14!$J$8</f>
        <v>0</v>
      </c>
      <c r="O9" s="15">
        <f>[4]Vendedor14!$K$8</f>
        <v>0</v>
      </c>
      <c r="P9" s="17">
        <f>[4]Vendedor14!$L$8</f>
        <v>0</v>
      </c>
      <c r="Q9" s="19">
        <f>[4]Vendedor14!$J$10</f>
        <v>0</v>
      </c>
      <c r="R9" s="15">
        <f>[4]Vendedor14!$K$10</f>
        <v>0</v>
      </c>
      <c r="S9" s="17">
        <f>[4]Vendedor14!$L$10</f>
        <v>0</v>
      </c>
      <c r="T9" s="18">
        <f t="shared" si="3"/>
        <v>0</v>
      </c>
      <c r="U9" s="15">
        <f t="shared" si="1"/>
        <v>0</v>
      </c>
      <c r="V9" s="15">
        <f t="shared" si="2"/>
        <v>0</v>
      </c>
      <c r="W9" s="15">
        <v>0</v>
      </c>
      <c r="X9" s="17">
        <f t="shared" ref="X9:X36" si="4">+T9-U9-V9+W9</f>
        <v>0</v>
      </c>
    </row>
    <row r="10" spans="1:24">
      <c r="A10" s="20" t="s">
        <v>53</v>
      </c>
      <c r="B10" s="14">
        <f>[5]Vendedor14!$J$4</f>
        <v>0</v>
      </c>
      <c r="C10" s="81">
        <f>[5]Vendedor14!$K$4</f>
        <v>0</v>
      </c>
      <c r="D10" s="82">
        <f>[5]Vendedor14!$L$4</f>
        <v>0</v>
      </c>
      <c r="E10" s="14">
        <f>[5]Vendedor14!$J$5</f>
        <v>0</v>
      </c>
      <c r="F10" s="81">
        <f>[5]Vendedor14!$K$5</f>
        <v>0</v>
      </c>
      <c r="G10" s="85">
        <f>[5]Vendedor14!$L$5</f>
        <v>0</v>
      </c>
      <c r="H10" s="19">
        <f>[5]Vendedor14!$J$6</f>
        <v>0</v>
      </c>
      <c r="I10" s="15">
        <f>[5]Vendedor14!$K$6</f>
        <v>0</v>
      </c>
      <c r="J10" s="17">
        <f>[5]Vendedor14!$L$6</f>
        <v>0</v>
      </c>
      <c r="K10" s="18">
        <f>[5]Vendedor14!$J$7</f>
        <v>0</v>
      </c>
      <c r="L10" s="15">
        <f>[5]Vendedor14!$K$7</f>
        <v>0</v>
      </c>
      <c r="M10" s="16">
        <f>[5]Vendedor14!$L$7</f>
        <v>0</v>
      </c>
      <c r="N10" s="19">
        <f>[5]Vendedor14!$J$8</f>
        <v>0</v>
      </c>
      <c r="O10" s="15">
        <f>[5]Vendedor14!$K$8</f>
        <v>0</v>
      </c>
      <c r="P10" s="17">
        <f>[5]Vendedor14!$L$8</f>
        <v>0</v>
      </c>
      <c r="Q10" s="19">
        <f>[5]Vendedor14!$J$10</f>
        <v>0</v>
      </c>
      <c r="R10" s="15">
        <f>[5]Vendedor14!$K$10</f>
        <v>0</v>
      </c>
      <c r="S10" s="17">
        <f>[5]Vendedor14!$L$10</f>
        <v>0</v>
      </c>
      <c r="T10" s="18">
        <f t="shared" si="3"/>
        <v>0</v>
      </c>
      <c r="U10" s="15">
        <f t="shared" si="1"/>
        <v>0</v>
      </c>
      <c r="V10" s="15">
        <f t="shared" si="2"/>
        <v>0</v>
      </c>
      <c r="W10" s="15">
        <v>0</v>
      </c>
      <c r="X10" s="17">
        <f t="shared" si="4"/>
        <v>0</v>
      </c>
    </row>
    <row r="11" spans="1:24">
      <c r="A11" s="13" t="s">
        <v>20</v>
      </c>
      <c r="B11" s="14">
        <f>[6]Vendedor14!$J$4</f>
        <v>0</v>
      </c>
      <c r="C11" s="81">
        <f>[6]Vendedor14!$K$4</f>
        <v>0</v>
      </c>
      <c r="D11" s="82">
        <f>[6]Vendedor14!$L$4</f>
        <v>0</v>
      </c>
      <c r="E11" s="14">
        <f>[6]Vendedor14!$J$5</f>
        <v>0</v>
      </c>
      <c r="F11" s="81">
        <f>[6]Vendedor14!$K$5</f>
        <v>0</v>
      </c>
      <c r="G11" s="85">
        <f>[6]Vendedor14!$L$5</f>
        <v>0</v>
      </c>
      <c r="H11" s="19">
        <f>[6]Vendedor14!$J$6</f>
        <v>0</v>
      </c>
      <c r="I11" s="15">
        <f>[6]Vendedor14!$K$6</f>
        <v>0</v>
      </c>
      <c r="J11" s="17">
        <f>[6]Vendedor14!$L$6</f>
        <v>0</v>
      </c>
      <c r="K11" s="18">
        <f>[6]Vendedor14!$J$7</f>
        <v>0</v>
      </c>
      <c r="L11" s="15">
        <f>[6]Vendedor14!$K$7</f>
        <v>0</v>
      </c>
      <c r="M11" s="16">
        <f>[6]Vendedor14!$L$7</f>
        <v>0</v>
      </c>
      <c r="N11" s="19">
        <f>[6]Vendedor14!$J$8</f>
        <v>0</v>
      </c>
      <c r="O11" s="15">
        <f>[6]Vendedor14!$K$8</f>
        <v>0</v>
      </c>
      <c r="P11" s="17">
        <f>[6]Vendedor14!$L$8</f>
        <v>0</v>
      </c>
      <c r="Q11" s="19">
        <f>[6]Vendedor14!$J$10</f>
        <v>0</v>
      </c>
      <c r="R11" s="15">
        <f>[6]Vendedor14!$K$10</f>
        <v>0</v>
      </c>
      <c r="S11" s="17">
        <f>[6]Vendedor14!$L$10</f>
        <v>0</v>
      </c>
      <c r="T11" s="18">
        <f t="shared" si="3"/>
        <v>0</v>
      </c>
      <c r="U11" s="15">
        <f t="shared" si="1"/>
        <v>0</v>
      </c>
      <c r="V11" s="15">
        <f t="shared" si="2"/>
        <v>0</v>
      </c>
      <c r="W11" s="15">
        <v>0</v>
      </c>
      <c r="X11" s="17">
        <f t="shared" si="4"/>
        <v>0</v>
      </c>
    </row>
    <row r="12" spans="1:24">
      <c r="A12" s="20" t="s">
        <v>21</v>
      </c>
      <c r="B12" s="14">
        <f>[7]Vendedor14!$J$4</f>
        <v>0</v>
      </c>
      <c r="C12" s="81">
        <f>[7]Vendedor14!$K$4</f>
        <v>0</v>
      </c>
      <c r="D12" s="82">
        <f>[7]Vendedor14!$L$4</f>
        <v>0</v>
      </c>
      <c r="E12" s="14">
        <f>[7]Vendedor14!$J$5</f>
        <v>0</v>
      </c>
      <c r="F12" s="81">
        <f>[7]Vendedor14!$K$5</f>
        <v>0</v>
      </c>
      <c r="G12" s="85">
        <f>[7]Vendedor14!$L$5</f>
        <v>0</v>
      </c>
      <c r="H12" s="19">
        <f>[7]Vendedor14!$J$6</f>
        <v>0</v>
      </c>
      <c r="I12" s="15">
        <f>[7]Vendedor14!$K$6</f>
        <v>0</v>
      </c>
      <c r="J12" s="17">
        <f>[7]Vendedor14!$L$6</f>
        <v>0</v>
      </c>
      <c r="K12" s="18">
        <f>[7]Vendedor14!$J$7</f>
        <v>0</v>
      </c>
      <c r="L12" s="15">
        <f>[7]Vendedor14!$K$7</f>
        <v>0</v>
      </c>
      <c r="M12" s="16">
        <f>[7]Vendedor14!$L$7</f>
        <v>0</v>
      </c>
      <c r="N12" s="19">
        <f>[7]Vendedor14!$J$8</f>
        <v>0</v>
      </c>
      <c r="O12" s="15">
        <f>[7]Vendedor14!$K$8</f>
        <v>0</v>
      </c>
      <c r="P12" s="17">
        <f>[7]Vendedor14!$L$8</f>
        <v>0</v>
      </c>
      <c r="Q12" s="19">
        <f>[7]Vendedor14!$J$10</f>
        <v>0</v>
      </c>
      <c r="R12" s="15">
        <f>[7]Vendedor14!$K$10</f>
        <v>0</v>
      </c>
      <c r="S12" s="17">
        <f>[7]Vendedor14!$L$10</f>
        <v>0</v>
      </c>
      <c r="T12" s="18">
        <f t="shared" si="3"/>
        <v>0</v>
      </c>
      <c r="U12" s="15">
        <f t="shared" si="1"/>
        <v>0</v>
      </c>
      <c r="V12" s="15">
        <f t="shared" si="2"/>
        <v>0</v>
      </c>
      <c r="W12" s="15">
        <v>0</v>
      </c>
      <c r="X12" s="17">
        <f t="shared" si="4"/>
        <v>0</v>
      </c>
    </row>
    <row r="13" spans="1:24">
      <c r="A13" s="13" t="s">
        <v>22</v>
      </c>
      <c r="B13" s="14">
        <f>[8]Vendedor14!$J$4</f>
        <v>0</v>
      </c>
      <c r="C13" s="81">
        <f>[8]Vendedor14!$K$4</f>
        <v>0</v>
      </c>
      <c r="D13" s="82">
        <f>[8]Vendedor14!$L$4</f>
        <v>0</v>
      </c>
      <c r="E13" s="14">
        <f>[8]Vendedor14!$J$5</f>
        <v>0</v>
      </c>
      <c r="F13" s="81">
        <f>[8]Vendedor14!$K$5</f>
        <v>0</v>
      </c>
      <c r="G13" s="85">
        <f>[8]Vendedor14!$L$5</f>
        <v>0</v>
      </c>
      <c r="H13" s="19">
        <f>[8]Vendedor14!$J$6</f>
        <v>0</v>
      </c>
      <c r="I13" s="15">
        <f>[8]Vendedor14!$K$6</f>
        <v>0</v>
      </c>
      <c r="J13" s="17">
        <f>[8]Vendedor14!$L$6</f>
        <v>0</v>
      </c>
      <c r="K13" s="18">
        <f>[8]Vendedor14!$J$7</f>
        <v>0</v>
      </c>
      <c r="L13" s="15">
        <f>[8]Vendedor14!$K$7</f>
        <v>0</v>
      </c>
      <c r="M13" s="16">
        <f>[8]Vendedor14!$L$7</f>
        <v>0</v>
      </c>
      <c r="N13" s="19">
        <f>[8]Vendedor14!$J$8</f>
        <v>0</v>
      </c>
      <c r="O13" s="15">
        <f>[8]Vendedor14!$K$8</f>
        <v>0</v>
      </c>
      <c r="P13" s="17">
        <f>[8]Vendedor14!$L$8</f>
        <v>0</v>
      </c>
      <c r="Q13" s="19">
        <f>[8]Vendedor14!$J$10</f>
        <v>0</v>
      </c>
      <c r="R13" s="15">
        <f>[8]Vendedor14!$K$10</f>
        <v>0</v>
      </c>
      <c r="S13" s="17">
        <f>[8]Vendedor14!$L$10</f>
        <v>0</v>
      </c>
      <c r="T13" s="18">
        <f t="shared" si="3"/>
        <v>0</v>
      </c>
      <c r="U13" s="15">
        <f t="shared" si="1"/>
        <v>0</v>
      </c>
      <c r="V13" s="15">
        <f t="shared" si="2"/>
        <v>0</v>
      </c>
      <c r="W13" s="15">
        <v>0</v>
      </c>
      <c r="X13" s="17">
        <f t="shared" si="4"/>
        <v>0</v>
      </c>
    </row>
    <row r="14" spans="1:24">
      <c r="A14" s="20" t="s">
        <v>23</v>
      </c>
      <c r="B14" s="14">
        <f>[9]Vendedor14!$J$4</f>
        <v>0</v>
      </c>
      <c r="C14" s="81">
        <f>[9]Vendedor14!$K$4</f>
        <v>0</v>
      </c>
      <c r="D14" s="82">
        <f>[9]Vendedor14!$L$4</f>
        <v>0</v>
      </c>
      <c r="E14" s="14">
        <f>[9]Vendedor14!$J$5</f>
        <v>0</v>
      </c>
      <c r="F14" s="81">
        <f>[9]Vendedor14!$K$5</f>
        <v>0</v>
      </c>
      <c r="G14" s="85">
        <f>[9]Vendedor14!$L$5</f>
        <v>0</v>
      </c>
      <c r="H14" s="19">
        <f>[9]Vendedor14!$J$6</f>
        <v>0</v>
      </c>
      <c r="I14" s="15">
        <f>[9]Vendedor14!$K$6</f>
        <v>0</v>
      </c>
      <c r="J14" s="17">
        <f>[9]Vendedor14!$L$6</f>
        <v>0</v>
      </c>
      <c r="K14" s="18">
        <f>[9]Vendedor14!$J$7</f>
        <v>0</v>
      </c>
      <c r="L14" s="15">
        <f>[9]Vendedor14!$K$7</f>
        <v>0</v>
      </c>
      <c r="M14" s="16">
        <f>[9]Vendedor14!$L$7</f>
        <v>0</v>
      </c>
      <c r="N14" s="19">
        <f>[9]Vendedor14!$J$8</f>
        <v>0</v>
      </c>
      <c r="O14" s="15">
        <f>[9]Vendedor14!$K$8</f>
        <v>0</v>
      </c>
      <c r="P14" s="17">
        <f>[9]Vendedor14!$L$8</f>
        <v>0</v>
      </c>
      <c r="Q14" s="19">
        <f>[9]Vendedor14!$J$10</f>
        <v>0</v>
      </c>
      <c r="R14" s="15">
        <f>[9]Vendedor14!$K$10</f>
        <v>0</v>
      </c>
      <c r="S14" s="17">
        <f>[9]Vendedor14!$L$10</f>
        <v>0</v>
      </c>
      <c r="T14" s="18">
        <f t="shared" si="3"/>
        <v>0</v>
      </c>
      <c r="U14" s="15">
        <f t="shared" si="1"/>
        <v>0</v>
      </c>
      <c r="V14" s="15">
        <f t="shared" si="2"/>
        <v>0</v>
      </c>
      <c r="W14" s="15">
        <v>0</v>
      </c>
      <c r="X14" s="17">
        <f t="shared" si="4"/>
        <v>0</v>
      </c>
    </row>
    <row r="15" spans="1:24">
      <c r="A15" s="13" t="s">
        <v>24</v>
      </c>
      <c r="B15" s="14">
        <f>[12]Vendedor14!$J$4</f>
        <v>0</v>
      </c>
      <c r="C15" s="81">
        <f>[12]Vendedor14!$K$4</f>
        <v>0</v>
      </c>
      <c r="D15" s="82">
        <f>[12]Vendedor14!$L$4</f>
        <v>0</v>
      </c>
      <c r="E15" s="14">
        <f>[12]Vendedor14!$J$5</f>
        <v>0</v>
      </c>
      <c r="F15" s="81">
        <f>[12]Vendedor14!$K$5</f>
        <v>0</v>
      </c>
      <c r="G15" s="85">
        <f>[12]Vendedor14!$L$5</f>
        <v>0</v>
      </c>
      <c r="H15" s="19">
        <f>[12]Vendedor14!$J$6</f>
        <v>0</v>
      </c>
      <c r="I15" s="15">
        <f>[12]Vendedor14!$K$6</f>
        <v>0</v>
      </c>
      <c r="J15" s="17">
        <f>[12]Vendedor14!$L$6</f>
        <v>0</v>
      </c>
      <c r="K15" s="18">
        <f>[12]Vendedor14!$J$7</f>
        <v>0</v>
      </c>
      <c r="L15" s="15">
        <f>[12]Vendedor14!$K$7</f>
        <v>0</v>
      </c>
      <c r="M15" s="16">
        <f>[12]Vendedor14!$L$7</f>
        <v>0</v>
      </c>
      <c r="N15" s="19">
        <f>[12]Vendedor14!$J$8</f>
        <v>0</v>
      </c>
      <c r="O15" s="15">
        <f>[12]Vendedor14!$K$8</f>
        <v>0</v>
      </c>
      <c r="P15" s="17">
        <f>[12]Vendedor14!$L$8</f>
        <v>0</v>
      </c>
      <c r="Q15" s="19">
        <f>[12]Vendedor14!$J$10</f>
        <v>0</v>
      </c>
      <c r="R15" s="15">
        <f>[12]Vendedor14!$K$10</f>
        <v>0</v>
      </c>
      <c r="S15" s="17">
        <f>[12]Vendedor14!$L$10</f>
        <v>0</v>
      </c>
      <c r="T15" s="18">
        <f t="shared" si="3"/>
        <v>0</v>
      </c>
      <c r="U15" s="15">
        <f t="shared" si="1"/>
        <v>0</v>
      </c>
      <c r="V15" s="15">
        <f t="shared" si="2"/>
        <v>0</v>
      </c>
      <c r="W15" s="15">
        <v>0</v>
      </c>
      <c r="X15" s="17">
        <f t="shared" si="4"/>
        <v>0</v>
      </c>
    </row>
    <row r="16" spans="1:24">
      <c r="A16" s="20" t="s">
        <v>25</v>
      </c>
      <c r="B16" s="14">
        <f>[13]Vendedor14!$J$4</f>
        <v>0</v>
      </c>
      <c r="C16" s="81">
        <f>[13]Vendedor14!$K$4</f>
        <v>0</v>
      </c>
      <c r="D16" s="82">
        <f>[13]Vendedor14!$L$4</f>
        <v>0</v>
      </c>
      <c r="E16" s="14">
        <f>[13]Vendedor14!$J$5</f>
        <v>0</v>
      </c>
      <c r="F16" s="81">
        <f>[13]Vendedor14!$K$5</f>
        <v>0</v>
      </c>
      <c r="G16" s="85">
        <f>[13]Vendedor14!$L$5</f>
        <v>0</v>
      </c>
      <c r="H16" s="19">
        <f>[13]Vendedor14!$J$6</f>
        <v>0</v>
      </c>
      <c r="I16" s="15">
        <f>[13]Vendedor14!$K$6</f>
        <v>0</v>
      </c>
      <c r="J16" s="17">
        <f>[13]Vendedor14!$L$6</f>
        <v>0</v>
      </c>
      <c r="K16" s="18">
        <f>[13]Vendedor14!$J$7</f>
        <v>0</v>
      </c>
      <c r="L16" s="15">
        <f>[13]Vendedor14!$K$7</f>
        <v>0</v>
      </c>
      <c r="M16" s="16">
        <f>[13]Vendedor14!$L$7</f>
        <v>0</v>
      </c>
      <c r="N16" s="19">
        <f>[13]Vendedor14!$J$8</f>
        <v>0</v>
      </c>
      <c r="O16" s="15">
        <f>[13]Vendedor14!$K$8</f>
        <v>0</v>
      </c>
      <c r="P16" s="17">
        <f>[13]Vendedor14!$L$8</f>
        <v>0</v>
      </c>
      <c r="Q16" s="19">
        <f>[13]Vendedor14!$J$10</f>
        <v>0</v>
      </c>
      <c r="R16" s="15">
        <f>[13]Vendedor14!$K$10</f>
        <v>0</v>
      </c>
      <c r="S16" s="17">
        <f>[13]Vendedor14!$L$10</f>
        <v>0</v>
      </c>
      <c r="T16" s="18">
        <f t="shared" si="3"/>
        <v>0</v>
      </c>
      <c r="U16" s="15">
        <f t="shared" si="1"/>
        <v>0</v>
      </c>
      <c r="V16" s="15">
        <f t="shared" si="2"/>
        <v>0</v>
      </c>
      <c r="W16" s="15">
        <v>0</v>
      </c>
      <c r="X16" s="17">
        <f t="shared" si="4"/>
        <v>0</v>
      </c>
    </row>
    <row r="17" spans="1:24">
      <c r="A17" s="13" t="s">
        <v>26</v>
      </c>
      <c r="B17" s="14">
        <f>[14]Vendedor14!$J$4</f>
        <v>0</v>
      </c>
      <c r="C17" s="81">
        <f>[14]Vendedor14!$K$4</f>
        <v>0</v>
      </c>
      <c r="D17" s="82">
        <f>[14]Vendedor14!$L$4</f>
        <v>0</v>
      </c>
      <c r="E17" s="14">
        <f>[14]Vendedor14!$J$5</f>
        <v>0</v>
      </c>
      <c r="F17" s="81">
        <f>[14]Vendedor14!$K$5</f>
        <v>0</v>
      </c>
      <c r="G17" s="85">
        <f>[14]Vendedor14!$L$5</f>
        <v>0</v>
      </c>
      <c r="H17" s="19">
        <f>[14]Vendedor14!$J$6</f>
        <v>0</v>
      </c>
      <c r="I17" s="15">
        <f>[14]Vendedor14!$K$6</f>
        <v>0</v>
      </c>
      <c r="J17" s="17">
        <f>[14]Vendedor14!$L$6</f>
        <v>0</v>
      </c>
      <c r="K17" s="18">
        <f>[14]Vendedor14!$J$7</f>
        <v>0</v>
      </c>
      <c r="L17" s="15">
        <f>[14]Vendedor14!$K$7</f>
        <v>0</v>
      </c>
      <c r="M17" s="16">
        <f>[14]Vendedor14!$L$7</f>
        <v>0</v>
      </c>
      <c r="N17" s="19">
        <f>[14]Vendedor14!$J$8</f>
        <v>0</v>
      </c>
      <c r="O17" s="15">
        <f>[14]Vendedor14!$K$8</f>
        <v>0</v>
      </c>
      <c r="P17" s="17">
        <f>[14]Vendedor14!$L$8</f>
        <v>0</v>
      </c>
      <c r="Q17" s="19">
        <f>[14]Vendedor14!$J$10</f>
        <v>0</v>
      </c>
      <c r="R17" s="15">
        <f>[14]Vendedor14!$K$10</f>
        <v>0</v>
      </c>
      <c r="S17" s="17">
        <f>[14]Vendedor14!$L$10</f>
        <v>0</v>
      </c>
      <c r="T17" s="18">
        <f t="shared" si="3"/>
        <v>0</v>
      </c>
      <c r="U17" s="15">
        <f t="shared" si="1"/>
        <v>0</v>
      </c>
      <c r="V17" s="15">
        <f t="shared" si="2"/>
        <v>0</v>
      </c>
      <c r="W17" s="15">
        <v>0</v>
      </c>
      <c r="X17" s="17">
        <f t="shared" si="4"/>
        <v>0</v>
      </c>
    </row>
    <row r="18" spans="1:24">
      <c r="A18" s="20" t="s">
        <v>27</v>
      </c>
      <c r="B18" s="14">
        <f>[15]Vendedor14!$J$4</f>
        <v>0</v>
      </c>
      <c r="C18" s="81">
        <f>[15]Vendedor14!$K$4</f>
        <v>0</v>
      </c>
      <c r="D18" s="82">
        <f>[15]Vendedor14!$L$4</f>
        <v>0</v>
      </c>
      <c r="E18" s="14">
        <f>[15]Vendedor14!$J$5</f>
        <v>0</v>
      </c>
      <c r="F18" s="81">
        <f>[15]Vendedor14!$K$5</f>
        <v>0</v>
      </c>
      <c r="G18" s="85">
        <f>[15]Vendedor14!$L$5</f>
        <v>0</v>
      </c>
      <c r="H18" s="19">
        <f>[15]Vendedor14!$J$6</f>
        <v>0</v>
      </c>
      <c r="I18" s="15">
        <f>[15]Vendedor14!$K$6</f>
        <v>0</v>
      </c>
      <c r="J18" s="17">
        <f>[15]Vendedor14!$L$6</f>
        <v>0</v>
      </c>
      <c r="K18" s="18">
        <f>[15]Vendedor14!$J$7</f>
        <v>0</v>
      </c>
      <c r="L18" s="15">
        <f>[15]Vendedor14!$K$7</f>
        <v>0</v>
      </c>
      <c r="M18" s="16">
        <f>[15]Vendedor14!$L$7</f>
        <v>0</v>
      </c>
      <c r="N18" s="19">
        <f>[15]Vendedor14!$J$8</f>
        <v>0</v>
      </c>
      <c r="O18" s="15">
        <f>[15]Vendedor14!$K$8</f>
        <v>0</v>
      </c>
      <c r="P18" s="17">
        <f>[15]Vendedor14!$L$8</f>
        <v>0</v>
      </c>
      <c r="Q18" s="19">
        <f>[15]Vendedor14!$J$10</f>
        <v>0</v>
      </c>
      <c r="R18" s="15">
        <f>[15]Vendedor14!$K$10</f>
        <v>0</v>
      </c>
      <c r="S18" s="17">
        <f>[15]Vendedor14!$L$10</f>
        <v>0</v>
      </c>
      <c r="T18" s="18">
        <f t="shared" si="3"/>
        <v>0</v>
      </c>
      <c r="U18" s="15">
        <f t="shared" si="1"/>
        <v>0</v>
      </c>
      <c r="V18" s="15">
        <f t="shared" si="2"/>
        <v>0</v>
      </c>
      <c r="W18" s="15">
        <v>0</v>
      </c>
      <c r="X18" s="17">
        <f t="shared" si="4"/>
        <v>0</v>
      </c>
    </row>
    <row r="19" spans="1:24">
      <c r="A19" s="20" t="s">
        <v>28</v>
      </c>
      <c r="B19" s="14">
        <f>[16]Vendedor14!$J$4</f>
        <v>0</v>
      </c>
      <c r="C19" s="81">
        <f>[16]Vendedor14!$K$4</f>
        <v>0</v>
      </c>
      <c r="D19" s="82">
        <f>[16]Vendedor14!$L$4</f>
        <v>0</v>
      </c>
      <c r="E19" s="14">
        <f>[16]Vendedor14!$J$5</f>
        <v>0</v>
      </c>
      <c r="F19" s="81">
        <f>[16]Vendedor14!$K$5</f>
        <v>0</v>
      </c>
      <c r="G19" s="85">
        <f>[16]Vendedor14!$L$5</f>
        <v>0</v>
      </c>
      <c r="H19" s="19">
        <f>[16]Vendedor14!$J$6</f>
        <v>0</v>
      </c>
      <c r="I19" s="15">
        <f>[16]Vendedor14!$K$6</f>
        <v>0</v>
      </c>
      <c r="J19" s="17">
        <f>[16]Vendedor14!$L$6</f>
        <v>0</v>
      </c>
      <c r="K19" s="18">
        <f>[16]Vendedor14!$J$7</f>
        <v>0</v>
      </c>
      <c r="L19" s="15">
        <f>[16]Vendedor14!$K$7</f>
        <v>0</v>
      </c>
      <c r="M19" s="16">
        <f>[16]Vendedor14!$L$7</f>
        <v>0</v>
      </c>
      <c r="N19" s="19">
        <f>[16]Vendedor14!$J$8</f>
        <v>0</v>
      </c>
      <c r="O19" s="15">
        <f>[16]Vendedor14!$K$8</f>
        <v>0</v>
      </c>
      <c r="P19" s="17">
        <f>[16]Vendedor14!$L$8</f>
        <v>0</v>
      </c>
      <c r="Q19" s="19">
        <f>[16]Vendedor14!$J$10</f>
        <v>0</v>
      </c>
      <c r="R19" s="15">
        <f>[16]Vendedor14!$K$10</f>
        <v>0</v>
      </c>
      <c r="S19" s="17">
        <f>[16]Vendedor14!$L$10</f>
        <v>0</v>
      </c>
      <c r="T19" s="18">
        <f t="shared" si="3"/>
        <v>0</v>
      </c>
      <c r="U19" s="15">
        <f t="shared" si="1"/>
        <v>0</v>
      </c>
      <c r="V19" s="15">
        <f t="shared" si="2"/>
        <v>0</v>
      </c>
      <c r="W19" s="15">
        <v>0</v>
      </c>
      <c r="X19" s="17">
        <f t="shared" si="4"/>
        <v>0</v>
      </c>
    </row>
    <row r="20" spans="1:24">
      <c r="A20" s="13" t="s">
        <v>29</v>
      </c>
      <c r="B20" s="14">
        <f>[17]Vendedor14!$J$4</f>
        <v>0</v>
      </c>
      <c r="C20" s="81">
        <f>[17]Vendedor14!$K$4</f>
        <v>0</v>
      </c>
      <c r="D20" s="82">
        <f>[17]Vendedor14!$L$4</f>
        <v>0</v>
      </c>
      <c r="E20" s="14">
        <f>[17]Vendedor14!$J$5</f>
        <v>0</v>
      </c>
      <c r="F20" s="81">
        <f>[17]Vendedor14!$K$5</f>
        <v>0</v>
      </c>
      <c r="G20" s="85">
        <f>[17]Vendedor14!$L$5</f>
        <v>0</v>
      </c>
      <c r="H20" s="19">
        <f>[17]Vendedor14!$J$6</f>
        <v>0</v>
      </c>
      <c r="I20" s="15">
        <f>[17]Vendedor14!$K$6</f>
        <v>0</v>
      </c>
      <c r="J20" s="17">
        <f>[17]Vendedor14!$L$6</f>
        <v>0</v>
      </c>
      <c r="K20" s="18">
        <f>[17]Vendedor14!$J$7</f>
        <v>0</v>
      </c>
      <c r="L20" s="15">
        <f>[17]Vendedor14!$K$7</f>
        <v>0</v>
      </c>
      <c r="M20" s="16">
        <f>[17]Vendedor14!$L$7</f>
        <v>0</v>
      </c>
      <c r="N20" s="19">
        <f>[17]Vendedor14!$J$8</f>
        <v>0</v>
      </c>
      <c r="O20" s="15">
        <f>[17]Vendedor14!$K$8</f>
        <v>0</v>
      </c>
      <c r="P20" s="17">
        <f>[17]Vendedor14!$L$8</f>
        <v>0</v>
      </c>
      <c r="Q20" s="19">
        <f>[17]Vendedor14!$J$10</f>
        <v>0</v>
      </c>
      <c r="R20" s="15">
        <f>[17]Vendedor14!$K$10</f>
        <v>0</v>
      </c>
      <c r="S20" s="17">
        <f>[17]Vendedor14!$L$10</f>
        <v>0</v>
      </c>
      <c r="T20" s="18">
        <f t="shared" si="3"/>
        <v>0</v>
      </c>
      <c r="U20" s="15">
        <f t="shared" si="1"/>
        <v>0</v>
      </c>
      <c r="V20" s="15">
        <f t="shared" si="2"/>
        <v>0</v>
      </c>
      <c r="W20" s="15">
        <v>0</v>
      </c>
      <c r="X20" s="17">
        <f t="shared" si="4"/>
        <v>0</v>
      </c>
    </row>
    <row r="21" spans="1:24">
      <c r="A21" s="20" t="s">
        <v>30</v>
      </c>
      <c r="B21" s="14">
        <f>[18]Vendedor14!$J$4</f>
        <v>0</v>
      </c>
      <c r="C21" s="81">
        <f>[18]Vendedor14!$K$4</f>
        <v>0</v>
      </c>
      <c r="D21" s="82">
        <f>[18]Vendedor14!$L$4</f>
        <v>0</v>
      </c>
      <c r="E21" s="14">
        <f>[18]Vendedor14!$J$5</f>
        <v>0</v>
      </c>
      <c r="F21" s="81">
        <f>[18]Vendedor14!$K$5</f>
        <v>0</v>
      </c>
      <c r="G21" s="85">
        <f>[18]Vendedor14!$L$5</f>
        <v>0</v>
      </c>
      <c r="H21" s="19">
        <f>[18]Vendedor14!$J$6</f>
        <v>0</v>
      </c>
      <c r="I21" s="15">
        <f>[18]Vendedor14!$K$6</f>
        <v>0</v>
      </c>
      <c r="J21" s="17">
        <f>[18]Vendedor14!$L$6</f>
        <v>0</v>
      </c>
      <c r="K21" s="18">
        <f>[18]Vendedor14!$J$7</f>
        <v>0</v>
      </c>
      <c r="L21" s="15">
        <f>[18]Vendedor14!$K$7</f>
        <v>0</v>
      </c>
      <c r="M21" s="16">
        <f>[18]Vendedor14!$L$7</f>
        <v>0</v>
      </c>
      <c r="N21" s="19">
        <f>[18]Vendedor14!$J$8</f>
        <v>0</v>
      </c>
      <c r="O21" s="15">
        <f>[18]Vendedor14!$K$8</f>
        <v>0</v>
      </c>
      <c r="P21" s="17">
        <f>[18]Vendedor14!$L$8</f>
        <v>0</v>
      </c>
      <c r="Q21" s="19">
        <f>[18]Vendedor14!$J$10</f>
        <v>0</v>
      </c>
      <c r="R21" s="15">
        <f>[18]Vendedor14!$K$10</f>
        <v>0</v>
      </c>
      <c r="S21" s="17">
        <f>[18]Vendedor14!$L$10</f>
        <v>0</v>
      </c>
      <c r="T21" s="18">
        <f t="shared" si="3"/>
        <v>0</v>
      </c>
      <c r="U21" s="15">
        <f t="shared" si="1"/>
        <v>0</v>
      </c>
      <c r="V21" s="15">
        <f t="shared" si="2"/>
        <v>0</v>
      </c>
      <c r="W21" s="15">
        <v>0</v>
      </c>
      <c r="X21" s="17">
        <f t="shared" si="4"/>
        <v>0</v>
      </c>
    </row>
    <row r="22" spans="1:24">
      <c r="A22" s="13" t="s">
        <v>31</v>
      </c>
      <c r="B22" s="14">
        <f>[19]Vendedor14!$J$4</f>
        <v>0</v>
      </c>
      <c r="C22" s="81">
        <f>[19]Vendedor14!$K$4</f>
        <v>0</v>
      </c>
      <c r="D22" s="82">
        <f>[19]Vendedor14!$L$4</f>
        <v>0</v>
      </c>
      <c r="E22" s="14">
        <f>[19]Vendedor14!$J$5</f>
        <v>0</v>
      </c>
      <c r="F22" s="81">
        <f>[19]Vendedor14!$K$5</f>
        <v>0</v>
      </c>
      <c r="G22" s="85">
        <f>[19]Vendedor14!$L$5</f>
        <v>0</v>
      </c>
      <c r="H22" s="19">
        <f>[19]Vendedor14!$J$6</f>
        <v>0</v>
      </c>
      <c r="I22" s="15">
        <f>[19]Vendedor14!$K$6</f>
        <v>0</v>
      </c>
      <c r="J22" s="17">
        <f>[19]Vendedor14!$L$6</f>
        <v>0</v>
      </c>
      <c r="K22" s="18">
        <f>[19]Vendedor14!$J$7</f>
        <v>0</v>
      </c>
      <c r="L22" s="15">
        <f>[19]Vendedor14!$K$7</f>
        <v>0</v>
      </c>
      <c r="M22" s="16">
        <f>[19]Vendedor14!$L$7</f>
        <v>0</v>
      </c>
      <c r="N22" s="19">
        <f>[19]Vendedor14!$J$8</f>
        <v>0</v>
      </c>
      <c r="O22" s="15">
        <f>[19]Vendedor14!$K$8</f>
        <v>0</v>
      </c>
      <c r="P22" s="17">
        <f>[19]Vendedor14!$L$8</f>
        <v>0</v>
      </c>
      <c r="Q22" s="19">
        <f>[19]Vendedor14!$J$10</f>
        <v>0</v>
      </c>
      <c r="R22" s="15">
        <f>[19]Vendedor14!$K$10</f>
        <v>0</v>
      </c>
      <c r="S22" s="17">
        <f>[19]Vendedor14!$L$10</f>
        <v>0</v>
      </c>
      <c r="T22" s="18">
        <f t="shared" si="3"/>
        <v>0</v>
      </c>
      <c r="U22" s="15">
        <f t="shared" si="1"/>
        <v>0</v>
      </c>
      <c r="V22" s="15">
        <f t="shared" si="2"/>
        <v>0</v>
      </c>
      <c r="W22" s="15">
        <v>0</v>
      </c>
      <c r="X22" s="17">
        <f t="shared" si="4"/>
        <v>0</v>
      </c>
    </row>
    <row r="23" spans="1:24">
      <c r="A23" s="20" t="s">
        <v>32</v>
      </c>
      <c r="B23" s="14">
        <f>[20]Vendedor14!$J$4</f>
        <v>0</v>
      </c>
      <c r="C23" s="81">
        <f>[20]Vendedor14!$K$4</f>
        <v>0</v>
      </c>
      <c r="D23" s="82">
        <f>[20]Vendedor14!$L$4</f>
        <v>0</v>
      </c>
      <c r="E23" s="14">
        <f>[20]Vendedor14!$J$5</f>
        <v>0</v>
      </c>
      <c r="F23" s="81">
        <f>[20]Vendedor14!$K$5</f>
        <v>0</v>
      </c>
      <c r="G23" s="85">
        <f>[20]Vendedor14!$L$5</f>
        <v>0</v>
      </c>
      <c r="H23" s="19">
        <f>[20]Vendedor14!$J$6</f>
        <v>0</v>
      </c>
      <c r="I23" s="15">
        <f>[20]Vendedor14!$K$6</f>
        <v>0</v>
      </c>
      <c r="J23" s="17">
        <f>[20]Vendedor14!$L$6</f>
        <v>0</v>
      </c>
      <c r="K23" s="18">
        <f>[20]Vendedor14!$J$7</f>
        <v>0</v>
      </c>
      <c r="L23" s="15">
        <f>[20]Vendedor14!$K$7</f>
        <v>0</v>
      </c>
      <c r="M23" s="16">
        <f>[20]Vendedor14!$L$7</f>
        <v>0</v>
      </c>
      <c r="N23" s="19">
        <f>[20]Vendedor14!$J$8</f>
        <v>0</v>
      </c>
      <c r="O23" s="15">
        <f>[20]Vendedor14!$K$8</f>
        <v>0</v>
      </c>
      <c r="P23" s="17">
        <f>[20]Vendedor14!$L$8</f>
        <v>0</v>
      </c>
      <c r="Q23" s="19">
        <f>[20]Vendedor14!$J$10</f>
        <v>0</v>
      </c>
      <c r="R23" s="15">
        <f>[20]Vendedor14!$K$10</f>
        <v>0</v>
      </c>
      <c r="S23" s="17">
        <f>[20]Vendedor14!$L$10</f>
        <v>0</v>
      </c>
      <c r="T23" s="18">
        <f t="shared" si="3"/>
        <v>0</v>
      </c>
      <c r="U23" s="15">
        <f t="shared" si="1"/>
        <v>0</v>
      </c>
      <c r="V23" s="15">
        <f t="shared" si="2"/>
        <v>0</v>
      </c>
      <c r="W23" s="15">
        <v>0</v>
      </c>
      <c r="X23" s="17">
        <f t="shared" si="4"/>
        <v>0</v>
      </c>
    </row>
    <row r="24" spans="1:24">
      <c r="A24" s="13" t="s">
        <v>33</v>
      </c>
      <c r="B24" s="14">
        <f>[21]Vendedor14!$J$4</f>
        <v>0</v>
      </c>
      <c r="C24" s="81">
        <f>[21]Vendedor14!$K$4</f>
        <v>0</v>
      </c>
      <c r="D24" s="82">
        <f>[21]Vendedor14!$L$4</f>
        <v>0</v>
      </c>
      <c r="E24" s="14">
        <f>[21]Vendedor14!$J$5</f>
        <v>0</v>
      </c>
      <c r="F24" s="81">
        <f>[21]Vendedor14!$K$5</f>
        <v>0</v>
      </c>
      <c r="G24" s="85">
        <f>[21]Vendedor14!$L$5</f>
        <v>0</v>
      </c>
      <c r="H24" s="19">
        <f>[21]Vendedor14!$J$6</f>
        <v>0</v>
      </c>
      <c r="I24" s="15">
        <f>[21]Vendedor14!$K$6</f>
        <v>0</v>
      </c>
      <c r="J24" s="17">
        <f>[21]Vendedor14!$L$6</f>
        <v>0</v>
      </c>
      <c r="K24" s="18">
        <f>[21]Vendedor14!$J$7</f>
        <v>0</v>
      </c>
      <c r="L24" s="15">
        <f>[21]Vendedor14!$K$7</f>
        <v>0</v>
      </c>
      <c r="M24" s="16">
        <f>[21]Vendedor14!$L$7</f>
        <v>0</v>
      </c>
      <c r="N24" s="19">
        <f>[21]Vendedor14!$J$8</f>
        <v>0</v>
      </c>
      <c r="O24" s="15">
        <f>[21]Vendedor14!$K$8</f>
        <v>0</v>
      </c>
      <c r="P24" s="17">
        <f>[21]Vendedor14!$L$8</f>
        <v>0</v>
      </c>
      <c r="Q24" s="19">
        <f>[21]Vendedor14!$J$10</f>
        <v>0</v>
      </c>
      <c r="R24" s="15">
        <f>[21]Vendedor14!$K$10</f>
        <v>0</v>
      </c>
      <c r="S24" s="17">
        <f>[21]Vendedor14!$L$10</f>
        <v>0</v>
      </c>
      <c r="T24" s="18">
        <f t="shared" si="3"/>
        <v>0</v>
      </c>
      <c r="U24" s="15">
        <f t="shared" si="1"/>
        <v>0</v>
      </c>
      <c r="V24" s="15">
        <f t="shared" si="2"/>
        <v>0</v>
      </c>
      <c r="W24" s="15">
        <v>0</v>
      </c>
      <c r="X24" s="17">
        <f t="shared" si="4"/>
        <v>0</v>
      </c>
    </row>
    <row r="25" spans="1:24">
      <c r="A25" s="20" t="s">
        <v>34</v>
      </c>
      <c r="B25" s="14">
        <f>[22]Vendedor14!$J$4</f>
        <v>0</v>
      </c>
      <c r="C25" s="81">
        <f>[22]Vendedor14!$K$4</f>
        <v>0</v>
      </c>
      <c r="D25" s="82">
        <f>[22]Vendedor14!$L$4</f>
        <v>0</v>
      </c>
      <c r="E25" s="14">
        <f>[22]Vendedor14!$J$5</f>
        <v>0</v>
      </c>
      <c r="F25" s="81">
        <f>[22]Vendedor14!$K$5</f>
        <v>0</v>
      </c>
      <c r="G25" s="85">
        <f>[22]Vendedor14!$L$5</f>
        <v>0</v>
      </c>
      <c r="H25" s="19">
        <f>[22]Vendedor14!$J$6</f>
        <v>0</v>
      </c>
      <c r="I25" s="15">
        <f>[22]Vendedor14!$K$6</f>
        <v>0</v>
      </c>
      <c r="J25" s="17">
        <f>[22]Vendedor14!$L$6</f>
        <v>0</v>
      </c>
      <c r="K25" s="18">
        <f>[22]Vendedor14!$J$7</f>
        <v>0</v>
      </c>
      <c r="L25" s="15">
        <f>[22]Vendedor14!$K$7</f>
        <v>0</v>
      </c>
      <c r="M25" s="16">
        <f>[22]Vendedor14!$L$7</f>
        <v>0</v>
      </c>
      <c r="N25" s="19">
        <f>[22]Vendedor14!$J$8</f>
        <v>0</v>
      </c>
      <c r="O25" s="15">
        <f>[22]Vendedor14!$K$8</f>
        <v>0</v>
      </c>
      <c r="P25" s="17">
        <f>[22]Vendedor14!$L$8</f>
        <v>0</v>
      </c>
      <c r="Q25" s="19">
        <f>[22]Vendedor14!$J$10</f>
        <v>0</v>
      </c>
      <c r="R25" s="15">
        <f>[22]Vendedor14!$K$10</f>
        <v>0</v>
      </c>
      <c r="S25" s="17">
        <f>[22]Vendedor14!$L$10</f>
        <v>0</v>
      </c>
      <c r="T25" s="18">
        <f t="shared" si="3"/>
        <v>0</v>
      </c>
      <c r="U25" s="15">
        <f t="shared" si="1"/>
        <v>0</v>
      </c>
      <c r="V25" s="15">
        <f t="shared" si="2"/>
        <v>0</v>
      </c>
      <c r="W25" s="15">
        <v>0</v>
      </c>
      <c r="X25" s="17">
        <f t="shared" si="4"/>
        <v>0</v>
      </c>
    </row>
    <row r="26" spans="1:24">
      <c r="A26" s="13" t="s">
        <v>35</v>
      </c>
      <c r="B26" s="14">
        <f>[23]Vendedor14!$J$4</f>
        <v>0</v>
      </c>
      <c r="C26" s="81">
        <f>[23]Vendedor14!$K$4</f>
        <v>0</v>
      </c>
      <c r="D26" s="82">
        <f>[23]Vendedor14!$L$4</f>
        <v>0</v>
      </c>
      <c r="E26" s="14">
        <f>[23]Vendedor14!$J$5</f>
        <v>0</v>
      </c>
      <c r="F26" s="81">
        <f>[23]Vendedor14!$K$5</f>
        <v>0</v>
      </c>
      <c r="G26" s="85">
        <f>[23]Vendedor14!$L$5</f>
        <v>0</v>
      </c>
      <c r="H26" s="19">
        <f>[23]Vendedor14!$J$6</f>
        <v>0</v>
      </c>
      <c r="I26" s="15">
        <f>[23]Vendedor14!$K$6</f>
        <v>0</v>
      </c>
      <c r="J26" s="17">
        <f>[23]Vendedor14!$L$6</f>
        <v>0</v>
      </c>
      <c r="K26" s="18">
        <f>[23]Vendedor14!$J$7</f>
        <v>0</v>
      </c>
      <c r="L26" s="15">
        <f>[23]Vendedor14!$K$7</f>
        <v>0</v>
      </c>
      <c r="M26" s="16">
        <f>[23]Vendedor14!$L$7</f>
        <v>0</v>
      </c>
      <c r="N26" s="19">
        <f>[23]Vendedor14!$J$8</f>
        <v>0</v>
      </c>
      <c r="O26" s="15">
        <f>[23]Vendedor14!$K$8</f>
        <v>0</v>
      </c>
      <c r="P26" s="17">
        <f>[23]Vendedor14!$L$8</f>
        <v>0</v>
      </c>
      <c r="Q26" s="19">
        <f>[23]Vendedor14!$J$10</f>
        <v>0</v>
      </c>
      <c r="R26" s="15">
        <f>[23]Vendedor14!$K$10</f>
        <v>0</v>
      </c>
      <c r="S26" s="17">
        <f>[23]Vendedor14!$L$10</f>
        <v>0</v>
      </c>
      <c r="T26" s="18">
        <f t="shared" si="3"/>
        <v>0</v>
      </c>
      <c r="U26" s="15">
        <f t="shared" si="1"/>
        <v>0</v>
      </c>
      <c r="V26" s="15">
        <f t="shared" si="2"/>
        <v>0</v>
      </c>
      <c r="W26" s="15">
        <v>0</v>
      </c>
      <c r="X26" s="17">
        <f t="shared" si="4"/>
        <v>0</v>
      </c>
    </row>
    <row r="27" spans="1:24">
      <c r="A27" s="20" t="s">
        <v>36</v>
      </c>
      <c r="B27" s="14">
        <f>[24]Vendedor14!$J$4</f>
        <v>0</v>
      </c>
      <c r="C27" s="81">
        <f>[24]Vendedor14!$K$4</f>
        <v>0</v>
      </c>
      <c r="D27" s="82">
        <f>[24]Vendedor14!$L$4</f>
        <v>0</v>
      </c>
      <c r="E27" s="14">
        <f>[24]Vendedor14!$J$5</f>
        <v>0</v>
      </c>
      <c r="F27" s="81">
        <f>[24]Vendedor14!$K$5</f>
        <v>0</v>
      </c>
      <c r="G27" s="85">
        <f>[24]Vendedor14!$L$5</f>
        <v>0</v>
      </c>
      <c r="H27" s="19">
        <f>[24]Vendedor14!$J$6</f>
        <v>0</v>
      </c>
      <c r="I27" s="15">
        <f>[24]Vendedor14!$K$6</f>
        <v>0</v>
      </c>
      <c r="J27" s="17">
        <f>[24]Vendedor14!$L$6</f>
        <v>0</v>
      </c>
      <c r="K27" s="18">
        <f>[24]Vendedor14!$J$7</f>
        <v>0</v>
      </c>
      <c r="L27" s="15">
        <f>[24]Vendedor14!$K$7</f>
        <v>0</v>
      </c>
      <c r="M27" s="16">
        <f>[24]Vendedor14!$L$7</f>
        <v>0</v>
      </c>
      <c r="N27" s="19">
        <f>[24]Vendedor14!$J$8</f>
        <v>0</v>
      </c>
      <c r="O27" s="15">
        <f>[24]Vendedor14!$K$8</f>
        <v>0</v>
      </c>
      <c r="P27" s="17">
        <f>[24]Vendedor14!$L$8</f>
        <v>0</v>
      </c>
      <c r="Q27" s="19">
        <f>[24]Vendedor14!$J$10</f>
        <v>0</v>
      </c>
      <c r="R27" s="15">
        <f>[24]Vendedor14!$K$10</f>
        <v>0</v>
      </c>
      <c r="S27" s="17">
        <f>[24]Vendedor14!$L$10</f>
        <v>0</v>
      </c>
      <c r="T27" s="18">
        <f t="shared" si="3"/>
        <v>0</v>
      </c>
      <c r="U27" s="15">
        <f t="shared" si="1"/>
        <v>0</v>
      </c>
      <c r="V27" s="15">
        <f t="shared" si="2"/>
        <v>0</v>
      </c>
      <c r="W27" s="15">
        <v>0</v>
      </c>
      <c r="X27" s="17">
        <f t="shared" si="4"/>
        <v>0</v>
      </c>
    </row>
    <row r="28" spans="1:24">
      <c r="A28" s="13" t="s">
        <v>37</v>
      </c>
      <c r="B28" s="14">
        <f>[25]Vendedor14!$J$4</f>
        <v>0</v>
      </c>
      <c r="C28" s="81">
        <f>[25]Vendedor14!$K$4</f>
        <v>0</v>
      </c>
      <c r="D28" s="82">
        <f>[25]Vendedor14!$L$4</f>
        <v>0</v>
      </c>
      <c r="E28" s="14">
        <f>[25]Vendedor14!$J$5</f>
        <v>0</v>
      </c>
      <c r="F28" s="81">
        <f>[25]Vendedor14!$K$5</f>
        <v>0</v>
      </c>
      <c r="G28" s="85">
        <f>[25]Vendedor14!$L$5</f>
        <v>0</v>
      </c>
      <c r="H28" s="19">
        <f>[25]Vendedor14!$J$6</f>
        <v>0</v>
      </c>
      <c r="I28" s="15">
        <f>[25]Vendedor14!$K$6</f>
        <v>0</v>
      </c>
      <c r="J28" s="17">
        <f>[25]Vendedor14!$L$6</f>
        <v>0</v>
      </c>
      <c r="K28" s="18">
        <f>[25]Vendedor14!$J$7</f>
        <v>0</v>
      </c>
      <c r="L28" s="15">
        <f>[25]Vendedor14!$K$7</f>
        <v>0</v>
      </c>
      <c r="M28" s="16">
        <f>[25]Vendedor14!$L$7</f>
        <v>0</v>
      </c>
      <c r="N28" s="19">
        <f>[25]Vendedor14!$J$8</f>
        <v>0</v>
      </c>
      <c r="O28" s="15">
        <f>[25]Vendedor14!$K$8</f>
        <v>0</v>
      </c>
      <c r="P28" s="17">
        <f>[25]Vendedor14!$L$8</f>
        <v>0</v>
      </c>
      <c r="Q28" s="19">
        <f>[25]Vendedor14!$J$10</f>
        <v>0</v>
      </c>
      <c r="R28" s="15">
        <f>[25]Vendedor14!$K$10</f>
        <v>0</v>
      </c>
      <c r="S28" s="17">
        <f>[25]Vendedor14!$L$10</f>
        <v>0</v>
      </c>
      <c r="T28" s="18">
        <f t="shared" si="3"/>
        <v>0</v>
      </c>
      <c r="U28" s="15">
        <f t="shared" si="1"/>
        <v>0</v>
      </c>
      <c r="V28" s="15">
        <f t="shared" si="2"/>
        <v>0</v>
      </c>
      <c r="W28" s="15">
        <v>0</v>
      </c>
      <c r="X28" s="17">
        <f t="shared" si="4"/>
        <v>0</v>
      </c>
    </row>
    <row r="29" spans="1:24">
      <c r="A29" s="20" t="s">
        <v>38</v>
      </c>
      <c r="B29" s="14">
        <f>[26]Vendedor14!$J$4</f>
        <v>0</v>
      </c>
      <c r="C29" s="81">
        <f>[26]Vendedor14!$K$4</f>
        <v>0</v>
      </c>
      <c r="D29" s="82">
        <f>[26]Vendedor14!$L$4</f>
        <v>0</v>
      </c>
      <c r="E29" s="14">
        <f>[26]Vendedor14!$J$5</f>
        <v>0</v>
      </c>
      <c r="F29" s="81">
        <f>[26]Vendedor14!$K$5</f>
        <v>0</v>
      </c>
      <c r="G29" s="85">
        <f>[26]Vendedor14!$L$5</f>
        <v>0</v>
      </c>
      <c r="H29" s="19">
        <f>[26]Vendedor14!$J$6</f>
        <v>0</v>
      </c>
      <c r="I29" s="15">
        <f>[26]Vendedor14!$K$6</f>
        <v>0</v>
      </c>
      <c r="J29" s="17">
        <f>[26]Vendedor14!$L$6</f>
        <v>0</v>
      </c>
      <c r="K29" s="18">
        <f>[26]Vendedor14!$J$7</f>
        <v>0</v>
      </c>
      <c r="L29" s="15">
        <f>[26]Vendedor14!$K$7</f>
        <v>0</v>
      </c>
      <c r="M29" s="16">
        <f>[26]Vendedor14!$L$7</f>
        <v>0</v>
      </c>
      <c r="N29" s="19">
        <f>[26]Vendedor14!$J$8</f>
        <v>0</v>
      </c>
      <c r="O29" s="15">
        <f>[26]Vendedor14!$K$8</f>
        <v>0</v>
      </c>
      <c r="P29" s="17">
        <f>[26]Vendedor14!$L$8</f>
        <v>0</v>
      </c>
      <c r="Q29" s="19">
        <f>[26]Vendedor14!$J$10</f>
        <v>0</v>
      </c>
      <c r="R29" s="15">
        <f>[26]Vendedor14!$K$10</f>
        <v>0</v>
      </c>
      <c r="S29" s="17">
        <f>[26]Vendedor14!$L$10</f>
        <v>0</v>
      </c>
      <c r="T29" s="18">
        <f t="shared" si="3"/>
        <v>0</v>
      </c>
      <c r="U29" s="15">
        <f t="shared" si="1"/>
        <v>0</v>
      </c>
      <c r="V29" s="15">
        <f t="shared" si="2"/>
        <v>0</v>
      </c>
      <c r="W29" s="15">
        <v>0</v>
      </c>
      <c r="X29" s="17">
        <f t="shared" si="4"/>
        <v>0</v>
      </c>
    </row>
    <row r="30" spans="1:24">
      <c r="A30" s="13" t="s">
        <v>39</v>
      </c>
      <c r="B30" s="14">
        <f>[27]Vendedor14!$J$4</f>
        <v>0</v>
      </c>
      <c r="C30" s="81">
        <f>[27]Vendedor14!$K$4</f>
        <v>0</v>
      </c>
      <c r="D30" s="82">
        <f>[27]Vendedor14!$L$4</f>
        <v>0</v>
      </c>
      <c r="E30" s="14">
        <f>[27]Vendedor14!$J$5</f>
        <v>0</v>
      </c>
      <c r="F30" s="81">
        <f>[27]Vendedor14!$K$5</f>
        <v>0</v>
      </c>
      <c r="G30" s="85">
        <f>[27]Vendedor14!$L$5</f>
        <v>0</v>
      </c>
      <c r="H30" s="19">
        <f>[27]Vendedor14!$J$6</f>
        <v>0</v>
      </c>
      <c r="I30" s="15">
        <f>[27]Vendedor14!$K$6</f>
        <v>0</v>
      </c>
      <c r="J30" s="17">
        <f>[27]Vendedor14!$L$6</f>
        <v>0</v>
      </c>
      <c r="K30" s="18">
        <f>[27]Vendedor14!$J$7</f>
        <v>0</v>
      </c>
      <c r="L30" s="15">
        <f>[27]Vendedor14!$K$7</f>
        <v>0</v>
      </c>
      <c r="M30" s="16">
        <f>[27]Vendedor14!$L$7</f>
        <v>0</v>
      </c>
      <c r="N30" s="19">
        <f>[27]Vendedor14!$J$8</f>
        <v>0</v>
      </c>
      <c r="O30" s="15">
        <f>[27]Vendedor14!$K$8</f>
        <v>0</v>
      </c>
      <c r="P30" s="17">
        <f>[27]Vendedor14!$L$8</f>
        <v>0</v>
      </c>
      <c r="Q30" s="19">
        <f>[27]Vendedor14!$J$10</f>
        <v>0</v>
      </c>
      <c r="R30" s="15">
        <f>[27]Vendedor14!$K$10</f>
        <v>0</v>
      </c>
      <c r="S30" s="17">
        <f>[27]Vendedor14!$L$10</f>
        <v>0</v>
      </c>
      <c r="T30" s="18">
        <f t="shared" si="3"/>
        <v>0</v>
      </c>
      <c r="U30" s="15">
        <f t="shared" si="1"/>
        <v>0</v>
      </c>
      <c r="V30" s="15">
        <f t="shared" si="2"/>
        <v>0</v>
      </c>
      <c r="W30" s="15">
        <v>0</v>
      </c>
      <c r="X30" s="17">
        <f t="shared" si="4"/>
        <v>0</v>
      </c>
    </row>
    <row r="31" spans="1:24">
      <c r="A31" s="20" t="s">
        <v>40</v>
      </c>
      <c r="B31" s="14">
        <f>[28]Vendedor14!$J$4</f>
        <v>0</v>
      </c>
      <c r="C31" s="81">
        <f>[28]Vendedor14!$K$4</f>
        <v>0</v>
      </c>
      <c r="D31" s="82">
        <f>[28]Vendedor14!$L$4</f>
        <v>0</v>
      </c>
      <c r="E31" s="14">
        <f>[28]Vendedor14!$J$5</f>
        <v>0</v>
      </c>
      <c r="F31" s="81">
        <f>[28]Vendedor14!$K$5</f>
        <v>0</v>
      </c>
      <c r="G31" s="85">
        <f>[28]Vendedor14!$L$5</f>
        <v>0</v>
      </c>
      <c r="H31" s="19">
        <f>[28]Vendedor14!$J$6</f>
        <v>0</v>
      </c>
      <c r="I31" s="15">
        <f>[28]Vendedor14!$K$6</f>
        <v>0</v>
      </c>
      <c r="J31" s="17">
        <f>[28]Vendedor14!$L$6</f>
        <v>0</v>
      </c>
      <c r="K31" s="18">
        <f>[28]Vendedor14!$J$7</f>
        <v>0</v>
      </c>
      <c r="L31" s="15">
        <f>[28]Vendedor14!$K$7</f>
        <v>0</v>
      </c>
      <c r="M31" s="16">
        <f>[28]Vendedor14!$L$7</f>
        <v>0</v>
      </c>
      <c r="N31" s="19">
        <f>[28]Vendedor14!$J$8</f>
        <v>0</v>
      </c>
      <c r="O31" s="15">
        <f>[28]Vendedor14!$K$8</f>
        <v>0</v>
      </c>
      <c r="P31" s="17">
        <f>[28]Vendedor14!$L$8</f>
        <v>0</v>
      </c>
      <c r="Q31" s="19">
        <f>[28]Vendedor14!$J$10</f>
        <v>0</v>
      </c>
      <c r="R31" s="15">
        <f>[28]Vendedor14!$K$10</f>
        <v>0</v>
      </c>
      <c r="S31" s="17">
        <f>[28]Vendedor14!$L$10</f>
        <v>0</v>
      </c>
      <c r="T31" s="18">
        <f t="shared" si="3"/>
        <v>0</v>
      </c>
      <c r="U31" s="15">
        <f t="shared" si="1"/>
        <v>0</v>
      </c>
      <c r="V31" s="15">
        <f t="shared" si="2"/>
        <v>0</v>
      </c>
      <c r="W31" s="15">
        <v>0</v>
      </c>
      <c r="X31" s="17">
        <f t="shared" si="4"/>
        <v>0</v>
      </c>
    </row>
    <row r="32" spans="1:24">
      <c r="A32" s="20" t="s">
        <v>41</v>
      </c>
      <c r="B32" s="14">
        <f>[29]Vendedor14!$J$4</f>
        <v>0</v>
      </c>
      <c r="C32" s="81">
        <f>[29]Vendedor14!$K$4</f>
        <v>0</v>
      </c>
      <c r="D32" s="82">
        <f>[29]Vendedor14!$L$4</f>
        <v>0</v>
      </c>
      <c r="E32" s="14">
        <f>[29]Vendedor14!$J$5</f>
        <v>0</v>
      </c>
      <c r="F32" s="81">
        <f>[29]Vendedor14!$K$5</f>
        <v>0</v>
      </c>
      <c r="G32" s="85">
        <f>[29]Vendedor14!$L$5</f>
        <v>0</v>
      </c>
      <c r="H32" s="19">
        <f>[29]Vendedor14!$J$6</f>
        <v>0</v>
      </c>
      <c r="I32" s="15">
        <f>[29]Vendedor14!$K$6</f>
        <v>0</v>
      </c>
      <c r="J32" s="17">
        <f>[29]Vendedor14!$L$6</f>
        <v>0</v>
      </c>
      <c r="K32" s="18">
        <f>[29]Vendedor14!$J$7</f>
        <v>0</v>
      </c>
      <c r="L32" s="15">
        <f>[29]Vendedor14!$K$7</f>
        <v>0</v>
      </c>
      <c r="M32" s="16">
        <f>[29]Vendedor14!$L$7</f>
        <v>0</v>
      </c>
      <c r="N32" s="19">
        <f>[29]Vendedor14!$J$8</f>
        <v>0</v>
      </c>
      <c r="O32" s="15">
        <f>[29]Vendedor14!$K$8</f>
        <v>0</v>
      </c>
      <c r="P32" s="17">
        <f>[29]Vendedor14!$L$8</f>
        <v>0</v>
      </c>
      <c r="Q32" s="19">
        <f>[29]Vendedor14!$J$10</f>
        <v>0</v>
      </c>
      <c r="R32" s="15">
        <f>[29]Vendedor14!$K$10</f>
        <v>0</v>
      </c>
      <c r="S32" s="17">
        <f>[29]Vendedor14!$L$10</f>
        <v>0</v>
      </c>
      <c r="T32" s="18">
        <f t="shared" si="3"/>
        <v>0</v>
      </c>
      <c r="U32" s="15">
        <f t="shared" si="1"/>
        <v>0</v>
      </c>
      <c r="V32" s="15">
        <f t="shared" si="2"/>
        <v>0</v>
      </c>
      <c r="W32" s="15">
        <v>0</v>
      </c>
      <c r="X32" s="17">
        <f t="shared" si="4"/>
        <v>0</v>
      </c>
    </row>
    <row r="33" spans="1:24">
      <c r="A33" s="13" t="s">
        <v>42</v>
      </c>
      <c r="B33" s="14">
        <f>[30]Vendedor14!$J$4</f>
        <v>0</v>
      </c>
      <c r="C33" s="81">
        <f>[30]Vendedor14!$K$4</f>
        <v>0</v>
      </c>
      <c r="D33" s="82">
        <f>[30]Vendedor14!$L$4</f>
        <v>0</v>
      </c>
      <c r="E33" s="14">
        <f>[30]Vendedor14!$J$5</f>
        <v>0</v>
      </c>
      <c r="F33" s="81">
        <f>[30]Vendedor14!$K$5</f>
        <v>0</v>
      </c>
      <c r="G33" s="85">
        <f>[30]Vendedor14!$L$5</f>
        <v>0</v>
      </c>
      <c r="H33" s="19">
        <f>[30]Vendedor14!$J$6</f>
        <v>0</v>
      </c>
      <c r="I33" s="15">
        <f>[30]Vendedor14!$K$6</f>
        <v>0</v>
      </c>
      <c r="J33" s="17">
        <f>[30]Vendedor14!$L$6</f>
        <v>0</v>
      </c>
      <c r="K33" s="18">
        <f>[30]Vendedor14!$J$7</f>
        <v>0</v>
      </c>
      <c r="L33" s="15">
        <f>[30]Vendedor14!$K$7</f>
        <v>0</v>
      </c>
      <c r="M33" s="16">
        <f>[30]Vendedor14!$L$7</f>
        <v>0</v>
      </c>
      <c r="N33" s="19">
        <f>[30]Vendedor14!$J$8</f>
        <v>0</v>
      </c>
      <c r="O33" s="15">
        <f>[30]Vendedor14!$K$8</f>
        <v>0</v>
      </c>
      <c r="P33" s="17">
        <f>[30]Vendedor14!$L$8</f>
        <v>0</v>
      </c>
      <c r="Q33" s="19">
        <f>[30]Vendedor14!$J$10</f>
        <v>0</v>
      </c>
      <c r="R33" s="15">
        <f>[30]Vendedor14!$K$10</f>
        <v>0</v>
      </c>
      <c r="S33" s="17">
        <f>[30]Vendedor14!$L$10</f>
        <v>0</v>
      </c>
      <c r="T33" s="18">
        <f t="shared" si="3"/>
        <v>0</v>
      </c>
      <c r="U33" s="15">
        <f t="shared" si="1"/>
        <v>0</v>
      </c>
      <c r="V33" s="15">
        <f t="shared" si="2"/>
        <v>0</v>
      </c>
      <c r="W33" s="15">
        <v>0</v>
      </c>
      <c r="X33" s="17">
        <f t="shared" si="4"/>
        <v>0</v>
      </c>
    </row>
    <row r="34" spans="1:24">
      <c r="A34" s="20" t="s">
        <v>43</v>
      </c>
      <c r="B34" s="14">
        <f>[31]Vendedor14!$J$4</f>
        <v>0</v>
      </c>
      <c r="C34" s="81">
        <f>[31]Vendedor14!$K$4</f>
        <v>0</v>
      </c>
      <c r="D34" s="82">
        <f>[31]Vendedor14!$L$4</f>
        <v>0</v>
      </c>
      <c r="E34" s="14">
        <f>[31]Vendedor14!$J$5</f>
        <v>0</v>
      </c>
      <c r="F34" s="81">
        <f>[31]Vendedor14!$K$5</f>
        <v>0</v>
      </c>
      <c r="G34" s="85">
        <f>[31]Vendedor14!$L$5</f>
        <v>0</v>
      </c>
      <c r="H34" s="19">
        <f>[31]Vendedor14!$J$6</f>
        <v>0</v>
      </c>
      <c r="I34" s="15">
        <f>[31]Vendedor14!$K$6</f>
        <v>0</v>
      </c>
      <c r="J34" s="17">
        <f>[31]Vendedor14!$L$6</f>
        <v>0</v>
      </c>
      <c r="K34" s="18">
        <f>[31]Vendedor14!$J$7</f>
        <v>0</v>
      </c>
      <c r="L34" s="15">
        <f>[31]Vendedor14!$K$7</f>
        <v>0</v>
      </c>
      <c r="M34" s="16">
        <f>[31]Vendedor14!$L$7</f>
        <v>0</v>
      </c>
      <c r="N34" s="19">
        <f>[31]Vendedor14!$J$8</f>
        <v>0</v>
      </c>
      <c r="O34" s="15">
        <f>[31]Vendedor14!$K$8</f>
        <v>0</v>
      </c>
      <c r="P34" s="17">
        <f>[31]Vendedor14!$L$8</f>
        <v>0</v>
      </c>
      <c r="Q34" s="19">
        <f>[31]Vendedor14!$J$10</f>
        <v>0</v>
      </c>
      <c r="R34" s="15">
        <f>[31]Vendedor14!$K$10</f>
        <v>0</v>
      </c>
      <c r="S34" s="17">
        <f>[31]Vendedor14!$L$10</f>
        <v>0</v>
      </c>
      <c r="T34" s="18">
        <f t="shared" si="3"/>
        <v>0</v>
      </c>
      <c r="U34" s="15">
        <f t="shared" si="1"/>
        <v>0</v>
      </c>
      <c r="V34" s="15">
        <f t="shared" si="2"/>
        <v>0</v>
      </c>
      <c r="W34" s="15">
        <v>0</v>
      </c>
      <c r="X34" s="17">
        <f t="shared" si="4"/>
        <v>0</v>
      </c>
    </row>
    <row r="35" spans="1:24">
      <c r="A35" s="13" t="s">
        <v>44</v>
      </c>
      <c r="B35" s="14">
        <f>[10]Vendedor14!$J$4</f>
        <v>0</v>
      </c>
      <c r="C35" s="81">
        <f>[10]Vendedor14!$K$4</f>
        <v>0</v>
      </c>
      <c r="D35" s="82">
        <f>[10]Vendedor14!$L$4</f>
        <v>0</v>
      </c>
      <c r="E35" s="14">
        <f>[10]Vendedor14!$J$5</f>
        <v>0</v>
      </c>
      <c r="F35" s="81">
        <f>[10]Vendedor14!$K$5</f>
        <v>0</v>
      </c>
      <c r="G35" s="85">
        <f>[10]Vendedor14!$L$5</f>
        <v>0</v>
      </c>
      <c r="H35" s="19">
        <f>[10]Vendedor14!$J$6</f>
        <v>0</v>
      </c>
      <c r="I35" s="15">
        <f>[10]Vendedor14!$K$6</f>
        <v>0</v>
      </c>
      <c r="J35" s="17">
        <f>[10]Vendedor14!$L$6</f>
        <v>0</v>
      </c>
      <c r="K35" s="18">
        <f>[10]Vendedor14!$J$7</f>
        <v>0</v>
      </c>
      <c r="L35" s="15">
        <f>[10]Vendedor14!$K$7</f>
        <v>0</v>
      </c>
      <c r="M35" s="16">
        <f>[10]Vendedor14!$L$7</f>
        <v>0</v>
      </c>
      <c r="N35" s="19">
        <f>[10]Vendedor14!$J$8</f>
        <v>0</v>
      </c>
      <c r="O35" s="15">
        <f>[10]Vendedor14!$K$8</f>
        <v>0</v>
      </c>
      <c r="P35" s="17">
        <f>[10]Vendedor14!$L$8</f>
        <v>0</v>
      </c>
      <c r="Q35" s="19">
        <f>[10]Vendedor14!$J$10</f>
        <v>0</v>
      </c>
      <c r="R35" s="15">
        <f>[10]Vendedor14!$K$10</f>
        <v>0</v>
      </c>
      <c r="S35" s="17">
        <f>[10]Vendedor14!$L$10</f>
        <v>0</v>
      </c>
      <c r="T35" s="18">
        <f t="shared" si="3"/>
        <v>0</v>
      </c>
      <c r="U35" s="15">
        <f t="shared" si="1"/>
        <v>0</v>
      </c>
      <c r="V35" s="15">
        <f t="shared" si="2"/>
        <v>0</v>
      </c>
      <c r="W35" s="15">
        <v>0</v>
      </c>
      <c r="X35" s="17">
        <f t="shared" si="4"/>
        <v>0</v>
      </c>
    </row>
    <row r="36" spans="1:24" ht="15.75" thickBot="1">
      <c r="A36" s="20" t="s">
        <v>45</v>
      </c>
      <c r="B36" s="21">
        <f>[11]Vendedor14!$J$4</f>
        <v>0</v>
      </c>
      <c r="C36" s="83">
        <f>[11]Vendedor14!$K$4</f>
        <v>0</v>
      </c>
      <c r="D36" s="84">
        <f>[11]Vendedor14!$L$4</f>
        <v>0</v>
      </c>
      <c r="E36" s="21">
        <f>[11]Vendedor14!$J$5</f>
        <v>0</v>
      </c>
      <c r="F36" s="83">
        <f>[11]Vendedor14!$K$5</f>
        <v>0</v>
      </c>
      <c r="G36" s="86">
        <f>[11]Vendedor14!$L$5</f>
        <v>0</v>
      </c>
      <c r="H36" s="26">
        <f>[11]Vendedor14!$J$6</f>
        <v>0</v>
      </c>
      <c r="I36" s="22">
        <f>[11]Vendedor14!$K$6</f>
        <v>0</v>
      </c>
      <c r="J36" s="24">
        <f>[11]Vendedor14!$L$6</f>
        <v>0</v>
      </c>
      <c r="K36" s="25">
        <f>[11]Vendedor14!$J$7</f>
        <v>0</v>
      </c>
      <c r="L36" s="22">
        <f>[11]Vendedor14!$K$7</f>
        <v>0</v>
      </c>
      <c r="M36" s="23">
        <f>[11]Vendedor14!$L$7</f>
        <v>0</v>
      </c>
      <c r="N36" s="26">
        <f>[11]Vendedor14!$J$8</f>
        <v>0</v>
      </c>
      <c r="O36" s="22">
        <f>[11]Vendedor14!$K$8</f>
        <v>0</v>
      </c>
      <c r="P36" s="24">
        <f>[11]Vendedor14!$L$8</f>
        <v>0</v>
      </c>
      <c r="Q36" s="26">
        <f>[11]Vendedor14!$J$10</f>
        <v>0</v>
      </c>
      <c r="R36" s="22">
        <f>[11]Vendedor14!$K$10</f>
        <v>0</v>
      </c>
      <c r="S36" s="24">
        <f>[11]Vendedor14!$L$10</f>
        <v>0</v>
      </c>
      <c r="T36" s="25">
        <f t="shared" si="3"/>
        <v>0</v>
      </c>
      <c r="U36" s="22">
        <f t="shared" si="1"/>
        <v>0</v>
      </c>
      <c r="V36" s="22">
        <f t="shared" si="2"/>
        <v>0</v>
      </c>
      <c r="W36" s="22">
        <v>0</v>
      </c>
      <c r="X36" s="24">
        <f t="shared" si="4"/>
        <v>0</v>
      </c>
    </row>
    <row r="37" spans="1:24" ht="16.5" thickBot="1">
      <c r="A37" s="5" t="s">
        <v>46</v>
      </c>
      <c r="B37" s="27">
        <f t="shared" ref="B37:J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77">
        <f t="shared" ref="K37:M37" si="6">SUM(K6:K36)</f>
        <v>0</v>
      </c>
      <c r="L37" s="32">
        <f t="shared" si="6"/>
        <v>0</v>
      </c>
      <c r="M37" s="78">
        <f t="shared" si="6"/>
        <v>0</v>
      </c>
      <c r="N37" s="77">
        <f t="shared" ref="N37:P37" si="7">SUM(N6:N36)</f>
        <v>0</v>
      </c>
      <c r="O37" s="32">
        <f t="shared" si="7"/>
        <v>0</v>
      </c>
      <c r="P37" s="78">
        <f t="shared" si="7"/>
        <v>0</v>
      </c>
      <c r="Q37" s="77">
        <f t="shared" ref="Q37:S37" si="8">SUM(Q6:Q36)</f>
        <v>0</v>
      </c>
      <c r="R37" s="32">
        <f t="shared" si="8"/>
        <v>0</v>
      </c>
      <c r="S37" s="78">
        <f t="shared" si="8"/>
        <v>0</v>
      </c>
      <c r="T37" s="60">
        <f>SUM(T6:T36)</f>
        <v>0</v>
      </c>
      <c r="U37" s="32">
        <f>SUM(U6:U36)</f>
        <v>0</v>
      </c>
      <c r="V37" s="32">
        <f>SUM(V6:V36)</f>
        <v>0</v>
      </c>
      <c r="W37" s="32">
        <f>SUM(W5:W36)</f>
        <v>0</v>
      </c>
      <c r="X37" s="33">
        <f>SUM(X5:X36)</f>
        <v>0</v>
      </c>
    </row>
  </sheetData>
  <mergeCells count="2">
    <mergeCell ref="B2:D2"/>
    <mergeCell ref="I1:U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S37"/>
  <sheetViews>
    <sheetView showGridLines="0" zoomScale="90" zoomScaleNormal="90" workbookViewId="0">
      <selection activeCell="B5" sqref="B5"/>
    </sheetView>
  </sheetViews>
  <sheetFormatPr baseColWidth="10" defaultColWidth="11.42578125" defaultRowHeight="15"/>
  <cols>
    <col min="1" max="1" width="10.140625" style="1" customWidth="1"/>
    <col min="2" max="2" width="10.5703125" style="1" customWidth="1"/>
    <col min="3" max="3" width="9.7109375" style="1" bestFit="1" customWidth="1"/>
    <col min="4" max="4" width="11.140625" style="1" customWidth="1"/>
    <col min="5" max="5" width="11.85546875" style="1" customWidth="1"/>
    <col min="6" max="6" width="10.85546875" style="1" customWidth="1"/>
    <col min="7" max="19" width="11.85546875" style="1" customWidth="1"/>
    <col min="20" max="22" width="12.85546875" style="1" customWidth="1"/>
    <col min="23" max="23" width="11.85546875" style="1" customWidth="1"/>
    <col min="24" max="24" width="11.7109375" style="1" bestFit="1" customWidth="1"/>
    <col min="25" max="25" width="5.5703125" style="1" customWidth="1"/>
    <col min="26" max="26" width="11.42578125" style="1" customWidth="1"/>
    <col min="27" max="27" width="12.5703125" style="1" customWidth="1"/>
    <col min="28" max="1033" width="11.42578125" style="1"/>
  </cols>
  <sheetData>
    <row r="1" spans="1:24" ht="15.75" thickBot="1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6"/>
    </row>
    <row r="2" spans="1:24" ht="19.5" thickBot="1">
      <c r="A2" s="2" t="s">
        <v>1</v>
      </c>
      <c r="B2" s="137" t="s">
        <v>85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103</v>
      </c>
      <c r="T2" s="4">
        <v>0.12</v>
      </c>
    </row>
    <row r="3" spans="1:24" ht="15.75" thickBot="1"/>
    <row r="4" spans="1:24" ht="30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96</v>
      </c>
      <c r="O4" s="7" t="s">
        <v>95</v>
      </c>
      <c r="P4" s="10" t="s">
        <v>97</v>
      </c>
      <c r="Q4" s="9" t="s">
        <v>92</v>
      </c>
      <c r="R4" s="7" t="s">
        <v>93</v>
      </c>
      <c r="S4" s="10" t="s">
        <v>94</v>
      </c>
      <c r="T4" s="6" t="s">
        <v>15</v>
      </c>
      <c r="U4" s="7" t="s">
        <v>16</v>
      </c>
      <c r="V4" s="7" t="s">
        <v>17</v>
      </c>
      <c r="W4" s="11" t="s">
        <v>18</v>
      </c>
      <c r="X4" s="12" t="s">
        <v>19</v>
      </c>
    </row>
    <row r="5" spans="1:24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91"/>
      <c r="R5" s="91"/>
      <c r="S5" s="91"/>
      <c r="T5" s="67"/>
      <c r="U5" s="57"/>
      <c r="V5" s="57"/>
      <c r="W5" s="69"/>
      <c r="X5" s="70">
        <f t="shared" ref="X5" si="0">+T5-U5-V5+W5</f>
        <v>0</v>
      </c>
    </row>
    <row r="6" spans="1:24">
      <c r="A6" s="20" t="s">
        <v>49</v>
      </c>
      <c r="B6" s="53">
        <f>[1]Vendedor15!$J$4</f>
        <v>0</v>
      </c>
      <c r="C6" s="87">
        <f>[1]Vendedor15!$K$4</f>
        <v>0</v>
      </c>
      <c r="D6" s="88">
        <f>[1]Vendedor15!$L$4</f>
        <v>0</v>
      </c>
      <c r="E6" s="53">
        <f>[1]Vendedor15!$J$5</f>
        <v>0</v>
      </c>
      <c r="F6" s="87">
        <f>[1]Vendedor15!$K$5</f>
        <v>0</v>
      </c>
      <c r="G6" s="89">
        <f>[1]Vendedor15!$L$5</f>
        <v>0</v>
      </c>
      <c r="H6" s="59">
        <f>[1]Vendedor15!$J$6</f>
        <v>0</v>
      </c>
      <c r="I6" s="58">
        <f>[1]Vendedor15!$K$6</f>
        <v>0</v>
      </c>
      <c r="J6" s="55">
        <f>[1]Vendedor15!$L$6</f>
        <v>0</v>
      </c>
      <c r="K6" s="61">
        <f>[1]Vendedor15!$J$7</f>
        <v>0</v>
      </c>
      <c r="L6" s="58">
        <f>[1]Vendedor15!$K$7</f>
        <v>0</v>
      </c>
      <c r="M6" s="54">
        <f>[1]Vendedor15!$L$7</f>
        <v>0</v>
      </c>
      <c r="N6" s="59">
        <f>[1]Vendedor15!$J$8</f>
        <v>0</v>
      </c>
      <c r="O6" s="58">
        <f>[1]Vendedor15!$K$8</f>
        <v>0</v>
      </c>
      <c r="P6" s="55">
        <f>[1]Vendedor15!$L$8</f>
        <v>0</v>
      </c>
      <c r="Q6" s="59">
        <f>[1]Vendedor15!$J$10</f>
        <v>0</v>
      </c>
      <c r="R6" s="58">
        <f>[1]Vendedor15!$K$10</f>
        <v>0</v>
      </c>
      <c r="S6" s="55">
        <f>[1]Vendedor15!$L$10</f>
        <v>0</v>
      </c>
      <c r="T6" s="61">
        <f t="shared" ref="T6:T24" si="1">+B6+E6+H6+K6+N6+Q6</f>
        <v>0</v>
      </c>
      <c r="U6" s="58">
        <f t="shared" ref="U6:U36" si="2">+C6+F6+I6+L6+O6+R6</f>
        <v>0</v>
      </c>
      <c r="V6" s="58">
        <f t="shared" ref="V6:V36" si="3">+D6+G6+J6+M6+P6+S6</f>
        <v>0</v>
      </c>
      <c r="W6" s="58">
        <v>0</v>
      </c>
      <c r="X6" s="55">
        <f t="shared" ref="X6:X36" si="4">+T6-U6-V6+W6</f>
        <v>0</v>
      </c>
    </row>
    <row r="7" spans="1:24">
      <c r="A7" s="13" t="s">
        <v>50</v>
      </c>
      <c r="B7" s="14">
        <f>[2]Vendedor15!$J$4</f>
        <v>0</v>
      </c>
      <c r="C7" s="81">
        <f>[2]Vendedor15!$K$4</f>
        <v>0</v>
      </c>
      <c r="D7" s="82">
        <f>[2]Vendedor15!$L$4</f>
        <v>0</v>
      </c>
      <c r="E7" s="14">
        <f>[2]Vendedor15!$J$5</f>
        <v>0</v>
      </c>
      <c r="F7" s="81">
        <f>[2]Vendedor15!$K$5</f>
        <v>0</v>
      </c>
      <c r="G7" s="85">
        <f>[2]Vendedor15!$L$5</f>
        <v>0</v>
      </c>
      <c r="H7" s="19">
        <f>[2]Vendedor15!$J$6</f>
        <v>0</v>
      </c>
      <c r="I7" s="15">
        <f>[2]Vendedor15!$K$6</f>
        <v>0</v>
      </c>
      <c r="J7" s="17">
        <f>[2]Vendedor15!$L$6</f>
        <v>0</v>
      </c>
      <c r="K7" s="18">
        <f>[2]Vendedor15!$J$7</f>
        <v>0</v>
      </c>
      <c r="L7" s="15">
        <f>[2]Vendedor15!$K$7</f>
        <v>0</v>
      </c>
      <c r="M7" s="16">
        <f>[2]Vendedor15!$L$7</f>
        <v>0</v>
      </c>
      <c r="N7" s="19">
        <f>[2]Vendedor15!$J$8</f>
        <v>0</v>
      </c>
      <c r="O7" s="15">
        <f>[2]Vendedor15!$K$8</f>
        <v>0</v>
      </c>
      <c r="P7" s="17">
        <f>[2]Vendedor15!$L$8</f>
        <v>0</v>
      </c>
      <c r="Q7" s="19">
        <f>[2]Vendedor15!$J$10</f>
        <v>0</v>
      </c>
      <c r="R7" s="15">
        <f>[2]Vendedor15!$K$10</f>
        <v>0</v>
      </c>
      <c r="S7" s="17">
        <f>[2]Vendedor15!$L$10</f>
        <v>0</v>
      </c>
      <c r="T7" s="18">
        <f t="shared" si="1"/>
        <v>0</v>
      </c>
      <c r="U7" s="15">
        <f t="shared" si="2"/>
        <v>0</v>
      </c>
      <c r="V7" s="15">
        <f t="shared" si="3"/>
        <v>0</v>
      </c>
      <c r="W7" s="15">
        <v>0</v>
      </c>
      <c r="X7" s="17">
        <f t="shared" si="4"/>
        <v>0</v>
      </c>
    </row>
    <row r="8" spans="1:24">
      <c r="A8" s="20" t="s">
        <v>51</v>
      </c>
      <c r="B8" s="14">
        <f>[3]Vendedor15!$J$4</f>
        <v>0</v>
      </c>
      <c r="C8" s="81">
        <f>[3]Vendedor15!$K$4</f>
        <v>0</v>
      </c>
      <c r="D8" s="82">
        <f>[3]Vendedor15!$L$4</f>
        <v>0</v>
      </c>
      <c r="E8" s="14">
        <f>[3]Vendedor15!$J$5</f>
        <v>0</v>
      </c>
      <c r="F8" s="81">
        <f>[3]Vendedor15!$K$5</f>
        <v>0</v>
      </c>
      <c r="G8" s="85">
        <f>[3]Vendedor15!$L$5</f>
        <v>0</v>
      </c>
      <c r="H8" s="19">
        <f>[3]Vendedor15!$J$6</f>
        <v>0</v>
      </c>
      <c r="I8" s="15">
        <f>[3]Vendedor15!$K$6</f>
        <v>0</v>
      </c>
      <c r="J8" s="17">
        <f>[3]Vendedor15!$L$6</f>
        <v>0</v>
      </c>
      <c r="K8" s="18">
        <f>[3]Vendedor15!$J$7</f>
        <v>0</v>
      </c>
      <c r="L8" s="15">
        <f>[3]Vendedor15!$K$7</f>
        <v>0</v>
      </c>
      <c r="M8" s="16">
        <f>[3]Vendedor15!$L$7</f>
        <v>0</v>
      </c>
      <c r="N8" s="19">
        <f>[3]Vendedor15!$J$8</f>
        <v>0</v>
      </c>
      <c r="O8" s="15">
        <f>[3]Vendedor15!$K$8</f>
        <v>0</v>
      </c>
      <c r="P8" s="17">
        <f>[3]Vendedor15!$L$8</f>
        <v>0</v>
      </c>
      <c r="Q8" s="19">
        <f>[3]Vendedor15!$J$10</f>
        <v>0</v>
      </c>
      <c r="R8" s="15">
        <f>[3]Vendedor15!$K$10</f>
        <v>0</v>
      </c>
      <c r="S8" s="17">
        <f>[3]Vendedor15!$L$10</f>
        <v>0</v>
      </c>
      <c r="T8" s="18">
        <f t="shared" si="1"/>
        <v>0</v>
      </c>
      <c r="U8" s="15">
        <f t="shared" si="2"/>
        <v>0</v>
      </c>
      <c r="V8" s="15">
        <f t="shared" si="3"/>
        <v>0</v>
      </c>
      <c r="W8" s="15">
        <v>0</v>
      </c>
      <c r="X8" s="17">
        <f t="shared" si="4"/>
        <v>0</v>
      </c>
    </row>
    <row r="9" spans="1:24">
      <c r="A9" s="13" t="s">
        <v>52</v>
      </c>
      <c r="B9" s="14">
        <f>[4]Vendedor15!$J$4</f>
        <v>0</v>
      </c>
      <c r="C9" s="81">
        <f>[4]Vendedor15!$K$4</f>
        <v>0</v>
      </c>
      <c r="D9" s="82">
        <f>[4]Vendedor15!$L$4</f>
        <v>0</v>
      </c>
      <c r="E9" s="14">
        <f>[4]Vendedor15!$J$5</f>
        <v>0</v>
      </c>
      <c r="F9" s="81">
        <f>[4]Vendedor15!$K$5</f>
        <v>0</v>
      </c>
      <c r="G9" s="85">
        <f>[4]Vendedor15!$L$5</f>
        <v>0</v>
      </c>
      <c r="H9" s="19">
        <f>[4]Vendedor15!$J$6</f>
        <v>0</v>
      </c>
      <c r="I9" s="15">
        <f>[4]Vendedor15!$K$6</f>
        <v>0</v>
      </c>
      <c r="J9" s="17">
        <f>[4]Vendedor15!$L$6</f>
        <v>0</v>
      </c>
      <c r="K9" s="18">
        <f>[4]Vendedor15!$J$7</f>
        <v>0</v>
      </c>
      <c r="L9" s="15">
        <f>[4]Vendedor15!$K$7</f>
        <v>0</v>
      </c>
      <c r="M9" s="16">
        <f>[4]Vendedor15!$L$7</f>
        <v>0</v>
      </c>
      <c r="N9" s="19">
        <f>[4]Vendedor15!$J$8</f>
        <v>0</v>
      </c>
      <c r="O9" s="15">
        <f>[4]Vendedor15!$K$8</f>
        <v>0</v>
      </c>
      <c r="P9" s="17">
        <f>[4]Vendedor15!$L$8</f>
        <v>0</v>
      </c>
      <c r="Q9" s="19">
        <f>[4]Vendedor15!$J$10</f>
        <v>0</v>
      </c>
      <c r="R9" s="15">
        <f>[4]Vendedor15!$K$10</f>
        <v>0</v>
      </c>
      <c r="S9" s="17">
        <f>[4]Vendedor15!$L$10</f>
        <v>0</v>
      </c>
      <c r="T9" s="18">
        <f t="shared" si="1"/>
        <v>0</v>
      </c>
      <c r="U9" s="15">
        <f t="shared" si="2"/>
        <v>0</v>
      </c>
      <c r="V9" s="15">
        <f t="shared" si="3"/>
        <v>0</v>
      </c>
      <c r="W9" s="15">
        <v>0</v>
      </c>
      <c r="X9" s="17">
        <f t="shared" si="4"/>
        <v>0</v>
      </c>
    </row>
    <row r="10" spans="1:24">
      <c r="A10" s="20" t="s">
        <v>53</v>
      </c>
      <c r="B10" s="14">
        <f>[5]Vendedor15!$J$4</f>
        <v>0</v>
      </c>
      <c r="C10" s="81">
        <f>[5]Vendedor15!$K$4</f>
        <v>0</v>
      </c>
      <c r="D10" s="82">
        <f>[5]Vendedor15!$L$4</f>
        <v>0</v>
      </c>
      <c r="E10" s="14">
        <f>[5]Vendedor15!$J$5</f>
        <v>0</v>
      </c>
      <c r="F10" s="81">
        <f>[5]Vendedor15!$K$5</f>
        <v>0</v>
      </c>
      <c r="G10" s="85">
        <f>[5]Vendedor15!$L$5</f>
        <v>0</v>
      </c>
      <c r="H10" s="19">
        <f>[5]Vendedor15!$J$6</f>
        <v>0</v>
      </c>
      <c r="I10" s="15">
        <f>[5]Vendedor15!$K$6</f>
        <v>0</v>
      </c>
      <c r="J10" s="17">
        <f>[5]Vendedor15!$L$6</f>
        <v>0</v>
      </c>
      <c r="K10" s="18">
        <f>[5]Vendedor15!$J$7</f>
        <v>0</v>
      </c>
      <c r="L10" s="15">
        <f>[5]Vendedor15!$K$7</f>
        <v>0</v>
      </c>
      <c r="M10" s="16">
        <f>[5]Vendedor15!$L$7</f>
        <v>0</v>
      </c>
      <c r="N10" s="19">
        <f>[5]Vendedor15!$J$8</f>
        <v>0</v>
      </c>
      <c r="O10" s="15">
        <f>[5]Vendedor15!$K$8</f>
        <v>0</v>
      </c>
      <c r="P10" s="17">
        <f>[5]Vendedor15!$L$8</f>
        <v>0</v>
      </c>
      <c r="Q10" s="19">
        <f>[5]Vendedor15!$J$10</f>
        <v>0</v>
      </c>
      <c r="R10" s="15">
        <f>[5]Vendedor15!$K$10</f>
        <v>0</v>
      </c>
      <c r="S10" s="17">
        <f>[5]Vendedor15!$L$10</f>
        <v>0</v>
      </c>
      <c r="T10" s="18">
        <f t="shared" si="1"/>
        <v>0</v>
      </c>
      <c r="U10" s="15">
        <f t="shared" si="2"/>
        <v>0</v>
      </c>
      <c r="V10" s="15">
        <f t="shared" si="3"/>
        <v>0</v>
      </c>
      <c r="W10" s="15">
        <v>0</v>
      </c>
      <c r="X10" s="17">
        <f t="shared" si="4"/>
        <v>0</v>
      </c>
    </row>
    <row r="11" spans="1:24">
      <c r="A11" s="13" t="s">
        <v>20</v>
      </c>
      <c r="B11" s="14">
        <f>[6]Vendedor15!$J$4</f>
        <v>0</v>
      </c>
      <c r="C11" s="81">
        <f>[6]Vendedor15!$K$4</f>
        <v>0</v>
      </c>
      <c r="D11" s="82">
        <f>[6]Vendedor15!$L$4</f>
        <v>0</v>
      </c>
      <c r="E11" s="14">
        <f>[6]Vendedor15!$J$5</f>
        <v>0</v>
      </c>
      <c r="F11" s="81">
        <f>[6]Vendedor15!$K$5</f>
        <v>0</v>
      </c>
      <c r="G11" s="85">
        <f>[6]Vendedor15!$L$5</f>
        <v>0</v>
      </c>
      <c r="H11" s="19">
        <f>[6]Vendedor15!$J$6</f>
        <v>0</v>
      </c>
      <c r="I11" s="15">
        <f>[6]Vendedor15!$K$6</f>
        <v>0</v>
      </c>
      <c r="J11" s="17">
        <f>[6]Vendedor15!$L$6</f>
        <v>0</v>
      </c>
      <c r="K11" s="18">
        <f>[6]Vendedor15!$J$7</f>
        <v>0</v>
      </c>
      <c r="L11" s="15">
        <f>[6]Vendedor15!$K$7</f>
        <v>0</v>
      </c>
      <c r="M11" s="16">
        <f>[6]Vendedor15!$L$7</f>
        <v>0</v>
      </c>
      <c r="N11" s="19">
        <f>[6]Vendedor15!$J$8</f>
        <v>0</v>
      </c>
      <c r="O11" s="15">
        <f>[6]Vendedor15!$K$8</f>
        <v>0</v>
      </c>
      <c r="P11" s="17">
        <f>[6]Vendedor15!$L$8</f>
        <v>0</v>
      </c>
      <c r="Q11" s="19">
        <f>[6]Vendedor15!$J$10</f>
        <v>0</v>
      </c>
      <c r="R11" s="15">
        <f>[6]Vendedor15!$K$10</f>
        <v>0</v>
      </c>
      <c r="S11" s="17">
        <f>[6]Vendedor15!$L$10</f>
        <v>0</v>
      </c>
      <c r="T11" s="18">
        <f t="shared" si="1"/>
        <v>0</v>
      </c>
      <c r="U11" s="15">
        <f t="shared" si="2"/>
        <v>0</v>
      </c>
      <c r="V11" s="15">
        <f t="shared" si="3"/>
        <v>0</v>
      </c>
      <c r="W11" s="15">
        <v>0</v>
      </c>
      <c r="X11" s="17">
        <f t="shared" si="4"/>
        <v>0</v>
      </c>
    </row>
    <row r="12" spans="1:24">
      <c r="A12" s="20" t="s">
        <v>21</v>
      </c>
      <c r="B12" s="14">
        <f>[7]Vendedor15!$J$4</f>
        <v>0</v>
      </c>
      <c r="C12" s="81">
        <f>[7]Vendedor15!$K$4</f>
        <v>0</v>
      </c>
      <c r="D12" s="82">
        <f>[7]Vendedor15!$L$4</f>
        <v>0</v>
      </c>
      <c r="E12" s="14">
        <f>[7]Vendedor15!$J$5</f>
        <v>0</v>
      </c>
      <c r="F12" s="81">
        <f>[7]Vendedor15!$K$5</f>
        <v>0</v>
      </c>
      <c r="G12" s="85">
        <f>[7]Vendedor15!$L$5</f>
        <v>0</v>
      </c>
      <c r="H12" s="19">
        <f>[7]Vendedor15!$J$6</f>
        <v>0</v>
      </c>
      <c r="I12" s="15">
        <f>[7]Vendedor15!$K$6</f>
        <v>0</v>
      </c>
      <c r="J12" s="17">
        <f>[7]Vendedor15!$L$6</f>
        <v>0</v>
      </c>
      <c r="K12" s="18">
        <f>[7]Vendedor15!$J$7</f>
        <v>0</v>
      </c>
      <c r="L12" s="15">
        <f>[7]Vendedor15!$K$7</f>
        <v>0</v>
      </c>
      <c r="M12" s="16">
        <f>[7]Vendedor15!$L$7</f>
        <v>0</v>
      </c>
      <c r="N12" s="19">
        <f>[7]Vendedor15!$J$8</f>
        <v>0</v>
      </c>
      <c r="O12" s="15">
        <f>[7]Vendedor15!$K$8</f>
        <v>0</v>
      </c>
      <c r="P12" s="17">
        <f>[7]Vendedor15!$L$8</f>
        <v>0</v>
      </c>
      <c r="Q12" s="19">
        <f>[7]Vendedor15!$J$10</f>
        <v>0</v>
      </c>
      <c r="R12" s="15">
        <f>[7]Vendedor15!$K$10</f>
        <v>0</v>
      </c>
      <c r="S12" s="17">
        <f>[7]Vendedor15!$L$10</f>
        <v>0</v>
      </c>
      <c r="T12" s="18">
        <f t="shared" si="1"/>
        <v>0</v>
      </c>
      <c r="U12" s="15">
        <f t="shared" si="2"/>
        <v>0</v>
      </c>
      <c r="V12" s="15">
        <f t="shared" si="3"/>
        <v>0</v>
      </c>
      <c r="W12" s="15">
        <v>0</v>
      </c>
      <c r="X12" s="17">
        <f t="shared" si="4"/>
        <v>0</v>
      </c>
    </row>
    <row r="13" spans="1:24">
      <c r="A13" s="13" t="s">
        <v>22</v>
      </c>
      <c r="B13" s="14">
        <f>[8]Vendedor15!$J$4</f>
        <v>0</v>
      </c>
      <c r="C13" s="81">
        <f>[8]Vendedor15!$K$4</f>
        <v>0</v>
      </c>
      <c r="D13" s="82">
        <f>[8]Vendedor15!$L$4</f>
        <v>0</v>
      </c>
      <c r="E13" s="14">
        <f>[8]Vendedor15!$J$5</f>
        <v>0</v>
      </c>
      <c r="F13" s="81">
        <f>[8]Vendedor15!$K$5</f>
        <v>0</v>
      </c>
      <c r="G13" s="85">
        <f>[8]Vendedor15!$L$5</f>
        <v>0</v>
      </c>
      <c r="H13" s="19">
        <f>[8]Vendedor15!$J$6</f>
        <v>0</v>
      </c>
      <c r="I13" s="15">
        <f>[8]Vendedor15!$K$6</f>
        <v>0</v>
      </c>
      <c r="J13" s="17">
        <f>[8]Vendedor15!$L$6</f>
        <v>0</v>
      </c>
      <c r="K13" s="18">
        <f>[8]Vendedor15!$J$7</f>
        <v>0</v>
      </c>
      <c r="L13" s="15">
        <f>[8]Vendedor15!$K$7</f>
        <v>0</v>
      </c>
      <c r="M13" s="16">
        <f>[8]Vendedor15!$L$7</f>
        <v>0</v>
      </c>
      <c r="N13" s="19">
        <f>[8]Vendedor15!$J$8</f>
        <v>0</v>
      </c>
      <c r="O13" s="15">
        <f>[8]Vendedor15!$K$8</f>
        <v>0</v>
      </c>
      <c r="P13" s="17">
        <f>[8]Vendedor15!$L$8</f>
        <v>0</v>
      </c>
      <c r="Q13" s="19">
        <f>[8]Vendedor15!$J$10</f>
        <v>0</v>
      </c>
      <c r="R13" s="15">
        <f>[8]Vendedor15!$K$10</f>
        <v>0</v>
      </c>
      <c r="S13" s="17">
        <f>[8]Vendedor15!$L$10</f>
        <v>0</v>
      </c>
      <c r="T13" s="18">
        <f t="shared" si="1"/>
        <v>0</v>
      </c>
      <c r="U13" s="15">
        <f t="shared" si="2"/>
        <v>0</v>
      </c>
      <c r="V13" s="15">
        <f t="shared" si="3"/>
        <v>0</v>
      </c>
      <c r="W13" s="15">
        <v>0</v>
      </c>
      <c r="X13" s="17">
        <f t="shared" si="4"/>
        <v>0</v>
      </c>
    </row>
    <row r="14" spans="1:24">
      <c r="A14" s="20" t="s">
        <v>23</v>
      </c>
      <c r="B14" s="14">
        <f>[9]Vendedor15!$J$4</f>
        <v>0</v>
      </c>
      <c r="C14" s="81">
        <f>[9]Vendedor15!$K$4</f>
        <v>0</v>
      </c>
      <c r="D14" s="82">
        <f>[9]Vendedor15!$L$4</f>
        <v>0</v>
      </c>
      <c r="E14" s="14">
        <f>[9]Vendedor15!$J$5</f>
        <v>0</v>
      </c>
      <c r="F14" s="81">
        <f>[9]Vendedor15!$K$5</f>
        <v>0</v>
      </c>
      <c r="G14" s="85">
        <f>[9]Vendedor15!$L$5</f>
        <v>0</v>
      </c>
      <c r="H14" s="19">
        <f>[9]Vendedor15!$J$6</f>
        <v>0</v>
      </c>
      <c r="I14" s="15">
        <f>[9]Vendedor15!$K$6</f>
        <v>0</v>
      </c>
      <c r="J14" s="17">
        <f>[9]Vendedor15!$L$6</f>
        <v>0</v>
      </c>
      <c r="K14" s="18">
        <f>[9]Vendedor15!$J$7</f>
        <v>0</v>
      </c>
      <c r="L14" s="15">
        <f>[9]Vendedor15!$K$7</f>
        <v>0</v>
      </c>
      <c r="M14" s="16">
        <f>[9]Vendedor15!$L$7</f>
        <v>0</v>
      </c>
      <c r="N14" s="19">
        <f>[9]Vendedor15!$J$8</f>
        <v>0</v>
      </c>
      <c r="O14" s="15">
        <f>[9]Vendedor15!$K$8</f>
        <v>0</v>
      </c>
      <c r="P14" s="17">
        <f>[9]Vendedor15!$L$8</f>
        <v>0</v>
      </c>
      <c r="Q14" s="19">
        <f>[9]Vendedor15!$J$10</f>
        <v>0</v>
      </c>
      <c r="R14" s="15">
        <f>[9]Vendedor15!$K$10</f>
        <v>0</v>
      </c>
      <c r="S14" s="17">
        <f>[9]Vendedor15!$L$10</f>
        <v>0</v>
      </c>
      <c r="T14" s="18">
        <f t="shared" si="1"/>
        <v>0</v>
      </c>
      <c r="U14" s="15">
        <f t="shared" si="2"/>
        <v>0</v>
      </c>
      <c r="V14" s="15">
        <f t="shared" si="3"/>
        <v>0</v>
      </c>
      <c r="W14" s="15">
        <v>0</v>
      </c>
      <c r="X14" s="17">
        <f t="shared" si="4"/>
        <v>0</v>
      </c>
    </row>
    <row r="15" spans="1:24">
      <c r="A15" s="13" t="s">
        <v>24</v>
      </c>
      <c r="B15" s="14">
        <f>[12]Vendedor15!$J$4</f>
        <v>0</v>
      </c>
      <c r="C15" s="81">
        <f>[12]Vendedor15!$K$4</f>
        <v>0</v>
      </c>
      <c r="D15" s="82">
        <f>[12]Vendedor15!$L$4</f>
        <v>0</v>
      </c>
      <c r="E15" s="14">
        <f>[12]Vendedor15!$J$5</f>
        <v>0</v>
      </c>
      <c r="F15" s="81">
        <f>[12]Vendedor15!$K$5</f>
        <v>0</v>
      </c>
      <c r="G15" s="85">
        <f>[12]Vendedor15!$L$5</f>
        <v>0</v>
      </c>
      <c r="H15" s="19">
        <f>[12]Vendedor15!$J$6</f>
        <v>0</v>
      </c>
      <c r="I15" s="15">
        <f>[12]Vendedor15!$K$6</f>
        <v>0</v>
      </c>
      <c r="J15" s="17">
        <f>[12]Vendedor15!$L$6</f>
        <v>0</v>
      </c>
      <c r="K15" s="18">
        <f>[12]Vendedor15!$J$7</f>
        <v>0</v>
      </c>
      <c r="L15" s="15">
        <f>[12]Vendedor15!$K$7</f>
        <v>0</v>
      </c>
      <c r="M15" s="16">
        <f>[12]Vendedor15!$L$7</f>
        <v>0</v>
      </c>
      <c r="N15" s="19">
        <f>[12]Vendedor15!$J$8</f>
        <v>0</v>
      </c>
      <c r="O15" s="15">
        <f>[12]Vendedor15!$K$8</f>
        <v>0</v>
      </c>
      <c r="P15" s="17">
        <f>[12]Vendedor15!$L$8</f>
        <v>0</v>
      </c>
      <c r="Q15" s="19">
        <f>[12]Vendedor15!$J$10</f>
        <v>0</v>
      </c>
      <c r="R15" s="15">
        <f>[12]Vendedor15!$K$10</f>
        <v>0</v>
      </c>
      <c r="S15" s="17">
        <f>[12]Vendedor15!$L$10</f>
        <v>0</v>
      </c>
      <c r="T15" s="18">
        <f t="shared" si="1"/>
        <v>0</v>
      </c>
      <c r="U15" s="15">
        <f t="shared" si="2"/>
        <v>0</v>
      </c>
      <c r="V15" s="15">
        <f t="shared" si="3"/>
        <v>0</v>
      </c>
      <c r="W15" s="15">
        <v>0</v>
      </c>
      <c r="X15" s="17">
        <f t="shared" si="4"/>
        <v>0</v>
      </c>
    </row>
    <row r="16" spans="1:24">
      <c r="A16" s="20" t="s">
        <v>25</v>
      </c>
      <c r="B16" s="14">
        <f>[13]Vendedor15!$J$4</f>
        <v>0</v>
      </c>
      <c r="C16" s="81">
        <f>[13]Vendedor15!$K$4</f>
        <v>0</v>
      </c>
      <c r="D16" s="82">
        <f>[13]Vendedor15!$L$4</f>
        <v>0</v>
      </c>
      <c r="E16" s="14">
        <f>[13]Vendedor15!$J$5</f>
        <v>0</v>
      </c>
      <c r="F16" s="81">
        <f>[13]Vendedor15!$K$5</f>
        <v>0</v>
      </c>
      <c r="G16" s="85">
        <f>[13]Vendedor15!$L$5</f>
        <v>0</v>
      </c>
      <c r="H16" s="19">
        <f>[13]Vendedor15!$J$6</f>
        <v>0</v>
      </c>
      <c r="I16" s="15">
        <f>[13]Vendedor15!$K$6</f>
        <v>0</v>
      </c>
      <c r="J16" s="17">
        <f>[13]Vendedor15!$L$6</f>
        <v>0</v>
      </c>
      <c r="K16" s="18">
        <f>[13]Vendedor15!$J$7</f>
        <v>0</v>
      </c>
      <c r="L16" s="15">
        <f>[13]Vendedor15!$K$7</f>
        <v>0</v>
      </c>
      <c r="M16" s="16">
        <f>[13]Vendedor15!$L$7</f>
        <v>0</v>
      </c>
      <c r="N16" s="19">
        <f>[13]Vendedor15!$J$8</f>
        <v>0</v>
      </c>
      <c r="O16" s="15">
        <f>[13]Vendedor15!$K$8</f>
        <v>0</v>
      </c>
      <c r="P16" s="17">
        <f>[13]Vendedor15!$L$8</f>
        <v>0</v>
      </c>
      <c r="Q16" s="19">
        <f>[13]Vendedor15!$J$10</f>
        <v>0</v>
      </c>
      <c r="R16" s="15">
        <f>[13]Vendedor15!$K$10</f>
        <v>0</v>
      </c>
      <c r="S16" s="17">
        <f>[13]Vendedor15!$L$10</f>
        <v>0</v>
      </c>
      <c r="T16" s="18">
        <f t="shared" si="1"/>
        <v>0</v>
      </c>
      <c r="U16" s="15">
        <f t="shared" si="2"/>
        <v>0</v>
      </c>
      <c r="V16" s="15">
        <f t="shared" si="3"/>
        <v>0</v>
      </c>
      <c r="W16" s="15">
        <v>0</v>
      </c>
      <c r="X16" s="17">
        <f t="shared" si="4"/>
        <v>0</v>
      </c>
    </row>
    <row r="17" spans="1:24">
      <c r="A17" s="13" t="s">
        <v>26</v>
      </c>
      <c r="B17" s="14">
        <f>[14]Vendedor15!$J$4</f>
        <v>0</v>
      </c>
      <c r="C17" s="81">
        <f>[14]Vendedor15!$K$4</f>
        <v>0</v>
      </c>
      <c r="D17" s="82">
        <f>[14]Vendedor15!$L$4</f>
        <v>0</v>
      </c>
      <c r="E17" s="14">
        <f>[14]Vendedor15!$J$5</f>
        <v>0</v>
      </c>
      <c r="F17" s="81">
        <f>[14]Vendedor15!$K$5</f>
        <v>0</v>
      </c>
      <c r="G17" s="85">
        <f>[14]Vendedor15!$L$5</f>
        <v>0</v>
      </c>
      <c r="H17" s="19">
        <f>[14]Vendedor15!$J$6</f>
        <v>0</v>
      </c>
      <c r="I17" s="15">
        <f>[14]Vendedor15!$K$6</f>
        <v>0</v>
      </c>
      <c r="J17" s="17">
        <f>[14]Vendedor15!$L$6</f>
        <v>0</v>
      </c>
      <c r="K17" s="18">
        <f>[14]Vendedor15!$J$7</f>
        <v>0</v>
      </c>
      <c r="L17" s="15">
        <f>[14]Vendedor15!$K$7</f>
        <v>0</v>
      </c>
      <c r="M17" s="16">
        <f>[14]Vendedor15!$L$7</f>
        <v>0</v>
      </c>
      <c r="N17" s="19">
        <f>[14]Vendedor15!$J$8</f>
        <v>0</v>
      </c>
      <c r="O17" s="15">
        <f>[14]Vendedor15!$K$8</f>
        <v>0</v>
      </c>
      <c r="P17" s="17">
        <f>[14]Vendedor15!$L$8</f>
        <v>0</v>
      </c>
      <c r="Q17" s="19">
        <f>[14]Vendedor15!$J$10</f>
        <v>0</v>
      </c>
      <c r="R17" s="15">
        <f>[14]Vendedor15!$K$10</f>
        <v>0</v>
      </c>
      <c r="S17" s="17">
        <f>[14]Vendedor15!$L$10</f>
        <v>0</v>
      </c>
      <c r="T17" s="18">
        <f t="shared" si="1"/>
        <v>0</v>
      </c>
      <c r="U17" s="15">
        <f t="shared" si="2"/>
        <v>0</v>
      </c>
      <c r="V17" s="15">
        <f t="shared" si="3"/>
        <v>0</v>
      </c>
      <c r="W17" s="15">
        <v>0</v>
      </c>
      <c r="X17" s="17">
        <f t="shared" si="4"/>
        <v>0</v>
      </c>
    </row>
    <row r="18" spans="1:24">
      <c r="A18" s="20" t="s">
        <v>27</v>
      </c>
      <c r="B18" s="14">
        <f>[15]Vendedor15!$J$4</f>
        <v>0</v>
      </c>
      <c r="C18" s="81">
        <f>[15]Vendedor15!$K$4</f>
        <v>0</v>
      </c>
      <c r="D18" s="82">
        <f>[15]Vendedor15!$L$4</f>
        <v>0</v>
      </c>
      <c r="E18" s="14">
        <f>[15]Vendedor15!$J$5</f>
        <v>0</v>
      </c>
      <c r="F18" s="81">
        <f>[15]Vendedor15!$K$5</f>
        <v>0</v>
      </c>
      <c r="G18" s="85">
        <f>[15]Vendedor15!$L$5</f>
        <v>0</v>
      </c>
      <c r="H18" s="19">
        <f>[15]Vendedor15!$J$6</f>
        <v>0</v>
      </c>
      <c r="I18" s="15">
        <f>[15]Vendedor15!$K$6</f>
        <v>0</v>
      </c>
      <c r="J18" s="17">
        <f>[15]Vendedor15!$L$6</f>
        <v>0</v>
      </c>
      <c r="K18" s="18">
        <f>[15]Vendedor15!$J$7</f>
        <v>0</v>
      </c>
      <c r="L18" s="15">
        <f>[15]Vendedor15!$K$7</f>
        <v>0</v>
      </c>
      <c r="M18" s="16">
        <f>[15]Vendedor15!$L$7</f>
        <v>0</v>
      </c>
      <c r="N18" s="19">
        <f>[15]Vendedor15!$J$8</f>
        <v>0</v>
      </c>
      <c r="O18" s="15">
        <f>[15]Vendedor15!$K$8</f>
        <v>0</v>
      </c>
      <c r="P18" s="17">
        <f>[15]Vendedor15!$L$8</f>
        <v>0</v>
      </c>
      <c r="Q18" s="19">
        <f>[15]Vendedor15!$J$10</f>
        <v>0</v>
      </c>
      <c r="R18" s="15">
        <f>[15]Vendedor15!$K$10</f>
        <v>0</v>
      </c>
      <c r="S18" s="17">
        <f>[15]Vendedor15!$L$10</f>
        <v>0</v>
      </c>
      <c r="T18" s="18">
        <f t="shared" si="1"/>
        <v>0</v>
      </c>
      <c r="U18" s="15">
        <f t="shared" si="2"/>
        <v>0</v>
      </c>
      <c r="V18" s="15">
        <f t="shared" si="3"/>
        <v>0</v>
      </c>
      <c r="W18" s="15">
        <v>0</v>
      </c>
      <c r="X18" s="17">
        <f t="shared" si="4"/>
        <v>0</v>
      </c>
    </row>
    <row r="19" spans="1:24">
      <c r="A19" s="20" t="s">
        <v>28</v>
      </c>
      <c r="B19" s="14">
        <f>[16]Vendedor15!$J$4</f>
        <v>0</v>
      </c>
      <c r="C19" s="81">
        <f>[16]Vendedor15!$K$4</f>
        <v>0</v>
      </c>
      <c r="D19" s="82">
        <f>[16]Vendedor15!$L$4</f>
        <v>0</v>
      </c>
      <c r="E19" s="14">
        <f>[16]Vendedor15!$J$5</f>
        <v>0</v>
      </c>
      <c r="F19" s="81">
        <f>[16]Vendedor15!$K$5</f>
        <v>0</v>
      </c>
      <c r="G19" s="85">
        <f>[16]Vendedor15!$L$5</f>
        <v>0</v>
      </c>
      <c r="H19" s="19">
        <f>[16]Vendedor15!$J$6</f>
        <v>0</v>
      </c>
      <c r="I19" s="15">
        <f>[16]Vendedor15!$K$6</f>
        <v>0</v>
      </c>
      <c r="J19" s="17">
        <f>[16]Vendedor15!$L$6</f>
        <v>0</v>
      </c>
      <c r="K19" s="18">
        <f>[16]Vendedor15!$J$7</f>
        <v>0</v>
      </c>
      <c r="L19" s="15">
        <f>[16]Vendedor15!$K$7</f>
        <v>0</v>
      </c>
      <c r="M19" s="16">
        <f>[16]Vendedor15!$L$7</f>
        <v>0</v>
      </c>
      <c r="N19" s="19">
        <f>[16]Vendedor15!$J$8</f>
        <v>0</v>
      </c>
      <c r="O19" s="15">
        <f>[16]Vendedor15!$K$8</f>
        <v>0</v>
      </c>
      <c r="P19" s="17">
        <f>[16]Vendedor15!$L$8</f>
        <v>0</v>
      </c>
      <c r="Q19" s="19">
        <f>[16]Vendedor15!$J$10</f>
        <v>0</v>
      </c>
      <c r="R19" s="15">
        <f>[16]Vendedor15!$K$10</f>
        <v>0</v>
      </c>
      <c r="S19" s="17">
        <f>[16]Vendedor15!$L$10</f>
        <v>0</v>
      </c>
      <c r="T19" s="18">
        <f t="shared" si="1"/>
        <v>0</v>
      </c>
      <c r="U19" s="15">
        <f t="shared" si="2"/>
        <v>0</v>
      </c>
      <c r="V19" s="15">
        <f t="shared" si="3"/>
        <v>0</v>
      </c>
      <c r="W19" s="15">
        <v>0</v>
      </c>
      <c r="X19" s="17">
        <f t="shared" si="4"/>
        <v>0</v>
      </c>
    </row>
    <row r="20" spans="1:24">
      <c r="A20" s="13" t="s">
        <v>29</v>
      </c>
      <c r="B20" s="14">
        <f>[17]Vendedor15!$J$4</f>
        <v>0</v>
      </c>
      <c r="C20" s="81">
        <f>[17]Vendedor15!$K$4</f>
        <v>0</v>
      </c>
      <c r="D20" s="82">
        <f>[17]Vendedor15!$L$4</f>
        <v>0</v>
      </c>
      <c r="E20" s="14">
        <f>[17]Vendedor15!$J$5</f>
        <v>0</v>
      </c>
      <c r="F20" s="81">
        <f>[17]Vendedor15!$K$5</f>
        <v>0</v>
      </c>
      <c r="G20" s="85">
        <f>[17]Vendedor15!$L$5</f>
        <v>0</v>
      </c>
      <c r="H20" s="19">
        <f>[17]Vendedor15!$J$6</f>
        <v>0</v>
      </c>
      <c r="I20" s="15">
        <f>[17]Vendedor15!$K$6</f>
        <v>0</v>
      </c>
      <c r="J20" s="17">
        <f>[17]Vendedor15!$L$6</f>
        <v>0</v>
      </c>
      <c r="K20" s="18">
        <f>[17]Vendedor15!$J$7</f>
        <v>0</v>
      </c>
      <c r="L20" s="15">
        <f>[17]Vendedor15!$K$7</f>
        <v>0</v>
      </c>
      <c r="M20" s="16">
        <f>[17]Vendedor15!$L$7</f>
        <v>0</v>
      </c>
      <c r="N20" s="19">
        <f>[17]Vendedor15!$J$8</f>
        <v>0</v>
      </c>
      <c r="O20" s="15">
        <f>[17]Vendedor15!$K$8</f>
        <v>0</v>
      </c>
      <c r="P20" s="17">
        <f>[17]Vendedor15!$L$8</f>
        <v>0</v>
      </c>
      <c r="Q20" s="19">
        <f>[17]Vendedor15!$J$10</f>
        <v>0</v>
      </c>
      <c r="R20" s="15">
        <f>[17]Vendedor15!$K$10</f>
        <v>0</v>
      </c>
      <c r="S20" s="17">
        <f>[17]Vendedor15!$L$10</f>
        <v>0</v>
      </c>
      <c r="T20" s="18">
        <f t="shared" si="1"/>
        <v>0</v>
      </c>
      <c r="U20" s="15">
        <f t="shared" si="2"/>
        <v>0</v>
      </c>
      <c r="V20" s="15">
        <f t="shared" si="3"/>
        <v>0</v>
      </c>
      <c r="W20" s="15">
        <v>0</v>
      </c>
      <c r="X20" s="17">
        <f t="shared" si="4"/>
        <v>0</v>
      </c>
    </row>
    <row r="21" spans="1:24">
      <c r="A21" s="20" t="s">
        <v>30</v>
      </c>
      <c r="B21" s="14">
        <f>[18]Vendedor15!$J$4</f>
        <v>0</v>
      </c>
      <c r="C21" s="81">
        <f>[18]Vendedor15!$K$4</f>
        <v>0</v>
      </c>
      <c r="D21" s="82">
        <f>[18]Vendedor15!$L$4</f>
        <v>0</v>
      </c>
      <c r="E21" s="14">
        <f>[18]Vendedor15!$J$5</f>
        <v>0</v>
      </c>
      <c r="F21" s="81">
        <f>[18]Vendedor15!$K$5</f>
        <v>0</v>
      </c>
      <c r="G21" s="85">
        <f>[18]Vendedor15!$L$5</f>
        <v>0</v>
      </c>
      <c r="H21" s="19">
        <f>[18]Vendedor15!$J$6</f>
        <v>0</v>
      </c>
      <c r="I21" s="15">
        <f>[18]Vendedor15!$K$6</f>
        <v>0</v>
      </c>
      <c r="J21" s="17">
        <f>[18]Vendedor15!$L$6</f>
        <v>0</v>
      </c>
      <c r="K21" s="18">
        <f>[18]Vendedor15!$J$7</f>
        <v>0</v>
      </c>
      <c r="L21" s="15">
        <f>[18]Vendedor15!$K$7</f>
        <v>0</v>
      </c>
      <c r="M21" s="16">
        <f>[18]Vendedor15!$L$7</f>
        <v>0</v>
      </c>
      <c r="N21" s="19">
        <f>[18]Vendedor15!$J$8</f>
        <v>0</v>
      </c>
      <c r="O21" s="15">
        <f>[18]Vendedor15!$K$8</f>
        <v>0</v>
      </c>
      <c r="P21" s="17">
        <f>[18]Vendedor15!$L$8</f>
        <v>0</v>
      </c>
      <c r="Q21" s="19">
        <f>[18]Vendedor15!$J$10</f>
        <v>0</v>
      </c>
      <c r="R21" s="15">
        <f>[18]Vendedor15!$K$10</f>
        <v>0</v>
      </c>
      <c r="S21" s="17">
        <f>[18]Vendedor15!$L$10</f>
        <v>0</v>
      </c>
      <c r="T21" s="18">
        <f t="shared" si="1"/>
        <v>0</v>
      </c>
      <c r="U21" s="15">
        <f t="shared" si="2"/>
        <v>0</v>
      </c>
      <c r="V21" s="15">
        <f t="shared" si="3"/>
        <v>0</v>
      </c>
      <c r="W21" s="15">
        <v>0</v>
      </c>
      <c r="X21" s="17">
        <f t="shared" si="4"/>
        <v>0</v>
      </c>
    </row>
    <row r="22" spans="1:24">
      <c r="A22" s="13" t="s">
        <v>31</v>
      </c>
      <c r="B22" s="14">
        <f>[19]Vendedor15!$J$4</f>
        <v>0</v>
      </c>
      <c r="C22" s="81">
        <f>[19]Vendedor15!$K$4</f>
        <v>0</v>
      </c>
      <c r="D22" s="82">
        <f>[19]Vendedor15!$L$4</f>
        <v>0</v>
      </c>
      <c r="E22" s="14">
        <f>[19]Vendedor15!$J$5</f>
        <v>0</v>
      </c>
      <c r="F22" s="81">
        <f>[19]Vendedor15!$K$5</f>
        <v>0</v>
      </c>
      <c r="G22" s="85">
        <f>[19]Vendedor15!$L$5</f>
        <v>0</v>
      </c>
      <c r="H22" s="19">
        <f>[19]Vendedor15!$J$6</f>
        <v>0</v>
      </c>
      <c r="I22" s="15">
        <f>[19]Vendedor15!$K$6</f>
        <v>0</v>
      </c>
      <c r="J22" s="17">
        <f>[19]Vendedor15!$L$6</f>
        <v>0</v>
      </c>
      <c r="K22" s="18">
        <f>[19]Vendedor15!$J$7</f>
        <v>0</v>
      </c>
      <c r="L22" s="15">
        <f>[19]Vendedor15!$K$7</f>
        <v>0</v>
      </c>
      <c r="M22" s="16">
        <f>[19]Vendedor15!$L$7</f>
        <v>0</v>
      </c>
      <c r="N22" s="19">
        <f>[19]Vendedor15!$J$8</f>
        <v>0</v>
      </c>
      <c r="O22" s="15">
        <f>[19]Vendedor15!$K$8</f>
        <v>0</v>
      </c>
      <c r="P22" s="17">
        <f>[19]Vendedor15!$L$8</f>
        <v>0</v>
      </c>
      <c r="Q22" s="19">
        <f>[19]Vendedor15!$J$10</f>
        <v>0</v>
      </c>
      <c r="R22" s="15">
        <f>[19]Vendedor15!$K$10</f>
        <v>0</v>
      </c>
      <c r="S22" s="17">
        <f>[19]Vendedor15!$L$10</f>
        <v>0</v>
      </c>
      <c r="T22" s="18">
        <f t="shared" si="1"/>
        <v>0</v>
      </c>
      <c r="U22" s="15">
        <f t="shared" si="2"/>
        <v>0</v>
      </c>
      <c r="V22" s="15">
        <f t="shared" si="3"/>
        <v>0</v>
      </c>
      <c r="W22" s="15">
        <v>0</v>
      </c>
      <c r="X22" s="17">
        <f t="shared" si="4"/>
        <v>0</v>
      </c>
    </row>
    <row r="23" spans="1:24">
      <c r="A23" s="20" t="s">
        <v>32</v>
      </c>
      <c r="B23" s="14">
        <f>[20]Vendedor15!$J$4</f>
        <v>0</v>
      </c>
      <c r="C23" s="81">
        <f>[20]Vendedor15!$K$4</f>
        <v>0</v>
      </c>
      <c r="D23" s="82">
        <f>[20]Vendedor15!$L$4</f>
        <v>0</v>
      </c>
      <c r="E23" s="14">
        <f>[20]Vendedor15!$J$5</f>
        <v>0</v>
      </c>
      <c r="F23" s="81">
        <f>[20]Vendedor15!$K$5</f>
        <v>0</v>
      </c>
      <c r="G23" s="85">
        <f>[20]Vendedor15!$L$5</f>
        <v>0</v>
      </c>
      <c r="H23" s="19">
        <f>[20]Vendedor15!$J$6</f>
        <v>0</v>
      </c>
      <c r="I23" s="15">
        <f>[20]Vendedor15!$K$6</f>
        <v>0</v>
      </c>
      <c r="J23" s="17">
        <f>[20]Vendedor15!$L$6</f>
        <v>0</v>
      </c>
      <c r="K23" s="18">
        <f>[20]Vendedor15!$J$7</f>
        <v>0</v>
      </c>
      <c r="L23" s="15">
        <f>[20]Vendedor15!$K$7</f>
        <v>0</v>
      </c>
      <c r="M23" s="16">
        <f>[20]Vendedor15!$L$7</f>
        <v>0</v>
      </c>
      <c r="N23" s="19">
        <f>[20]Vendedor15!$J$8</f>
        <v>0</v>
      </c>
      <c r="O23" s="15">
        <f>[20]Vendedor15!$K$8</f>
        <v>0</v>
      </c>
      <c r="P23" s="17">
        <f>[20]Vendedor15!$L$8</f>
        <v>0</v>
      </c>
      <c r="Q23" s="19">
        <f>[20]Vendedor15!$J$10</f>
        <v>0</v>
      </c>
      <c r="R23" s="15">
        <f>[20]Vendedor15!$K$10</f>
        <v>0</v>
      </c>
      <c r="S23" s="17">
        <f>[20]Vendedor15!$L$10</f>
        <v>0</v>
      </c>
      <c r="T23" s="18">
        <f t="shared" si="1"/>
        <v>0</v>
      </c>
      <c r="U23" s="15">
        <f t="shared" si="2"/>
        <v>0</v>
      </c>
      <c r="V23" s="15">
        <f t="shared" si="3"/>
        <v>0</v>
      </c>
      <c r="W23" s="15">
        <v>0</v>
      </c>
      <c r="X23" s="17">
        <f t="shared" si="4"/>
        <v>0</v>
      </c>
    </row>
    <row r="24" spans="1:24">
      <c r="A24" s="13" t="s">
        <v>33</v>
      </c>
      <c r="B24" s="14">
        <f>[21]Vendedor15!$J$4</f>
        <v>0</v>
      </c>
      <c r="C24" s="81">
        <f>[21]Vendedor15!$K$4</f>
        <v>0</v>
      </c>
      <c r="D24" s="82">
        <f>[21]Vendedor15!$L$4</f>
        <v>0</v>
      </c>
      <c r="E24" s="14">
        <f>[21]Vendedor15!$J$5</f>
        <v>0</v>
      </c>
      <c r="F24" s="81">
        <f>[21]Vendedor15!$K$5</f>
        <v>0</v>
      </c>
      <c r="G24" s="85">
        <f>[21]Vendedor15!$L$5</f>
        <v>0</v>
      </c>
      <c r="H24" s="19">
        <f>[21]Vendedor15!$J$6</f>
        <v>0</v>
      </c>
      <c r="I24" s="15">
        <f>[21]Vendedor15!$K$6</f>
        <v>0</v>
      </c>
      <c r="J24" s="17">
        <f>[21]Vendedor15!$L$6</f>
        <v>0</v>
      </c>
      <c r="K24" s="18">
        <f>[21]Vendedor15!$J$7</f>
        <v>0</v>
      </c>
      <c r="L24" s="15">
        <f>[21]Vendedor15!$K$7</f>
        <v>0</v>
      </c>
      <c r="M24" s="16">
        <f>[21]Vendedor15!$L$7</f>
        <v>0</v>
      </c>
      <c r="N24" s="19">
        <f>[21]Vendedor15!$J$8</f>
        <v>0</v>
      </c>
      <c r="O24" s="15">
        <f>[21]Vendedor15!$K$8</f>
        <v>0</v>
      </c>
      <c r="P24" s="17">
        <f>[21]Vendedor15!$L$8</f>
        <v>0</v>
      </c>
      <c r="Q24" s="19">
        <f>[21]Vendedor15!$J$10</f>
        <v>0</v>
      </c>
      <c r="R24" s="15">
        <f>[21]Vendedor15!$K$10</f>
        <v>0</v>
      </c>
      <c r="S24" s="17">
        <f>[21]Vendedor15!$L$10</f>
        <v>0</v>
      </c>
      <c r="T24" s="18">
        <f t="shared" si="1"/>
        <v>0</v>
      </c>
      <c r="U24" s="15">
        <f t="shared" si="2"/>
        <v>0</v>
      </c>
      <c r="V24" s="15">
        <f t="shared" si="3"/>
        <v>0</v>
      </c>
      <c r="W24" s="15">
        <v>0</v>
      </c>
      <c r="X24" s="17">
        <f t="shared" si="4"/>
        <v>0</v>
      </c>
    </row>
    <row r="25" spans="1:24">
      <c r="A25" s="20" t="s">
        <v>34</v>
      </c>
      <c r="B25" s="14">
        <f>[22]Vendedor15!$J$4</f>
        <v>0</v>
      </c>
      <c r="C25" s="81">
        <f>[22]Vendedor15!$K$4</f>
        <v>0</v>
      </c>
      <c r="D25" s="82">
        <f>[22]Vendedor15!$L$4</f>
        <v>0</v>
      </c>
      <c r="E25" s="14">
        <f>[22]Vendedor15!$J$5</f>
        <v>0</v>
      </c>
      <c r="F25" s="81">
        <f>[22]Vendedor15!$K$5</f>
        <v>0</v>
      </c>
      <c r="G25" s="85">
        <f>[22]Vendedor15!$L$5</f>
        <v>0</v>
      </c>
      <c r="H25" s="19">
        <f>[22]Vendedor15!$J$6</f>
        <v>0</v>
      </c>
      <c r="I25" s="15">
        <f>[22]Vendedor15!$K$6</f>
        <v>0</v>
      </c>
      <c r="J25" s="17">
        <f>[22]Vendedor15!$L$6</f>
        <v>0</v>
      </c>
      <c r="K25" s="18">
        <f>[22]Vendedor15!$J$7</f>
        <v>0</v>
      </c>
      <c r="L25" s="15">
        <f>[22]Vendedor15!$K$7</f>
        <v>0</v>
      </c>
      <c r="M25" s="16">
        <f>[22]Vendedor15!$L$7</f>
        <v>0</v>
      </c>
      <c r="N25" s="19">
        <f>[22]Vendedor15!$J$8</f>
        <v>0</v>
      </c>
      <c r="O25" s="15">
        <f>[22]Vendedor15!$K$8</f>
        <v>0</v>
      </c>
      <c r="P25" s="17">
        <f>[22]Vendedor15!$L$8</f>
        <v>0</v>
      </c>
      <c r="Q25" s="19">
        <f>[22]Vendedor15!$J$10</f>
        <v>0</v>
      </c>
      <c r="R25" s="15">
        <f>[22]Vendedor15!$K$10</f>
        <v>0</v>
      </c>
      <c r="S25" s="17">
        <f>[22]Vendedor15!$L$10</f>
        <v>0</v>
      </c>
      <c r="T25" s="18">
        <f>+B25+E25+H25+K25+N25+Q25</f>
        <v>0</v>
      </c>
      <c r="U25" s="15">
        <f t="shared" si="2"/>
        <v>0</v>
      </c>
      <c r="V25" s="15">
        <f t="shared" si="3"/>
        <v>0</v>
      </c>
      <c r="W25" s="15">
        <v>0</v>
      </c>
      <c r="X25" s="17">
        <f t="shared" si="4"/>
        <v>0</v>
      </c>
    </row>
    <row r="26" spans="1:24">
      <c r="A26" s="13" t="s">
        <v>35</v>
      </c>
      <c r="B26" s="14">
        <f>[23]Vendedor15!$J$4</f>
        <v>0</v>
      </c>
      <c r="C26" s="81">
        <f>[23]Vendedor15!$K$4</f>
        <v>0</v>
      </c>
      <c r="D26" s="82">
        <f>[23]Vendedor15!$L$4</f>
        <v>0</v>
      </c>
      <c r="E26" s="14">
        <f>[23]Vendedor15!$J$5</f>
        <v>0</v>
      </c>
      <c r="F26" s="81">
        <f>[23]Vendedor15!$K$5</f>
        <v>0</v>
      </c>
      <c r="G26" s="85">
        <f>[23]Vendedor15!$L$5</f>
        <v>0</v>
      </c>
      <c r="H26" s="19">
        <f>[23]Vendedor15!$J$6</f>
        <v>0</v>
      </c>
      <c r="I26" s="15">
        <f>[23]Vendedor15!$K$6</f>
        <v>0</v>
      </c>
      <c r="J26" s="17">
        <f>[23]Vendedor15!$L$6</f>
        <v>0</v>
      </c>
      <c r="K26" s="18">
        <f>[23]Vendedor15!$J$7</f>
        <v>0</v>
      </c>
      <c r="L26" s="15">
        <f>[23]Vendedor15!$K$7</f>
        <v>0</v>
      </c>
      <c r="M26" s="16">
        <f>[23]Vendedor15!$L$7</f>
        <v>0</v>
      </c>
      <c r="N26" s="19">
        <f>[23]Vendedor15!$J$8</f>
        <v>0</v>
      </c>
      <c r="O26" s="15">
        <f>[23]Vendedor15!$K$8</f>
        <v>0</v>
      </c>
      <c r="P26" s="17">
        <f>[23]Vendedor15!$L$8</f>
        <v>0</v>
      </c>
      <c r="Q26" s="19">
        <f>[23]Vendedor15!$J$10</f>
        <v>0</v>
      </c>
      <c r="R26" s="15">
        <f>[23]Vendedor15!$K$10</f>
        <v>0</v>
      </c>
      <c r="S26" s="17">
        <f>[23]Vendedor15!$L$10</f>
        <v>0</v>
      </c>
      <c r="T26" s="18">
        <f t="shared" ref="T26:T36" si="5">+B26+E26+H26+K26+N26+Q26</f>
        <v>0</v>
      </c>
      <c r="U26" s="15">
        <f t="shared" si="2"/>
        <v>0</v>
      </c>
      <c r="V26" s="15">
        <f t="shared" si="3"/>
        <v>0</v>
      </c>
      <c r="W26" s="15">
        <v>0</v>
      </c>
      <c r="X26" s="17">
        <f t="shared" si="4"/>
        <v>0</v>
      </c>
    </row>
    <row r="27" spans="1:24">
      <c r="A27" s="20" t="s">
        <v>36</v>
      </c>
      <c r="B27" s="14">
        <f>[24]Vendedor15!$J$4</f>
        <v>0</v>
      </c>
      <c r="C27" s="81">
        <f>[24]Vendedor15!$K$4</f>
        <v>0</v>
      </c>
      <c r="D27" s="82">
        <f>[24]Vendedor15!$L$4</f>
        <v>0</v>
      </c>
      <c r="E27" s="14">
        <f>[24]Vendedor15!$J$5</f>
        <v>0</v>
      </c>
      <c r="F27" s="81">
        <f>[24]Vendedor15!$K$5</f>
        <v>0</v>
      </c>
      <c r="G27" s="85">
        <f>[24]Vendedor15!$L$5</f>
        <v>0</v>
      </c>
      <c r="H27" s="19">
        <f>[24]Vendedor15!$J$6</f>
        <v>0</v>
      </c>
      <c r="I27" s="15">
        <f>[24]Vendedor15!$K$6</f>
        <v>0</v>
      </c>
      <c r="J27" s="17">
        <f>[24]Vendedor15!$L$6</f>
        <v>0</v>
      </c>
      <c r="K27" s="18">
        <f>[24]Vendedor15!$J$7</f>
        <v>0</v>
      </c>
      <c r="L27" s="15">
        <f>[24]Vendedor15!$K$7</f>
        <v>0</v>
      </c>
      <c r="M27" s="16">
        <f>[24]Vendedor15!$L$7</f>
        <v>0</v>
      </c>
      <c r="N27" s="19">
        <f>[24]Vendedor15!$J$8</f>
        <v>0</v>
      </c>
      <c r="O27" s="15">
        <f>[24]Vendedor15!$K$8</f>
        <v>0</v>
      </c>
      <c r="P27" s="17">
        <f>[24]Vendedor15!$L$8</f>
        <v>0</v>
      </c>
      <c r="Q27" s="19">
        <f>[24]Vendedor15!$J$10</f>
        <v>0</v>
      </c>
      <c r="R27" s="15">
        <f>[24]Vendedor15!$K$10</f>
        <v>0</v>
      </c>
      <c r="S27" s="17">
        <f>[24]Vendedor15!$L$10</f>
        <v>0</v>
      </c>
      <c r="T27" s="18">
        <f t="shared" si="5"/>
        <v>0</v>
      </c>
      <c r="U27" s="15">
        <f t="shared" si="2"/>
        <v>0</v>
      </c>
      <c r="V27" s="15">
        <f t="shared" si="3"/>
        <v>0</v>
      </c>
      <c r="W27" s="15">
        <v>0</v>
      </c>
      <c r="X27" s="17">
        <f t="shared" si="4"/>
        <v>0</v>
      </c>
    </row>
    <row r="28" spans="1:24">
      <c r="A28" s="13" t="s">
        <v>37</v>
      </c>
      <c r="B28" s="14">
        <f>[25]Vendedor15!$J$4</f>
        <v>0</v>
      </c>
      <c r="C28" s="81">
        <f>[25]Vendedor15!$K$4</f>
        <v>0</v>
      </c>
      <c r="D28" s="82">
        <f>[25]Vendedor15!$L$4</f>
        <v>0</v>
      </c>
      <c r="E28" s="14">
        <f>[25]Vendedor15!$J$5</f>
        <v>0</v>
      </c>
      <c r="F28" s="81">
        <f>[25]Vendedor15!$K$5</f>
        <v>0</v>
      </c>
      <c r="G28" s="85">
        <f>[25]Vendedor15!$L$5</f>
        <v>0</v>
      </c>
      <c r="H28" s="19">
        <f>[25]Vendedor15!$J$6</f>
        <v>0</v>
      </c>
      <c r="I28" s="15">
        <f>[25]Vendedor15!$K$6</f>
        <v>0</v>
      </c>
      <c r="J28" s="17">
        <f>[25]Vendedor15!$L$6</f>
        <v>0</v>
      </c>
      <c r="K28" s="18">
        <f>[25]Vendedor15!$J$7</f>
        <v>0</v>
      </c>
      <c r="L28" s="15">
        <f>[25]Vendedor15!$K$7</f>
        <v>0</v>
      </c>
      <c r="M28" s="16">
        <f>[25]Vendedor15!$L$7</f>
        <v>0</v>
      </c>
      <c r="N28" s="19">
        <f>[25]Vendedor15!$J$8</f>
        <v>0</v>
      </c>
      <c r="O28" s="15">
        <f>[25]Vendedor15!$K$8</f>
        <v>0</v>
      </c>
      <c r="P28" s="17">
        <f>[25]Vendedor15!$L$8</f>
        <v>0</v>
      </c>
      <c r="Q28" s="19">
        <f>[25]Vendedor15!$J$10</f>
        <v>0</v>
      </c>
      <c r="R28" s="15">
        <f>[25]Vendedor15!$K$10</f>
        <v>0</v>
      </c>
      <c r="S28" s="17">
        <f>[25]Vendedor15!$L$10</f>
        <v>0</v>
      </c>
      <c r="T28" s="18">
        <f t="shared" si="5"/>
        <v>0</v>
      </c>
      <c r="U28" s="15">
        <f t="shared" si="2"/>
        <v>0</v>
      </c>
      <c r="V28" s="15">
        <f t="shared" si="3"/>
        <v>0</v>
      </c>
      <c r="W28" s="15">
        <v>0</v>
      </c>
      <c r="X28" s="17">
        <f t="shared" si="4"/>
        <v>0</v>
      </c>
    </row>
    <row r="29" spans="1:24">
      <c r="A29" s="20" t="s">
        <v>38</v>
      </c>
      <c r="B29" s="14">
        <f>[26]Vendedor15!$J$4</f>
        <v>0</v>
      </c>
      <c r="C29" s="81">
        <f>[26]Vendedor15!$K$4</f>
        <v>0</v>
      </c>
      <c r="D29" s="82">
        <f>[26]Vendedor15!$L$4</f>
        <v>0</v>
      </c>
      <c r="E29" s="14">
        <f>[26]Vendedor15!$J$5</f>
        <v>0</v>
      </c>
      <c r="F29" s="81">
        <f>[26]Vendedor15!$K$5</f>
        <v>0</v>
      </c>
      <c r="G29" s="85">
        <f>[26]Vendedor15!$L$5</f>
        <v>0</v>
      </c>
      <c r="H29" s="19">
        <f>[26]Vendedor15!$J$6</f>
        <v>0</v>
      </c>
      <c r="I29" s="15">
        <f>[26]Vendedor15!$K$6</f>
        <v>0</v>
      </c>
      <c r="J29" s="17">
        <f>[26]Vendedor15!$L$6</f>
        <v>0</v>
      </c>
      <c r="K29" s="18">
        <f>[26]Vendedor15!$J$7</f>
        <v>0</v>
      </c>
      <c r="L29" s="15">
        <f>[26]Vendedor15!$K$7</f>
        <v>0</v>
      </c>
      <c r="M29" s="16">
        <f>[26]Vendedor15!$L$7</f>
        <v>0</v>
      </c>
      <c r="N29" s="19">
        <f>[26]Vendedor15!$J$8</f>
        <v>0</v>
      </c>
      <c r="O29" s="15">
        <f>[26]Vendedor15!$K$8</f>
        <v>0</v>
      </c>
      <c r="P29" s="17">
        <f>[26]Vendedor15!$L$8</f>
        <v>0</v>
      </c>
      <c r="Q29" s="19">
        <f>[26]Vendedor15!$J$10</f>
        <v>0</v>
      </c>
      <c r="R29" s="15">
        <f>[26]Vendedor15!$K$10</f>
        <v>0</v>
      </c>
      <c r="S29" s="17">
        <f>[26]Vendedor15!$L$10</f>
        <v>0</v>
      </c>
      <c r="T29" s="18">
        <f t="shared" si="5"/>
        <v>0</v>
      </c>
      <c r="U29" s="15">
        <f t="shared" si="2"/>
        <v>0</v>
      </c>
      <c r="V29" s="15">
        <f t="shared" si="3"/>
        <v>0</v>
      </c>
      <c r="W29" s="15">
        <v>0</v>
      </c>
      <c r="X29" s="17">
        <f t="shared" si="4"/>
        <v>0</v>
      </c>
    </row>
    <row r="30" spans="1:24">
      <c r="A30" s="13" t="s">
        <v>39</v>
      </c>
      <c r="B30" s="14">
        <f>[27]Vendedor15!$J$4</f>
        <v>0</v>
      </c>
      <c r="C30" s="81">
        <f>[27]Vendedor15!$K$4</f>
        <v>0</v>
      </c>
      <c r="D30" s="82">
        <f>[27]Vendedor15!$L$4</f>
        <v>0</v>
      </c>
      <c r="E30" s="14">
        <f>[27]Vendedor15!$J$5</f>
        <v>0</v>
      </c>
      <c r="F30" s="81">
        <f>[27]Vendedor15!$K$5</f>
        <v>0</v>
      </c>
      <c r="G30" s="85">
        <f>[27]Vendedor15!$L$5</f>
        <v>0</v>
      </c>
      <c r="H30" s="19">
        <f>[27]Vendedor15!$J$6</f>
        <v>0</v>
      </c>
      <c r="I30" s="15">
        <f>[27]Vendedor15!$K$6</f>
        <v>0</v>
      </c>
      <c r="J30" s="17">
        <f>[27]Vendedor15!$L$6</f>
        <v>0</v>
      </c>
      <c r="K30" s="18">
        <f>[27]Vendedor15!$J$7</f>
        <v>0</v>
      </c>
      <c r="L30" s="15">
        <f>[27]Vendedor15!$K$7</f>
        <v>0</v>
      </c>
      <c r="M30" s="16">
        <f>[27]Vendedor15!$L$7</f>
        <v>0</v>
      </c>
      <c r="N30" s="19">
        <f>[27]Vendedor15!$J$8</f>
        <v>0</v>
      </c>
      <c r="O30" s="15">
        <f>[27]Vendedor15!$K$8</f>
        <v>0</v>
      </c>
      <c r="P30" s="17">
        <f>[27]Vendedor15!$L$8</f>
        <v>0</v>
      </c>
      <c r="Q30" s="19">
        <f>[27]Vendedor15!$J$10</f>
        <v>0</v>
      </c>
      <c r="R30" s="15">
        <f>[27]Vendedor15!$K$10</f>
        <v>0</v>
      </c>
      <c r="S30" s="17">
        <f>[27]Vendedor15!$L$10</f>
        <v>0</v>
      </c>
      <c r="T30" s="18">
        <f t="shared" si="5"/>
        <v>0</v>
      </c>
      <c r="U30" s="15">
        <f t="shared" si="2"/>
        <v>0</v>
      </c>
      <c r="V30" s="15">
        <f t="shared" si="3"/>
        <v>0</v>
      </c>
      <c r="W30" s="15">
        <v>0</v>
      </c>
      <c r="X30" s="17">
        <f t="shared" si="4"/>
        <v>0</v>
      </c>
    </row>
    <row r="31" spans="1:24">
      <c r="A31" s="20" t="s">
        <v>40</v>
      </c>
      <c r="B31" s="14">
        <f>[28]Vendedor15!$J$4</f>
        <v>0</v>
      </c>
      <c r="C31" s="81">
        <f>[28]Vendedor15!$K$4</f>
        <v>0</v>
      </c>
      <c r="D31" s="82">
        <f>[28]Vendedor15!$L$4</f>
        <v>0</v>
      </c>
      <c r="E31" s="14">
        <f>[28]Vendedor15!$J$5</f>
        <v>0</v>
      </c>
      <c r="F31" s="81">
        <f>[28]Vendedor15!$K$5</f>
        <v>0</v>
      </c>
      <c r="G31" s="85">
        <f>[28]Vendedor15!$L$5</f>
        <v>0</v>
      </c>
      <c r="H31" s="19">
        <f>[28]Vendedor15!$J$6</f>
        <v>0</v>
      </c>
      <c r="I31" s="15">
        <f>[28]Vendedor15!$K$6</f>
        <v>0</v>
      </c>
      <c r="J31" s="17">
        <f>[28]Vendedor15!$L$6</f>
        <v>0</v>
      </c>
      <c r="K31" s="18">
        <f>[28]Vendedor15!$J$7</f>
        <v>0</v>
      </c>
      <c r="L31" s="15">
        <f>[28]Vendedor15!$K$7</f>
        <v>0</v>
      </c>
      <c r="M31" s="16">
        <f>[28]Vendedor15!$L$7</f>
        <v>0</v>
      </c>
      <c r="N31" s="19">
        <f>[28]Vendedor15!$J$8</f>
        <v>0</v>
      </c>
      <c r="O31" s="15">
        <f>[28]Vendedor15!$K$8</f>
        <v>0</v>
      </c>
      <c r="P31" s="17">
        <f>[28]Vendedor15!$L$8</f>
        <v>0</v>
      </c>
      <c r="Q31" s="19">
        <f>[28]Vendedor15!$J$10</f>
        <v>0</v>
      </c>
      <c r="R31" s="15">
        <f>[28]Vendedor15!$K$10</f>
        <v>0</v>
      </c>
      <c r="S31" s="17">
        <f>[28]Vendedor15!$L$10</f>
        <v>0</v>
      </c>
      <c r="T31" s="18">
        <f t="shared" si="5"/>
        <v>0</v>
      </c>
      <c r="U31" s="15">
        <f t="shared" si="2"/>
        <v>0</v>
      </c>
      <c r="V31" s="15">
        <f t="shared" si="3"/>
        <v>0</v>
      </c>
      <c r="W31" s="15">
        <v>0</v>
      </c>
      <c r="X31" s="17">
        <f t="shared" si="4"/>
        <v>0</v>
      </c>
    </row>
    <row r="32" spans="1:24">
      <c r="A32" s="20" t="s">
        <v>41</v>
      </c>
      <c r="B32" s="14">
        <f>[29]Vendedor15!$J$4</f>
        <v>0</v>
      </c>
      <c r="C32" s="81">
        <f>[29]Vendedor15!$K$4</f>
        <v>0</v>
      </c>
      <c r="D32" s="82">
        <f>[29]Vendedor15!$L$4</f>
        <v>0</v>
      </c>
      <c r="E32" s="14">
        <f>[29]Vendedor15!$J$5</f>
        <v>0</v>
      </c>
      <c r="F32" s="81">
        <f>[29]Vendedor15!$K$5</f>
        <v>0</v>
      </c>
      <c r="G32" s="85">
        <f>[29]Vendedor15!$L$5</f>
        <v>0</v>
      </c>
      <c r="H32" s="19">
        <f>[29]Vendedor15!$J$6</f>
        <v>0</v>
      </c>
      <c r="I32" s="15">
        <f>[29]Vendedor15!$K$6</f>
        <v>0</v>
      </c>
      <c r="J32" s="17">
        <f>[29]Vendedor15!$L$6</f>
        <v>0</v>
      </c>
      <c r="K32" s="18">
        <f>[29]Vendedor15!$J$7</f>
        <v>0</v>
      </c>
      <c r="L32" s="15">
        <f>[29]Vendedor15!$K$7</f>
        <v>0</v>
      </c>
      <c r="M32" s="16">
        <f>[29]Vendedor15!$L$7</f>
        <v>0</v>
      </c>
      <c r="N32" s="19">
        <f>[29]Vendedor15!$J$8</f>
        <v>0</v>
      </c>
      <c r="O32" s="15">
        <f>[29]Vendedor15!$K$8</f>
        <v>0</v>
      </c>
      <c r="P32" s="17">
        <f>[29]Vendedor15!$L$8</f>
        <v>0</v>
      </c>
      <c r="Q32" s="19">
        <f>[29]Vendedor15!$J$10</f>
        <v>0</v>
      </c>
      <c r="R32" s="15">
        <f>[29]Vendedor15!$K$10</f>
        <v>0</v>
      </c>
      <c r="S32" s="17">
        <f>[29]Vendedor15!$L$10</f>
        <v>0</v>
      </c>
      <c r="T32" s="18">
        <f t="shared" si="5"/>
        <v>0</v>
      </c>
      <c r="U32" s="15">
        <f t="shared" si="2"/>
        <v>0</v>
      </c>
      <c r="V32" s="15">
        <f t="shared" si="3"/>
        <v>0</v>
      </c>
      <c r="W32" s="15">
        <v>0</v>
      </c>
      <c r="X32" s="17">
        <f t="shared" si="4"/>
        <v>0</v>
      </c>
    </row>
    <row r="33" spans="1:24">
      <c r="A33" s="13" t="s">
        <v>42</v>
      </c>
      <c r="B33" s="14">
        <f>[30]Vendedor15!$J$4</f>
        <v>0</v>
      </c>
      <c r="C33" s="81">
        <f>[30]Vendedor15!$K$4</f>
        <v>0</v>
      </c>
      <c r="D33" s="82">
        <f>[30]Vendedor15!$L$4</f>
        <v>0</v>
      </c>
      <c r="E33" s="14">
        <f>[30]Vendedor15!$J$5</f>
        <v>0</v>
      </c>
      <c r="F33" s="81">
        <f>[30]Vendedor15!$K$5</f>
        <v>0</v>
      </c>
      <c r="G33" s="85">
        <f>[30]Vendedor15!$L$5</f>
        <v>0</v>
      </c>
      <c r="H33" s="19">
        <f>[30]Vendedor15!$J$6</f>
        <v>0</v>
      </c>
      <c r="I33" s="15">
        <f>[30]Vendedor15!$K$6</f>
        <v>0</v>
      </c>
      <c r="J33" s="17">
        <f>[30]Vendedor15!$L$6</f>
        <v>0</v>
      </c>
      <c r="K33" s="18">
        <f>[30]Vendedor15!$J$7</f>
        <v>0</v>
      </c>
      <c r="L33" s="15">
        <f>[30]Vendedor15!$K$7</f>
        <v>0</v>
      </c>
      <c r="M33" s="16">
        <f>[30]Vendedor15!$L$7</f>
        <v>0</v>
      </c>
      <c r="N33" s="19">
        <f>[30]Vendedor15!$J$8</f>
        <v>0</v>
      </c>
      <c r="O33" s="15">
        <f>[30]Vendedor15!$K$8</f>
        <v>0</v>
      </c>
      <c r="P33" s="17">
        <f>[30]Vendedor15!$L$8</f>
        <v>0</v>
      </c>
      <c r="Q33" s="19">
        <f>[30]Vendedor15!$J$10</f>
        <v>0</v>
      </c>
      <c r="R33" s="15">
        <f>[30]Vendedor15!$K$10</f>
        <v>0</v>
      </c>
      <c r="S33" s="17">
        <f>[30]Vendedor15!$L$10</f>
        <v>0</v>
      </c>
      <c r="T33" s="18">
        <f t="shared" si="5"/>
        <v>0</v>
      </c>
      <c r="U33" s="15">
        <f t="shared" si="2"/>
        <v>0</v>
      </c>
      <c r="V33" s="15">
        <f t="shared" si="3"/>
        <v>0</v>
      </c>
      <c r="W33" s="15">
        <v>0</v>
      </c>
      <c r="X33" s="17">
        <f t="shared" si="4"/>
        <v>0</v>
      </c>
    </row>
    <row r="34" spans="1:24">
      <c r="A34" s="20" t="s">
        <v>43</v>
      </c>
      <c r="B34" s="14">
        <f>[31]Vendedor15!$J$4</f>
        <v>0</v>
      </c>
      <c r="C34" s="81">
        <f>[31]Vendedor15!$K$4</f>
        <v>0</v>
      </c>
      <c r="D34" s="82">
        <f>[31]Vendedor15!$L$4</f>
        <v>0</v>
      </c>
      <c r="E34" s="14">
        <f>[31]Vendedor15!$J$5</f>
        <v>0</v>
      </c>
      <c r="F34" s="81">
        <f>[31]Vendedor15!$K$5</f>
        <v>0</v>
      </c>
      <c r="G34" s="85">
        <f>[31]Vendedor15!$L$5</f>
        <v>0</v>
      </c>
      <c r="H34" s="19">
        <f>[31]Vendedor15!$J$6</f>
        <v>0</v>
      </c>
      <c r="I34" s="15">
        <f>[31]Vendedor15!$K$6</f>
        <v>0</v>
      </c>
      <c r="J34" s="17">
        <f>[31]Vendedor15!$L$6</f>
        <v>0</v>
      </c>
      <c r="K34" s="18">
        <f>[31]Vendedor15!$J$7</f>
        <v>0</v>
      </c>
      <c r="L34" s="15">
        <f>[31]Vendedor15!$K$7</f>
        <v>0</v>
      </c>
      <c r="M34" s="16">
        <f>[31]Vendedor15!$L$7</f>
        <v>0</v>
      </c>
      <c r="N34" s="19">
        <f>[31]Vendedor15!$J$8</f>
        <v>0</v>
      </c>
      <c r="O34" s="15">
        <f>[31]Vendedor15!$K$8</f>
        <v>0</v>
      </c>
      <c r="P34" s="17">
        <f>[31]Vendedor15!$L$8</f>
        <v>0</v>
      </c>
      <c r="Q34" s="19">
        <f>[31]Vendedor15!$J$10</f>
        <v>0</v>
      </c>
      <c r="R34" s="15">
        <f>[31]Vendedor15!$K$10</f>
        <v>0</v>
      </c>
      <c r="S34" s="17">
        <f>[31]Vendedor15!$L$10</f>
        <v>0</v>
      </c>
      <c r="T34" s="18">
        <f t="shared" si="5"/>
        <v>0</v>
      </c>
      <c r="U34" s="15">
        <f t="shared" si="2"/>
        <v>0</v>
      </c>
      <c r="V34" s="15">
        <f t="shared" si="3"/>
        <v>0</v>
      </c>
      <c r="W34" s="15">
        <v>0</v>
      </c>
      <c r="X34" s="17">
        <f t="shared" si="4"/>
        <v>0</v>
      </c>
    </row>
    <row r="35" spans="1:24">
      <c r="A35" s="13" t="s">
        <v>44</v>
      </c>
      <c r="B35" s="14">
        <f>[10]Vendedor15!$J$4</f>
        <v>0</v>
      </c>
      <c r="C35" s="81">
        <f>[10]Vendedor15!$K$4</f>
        <v>0</v>
      </c>
      <c r="D35" s="82">
        <f>[10]Vendedor15!$L$4</f>
        <v>0</v>
      </c>
      <c r="E35" s="14">
        <f>[10]Vendedor15!$J$5</f>
        <v>0</v>
      </c>
      <c r="F35" s="81">
        <f>[10]Vendedor15!$K$5</f>
        <v>0</v>
      </c>
      <c r="G35" s="85">
        <f>[10]Vendedor15!$L$5</f>
        <v>0</v>
      </c>
      <c r="H35" s="19">
        <f>[10]Vendedor15!$J$6</f>
        <v>0</v>
      </c>
      <c r="I35" s="15">
        <f>[10]Vendedor15!$K$6</f>
        <v>0</v>
      </c>
      <c r="J35" s="17">
        <f>[10]Vendedor15!$L$6</f>
        <v>0</v>
      </c>
      <c r="K35" s="18">
        <f>[10]Vendedor15!$J$7</f>
        <v>0</v>
      </c>
      <c r="L35" s="15">
        <f>[10]Vendedor15!$K$7</f>
        <v>0</v>
      </c>
      <c r="M35" s="16">
        <f>[10]Vendedor15!$L$7</f>
        <v>0</v>
      </c>
      <c r="N35" s="19">
        <f>[10]Vendedor15!$J$8</f>
        <v>0</v>
      </c>
      <c r="O35" s="15">
        <f>[10]Vendedor15!$K$8</f>
        <v>0</v>
      </c>
      <c r="P35" s="17">
        <f>[10]Vendedor15!$L$8</f>
        <v>0</v>
      </c>
      <c r="Q35" s="19">
        <f>[10]Vendedor15!$J$10</f>
        <v>0</v>
      </c>
      <c r="R35" s="15">
        <f>[10]Vendedor15!$K$10</f>
        <v>0</v>
      </c>
      <c r="S35" s="17">
        <f>[10]Vendedor15!$L$10</f>
        <v>0</v>
      </c>
      <c r="T35" s="18">
        <f t="shared" si="5"/>
        <v>0</v>
      </c>
      <c r="U35" s="15">
        <f t="shared" si="2"/>
        <v>0</v>
      </c>
      <c r="V35" s="15">
        <f t="shared" si="3"/>
        <v>0</v>
      </c>
      <c r="W35" s="15">
        <v>0</v>
      </c>
      <c r="X35" s="17">
        <f t="shared" si="4"/>
        <v>0</v>
      </c>
    </row>
    <row r="36" spans="1:24" ht="15.75" thickBot="1">
      <c r="A36" s="20" t="s">
        <v>45</v>
      </c>
      <c r="B36" s="21">
        <f>[11]Vendedor15!$J$4</f>
        <v>0</v>
      </c>
      <c r="C36" s="83">
        <f>[11]Vendedor15!$K$4</f>
        <v>0</v>
      </c>
      <c r="D36" s="84">
        <f>[11]Vendedor15!$L$4</f>
        <v>0</v>
      </c>
      <c r="E36" s="21">
        <f>[11]Vendedor15!$J$5</f>
        <v>0</v>
      </c>
      <c r="F36" s="83">
        <f>[11]Vendedor15!$K$5</f>
        <v>0</v>
      </c>
      <c r="G36" s="86">
        <f>[11]Vendedor15!$L$5</f>
        <v>0</v>
      </c>
      <c r="H36" s="26">
        <f>[11]Vendedor15!$J$6</f>
        <v>0</v>
      </c>
      <c r="I36" s="22">
        <f>[11]Vendedor15!$K$6</f>
        <v>0</v>
      </c>
      <c r="J36" s="24">
        <f>[11]Vendedor15!$L$6</f>
        <v>0</v>
      </c>
      <c r="K36" s="25">
        <f>[11]Vendedor15!$J$7</f>
        <v>0</v>
      </c>
      <c r="L36" s="22">
        <f>[11]Vendedor15!$K$7</f>
        <v>0</v>
      </c>
      <c r="M36" s="23">
        <f>[11]Vendedor15!$L$7</f>
        <v>0</v>
      </c>
      <c r="N36" s="26">
        <f>[11]Vendedor15!$J$8</f>
        <v>0</v>
      </c>
      <c r="O36" s="22">
        <f>[11]Vendedor15!$K$8</f>
        <v>0</v>
      </c>
      <c r="P36" s="24">
        <f>[11]Vendedor15!$L$8</f>
        <v>0</v>
      </c>
      <c r="Q36" s="26">
        <f>[11]Vendedor15!$J$10</f>
        <v>0</v>
      </c>
      <c r="R36" s="22">
        <f>[11]Vendedor15!$K$10</f>
        <v>0</v>
      </c>
      <c r="S36" s="24">
        <f>[11]Vendedor15!$L$10</f>
        <v>0</v>
      </c>
      <c r="T36" s="25">
        <f t="shared" si="5"/>
        <v>0</v>
      </c>
      <c r="U36" s="22">
        <f t="shared" si="2"/>
        <v>0</v>
      </c>
      <c r="V36" s="22">
        <f t="shared" si="3"/>
        <v>0</v>
      </c>
      <c r="W36" s="22">
        <v>0</v>
      </c>
      <c r="X36" s="24">
        <f t="shared" si="4"/>
        <v>0</v>
      </c>
    </row>
    <row r="37" spans="1:24" ht="16.5" thickBot="1">
      <c r="A37" s="5" t="s">
        <v>46</v>
      </c>
      <c r="B37" s="27">
        <f t="shared" ref="B37:S37" si="6">SUM(B6:B36)</f>
        <v>0</v>
      </c>
      <c r="C37" s="28">
        <f t="shared" si="6"/>
        <v>0</v>
      </c>
      <c r="D37" s="29">
        <f t="shared" si="6"/>
        <v>0</v>
      </c>
      <c r="E37" s="30">
        <f t="shared" si="6"/>
        <v>0</v>
      </c>
      <c r="F37" s="28">
        <f t="shared" si="6"/>
        <v>0</v>
      </c>
      <c r="G37" s="31">
        <f t="shared" si="6"/>
        <v>0</v>
      </c>
      <c r="H37" s="30">
        <f t="shared" si="6"/>
        <v>0</v>
      </c>
      <c r="I37" s="28">
        <f t="shared" si="6"/>
        <v>0</v>
      </c>
      <c r="J37" s="31">
        <f t="shared" si="6"/>
        <v>0</v>
      </c>
      <c r="K37" s="77">
        <f t="shared" si="6"/>
        <v>0</v>
      </c>
      <c r="L37" s="32">
        <f t="shared" si="6"/>
        <v>0</v>
      </c>
      <c r="M37" s="78">
        <f t="shared" si="6"/>
        <v>0</v>
      </c>
      <c r="N37" s="30">
        <f t="shared" si="6"/>
        <v>0</v>
      </c>
      <c r="O37" s="28">
        <f t="shared" si="6"/>
        <v>0</v>
      </c>
      <c r="P37" s="31">
        <f t="shared" si="6"/>
        <v>0</v>
      </c>
      <c r="Q37" s="30">
        <f t="shared" si="6"/>
        <v>0</v>
      </c>
      <c r="R37" s="28">
        <f t="shared" si="6"/>
        <v>0</v>
      </c>
      <c r="S37" s="31">
        <f t="shared" si="6"/>
        <v>0</v>
      </c>
      <c r="T37" s="60">
        <f>SUM(T6:T36)</f>
        <v>0</v>
      </c>
      <c r="U37" s="32">
        <f>SUM(U6:U36)</f>
        <v>0</v>
      </c>
      <c r="V37" s="32">
        <f>SUM(V6:V36)</f>
        <v>0</v>
      </c>
      <c r="W37" s="32">
        <f>SUM(W5:W36)</f>
        <v>0</v>
      </c>
      <c r="X37" s="33">
        <f>SUM(X5:X36)</f>
        <v>0</v>
      </c>
    </row>
  </sheetData>
  <mergeCells count="2">
    <mergeCell ref="B2:D2"/>
    <mergeCell ref="I1:T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7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1.57031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82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</row>
    <row r="4" spans="1:15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>
      <c r="A6" s="20" t="s">
        <v>49</v>
      </c>
      <c r="B6" s="53">
        <f>[1]Resumen!$B$18</f>
        <v>0</v>
      </c>
      <c r="C6" s="58">
        <f>[1]Resumen!$C$18</f>
        <v>0</v>
      </c>
      <c r="D6" s="54">
        <f>[1]Resumen!$D$18</f>
        <v>0</v>
      </c>
      <c r="E6" s="53">
        <f>[1]Resumen!$E$18</f>
        <v>0</v>
      </c>
      <c r="F6" s="58">
        <f>[1]Resumen!$F$18</f>
        <v>0</v>
      </c>
      <c r="G6" s="55">
        <f>[1]Resumen!$G$18</f>
        <v>0</v>
      </c>
      <c r="H6" s="61">
        <f>[1]Resumen!$H$18</f>
        <v>0</v>
      </c>
      <c r="I6" s="58">
        <f>[1]Resumen!$I$18</f>
        <v>0</v>
      </c>
      <c r="J6" s="54">
        <f>[1]Resumen!$J$18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>
      <c r="A7" s="13" t="s">
        <v>50</v>
      </c>
      <c r="B7" s="14">
        <f>[2]Resumen!$B$18</f>
        <v>0</v>
      </c>
      <c r="C7" s="15">
        <f>[2]Resumen!$C$18</f>
        <v>0</v>
      </c>
      <c r="D7" s="16">
        <f>[2]Resumen!$D$18</f>
        <v>0</v>
      </c>
      <c r="E7" s="14">
        <f>[2]Resumen!$E$18</f>
        <v>0</v>
      </c>
      <c r="F7" s="15">
        <f>[2]Resumen!$F$18</f>
        <v>0</v>
      </c>
      <c r="G7" s="17">
        <f>[2]Resumen!$G$18</f>
        <v>0</v>
      </c>
      <c r="H7" s="18">
        <f>[2]Resumen!$H$18</f>
        <v>0</v>
      </c>
      <c r="I7" s="15">
        <f>[2]Resumen!$I$18</f>
        <v>0</v>
      </c>
      <c r="J7" s="16">
        <f>[2]Resumen!$J$18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>
      <c r="A8" s="20" t="s">
        <v>51</v>
      </c>
      <c r="B8" s="14">
        <f>[3]Resumen!$B$18</f>
        <v>0</v>
      </c>
      <c r="C8" s="15">
        <f>[3]Resumen!$C$18</f>
        <v>0</v>
      </c>
      <c r="D8" s="16">
        <f>[3]Resumen!$D$18</f>
        <v>0</v>
      </c>
      <c r="E8" s="14">
        <f>[3]Resumen!$E$18</f>
        <v>0</v>
      </c>
      <c r="F8" s="15">
        <f>[3]Resumen!$F$18</f>
        <v>0</v>
      </c>
      <c r="G8" s="17">
        <f>[3]Resumen!$G$18</f>
        <v>0</v>
      </c>
      <c r="H8" s="18">
        <f>[3]Resumen!$H$18</f>
        <v>0</v>
      </c>
      <c r="I8" s="15">
        <f>[3]Resumen!$I$18</f>
        <v>0</v>
      </c>
      <c r="J8" s="16">
        <f>[3]Resumen!$J$18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>
      <c r="A9" s="13" t="s">
        <v>52</v>
      </c>
      <c r="B9" s="14">
        <f>[4]Resumen!$B$18</f>
        <v>0</v>
      </c>
      <c r="C9" s="15">
        <f>[4]Resumen!$C$18</f>
        <v>0</v>
      </c>
      <c r="D9" s="16">
        <f>[4]Resumen!$D$18</f>
        <v>0</v>
      </c>
      <c r="E9" s="14">
        <f>[4]Resumen!$E$18</f>
        <v>0</v>
      </c>
      <c r="F9" s="15">
        <f>[4]Resumen!$F$18</f>
        <v>0</v>
      </c>
      <c r="G9" s="17">
        <f>[4]Resumen!$G$18</f>
        <v>0</v>
      </c>
      <c r="H9" s="18">
        <f>[4]Resumen!$H$18</f>
        <v>0</v>
      </c>
      <c r="I9" s="15">
        <f>[4]Resumen!$I$18</f>
        <v>0</v>
      </c>
      <c r="J9" s="16">
        <f>[4]Resumen!$J$18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>
      <c r="A10" s="20" t="s">
        <v>53</v>
      </c>
      <c r="B10" s="14">
        <f>[5]Resumen!$B$18</f>
        <v>0</v>
      </c>
      <c r="C10" s="15">
        <f>[5]Resumen!$C$18</f>
        <v>0</v>
      </c>
      <c r="D10" s="16">
        <f>[5]Resumen!$D$18</f>
        <v>0</v>
      </c>
      <c r="E10" s="14">
        <f>[5]Resumen!$E$18</f>
        <v>0</v>
      </c>
      <c r="F10" s="15">
        <f>[5]Resumen!$F$18</f>
        <v>0</v>
      </c>
      <c r="G10" s="17">
        <f>[5]Resumen!$G$18</f>
        <v>0</v>
      </c>
      <c r="H10" s="18">
        <f>[5]Resumen!$H$18</f>
        <v>0</v>
      </c>
      <c r="I10" s="15">
        <f>[5]Resumen!$I$18</f>
        <v>0</v>
      </c>
      <c r="J10" s="16">
        <f>[5]Resumen!$J$18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>
      <c r="A11" s="13" t="s">
        <v>20</v>
      </c>
      <c r="B11" s="14">
        <f>[6]Resumen!$B$18</f>
        <v>0</v>
      </c>
      <c r="C11" s="15">
        <f>[6]Resumen!$C$18</f>
        <v>0</v>
      </c>
      <c r="D11" s="16">
        <f>[6]Resumen!$D$18</f>
        <v>0</v>
      </c>
      <c r="E11" s="14">
        <f>[6]Resumen!$E$18</f>
        <v>0</v>
      </c>
      <c r="F11" s="15">
        <f>[6]Resumen!$F$18</f>
        <v>0</v>
      </c>
      <c r="G11" s="17">
        <f>[6]Resumen!$G$18</f>
        <v>0</v>
      </c>
      <c r="H11" s="18">
        <f>[6]Resumen!$H$18</f>
        <v>0</v>
      </c>
      <c r="I11" s="15">
        <f>[6]Resumen!$I$18</f>
        <v>0</v>
      </c>
      <c r="J11" s="16">
        <f>[6]Resumen!$J$18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>
      <c r="A12" s="20" t="s">
        <v>21</v>
      </c>
      <c r="B12" s="14">
        <f>[7]Resumen!$B$18</f>
        <v>0</v>
      </c>
      <c r="C12" s="15">
        <f>[7]Resumen!$C$18</f>
        <v>0</v>
      </c>
      <c r="D12" s="16">
        <f>[7]Resumen!$D$18</f>
        <v>0</v>
      </c>
      <c r="E12" s="14">
        <f>[7]Resumen!$E$18</f>
        <v>0</v>
      </c>
      <c r="F12" s="15">
        <f>[7]Resumen!$F$18</f>
        <v>0</v>
      </c>
      <c r="G12" s="17">
        <f>[7]Resumen!$G$18</f>
        <v>0</v>
      </c>
      <c r="H12" s="18">
        <f>[7]Resumen!$H$18</f>
        <v>0</v>
      </c>
      <c r="I12" s="15">
        <f>[7]Resumen!$I$18</f>
        <v>0</v>
      </c>
      <c r="J12" s="16">
        <f>[7]Resumen!$J$18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>
      <c r="A13" s="13" t="s">
        <v>22</v>
      </c>
      <c r="B13" s="14">
        <f>[8]Resumen!$B$18</f>
        <v>0</v>
      </c>
      <c r="C13" s="15">
        <f>[8]Resumen!$C$18</f>
        <v>0</v>
      </c>
      <c r="D13" s="16">
        <f>[8]Resumen!$D$18</f>
        <v>0</v>
      </c>
      <c r="E13" s="14">
        <f>[8]Resumen!$E$18</f>
        <v>0</v>
      </c>
      <c r="F13" s="15">
        <f>[8]Resumen!$F$18</f>
        <v>0</v>
      </c>
      <c r="G13" s="17">
        <f>[8]Resumen!$G$18</f>
        <v>0</v>
      </c>
      <c r="H13" s="18">
        <f>[8]Resumen!$H$18</f>
        <v>0</v>
      </c>
      <c r="I13" s="15">
        <f>[8]Resumen!$I$18</f>
        <v>0</v>
      </c>
      <c r="J13" s="16">
        <f>[8]Resumen!$J$18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>
      <c r="A14" s="20" t="s">
        <v>23</v>
      </c>
      <c r="B14" s="14">
        <f>[9]Resumen!$B$18</f>
        <v>0</v>
      </c>
      <c r="C14" s="15">
        <f>[9]Resumen!$C$18</f>
        <v>0</v>
      </c>
      <c r="D14" s="16">
        <f>[9]Resumen!$D$18</f>
        <v>0</v>
      </c>
      <c r="E14" s="14">
        <f>[9]Resumen!$E$18</f>
        <v>0</v>
      </c>
      <c r="F14" s="15">
        <f>[9]Resumen!$F$18</f>
        <v>0</v>
      </c>
      <c r="G14" s="17">
        <f>[9]Resumen!$G$18</f>
        <v>0</v>
      </c>
      <c r="H14" s="18">
        <f>[9]Resumen!$H$18</f>
        <v>0</v>
      </c>
      <c r="I14" s="15">
        <f>[9]Resumen!$I$18</f>
        <v>0</v>
      </c>
      <c r="J14" s="16">
        <f>[9]Resumen!$J$18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>
      <c r="A15" s="13" t="s">
        <v>24</v>
      </c>
      <c r="B15" s="14">
        <f>[12]Resumen!$B$18</f>
        <v>0</v>
      </c>
      <c r="C15" s="15">
        <f>[12]Resumen!$C$18</f>
        <v>0</v>
      </c>
      <c r="D15" s="16">
        <f>[12]Resumen!$D$18</f>
        <v>0</v>
      </c>
      <c r="E15" s="14">
        <f>[12]Resumen!$E$18</f>
        <v>0</v>
      </c>
      <c r="F15" s="15">
        <f>[12]Resumen!$F$18</f>
        <v>0</v>
      </c>
      <c r="G15" s="17">
        <f>[12]Resumen!$G$18</f>
        <v>0</v>
      </c>
      <c r="H15" s="18">
        <f>[12]Resumen!$H$18</f>
        <v>0</v>
      </c>
      <c r="I15" s="15">
        <f>[12]Resumen!$I$18</f>
        <v>0</v>
      </c>
      <c r="J15" s="16">
        <f>[12]Resumen!$J$18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>
      <c r="A16" s="20" t="s">
        <v>25</v>
      </c>
      <c r="B16" s="14">
        <f>[13]Resumen!$B$18</f>
        <v>0</v>
      </c>
      <c r="C16" s="15">
        <f>[13]Resumen!$C$18</f>
        <v>0</v>
      </c>
      <c r="D16" s="16">
        <f>[13]Resumen!$D$18</f>
        <v>0</v>
      </c>
      <c r="E16" s="14">
        <f>[13]Resumen!$E$18</f>
        <v>0</v>
      </c>
      <c r="F16" s="15">
        <f>[13]Resumen!$F$18</f>
        <v>0</v>
      </c>
      <c r="G16" s="17">
        <f>[13]Resumen!$G$18</f>
        <v>0</v>
      </c>
      <c r="H16" s="18">
        <f>[13]Resumen!$H$18</f>
        <v>0</v>
      </c>
      <c r="I16" s="15">
        <f>[13]Resumen!$I$18</f>
        <v>0</v>
      </c>
      <c r="J16" s="16">
        <f>[13]Resumen!$J$18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>
      <c r="A17" s="13" t="s">
        <v>26</v>
      </c>
      <c r="B17" s="14">
        <f>[14]Resumen!$B$18</f>
        <v>0</v>
      </c>
      <c r="C17" s="15">
        <f>[14]Resumen!$C$18</f>
        <v>0</v>
      </c>
      <c r="D17" s="16">
        <f>[14]Resumen!$D$18</f>
        <v>0</v>
      </c>
      <c r="E17" s="14">
        <f>[14]Resumen!$E$18</f>
        <v>0</v>
      </c>
      <c r="F17" s="15">
        <f>[14]Resumen!$F$18</f>
        <v>0</v>
      </c>
      <c r="G17" s="17">
        <f>[14]Resumen!$G$18</f>
        <v>0</v>
      </c>
      <c r="H17" s="18">
        <f>[14]Resumen!$H$18</f>
        <v>0</v>
      </c>
      <c r="I17" s="15">
        <f>[14]Resumen!$I$18</f>
        <v>0</v>
      </c>
      <c r="J17" s="16">
        <f>[14]Resumen!$J$18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>
      <c r="A18" s="20" t="s">
        <v>27</v>
      </c>
      <c r="B18" s="14">
        <f>[15]Resumen!$B$18</f>
        <v>0</v>
      </c>
      <c r="C18" s="15">
        <f>[15]Resumen!$C$18</f>
        <v>0</v>
      </c>
      <c r="D18" s="16">
        <f>[15]Resumen!$D$18</f>
        <v>0</v>
      </c>
      <c r="E18" s="14">
        <f>[15]Resumen!$E$18</f>
        <v>0</v>
      </c>
      <c r="F18" s="15">
        <f>[15]Resumen!$F$18</f>
        <v>0</v>
      </c>
      <c r="G18" s="17">
        <f>[15]Resumen!$G$18</f>
        <v>0</v>
      </c>
      <c r="H18" s="18">
        <f>[15]Resumen!$H$18</f>
        <v>0</v>
      </c>
      <c r="I18" s="15">
        <f>[15]Resumen!$I$18</f>
        <v>0</v>
      </c>
      <c r="J18" s="16">
        <f>[15]Resumen!$J$18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>
      <c r="A19" s="20" t="s">
        <v>28</v>
      </c>
      <c r="B19" s="14">
        <f>[16]Resumen!$B$18</f>
        <v>0</v>
      </c>
      <c r="C19" s="15">
        <f>[16]Resumen!$C$18</f>
        <v>0</v>
      </c>
      <c r="D19" s="16">
        <f>[16]Resumen!$D$18</f>
        <v>0</v>
      </c>
      <c r="E19" s="14">
        <f>[16]Resumen!$E$18</f>
        <v>0</v>
      </c>
      <c r="F19" s="15">
        <f>[16]Resumen!$F$18</f>
        <v>0</v>
      </c>
      <c r="G19" s="17">
        <f>[16]Resumen!$G$18</f>
        <v>0</v>
      </c>
      <c r="H19" s="18">
        <f>[16]Resumen!$H$18</f>
        <v>0</v>
      </c>
      <c r="I19" s="15">
        <f>[16]Resumen!$I$18</f>
        <v>0</v>
      </c>
      <c r="J19" s="16">
        <f>[16]Resumen!$J$18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>
      <c r="A20" s="13" t="s">
        <v>29</v>
      </c>
      <c r="B20" s="14">
        <f>[17]Resumen!$B$18</f>
        <v>0</v>
      </c>
      <c r="C20" s="15">
        <f>[17]Resumen!$C$18</f>
        <v>0</v>
      </c>
      <c r="D20" s="16">
        <f>[17]Resumen!$D$18</f>
        <v>0</v>
      </c>
      <c r="E20" s="14">
        <f>[17]Resumen!$E$18</f>
        <v>0</v>
      </c>
      <c r="F20" s="15">
        <f>[17]Resumen!$F$18</f>
        <v>0</v>
      </c>
      <c r="G20" s="17">
        <f>[17]Resumen!$G$18</f>
        <v>0</v>
      </c>
      <c r="H20" s="18">
        <f>[17]Resumen!$H$18</f>
        <v>0</v>
      </c>
      <c r="I20" s="15">
        <f>[17]Resumen!$I$18</f>
        <v>0</v>
      </c>
      <c r="J20" s="16">
        <f>[17]Resumen!$J$18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>
      <c r="A21" s="20" t="s">
        <v>30</v>
      </c>
      <c r="B21" s="14">
        <f>[18]Resumen!$B$18</f>
        <v>0</v>
      </c>
      <c r="C21" s="15">
        <f>[18]Resumen!$C$18</f>
        <v>0</v>
      </c>
      <c r="D21" s="16">
        <f>[18]Resumen!$D$18</f>
        <v>0</v>
      </c>
      <c r="E21" s="14">
        <f>[18]Resumen!$E$18</f>
        <v>0</v>
      </c>
      <c r="F21" s="15">
        <f>[18]Resumen!$F$18</f>
        <v>0</v>
      </c>
      <c r="G21" s="17">
        <f>[18]Resumen!$G$18</f>
        <v>0</v>
      </c>
      <c r="H21" s="18">
        <f>[18]Resumen!$H$18</f>
        <v>0</v>
      </c>
      <c r="I21" s="15">
        <f>[18]Resumen!$I$18</f>
        <v>0</v>
      </c>
      <c r="J21" s="16">
        <f>[18]Resumen!$J$18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>
      <c r="A22" s="13" t="s">
        <v>31</v>
      </c>
      <c r="B22" s="14">
        <f>[19]Resumen!$B$18</f>
        <v>0</v>
      </c>
      <c r="C22" s="15">
        <f>[19]Resumen!$C$18</f>
        <v>0</v>
      </c>
      <c r="D22" s="16">
        <f>[19]Resumen!$D$18</f>
        <v>0</v>
      </c>
      <c r="E22" s="14">
        <f>[19]Resumen!$E$18</f>
        <v>0</v>
      </c>
      <c r="F22" s="15">
        <f>[19]Resumen!$F$18</f>
        <v>0</v>
      </c>
      <c r="G22" s="17">
        <f>[19]Resumen!$G$18</f>
        <v>0</v>
      </c>
      <c r="H22" s="18">
        <f>[19]Resumen!$H$18</f>
        <v>0</v>
      </c>
      <c r="I22" s="15">
        <f>[19]Resumen!$I$18</f>
        <v>0</v>
      </c>
      <c r="J22" s="16">
        <f>[19]Resumen!$J$18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>
      <c r="A23" s="20" t="s">
        <v>32</v>
      </c>
      <c r="B23" s="14">
        <f>[20]Resumen!$B$18</f>
        <v>0</v>
      </c>
      <c r="C23" s="15">
        <f>[20]Resumen!$C$18</f>
        <v>0</v>
      </c>
      <c r="D23" s="16">
        <f>[20]Resumen!$D$18</f>
        <v>0</v>
      </c>
      <c r="E23" s="14">
        <f>[20]Resumen!$E$18</f>
        <v>0</v>
      </c>
      <c r="F23" s="15">
        <f>[20]Resumen!$F$18</f>
        <v>0</v>
      </c>
      <c r="G23" s="17">
        <f>[20]Resumen!$G$18</f>
        <v>0</v>
      </c>
      <c r="H23" s="18">
        <f>[20]Resumen!$H$18</f>
        <v>0</v>
      </c>
      <c r="I23" s="15">
        <f>[20]Resumen!$I$18</f>
        <v>0</v>
      </c>
      <c r="J23" s="16">
        <f>[20]Resumen!$J$18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>
      <c r="A24" s="13" t="s">
        <v>33</v>
      </c>
      <c r="B24" s="14">
        <f>[21]Resumen!$B$18</f>
        <v>0</v>
      </c>
      <c r="C24" s="15">
        <f>[21]Resumen!$C$18</f>
        <v>0</v>
      </c>
      <c r="D24" s="16">
        <f>[21]Resumen!$D$18</f>
        <v>0</v>
      </c>
      <c r="E24" s="14">
        <f>[21]Resumen!$E$18</f>
        <v>0</v>
      </c>
      <c r="F24" s="15">
        <f>[21]Resumen!$F$18</f>
        <v>0</v>
      </c>
      <c r="G24" s="17">
        <f>[21]Resumen!$G$18</f>
        <v>0</v>
      </c>
      <c r="H24" s="18">
        <f>[21]Resumen!$H$18</f>
        <v>0</v>
      </c>
      <c r="I24" s="15">
        <f>[21]Resumen!$I$18</f>
        <v>0</v>
      </c>
      <c r="J24" s="16">
        <f>[21]Resumen!$J$18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>
      <c r="A25" s="20" t="s">
        <v>34</v>
      </c>
      <c r="B25" s="14">
        <f>[22]Resumen!$B$18</f>
        <v>0</v>
      </c>
      <c r="C25" s="15">
        <f>[22]Resumen!$C$18</f>
        <v>0</v>
      </c>
      <c r="D25" s="16">
        <f>[22]Resumen!$D$18</f>
        <v>0</v>
      </c>
      <c r="E25" s="14">
        <f>[22]Resumen!$E$18</f>
        <v>0</v>
      </c>
      <c r="F25" s="15">
        <f>[22]Resumen!$F$18</f>
        <v>0</v>
      </c>
      <c r="G25" s="17">
        <f>[22]Resumen!$G$18</f>
        <v>0</v>
      </c>
      <c r="H25" s="18">
        <f>[22]Resumen!$H$18</f>
        <v>0</v>
      </c>
      <c r="I25" s="15">
        <f>[22]Resumen!$I$18</f>
        <v>0</v>
      </c>
      <c r="J25" s="16">
        <f>[22]Resumen!$J$18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>
      <c r="A26" s="13" t="s">
        <v>35</v>
      </c>
      <c r="B26" s="14">
        <f>[23]Resumen!$B$18</f>
        <v>0</v>
      </c>
      <c r="C26" s="15">
        <f>[23]Resumen!$C$18</f>
        <v>0</v>
      </c>
      <c r="D26" s="16">
        <f>[23]Resumen!$D$18</f>
        <v>0</v>
      </c>
      <c r="E26" s="14">
        <f>[23]Resumen!$E$18</f>
        <v>0</v>
      </c>
      <c r="F26" s="15">
        <f>[23]Resumen!$F$18</f>
        <v>0</v>
      </c>
      <c r="G26" s="17">
        <f>[23]Resumen!$G$18</f>
        <v>0</v>
      </c>
      <c r="H26" s="18">
        <f>[23]Resumen!$H$18</f>
        <v>0</v>
      </c>
      <c r="I26" s="15">
        <f>[23]Resumen!$I$18</f>
        <v>0</v>
      </c>
      <c r="J26" s="16">
        <f>[23]Resumen!$J$18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>
      <c r="A27" s="20" t="s">
        <v>36</v>
      </c>
      <c r="B27" s="14">
        <f>[24]Resumen!$B$18</f>
        <v>0</v>
      </c>
      <c r="C27" s="15">
        <f>[24]Resumen!$C$18</f>
        <v>0</v>
      </c>
      <c r="D27" s="16">
        <f>[24]Resumen!$D$18</f>
        <v>0</v>
      </c>
      <c r="E27" s="14">
        <f>[24]Resumen!$E$18</f>
        <v>0</v>
      </c>
      <c r="F27" s="15">
        <f>[24]Resumen!$F$18</f>
        <v>0</v>
      </c>
      <c r="G27" s="17">
        <f>[24]Resumen!$G$18</f>
        <v>0</v>
      </c>
      <c r="H27" s="18">
        <f>[24]Resumen!$H$18</f>
        <v>0</v>
      </c>
      <c r="I27" s="15">
        <f>[24]Resumen!$I$18</f>
        <v>0</v>
      </c>
      <c r="J27" s="16">
        <f>[24]Resumen!$J$18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>
      <c r="A28" s="13" t="s">
        <v>37</v>
      </c>
      <c r="B28" s="14">
        <f>[25]Resumen!$B$18</f>
        <v>0</v>
      </c>
      <c r="C28" s="15">
        <f>[25]Resumen!$C$18</f>
        <v>0</v>
      </c>
      <c r="D28" s="16">
        <f>[25]Resumen!$D$18</f>
        <v>0</v>
      </c>
      <c r="E28" s="14">
        <f>[25]Resumen!$E$18</f>
        <v>0</v>
      </c>
      <c r="F28" s="15">
        <f>[25]Resumen!$F$18</f>
        <v>0</v>
      </c>
      <c r="G28" s="17">
        <f>[25]Resumen!$G$18</f>
        <v>0</v>
      </c>
      <c r="H28" s="18">
        <f>[25]Resumen!$H$18</f>
        <v>0</v>
      </c>
      <c r="I28" s="15">
        <f>[25]Resumen!$I$18</f>
        <v>0</v>
      </c>
      <c r="J28" s="16">
        <f>[25]Resumen!$J$18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>
      <c r="A29" s="20" t="s">
        <v>38</v>
      </c>
      <c r="B29" s="14">
        <f>[26]Resumen!$B$18</f>
        <v>0</v>
      </c>
      <c r="C29" s="15">
        <f>[26]Resumen!$C$18</f>
        <v>0</v>
      </c>
      <c r="D29" s="16">
        <f>[26]Resumen!$D$18</f>
        <v>0</v>
      </c>
      <c r="E29" s="14">
        <f>[26]Resumen!$E$18</f>
        <v>0</v>
      </c>
      <c r="F29" s="15">
        <f>[26]Resumen!$F$18</f>
        <v>0</v>
      </c>
      <c r="G29" s="17">
        <f>[26]Resumen!$G$18</f>
        <v>0</v>
      </c>
      <c r="H29" s="18">
        <f>[26]Resumen!$H$18</f>
        <v>0</v>
      </c>
      <c r="I29" s="15">
        <f>[26]Resumen!$I$18</f>
        <v>0</v>
      </c>
      <c r="J29" s="16">
        <f>[26]Resumen!$J$18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>
      <c r="A30" s="13" t="s">
        <v>39</v>
      </c>
      <c r="B30" s="14">
        <f>[27]Resumen!$B$18</f>
        <v>0</v>
      </c>
      <c r="C30" s="15">
        <f>[27]Resumen!$C$18</f>
        <v>0</v>
      </c>
      <c r="D30" s="16">
        <f>[27]Resumen!$D$18</f>
        <v>0</v>
      </c>
      <c r="E30" s="14">
        <f>[27]Resumen!$E$18</f>
        <v>0</v>
      </c>
      <c r="F30" s="15">
        <f>[27]Resumen!$F$18</f>
        <v>0</v>
      </c>
      <c r="G30" s="17">
        <f>[27]Resumen!$G$18</f>
        <v>0</v>
      </c>
      <c r="H30" s="18">
        <f>[27]Resumen!$H$18</f>
        <v>0</v>
      </c>
      <c r="I30" s="15">
        <f>[27]Resumen!$I$18</f>
        <v>0</v>
      </c>
      <c r="J30" s="16">
        <f>[27]Resumen!$J$18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>
      <c r="A31" s="20" t="s">
        <v>40</v>
      </c>
      <c r="B31" s="14">
        <f>[28]Resumen!$B$18</f>
        <v>0</v>
      </c>
      <c r="C31" s="15">
        <f>[28]Resumen!$C$18</f>
        <v>0</v>
      </c>
      <c r="D31" s="16">
        <f>[28]Resumen!$D$18</f>
        <v>0</v>
      </c>
      <c r="E31" s="14">
        <f>[28]Resumen!$E$18</f>
        <v>0</v>
      </c>
      <c r="F31" s="15">
        <f>[28]Resumen!$F$18</f>
        <v>0</v>
      </c>
      <c r="G31" s="17">
        <f>[28]Resumen!$G$18</f>
        <v>0</v>
      </c>
      <c r="H31" s="18">
        <f>[28]Resumen!$H$18</f>
        <v>0</v>
      </c>
      <c r="I31" s="15">
        <f>[28]Resumen!$I$18</f>
        <v>0</v>
      </c>
      <c r="J31" s="16">
        <f>[28]Resumen!$J$18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>
      <c r="A32" s="20" t="s">
        <v>41</v>
      </c>
      <c r="B32" s="14">
        <f>[29]Resumen!$B$18</f>
        <v>0</v>
      </c>
      <c r="C32" s="15">
        <f>[29]Resumen!$C$18</f>
        <v>0</v>
      </c>
      <c r="D32" s="16">
        <f>[29]Resumen!$D$18</f>
        <v>0</v>
      </c>
      <c r="E32" s="14">
        <f>[29]Resumen!$E$18</f>
        <v>0</v>
      </c>
      <c r="F32" s="15">
        <f>[29]Resumen!$F$18</f>
        <v>0</v>
      </c>
      <c r="G32" s="17">
        <f>[29]Resumen!$G$18</f>
        <v>0</v>
      </c>
      <c r="H32" s="18">
        <f>[29]Resumen!$H$18</f>
        <v>0</v>
      </c>
      <c r="I32" s="15">
        <f>[29]Resumen!$I$18</f>
        <v>0</v>
      </c>
      <c r="J32" s="16">
        <f>[29]Resumen!$J$18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>
      <c r="A33" s="13" t="s">
        <v>42</v>
      </c>
      <c r="B33" s="14">
        <f>[30]Resumen!$B$18</f>
        <v>0</v>
      </c>
      <c r="C33" s="15">
        <f>[30]Resumen!$C$18</f>
        <v>0</v>
      </c>
      <c r="D33" s="16">
        <f>[30]Resumen!$D$18</f>
        <v>0</v>
      </c>
      <c r="E33" s="14">
        <f>[30]Resumen!$E$18</f>
        <v>0</v>
      </c>
      <c r="F33" s="15">
        <f>[30]Resumen!$F$18</f>
        <v>0</v>
      </c>
      <c r="G33" s="17">
        <f>[30]Resumen!$G$18</f>
        <v>0</v>
      </c>
      <c r="H33" s="18">
        <f>[30]Resumen!$H$18</f>
        <v>0</v>
      </c>
      <c r="I33" s="15">
        <f>[30]Resumen!$I$18</f>
        <v>0</v>
      </c>
      <c r="J33" s="16">
        <f>[30]Resumen!$J$18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>
      <c r="A34" s="20" t="s">
        <v>43</v>
      </c>
      <c r="B34" s="14">
        <f>[31]Resumen!$B$18</f>
        <v>0</v>
      </c>
      <c r="C34" s="15">
        <f>[31]Resumen!$C$18</f>
        <v>0</v>
      </c>
      <c r="D34" s="16">
        <f>[31]Resumen!$D$18</f>
        <v>0</v>
      </c>
      <c r="E34" s="14">
        <f>[31]Resumen!$E$18</f>
        <v>0</v>
      </c>
      <c r="F34" s="15">
        <f>[31]Resumen!$F$18</f>
        <v>0</v>
      </c>
      <c r="G34" s="17">
        <f>[31]Resumen!$G$18</f>
        <v>0</v>
      </c>
      <c r="H34" s="18">
        <f>[31]Resumen!$H$18</f>
        <v>0</v>
      </c>
      <c r="I34" s="15">
        <f>[31]Resumen!$I$18</f>
        <v>0</v>
      </c>
      <c r="J34" s="16">
        <f>[31]Resumen!$J$18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>
      <c r="A35" s="13" t="s">
        <v>44</v>
      </c>
      <c r="B35" s="14">
        <f>[10]Resumen!$B$18</f>
        <v>0</v>
      </c>
      <c r="C35" s="15">
        <f>[10]Resumen!$C$18</f>
        <v>0</v>
      </c>
      <c r="D35" s="16">
        <f>[10]Resumen!$D$18</f>
        <v>0</v>
      </c>
      <c r="E35" s="14">
        <f>[10]Resumen!$E$18</f>
        <v>0</v>
      </c>
      <c r="F35" s="15">
        <f>[10]Resumen!$F$18</f>
        <v>0</v>
      </c>
      <c r="G35" s="17">
        <f>[10]Resumen!$G$18</f>
        <v>0</v>
      </c>
      <c r="H35" s="18">
        <f>[10]Resumen!$H$18</f>
        <v>0</v>
      </c>
      <c r="I35" s="15">
        <f>[10]Resumen!$I$18</f>
        <v>0</v>
      </c>
      <c r="J35" s="16">
        <f>[10]Resumen!$J$18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>
      <c r="A36" s="20" t="s">
        <v>45</v>
      </c>
      <c r="B36" s="21">
        <f>+[11]Resumen!$B$18</f>
        <v>0</v>
      </c>
      <c r="C36" s="22">
        <f>+[11]Resumen!$C$18</f>
        <v>0</v>
      </c>
      <c r="D36" s="23">
        <f>+[11]Resumen!$D$18</f>
        <v>0</v>
      </c>
      <c r="E36" s="21">
        <f>+[11]Resumen!$E$18</f>
        <v>0</v>
      </c>
      <c r="F36" s="22">
        <f>+[11]Resumen!$F$18</f>
        <v>0</v>
      </c>
      <c r="G36" s="24">
        <f>+[11]Resumen!$G$18</f>
        <v>0</v>
      </c>
      <c r="H36" s="25">
        <f>+[11]Resumen!$H$18</f>
        <v>0</v>
      </c>
      <c r="I36" s="22">
        <f>+[11]Resumen!$I$18</f>
        <v>0</v>
      </c>
      <c r="J36" s="23">
        <f>+[11]Resumen!$J$18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7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7"/>
  <sheetViews>
    <sheetView showGridLines="0" zoomScale="90" zoomScaleNormal="90" workbookViewId="0">
      <selection activeCell="H17" sqref="H17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1406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78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>
      <c r="A6" s="20" t="s">
        <v>49</v>
      </c>
      <c r="B6" s="53">
        <f>[1]Resumen!$B$19</f>
        <v>0</v>
      </c>
      <c r="C6" s="58">
        <f>[1]Resumen!$C$19</f>
        <v>0</v>
      </c>
      <c r="D6" s="54">
        <f>[1]Resumen!$D$19</f>
        <v>0</v>
      </c>
      <c r="E6" s="53">
        <f>[1]Resumen!$E$19</f>
        <v>0</v>
      </c>
      <c r="F6" s="58">
        <f>[1]Resumen!$F$19</f>
        <v>0</v>
      </c>
      <c r="G6" s="55">
        <f>[1]Resumen!$G$19</f>
        <v>0</v>
      </c>
      <c r="H6" s="61">
        <f>[1]Resumen!$H$19</f>
        <v>0</v>
      </c>
      <c r="I6" s="58">
        <f>[1]Resumen!$I$19</f>
        <v>0</v>
      </c>
      <c r="J6" s="54">
        <f>[1]Resumen!$J$19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>
      <c r="A7" s="13" t="s">
        <v>50</v>
      </c>
      <c r="B7" s="14">
        <f>[2]Resumen!$B$19</f>
        <v>0</v>
      </c>
      <c r="C7" s="15">
        <f>[2]Resumen!$C$19</f>
        <v>0</v>
      </c>
      <c r="D7" s="16">
        <f>[2]Resumen!$D$19</f>
        <v>0</v>
      </c>
      <c r="E7" s="14">
        <f>[2]Resumen!$E$19</f>
        <v>0</v>
      </c>
      <c r="F7" s="15">
        <f>[2]Resumen!$F$19</f>
        <v>0</v>
      </c>
      <c r="G7" s="17">
        <f>[2]Resumen!$G$19</f>
        <v>0</v>
      </c>
      <c r="H7" s="18">
        <f>[2]Resumen!$H$19</f>
        <v>0</v>
      </c>
      <c r="I7" s="15">
        <f>[2]Resumen!$I$19</f>
        <v>0</v>
      </c>
      <c r="J7" s="16">
        <f>[2]Resumen!$J$19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>
      <c r="A8" s="20" t="s">
        <v>51</v>
      </c>
      <c r="B8" s="14">
        <f>[3]Resumen!$B$19</f>
        <v>0</v>
      </c>
      <c r="C8" s="15">
        <f>[3]Resumen!$C$19</f>
        <v>0</v>
      </c>
      <c r="D8" s="16">
        <f>[3]Resumen!$D$19</f>
        <v>0</v>
      </c>
      <c r="E8" s="14">
        <f>[3]Resumen!$E$19</f>
        <v>0</v>
      </c>
      <c r="F8" s="15">
        <f>[3]Resumen!$F$19</f>
        <v>0</v>
      </c>
      <c r="G8" s="17">
        <f>[3]Resumen!$G$19</f>
        <v>0</v>
      </c>
      <c r="H8" s="18">
        <f>[3]Resumen!$H$19</f>
        <v>0</v>
      </c>
      <c r="I8" s="15">
        <f>[3]Resumen!$I$19</f>
        <v>0</v>
      </c>
      <c r="J8" s="16">
        <f>[3]Resumen!$J$19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>
      <c r="A9" s="13" t="s">
        <v>52</v>
      </c>
      <c r="B9" s="14">
        <f>[4]Resumen!$B$19</f>
        <v>0</v>
      </c>
      <c r="C9" s="15">
        <f>[4]Resumen!$C$19</f>
        <v>0</v>
      </c>
      <c r="D9" s="16">
        <f>[4]Resumen!$D$19</f>
        <v>0</v>
      </c>
      <c r="E9" s="14">
        <f>[4]Resumen!$E$19</f>
        <v>0</v>
      </c>
      <c r="F9" s="15">
        <f>[4]Resumen!$F$19</f>
        <v>0</v>
      </c>
      <c r="G9" s="17">
        <f>[4]Resumen!$G$19</f>
        <v>0</v>
      </c>
      <c r="H9" s="18">
        <f>[4]Resumen!$H$19</f>
        <v>0</v>
      </c>
      <c r="I9" s="15">
        <f>[4]Resumen!$I$19</f>
        <v>0</v>
      </c>
      <c r="J9" s="16">
        <f>[4]Resumen!$J$19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>
      <c r="A10" s="20" t="s">
        <v>53</v>
      </c>
      <c r="B10" s="14">
        <f>[5]Resumen!$B$19</f>
        <v>0</v>
      </c>
      <c r="C10" s="15">
        <f>[5]Resumen!$C$19</f>
        <v>0</v>
      </c>
      <c r="D10" s="16">
        <f>[5]Resumen!$D$19</f>
        <v>0</v>
      </c>
      <c r="E10" s="14">
        <f>[5]Resumen!$E$19</f>
        <v>0</v>
      </c>
      <c r="F10" s="15">
        <f>[5]Resumen!$F$19</f>
        <v>0</v>
      </c>
      <c r="G10" s="17">
        <f>[5]Resumen!$G$19</f>
        <v>0</v>
      </c>
      <c r="H10" s="18">
        <f>[5]Resumen!$H$19</f>
        <v>0</v>
      </c>
      <c r="I10" s="15">
        <f>[5]Resumen!$I$19</f>
        <v>0</v>
      </c>
      <c r="J10" s="16">
        <f>[5]Resumen!$J$19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>
      <c r="A11" s="13" t="s">
        <v>20</v>
      </c>
      <c r="B11" s="14">
        <f>[6]Resumen!$B$19</f>
        <v>0</v>
      </c>
      <c r="C11" s="15">
        <f>[6]Resumen!$C$19</f>
        <v>0</v>
      </c>
      <c r="D11" s="16">
        <f>[6]Resumen!$D$19</f>
        <v>0</v>
      </c>
      <c r="E11" s="14">
        <f>[6]Resumen!$E$19</f>
        <v>0</v>
      </c>
      <c r="F11" s="15">
        <f>[6]Resumen!$F$19</f>
        <v>0</v>
      </c>
      <c r="G11" s="17">
        <f>[6]Resumen!$G$19</f>
        <v>0</v>
      </c>
      <c r="H11" s="18">
        <f>[6]Resumen!$H$19</f>
        <v>0</v>
      </c>
      <c r="I11" s="15">
        <f>[6]Resumen!$I$19</f>
        <v>0</v>
      </c>
      <c r="J11" s="16">
        <f>[6]Resumen!$J$19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>
      <c r="A12" s="20" t="s">
        <v>21</v>
      </c>
      <c r="B12" s="14">
        <f>[7]Resumen!$B$19</f>
        <v>0</v>
      </c>
      <c r="C12" s="15">
        <f>[7]Resumen!$C$19</f>
        <v>0</v>
      </c>
      <c r="D12" s="16">
        <f>[7]Resumen!$D$19</f>
        <v>0</v>
      </c>
      <c r="E12" s="14">
        <f>[7]Resumen!$E$19</f>
        <v>0</v>
      </c>
      <c r="F12" s="15">
        <f>[7]Resumen!$F$19</f>
        <v>0</v>
      </c>
      <c r="G12" s="17">
        <f>[7]Resumen!$G$19</f>
        <v>0</v>
      </c>
      <c r="H12" s="18">
        <f>[7]Resumen!$H$19</f>
        <v>0</v>
      </c>
      <c r="I12" s="15">
        <f>[7]Resumen!$I$19</f>
        <v>0</v>
      </c>
      <c r="J12" s="16">
        <f>[7]Resumen!$J$19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>
      <c r="A13" s="13" t="s">
        <v>22</v>
      </c>
      <c r="B13" s="14">
        <f>[8]Resumen!$B$19</f>
        <v>0</v>
      </c>
      <c r="C13" s="15">
        <f>[8]Resumen!$C$19</f>
        <v>0</v>
      </c>
      <c r="D13" s="16">
        <f>[8]Resumen!$D$19</f>
        <v>0</v>
      </c>
      <c r="E13" s="14">
        <f>[8]Resumen!$E$19</f>
        <v>0</v>
      </c>
      <c r="F13" s="15">
        <f>[8]Resumen!$F$19</f>
        <v>0</v>
      </c>
      <c r="G13" s="17">
        <f>[8]Resumen!$G$19</f>
        <v>0</v>
      </c>
      <c r="H13" s="18">
        <f>[8]Resumen!$H$19</f>
        <v>0</v>
      </c>
      <c r="I13" s="15">
        <f>[8]Resumen!$I$19</f>
        <v>0</v>
      </c>
      <c r="J13" s="16">
        <f>[8]Resumen!$J$19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>
      <c r="A14" s="20" t="s">
        <v>23</v>
      </c>
      <c r="B14" s="14">
        <f>[9]Resumen!$B$19</f>
        <v>0</v>
      </c>
      <c r="C14" s="15">
        <f>[9]Resumen!$C$19</f>
        <v>0</v>
      </c>
      <c r="D14" s="16">
        <f>[9]Resumen!$D$19</f>
        <v>0</v>
      </c>
      <c r="E14" s="14">
        <f>[9]Resumen!$E$19</f>
        <v>0</v>
      </c>
      <c r="F14" s="15">
        <f>[9]Resumen!$F$19</f>
        <v>0</v>
      </c>
      <c r="G14" s="17">
        <f>[9]Resumen!$G$19</f>
        <v>0</v>
      </c>
      <c r="H14" s="18">
        <f>[9]Resumen!$H$19</f>
        <v>0</v>
      </c>
      <c r="I14" s="15">
        <f>[9]Resumen!$I$19</f>
        <v>0</v>
      </c>
      <c r="J14" s="16">
        <f>[9]Resumen!$J$19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>
      <c r="A15" s="13" t="s">
        <v>24</v>
      </c>
      <c r="B15" s="14">
        <f>[12]Resumen!$B$19</f>
        <v>0</v>
      </c>
      <c r="C15" s="15">
        <f>[12]Resumen!$C$19</f>
        <v>0</v>
      </c>
      <c r="D15" s="16">
        <f>[12]Resumen!$D$19</f>
        <v>0</v>
      </c>
      <c r="E15" s="14">
        <f>[12]Resumen!$E$19</f>
        <v>0</v>
      </c>
      <c r="F15" s="15">
        <f>[12]Resumen!$F$19</f>
        <v>0</v>
      </c>
      <c r="G15" s="17">
        <f>[12]Resumen!$G$19</f>
        <v>0</v>
      </c>
      <c r="H15" s="18">
        <f>[12]Resumen!$H$19</f>
        <v>0</v>
      </c>
      <c r="I15" s="15">
        <f>[12]Resumen!$I$19</f>
        <v>0</v>
      </c>
      <c r="J15" s="16">
        <f>[12]Resumen!$J$19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>
      <c r="A16" s="20" t="s">
        <v>25</v>
      </c>
      <c r="B16" s="14">
        <f>[13]Resumen!$B$19</f>
        <v>0</v>
      </c>
      <c r="C16" s="15">
        <f>[13]Resumen!$C$19</f>
        <v>0</v>
      </c>
      <c r="D16" s="16">
        <f>[13]Resumen!$D$19</f>
        <v>0</v>
      </c>
      <c r="E16" s="14">
        <f>[13]Resumen!$E$19</f>
        <v>0</v>
      </c>
      <c r="F16" s="15">
        <f>[13]Resumen!$F$19</f>
        <v>0</v>
      </c>
      <c r="G16" s="17">
        <f>[13]Resumen!$G$19</f>
        <v>0</v>
      </c>
      <c r="H16" s="18">
        <f>[13]Resumen!$H$19</f>
        <v>0</v>
      </c>
      <c r="I16" s="15">
        <f>[13]Resumen!$I$19</f>
        <v>0</v>
      </c>
      <c r="J16" s="16">
        <f>[13]Resumen!$J$19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>
      <c r="A17" s="13" t="s">
        <v>26</v>
      </c>
      <c r="B17" s="14">
        <f>[14]Resumen!$B$19</f>
        <v>0</v>
      </c>
      <c r="C17" s="15">
        <f>[14]Resumen!$C$19</f>
        <v>0</v>
      </c>
      <c r="D17" s="16">
        <f>[14]Resumen!$D$19</f>
        <v>0</v>
      </c>
      <c r="E17" s="14">
        <f>[14]Resumen!$E$19</f>
        <v>0</v>
      </c>
      <c r="F17" s="15">
        <f>[14]Resumen!$F$19</f>
        <v>0</v>
      </c>
      <c r="G17" s="17">
        <f>[14]Resumen!$G$19</f>
        <v>0</v>
      </c>
      <c r="H17" s="18">
        <f>[14]Resumen!$H$19</f>
        <v>0</v>
      </c>
      <c r="I17" s="15">
        <f>[14]Resumen!$I$19</f>
        <v>0</v>
      </c>
      <c r="J17" s="16">
        <f>[14]Resumen!$J$19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>
      <c r="A18" s="20" t="s">
        <v>27</v>
      </c>
      <c r="B18" s="14">
        <f>[15]Resumen!$B$19</f>
        <v>0</v>
      </c>
      <c r="C18" s="15">
        <f>[15]Resumen!$C$19</f>
        <v>0</v>
      </c>
      <c r="D18" s="16">
        <f>[15]Resumen!$D$19</f>
        <v>0</v>
      </c>
      <c r="E18" s="14">
        <f>[15]Resumen!$E$19</f>
        <v>0</v>
      </c>
      <c r="F18" s="15">
        <f>[15]Resumen!$F$19</f>
        <v>0</v>
      </c>
      <c r="G18" s="17">
        <f>[15]Resumen!$G$19</f>
        <v>0</v>
      </c>
      <c r="H18" s="18">
        <f>[15]Resumen!$H$19</f>
        <v>0</v>
      </c>
      <c r="I18" s="15">
        <f>[15]Resumen!$I$19</f>
        <v>0</v>
      </c>
      <c r="J18" s="16">
        <f>[15]Resumen!$J$19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>
      <c r="A19" s="20" t="s">
        <v>28</v>
      </c>
      <c r="B19" s="14">
        <f>[16]Resumen!$B$19</f>
        <v>0</v>
      </c>
      <c r="C19" s="15">
        <f>[16]Resumen!$C$19</f>
        <v>0</v>
      </c>
      <c r="D19" s="16">
        <f>[16]Resumen!$D$19</f>
        <v>0</v>
      </c>
      <c r="E19" s="14">
        <f>[16]Resumen!$E$19</f>
        <v>0</v>
      </c>
      <c r="F19" s="15">
        <f>[16]Resumen!$F$19</f>
        <v>0</v>
      </c>
      <c r="G19" s="17">
        <f>[16]Resumen!$G$19</f>
        <v>0</v>
      </c>
      <c r="H19" s="18">
        <f>[16]Resumen!$H$19</f>
        <v>0</v>
      </c>
      <c r="I19" s="15">
        <f>[16]Resumen!$I$19</f>
        <v>0</v>
      </c>
      <c r="J19" s="16">
        <f>[16]Resumen!$J$19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>
      <c r="A20" s="13" t="s">
        <v>29</v>
      </c>
      <c r="B20" s="14">
        <f>[17]Resumen!$B$19</f>
        <v>0</v>
      </c>
      <c r="C20" s="15">
        <f>[17]Resumen!$C$19</f>
        <v>0</v>
      </c>
      <c r="D20" s="16">
        <f>[17]Resumen!$D$19</f>
        <v>0</v>
      </c>
      <c r="E20" s="14">
        <f>[17]Resumen!$E$19</f>
        <v>0</v>
      </c>
      <c r="F20" s="15">
        <f>[17]Resumen!$F$19</f>
        <v>0</v>
      </c>
      <c r="G20" s="17">
        <f>[17]Resumen!$G$19</f>
        <v>0</v>
      </c>
      <c r="H20" s="18">
        <f>[17]Resumen!$H$19</f>
        <v>0</v>
      </c>
      <c r="I20" s="15">
        <f>[17]Resumen!$I$19</f>
        <v>0</v>
      </c>
      <c r="J20" s="16">
        <f>[17]Resumen!$J$19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>
      <c r="A21" s="20" t="s">
        <v>30</v>
      </c>
      <c r="B21" s="14">
        <f>[18]Resumen!$B$19</f>
        <v>0</v>
      </c>
      <c r="C21" s="15">
        <f>[18]Resumen!$C$19</f>
        <v>0</v>
      </c>
      <c r="D21" s="16">
        <f>[18]Resumen!$D$19</f>
        <v>0</v>
      </c>
      <c r="E21" s="14">
        <f>[18]Resumen!$E$19</f>
        <v>0</v>
      </c>
      <c r="F21" s="15">
        <f>[18]Resumen!$F$19</f>
        <v>0</v>
      </c>
      <c r="G21" s="17">
        <f>[18]Resumen!$G$19</f>
        <v>0</v>
      </c>
      <c r="H21" s="18">
        <f>[18]Resumen!$H$19</f>
        <v>0</v>
      </c>
      <c r="I21" s="15">
        <f>[18]Resumen!$I$19</f>
        <v>0</v>
      </c>
      <c r="J21" s="16">
        <f>[18]Resumen!$J$19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>
      <c r="A22" s="13" t="s">
        <v>31</v>
      </c>
      <c r="B22" s="14">
        <f>[19]Resumen!$B$19</f>
        <v>0</v>
      </c>
      <c r="C22" s="15">
        <f>[19]Resumen!$C$19</f>
        <v>0</v>
      </c>
      <c r="D22" s="16">
        <f>[19]Resumen!$D$19</f>
        <v>0</v>
      </c>
      <c r="E22" s="14">
        <f>[19]Resumen!$E$19</f>
        <v>0</v>
      </c>
      <c r="F22" s="15">
        <f>[19]Resumen!$F$19</f>
        <v>0</v>
      </c>
      <c r="G22" s="17">
        <f>[19]Resumen!$G$19</f>
        <v>0</v>
      </c>
      <c r="H22" s="18">
        <f>[19]Resumen!$H$19</f>
        <v>0</v>
      </c>
      <c r="I22" s="15">
        <f>[19]Resumen!$I$19</f>
        <v>0</v>
      </c>
      <c r="J22" s="16">
        <f>[19]Resumen!$J$19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>
      <c r="A23" s="20" t="s">
        <v>32</v>
      </c>
      <c r="B23" s="14">
        <f>[20]Resumen!$B$19</f>
        <v>0</v>
      </c>
      <c r="C23" s="15">
        <f>[20]Resumen!$C$19</f>
        <v>0</v>
      </c>
      <c r="D23" s="16">
        <f>[20]Resumen!$D$19</f>
        <v>0</v>
      </c>
      <c r="E23" s="14">
        <f>[20]Resumen!$E$19</f>
        <v>0</v>
      </c>
      <c r="F23" s="15">
        <f>[20]Resumen!$F$19</f>
        <v>0</v>
      </c>
      <c r="G23" s="17">
        <f>[20]Resumen!$G$19</f>
        <v>0</v>
      </c>
      <c r="H23" s="18">
        <f>[20]Resumen!$H$19</f>
        <v>0</v>
      </c>
      <c r="I23" s="15">
        <f>[20]Resumen!$I$19</f>
        <v>0</v>
      </c>
      <c r="J23" s="16">
        <f>[20]Resumen!$J$19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>
      <c r="A24" s="13" t="s">
        <v>33</v>
      </c>
      <c r="B24" s="14">
        <f>[21]Resumen!$B$19</f>
        <v>0</v>
      </c>
      <c r="C24" s="15">
        <f>[21]Resumen!$C$19</f>
        <v>0</v>
      </c>
      <c r="D24" s="16">
        <f>[21]Resumen!$D$19</f>
        <v>0</v>
      </c>
      <c r="E24" s="14">
        <f>[21]Resumen!$E$19</f>
        <v>0</v>
      </c>
      <c r="F24" s="15">
        <f>[21]Resumen!$F$19</f>
        <v>0</v>
      </c>
      <c r="G24" s="17">
        <f>[21]Resumen!$G$19</f>
        <v>0</v>
      </c>
      <c r="H24" s="18">
        <f>[21]Resumen!$H$19</f>
        <v>0</v>
      </c>
      <c r="I24" s="15">
        <f>[21]Resumen!$I$19</f>
        <v>0</v>
      </c>
      <c r="J24" s="16">
        <f>[21]Resumen!$J$19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>
      <c r="A25" s="20" t="s">
        <v>34</v>
      </c>
      <c r="B25" s="14">
        <f>[22]Resumen!$B$19</f>
        <v>0</v>
      </c>
      <c r="C25" s="15">
        <f>[22]Resumen!$C$19</f>
        <v>0</v>
      </c>
      <c r="D25" s="16">
        <f>[22]Resumen!$D$19</f>
        <v>0</v>
      </c>
      <c r="E25" s="14">
        <f>[22]Resumen!$E$19</f>
        <v>0</v>
      </c>
      <c r="F25" s="15">
        <f>[22]Resumen!$F$19</f>
        <v>0</v>
      </c>
      <c r="G25" s="17">
        <f>[22]Resumen!$G$19</f>
        <v>0</v>
      </c>
      <c r="H25" s="18">
        <f>[22]Resumen!$H$19</f>
        <v>0</v>
      </c>
      <c r="I25" s="15">
        <f>[22]Resumen!$I$19</f>
        <v>0</v>
      </c>
      <c r="J25" s="16">
        <f>[22]Resumen!$J$19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>
      <c r="A26" s="13" t="s">
        <v>35</v>
      </c>
      <c r="B26" s="14">
        <f>[23]Resumen!$B$19</f>
        <v>0</v>
      </c>
      <c r="C26" s="15">
        <f>[23]Resumen!$C$19</f>
        <v>0</v>
      </c>
      <c r="D26" s="16">
        <f>[23]Resumen!$D$19</f>
        <v>0</v>
      </c>
      <c r="E26" s="14">
        <f>[23]Resumen!$E$19</f>
        <v>0</v>
      </c>
      <c r="F26" s="15">
        <f>[23]Resumen!$F$19</f>
        <v>0</v>
      </c>
      <c r="G26" s="17">
        <f>[23]Resumen!$G$19</f>
        <v>0</v>
      </c>
      <c r="H26" s="18">
        <f>[23]Resumen!$H$19</f>
        <v>0</v>
      </c>
      <c r="I26" s="15">
        <f>[23]Resumen!$I$19</f>
        <v>0</v>
      </c>
      <c r="J26" s="16">
        <f>[23]Resumen!$J$19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>
      <c r="A27" s="20" t="s">
        <v>36</v>
      </c>
      <c r="B27" s="14">
        <f>[24]Resumen!$B$19</f>
        <v>0</v>
      </c>
      <c r="C27" s="15">
        <f>[24]Resumen!$C$19</f>
        <v>0</v>
      </c>
      <c r="D27" s="16">
        <f>[24]Resumen!$D$19</f>
        <v>0</v>
      </c>
      <c r="E27" s="14">
        <f>[24]Resumen!$E$19</f>
        <v>0</v>
      </c>
      <c r="F27" s="15">
        <f>[24]Resumen!$F$19</f>
        <v>0</v>
      </c>
      <c r="G27" s="17">
        <f>[24]Resumen!$G$19</f>
        <v>0</v>
      </c>
      <c r="H27" s="18">
        <f>[24]Resumen!$H$19</f>
        <v>0</v>
      </c>
      <c r="I27" s="15">
        <f>[24]Resumen!$I$19</f>
        <v>0</v>
      </c>
      <c r="J27" s="16">
        <f>[24]Resumen!$J$19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>
      <c r="A28" s="13" t="s">
        <v>37</v>
      </c>
      <c r="B28" s="14">
        <f>[25]Resumen!$B$19</f>
        <v>0</v>
      </c>
      <c r="C28" s="15">
        <f>[25]Resumen!$C$19</f>
        <v>0</v>
      </c>
      <c r="D28" s="16">
        <f>[25]Resumen!$D$19</f>
        <v>0</v>
      </c>
      <c r="E28" s="14">
        <f>[25]Resumen!$E$19</f>
        <v>0</v>
      </c>
      <c r="F28" s="15">
        <f>[25]Resumen!$F$19</f>
        <v>0</v>
      </c>
      <c r="G28" s="17">
        <f>[25]Resumen!$G$19</f>
        <v>0</v>
      </c>
      <c r="H28" s="18">
        <f>[25]Resumen!$H$19</f>
        <v>0</v>
      </c>
      <c r="I28" s="15">
        <f>[25]Resumen!$I$19</f>
        <v>0</v>
      </c>
      <c r="J28" s="16">
        <f>[25]Resumen!$J$19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>
      <c r="A29" s="20" t="s">
        <v>38</v>
      </c>
      <c r="B29" s="14">
        <f>[26]Resumen!$B$19</f>
        <v>0</v>
      </c>
      <c r="C29" s="15">
        <f>[26]Resumen!$C$19</f>
        <v>0</v>
      </c>
      <c r="D29" s="16">
        <f>[26]Resumen!$D$19</f>
        <v>0</v>
      </c>
      <c r="E29" s="14">
        <f>[26]Resumen!$E$19</f>
        <v>0</v>
      </c>
      <c r="F29" s="15">
        <f>[26]Resumen!$F$19</f>
        <v>0</v>
      </c>
      <c r="G29" s="17">
        <f>[26]Resumen!$G$19</f>
        <v>0</v>
      </c>
      <c r="H29" s="18">
        <f>[26]Resumen!$H$19</f>
        <v>0</v>
      </c>
      <c r="I29" s="15">
        <f>[26]Resumen!$I$19</f>
        <v>0</v>
      </c>
      <c r="J29" s="16">
        <f>[26]Resumen!$J$19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>
      <c r="A30" s="13" t="s">
        <v>39</v>
      </c>
      <c r="B30" s="14">
        <f>[27]Resumen!$B$19</f>
        <v>0</v>
      </c>
      <c r="C30" s="15">
        <f>[27]Resumen!$C$19</f>
        <v>0</v>
      </c>
      <c r="D30" s="16">
        <f>[27]Resumen!$D$19</f>
        <v>0</v>
      </c>
      <c r="E30" s="14">
        <f>[27]Resumen!$E$19</f>
        <v>0</v>
      </c>
      <c r="F30" s="15">
        <f>[27]Resumen!$F$19</f>
        <v>0</v>
      </c>
      <c r="G30" s="17">
        <f>[27]Resumen!$G$19</f>
        <v>0</v>
      </c>
      <c r="H30" s="18">
        <f>[27]Resumen!$H$19</f>
        <v>0</v>
      </c>
      <c r="I30" s="15">
        <f>[27]Resumen!$I$19</f>
        <v>0</v>
      </c>
      <c r="J30" s="16">
        <f>[27]Resumen!$J$19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>
      <c r="A31" s="20" t="s">
        <v>40</v>
      </c>
      <c r="B31" s="14">
        <f>[28]Resumen!$B$19</f>
        <v>0</v>
      </c>
      <c r="C31" s="15">
        <f>[28]Resumen!$C$19</f>
        <v>0</v>
      </c>
      <c r="D31" s="16">
        <f>[28]Resumen!$D$19</f>
        <v>0</v>
      </c>
      <c r="E31" s="14">
        <f>[28]Resumen!$E$19</f>
        <v>0</v>
      </c>
      <c r="F31" s="15">
        <f>[28]Resumen!$F$19</f>
        <v>0</v>
      </c>
      <c r="G31" s="17">
        <f>[28]Resumen!$G$19</f>
        <v>0</v>
      </c>
      <c r="H31" s="18">
        <f>[28]Resumen!$H$19</f>
        <v>0</v>
      </c>
      <c r="I31" s="15">
        <f>[28]Resumen!$I$19</f>
        <v>0</v>
      </c>
      <c r="J31" s="16">
        <f>[28]Resumen!$J$19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>
      <c r="A32" s="20" t="s">
        <v>41</v>
      </c>
      <c r="B32" s="14">
        <f>[29]Resumen!$B$19</f>
        <v>0</v>
      </c>
      <c r="C32" s="15">
        <f>[29]Resumen!$C$19</f>
        <v>0</v>
      </c>
      <c r="D32" s="16">
        <f>[29]Resumen!$D$19</f>
        <v>0</v>
      </c>
      <c r="E32" s="14">
        <f>[29]Resumen!$E$19</f>
        <v>0</v>
      </c>
      <c r="F32" s="15">
        <f>[29]Resumen!$F$19</f>
        <v>0</v>
      </c>
      <c r="G32" s="17">
        <f>[29]Resumen!$G$19</f>
        <v>0</v>
      </c>
      <c r="H32" s="18">
        <f>[29]Resumen!$H$19</f>
        <v>0</v>
      </c>
      <c r="I32" s="15">
        <f>[29]Resumen!$I$19</f>
        <v>0</v>
      </c>
      <c r="J32" s="16">
        <f>[29]Resumen!$J$19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>
      <c r="A33" s="13" t="s">
        <v>42</v>
      </c>
      <c r="B33" s="14">
        <f>[30]Resumen!$B$19</f>
        <v>0</v>
      </c>
      <c r="C33" s="15">
        <f>[30]Resumen!$C$19</f>
        <v>0</v>
      </c>
      <c r="D33" s="16">
        <f>[30]Resumen!$D$19</f>
        <v>0</v>
      </c>
      <c r="E33" s="14">
        <f>[30]Resumen!$E$19</f>
        <v>0</v>
      </c>
      <c r="F33" s="15">
        <f>[30]Resumen!$F$19</f>
        <v>0</v>
      </c>
      <c r="G33" s="17">
        <f>[30]Resumen!$G$19</f>
        <v>0</v>
      </c>
      <c r="H33" s="18">
        <f>[30]Resumen!$H$19</f>
        <v>0</v>
      </c>
      <c r="I33" s="15">
        <f>[30]Resumen!$I$19</f>
        <v>0</v>
      </c>
      <c r="J33" s="16">
        <f>[30]Resumen!$J$19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>
      <c r="A34" s="20" t="s">
        <v>43</v>
      </c>
      <c r="B34" s="14">
        <f>[31]Resumen!$B$19</f>
        <v>0</v>
      </c>
      <c r="C34" s="15">
        <f>[31]Resumen!$C$19</f>
        <v>0</v>
      </c>
      <c r="D34" s="16">
        <f>[31]Resumen!$D$19</f>
        <v>0</v>
      </c>
      <c r="E34" s="14">
        <f>[31]Resumen!$E$19</f>
        <v>0</v>
      </c>
      <c r="F34" s="15">
        <f>[31]Resumen!$F$19</f>
        <v>0</v>
      </c>
      <c r="G34" s="17">
        <f>[31]Resumen!$G$19</f>
        <v>0</v>
      </c>
      <c r="H34" s="18">
        <f>[31]Resumen!$H$19</f>
        <v>0</v>
      </c>
      <c r="I34" s="15">
        <f>[31]Resumen!$I$19</f>
        <v>0</v>
      </c>
      <c r="J34" s="16">
        <f>[31]Resumen!$J$19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>
      <c r="A35" s="13" t="s">
        <v>44</v>
      </c>
      <c r="B35" s="14">
        <f>[10]Resumen!$B$19</f>
        <v>0</v>
      </c>
      <c r="C35" s="15">
        <f>[10]Resumen!$C$19</f>
        <v>0</v>
      </c>
      <c r="D35" s="16">
        <f>[10]Resumen!$D$19</f>
        <v>0</v>
      </c>
      <c r="E35" s="14">
        <f>[10]Resumen!$E$19</f>
        <v>0</v>
      </c>
      <c r="F35" s="15">
        <f>[10]Resumen!$F$19</f>
        <v>0</v>
      </c>
      <c r="G35" s="17">
        <f>[10]Resumen!$G$19</f>
        <v>0</v>
      </c>
      <c r="H35" s="18">
        <f>[10]Resumen!$H$19</f>
        <v>0</v>
      </c>
      <c r="I35" s="15">
        <f>[10]Resumen!$I$19</f>
        <v>0</v>
      </c>
      <c r="J35" s="16">
        <f>[10]Resumen!$J$19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>
      <c r="A36" s="20" t="s">
        <v>45</v>
      </c>
      <c r="B36" s="21">
        <f>+[11]Resumen!$B$19</f>
        <v>0</v>
      </c>
      <c r="C36" s="22">
        <f>+[11]Resumen!$C$19</f>
        <v>0</v>
      </c>
      <c r="D36" s="23">
        <f>+[11]Resumen!$D$19</f>
        <v>0</v>
      </c>
      <c r="E36" s="21">
        <f>+[11]Resumen!$E$19</f>
        <v>0</v>
      </c>
      <c r="F36" s="22">
        <f>+[11]Resumen!$F$19</f>
        <v>0</v>
      </c>
      <c r="G36" s="24">
        <f>+[11]Resumen!$G$19</f>
        <v>0</v>
      </c>
      <c r="H36" s="25">
        <f>+[11]Resumen!$H$19</f>
        <v>0</v>
      </c>
      <c r="I36" s="22">
        <f>+[11]Resumen!$I$19</f>
        <v>0</v>
      </c>
      <c r="J36" s="23">
        <f>+[11]Resumen!$J$19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7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7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1406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7">
      <c r="I1" s="138" t="s">
        <v>0</v>
      </c>
      <c r="J1" s="138"/>
      <c r="K1" s="138"/>
      <c r="L1" s="138"/>
      <c r="M1" s="138"/>
      <c r="N1" s="138"/>
    </row>
    <row r="2" spans="1:17" ht="18.75">
      <c r="A2" s="2" t="s">
        <v>1</v>
      </c>
      <c r="B2" s="137" t="s">
        <v>79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7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7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7">
      <c r="A6" s="20" t="s">
        <v>49</v>
      </c>
      <c r="B6" s="53">
        <f>[1]Resumen!$B$20</f>
        <v>0</v>
      </c>
      <c r="C6" s="58">
        <f>[1]Resumen!$C$20</f>
        <v>0</v>
      </c>
      <c r="D6" s="54">
        <f>[1]Resumen!$D$20</f>
        <v>0</v>
      </c>
      <c r="E6" s="53">
        <f>[1]Resumen!$E$20</f>
        <v>0</v>
      </c>
      <c r="F6" s="58">
        <f>[1]Resumen!$F$20</f>
        <v>0</v>
      </c>
      <c r="G6" s="55">
        <f>[1]Resumen!$G$20</f>
        <v>0</v>
      </c>
      <c r="H6" s="61">
        <f>[1]Resumen!$H$20</f>
        <v>0</v>
      </c>
      <c r="I6" s="58">
        <f>[1]Resumen!$I$20</f>
        <v>0</v>
      </c>
      <c r="J6" s="54">
        <f>[1]Resumen!$J$20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7">
      <c r="A7" s="13" t="s">
        <v>50</v>
      </c>
      <c r="B7" s="14">
        <f>[2]Resumen!$B$20</f>
        <v>0</v>
      </c>
      <c r="C7" s="15">
        <f>[2]Resumen!$C$20</f>
        <v>0</v>
      </c>
      <c r="D7" s="16">
        <f>[2]Resumen!$D$20</f>
        <v>0</v>
      </c>
      <c r="E7" s="14">
        <f>[2]Resumen!$E$20</f>
        <v>0</v>
      </c>
      <c r="F7" s="15">
        <f>[2]Resumen!$F$20</f>
        <v>0</v>
      </c>
      <c r="G7" s="17">
        <f>[2]Resumen!$G$20</f>
        <v>0</v>
      </c>
      <c r="H7" s="18">
        <f>[2]Resumen!$H$20</f>
        <v>0</v>
      </c>
      <c r="I7" s="15">
        <f>[2]Resumen!$I$20</f>
        <v>0</v>
      </c>
      <c r="J7" s="16">
        <f>[2]Resumen!$J$20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7">
      <c r="A8" s="20" t="s">
        <v>51</v>
      </c>
      <c r="B8" s="14">
        <f>[3]Resumen!$B$20</f>
        <v>0</v>
      </c>
      <c r="C8" s="15">
        <f>[3]Resumen!$C$20</f>
        <v>0</v>
      </c>
      <c r="D8" s="16">
        <f>[3]Resumen!$D$20</f>
        <v>0</v>
      </c>
      <c r="E8" s="14">
        <f>[3]Resumen!$E$20</f>
        <v>0</v>
      </c>
      <c r="F8" s="15">
        <f>[3]Resumen!$F$20</f>
        <v>0</v>
      </c>
      <c r="G8" s="17">
        <f>[3]Resumen!$G$20</f>
        <v>0</v>
      </c>
      <c r="H8" s="18">
        <f>[3]Resumen!$H$20</f>
        <v>0</v>
      </c>
      <c r="I8" s="15">
        <f>[3]Resumen!$I$20</f>
        <v>0</v>
      </c>
      <c r="J8" s="16">
        <f>[3]Resumen!$J$20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7">
      <c r="A9" s="13" t="s">
        <v>52</v>
      </c>
      <c r="B9" s="14">
        <f>[4]Resumen!$B$20</f>
        <v>0</v>
      </c>
      <c r="C9" s="15">
        <f>[4]Resumen!$C$20</f>
        <v>0</v>
      </c>
      <c r="D9" s="16">
        <f>[4]Resumen!$D$20</f>
        <v>0</v>
      </c>
      <c r="E9" s="14">
        <f>[4]Resumen!$E$20</f>
        <v>0</v>
      </c>
      <c r="F9" s="15">
        <f>[4]Resumen!$F$20</f>
        <v>0</v>
      </c>
      <c r="G9" s="17">
        <f>[4]Resumen!$G$20</f>
        <v>0</v>
      </c>
      <c r="H9" s="18">
        <f>[4]Resumen!$H$20</f>
        <v>0</v>
      </c>
      <c r="I9" s="15">
        <f>[4]Resumen!$I$20</f>
        <v>0</v>
      </c>
      <c r="J9" s="16">
        <f>[4]Resumen!$J$20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7">
      <c r="A10" s="20" t="s">
        <v>53</v>
      </c>
      <c r="B10" s="14">
        <f>[5]Resumen!$B$20</f>
        <v>0</v>
      </c>
      <c r="C10" s="15">
        <f>[5]Resumen!$C$20</f>
        <v>0</v>
      </c>
      <c r="D10" s="16">
        <f>[5]Resumen!$D$20</f>
        <v>0</v>
      </c>
      <c r="E10" s="14">
        <f>[5]Resumen!$E$20</f>
        <v>0</v>
      </c>
      <c r="F10" s="15">
        <f>[5]Resumen!$F$20</f>
        <v>0</v>
      </c>
      <c r="G10" s="17">
        <f>[5]Resumen!$G$20</f>
        <v>0</v>
      </c>
      <c r="H10" s="18">
        <f>[5]Resumen!$H$20</f>
        <v>0</v>
      </c>
      <c r="I10" s="15">
        <f>[5]Resumen!$I$20</f>
        <v>0</v>
      </c>
      <c r="J10" s="16">
        <f>[5]Resumen!$J$20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  <c r="Q10" s="62"/>
    </row>
    <row r="11" spans="1:17">
      <c r="A11" s="13" t="s">
        <v>20</v>
      </c>
      <c r="B11" s="14">
        <f>[6]Resumen!$B$20</f>
        <v>0</v>
      </c>
      <c r="C11" s="15">
        <f>[6]Resumen!$C$20</f>
        <v>0</v>
      </c>
      <c r="D11" s="16">
        <f>[6]Resumen!$D$20</f>
        <v>0</v>
      </c>
      <c r="E11" s="14">
        <f>[6]Resumen!$E$20</f>
        <v>0</v>
      </c>
      <c r="F11" s="15">
        <f>[6]Resumen!$F$20</f>
        <v>0</v>
      </c>
      <c r="G11" s="17">
        <f>[6]Resumen!$G$20</f>
        <v>0</v>
      </c>
      <c r="H11" s="18">
        <f>[6]Resumen!$H$20</f>
        <v>0</v>
      </c>
      <c r="I11" s="15">
        <f>[6]Resumen!$I$20</f>
        <v>0</v>
      </c>
      <c r="J11" s="16">
        <f>[6]Resumen!$J$20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  <c r="Q11" s="62"/>
    </row>
    <row r="12" spans="1:17">
      <c r="A12" s="20" t="s">
        <v>21</v>
      </c>
      <c r="B12" s="14">
        <f>[7]Resumen!$B$20</f>
        <v>0</v>
      </c>
      <c r="C12" s="15">
        <f>[7]Resumen!$C$20</f>
        <v>0</v>
      </c>
      <c r="D12" s="16">
        <f>[7]Resumen!$D$20</f>
        <v>0</v>
      </c>
      <c r="E12" s="14">
        <f>[7]Resumen!$E$20</f>
        <v>0</v>
      </c>
      <c r="F12" s="15">
        <f>[7]Resumen!$F$20</f>
        <v>0</v>
      </c>
      <c r="G12" s="17">
        <f>[7]Resumen!$G$20</f>
        <v>0</v>
      </c>
      <c r="H12" s="18">
        <f>[7]Resumen!$H$20</f>
        <v>0</v>
      </c>
      <c r="I12" s="15">
        <f>[7]Resumen!$I$20</f>
        <v>0</v>
      </c>
      <c r="J12" s="16">
        <f>[7]Resumen!$J$20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  <c r="Q12" s="62"/>
    </row>
    <row r="13" spans="1:17">
      <c r="A13" s="13" t="s">
        <v>22</v>
      </c>
      <c r="B13" s="14">
        <f>[8]Resumen!$B$20</f>
        <v>0</v>
      </c>
      <c r="C13" s="15">
        <f>[8]Resumen!$C$20</f>
        <v>0</v>
      </c>
      <c r="D13" s="16">
        <f>[8]Resumen!$D$20</f>
        <v>0</v>
      </c>
      <c r="E13" s="14">
        <f>[8]Resumen!$E$20</f>
        <v>0</v>
      </c>
      <c r="F13" s="15">
        <f>[8]Resumen!$F$20</f>
        <v>0</v>
      </c>
      <c r="G13" s="17">
        <f>[8]Resumen!$G$20</f>
        <v>0</v>
      </c>
      <c r="H13" s="18">
        <f>[8]Resumen!$H$20</f>
        <v>0</v>
      </c>
      <c r="I13" s="15">
        <f>[8]Resumen!$I$20</f>
        <v>0</v>
      </c>
      <c r="J13" s="16">
        <f>[8]Resumen!$J$20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  <c r="Q13" s="62"/>
    </row>
    <row r="14" spans="1:17">
      <c r="A14" s="20" t="s">
        <v>23</v>
      </c>
      <c r="B14" s="14">
        <f>[9]Resumen!$B$20</f>
        <v>0</v>
      </c>
      <c r="C14" s="15">
        <f>[9]Resumen!$C$20</f>
        <v>0</v>
      </c>
      <c r="D14" s="16">
        <f>[9]Resumen!$D$20</f>
        <v>0</v>
      </c>
      <c r="E14" s="14">
        <f>[9]Resumen!$E$20</f>
        <v>0</v>
      </c>
      <c r="F14" s="15">
        <f>[9]Resumen!$F$20</f>
        <v>0</v>
      </c>
      <c r="G14" s="17">
        <f>[9]Resumen!$G$20</f>
        <v>0</v>
      </c>
      <c r="H14" s="18">
        <f>[9]Resumen!$H$20</f>
        <v>0</v>
      </c>
      <c r="I14" s="15">
        <f>[9]Resumen!$I$20</f>
        <v>0</v>
      </c>
      <c r="J14" s="16">
        <f>[9]Resumen!$J$20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7">
      <c r="A15" s="13" t="s">
        <v>24</v>
      </c>
      <c r="B15" s="14">
        <f>[12]Resumen!$B$20</f>
        <v>0</v>
      </c>
      <c r="C15" s="15">
        <f>[12]Resumen!$C$20</f>
        <v>0</v>
      </c>
      <c r="D15" s="16">
        <f>[12]Resumen!$D$20</f>
        <v>0</v>
      </c>
      <c r="E15" s="14">
        <f>[12]Resumen!$E$20</f>
        <v>0</v>
      </c>
      <c r="F15" s="15">
        <f>[12]Resumen!$F$20</f>
        <v>0</v>
      </c>
      <c r="G15" s="17">
        <f>[12]Resumen!$G$20</f>
        <v>0</v>
      </c>
      <c r="H15" s="18">
        <f>[12]Resumen!$H$20</f>
        <v>0</v>
      </c>
      <c r="I15" s="15">
        <f>[12]Resumen!$I$20</f>
        <v>0</v>
      </c>
      <c r="J15" s="16">
        <f>[12]Resumen!$J$20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7">
      <c r="A16" s="20" t="s">
        <v>25</v>
      </c>
      <c r="B16" s="14">
        <f>[13]Resumen!$B$20</f>
        <v>0</v>
      </c>
      <c r="C16" s="15">
        <f>[13]Resumen!$C$20</f>
        <v>0</v>
      </c>
      <c r="D16" s="16">
        <f>[13]Resumen!$D$20</f>
        <v>0</v>
      </c>
      <c r="E16" s="14">
        <f>[13]Resumen!$E$20</f>
        <v>0</v>
      </c>
      <c r="F16" s="15">
        <f>[13]Resumen!$F$20</f>
        <v>0</v>
      </c>
      <c r="G16" s="17">
        <f>[13]Resumen!$G$20</f>
        <v>0</v>
      </c>
      <c r="H16" s="18">
        <f>[13]Resumen!$H$20</f>
        <v>0</v>
      </c>
      <c r="I16" s="15">
        <f>[13]Resumen!$I$20</f>
        <v>0</v>
      </c>
      <c r="J16" s="16">
        <f>[13]Resumen!$J$20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>
      <c r="A17" s="13" t="s">
        <v>26</v>
      </c>
      <c r="B17" s="14">
        <f>[14]Resumen!$B$20</f>
        <v>0</v>
      </c>
      <c r="C17" s="15">
        <f>[14]Resumen!$C$20</f>
        <v>0</v>
      </c>
      <c r="D17" s="16">
        <f>[14]Resumen!$D$20</f>
        <v>0</v>
      </c>
      <c r="E17" s="14">
        <f>[14]Resumen!$E$20</f>
        <v>0</v>
      </c>
      <c r="F17" s="15">
        <f>[14]Resumen!$F$20</f>
        <v>0</v>
      </c>
      <c r="G17" s="17">
        <f>[14]Resumen!$G$20</f>
        <v>0</v>
      </c>
      <c r="H17" s="18">
        <f>[14]Resumen!$H$20</f>
        <v>0</v>
      </c>
      <c r="I17" s="15">
        <f>[14]Resumen!$I$20</f>
        <v>0</v>
      </c>
      <c r="J17" s="16">
        <f>[14]Resumen!$J$20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>
      <c r="A18" s="20" t="s">
        <v>27</v>
      </c>
      <c r="B18" s="14">
        <f>[15]Resumen!$B$20</f>
        <v>0</v>
      </c>
      <c r="C18" s="15">
        <f>[15]Resumen!$C$20</f>
        <v>0</v>
      </c>
      <c r="D18" s="16">
        <f>[15]Resumen!$D$20</f>
        <v>0</v>
      </c>
      <c r="E18" s="14">
        <f>[15]Resumen!$E$20</f>
        <v>0</v>
      </c>
      <c r="F18" s="15">
        <f>[15]Resumen!$F$20</f>
        <v>0</v>
      </c>
      <c r="G18" s="17">
        <f>[15]Resumen!$G$20</f>
        <v>0</v>
      </c>
      <c r="H18" s="18">
        <f>[15]Resumen!$H$20</f>
        <v>0</v>
      </c>
      <c r="I18" s="15">
        <f>[15]Resumen!$I$20</f>
        <v>0</v>
      </c>
      <c r="J18" s="16">
        <f>[15]Resumen!$J$20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>
      <c r="A19" s="20" t="s">
        <v>28</v>
      </c>
      <c r="B19" s="14">
        <f>[16]Resumen!$B$20</f>
        <v>0</v>
      </c>
      <c r="C19" s="15">
        <f>[16]Resumen!$C$20</f>
        <v>0</v>
      </c>
      <c r="D19" s="16">
        <f>[16]Resumen!$D$20</f>
        <v>0</v>
      </c>
      <c r="E19" s="14">
        <f>[16]Resumen!$E$20</f>
        <v>0</v>
      </c>
      <c r="F19" s="15">
        <f>[16]Resumen!$F$20</f>
        <v>0</v>
      </c>
      <c r="G19" s="17">
        <f>[16]Resumen!$G$20</f>
        <v>0</v>
      </c>
      <c r="H19" s="18">
        <f>[16]Resumen!$H$20</f>
        <v>0</v>
      </c>
      <c r="I19" s="15">
        <f>[16]Resumen!$I$20</f>
        <v>0</v>
      </c>
      <c r="J19" s="16">
        <f>[16]Resumen!$J$20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>
      <c r="A20" s="13" t="s">
        <v>29</v>
      </c>
      <c r="B20" s="14">
        <f>[17]Resumen!$B$20</f>
        <v>0</v>
      </c>
      <c r="C20" s="15">
        <f>[17]Resumen!$C$20</f>
        <v>0</v>
      </c>
      <c r="D20" s="16">
        <f>[17]Resumen!$D$20</f>
        <v>0</v>
      </c>
      <c r="E20" s="14">
        <f>[17]Resumen!$E$20</f>
        <v>0</v>
      </c>
      <c r="F20" s="15">
        <f>[17]Resumen!$F$20</f>
        <v>0</v>
      </c>
      <c r="G20" s="17">
        <f>[17]Resumen!$G$20</f>
        <v>0</v>
      </c>
      <c r="H20" s="18">
        <f>[17]Resumen!$H$20</f>
        <v>0</v>
      </c>
      <c r="I20" s="15">
        <f>[17]Resumen!$I$20</f>
        <v>0</v>
      </c>
      <c r="J20" s="16">
        <f>[17]Resumen!$J$20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>
      <c r="A21" s="20" t="s">
        <v>30</v>
      </c>
      <c r="B21" s="14">
        <f>[18]Resumen!$B$20</f>
        <v>0</v>
      </c>
      <c r="C21" s="15">
        <f>[18]Resumen!$C$20</f>
        <v>0</v>
      </c>
      <c r="D21" s="16">
        <f>[18]Resumen!$D$20</f>
        <v>0</v>
      </c>
      <c r="E21" s="14">
        <f>[18]Resumen!$E$20</f>
        <v>0</v>
      </c>
      <c r="F21" s="15">
        <f>[18]Resumen!$F$20</f>
        <v>0</v>
      </c>
      <c r="G21" s="17">
        <f>[18]Resumen!$G$20</f>
        <v>0</v>
      </c>
      <c r="H21" s="18">
        <f>[18]Resumen!$H$20</f>
        <v>0</v>
      </c>
      <c r="I21" s="15">
        <f>[18]Resumen!$I$20</f>
        <v>0</v>
      </c>
      <c r="J21" s="16">
        <f>[18]Resumen!$J$20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>
      <c r="A22" s="13" t="s">
        <v>31</v>
      </c>
      <c r="B22" s="14">
        <f>[19]Resumen!$B$20</f>
        <v>0</v>
      </c>
      <c r="C22" s="15">
        <f>[19]Resumen!$C$20</f>
        <v>0</v>
      </c>
      <c r="D22" s="16">
        <f>[19]Resumen!$D$20</f>
        <v>0</v>
      </c>
      <c r="E22" s="14">
        <f>[19]Resumen!$E$20</f>
        <v>0</v>
      </c>
      <c r="F22" s="15">
        <f>[19]Resumen!$F$20</f>
        <v>0</v>
      </c>
      <c r="G22" s="17">
        <f>[19]Resumen!$G$20</f>
        <v>0</v>
      </c>
      <c r="H22" s="18">
        <f>[19]Resumen!$H$20</f>
        <v>0</v>
      </c>
      <c r="I22" s="15">
        <f>[19]Resumen!$I$20</f>
        <v>0</v>
      </c>
      <c r="J22" s="16">
        <f>[19]Resumen!$J$20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>
      <c r="A23" s="20" t="s">
        <v>32</v>
      </c>
      <c r="B23" s="14">
        <f>[20]Resumen!$B$20</f>
        <v>0</v>
      </c>
      <c r="C23" s="15">
        <f>[20]Resumen!$C$20</f>
        <v>0</v>
      </c>
      <c r="D23" s="16">
        <f>[20]Resumen!$D$20</f>
        <v>0</v>
      </c>
      <c r="E23" s="14">
        <f>[20]Resumen!$E$20</f>
        <v>0</v>
      </c>
      <c r="F23" s="15">
        <f>[20]Resumen!$F$20</f>
        <v>0</v>
      </c>
      <c r="G23" s="17">
        <f>[20]Resumen!$G$20</f>
        <v>0</v>
      </c>
      <c r="H23" s="18">
        <f>[20]Resumen!$H$20</f>
        <v>0</v>
      </c>
      <c r="I23" s="15">
        <f>[20]Resumen!$I$20</f>
        <v>0</v>
      </c>
      <c r="J23" s="16">
        <f>[20]Resumen!$J$20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>
      <c r="A24" s="13" t="s">
        <v>33</v>
      </c>
      <c r="B24" s="14">
        <f>[21]Resumen!$B$20</f>
        <v>0</v>
      </c>
      <c r="C24" s="15">
        <f>[21]Resumen!$C$20</f>
        <v>0</v>
      </c>
      <c r="D24" s="16">
        <f>[21]Resumen!$D$20</f>
        <v>0</v>
      </c>
      <c r="E24" s="14">
        <f>[21]Resumen!$E$20</f>
        <v>0</v>
      </c>
      <c r="F24" s="15">
        <f>[21]Resumen!$F$20</f>
        <v>0</v>
      </c>
      <c r="G24" s="17">
        <f>[21]Resumen!$G$20</f>
        <v>0</v>
      </c>
      <c r="H24" s="18">
        <f>[21]Resumen!$H$20</f>
        <v>0</v>
      </c>
      <c r="I24" s="15">
        <f>[21]Resumen!$I$20</f>
        <v>0</v>
      </c>
      <c r="J24" s="16">
        <f>[21]Resumen!$J$20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>
      <c r="A25" s="20" t="s">
        <v>34</v>
      </c>
      <c r="B25" s="14">
        <f>[22]Resumen!$B$20</f>
        <v>0</v>
      </c>
      <c r="C25" s="15">
        <f>[22]Resumen!$C$20</f>
        <v>0</v>
      </c>
      <c r="D25" s="16">
        <f>[22]Resumen!$D$20</f>
        <v>0</v>
      </c>
      <c r="E25" s="14">
        <f>[22]Resumen!$E$20</f>
        <v>0</v>
      </c>
      <c r="F25" s="15">
        <f>[22]Resumen!$F$20</f>
        <v>0</v>
      </c>
      <c r="G25" s="17">
        <f>[22]Resumen!$G$20</f>
        <v>0</v>
      </c>
      <c r="H25" s="18">
        <f>[22]Resumen!$H$20</f>
        <v>0</v>
      </c>
      <c r="I25" s="15">
        <f>[22]Resumen!$I$20</f>
        <v>0</v>
      </c>
      <c r="J25" s="16">
        <f>[22]Resumen!$J$20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>
      <c r="A26" s="13" t="s">
        <v>35</v>
      </c>
      <c r="B26" s="14">
        <f>[23]Resumen!$B$20</f>
        <v>0</v>
      </c>
      <c r="C26" s="15">
        <f>[23]Resumen!$C$20</f>
        <v>0</v>
      </c>
      <c r="D26" s="16">
        <f>[23]Resumen!$D$20</f>
        <v>0</v>
      </c>
      <c r="E26" s="14">
        <f>[23]Resumen!$E$20</f>
        <v>0</v>
      </c>
      <c r="F26" s="15">
        <f>[23]Resumen!$F$20</f>
        <v>0</v>
      </c>
      <c r="G26" s="17">
        <f>[23]Resumen!$G$20</f>
        <v>0</v>
      </c>
      <c r="H26" s="18">
        <f>[23]Resumen!$H$20</f>
        <v>0</v>
      </c>
      <c r="I26" s="15">
        <f>[23]Resumen!$I$20</f>
        <v>0</v>
      </c>
      <c r="J26" s="16">
        <f>[23]Resumen!$J$20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>
      <c r="A27" s="20" t="s">
        <v>36</v>
      </c>
      <c r="B27" s="14">
        <f>[24]Resumen!$B$20</f>
        <v>0</v>
      </c>
      <c r="C27" s="15">
        <f>[24]Resumen!$C$20</f>
        <v>0</v>
      </c>
      <c r="D27" s="16">
        <f>[24]Resumen!$D$20</f>
        <v>0</v>
      </c>
      <c r="E27" s="14">
        <f>[24]Resumen!$E$20</f>
        <v>0</v>
      </c>
      <c r="F27" s="15">
        <f>[24]Resumen!$F$20</f>
        <v>0</v>
      </c>
      <c r="G27" s="17">
        <f>[24]Resumen!$G$20</f>
        <v>0</v>
      </c>
      <c r="H27" s="18">
        <f>[24]Resumen!$H$20</f>
        <v>0</v>
      </c>
      <c r="I27" s="15">
        <f>[24]Resumen!$I$20</f>
        <v>0</v>
      </c>
      <c r="J27" s="16">
        <f>[24]Resumen!$J$20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>
      <c r="A28" s="13" t="s">
        <v>37</v>
      </c>
      <c r="B28" s="14">
        <f>[25]Resumen!$B$20</f>
        <v>0</v>
      </c>
      <c r="C28" s="15">
        <f>[25]Resumen!$C$20</f>
        <v>0</v>
      </c>
      <c r="D28" s="16">
        <f>[25]Resumen!$D$20</f>
        <v>0</v>
      </c>
      <c r="E28" s="14">
        <f>[25]Resumen!$E$20</f>
        <v>0</v>
      </c>
      <c r="F28" s="15">
        <f>[25]Resumen!$F$20</f>
        <v>0</v>
      </c>
      <c r="G28" s="17">
        <f>[25]Resumen!$G$20</f>
        <v>0</v>
      </c>
      <c r="H28" s="18">
        <f>[25]Resumen!$H$20</f>
        <v>0</v>
      </c>
      <c r="I28" s="15">
        <f>[25]Resumen!$I$20</f>
        <v>0</v>
      </c>
      <c r="J28" s="16">
        <f>[25]Resumen!$J$20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>
      <c r="A29" s="20" t="s">
        <v>38</v>
      </c>
      <c r="B29" s="14">
        <f>[26]Resumen!$B$20</f>
        <v>0</v>
      </c>
      <c r="C29" s="15">
        <f>[26]Resumen!$C$20</f>
        <v>0</v>
      </c>
      <c r="D29" s="16">
        <f>[26]Resumen!$D$20</f>
        <v>0</v>
      </c>
      <c r="E29" s="14">
        <f>[26]Resumen!$E$20</f>
        <v>0</v>
      </c>
      <c r="F29" s="15">
        <f>[26]Resumen!$F$20</f>
        <v>0</v>
      </c>
      <c r="G29" s="17">
        <f>[26]Resumen!$G$20</f>
        <v>0</v>
      </c>
      <c r="H29" s="18">
        <f>[26]Resumen!$H$20</f>
        <v>0</v>
      </c>
      <c r="I29" s="15">
        <f>[26]Resumen!$I$20</f>
        <v>0</v>
      </c>
      <c r="J29" s="16">
        <f>[26]Resumen!$J$20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>
      <c r="A30" s="13" t="s">
        <v>39</v>
      </c>
      <c r="B30" s="14">
        <f>[27]Resumen!$B$20</f>
        <v>0</v>
      </c>
      <c r="C30" s="15">
        <f>[27]Resumen!$C$20</f>
        <v>0</v>
      </c>
      <c r="D30" s="16">
        <f>[27]Resumen!$D$20</f>
        <v>0</v>
      </c>
      <c r="E30" s="14">
        <f>[27]Resumen!$E$20</f>
        <v>0</v>
      </c>
      <c r="F30" s="15">
        <f>[27]Resumen!$F$20</f>
        <v>0</v>
      </c>
      <c r="G30" s="17">
        <f>[27]Resumen!$G$20</f>
        <v>0</v>
      </c>
      <c r="H30" s="18">
        <f>[27]Resumen!$H$20</f>
        <v>0</v>
      </c>
      <c r="I30" s="15">
        <f>[27]Resumen!$I$20</f>
        <v>0</v>
      </c>
      <c r="J30" s="16">
        <f>[27]Resumen!$J$20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>
      <c r="A31" s="20" t="s">
        <v>40</v>
      </c>
      <c r="B31" s="14">
        <f>[28]Resumen!$B$20</f>
        <v>0</v>
      </c>
      <c r="C31" s="15">
        <f>[28]Resumen!$C$20</f>
        <v>0</v>
      </c>
      <c r="D31" s="16">
        <f>[28]Resumen!$D$20</f>
        <v>0</v>
      </c>
      <c r="E31" s="14">
        <f>[28]Resumen!$E$20</f>
        <v>0</v>
      </c>
      <c r="F31" s="15">
        <f>[28]Resumen!$F$20</f>
        <v>0</v>
      </c>
      <c r="G31" s="17">
        <f>[28]Resumen!$G$20</f>
        <v>0</v>
      </c>
      <c r="H31" s="18">
        <f>[28]Resumen!$H$20</f>
        <v>0</v>
      </c>
      <c r="I31" s="15">
        <f>[28]Resumen!$I$20</f>
        <v>0</v>
      </c>
      <c r="J31" s="16">
        <f>[28]Resumen!$J$20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>
      <c r="A32" s="20" t="s">
        <v>41</v>
      </c>
      <c r="B32" s="14">
        <f>[29]Resumen!$B$20</f>
        <v>0</v>
      </c>
      <c r="C32" s="15">
        <f>[29]Resumen!$C$20</f>
        <v>0</v>
      </c>
      <c r="D32" s="16">
        <f>[29]Resumen!$D$20</f>
        <v>0</v>
      </c>
      <c r="E32" s="14">
        <f>[29]Resumen!$E$20</f>
        <v>0</v>
      </c>
      <c r="F32" s="15">
        <f>[29]Resumen!$F$20</f>
        <v>0</v>
      </c>
      <c r="G32" s="17">
        <f>[29]Resumen!$G$20</f>
        <v>0</v>
      </c>
      <c r="H32" s="18">
        <f>[29]Resumen!$H$20</f>
        <v>0</v>
      </c>
      <c r="I32" s="15">
        <f>[29]Resumen!$I$20</f>
        <v>0</v>
      </c>
      <c r="J32" s="16">
        <f>[29]Resumen!$J$20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>
      <c r="A33" s="13" t="s">
        <v>42</v>
      </c>
      <c r="B33" s="14">
        <f>[30]Resumen!$B$20</f>
        <v>0</v>
      </c>
      <c r="C33" s="15">
        <f>[30]Resumen!$C$20</f>
        <v>0</v>
      </c>
      <c r="D33" s="16">
        <f>[30]Resumen!$D$20</f>
        <v>0</v>
      </c>
      <c r="E33" s="14">
        <f>[30]Resumen!$E$20</f>
        <v>0</v>
      </c>
      <c r="F33" s="15">
        <f>[30]Resumen!$F$20</f>
        <v>0</v>
      </c>
      <c r="G33" s="17">
        <f>[30]Resumen!$G$20</f>
        <v>0</v>
      </c>
      <c r="H33" s="18">
        <f>[30]Resumen!$H$20</f>
        <v>0</v>
      </c>
      <c r="I33" s="15">
        <f>[30]Resumen!$I$20</f>
        <v>0</v>
      </c>
      <c r="J33" s="16">
        <f>[30]Resumen!$J$20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>
      <c r="A34" s="20" t="s">
        <v>43</v>
      </c>
      <c r="B34" s="14">
        <f>[31]Resumen!$B$20</f>
        <v>0</v>
      </c>
      <c r="C34" s="15">
        <f>[31]Resumen!$C$20</f>
        <v>0</v>
      </c>
      <c r="D34" s="16">
        <f>[31]Resumen!$D$20</f>
        <v>0</v>
      </c>
      <c r="E34" s="14">
        <f>[31]Resumen!$E$20</f>
        <v>0</v>
      </c>
      <c r="F34" s="15">
        <f>[31]Resumen!$F$20</f>
        <v>0</v>
      </c>
      <c r="G34" s="17">
        <f>[31]Resumen!$G$20</f>
        <v>0</v>
      </c>
      <c r="H34" s="18">
        <f>[31]Resumen!$H$20</f>
        <v>0</v>
      </c>
      <c r="I34" s="15">
        <f>[31]Resumen!$I$20</f>
        <v>0</v>
      </c>
      <c r="J34" s="16">
        <f>[31]Resumen!$J$20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>
      <c r="A35" s="13" t="s">
        <v>44</v>
      </c>
      <c r="B35" s="14">
        <f>[10]Resumen!$B$20</f>
        <v>0</v>
      </c>
      <c r="C35" s="15">
        <f>[10]Resumen!$C$20</f>
        <v>0</v>
      </c>
      <c r="D35" s="16">
        <f>[10]Resumen!$D$20</f>
        <v>0</v>
      </c>
      <c r="E35" s="14">
        <f>[10]Resumen!$E$20</f>
        <v>0</v>
      </c>
      <c r="F35" s="15">
        <f>[10]Resumen!$F$20</f>
        <v>0</v>
      </c>
      <c r="G35" s="17">
        <f>[10]Resumen!$G$20</f>
        <v>0</v>
      </c>
      <c r="H35" s="18">
        <f>[10]Resumen!$H$20</f>
        <v>0</v>
      </c>
      <c r="I35" s="15">
        <f>[10]Resumen!$I$20</f>
        <v>0</v>
      </c>
      <c r="J35" s="16">
        <f>[10]Resumen!$J$20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>
      <c r="A36" s="20" t="s">
        <v>45</v>
      </c>
      <c r="B36" s="21">
        <f>+[11]Resumen!$B$20</f>
        <v>0</v>
      </c>
      <c r="C36" s="22">
        <f>+[11]Resumen!$C$20</f>
        <v>0</v>
      </c>
      <c r="D36" s="23">
        <f>+[11]Resumen!$D$20</f>
        <v>0</v>
      </c>
      <c r="E36" s="21">
        <f>+[11]Resumen!$E$20</f>
        <v>0</v>
      </c>
      <c r="F36" s="22">
        <f>+[11]Resumen!$F$20</f>
        <v>0</v>
      </c>
      <c r="G36" s="24">
        <f>+[11]Resumen!$G$20</f>
        <v>0</v>
      </c>
      <c r="H36" s="25">
        <f>+[11]Resumen!$H$20</f>
        <v>0</v>
      </c>
      <c r="I36" s="22">
        <f>+[11]Resumen!$I$20</f>
        <v>0</v>
      </c>
      <c r="J36" s="23">
        <f>+[11]Resumen!$J$20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7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7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" style="1" customWidth="1"/>
    <col min="16" max="16" width="4.85546875" style="1" customWidth="1"/>
    <col min="17" max="17" width="10" style="1" customWidth="1"/>
    <col min="18" max="18" width="9.8554687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80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>
      <c r="A6" s="20" t="s">
        <v>49</v>
      </c>
      <c r="B6" s="53">
        <f>[1]Resumen!$B$21</f>
        <v>0</v>
      </c>
      <c r="C6" s="58">
        <f>[1]Resumen!$C$21</f>
        <v>0</v>
      </c>
      <c r="D6" s="54">
        <f>[1]Resumen!$D$21</f>
        <v>0</v>
      </c>
      <c r="E6" s="53">
        <f>[1]Resumen!$E$21</f>
        <v>0</v>
      </c>
      <c r="F6" s="58">
        <f>[1]Resumen!$F$21</f>
        <v>0</v>
      </c>
      <c r="G6" s="55">
        <f>[1]Resumen!$G$21</f>
        <v>0</v>
      </c>
      <c r="H6" s="61">
        <f>[1]Resumen!$H$21</f>
        <v>0</v>
      </c>
      <c r="I6" s="58">
        <f>[1]Resumen!$I$21</f>
        <v>0</v>
      </c>
      <c r="J6" s="54">
        <f>[1]Resumen!$J$21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>
      <c r="A7" s="13" t="s">
        <v>50</v>
      </c>
      <c r="B7" s="14">
        <f>[2]Resumen!$B$21</f>
        <v>0</v>
      </c>
      <c r="C7" s="15">
        <f>[2]Resumen!$C$21</f>
        <v>0</v>
      </c>
      <c r="D7" s="16">
        <f>[2]Resumen!$D$21</f>
        <v>0</v>
      </c>
      <c r="E7" s="14">
        <f>[2]Resumen!$E$21</f>
        <v>0</v>
      </c>
      <c r="F7" s="15">
        <f>[2]Resumen!$F$21</f>
        <v>0</v>
      </c>
      <c r="G7" s="17">
        <f>[2]Resumen!$G$21</f>
        <v>0</v>
      </c>
      <c r="H7" s="18">
        <f>[2]Resumen!$H$21</f>
        <v>0</v>
      </c>
      <c r="I7" s="15">
        <f>[2]Resumen!$I$21</f>
        <v>0</v>
      </c>
      <c r="J7" s="16">
        <f>[2]Resumen!$J$21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>
      <c r="A8" s="20" t="s">
        <v>51</v>
      </c>
      <c r="B8" s="14">
        <f>[3]Resumen!$B$21</f>
        <v>0</v>
      </c>
      <c r="C8" s="15">
        <f>[3]Resumen!$C$21</f>
        <v>0</v>
      </c>
      <c r="D8" s="16">
        <f>[3]Resumen!$D$21</f>
        <v>0</v>
      </c>
      <c r="E8" s="14">
        <f>[3]Resumen!$E$21</f>
        <v>0</v>
      </c>
      <c r="F8" s="15">
        <f>[3]Resumen!$F$21</f>
        <v>0</v>
      </c>
      <c r="G8" s="17">
        <f>[3]Resumen!$G$21</f>
        <v>0</v>
      </c>
      <c r="H8" s="18">
        <f>[3]Resumen!$H$21</f>
        <v>0</v>
      </c>
      <c r="I8" s="15">
        <f>[3]Resumen!$I$21</f>
        <v>0</v>
      </c>
      <c r="J8" s="16">
        <f>[3]Resumen!$J$21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>
      <c r="A9" s="13" t="s">
        <v>52</v>
      </c>
      <c r="B9" s="14">
        <f>[4]Resumen!$B$21</f>
        <v>0</v>
      </c>
      <c r="C9" s="15">
        <f>[4]Resumen!$C$21</f>
        <v>0</v>
      </c>
      <c r="D9" s="16">
        <f>[4]Resumen!$D$21</f>
        <v>0</v>
      </c>
      <c r="E9" s="14">
        <f>[4]Resumen!$E$21</f>
        <v>0</v>
      </c>
      <c r="F9" s="15">
        <f>[4]Resumen!$F$21</f>
        <v>0</v>
      </c>
      <c r="G9" s="17">
        <f>[4]Resumen!$G$21</f>
        <v>0</v>
      </c>
      <c r="H9" s="18">
        <f>[4]Resumen!$H$21</f>
        <v>0</v>
      </c>
      <c r="I9" s="15">
        <f>[4]Resumen!$I$21</f>
        <v>0</v>
      </c>
      <c r="J9" s="16">
        <f>[4]Resumen!$J$21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>
      <c r="A10" s="20" t="s">
        <v>53</v>
      </c>
      <c r="B10" s="14">
        <f>[5]Resumen!$B$21</f>
        <v>0</v>
      </c>
      <c r="C10" s="15">
        <f>[5]Resumen!$C$21</f>
        <v>0</v>
      </c>
      <c r="D10" s="16">
        <f>[5]Resumen!$D$21</f>
        <v>0</v>
      </c>
      <c r="E10" s="14">
        <f>[5]Resumen!$E$21</f>
        <v>0</v>
      </c>
      <c r="F10" s="15">
        <f>[5]Resumen!$F$21</f>
        <v>0</v>
      </c>
      <c r="G10" s="17">
        <f>[5]Resumen!$G$21</f>
        <v>0</v>
      </c>
      <c r="H10" s="18">
        <f>[5]Resumen!$H$21</f>
        <v>0</v>
      </c>
      <c r="I10" s="15">
        <f>[5]Resumen!$I$21</f>
        <v>0</v>
      </c>
      <c r="J10" s="16">
        <f>[5]Resumen!$J$21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>
      <c r="A11" s="13" t="s">
        <v>20</v>
      </c>
      <c r="B11" s="14">
        <f>[6]Resumen!$B$21</f>
        <v>0</v>
      </c>
      <c r="C11" s="15">
        <f>[6]Resumen!$C$21</f>
        <v>0</v>
      </c>
      <c r="D11" s="16">
        <f>[6]Resumen!$D$21</f>
        <v>0</v>
      </c>
      <c r="E11" s="14">
        <f>[6]Resumen!$E$21</f>
        <v>0</v>
      </c>
      <c r="F11" s="15">
        <f>[6]Resumen!$F$21</f>
        <v>0</v>
      </c>
      <c r="G11" s="17">
        <f>[6]Resumen!$G$21</f>
        <v>0</v>
      </c>
      <c r="H11" s="18">
        <f>[6]Resumen!$H$21</f>
        <v>0</v>
      </c>
      <c r="I11" s="15">
        <f>[6]Resumen!$I$21</f>
        <v>0</v>
      </c>
      <c r="J11" s="16">
        <f>[6]Resumen!$J$21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>
      <c r="A12" s="20" t="s">
        <v>21</v>
      </c>
      <c r="B12" s="14">
        <f>[7]Resumen!$B$21</f>
        <v>0</v>
      </c>
      <c r="C12" s="15">
        <f>[7]Resumen!$C$21</f>
        <v>0</v>
      </c>
      <c r="D12" s="16">
        <f>[7]Resumen!$D$21</f>
        <v>0</v>
      </c>
      <c r="E12" s="14">
        <f>[7]Resumen!$E$21</f>
        <v>0</v>
      </c>
      <c r="F12" s="15">
        <f>[7]Resumen!$F$21</f>
        <v>0</v>
      </c>
      <c r="G12" s="17">
        <f>[7]Resumen!$G$21</f>
        <v>0</v>
      </c>
      <c r="H12" s="18">
        <f>[7]Resumen!$H$21</f>
        <v>0</v>
      </c>
      <c r="I12" s="15">
        <f>[7]Resumen!$I$21</f>
        <v>0</v>
      </c>
      <c r="J12" s="16">
        <f>[7]Resumen!$J$21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>
      <c r="A13" s="13" t="s">
        <v>22</v>
      </c>
      <c r="B13" s="14">
        <f>[8]Resumen!$B$21</f>
        <v>0</v>
      </c>
      <c r="C13" s="15">
        <f>[8]Resumen!$C$21</f>
        <v>0</v>
      </c>
      <c r="D13" s="16">
        <f>[8]Resumen!$D$21</f>
        <v>0</v>
      </c>
      <c r="E13" s="14">
        <f>[8]Resumen!$E$21</f>
        <v>0</v>
      </c>
      <c r="F13" s="15">
        <f>[8]Resumen!$F$21</f>
        <v>0</v>
      </c>
      <c r="G13" s="17">
        <f>[8]Resumen!$G$21</f>
        <v>0</v>
      </c>
      <c r="H13" s="18">
        <f>[8]Resumen!$H$21</f>
        <v>0</v>
      </c>
      <c r="I13" s="15">
        <f>[8]Resumen!$I$21</f>
        <v>0</v>
      </c>
      <c r="J13" s="16">
        <f>[8]Resumen!$J$21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>
      <c r="A14" s="20" t="s">
        <v>23</v>
      </c>
      <c r="B14" s="14">
        <f>[9]Resumen!$B$21</f>
        <v>0</v>
      </c>
      <c r="C14" s="15">
        <f>[9]Resumen!$C$21</f>
        <v>0</v>
      </c>
      <c r="D14" s="16">
        <f>[9]Resumen!$D$21</f>
        <v>0</v>
      </c>
      <c r="E14" s="14">
        <f>[9]Resumen!$E$21</f>
        <v>0</v>
      </c>
      <c r="F14" s="15">
        <f>[9]Resumen!$F$21</f>
        <v>0</v>
      </c>
      <c r="G14" s="17">
        <f>[9]Resumen!$G$21</f>
        <v>0</v>
      </c>
      <c r="H14" s="18">
        <f>[9]Resumen!$H$21</f>
        <v>0</v>
      </c>
      <c r="I14" s="15">
        <f>[9]Resumen!$I$21</f>
        <v>0</v>
      </c>
      <c r="J14" s="16">
        <f>[9]Resumen!$J$21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>
      <c r="A15" s="13" t="s">
        <v>24</v>
      </c>
      <c r="B15" s="14">
        <f>[12]Resumen!$B$21</f>
        <v>0</v>
      </c>
      <c r="C15" s="15">
        <f>[12]Resumen!$C$21</f>
        <v>0</v>
      </c>
      <c r="D15" s="16">
        <f>[12]Resumen!$D$21</f>
        <v>0</v>
      </c>
      <c r="E15" s="14">
        <f>[12]Resumen!$E$21</f>
        <v>0</v>
      </c>
      <c r="F15" s="15">
        <f>[12]Resumen!$F$21</f>
        <v>0</v>
      </c>
      <c r="G15" s="17">
        <f>[12]Resumen!$G$21</f>
        <v>0</v>
      </c>
      <c r="H15" s="18">
        <f>[12]Resumen!$H$21</f>
        <v>0</v>
      </c>
      <c r="I15" s="15">
        <f>[12]Resumen!$I$21</f>
        <v>0</v>
      </c>
      <c r="J15" s="16">
        <f>[12]Resumen!$J$21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>
      <c r="A16" s="20" t="s">
        <v>25</v>
      </c>
      <c r="B16" s="14">
        <f>[13]Resumen!$B$21</f>
        <v>0</v>
      </c>
      <c r="C16" s="15">
        <f>[13]Resumen!$C$21</f>
        <v>0</v>
      </c>
      <c r="D16" s="16">
        <f>[13]Resumen!$D$21</f>
        <v>0</v>
      </c>
      <c r="E16" s="14">
        <f>[13]Resumen!$E$21</f>
        <v>0</v>
      </c>
      <c r="F16" s="15">
        <f>[13]Resumen!$F$21</f>
        <v>0</v>
      </c>
      <c r="G16" s="17">
        <f>[13]Resumen!$G$21</f>
        <v>0</v>
      </c>
      <c r="H16" s="18">
        <f>[13]Resumen!$H$21</f>
        <v>0</v>
      </c>
      <c r="I16" s="15">
        <f>[13]Resumen!$I$21</f>
        <v>0</v>
      </c>
      <c r="J16" s="16">
        <f>[13]Resumen!$J$21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>
      <c r="A17" s="13" t="s">
        <v>26</v>
      </c>
      <c r="B17" s="14">
        <f>[14]Resumen!$B$21</f>
        <v>0</v>
      </c>
      <c r="C17" s="15">
        <f>[14]Resumen!$C$21</f>
        <v>0</v>
      </c>
      <c r="D17" s="16">
        <f>[14]Resumen!$D$21</f>
        <v>0</v>
      </c>
      <c r="E17" s="14">
        <f>[14]Resumen!$E$21</f>
        <v>0</v>
      </c>
      <c r="F17" s="15">
        <f>[14]Resumen!$F$21</f>
        <v>0</v>
      </c>
      <c r="G17" s="17">
        <f>[14]Resumen!$G$21</f>
        <v>0</v>
      </c>
      <c r="H17" s="18">
        <f>[14]Resumen!$H$21</f>
        <v>0</v>
      </c>
      <c r="I17" s="15">
        <f>[14]Resumen!$I$21</f>
        <v>0</v>
      </c>
      <c r="J17" s="16">
        <f>[14]Resumen!$J$21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>
      <c r="A18" s="20" t="s">
        <v>27</v>
      </c>
      <c r="B18" s="14">
        <f>[15]Resumen!$B$21</f>
        <v>0</v>
      </c>
      <c r="C18" s="15">
        <f>[15]Resumen!$C$21</f>
        <v>0</v>
      </c>
      <c r="D18" s="16">
        <f>[15]Resumen!$D$21</f>
        <v>0</v>
      </c>
      <c r="E18" s="14">
        <f>[15]Resumen!$E$21</f>
        <v>0</v>
      </c>
      <c r="F18" s="15">
        <f>[15]Resumen!$F$21</f>
        <v>0</v>
      </c>
      <c r="G18" s="17">
        <f>[15]Resumen!$G$21</f>
        <v>0</v>
      </c>
      <c r="H18" s="18">
        <f>[15]Resumen!$H$21</f>
        <v>0</v>
      </c>
      <c r="I18" s="15">
        <f>[15]Resumen!$I$21</f>
        <v>0</v>
      </c>
      <c r="J18" s="16">
        <f>[15]Resumen!$J$21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>
      <c r="A19" s="20" t="s">
        <v>28</v>
      </c>
      <c r="B19" s="14">
        <f>[16]Resumen!$B$21</f>
        <v>0</v>
      </c>
      <c r="C19" s="15">
        <f>[16]Resumen!$C$21</f>
        <v>0</v>
      </c>
      <c r="D19" s="16">
        <f>[16]Resumen!$D$21</f>
        <v>0</v>
      </c>
      <c r="E19" s="14">
        <f>[16]Resumen!$E$21</f>
        <v>0</v>
      </c>
      <c r="F19" s="15">
        <f>[16]Resumen!$F$21</f>
        <v>0</v>
      </c>
      <c r="G19" s="17">
        <f>[16]Resumen!$G$21</f>
        <v>0</v>
      </c>
      <c r="H19" s="18">
        <f>[16]Resumen!$H$21</f>
        <v>0</v>
      </c>
      <c r="I19" s="15">
        <f>[16]Resumen!$I$21</f>
        <v>0</v>
      </c>
      <c r="J19" s="16">
        <f>[16]Resumen!$J$21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>
      <c r="A20" s="13" t="s">
        <v>29</v>
      </c>
      <c r="B20" s="14">
        <f>[17]Resumen!$B$21</f>
        <v>0</v>
      </c>
      <c r="C20" s="15">
        <f>[17]Resumen!$C$21</f>
        <v>0</v>
      </c>
      <c r="D20" s="16">
        <f>[17]Resumen!$D$21</f>
        <v>0</v>
      </c>
      <c r="E20" s="14">
        <f>[17]Resumen!$E$21</f>
        <v>0</v>
      </c>
      <c r="F20" s="15">
        <f>[17]Resumen!$F$21</f>
        <v>0</v>
      </c>
      <c r="G20" s="17">
        <f>[17]Resumen!$G$21</f>
        <v>0</v>
      </c>
      <c r="H20" s="18">
        <f>[17]Resumen!$H$21</f>
        <v>0</v>
      </c>
      <c r="I20" s="15">
        <f>[17]Resumen!$I$21</f>
        <v>0</v>
      </c>
      <c r="J20" s="16">
        <f>[17]Resumen!$J$21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>
      <c r="A21" s="20" t="s">
        <v>30</v>
      </c>
      <c r="B21" s="14">
        <f>[18]Resumen!$B$21</f>
        <v>0</v>
      </c>
      <c r="C21" s="15">
        <f>[18]Resumen!$C$21</f>
        <v>0</v>
      </c>
      <c r="D21" s="16">
        <f>[18]Resumen!$D$21</f>
        <v>0</v>
      </c>
      <c r="E21" s="14">
        <f>[18]Resumen!$E$21</f>
        <v>0</v>
      </c>
      <c r="F21" s="15">
        <f>[18]Resumen!$F$21</f>
        <v>0</v>
      </c>
      <c r="G21" s="17">
        <f>[18]Resumen!$G$21</f>
        <v>0</v>
      </c>
      <c r="H21" s="18">
        <f>[18]Resumen!$H$21</f>
        <v>0</v>
      </c>
      <c r="I21" s="15">
        <f>[18]Resumen!$I$21</f>
        <v>0</v>
      </c>
      <c r="J21" s="16">
        <f>[18]Resumen!$J$21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>
      <c r="A22" s="13" t="s">
        <v>31</v>
      </c>
      <c r="B22" s="14">
        <f>[19]Resumen!$B$21</f>
        <v>0</v>
      </c>
      <c r="C22" s="15">
        <f>[19]Resumen!$C$21</f>
        <v>0</v>
      </c>
      <c r="D22" s="16">
        <f>[19]Resumen!$D$21</f>
        <v>0</v>
      </c>
      <c r="E22" s="14">
        <f>[19]Resumen!$E$21</f>
        <v>0</v>
      </c>
      <c r="F22" s="15">
        <f>[19]Resumen!$F$21</f>
        <v>0</v>
      </c>
      <c r="G22" s="17">
        <f>[19]Resumen!$G$21</f>
        <v>0</v>
      </c>
      <c r="H22" s="18">
        <f>[19]Resumen!$H$21</f>
        <v>0</v>
      </c>
      <c r="I22" s="15">
        <f>[19]Resumen!$I$21</f>
        <v>0</v>
      </c>
      <c r="J22" s="16">
        <f>[19]Resumen!$J$21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>
      <c r="A23" s="20" t="s">
        <v>32</v>
      </c>
      <c r="B23" s="14">
        <f>[20]Resumen!$B$21</f>
        <v>0</v>
      </c>
      <c r="C23" s="15">
        <f>[20]Resumen!$C$21</f>
        <v>0</v>
      </c>
      <c r="D23" s="16">
        <f>[20]Resumen!$D$21</f>
        <v>0</v>
      </c>
      <c r="E23" s="14">
        <f>[20]Resumen!$E$21</f>
        <v>0</v>
      </c>
      <c r="F23" s="15">
        <f>[20]Resumen!$F$21</f>
        <v>0</v>
      </c>
      <c r="G23" s="17">
        <f>[20]Resumen!$G$21</f>
        <v>0</v>
      </c>
      <c r="H23" s="18">
        <f>[20]Resumen!$H$21</f>
        <v>0</v>
      </c>
      <c r="I23" s="15">
        <f>[20]Resumen!$I$21</f>
        <v>0</v>
      </c>
      <c r="J23" s="16">
        <f>[20]Resumen!$J$21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>
      <c r="A24" s="13" t="s">
        <v>33</v>
      </c>
      <c r="B24" s="14">
        <f>[21]Resumen!$B$21</f>
        <v>0</v>
      </c>
      <c r="C24" s="15">
        <f>[21]Resumen!$C$21</f>
        <v>0</v>
      </c>
      <c r="D24" s="16">
        <f>[21]Resumen!$D$21</f>
        <v>0</v>
      </c>
      <c r="E24" s="14">
        <f>[21]Resumen!$E$21</f>
        <v>0</v>
      </c>
      <c r="F24" s="15">
        <f>[21]Resumen!$F$21</f>
        <v>0</v>
      </c>
      <c r="G24" s="17">
        <f>[21]Resumen!$G$21</f>
        <v>0</v>
      </c>
      <c r="H24" s="18">
        <f>[21]Resumen!$H$21</f>
        <v>0</v>
      </c>
      <c r="I24" s="15">
        <f>[21]Resumen!$I$21</f>
        <v>0</v>
      </c>
      <c r="J24" s="16">
        <f>[21]Resumen!$J$21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>
      <c r="A25" s="20" t="s">
        <v>34</v>
      </c>
      <c r="B25" s="14">
        <f>[22]Resumen!$B$21</f>
        <v>0</v>
      </c>
      <c r="C25" s="15">
        <f>[22]Resumen!$C$21</f>
        <v>0</v>
      </c>
      <c r="D25" s="16">
        <f>[22]Resumen!$D$21</f>
        <v>0</v>
      </c>
      <c r="E25" s="14">
        <f>[22]Resumen!$E$21</f>
        <v>0</v>
      </c>
      <c r="F25" s="15">
        <f>[22]Resumen!$F$21</f>
        <v>0</v>
      </c>
      <c r="G25" s="17">
        <f>[22]Resumen!$G$21</f>
        <v>0</v>
      </c>
      <c r="H25" s="18">
        <f>[22]Resumen!$H$21</f>
        <v>0</v>
      </c>
      <c r="I25" s="15">
        <f>[22]Resumen!$I$21</f>
        <v>0</v>
      </c>
      <c r="J25" s="16">
        <f>[22]Resumen!$J$21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>
      <c r="A26" s="13" t="s">
        <v>35</v>
      </c>
      <c r="B26" s="14">
        <f>[23]Resumen!$B$21</f>
        <v>0</v>
      </c>
      <c r="C26" s="15">
        <f>[23]Resumen!$C$21</f>
        <v>0</v>
      </c>
      <c r="D26" s="16">
        <f>[23]Resumen!$D$21</f>
        <v>0</v>
      </c>
      <c r="E26" s="14">
        <f>[23]Resumen!$E$21</f>
        <v>0</v>
      </c>
      <c r="F26" s="15">
        <f>[23]Resumen!$F$21</f>
        <v>0</v>
      </c>
      <c r="G26" s="17">
        <f>[23]Resumen!$G$21</f>
        <v>0</v>
      </c>
      <c r="H26" s="18">
        <f>[23]Resumen!$H$21</f>
        <v>0</v>
      </c>
      <c r="I26" s="15">
        <f>[23]Resumen!$I$21</f>
        <v>0</v>
      </c>
      <c r="J26" s="16">
        <f>[23]Resumen!$J$21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>
      <c r="A27" s="20" t="s">
        <v>36</v>
      </c>
      <c r="B27" s="14">
        <f>[24]Resumen!$B$21</f>
        <v>0</v>
      </c>
      <c r="C27" s="15">
        <f>[24]Resumen!$C$21</f>
        <v>0</v>
      </c>
      <c r="D27" s="16">
        <f>[24]Resumen!$D$21</f>
        <v>0</v>
      </c>
      <c r="E27" s="14">
        <f>[24]Resumen!$E$21</f>
        <v>0</v>
      </c>
      <c r="F27" s="15">
        <f>[24]Resumen!$F$21</f>
        <v>0</v>
      </c>
      <c r="G27" s="17">
        <f>[24]Resumen!$G$21</f>
        <v>0</v>
      </c>
      <c r="H27" s="18">
        <f>[24]Resumen!$H$21</f>
        <v>0</v>
      </c>
      <c r="I27" s="15">
        <f>[24]Resumen!$I$21</f>
        <v>0</v>
      </c>
      <c r="J27" s="16">
        <f>[24]Resumen!$J$21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>
      <c r="A28" s="13" t="s">
        <v>37</v>
      </c>
      <c r="B28" s="14">
        <f>[25]Resumen!$B$21</f>
        <v>0</v>
      </c>
      <c r="C28" s="15">
        <f>[25]Resumen!$C$21</f>
        <v>0</v>
      </c>
      <c r="D28" s="16">
        <f>[25]Resumen!$D$21</f>
        <v>0</v>
      </c>
      <c r="E28" s="14">
        <f>[25]Resumen!$E$21</f>
        <v>0</v>
      </c>
      <c r="F28" s="15">
        <f>[25]Resumen!$F$21</f>
        <v>0</v>
      </c>
      <c r="G28" s="17">
        <f>[25]Resumen!$G$21</f>
        <v>0</v>
      </c>
      <c r="H28" s="18">
        <f>[25]Resumen!$H$21</f>
        <v>0</v>
      </c>
      <c r="I28" s="15">
        <f>[25]Resumen!$I$21</f>
        <v>0</v>
      </c>
      <c r="J28" s="16">
        <f>[25]Resumen!$J$21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>
      <c r="A29" s="20" t="s">
        <v>38</v>
      </c>
      <c r="B29" s="14">
        <f>[26]Resumen!$B$21</f>
        <v>0</v>
      </c>
      <c r="C29" s="15">
        <f>[26]Resumen!$C$21</f>
        <v>0</v>
      </c>
      <c r="D29" s="16">
        <f>[26]Resumen!$D$21</f>
        <v>0</v>
      </c>
      <c r="E29" s="14">
        <f>[26]Resumen!$E$21</f>
        <v>0</v>
      </c>
      <c r="F29" s="15">
        <f>[26]Resumen!$F$21</f>
        <v>0</v>
      </c>
      <c r="G29" s="17">
        <f>[26]Resumen!$G$21</f>
        <v>0</v>
      </c>
      <c r="H29" s="18">
        <f>[26]Resumen!$H$21</f>
        <v>0</v>
      </c>
      <c r="I29" s="15">
        <f>[26]Resumen!$I$21</f>
        <v>0</v>
      </c>
      <c r="J29" s="16">
        <f>[26]Resumen!$J$21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>
      <c r="A30" s="13" t="s">
        <v>39</v>
      </c>
      <c r="B30" s="14">
        <f>[27]Resumen!$B$21</f>
        <v>0</v>
      </c>
      <c r="C30" s="15">
        <f>[27]Resumen!$C$21</f>
        <v>0</v>
      </c>
      <c r="D30" s="16">
        <f>[27]Resumen!$D$21</f>
        <v>0</v>
      </c>
      <c r="E30" s="14">
        <f>[27]Resumen!$E$21</f>
        <v>0</v>
      </c>
      <c r="F30" s="15">
        <f>[27]Resumen!$F$21</f>
        <v>0</v>
      </c>
      <c r="G30" s="17">
        <f>[27]Resumen!$G$21</f>
        <v>0</v>
      </c>
      <c r="H30" s="18">
        <f>[27]Resumen!$H$21</f>
        <v>0</v>
      </c>
      <c r="I30" s="15">
        <f>[27]Resumen!$I$21</f>
        <v>0</v>
      </c>
      <c r="J30" s="16">
        <f>[27]Resumen!$J$21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>
      <c r="A31" s="20" t="s">
        <v>40</v>
      </c>
      <c r="B31" s="14">
        <f>[28]Resumen!$B$21</f>
        <v>0</v>
      </c>
      <c r="C31" s="15">
        <f>[28]Resumen!$C$21</f>
        <v>0</v>
      </c>
      <c r="D31" s="16">
        <f>[28]Resumen!$D$21</f>
        <v>0</v>
      </c>
      <c r="E31" s="14">
        <f>[28]Resumen!$E$21</f>
        <v>0</v>
      </c>
      <c r="F31" s="15">
        <f>[28]Resumen!$F$21</f>
        <v>0</v>
      </c>
      <c r="G31" s="17">
        <f>[28]Resumen!$G$21</f>
        <v>0</v>
      </c>
      <c r="H31" s="18">
        <f>[28]Resumen!$H$21</f>
        <v>0</v>
      </c>
      <c r="I31" s="15">
        <f>[28]Resumen!$I$21</f>
        <v>0</v>
      </c>
      <c r="J31" s="16">
        <f>[28]Resumen!$J$21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>
      <c r="A32" s="20" t="s">
        <v>41</v>
      </c>
      <c r="B32" s="14">
        <f>[29]Resumen!$B$21</f>
        <v>0</v>
      </c>
      <c r="C32" s="15">
        <f>[29]Resumen!$C$21</f>
        <v>0</v>
      </c>
      <c r="D32" s="16">
        <f>[29]Resumen!$D$21</f>
        <v>0</v>
      </c>
      <c r="E32" s="14">
        <f>[29]Resumen!$E$21</f>
        <v>0</v>
      </c>
      <c r="F32" s="15">
        <f>[29]Resumen!$F$21</f>
        <v>0</v>
      </c>
      <c r="G32" s="17">
        <f>[29]Resumen!$G$21</f>
        <v>0</v>
      </c>
      <c r="H32" s="18">
        <f>[29]Resumen!$H$21</f>
        <v>0</v>
      </c>
      <c r="I32" s="15">
        <f>[29]Resumen!$I$21</f>
        <v>0</v>
      </c>
      <c r="J32" s="16">
        <f>[29]Resumen!$J$21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>
      <c r="A33" s="13" t="s">
        <v>42</v>
      </c>
      <c r="B33" s="14">
        <f>[30]Resumen!$B$21</f>
        <v>0</v>
      </c>
      <c r="C33" s="15">
        <f>[30]Resumen!$C$21</f>
        <v>0</v>
      </c>
      <c r="D33" s="16">
        <f>[30]Resumen!$D$21</f>
        <v>0</v>
      </c>
      <c r="E33" s="14">
        <f>[30]Resumen!$E$21</f>
        <v>0</v>
      </c>
      <c r="F33" s="15">
        <f>[30]Resumen!$F$21</f>
        <v>0</v>
      </c>
      <c r="G33" s="17">
        <f>[30]Resumen!$G$21</f>
        <v>0</v>
      </c>
      <c r="H33" s="18">
        <f>[30]Resumen!$H$21</f>
        <v>0</v>
      </c>
      <c r="I33" s="15">
        <f>[30]Resumen!$I$21</f>
        <v>0</v>
      </c>
      <c r="J33" s="16">
        <f>[30]Resumen!$J$21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>
      <c r="A34" s="20" t="s">
        <v>43</v>
      </c>
      <c r="B34" s="14">
        <f>[31]Resumen!$B$21</f>
        <v>0</v>
      </c>
      <c r="C34" s="15">
        <f>[31]Resumen!$C$21</f>
        <v>0</v>
      </c>
      <c r="D34" s="16">
        <f>[31]Resumen!$D$21</f>
        <v>0</v>
      </c>
      <c r="E34" s="14">
        <f>[31]Resumen!$E$21</f>
        <v>0</v>
      </c>
      <c r="F34" s="15">
        <f>[31]Resumen!$F$21</f>
        <v>0</v>
      </c>
      <c r="G34" s="17">
        <f>[31]Resumen!$G$21</f>
        <v>0</v>
      </c>
      <c r="H34" s="18">
        <f>[31]Resumen!$H$21</f>
        <v>0</v>
      </c>
      <c r="I34" s="15">
        <f>[31]Resumen!$I$21</f>
        <v>0</v>
      </c>
      <c r="J34" s="16">
        <f>[31]Resumen!$J$21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>
      <c r="A35" s="13" t="s">
        <v>44</v>
      </c>
      <c r="B35" s="14">
        <f>[10]Resumen!$B$21</f>
        <v>0</v>
      </c>
      <c r="C35" s="15">
        <f>[10]Resumen!$C$21</f>
        <v>0</v>
      </c>
      <c r="D35" s="16">
        <f>[10]Resumen!$D$21</f>
        <v>0</v>
      </c>
      <c r="E35" s="14">
        <f>[10]Resumen!$E$21</f>
        <v>0</v>
      </c>
      <c r="F35" s="15">
        <f>[10]Resumen!$F$21</f>
        <v>0</v>
      </c>
      <c r="G35" s="17">
        <f>[10]Resumen!$G$21</f>
        <v>0</v>
      </c>
      <c r="H35" s="18">
        <f>[10]Resumen!$H$21</f>
        <v>0</v>
      </c>
      <c r="I35" s="15">
        <f>[10]Resumen!$I$21</f>
        <v>0</v>
      </c>
      <c r="J35" s="16">
        <f>[10]Resumen!$J$21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>
      <c r="A36" s="20" t="s">
        <v>45</v>
      </c>
      <c r="B36" s="21">
        <f>+[11]Resumen!$B$21</f>
        <v>0</v>
      </c>
      <c r="C36" s="22">
        <f>+[11]Resumen!$C$21</f>
        <v>0</v>
      </c>
      <c r="D36" s="23">
        <f>+[11]Resumen!$D$21</f>
        <v>0</v>
      </c>
      <c r="E36" s="21">
        <f>+[11]Resumen!$E$21</f>
        <v>0</v>
      </c>
      <c r="F36" s="22">
        <f>+[11]Resumen!$F$21</f>
        <v>0</v>
      </c>
      <c r="G36" s="24">
        <f>+[11]Resumen!$G$21</f>
        <v>0</v>
      </c>
      <c r="H36" s="25">
        <f>+[11]Resumen!$H$21</f>
        <v>0</v>
      </c>
      <c r="I36" s="22">
        <f>+[11]Resumen!$I$21</f>
        <v>0</v>
      </c>
      <c r="J36" s="23">
        <f>+[11]Resumen!$J$21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7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40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425781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81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>
      <c r="A6" s="20" t="s">
        <v>49</v>
      </c>
      <c r="B6" s="53">
        <f>[1]Resumen!$B$22</f>
        <v>0</v>
      </c>
      <c r="C6" s="58">
        <f>[1]Resumen!$C$22</f>
        <v>0</v>
      </c>
      <c r="D6" s="54">
        <f>[1]Resumen!$D$22</f>
        <v>0</v>
      </c>
      <c r="E6" s="53">
        <f>[1]Resumen!$E$22</f>
        <v>0</v>
      </c>
      <c r="F6" s="58">
        <f>[1]Resumen!$F$22</f>
        <v>0</v>
      </c>
      <c r="G6" s="55">
        <f>[1]Resumen!$G$22</f>
        <v>0</v>
      </c>
      <c r="H6" s="61">
        <f>[1]Resumen!$H$22</f>
        <v>0</v>
      </c>
      <c r="I6" s="58">
        <f>[1]Resumen!$I$22</f>
        <v>0</v>
      </c>
      <c r="J6" s="54">
        <f>[1]Resumen!$J$22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>
      <c r="A7" s="13" t="s">
        <v>50</v>
      </c>
      <c r="B7" s="14">
        <f>[2]Resumen!$B$22</f>
        <v>0</v>
      </c>
      <c r="C7" s="15">
        <f>[2]Resumen!$C$22</f>
        <v>0</v>
      </c>
      <c r="D7" s="16">
        <f>[2]Resumen!$D$22</f>
        <v>0</v>
      </c>
      <c r="E7" s="14">
        <f>[2]Resumen!$E$22</f>
        <v>0</v>
      </c>
      <c r="F7" s="15">
        <f>[2]Resumen!$F$22</f>
        <v>0</v>
      </c>
      <c r="G7" s="17">
        <f>[2]Resumen!$G$22</f>
        <v>0</v>
      </c>
      <c r="H7" s="18">
        <f>[2]Resumen!$H$22</f>
        <v>0</v>
      </c>
      <c r="I7" s="15">
        <f>[2]Resumen!$I$22</f>
        <v>0</v>
      </c>
      <c r="J7" s="16">
        <f>[2]Resumen!$J$22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>
      <c r="A8" s="20" t="s">
        <v>51</v>
      </c>
      <c r="B8" s="14">
        <f>[3]Resumen!$B$22</f>
        <v>0</v>
      </c>
      <c r="C8" s="15">
        <f>[3]Resumen!$C$22</f>
        <v>0</v>
      </c>
      <c r="D8" s="16">
        <f>[3]Resumen!$D$22</f>
        <v>0</v>
      </c>
      <c r="E8" s="14">
        <f>[3]Resumen!$E$22</f>
        <v>0</v>
      </c>
      <c r="F8" s="15">
        <f>[3]Resumen!$F$22</f>
        <v>0</v>
      </c>
      <c r="G8" s="17">
        <f>[3]Resumen!$G$22</f>
        <v>0</v>
      </c>
      <c r="H8" s="18">
        <f>[3]Resumen!$H$22</f>
        <v>0</v>
      </c>
      <c r="I8" s="15">
        <f>[3]Resumen!$I$22</f>
        <v>0</v>
      </c>
      <c r="J8" s="16">
        <f>[3]Resumen!$J$22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>
      <c r="A9" s="13" t="s">
        <v>52</v>
      </c>
      <c r="B9" s="14">
        <f>[4]Resumen!$B$22</f>
        <v>0</v>
      </c>
      <c r="C9" s="15">
        <f>[4]Resumen!$C$22</f>
        <v>0</v>
      </c>
      <c r="D9" s="16">
        <f>[4]Resumen!$D$22</f>
        <v>0</v>
      </c>
      <c r="E9" s="14">
        <f>[4]Resumen!$E$22</f>
        <v>0</v>
      </c>
      <c r="F9" s="15">
        <f>[4]Resumen!$F$22</f>
        <v>0</v>
      </c>
      <c r="G9" s="17">
        <f>[4]Resumen!$G$22</f>
        <v>0</v>
      </c>
      <c r="H9" s="18">
        <f>[4]Resumen!$H$22</f>
        <v>0</v>
      </c>
      <c r="I9" s="15">
        <f>[4]Resumen!$I$22</f>
        <v>0</v>
      </c>
      <c r="J9" s="16">
        <f>[4]Resumen!$J$22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>
      <c r="A10" s="20" t="s">
        <v>53</v>
      </c>
      <c r="B10" s="14">
        <f>[5]Resumen!$B$22</f>
        <v>0</v>
      </c>
      <c r="C10" s="15">
        <f>[5]Resumen!$C$22</f>
        <v>0</v>
      </c>
      <c r="D10" s="16">
        <f>[5]Resumen!$D$22</f>
        <v>0</v>
      </c>
      <c r="E10" s="14">
        <f>[5]Resumen!$E$22</f>
        <v>0</v>
      </c>
      <c r="F10" s="15">
        <f>[5]Resumen!$F$22</f>
        <v>0</v>
      </c>
      <c r="G10" s="17">
        <f>[5]Resumen!$G$22</f>
        <v>0</v>
      </c>
      <c r="H10" s="18">
        <f>[5]Resumen!$H$22</f>
        <v>0</v>
      </c>
      <c r="I10" s="15">
        <f>[5]Resumen!$I$22</f>
        <v>0</v>
      </c>
      <c r="J10" s="16">
        <f>[5]Resumen!$J$22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>
      <c r="A11" s="13" t="s">
        <v>20</v>
      </c>
      <c r="B11" s="14">
        <f>[6]Resumen!$B$22</f>
        <v>0</v>
      </c>
      <c r="C11" s="15">
        <f>[6]Resumen!$C$22</f>
        <v>0</v>
      </c>
      <c r="D11" s="16">
        <f>[6]Resumen!$D$22</f>
        <v>0</v>
      </c>
      <c r="E11" s="14">
        <f>[6]Resumen!$E$22</f>
        <v>0</v>
      </c>
      <c r="F11" s="15">
        <f>[6]Resumen!$F$22</f>
        <v>0</v>
      </c>
      <c r="G11" s="17">
        <f>[6]Resumen!$G$22</f>
        <v>0</v>
      </c>
      <c r="H11" s="18">
        <f>[6]Resumen!$H$22</f>
        <v>0</v>
      </c>
      <c r="I11" s="15">
        <f>[6]Resumen!$I$22</f>
        <v>0</v>
      </c>
      <c r="J11" s="16">
        <f>[6]Resumen!$J$22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>
      <c r="A12" s="20" t="s">
        <v>21</v>
      </c>
      <c r="B12" s="14">
        <f>[7]Resumen!$B$22</f>
        <v>0</v>
      </c>
      <c r="C12" s="15">
        <f>[7]Resumen!$C$22</f>
        <v>0</v>
      </c>
      <c r="D12" s="16">
        <f>[7]Resumen!$D$22</f>
        <v>0</v>
      </c>
      <c r="E12" s="14">
        <f>[7]Resumen!$E$22</f>
        <v>0</v>
      </c>
      <c r="F12" s="15">
        <f>[7]Resumen!$F$22</f>
        <v>0</v>
      </c>
      <c r="G12" s="17">
        <f>[7]Resumen!$G$22</f>
        <v>0</v>
      </c>
      <c r="H12" s="18">
        <f>[7]Resumen!$H$22</f>
        <v>0</v>
      </c>
      <c r="I12" s="15">
        <f>[7]Resumen!$I$22</f>
        <v>0</v>
      </c>
      <c r="J12" s="16">
        <f>[7]Resumen!$J$22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>
      <c r="A13" s="13" t="s">
        <v>22</v>
      </c>
      <c r="B13" s="14">
        <f>[8]Resumen!$B$22</f>
        <v>0</v>
      </c>
      <c r="C13" s="15">
        <f>[8]Resumen!$C$22</f>
        <v>0</v>
      </c>
      <c r="D13" s="16">
        <f>[8]Resumen!$D$22</f>
        <v>0</v>
      </c>
      <c r="E13" s="14">
        <f>[8]Resumen!$E$22</f>
        <v>0</v>
      </c>
      <c r="F13" s="15">
        <f>[8]Resumen!$F$22</f>
        <v>0</v>
      </c>
      <c r="G13" s="17">
        <f>[8]Resumen!$G$22</f>
        <v>0</v>
      </c>
      <c r="H13" s="18">
        <f>[8]Resumen!$H$22</f>
        <v>0</v>
      </c>
      <c r="I13" s="15">
        <f>[8]Resumen!$I$22</f>
        <v>0</v>
      </c>
      <c r="J13" s="16">
        <f>[8]Resumen!$J$22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>
      <c r="A14" s="20" t="s">
        <v>23</v>
      </c>
      <c r="B14" s="14">
        <f>[9]Resumen!$B$22</f>
        <v>0</v>
      </c>
      <c r="C14" s="15">
        <f>[9]Resumen!$C$22</f>
        <v>0</v>
      </c>
      <c r="D14" s="16">
        <f>[9]Resumen!$D$22</f>
        <v>0</v>
      </c>
      <c r="E14" s="14">
        <f>[9]Resumen!$E$22</f>
        <v>0</v>
      </c>
      <c r="F14" s="15">
        <f>[9]Resumen!$F$22</f>
        <v>0</v>
      </c>
      <c r="G14" s="17">
        <f>[9]Resumen!$G$22</f>
        <v>0</v>
      </c>
      <c r="H14" s="18">
        <f>[9]Resumen!$H$22</f>
        <v>0</v>
      </c>
      <c r="I14" s="15">
        <f>[9]Resumen!$I$22</f>
        <v>0</v>
      </c>
      <c r="J14" s="16">
        <f>[9]Resumen!$J$22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>
      <c r="A15" s="13" t="s">
        <v>24</v>
      </c>
      <c r="B15" s="14">
        <f>[12]Resumen!$B$22</f>
        <v>0</v>
      </c>
      <c r="C15" s="15">
        <f>[12]Resumen!$C$22</f>
        <v>0</v>
      </c>
      <c r="D15" s="16">
        <f>[12]Resumen!$D$22</f>
        <v>0</v>
      </c>
      <c r="E15" s="14">
        <f>[12]Resumen!$E$22</f>
        <v>0</v>
      </c>
      <c r="F15" s="15">
        <f>[12]Resumen!$F$22</f>
        <v>0</v>
      </c>
      <c r="G15" s="17">
        <f>[12]Resumen!$G$22</f>
        <v>0</v>
      </c>
      <c r="H15" s="18">
        <f>[12]Resumen!$H$22</f>
        <v>0</v>
      </c>
      <c r="I15" s="15">
        <f>[12]Resumen!$I$22</f>
        <v>0</v>
      </c>
      <c r="J15" s="16">
        <f>[12]Resumen!$J$22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>
      <c r="A16" s="20" t="s">
        <v>25</v>
      </c>
      <c r="B16" s="14">
        <f>[13]Resumen!$B$22</f>
        <v>0</v>
      </c>
      <c r="C16" s="15">
        <f>[13]Resumen!$C$22</f>
        <v>0</v>
      </c>
      <c r="D16" s="16">
        <f>[13]Resumen!$D$22</f>
        <v>0</v>
      </c>
      <c r="E16" s="14">
        <f>[13]Resumen!$E$22</f>
        <v>0</v>
      </c>
      <c r="F16" s="15">
        <f>[13]Resumen!$F$22</f>
        <v>0</v>
      </c>
      <c r="G16" s="17">
        <f>[13]Resumen!$G$22</f>
        <v>0</v>
      </c>
      <c r="H16" s="18">
        <f>[13]Resumen!$H$22</f>
        <v>0</v>
      </c>
      <c r="I16" s="15">
        <f>[13]Resumen!$I$22</f>
        <v>0</v>
      </c>
      <c r="J16" s="16">
        <f>[13]Resumen!$J$22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>
      <c r="A17" s="13" t="s">
        <v>26</v>
      </c>
      <c r="B17" s="14">
        <f>[14]Resumen!$B$22</f>
        <v>0</v>
      </c>
      <c r="C17" s="15">
        <f>[14]Resumen!$C$22</f>
        <v>0</v>
      </c>
      <c r="D17" s="16">
        <f>[14]Resumen!$D$22</f>
        <v>0</v>
      </c>
      <c r="E17" s="14">
        <f>[14]Resumen!$E$22</f>
        <v>0</v>
      </c>
      <c r="F17" s="15">
        <f>[14]Resumen!$F$22</f>
        <v>0</v>
      </c>
      <c r="G17" s="17">
        <f>[14]Resumen!$G$22</f>
        <v>0</v>
      </c>
      <c r="H17" s="18">
        <f>[14]Resumen!$H$22</f>
        <v>0</v>
      </c>
      <c r="I17" s="15">
        <f>[14]Resumen!$I$22</f>
        <v>0</v>
      </c>
      <c r="J17" s="16">
        <f>[14]Resumen!$J$22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>
      <c r="A18" s="20" t="s">
        <v>27</v>
      </c>
      <c r="B18" s="14">
        <f>[15]Resumen!$B$22</f>
        <v>0</v>
      </c>
      <c r="C18" s="15">
        <f>[15]Resumen!$C$22</f>
        <v>0</v>
      </c>
      <c r="D18" s="16">
        <f>[15]Resumen!$D$22</f>
        <v>0</v>
      </c>
      <c r="E18" s="14">
        <f>[15]Resumen!$E$22</f>
        <v>0</v>
      </c>
      <c r="F18" s="15">
        <f>[15]Resumen!$F$22</f>
        <v>0</v>
      </c>
      <c r="G18" s="17">
        <f>[15]Resumen!$G$22</f>
        <v>0</v>
      </c>
      <c r="H18" s="18">
        <f>[15]Resumen!$H$22</f>
        <v>0</v>
      </c>
      <c r="I18" s="15">
        <f>[15]Resumen!$I$22</f>
        <v>0</v>
      </c>
      <c r="J18" s="16">
        <f>[15]Resumen!$J$22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>
      <c r="A19" s="20" t="s">
        <v>28</v>
      </c>
      <c r="B19" s="14">
        <f>[16]Resumen!$B$22</f>
        <v>0</v>
      </c>
      <c r="C19" s="15">
        <f>[16]Resumen!$C$22</f>
        <v>0</v>
      </c>
      <c r="D19" s="16">
        <f>[16]Resumen!$D$22</f>
        <v>0</v>
      </c>
      <c r="E19" s="14">
        <f>[16]Resumen!$E$22</f>
        <v>0</v>
      </c>
      <c r="F19" s="15">
        <f>[16]Resumen!$F$22</f>
        <v>0</v>
      </c>
      <c r="G19" s="17">
        <f>[16]Resumen!$G$22</f>
        <v>0</v>
      </c>
      <c r="H19" s="18">
        <f>[16]Resumen!$H$22</f>
        <v>0</v>
      </c>
      <c r="I19" s="15">
        <f>[16]Resumen!$I$22</f>
        <v>0</v>
      </c>
      <c r="J19" s="16">
        <f>[16]Resumen!$J$22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>
      <c r="A20" s="13" t="s">
        <v>29</v>
      </c>
      <c r="B20" s="14">
        <f>[17]Resumen!$B$22</f>
        <v>0</v>
      </c>
      <c r="C20" s="15">
        <f>[17]Resumen!$C$22</f>
        <v>0</v>
      </c>
      <c r="D20" s="16">
        <f>[17]Resumen!$D$22</f>
        <v>0</v>
      </c>
      <c r="E20" s="14">
        <f>[17]Resumen!$E$22</f>
        <v>0</v>
      </c>
      <c r="F20" s="15">
        <f>[17]Resumen!$F$22</f>
        <v>0</v>
      </c>
      <c r="G20" s="17">
        <f>[17]Resumen!$G$22</f>
        <v>0</v>
      </c>
      <c r="H20" s="18">
        <f>[17]Resumen!$H$22</f>
        <v>0</v>
      </c>
      <c r="I20" s="15">
        <f>[17]Resumen!$I$22</f>
        <v>0</v>
      </c>
      <c r="J20" s="16">
        <f>[17]Resumen!$J$22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>
      <c r="A21" s="20" t="s">
        <v>30</v>
      </c>
      <c r="B21" s="14">
        <f>[18]Resumen!$B$22</f>
        <v>0</v>
      </c>
      <c r="C21" s="15">
        <f>[18]Resumen!$C$22</f>
        <v>0</v>
      </c>
      <c r="D21" s="16">
        <f>[18]Resumen!$D$22</f>
        <v>0</v>
      </c>
      <c r="E21" s="14">
        <f>[18]Resumen!$E$22</f>
        <v>0</v>
      </c>
      <c r="F21" s="15">
        <f>[18]Resumen!$F$22</f>
        <v>0</v>
      </c>
      <c r="G21" s="17">
        <f>[18]Resumen!$G$22</f>
        <v>0</v>
      </c>
      <c r="H21" s="18">
        <f>[18]Resumen!$H$22</f>
        <v>0</v>
      </c>
      <c r="I21" s="15">
        <f>[18]Resumen!$I$22</f>
        <v>0</v>
      </c>
      <c r="J21" s="16">
        <f>[18]Resumen!$J$22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>
      <c r="A22" s="13" t="s">
        <v>31</v>
      </c>
      <c r="B22" s="14">
        <f>[19]Resumen!$B$22</f>
        <v>0</v>
      </c>
      <c r="C22" s="15">
        <f>[19]Resumen!$C$22</f>
        <v>0</v>
      </c>
      <c r="D22" s="16">
        <f>[19]Resumen!$D$22</f>
        <v>0</v>
      </c>
      <c r="E22" s="14">
        <f>[19]Resumen!$E$22</f>
        <v>0</v>
      </c>
      <c r="F22" s="15">
        <f>[19]Resumen!$F$22</f>
        <v>0</v>
      </c>
      <c r="G22" s="17">
        <f>[19]Resumen!$G$22</f>
        <v>0</v>
      </c>
      <c r="H22" s="18">
        <f>[19]Resumen!$H$22</f>
        <v>0</v>
      </c>
      <c r="I22" s="15">
        <f>[19]Resumen!$I$22</f>
        <v>0</v>
      </c>
      <c r="J22" s="16">
        <f>[19]Resumen!$J$22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>
      <c r="A23" s="20" t="s">
        <v>32</v>
      </c>
      <c r="B23" s="14">
        <f>[20]Resumen!$B$22</f>
        <v>0</v>
      </c>
      <c r="C23" s="15">
        <f>[20]Resumen!$C$22</f>
        <v>0</v>
      </c>
      <c r="D23" s="16">
        <f>[20]Resumen!$D$22</f>
        <v>0</v>
      </c>
      <c r="E23" s="14">
        <f>[20]Resumen!$E$22</f>
        <v>0</v>
      </c>
      <c r="F23" s="15">
        <f>[20]Resumen!$F$22</f>
        <v>0</v>
      </c>
      <c r="G23" s="17">
        <f>[20]Resumen!$G$22</f>
        <v>0</v>
      </c>
      <c r="H23" s="18">
        <f>[20]Resumen!$H$22</f>
        <v>0</v>
      </c>
      <c r="I23" s="15">
        <f>[20]Resumen!$I$22</f>
        <v>0</v>
      </c>
      <c r="J23" s="16">
        <f>[20]Resumen!$J$22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>
      <c r="A24" s="13" t="s">
        <v>33</v>
      </c>
      <c r="B24" s="14">
        <f>[21]Resumen!$B$22</f>
        <v>0</v>
      </c>
      <c r="C24" s="15">
        <f>[21]Resumen!$C$22</f>
        <v>0</v>
      </c>
      <c r="D24" s="16">
        <f>[21]Resumen!$D$22</f>
        <v>0</v>
      </c>
      <c r="E24" s="14">
        <f>[21]Resumen!$E$22</f>
        <v>0</v>
      </c>
      <c r="F24" s="15">
        <f>[21]Resumen!$F$22</f>
        <v>0</v>
      </c>
      <c r="G24" s="17">
        <f>[21]Resumen!$G$22</f>
        <v>0</v>
      </c>
      <c r="H24" s="18">
        <f>[21]Resumen!$H$22</f>
        <v>0</v>
      </c>
      <c r="I24" s="15">
        <f>[21]Resumen!$I$22</f>
        <v>0</v>
      </c>
      <c r="J24" s="16">
        <f>[21]Resumen!$J$22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>
      <c r="A25" s="20" t="s">
        <v>34</v>
      </c>
      <c r="B25" s="14">
        <f>[22]Resumen!$B$22</f>
        <v>0</v>
      </c>
      <c r="C25" s="15">
        <f>[22]Resumen!$C$22</f>
        <v>0</v>
      </c>
      <c r="D25" s="16">
        <f>[22]Resumen!$D$22</f>
        <v>0</v>
      </c>
      <c r="E25" s="14">
        <f>[22]Resumen!$E$22</f>
        <v>0</v>
      </c>
      <c r="F25" s="15">
        <f>[22]Resumen!$F$22</f>
        <v>0</v>
      </c>
      <c r="G25" s="17">
        <f>[22]Resumen!$G$22</f>
        <v>0</v>
      </c>
      <c r="H25" s="18">
        <f>[22]Resumen!$H$22</f>
        <v>0</v>
      </c>
      <c r="I25" s="15">
        <f>[22]Resumen!$I$22</f>
        <v>0</v>
      </c>
      <c r="J25" s="16">
        <f>[22]Resumen!$J$22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>
      <c r="A26" s="13" t="s">
        <v>35</v>
      </c>
      <c r="B26" s="14">
        <f>[23]Resumen!$B$22</f>
        <v>0</v>
      </c>
      <c r="C26" s="15">
        <f>[23]Resumen!$C$22</f>
        <v>0</v>
      </c>
      <c r="D26" s="16">
        <f>[23]Resumen!$D$22</f>
        <v>0</v>
      </c>
      <c r="E26" s="14">
        <f>[23]Resumen!$E$22</f>
        <v>0</v>
      </c>
      <c r="F26" s="15">
        <f>[23]Resumen!$F$22</f>
        <v>0</v>
      </c>
      <c r="G26" s="17">
        <f>[23]Resumen!$G$22</f>
        <v>0</v>
      </c>
      <c r="H26" s="18">
        <f>[23]Resumen!$H$22</f>
        <v>0</v>
      </c>
      <c r="I26" s="15">
        <f>[23]Resumen!$I$22</f>
        <v>0</v>
      </c>
      <c r="J26" s="16">
        <f>[23]Resumen!$J$22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>
      <c r="A27" s="20" t="s">
        <v>36</v>
      </c>
      <c r="B27" s="14">
        <f>[24]Resumen!$B$22</f>
        <v>0</v>
      </c>
      <c r="C27" s="15">
        <f>[24]Resumen!$C$22</f>
        <v>0</v>
      </c>
      <c r="D27" s="16">
        <f>[24]Resumen!$D$22</f>
        <v>0</v>
      </c>
      <c r="E27" s="14">
        <f>[24]Resumen!$E$22</f>
        <v>0</v>
      </c>
      <c r="F27" s="15">
        <f>[24]Resumen!$F$22</f>
        <v>0</v>
      </c>
      <c r="G27" s="17">
        <f>[24]Resumen!$G$22</f>
        <v>0</v>
      </c>
      <c r="H27" s="18">
        <f>[24]Resumen!$H$22</f>
        <v>0</v>
      </c>
      <c r="I27" s="15">
        <f>[24]Resumen!$I$22</f>
        <v>0</v>
      </c>
      <c r="J27" s="16">
        <f>[24]Resumen!$J$22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>
      <c r="A28" s="13" t="s">
        <v>37</v>
      </c>
      <c r="B28" s="14">
        <f>[25]Resumen!$B$22</f>
        <v>0</v>
      </c>
      <c r="C28" s="15">
        <f>[25]Resumen!$C$22</f>
        <v>0</v>
      </c>
      <c r="D28" s="16">
        <f>[25]Resumen!$D$22</f>
        <v>0</v>
      </c>
      <c r="E28" s="14">
        <f>[25]Resumen!$E$22</f>
        <v>0</v>
      </c>
      <c r="F28" s="15">
        <f>[25]Resumen!$F$22</f>
        <v>0</v>
      </c>
      <c r="G28" s="17">
        <f>[25]Resumen!$G$22</f>
        <v>0</v>
      </c>
      <c r="H28" s="18">
        <f>[25]Resumen!$H$22</f>
        <v>0</v>
      </c>
      <c r="I28" s="15">
        <f>[25]Resumen!$I$22</f>
        <v>0</v>
      </c>
      <c r="J28" s="16">
        <f>[25]Resumen!$J$22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>
      <c r="A29" s="20" t="s">
        <v>38</v>
      </c>
      <c r="B29" s="14">
        <f>[26]Resumen!$B$22</f>
        <v>0</v>
      </c>
      <c r="C29" s="15">
        <f>[26]Resumen!$C$22</f>
        <v>0</v>
      </c>
      <c r="D29" s="16">
        <f>[26]Resumen!$D$22</f>
        <v>0</v>
      </c>
      <c r="E29" s="14">
        <f>[26]Resumen!$E$22</f>
        <v>0</v>
      </c>
      <c r="F29" s="15">
        <f>[26]Resumen!$F$22</f>
        <v>0</v>
      </c>
      <c r="G29" s="17">
        <f>[26]Resumen!$G$22</f>
        <v>0</v>
      </c>
      <c r="H29" s="18">
        <f>[26]Resumen!$H$22</f>
        <v>0</v>
      </c>
      <c r="I29" s="15">
        <f>[26]Resumen!$I$22</f>
        <v>0</v>
      </c>
      <c r="J29" s="16">
        <f>[26]Resumen!$J$22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>
      <c r="A30" s="13" t="s">
        <v>39</v>
      </c>
      <c r="B30" s="14">
        <f>[27]Resumen!$B$22</f>
        <v>0</v>
      </c>
      <c r="C30" s="15">
        <f>[27]Resumen!$C$22</f>
        <v>0</v>
      </c>
      <c r="D30" s="16">
        <f>[27]Resumen!$D$22</f>
        <v>0</v>
      </c>
      <c r="E30" s="14">
        <f>[27]Resumen!$E$22</f>
        <v>0</v>
      </c>
      <c r="F30" s="15">
        <f>[27]Resumen!$F$22</f>
        <v>0</v>
      </c>
      <c r="G30" s="17">
        <f>[27]Resumen!$G$22</f>
        <v>0</v>
      </c>
      <c r="H30" s="18">
        <f>[27]Resumen!$H$22</f>
        <v>0</v>
      </c>
      <c r="I30" s="15">
        <f>[27]Resumen!$I$22</f>
        <v>0</v>
      </c>
      <c r="J30" s="16">
        <f>[27]Resumen!$J$22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>
      <c r="A31" s="20" t="s">
        <v>40</v>
      </c>
      <c r="B31" s="14">
        <f>[28]Resumen!$B$22</f>
        <v>0</v>
      </c>
      <c r="C31" s="15">
        <f>[28]Resumen!$C$22</f>
        <v>0</v>
      </c>
      <c r="D31" s="16">
        <f>[28]Resumen!$D$22</f>
        <v>0</v>
      </c>
      <c r="E31" s="14">
        <f>[28]Resumen!$E$22</f>
        <v>0</v>
      </c>
      <c r="F31" s="15">
        <f>[28]Resumen!$F$22</f>
        <v>0</v>
      </c>
      <c r="G31" s="17">
        <f>[28]Resumen!$G$22</f>
        <v>0</v>
      </c>
      <c r="H31" s="18">
        <f>[28]Resumen!$H$22</f>
        <v>0</v>
      </c>
      <c r="I31" s="15">
        <f>[28]Resumen!$I$22</f>
        <v>0</v>
      </c>
      <c r="J31" s="16">
        <f>[28]Resumen!$J$22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>
      <c r="A32" s="20" t="s">
        <v>41</v>
      </c>
      <c r="B32" s="14">
        <f>[29]Resumen!$B$22</f>
        <v>0</v>
      </c>
      <c r="C32" s="15">
        <f>[29]Resumen!$C$22</f>
        <v>0</v>
      </c>
      <c r="D32" s="16">
        <f>[29]Resumen!$D$22</f>
        <v>0</v>
      </c>
      <c r="E32" s="14">
        <f>[29]Resumen!$E$22</f>
        <v>0</v>
      </c>
      <c r="F32" s="15">
        <f>[29]Resumen!$F$22</f>
        <v>0</v>
      </c>
      <c r="G32" s="17">
        <f>[29]Resumen!$G$22</f>
        <v>0</v>
      </c>
      <c r="H32" s="18">
        <f>[29]Resumen!$H$22</f>
        <v>0</v>
      </c>
      <c r="I32" s="15">
        <f>[29]Resumen!$I$22</f>
        <v>0</v>
      </c>
      <c r="J32" s="16">
        <f>[29]Resumen!$J$22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>
      <c r="A33" s="13" t="s">
        <v>42</v>
      </c>
      <c r="B33" s="14">
        <f>[30]Resumen!$B$22</f>
        <v>0</v>
      </c>
      <c r="C33" s="15">
        <f>[30]Resumen!$C$22</f>
        <v>0</v>
      </c>
      <c r="D33" s="16">
        <f>[30]Resumen!$D$22</f>
        <v>0</v>
      </c>
      <c r="E33" s="14">
        <f>[30]Resumen!$E$22</f>
        <v>0</v>
      </c>
      <c r="F33" s="15">
        <f>[30]Resumen!$F$22</f>
        <v>0</v>
      </c>
      <c r="G33" s="17">
        <f>[30]Resumen!$G$22</f>
        <v>0</v>
      </c>
      <c r="H33" s="18">
        <f>[30]Resumen!$H$22</f>
        <v>0</v>
      </c>
      <c r="I33" s="15">
        <f>[30]Resumen!$I$22</f>
        <v>0</v>
      </c>
      <c r="J33" s="16">
        <f>[30]Resumen!$J$22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>
      <c r="A34" s="20" t="s">
        <v>43</v>
      </c>
      <c r="B34" s="14">
        <f>[31]Resumen!$B$22</f>
        <v>0</v>
      </c>
      <c r="C34" s="15">
        <f>[31]Resumen!$C$22</f>
        <v>0</v>
      </c>
      <c r="D34" s="16">
        <f>[31]Resumen!$D$22</f>
        <v>0</v>
      </c>
      <c r="E34" s="14">
        <f>[31]Resumen!$E$22</f>
        <v>0</v>
      </c>
      <c r="F34" s="15">
        <f>[31]Resumen!$F$22</f>
        <v>0</v>
      </c>
      <c r="G34" s="17">
        <f>[31]Resumen!$G$22</f>
        <v>0</v>
      </c>
      <c r="H34" s="18">
        <f>[31]Resumen!$H$22</f>
        <v>0</v>
      </c>
      <c r="I34" s="15">
        <f>[31]Resumen!$I$22</f>
        <v>0</v>
      </c>
      <c r="J34" s="16">
        <f>[31]Resumen!$J$22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>
      <c r="A35" s="13" t="s">
        <v>44</v>
      </c>
      <c r="B35" s="14">
        <f>[10]Resumen!$B$22</f>
        <v>0</v>
      </c>
      <c r="C35" s="15">
        <f>[10]Resumen!$C$22</f>
        <v>0</v>
      </c>
      <c r="D35" s="16">
        <f>[10]Resumen!$D$22</f>
        <v>0</v>
      </c>
      <c r="E35" s="14">
        <f>[10]Resumen!$E$22</f>
        <v>0</v>
      </c>
      <c r="F35" s="15">
        <f>[10]Resumen!$F$22</f>
        <v>0</v>
      </c>
      <c r="G35" s="17">
        <f>[10]Resumen!$G$22</f>
        <v>0</v>
      </c>
      <c r="H35" s="18">
        <f>[10]Resumen!$H$22</f>
        <v>0</v>
      </c>
      <c r="I35" s="15">
        <f>[10]Resumen!$I$22</f>
        <v>0</v>
      </c>
      <c r="J35" s="16">
        <f>[10]Resumen!$J$22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>
      <c r="A36" s="20" t="s">
        <v>45</v>
      </c>
      <c r="B36" s="21">
        <f>+[11]Resumen!$B$22</f>
        <v>0</v>
      </c>
      <c r="C36" s="22">
        <f>+[11]Resumen!$C$22</f>
        <v>0</v>
      </c>
      <c r="D36" s="23">
        <f>+[11]Resumen!$D$22</f>
        <v>0</v>
      </c>
      <c r="E36" s="21">
        <f>+[11]Resumen!$E$22</f>
        <v>0</v>
      </c>
      <c r="F36" s="22">
        <f>+[11]Resumen!$F$22</f>
        <v>0</v>
      </c>
      <c r="G36" s="24">
        <f>+[11]Resumen!$G$22</f>
        <v>0</v>
      </c>
      <c r="H36" s="25">
        <f>+[11]Resumen!$H$22</f>
        <v>0</v>
      </c>
      <c r="I36" s="22">
        <f>+[11]Resumen!$I$22</f>
        <v>0</v>
      </c>
      <c r="J36" s="23">
        <f>+[11]Resumen!$J$22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7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  <row r="38" spans="1:15" ht="15.75" thickBot="1"/>
    <row r="39" spans="1:15">
      <c r="J39" s="140" t="s">
        <v>75</v>
      </c>
      <c r="K39" s="141"/>
      <c r="L39" s="65">
        <f>COUNTIF(L6:L36,"&gt;0")*15000</f>
        <v>0</v>
      </c>
    </row>
    <row r="40" spans="1:15" ht="15.75" thickBot="1">
      <c r="J40" s="142" t="s">
        <v>76</v>
      </c>
      <c r="K40" s="143"/>
      <c r="L40" s="66">
        <f>+L37-L39</f>
        <v>0</v>
      </c>
    </row>
  </sheetData>
  <mergeCells count="4">
    <mergeCell ref="I1:N1"/>
    <mergeCell ref="B2:D2"/>
    <mergeCell ref="J39:K39"/>
    <mergeCell ref="J40:K40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>
      <selection activeCell="B5" sqref="B5:O35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61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14">
        <f>[1]Vendedor21!$J$4</f>
        <v>0</v>
      </c>
      <c r="C5" s="81">
        <f>[1]Vendedor21!$K$4</f>
        <v>0</v>
      </c>
      <c r="D5" s="82">
        <f>[1]Vendedor21!$L$4</f>
        <v>0</v>
      </c>
      <c r="E5" s="14">
        <f>[1]Vendedor21!$J$5</f>
        <v>0</v>
      </c>
      <c r="F5" s="81">
        <f>[1]Vendedor21!$K$5</f>
        <v>0</v>
      </c>
      <c r="G5" s="85">
        <f>[1]Vendedor21!$L$5</f>
        <v>0</v>
      </c>
      <c r="H5" s="19">
        <f>[1]Vendedor21!$J$6</f>
        <v>0</v>
      </c>
      <c r="I5" s="15">
        <f>[1]Vendedor21!$K$6</f>
        <v>0</v>
      </c>
      <c r="J5" s="17">
        <f>[1]Vendedor21!$L$6</f>
        <v>0</v>
      </c>
      <c r="K5" s="19">
        <f t="shared" ref="K5:K35" si="0">+B5+E5+H5</f>
        <v>0</v>
      </c>
      <c r="L5" s="15">
        <f t="shared" ref="L5:L35" si="1">MROUND(C5+F5+I5,50)</f>
        <v>0</v>
      </c>
      <c r="M5" s="15">
        <f t="shared" ref="M5:M35" si="2">+D5+G5+J5</f>
        <v>0</v>
      </c>
      <c r="N5" s="15">
        <v>0</v>
      </c>
      <c r="O5" s="17">
        <f t="shared" ref="O5:O35" si="3">+K5-L5-M5+N5</f>
        <v>0</v>
      </c>
    </row>
    <row r="6" spans="1:15">
      <c r="A6" s="13" t="s">
        <v>50</v>
      </c>
      <c r="B6" s="14">
        <f>[2]Vendedor21!$J$4</f>
        <v>0</v>
      </c>
      <c r="C6" s="81">
        <f>[2]Vendedor21!$K$4</f>
        <v>0</v>
      </c>
      <c r="D6" s="82">
        <f>[2]Vendedor21!$L$4</f>
        <v>0</v>
      </c>
      <c r="E6" s="14">
        <f>[2]Vendedor21!$J$5</f>
        <v>0</v>
      </c>
      <c r="F6" s="81">
        <f>[2]Vendedor21!$K$5</f>
        <v>0</v>
      </c>
      <c r="G6" s="85">
        <f>[2]Vendedor21!$L$5</f>
        <v>0</v>
      </c>
      <c r="H6" s="19">
        <f>[2]Vendedor21!$J$6</f>
        <v>0</v>
      </c>
      <c r="I6" s="15">
        <f>[2]Vendedor21!$K$6</f>
        <v>0</v>
      </c>
      <c r="J6" s="17">
        <f>[2]Vendedor21!$L$6</f>
        <v>0</v>
      </c>
      <c r="K6" s="19">
        <f t="shared" si="0"/>
        <v>0</v>
      </c>
      <c r="L6" s="15">
        <f t="shared" si="1"/>
        <v>0</v>
      </c>
      <c r="M6" s="15">
        <f t="shared" si="2"/>
        <v>0</v>
      </c>
      <c r="N6" s="15">
        <v>0</v>
      </c>
      <c r="O6" s="17">
        <f t="shared" si="3"/>
        <v>0</v>
      </c>
    </row>
    <row r="7" spans="1:15">
      <c r="A7" s="20" t="s">
        <v>51</v>
      </c>
      <c r="B7" s="14">
        <f>[3]Vendedor21!$J$4</f>
        <v>0</v>
      </c>
      <c r="C7" s="81">
        <f>[3]Vendedor21!$K$4</f>
        <v>0</v>
      </c>
      <c r="D7" s="82">
        <f>[3]Vendedor21!$L$4</f>
        <v>0</v>
      </c>
      <c r="E7" s="14">
        <f>[3]Vendedor21!$J$5</f>
        <v>0</v>
      </c>
      <c r="F7" s="81">
        <f>[3]Vendedor21!$K$5</f>
        <v>0</v>
      </c>
      <c r="G7" s="85">
        <f>[3]Vendedor21!$L$5</f>
        <v>0</v>
      </c>
      <c r="H7" s="19">
        <f>[3]Vendedor21!$J$6</f>
        <v>0</v>
      </c>
      <c r="I7" s="15">
        <f>[3]Vendedor21!$K$6</f>
        <v>0</v>
      </c>
      <c r="J7" s="17">
        <f>[3]Vendedor21!$L$6</f>
        <v>0</v>
      </c>
      <c r="K7" s="19">
        <f t="shared" si="0"/>
        <v>0</v>
      </c>
      <c r="L7" s="15">
        <f t="shared" si="1"/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>
      <c r="A8" s="13" t="s">
        <v>52</v>
      </c>
      <c r="B8" s="14">
        <f>[4]Vendedor21!$J$4</f>
        <v>0</v>
      </c>
      <c r="C8" s="81">
        <f>[4]Vendedor21!$K$4</f>
        <v>0</v>
      </c>
      <c r="D8" s="82">
        <f>[4]Vendedor21!$L$4</f>
        <v>0</v>
      </c>
      <c r="E8" s="14">
        <f>[4]Vendedor21!$J$5</f>
        <v>0</v>
      </c>
      <c r="F8" s="81">
        <f>[4]Vendedor21!$K$5</f>
        <v>0</v>
      </c>
      <c r="G8" s="85">
        <f>[4]Vendedor21!$L$5</f>
        <v>0</v>
      </c>
      <c r="H8" s="19">
        <f>[4]Vendedor21!$J$6</f>
        <v>0</v>
      </c>
      <c r="I8" s="15">
        <f>[4]Vendedor21!$K$6</f>
        <v>0</v>
      </c>
      <c r="J8" s="17">
        <f>[4]Vendedor21!$L$6</f>
        <v>0</v>
      </c>
      <c r="K8" s="19">
        <f t="shared" si="0"/>
        <v>0</v>
      </c>
      <c r="L8" s="15">
        <f t="shared" si="1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>
      <c r="A9" s="20" t="s">
        <v>53</v>
      </c>
      <c r="B9" s="14">
        <f>[5]Vendedor21!$J$4</f>
        <v>0</v>
      </c>
      <c r="C9" s="81">
        <f>[5]Vendedor21!$K$4</f>
        <v>0</v>
      </c>
      <c r="D9" s="82">
        <f>[5]Vendedor21!$L$4</f>
        <v>0</v>
      </c>
      <c r="E9" s="14">
        <f>[5]Vendedor21!$J$5</f>
        <v>0</v>
      </c>
      <c r="F9" s="81">
        <f>[5]Vendedor21!$K$5</f>
        <v>0</v>
      </c>
      <c r="G9" s="85">
        <f>[5]Vendedor21!$L$5</f>
        <v>0</v>
      </c>
      <c r="H9" s="19">
        <f>[5]Vendedor21!$J$6</f>
        <v>0</v>
      </c>
      <c r="I9" s="15">
        <f>[5]Vendedor21!$K$6</f>
        <v>0</v>
      </c>
      <c r="J9" s="17">
        <f>[5]Vendedor21!$L$6</f>
        <v>0</v>
      </c>
      <c r="K9" s="19">
        <f t="shared" si="0"/>
        <v>0</v>
      </c>
      <c r="L9" s="15">
        <f t="shared" si="1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>
      <c r="A10" s="13" t="s">
        <v>20</v>
      </c>
      <c r="B10" s="14">
        <f>[6]Vendedor21!$J$4</f>
        <v>0</v>
      </c>
      <c r="C10" s="81">
        <f>[6]Vendedor21!$K$4</f>
        <v>0</v>
      </c>
      <c r="D10" s="82">
        <f>[6]Vendedor21!$L$4</f>
        <v>0</v>
      </c>
      <c r="E10" s="14">
        <f>[6]Vendedor21!$J$5</f>
        <v>0</v>
      </c>
      <c r="F10" s="81">
        <f>[6]Vendedor21!$K$5</f>
        <v>0</v>
      </c>
      <c r="G10" s="85">
        <f>[6]Vendedor21!$L$5</f>
        <v>0</v>
      </c>
      <c r="H10" s="19">
        <f>[6]Vendedor21!$J$6</f>
        <v>0</v>
      </c>
      <c r="I10" s="15">
        <f>[6]Vendedor21!$K$6</f>
        <v>0</v>
      </c>
      <c r="J10" s="17">
        <f>[6]Vendedor21!$L$6</f>
        <v>0</v>
      </c>
      <c r="K10" s="19">
        <f t="shared" si="0"/>
        <v>0</v>
      </c>
      <c r="L10" s="15">
        <f t="shared" si="1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>
      <c r="A11" s="20" t="s">
        <v>21</v>
      </c>
      <c r="B11" s="14">
        <f>[7]Vendedor21!$J$4</f>
        <v>0</v>
      </c>
      <c r="C11" s="81">
        <f>[7]Vendedor21!$K$4</f>
        <v>0</v>
      </c>
      <c r="D11" s="82">
        <f>[7]Vendedor21!$L$4</f>
        <v>0</v>
      </c>
      <c r="E11" s="14">
        <f>[7]Vendedor21!$J$5</f>
        <v>0</v>
      </c>
      <c r="F11" s="81">
        <f>[7]Vendedor21!$K$5</f>
        <v>0</v>
      </c>
      <c r="G11" s="85">
        <f>[7]Vendedor21!$L$5</f>
        <v>0</v>
      </c>
      <c r="H11" s="19">
        <f>[7]Vendedor21!$J$6</f>
        <v>0</v>
      </c>
      <c r="I11" s="15">
        <f>[7]Vendedor21!$K$6</f>
        <v>0</v>
      </c>
      <c r="J11" s="17">
        <f>[7]Vendedor21!$L$6</f>
        <v>0</v>
      </c>
      <c r="K11" s="19">
        <f t="shared" si="0"/>
        <v>0</v>
      </c>
      <c r="L11" s="15">
        <f t="shared" si="1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>
      <c r="A12" s="13" t="s">
        <v>22</v>
      </c>
      <c r="B12" s="14">
        <f>[8]Vendedor21!$J$4</f>
        <v>0</v>
      </c>
      <c r="C12" s="81">
        <f>[8]Vendedor21!$K$4</f>
        <v>0</v>
      </c>
      <c r="D12" s="82">
        <f>[8]Vendedor21!$L$4</f>
        <v>0</v>
      </c>
      <c r="E12" s="14">
        <f>[8]Vendedor21!$J$5</f>
        <v>0</v>
      </c>
      <c r="F12" s="81">
        <f>[8]Vendedor21!$K$5</f>
        <v>0</v>
      </c>
      <c r="G12" s="85">
        <f>[8]Vendedor21!$L$5</f>
        <v>0</v>
      </c>
      <c r="H12" s="19">
        <f>[8]Vendedor21!$J$6</f>
        <v>0</v>
      </c>
      <c r="I12" s="15">
        <f>[8]Vendedor21!$K$6</f>
        <v>0</v>
      </c>
      <c r="J12" s="17">
        <f>[8]Vendedor21!$L$6</f>
        <v>0</v>
      </c>
      <c r="K12" s="19">
        <f t="shared" si="0"/>
        <v>0</v>
      </c>
      <c r="L12" s="15">
        <f t="shared" si="1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>
      <c r="A13" s="20" t="s">
        <v>23</v>
      </c>
      <c r="B13" s="14">
        <f>[9]Vendedor21!$J$4</f>
        <v>0</v>
      </c>
      <c r="C13" s="81">
        <f>[9]Vendedor21!$K$4</f>
        <v>0</v>
      </c>
      <c r="D13" s="82">
        <f>[9]Vendedor21!$L$4</f>
        <v>0</v>
      </c>
      <c r="E13" s="14">
        <f>[9]Vendedor21!$J$5</f>
        <v>0</v>
      </c>
      <c r="F13" s="81">
        <f>[9]Vendedor21!$K$5</f>
        <v>0</v>
      </c>
      <c r="G13" s="85">
        <f>[9]Vendedor21!$L$5</f>
        <v>0</v>
      </c>
      <c r="H13" s="19">
        <f>[9]Vendedor21!$J$6</f>
        <v>0</v>
      </c>
      <c r="I13" s="15">
        <f>[9]Vendedor21!$K$6</f>
        <v>0</v>
      </c>
      <c r="J13" s="17">
        <f>[9]Vendedor21!$L$6</f>
        <v>0</v>
      </c>
      <c r="K13" s="19">
        <f t="shared" si="0"/>
        <v>0</v>
      </c>
      <c r="L13" s="15">
        <f t="shared" si="1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>
      <c r="A14" s="13" t="s">
        <v>24</v>
      </c>
      <c r="B14" s="14">
        <f>[12]Vendedor21!$J$4</f>
        <v>0</v>
      </c>
      <c r="C14" s="81">
        <f>[12]Vendedor21!$K$4</f>
        <v>0</v>
      </c>
      <c r="D14" s="82">
        <f>[12]Vendedor21!$L$4</f>
        <v>0</v>
      </c>
      <c r="E14" s="14">
        <f>[12]Vendedor21!$J$5</f>
        <v>0</v>
      </c>
      <c r="F14" s="81">
        <f>[12]Vendedor21!$K$5</f>
        <v>0</v>
      </c>
      <c r="G14" s="85">
        <f>[12]Vendedor21!$L$5</f>
        <v>0</v>
      </c>
      <c r="H14" s="19">
        <f>[12]Vendedor21!$J$6</f>
        <v>0</v>
      </c>
      <c r="I14" s="15">
        <f>[12]Vendedor21!$K$6</f>
        <v>0</v>
      </c>
      <c r="J14" s="17">
        <f>[12]Vendedor21!$L$6</f>
        <v>0</v>
      </c>
      <c r="K14" s="19">
        <f t="shared" si="0"/>
        <v>0</v>
      </c>
      <c r="L14" s="15">
        <f t="shared" si="1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>
      <c r="A15" s="20" t="s">
        <v>25</v>
      </c>
      <c r="B15" s="14">
        <f>[13]Vendedor21!$J$4</f>
        <v>0</v>
      </c>
      <c r="C15" s="81">
        <f>[13]Vendedor21!$K$4</f>
        <v>0</v>
      </c>
      <c r="D15" s="82">
        <f>[13]Vendedor21!$L$4</f>
        <v>0</v>
      </c>
      <c r="E15" s="14">
        <f>[13]Vendedor21!$J$5</f>
        <v>0</v>
      </c>
      <c r="F15" s="81">
        <f>[13]Vendedor21!$K$5</f>
        <v>0</v>
      </c>
      <c r="G15" s="85">
        <f>[13]Vendedor21!$L$5</f>
        <v>0</v>
      </c>
      <c r="H15" s="19">
        <f>[13]Vendedor21!$J$6</f>
        <v>0</v>
      </c>
      <c r="I15" s="15">
        <f>[13]Vendedor21!$K$6</f>
        <v>0</v>
      </c>
      <c r="J15" s="17">
        <f>[13]Vendedor21!$L$6</f>
        <v>0</v>
      </c>
      <c r="K15" s="19">
        <f t="shared" si="0"/>
        <v>0</v>
      </c>
      <c r="L15" s="15">
        <f t="shared" si="1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>
      <c r="A16" s="13" t="s">
        <v>26</v>
      </c>
      <c r="B16" s="14">
        <f>[14]Vendedor21!$J$4</f>
        <v>0</v>
      </c>
      <c r="C16" s="81">
        <f>[14]Vendedor21!$K$4</f>
        <v>0</v>
      </c>
      <c r="D16" s="82">
        <f>[14]Vendedor21!$L$4</f>
        <v>0</v>
      </c>
      <c r="E16" s="14">
        <f>[14]Vendedor21!$J$5</f>
        <v>0</v>
      </c>
      <c r="F16" s="81">
        <f>[14]Vendedor21!$K$5</f>
        <v>0</v>
      </c>
      <c r="G16" s="85">
        <f>[14]Vendedor21!$L$5</f>
        <v>0</v>
      </c>
      <c r="H16" s="19">
        <f>[14]Vendedor21!$J$6</f>
        <v>0</v>
      </c>
      <c r="I16" s="15">
        <f>[14]Vendedor21!$K$6</f>
        <v>0</v>
      </c>
      <c r="J16" s="17">
        <f>[14]Vendedor21!$L$6</f>
        <v>0</v>
      </c>
      <c r="K16" s="19">
        <f t="shared" si="0"/>
        <v>0</v>
      </c>
      <c r="L16" s="15">
        <f t="shared" si="1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>
      <c r="A17" s="20" t="s">
        <v>27</v>
      </c>
      <c r="B17" s="14">
        <f>[15]Vendedor21!$J$4</f>
        <v>0</v>
      </c>
      <c r="C17" s="81">
        <f>[15]Vendedor21!$K$4</f>
        <v>0</v>
      </c>
      <c r="D17" s="82">
        <f>[15]Vendedor21!$L$4</f>
        <v>0</v>
      </c>
      <c r="E17" s="14">
        <f>[15]Vendedor21!$J$5</f>
        <v>0</v>
      </c>
      <c r="F17" s="81">
        <f>[15]Vendedor21!$K$5</f>
        <v>0</v>
      </c>
      <c r="G17" s="85">
        <f>[15]Vendedor21!$L$5</f>
        <v>0</v>
      </c>
      <c r="H17" s="19">
        <f>[15]Vendedor21!$J$6</f>
        <v>0</v>
      </c>
      <c r="I17" s="15">
        <f>[15]Vendedor21!$K$6</f>
        <v>0</v>
      </c>
      <c r="J17" s="17">
        <f>[15]Vendedor21!$L$6</f>
        <v>0</v>
      </c>
      <c r="K17" s="19">
        <f t="shared" si="0"/>
        <v>0</v>
      </c>
      <c r="L17" s="15">
        <f t="shared" si="1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>
      <c r="A18" s="20" t="s">
        <v>28</v>
      </c>
      <c r="B18" s="14">
        <f>[16]Vendedor21!$J$4</f>
        <v>0</v>
      </c>
      <c r="C18" s="81">
        <f>[16]Vendedor21!$K$4</f>
        <v>0</v>
      </c>
      <c r="D18" s="82">
        <f>[16]Vendedor21!$L$4</f>
        <v>0</v>
      </c>
      <c r="E18" s="14">
        <f>[16]Vendedor21!$J$5</f>
        <v>0</v>
      </c>
      <c r="F18" s="81">
        <f>[16]Vendedor21!$K$5</f>
        <v>0</v>
      </c>
      <c r="G18" s="85">
        <f>[16]Vendedor21!$L$5</f>
        <v>0</v>
      </c>
      <c r="H18" s="19">
        <f>[16]Vendedor21!$J$6</f>
        <v>0</v>
      </c>
      <c r="I18" s="15">
        <f>[16]Vendedor21!$K$6</f>
        <v>0</v>
      </c>
      <c r="J18" s="17">
        <f>[16]Vendedor21!$L$6</f>
        <v>0</v>
      </c>
      <c r="K18" s="19">
        <f t="shared" si="0"/>
        <v>0</v>
      </c>
      <c r="L18" s="15">
        <f t="shared" si="1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>
      <c r="A19" s="13" t="s">
        <v>29</v>
      </c>
      <c r="B19" s="14">
        <f>[17]Vendedor21!$J$4</f>
        <v>0</v>
      </c>
      <c r="C19" s="81">
        <f>[17]Vendedor21!$K$4</f>
        <v>0</v>
      </c>
      <c r="D19" s="82">
        <f>[17]Vendedor21!$L$4</f>
        <v>0</v>
      </c>
      <c r="E19" s="14">
        <f>[17]Vendedor21!$J$5</f>
        <v>0</v>
      </c>
      <c r="F19" s="81">
        <f>[17]Vendedor21!$K$5</f>
        <v>0</v>
      </c>
      <c r="G19" s="85">
        <f>[17]Vendedor21!$L$5</f>
        <v>0</v>
      </c>
      <c r="H19" s="19">
        <f>[17]Vendedor21!$J$6</f>
        <v>0</v>
      </c>
      <c r="I19" s="15">
        <f>[17]Vendedor21!$K$6</f>
        <v>0</v>
      </c>
      <c r="J19" s="17">
        <f>[17]Vendedor21!$L$6</f>
        <v>0</v>
      </c>
      <c r="K19" s="19">
        <f t="shared" si="0"/>
        <v>0</v>
      </c>
      <c r="L19" s="15">
        <f t="shared" si="1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>
      <c r="A20" s="20" t="s">
        <v>30</v>
      </c>
      <c r="B20" s="14">
        <f>[18]Vendedor21!$J$4</f>
        <v>0</v>
      </c>
      <c r="C20" s="81">
        <f>[18]Vendedor21!$K$4</f>
        <v>0</v>
      </c>
      <c r="D20" s="82">
        <f>[18]Vendedor21!$L$4</f>
        <v>0</v>
      </c>
      <c r="E20" s="14">
        <f>[18]Vendedor21!$J$5</f>
        <v>0</v>
      </c>
      <c r="F20" s="81">
        <f>[18]Vendedor21!$K$5</f>
        <v>0</v>
      </c>
      <c r="G20" s="85">
        <f>[18]Vendedor21!$L$5</f>
        <v>0</v>
      </c>
      <c r="H20" s="19">
        <f>[18]Vendedor21!$J$6</f>
        <v>0</v>
      </c>
      <c r="I20" s="15">
        <f>[18]Vendedor21!$K$6</f>
        <v>0</v>
      </c>
      <c r="J20" s="17">
        <f>[18]Vendedor21!$L$6</f>
        <v>0</v>
      </c>
      <c r="K20" s="19">
        <f t="shared" si="0"/>
        <v>0</v>
      </c>
      <c r="L20" s="15">
        <f t="shared" si="1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>
      <c r="A21" s="13" t="s">
        <v>31</v>
      </c>
      <c r="B21" s="14">
        <f>[19]Vendedor21!$J$4</f>
        <v>0</v>
      </c>
      <c r="C21" s="81">
        <f>[19]Vendedor21!$K$4</f>
        <v>0</v>
      </c>
      <c r="D21" s="82">
        <f>[19]Vendedor21!$L$4</f>
        <v>0</v>
      </c>
      <c r="E21" s="14">
        <f>[19]Vendedor21!$J$5</f>
        <v>0</v>
      </c>
      <c r="F21" s="81">
        <f>[19]Vendedor21!$K$5</f>
        <v>0</v>
      </c>
      <c r="G21" s="85">
        <f>[19]Vendedor21!$L$5</f>
        <v>0</v>
      </c>
      <c r="H21" s="19">
        <f>[19]Vendedor21!$J$6</f>
        <v>0</v>
      </c>
      <c r="I21" s="15">
        <f>[19]Vendedor21!$K$6</f>
        <v>0</v>
      </c>
      <c r="J21" s="17">
        <f>[19]Vendedor21!$L$6</f>
        <v>0</v>
      </c>
      <c r="K21" s="19">
        <f t="shared" si="0"/>
        <v>0</v>
      </c>
      <c r="L21" s="15">
        <f t="shared" si="1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>
      <c r="A22" s="20" t="s">
        <v>32</v>
      </c>
      <c r="B22" s="14">
        <f>[20]Vendedor21!$J$4</f>
        <v>0</v>
      </c>
      <c r="C22" s="81">
        <f>[20]Vendedor21!$K$4</f>
        <v>0</v>
      </c>
      <c r="D22" s="82">
        <f>[20]Vendedor21!$L$4</f>
        <v>0</v>
      </c>
      <c r="E22" s="14">
        <f>[20]Vendedor21!$J$5</f>
        <v>0</v>
      </c>
      <c r="F22" s="81">
        <f>[20]Vendedor21!$K$5</f>
        <v>0</v>
      </c>
      <c r="G22" s="85">
        <f>[20]Vendedor21!$L$5</f>
        <v>0</v>
      </c>
      <c r="H22" s="19">
        <f>[20]Vendedor21!$J$6</f>
        <v>0</v>
      </c>
      <c r="I22" s="15">
        <f>[20]Vendedor21!$K$6</f>
        <v>0</v>
      </c>
      <c r="J22" s="17">
        <f>[20]Vendedor21!$L$6</f>
        <v>0</v>
      </c>
      <c r="K22" s="19">
        <f t="shared" si="0"/>
        <v>0</v>
      </c>
      <c r="L22" s="15">
        <f t="shared" si="1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>
      <c r="A23" s="13" t="s">
        <v>33</v>
      </c>
      <c r="B23" s="14">
        <f>[21]Vendedor21!$J$4</f>
        <v>0</v>
      </c>
      <c r="C23" s="81">
        <f>[21]Vendedor21!$K$4</f>
        <v>0</v>
      </c>
      <c r="D23" s="82">
        <f>[21]Vendedor21!$L$4</f>
        <v>0</v>
      </c>
      <c r="E23" s="14">
        <f>[21]Vendedor21!$J$5</f>
        <v>0</v>
      </c>
      <c r="F23" s="81">
        <f>[21]Vendedor21!$K$5</f>
        <v>0</v>
      </c>
      <c r="G23" s="85">
        <f>[21]Vendedor21!$L$5</f>
        <v>0</v>
      </c>
      <c r="H23" s="19">
        <f>[21]Vendedor21!$J$6</f>
        <v>0</v>
      </c>
      <c r="I23" s="15">
        <f>[21]Vendedor21!$K$6</f>
        <v>0</v>
      </c>
      <c r="J23" s="17">
        <f>[21]Vendedor21!$L$6</f>
        <v>0</v>
      </c>
      <c r="K23" s="19">
        <f t="shared" si="0"/>
        <v>0</v>
      </c>
      <c r="L23" s="15">
        <f t="shared" si="1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>
      <c r="A24" s="20" t="s">
        <v>34</v>
      </c>
      <c r="B24" s="14">
        <f>[22]Vendedor21!$J$4</f>
        <v>0</v>
      </c>
      <c r="C24" s="81">
        <f>[22]Vendedor21!$K$4</f>
        <v>0</v>
      </c>
      <c r="D24" s="82">
        <f>[22]Vendedor21!$L$4</f>
        <v>0</v>
      </c>
      <c r="E24" s="14">
        <f>[22]Vendedor21!$J$5</f>
        <v>0</v>
      </c>
      <c r="F24" s="81">
        <f>[22]Vendedor21!$K$5</f>
        <v>0</v>
      </c>
      <c r="G24" s="85">
        <f>[22]Vendedor21!$L$5</f>
        <v>0</v>
      </c>
      <c r="H24" s="19">
        <f>[22]Vendedor21!$J$6</f>
        <v>0</v>
      </c>
      <c r="I24" s="15">
        <f>[22]Vendedor21!$K$6</f>
        <v>0</v>
      </c>
      <c r="J24" s="17">
        <f>[22]Vendedor21!$L$6</f>
        <v>0</v>
      </c>
      <c r="K24" s="19">
        <f t="shared" si="0"/>
        <v>0</v>
      </c>
      <c r="L24" s="15">
        <f t="shared" si="1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>
      <c r="A25" s="13" t="s">
        <v>35</v>
      </c>
      <c r="B25" s="14">
        <f>[23]Vendedor21!$J$4</f>
        <v>0</v>
      </c>
      <c r="C25" s="81">
        <f>[23]Vendedor21!$K$4</f>
        <v>0</v>
      </c>
      <c r="D25" s="82">
        <f>[23]Vendedor21!$L$4</f>
        <v>0</v>
      </c>
      <c r="E25" s="14">
        <f>[23]Vendedor21!$J$5</f>
        <v>0</v>
      </c>
      <c r="F25" s="81">
        <f>[23]Vendedor21!$K$5</f>
        <v>0</v>
      </c>
      <c r="G25" s="85">
        <f>[23]Vendedor21!$L$5</f>
        <v>0</v>
      </c>
      <c r="H25" s="19">
        <f>[23]Vendedor21!$J$6</f>
        <v>0</v>
      </c>
      <c r="I25" s="15">
        <f>[23]Vendedor21!$K$6</f>
        <v>0</v>
      </c>
      <c r="J25" s="17">
        <f>[23]Vendedor21!$L$6</f>
        <v>0</v>
      </c>
      <c r="K25" s="19">
        <f t="shared" si="0"/>
        <v>0</v>
      </c>
      <c r="L25" s="15">
        <f t="shared" si="1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>
      <c r="A26" s="20" t="s">
        <v>36</v>
      </c>
      <c r="B26" s="14">
        <f>[24]Vendedor21!$J$4</f>
        <v>0</v>
      </c>
      <c r="C26" s="81">
        <f>[24]Vendedor21!$K$4</f>
        <v>0</v>
      </c>
      <c r="D26" s="82">
        <f>[24]Vendedor21!$L$4</f>
        <v>0</v>
      </c>
      <c r="E26" s="14">
        <f>[24]Vendedor21!$J$5</f>
        <v>0</v>
      </c>
      <c r="F26" s="81">
        <f>[24]Vendedor21!$K$5</f>
        <v>0</v>
      </c>
      <c r="G26" s="85">
        <f>[24]Vendedor21!$L$5</f>
        <v>0</v>
      </c>
      <c r="H26" s="19">
        <f>[24]Vendedor21!$J$6</f>
        <v>0</v>
      </c>
      <c r="I26" s="15">
        <f>[24]Vendedor21!$K$6</f>
        <v>0</v>
      </c>
      <c r="J26" s="17">
        <f>[24]Vendedor21!$L$6</f>
        <v>0</v>
      </c>
      <c r="K26" s="19">
        <f t="shared" si="0"/>
        <v>0</v>
      </c>
      <c r="L26" s="15">
        <f t="shared" si="1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>
      <c r="A27" s="13" t="s">
        <v>37</v>
      </c>
      <c r="B27" s="14">
        <f>[25]Vendedor21!$J$4</f>
        <v>0</v>
      </c>
      <c r="C27" s="81">
        <f>[25]Vendedor21!$K$4</f>
        <v>0</v>
      </c>
      <c r="D27" s="82">
        <f>[25]Vendedor21!$L$4</f>
        <v>0</v>
      </c>
      <c r="E27" s="14">
        <f>[25]Vendedor21!$J$5</f>
        <v>0</v>
      </c>
      <c r="F27" s="81">
        <f>[25]Vendedor21!$K$5</f>
        <v>0</v>
      </c>
      <c r="G27" s="85">
        <f>[25]Vendedor21!$L$5</f>
        <v>0</v>
      </c>
      <c r="H27" s="19">
        <f>[25]Vendedor21!$J$6</f>
        <v>0</v>
      </c>
      <c r="I27" s="15">
        <f>[25]Vendedor21!$K$6</f>
        <v>0</v>
      </c>
      <c r="J27" s="17">
        <f>[25]Vendedor21!$L$6</f>
        <v>0</v>
      </c>
      <c r="K27" s="19">
        <f t="shared" si="0"/>
        <v>0</v>
      </c>
      <c r="L27" s="15">
        <f t="shared" si="1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>
      <c r="A28" s="20" t="s">
        <v>38</v>
      </c>
      <c r="B28" s="14">
        <f>[26]Vendedor21!$J$4</f>
        <v>0</v>
      </c>
      <c r="C28" s="81">
        <f>[26]Vendedor21!$K$4</f>
        <v>0</v>
      </c>
      <c r="D28" s="82">
        <f>[26]Vendedor21!$L$4</f>
        <v>0</v>
      </c>
      <c r="E28" s="14">
        <f>[26]Vendedor21!$J$5</f>
        <v>0</v>
      </c>
      <c r="F28" s="81">
        <f>[26]Vendedor21!$K$5</f>
        <v>0</v>
      </c>
      <c r="G28" s="85">
        <f>[26]Vendedor21!$L$5</f>
        <v>0</v>
      </c>
      <c r="H28" s="19">
        <f>[26]Vendedor21!$J$6</f>
        <v>0</v>
      </c>
      <c r="I28" s="15">
        <f>[26]Vendedor21!$K$6</f>
        <v>0</v>
      </c>
      <c r="J28" s="17">
        <f>[26]Vendedor21!$L$6</f>
        <v>0</v>
      </c>
      <c r="K28" s="19">
        <f t="shared" si="0"/>
        <v>0</v>
      </c>
      <c r="L28" s="15">
        <f t="shared" si="1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>
      <c r="A29" s="13" t="s">
        <v>39</v>
      </c>
      <c r="B29" s="14">
        <f>[27]Vendedor21!$J$4</f>
        <v>0</v>
      </c>
      <c r="C29" s="81">
        <f>[27]Vendedor21!$K$4</f>
        <v>0</v>
      </c>
      <c r="D29" s="82">
        <f>[27]Vendedor21!$L$4</f>
        <v>0</v>
      </c>
      <c r="E29" s="14">
        <f>[27]Vendedor21!$J$5</f>
        <v>0</v>
      </c>
      <c r="F29" s="81">
        <f>[27]Vendedor21!$K$5</f>
        <v>0</v>
      </c>
      <c r="G29" s="85">
        <f>[27]Vendedor21!$L$5</f>
        <v>0</v>
      </c>
      <c r="H29" s="19">
        <f>[27]Vendedor21!$J$6</f>
        <v>0</v>
      </c>
      <c r="I29" s="15">
        <f>[27]Vendedor21!$K$6</f>
        <v>0</v>
      </c>
      <c r="J29" s="17">
        <f>[27]Vendedor21!$L$6</f>
        <v>0</v>
      </c>
      <c r="K29" s="19">
        <f t="shared" si="0"/>
        <v>0</v>
      </c>
      <c r="L29" s="15">
        <f t="shared" si="1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>
      <c r="A30" s="20" t="s">
        <v>40</v>
      </c>
      <c r="B30" s="14">
        <f>[28]Vendedor21!$J$4</f>
        <v>0</v>
      </c>
      <c r="C30" s="81">
        <f>[28]Vendedor21!$K$4</f>
        <v>0</v>
      </c>
      <c r="D30" s="82">
        <f>[28]Vendedor21!$L$4</f>
        <v>0</v>
      </c>
      <c r="E30" s="14">
        <f>[28]Vendedor21!$J$5</f>
        <v>0</v>
      </c>
      <c r="F30" s="81">
        <f>[28]Vendedor21!$K$5</f>
        <v>0</v>
      </c>
      <c r="G30" s="85">
        <f>[28]Vendedor21!$L$5</f>
        <v>0</v>
      </c>
      <c r="H30" s="19">
        <f>[28]Vendedor21!$J$6</f>
        <v>0</v>
      </c>
      <c r="I30" s="15">
        <f>[28]Vendedor21!$K$6</f>
        <v>0</v>
      </c>
      <c r="J30" s="17">
        <f>[28]Vendedor21!$L$6</f>
        <v>0</v>
      </c>
      <c r="K30" s="19">
        <f t="shared" si="0"/>
        <v>0</v>
      </c>
      <c r="L30" s="15">
        <f t="shared" si="1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>
      <c r="A31" s="20" t="s">
        <v>41</v>
      </c>
      <c r="B31" s="14">
        <f>[29]Vendedor21!$J$4</f>
        <v>0</v>
      </c>
      <c r="C31" s="81">
        <f>[29]Vendedor21!$K$4</f>
        <v>0</v>
      </c>
      <c r="D31" s="82">
        <f>[29]Vendedor21!$L$4</f>
        <v>0</v>
      </c>
      <c r="E31" s="14">
        <f>[29]Vendedor21!$J$5</f>
        <v>0</v>
      </c>
      <c r="F31" s="81">
        <f>[29]Vendedor21!$K$5</f>
        <v>0</v>
      </c>
      <c r="G31" s="85">
        <f>[29]Vendedor21!$L$5</f>
        <v>0</v>
      </c>
      <c r="H31" s="19">
        <f>[29]Vendedor21!$J$6</f>
        <v>0</v>
      </c>
      <c r="I31" s="15">
        <f>[29]Vendedor21!$K$6</f>
        <v>0</v>
      </c>
      <c r="J31" s="17">
        <f>[29]Vendedor21!$L$6</f>
        <v>0</v>
      </c>
      <c r="K31" s="19">
        <f t="shared" si="0"/>
        <v>0</v>
      </c>
      <c r="L31" s="15">
        <f t="shared" si="1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>
      <c r="A32" s="13" t="s">
        <v>42</v>
      </c>
      <c r="B32" s="14">
        <f>[30]Vendedor21!$J$4</f>
        <v>0</v>
      </c>
      <c r="C32" s="81">
        <f>[30]Vendedor21!$K$4</f>
        <v>0</v>
      </c>
      <c r="D32" s="82">
        <f>[30]Vendedor21!$L$4</f>
        <v>0</v>
      </c>
      <c r="E32" s="14">
        <f>[30]Vendedor21!$J$5</f>
        <v>0</v>
      </c>
      <c r="F32" s="81">
        <f>[30]Vendedor21!$K$5</f>
        <v>0</v>
      </c>
      <c r="G32" s="85">
        <f>[30]Vendedor21!$L$5</f>
        <v>0</v>
      </c>
      <c r="H32" s="19">
        <f>[30]Vendedor21!$J$6</f>
        <v>0</v>
      </c>
      <c r="I32" s="15">
        <f>[30]Vendedor21!$K$6</f>
        <v>0</v>
      </c>
      <c r="J32" s="17">
        <f>[30]Vendedor21!$L$6</f>
        <v>0</v>
      </c>
      <c r="K32" s="19">
        <f t="shared" si="0"/>
        <v>0</v>
      </c>
      <c r="L32" s="15">
        <f t="shared" si="1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>
      <c r="A33" s="20" t="s">
        <v>43</v>
      </c>
      <c r="B33" s="14">
        <f>[31]Vendedor21!$J$4</f>
        <v>0</v>
      </c>
      <c r="C33" s="81">
        <f>[31]Vendedor21!$K$4</f>
        <v>0</v>
      </c>
      <c r="D33" s="82">
        <f>[31]Vendedor21!$L$4</f>
        <v>0</v>
      </c>
      <c r="E33" s="14">
        <f>[31]Vendedor21!$J$5</f>
        <v>0</v>
      </c>
      <c r="F33" s="81">
        <f>[31]Vendedor21!$K$5</f>
        <v>0</v>
      </c>
      <c r="G33" s="85">
        <f>[31]Vendedor21!$L$5</f>
        <v>0</v>
      </c>
      <c r="H33" s="19">
        <f>[31]Vendedor21!$J$6</f>
        <v>0</v>
      </c>
      <c r="I33" s="15">
        <f>[31]Vendedor21!$K$6</f>
        <v>0</v>
      </c>
      <c r="J33" s="17">
        <f>[31]Vendedor21!$L$6</f>
        <v>0</v>
      </c>
      <c r="K33" s="19">
        <f t="shared" si="0"/>
        <v>0</v>
      </c>
      <c r="L33" s="15">
        <f t="shared" si="1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>
      <c r="A34" s="13" t="s">
        <v>44</v>
      </c>
      <c r="B34" s="14">
        <f>[10]Vendedor21!$J$4</f>
        <v>0</v>
      </c>
      <c r="C34" s="81">
        <f>[10]Vendedor21!$K$4</f>
        <v>0</v>
      </c>
      <c r="D34" s="82">
        <f>[10]Vendedor21!$L$4</f>
        <v>0</v>
      </c>
      <c r="E34" s="14">
        <f>[10]Vendedor21!$J$5</f>
        <v>0</v>
      </c>
      <c r="F34" s="81">
        <f>[10]Vendedor21!$K$5</f>
        <v>0</v>
      </c>
      <c r="G34" s="85">
        <f>[10]Vendedor21!$L$5</f>
        <v>0</v>
      </c>
      <c r="H34" s="19">
        <f>[10]Vendedor21!$J$6</f>
        <v>0</v>
      </c>
      <c r="I34" s="15">
        <f>[10]Vendedor21!$K$6</f>
        <v>0</v>
      </c>
      <c r="J34" s="17">
        <f>[10]Vendedor21!$L$6</f>
        <v>0</v>
      </c>
      <c r="K34" s="19">
        <f t="shared" si="0"/>
        <v>0</v>
      </c>
      <c r="L34" s="15">
        <f t="shared" si="1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>
      <c r="A35" s="20" t="s">
        <v>45</v>
      </c>
      <c r="B35" s="21">
        <f>[11]Vendedor21!$J$4</f>
        <v>0</v>
      </c>
      <c r="C35" s="83">
        <f>[11]Vendedor21!$K$4</f>
        <v>0</v>
      </c>
      <c r="D35" s="84">
        <f>[11]Vendedor21!$L$4</f>
        <v>0</v>
      </c>
      <c r="E35" s="21">
        <f>[11]Vendedor21!$J$5</f>
        <v>0</v>
      </c>
      <c r="F35" s="83">
        <f>[11]Vendedor21!$K$5</f>
        <v>0</v>
      </c>
      <c r="G35" s="86">
        <f>[11]Vendedor21!$L$5</f>
        <v>0</v>
      </c>
      <c r="H35" s="26">
        <f>[11]Vendedor21!$J$6</f>
        <v>0</v>
      </c>
      <c r="I35" s="22">
        <f>[11]Vendedor21!$K$6</f>
        <v>0</v>
      </c>
      <c r="J35" s="24">
        <f>[11]Vendedor21!$L$6</f>
        <v>0</v>
      </c>
      <c r="K35" s="26">
        <f t="shared" si="0"/>
        <v>0</v>
      </c>
      <c r="L35" s="22">
        <f t="shared" si="1"/>
        <v>0</v>
      </c>
      <c r="M35" s="22">
        <f t="shared" si="2"/>
        <v>0</v>
      </c>
      <c r="N35" s="22">
        <v>0</v>
      </c>
      <c r="O35" s="24">
        <f t="shared" si="3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1406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69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[1]Resumen!$B$24</f>
        <v>0</v>
      </c>
      <c r="C5" s="58">
        <f>[1]Resumen!$C$24</f>
        <v>0</v>
      </c>
      <c r="D5" s="54">
        <f>[1]Resumen!$D$24</f>
        <v>0</v>
      </c>
      <c r="E5" s="53">
        <f>[1]Resumen!$E$24</f>
        <v>0</v>
      </c>
      <c r="F5" s="58">
        <f>[1]Resumen!$F$24</f>
        <v>0</v>
      </c>
      <c r="G5" s="55">
        <f>[1]Resumen!$G$24</f>
        <v>0</v>
      </c>
      <c r="H5" s="61">
        <f>[1]Resumen!$H$24</f>
        <v>0</v>
      </c>
      <c r="I5" s="58">
        <f>[1]Resumen!$I$24</f>
        <v>0</v>
      </c>
      <c r="J5" s="54">
        <f>[1]Resumen!$J$24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[2]Resumen!$B$24</f>
        <v>0</v>
      </c>
      <c r="C6" s="15">
        <f>[2]Resumen!$C$24</f>
        <v>0</v>
      </c>
      <c r="D6" s="16">
        <f>[2]Resumen!$D$24</f>
        <v>0</v>
      </c>
      <c r="E6" s="14">
        <f>[2]Resumen!$E$24</f>
        <v>0</v>
      </c>
      <c r="F6" s="15">
        <f>[2]Resumen!$F$24</f>
        <v>0</v>
      </c>
      <c r="G6" s="17">
        <f>[2]Resumen!$G$24</f>
        <v>0</v>
      </c>
      <c r="H6" s="18">
        <f>[2]Resumen!$H$24</f>
        <v>0</v>
      </c>
      <c r="I6" s="15">
        <f>[2]Resumen!$I$24</f>
        <v>0</v>
      </c>
      <c r="J6" s="16">
        <f>[2]Resumen!$J$24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[3]Resumen!$B$24</f>
        <v>0</v>
      </c>
      <c r="C7" s="15">
        <f>[3]Resumen!$C$24</f>
        <v>0</v>
      </c>
      <c r="D7" s="16">
        <f>[3]Resumen!$D$24</f>
        <v>0</v>
      </c>
      <c r="E7" s="14">
        <f>[3]Resumen!$E$24</f>
        <v>0</v>
      </c>
      <c r="F7" s="15">
        <f>[3]Resumen!$F$24</f>
        <v>0</v>
      </c>
      <c r="G7" s="17">
        <f>[3]Resumen!$G$24</f>
        <v>0</v>
      </c>
      <c r="H7" s="18">
        <f>[3]Resumen!$H$24</f>
        <v>0</v>
      </c>
      <c r="I7" s="15">
        <f>[3]Resumen!$I$24</f>
        <v>0</v>
      </c>
      <c r="J7" s="16">
        <f>[3]Resumen!$J$24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[4]Resumen!$B$24</f>
        <v>0</v>
      </c>
      <c r="C8" s="15">
        <f>[4]Resumen!$C$24</f>
        <v>0</v>
      </c>
      <c r="D8" s="16">
        <f>[4]Resumen!$D$24</f>
        <v>0</v>
      </c>
      <c r="E8" s="14">
        <f>[4]Resumen!$E$24</f>
        <v>0</v>
      </c>
      <c r="F8" s="15">
        <f>[4]Resumen!$F$24</f>
        <v>0</v>
      </c>
      <c r="G8" s="17">
        <f>[4]Resumen!$G$24</f>
        <v>0</v>
      </c>
      <c r="H8" s="18">
        <f>[4]Resumen!$H$24</f>
        <v>0</v>
      </c>
      <c r="I8" s="15">
        <f>[4]Resumen!$I$24</f>
        <v>0</v>
      </c>
      <c r="J8" s="16">
        <f>[4]Resumen!$J$24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[5]Resumen!$B$24</f>
        <v>0</v>
      </c>
      <c r="C9" s="15">
        <f>[5]Resumen!$C$24</f>
        <v>0</v>
      </c>
      <c r="D9" s="16">
        <f>[5]Resumen!$D$24</f>
        <v>0</v>
      </c>
      <c r="E9" s="14">
        <f>[5]Resumen!$E$24</f>
        <v>0</v>
      </c>
      <c r="F9" s="15">
        <f>[5]Resumen!$F$24</f>
        <v>0</v>
      </c>
      <c r="G9" s="17">
        <f>[5]Resumen!$G$24</f>
        <v>0</v>
      </c>
      <c r="H9" s="18">
        <f>[5]Resumen!$H$24</f>
        <v>0</v>
      </c>
      <c r="I9" s="15">
        <f>[5]Resumen!$I$24</f>
        <v>0</v>
      </c>
      <c r="J9" s="16">
        <f>[5]Resumen!$J$24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[6]Resumen!$B$24</f>
        <v>0</v>
      </c>
      <c r="C10" s="15">
        <f>[6]Resumen!$C$24</f>
        <v>0</v>
      </c>
      <c r="D10" s="16">
        <f>[6]Resumen!$D$24</f>
        <v>0</v>
      </c>
      <c r="E10" s="14">
        <f>[6]Resumen!$E$24</f>
        <v>0</v>
      </c>
      <c r="F10" s="15">
        <f>[6]Resumen!$F$24</f>
        <v>0</v>
      </c>
      <c r="G10" s="17">
        <f>[6]Resumen!$G$24</f>
        <v>0</v>
      </c>
      <c r="H10" s="18">
        <f>[6]Resumen!$H$24</f>
        <v>0</v>
      </c>
      <c r="I10" s="15">
        <f>[6]Resumen!$I$24</f>
        <v>0</v>
      </c>
      <c r="J10" s="16">
        <f>[6]Resumen!$J$24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[7]Resumen!$B$24</f>
        <v>0</v>
      </c>
      <c r="C11" s="15">
        <f>[7]Resumen!$C$24</f>
        <v>0</v>
      </c>
      <c r="D11" s="16">
        <f>[7]Resumen!$D$24</f>
        <v>0</v>
      </c>
      <c r="E11" s="14">
        <f>[7]Resumen!$E$24</f>
        <v>0</v>
      </c>
      <c r="F11" s="15">
        <f>[7]Resumen!$F$24</f>
        <v>0</v>
      </c>
      <c r="G11" s="17">
        <f>[7]Resumen!$G$24</f>
        <v>0</v>
      </c>
      <c r="H11" s="18">
        <f>[7]Resumen!$H$24</f>
        <v>0</v>
      </c>
      <c r="I11" s="15">
        <f>[7]Resumen!$I$24</f>
        <v>0</v>
      </c>
      <c r="J11" s="16">
        <f>[7]Resumen!$J$24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[8]Resumen!$B$24</f>
        <v>0</v>
      </c>
      <c r="C12" s="15">
        <f>[8]Resumen!$C$24</f>
        <v>0</v>
      </c>
      <c r="D12" s="16">
        <f>[8]Resumen!$D$24</f>
        <v>0</v>
      </c>
      <c r="E12" s="14">
        <f>[8]Resumen!$E$24</f>
        <v>0</v>
      </c>
      <c r="F12" s="15">
        <f>[8]Resumen!$F$24</f>
        <v>0</v>
      </c>
      <c r="G12" s="17">
        <f>[8]Resumen!$G$24</f>
        <v>0</v>
      </c>
      <c r="H12" s="18">
        <f>[8]Resumen!$H$24</f>
        <v>0</v>
      </c>
      <c r="I12" s="15">
        <f>[8]Resumen!$I$24</f>
        <v>0</v>
      </c>
      <c r="J12" s="16">
        <f>[8]Resumen!$J$24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[9]Resumen!$B$24</f>
        <v>0</v>
      </c>
      <c r="C13" s="15">
        <f>[9]Resumen!$C$24</f>
        <v>0</v>
      </c>
      <c r="D13" s="16">
        <f>[9]Resumen!$D$24</f>
        <v>0</v>
      </c>
      <c r="E13" s="14">
        <f>[9]Resumen!$E$24</f>
        <v>0</v>
      </c>
      <c r="F13" s="15">
        <f>[9]Resumen!$F$24</f>
        <v>0</v>
      </c>
      <c r="G13" s="17">
        <f>[9]Resumen!$G$24</f>
        <v>0</v>
      </c>
      <c r="H13" s="18">
        <f>[9]Resumen!$H$24</f>
        <v>0</v>
      </c>
      <c r="I13" s="15">
        <f>[9]Resumen!$I$24</f>
        <v>0</v>
      </c>
      <c r="J13" s="16">
        <f>[9]Resumen!$J$24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[12]Resumen!$B$24</f>
        <v>0</v>
      </c>
      <c r="C14" s="15">
        <f>[12]Resumen!$C$24</f>
        <v>0</v>
      </c>
      <c r="D14" s="16">
        <f>[12]Resumen!$D$24</f>
        <v>0</v>
      </c>
      <c r="E14" s="14">
        <f>[12]Resumen!$E$24</f>
        <v>0</v>
      </c>
      <c r="F14" s="15">
        <f>[12]Resumen!$F$24</f>
        <v>0</v>
      </c>
      <c r="G14" s="17">
        <f>[12]Resumen!$G$24</f>
        <v>0</v>
      </c>
      <c r="H14" s="18">
        <f>[12]Resumen!$H$24</f>
        <v>0</v>
      </c>
      <c r="I14" s="15">
        <f>[12]Resumen!$I$24</f>
        <v>0</v>
      </c>
      <c r="J14" s="16">
        <f>[12]Resumen!$J$24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[13]Resumen!$B$24</f>
        <v>0</v>
      </c>
      <c r="C15" s="15">
        <f>[13]Resumen!$C$24</f>
        <v>0</v>
      </c>
      <c r="D15" s="16">
        <f>[13]Resumen!$D$24</f>
        <v>0</v>
      </c>
      <c r="E15" s="14">
        <f>[13]Resumen!$E$24</f>
        <v>0</v>
      </c>
      <c r="F15" s="15">
        <f>[13]Resumen!$F$24</f>
        <v>0</v>
      </c>
      <c r="G15" s="17">
        <f>[13]Resumen!$G$24</f>
        <v>0</v>
      </c>
      <c r="H15" s="18">
        <f>[13]Resumen!$H$24</f>
        <v>0</v>
      </c>
      <c r="I15" s="15">
        <f>[13]Resumen!$I$24</f>
        <v>0</v>
      </c>
      <c r="J15" s="16">
        <f>[13]Resumen!$J$24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[14]Resumen!$B$24</f>
        <v>0</v>
      </c>
      <c r="C16" s="15">
        <f>[14]Resumen!$C$24</f>
        <v>0</v>
      </c>
      <c r="D16" s="16">
        <f>[14]Resumen!$D$24</f>
        <v>0</v>
      </c>
      <c r="E16" s="14">
        <f>[14]Resumen!$E$24</f>
        <v>0</v>
      </c>
      <c r="F16" s="15">
        <f>[14]Resumen!$F$24</f>
        <v>0</v>
      </c>
      <c r="G16" s="17">
        <f>[14]Resumen!$G$24</f>
        <v>0</v>
      </c>
      <c r="H16" s="18">
        <f>[14]Resumen!$H$24</f>
        <v>0</v>
      </c>
      <c r="I16" s="15">
        <f>[14]Resumen!$I$24</f>
        <v>0</v>
      </c>
      <c r="J16" s="16">
        <f>[14]Resumen!$J$24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[15]Resumen!$B$24</f>
        <v>0</v>
      </c>
      <c r="C17" s="15">
        <f>[15]Resumen!$C$24</f>
        <v>0</v>
      </c>
      <c r="D17" s="16">
        <f>[15]Resumen!$D$24</f>
        <v>0</v>
      </c>
      <c r="E17" s="14">
        <f>[15]Resumen!$E$24</f>
        <v>0</v>
      </c>
      <c r="F17" s="15">
        <f>[15]Resumen!$F$24</f>
        <v>0</v>
      </c>
      <c r="G17" s="17">
        <f>[15]Resumen!$G$24</f>
        <v>0</v>
      </c>
      <c r="H17" s="18">
        <f>[15]Resumen!$H$24</f>
        <v>0</v>
      </c>
      <c r="I17" s="15">
        <f>[15]Resumen!$I$24</f>
        <v>0</v>
      </c>
      <c r="J17" s="16">
        <f>[15]Resumen!$J$24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[16]Resumen!$B$24</f>
        <v>0</v>
      </c>
      <c r="C18" s="15">
        <f>[16]Resumen!$C$24</f>
        <v>0</v>
      </c>
      <c r="D18" s="16">
        <f>[16]Resumen!$D$24</f>
        <v>0</v>
      </c>
      <c r="E18" s="14">
        <f>[16]Resumen!$E$24</f>
        <v>0</v>
      </c>
      <c r="F18" s="15">
        <f>[16]Resumen!$F$24</f>
        <v>0</v>
      </c>
      <c r="G18" s="17">
        <f>[16]Resumen!$G$24</f>
        <v>0</v>
      </c>
      <c r="H18" s="18">
        <f>[16]Resumen!$H$24</f>
        <v>0</v>
      </c>
      <c r="I18" s="15">
        <f>[16]Resumen!$I$24</f>
        <v>0</v>
      </c>
      <c r="J18" s="16">
        <f>[16]Resumen!$J$24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[17]Resumen!$B$24</f>
        <v>0</v>
      </c>
      <c r="C19" s="15">
        <f>[17]Resumen!$C$24</f>
        <v>0</v>
      </c>
      <c r="D19" s="16">
        <f>[17]Resumen!$D$24</f>
        <v>0</v>
      </c>
      <c r="E19" s="14">
        <f>[17]Resumen!$E$24</f>
        <v>0</v>
      </c>
      <c r="F19" s="15">
        <f>[17]Resumen!$F$24</f>
        <v>0</v>
      </c>
      <c r="G19" s="17">
        <f>[17]Resumen!$G$24</f>
        <v>0</v>
      </c>
      <c r="H19" s="18">
        <f>[17]Resumen!$H$24</f>
        <v>0</v>
      </c>
      <c r="I19" s="15">
        <f>[17]Resumen!$I$24</f>
        <v>0</v>
      </c>
      <c r="J19" s="16">
        <f>[17]Resumen!$J$24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[18]Resumen!$B$24</f>
        <v>0</v>
      </c>
      <c r="C20" s="15">
        <f>[18]Resumen!$C$24</f>
        <v>0</v>
      </c>
      <c r="D20" s="16">
        <f>[18]Resumen!$D$24</f>
        <v>0</v>
      </c>
      <c r="E20" s="14">
        <f>[18]Resumen!$E$24</f>
        <v>0</v>
      </c>
      <c r="F20" s="15">
        <f>[18]Resumen!$F$24</f>
        <v>0</v>
      </c>
      <c r="G20" s="17">
        <f>[18]Resumen!$G$24</f>
        <v>0</v>
      </c>
      <c r="H20" s="18">
        <f>[18]Resumen!$H$24</f>
        <v>0</v>
      </c>
      <c r="I20" s="15">
        <f>[18]Resumen!$I$24</f>
        <v>0</v>
      </c>
      <c r="J20" s="16">
        <f>[18]Resumen!$J$24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[19]Resumen!$B$24</f>
        <v>0</v>
      </c>
      <c r="C21" s="15">
        <f>[19]Resumen!$C$24</f>
        <v>0</v>
      </c>
      <c r="D21" s="16">
        <f>[19]Resumen!$D$24</f>
        <v>0</v>
      </c>
      <c r="E21" s="14">
        <f>[19]Resumen!$E$24</f>
        <v>0</v>
      </c>
      <c r="F21" s="15">
        <f>[19]Resumen!$F$24</f>
        <v>0</v>
      </c>
      <c r="G21" s="17">
        <f>[19]Resumen!$G$24</f>
        <v>0</v>
      </c>
      <c r="H21" s="18">
        <f>[19]Resumen!$H$24</f>
        <v>0</v>
      </c>
      <c r="I21" s="15">
        <f>[19]Resumen!$I$24</f>
        <v>0</v>
      </c>
      <c r="J21" s="16">
        <f>[19]Resumen!$J$24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[20]Resumen!$B$24</f>
        <v>0</v>
      </c>
      <c r="C22" s="15">
        <f>[20]Resumen!$C$24</f>
        <v>0</v>
      </c>
      <c r="D22" s="16">
        <f>[20]Resumen!$D$24</f>
        <v>0</v>
      </c>
      <c r="E22" s="14">
        <f>[20]Resumen!$E$24</f>
        <v>0</v>
      </c>
      <c r="F22" s="15">
        <f>[20]Resumen!$F$24</f>
        <v>0</v>
      </c>
      <c r="G22" s="17">
        <f>[20]Resumen!$G$24</f>
        <v>0</v>
      </c>
      <c r="H22" s="18">
        <f>[20]Resumen!$H$24</f>
        <v>0</v>
      </c>
      <c r="I22" s="15">
        <f>[20]Resumen!$I$24</f>
        <v>0</v>
      </c>
      <c r="J22" s="16">
        <f>[20]Resumen!$J$24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[21]Resumen!$B$24</f>
        <v>0</v>
      </c>
      <c r="C23" s="15">
        <f>[21]Resumen!$C$24</f>
        <v>0</v>
      </c>
      <c r="D23" s="16">
        <f>[21]Resumen!$D$24</f>
        <v>0</v>
      </c>
      <c r="E23" s="14">
        <f>[21]Resumen!$E$24</f>
        <v>0</v>
      </c>
      <c r="F23" s="15">
        <f>[21]Resumen!$F$24</f>
        <v>0</v>
      </c>
      <c r="G23" s="17">
        <f>[21]Resumen!$G$24</f>
        <v>0</v>
      </c>
      <c r="H23" s="18">
        <f>[21]Resumen!$H$24</f>
        <v>0</v>
      </c>
      <c r="I23" s="15">
        <f>[21]Resumen!$I$24</f>
        <v>0</v>
      </c>
      <c r="J23" s="16">
        <f>[21]Resumen!$J$24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[22]Resumen!$B$24</f>
        <v>0</v>
      </c>
      <c r="C24" s="15">
        <f>[22]Resumen!$C$24</f>
        <v>0</v>
      </c>
      <c r="D24" s="16">
        <f>[22]Resumen!$D$24</f>
        <v>0</v>
      </c>
      <c r="E24" s="14">
        <f>[22]Resumen!$E$24</f>
        <v>0</v>
      </c>
      <c r="F24" s="15">
        <f>[22]Resumen!$F$24</f>
        <v>0</v>
      </c>
      <c r="G24" s="17">
        <f>[22]Resumen!$G$24</f>
        <v>0</v>
      </c>
      <c r="H24" s="18">
        <f>[22]Resumen!$H$24</f>
        <v>0</v>
      </c>
      <c r="I24" s="15">
        <f>[22]Resumen!$I$24</f>
        <v>0</v>
      </c>
      <c r="J24" s="16">
        <f>[22]Resumen!$J$24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[23]Resumen!$B$24</f>
        <v>0</v>
      </c>
      <c r="C25" s="15">
        <f>[23]Resumen!$C$24</f>
        <v>0</v>
      </c>
      <c r="D25" s="16">
        <f>[23]Resumen!$D$24</f>
        <v>0</v>
      </c>
      <c r="E25" s="14">
        <f>[23]Resumen!$E$24</f>
        <v>0</v>
      </c>
      <c r="F25" s="15">
        <f>[23]Resumen!$F$24</f>
        <v>0</v>
      </c>
      <c r="G25" s="17">
        <f>[23]Resumen!$G$24</f>
        <v>0</v>
      </c>
      <c r="H25" s="18">
        <f>[23]Resumen!$H$24</f>
        <v>0</v>
      </c>
      <c r="I25" s="15">
        <f>[23]Resumen!$I$24</f>
        <v>0</v>
      </c>
      <c r="J25" s="16">
        <f>[23]Resumen!$J$24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[24]Resumen!$B$24</f>
        <v>0</v>
      </c>
      <c r="C26" s="15">
        <f>[24]Resumen!$C$24</f>
        <v>0</v>
      </c>
      <c r="D26" s="16">
        <f>[24]Resumen!$D$24</f>
        <v>0</v>
      </c>
      <c r="E26" s="14">
        <f>[24]Resumen!$E$24</f>
        <v>0</v>
      </c>
      <c r="F26" s="15">
        <f>[24]Resumen!$F$24</f>
        <v>0</v>
      </c>
      <c r="G26" s="17">
        <f>[24]Resumen!$G$24</f>
        <v>0</v>
      </c>
      <c r="H26" s="18">
        <f>[24]Resumen!$H$24</f>
        <v>0</v>
      </c>
      <c r="I26" s="15">
        <f>[24]Resumen!$I$24</f>
        <v>0</v>
      </c>
      <c r="J26" s="16">
        <f>[24]Resumen!$J$24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[25]Resumen!$B$24</f>
        <v>0</v>
      </c>
      <c r="C27" s="15">
        <f>[25]Resumen!$C$24</f>
        <v>0</v>
      </c>
      <c r="D27" s="16">
        <f>[25]Resumen!$D$24</f>
        <v>0</v>
      </c>
      <c r="E27" s="14">
        <f>[25]Resumen!$E$24</f>
        <v>0</v>
      </c>
      <c r="F27" s="15">
        <f>[25]Resumen!$F$24</f>
        <v>0</v>
      </c>
      <c r="G27" s="17">
        <f>[25]Resumen!$G$24</f>
        <v>0</v>
      </c>
      <c r="H27" s="18">
        <f>[25]Resumen!$H$24</f>
        <v>0</v>
      </c>
      <c r="I27" s="15">
        <f>[25]Resumen!$I$24</f>
        <v>0</v>
      </c>
      <c r="J27" s="16">
        <f>[25]Resumen!$J$24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[26]Resumen!$B$24</f>
        <v>0</v>
      </c>
      <c r="C28" s="15">
        <f>[26]Resumen!$C$24</f>
        <v>0</v>
      </c>
      <c r="D28" s="16">
        <f>[26]Resumen!$D$24</f>
        <v>0</v>
      </c>
      <c r="E28" s="14">
        <f>[26]Resumen!$E$24</f>
        <v>0</v>
      </c>
      <c r="F28" s="15">
        <f>[26]Resumen!$F$24</f>
        <v>0</v>
      </c>
      <c r="G28" s="17">
        <f>[26]Resumen!$G$24</f>
        <v>0</v>
      </c>
      <c r="H28" s="18">
        <f>[26]Resumen!$H$24</f>
        <v>0</v>
      </c>
      <c r="I28" s="15">
        <f>[26]Resumen!$I$24</f>
        <v>0</v>
      </c>
      <c r="J28" s="16">
        <f>[26]Resumen!$J$24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[27]Resumen!$B$24</f>
        <v>0</v>
      </c>
      <c r="C29" s="15">
        <f>[27]Resumen!$C$24</f>
        <v>0</v>
      </c>
      <c r="D29" s="16">
        <f>[27]Resumen!$D$24</f>
        <v>0</v>
      </c>
      <c r="E29" s="14">
        <f>[27]Resumen!$E$24</f>
        <v>0</v>
      </c>
      <c r="F29" s="15">
        <f>[27]Resumen!$F$24</f>
        <v>0</v>
      </c>
      <c r="G29" s="17">
        <f>[27]Resumen!$G$24</f>
        <v>0</v>
      </c>
      <c r="H29" s="18">
        <f>[27]Resumen!$H$24</f>
        <v>0</v>
      </c>
      <c r="I29" s="15">
        <f>[27]Resumen!$I$24</f>
        <v>0</v>
      </c>
      <c r="J29" s="16">
        <f>[27]Resumen!$J$24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[28]Resumen!$B$24</f>
        <v>0</v>
      </c>
      <c r="C30" s="15">
        <f>[28]Resumen!$C$24</f>
        <v>0</v>
      </c>
      <c r="D30" s="16">
        <f>[28]Resumen!$D$24</f>
        <v>0</v>
      </c>
      <c r="E30" s="14">
        <f>[28]Resumen!$E$24</f>
        <v>0</v>
      </c>
      <c r="F30" s="15">
        <f>[28]Resumen!$F$24</f>
        <v>0</v>
      </c>
      <c r="G30" s="17">
        <f>[28]Resumen!$G$24</f>
        <v>0</v>
      </c>
      <c r="H30" s="18">
        <f>[28]Resumen!$H$24</f>
        <v>0</v>
      </c>
      <c r="I30" s="15">
        <f>[28]Resumen!$I$24</f>
        <v>0</v>
      </c>
      <c r="J30" s="16">
        <f>[28]Resumen!$J$24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[29]Resumen!$B$24</f>
        <v>0</v>
      </c>
      <c r="C31" s="15">
        <f>[29]Resumen!$C$24</f>
        <v>0</v>
      </c>
      <c r="D31" s="16">
        <f>[29]Resumen!$D$24</f>
        <v>0</v>
      </c>
      <c r="E31" s="14">
        <f>[29]Resumen!$E$24</f>
        <v>0</v>
      </c>
      <c r="F31" s="15">
        <f>[29]Resumen!$F$24</f>
        <v>0</v>
      </c>
      <c r="G31" s="17">
        <f>[29]Resumen!$G$24</f>
        <v>0</v>
      </c>
      <c r="H31" s="18">
        <f>[29]Resumen!$H$24</f>
        <v>0</v>
      </c>
      <c r="I31" s="15">
        <f>[29]Resumen!$I$24</f>
        <v>0</v>
      </c>
      <c r="J31" s="16">
        <f>[29]Resumen!$J$24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[30]Resumen!$B$24</f>
        <v>0</v>
      </c>
      <c r="C32" s="15">
        <f>[30]Resumen!$C$24</f>
        <v>0</v>
      </c>
      <c r="D32" s="16">
        <f>[30]Resumen!$D$24</f>
        <v>0</v>
      </c>
      <c r="E32" s="14">
        <f>[30]Resumen!$E$24</f>
        <v>0</v>
      </c>
      <c r="F32" s="15">
        <f>[30]Resumen!$F$24</f>
        <v>0</v>
      </c>
      <c r="G32" s="17">
        <f>[30]Resumen!$G$24</f>
        <v>0</v>
      </c>
      <c r="H32" s="18">
        <f>[30]Resumen!$H$24</f>
        <v>0</v>
      </c>
      <c r="I32" s="15">
        <f>[30]Resumen!$I$24</f>
        <v>0</v>
      </c>
      <c r="J32" s="16">
        <f>[30]Resumen!$J$24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[31]Resumen!$B$24</f>
        <v>0</v>
      </c>
      <c r="C33" s="15">
        <f>[31]Resumen!$C$24</f>
        <v>0</v>
      </c>
      <c r="D33" s="16">
        <f>[31]Resumen!$D$24</f>
        <v>0</v>
      </c>
      <c r="E33" s="14">
        <f>[31]Resumen!$E$24</f>
        <v>0</v>
      </c>
      <c r="F33" s="15">
        <f>[31]Resumen!$F$24</f>
        <v>0</v>
      </c>
      <c r="G33" s="17">
        <f>[31]Resumen!$G$24</f>
        <v>0</v>
      </c>
      <c r="H33" s="18">
        <f>[31]Resumen!$H$24</f>
        <v>0</v>
      </c>
      <c r="I33" s="15">
        <f>[31]Resumen!$I$24</f>
        <v>0</v>
      </c>
      <c r="J33" s="16">
        <f>[31]Resumen!$J$24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[10]Resumen!$B$24</f>
        <v>0</v>
      </c>
      <c r="C34" s="15">
        <f>[10]Resumen!$C$24</f>
        <v>0</v>
      </c>
      <c r="D34" s="16">
        <f>[10]Resumen!$D$24</f>
        <v>0</v>
      </c>
      <c r="E34" s="14">
        <f>[10]Resumen!$E$24</f>
        <v>0</v>
      </c>
      <c r="F34" s="15">
        <f>[10]Resumen!$F$24</f>
        <v>0</v>
      </c>
      <c r="G34" s="17">
        <f>[10]Resumen!$G$24</f>
        <v>0</v>
      </c>
      <c r="H34" s="18">
        <f>[10]Resumen!$H$24</f>
        <v>0</v>
      </c>
      <c r="I34" s="15">
        <f>[10]Resumen!$I$24</f>
        <v>0</v>
      </c>
      <c r="J34" s="16">
        <f>[10]Resumen!$J$24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+[11]Resumen!$B$24</f>
        <v>0</v>
      </c>
      <c r="C35" s="22">
        <f>+[11]Resumen!$C$24</f>
        <v>0</v>
      </c>
      <c r="D35" s="23">
        <f>+[11]Resumen!$D$24</f>
        <v>0</v>
      </c>
      <c r="E35" s="21">
        <f>+[11]Resumen!$E$24</f>
        <v>0</v>
      </c>
      <c r="F35" s="22">
        <f>+[11]Resumen!$F$24</f>
        <v>0</v>
      </c>
      <c r="G35" s="24">
        <f>+[11]Resumen!$G$24</f>
        <v>0</v>
      </c>
      <c r="H35" s="25">
        <f>+[11]Resumen!$H$24</f>
        <v>0</v>
      </c>
      <c r="I35" s="22">
        <f>+[11]Resumen!$I$24</f>
        <v>0</v>
      </c>
      <c r="J35" s="23">
        <f>+[11]Resumen!$J$24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1.8554687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62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[1]Resumen!$B$25</f>
        <v>0</v>
      </c>
      <c r="C5" s="58">
        <f>[1]Resumen!$C$25</f>
        <v>0</v>
      </c>
      <c r="D5" s="54">
        <f>[1]Resumen!$D$25</f>
        <v>0</v>
      </c>
      <c r="E5" s="53">
        <f>[1]Resumen!$E$25</f>
        <v>0</v>
      </c>
      <c r="F5" s="58">
        <f>[1]Resumen!$F$25</f>
        <v>0</v>
      </c>
      <c r="G5" s="55">
        <f>[1]Resumen!$G$25</f>
        <v>0</v>
      </c>
      <c r="H5" s="61">
        <f>[1]Resumen!$H$25</f>
        <v>0</v>
      </c>
      <c r="I5" s="58">
        <f>[1]Resumen!$I$25</f>
        <v>0</v>
      </c>
      <c r="J5" s="54">
        <f>[1]Resumen!$J$25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[2]Resumen!$B$25</f>
        <v>0</v>
      </c>
      <c r="C6" s="15">
        <f>[2]Resumen!$C$25</f>
        <v>0</v>
      </c>
      <c r="D6" s="16">
        <f>[2]Resumen!$D$25</f>
        <v>0</v>
      </c>
      <c r="E6" s="14">
        <f>[2]Resumen!$E$25</f>
        <v>0</v>
      </c>
      <c r="F6" s="15">
        <f>[2]Resumen!$F$25</f>
        <v>0</v>
      </c>
      <c r="G6" s="17">
        <f>[2]Resumen!$G$25</f>
        <v>0</v>
      </c>
      <c r="H6" s="18">
        <f>[2]Resumen!$H$25</f>
        <v>0</v>
      </c>
      <c r="I6" s="15">
        <f>[2]Resumen!$I$25</f>
        <v>0</v>
      </c>
      <c r="J6" s="16">
        <f>[2]Resumen!$J$25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[3]Resumen!$B$25</f>
        <v>0</v>
      </c>
      <c r="C7" s="15">
        <f>[3]Resumen!$C$25</f>
        <v>0</v>
      </c>
      <c r="D7" s="16">
        <f>[3]Resumen!$D$25</f>
        <v>0</v>
      </c>
      <c r="E7" s="14">
        <f>[3]Resumen!$E$25</f>
        <v>0</v>
      </c>
      <c r="F7" s="15">
        <f>[3]Resumen!$F$25</f>
        <v>0</v>
      </c>
      <c r="G7" s="17">
        <f>[3]Resumen!$G$25</f>
        <v>0</v>
      </c>
      <c r="H7" s="18">
        <f>[3]Resumen!$H$25</f>
        <v>0</v>
      </c>
      <c r="I7" s="15">
        <f>[3]Resumen!$I$25</f>
        <v>0</v>
      </c>
      <c r="J7" s="16">
        <f>[3]Resumen!$J$25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[4]Resumen!$B$25</f>
        <v>0</v>
      </c>
      <c r="C8" s="15">
        <f>[4]Resumen!$C$25</f>
        <v>0</v>
      </c>
      <c r="D8" s="16">
        <f>[4]Resumen!$D$25</f>
        <v>0</v>
      </c>
      <c r="E8" s="14">
        <f>[4]Resumen!$E$25</f>
        <v>0</v>
      </c>
      <c r="F8" s="15">
        <f>[4]Resumen!$F$25</f>
        <v>0</v>
      </c>
      <c r="G8" s="17">
        <f>[4]Resumen!$G$25</f>
        <v>0</v>
      </c>
      <c r="H8" s="18">
        <f>[4]Resumen!$H$25</f>
        <v>0</v>
      </c>
      <c r="I8" s="15">
        <f>[4]Resumen!$I$25</f>
        <v>0</v>
      </c>
      <c r="J8" s="16">
        <f>[4]Resumen!$J$25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[5]Resumen!$B$25</f>
        <v>0</v>
      </c>
      <c r="C9" s="15">
        <f>[5]Resumen!$C$25</f>
        <v>0</v>
      </c>
      <c r="D9" s="16">
        <f>[5]Resumen!$D$25</f>
        <v>0</v>
      </c>
      <c r="E9" s="14">
        <f>[5]Resumen!$E$25</f>
        <v>0</v>
      </c>
      <c r="F9" s="15">
        <f>[5]Resumen!$F$25</f>
        <v>0</v>
      </c>
      <c r="G9" s="17">
        <f>[5]Resumen!$G$25</f>
        <v>0</v>
      </c>
      <c r="H9" s="18">
        <f>[5]Resumen!$H$25</f>
        <v>0</v>
      </c>
      <c r="I9" s="15">
        <f>[5]Resumen!$I$25</f>
        <v>0</v>
      </c>
      <c r="J9" s="16">
        <f>[5]Resumen!$J$25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[6]Resumen!$B$25</f>
        <v>0</v>
      </c>
      <c r="C10" s="15">
        <f>[6]Resumen!$C$25</f>
        <v>0</v>
      </c>
      <c r="D10" s="16">
        <f>[6]Resumen!$D$25</f>
        <v>0</v>
      </c>
      <c r="E10" s="14">
        <f>[6]Resumen!$E$25</f>
        <v>0</v>
      </c>
      <c r="F10" s="15">
        <f>[6]Resumen!$F$25</f>
        <v>0</v>
      </c>
      <c r="G10" s="17">
        <f>[6]Resumen!$G$25</f>
        <v>0</v>
      </c>
      <c r="H10" s="18">
        <f>[6]Resumen!$H$25</f>
        <v>0</v>
      </c>
      <c r="I10" s="15">
        <f>[6]Resumen!$I$25</f>
        <v>0</v>
      </c>
      <c r="J10" s="16">
        <f>[6]Resumen!$J$25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[7]Resumen!$B$25</f>
        <v>0</v>
      </c>
      <c r="C11" s="15">
        <f>[7]Resumen!$C$25</f>
        <v>0</v>
      </c>
      <c r="D11" s="16">
        <f>[7]Resumen!$D$25</f>
        <v>0</v>
      </c>
      <c r="E11" s="14">
        <f>[7]Resumen!$E$25</f>
        <v>0</v>
      </c>
      <c r="F11" s="15">
        <f>[7]Resumen!$F$25</f>
        <v>0</v>
      </c>
      <c r="G11" s="17">
        <f>[7]Resumen!$G$25</f>
        <v>0</v>
      </c>
      <c r="H11" s="18">
        <f>[7]Resumen!$H$25</f>
        <v>0</v>
      </c>
      <c r="I11" s="15">
        <f>[7]Resumen!$I$25</f>
        <v>0</v>
      </c>
      <c r="J11" s="16">
        <f>[7]Resumen!$J$25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[8]Resumen!$B$25</f>
        <v>0</v>
      </c>
      <c r="C12" s="15">
        <f>[8]Resumen!$C$25</f>
        <v>0</v>
      </c>
      <c r="D12" s="16">
        <f>[8]Resumen!$D$25</f>
        <v>0</v>
      </c>
      <c r="E12" s="14">
        <f>[8]Resumen!$E$25</f>
        <v>0</v>
      </c>
      <c r="F12" s="15">
        <f>[8]Resumen!$F$25</f>
        <v>0</v>
      </c>
      <c r="G12" s="17">
        <f>[8]Resumen!$G$25</f>
        <v>0</v>
      </c>
      <c r="H12" s="18">
        <f>[8]Resumen!$H$25</f>
        <v>0</v>
      </c>
      <c r="I12" s="15">
        <f>[8]Resumen!$I$25</f>
        <v>0</v>
      </c>
      <c r="J12" s="16">
        <f>[8]Resumen!$J$25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[9]Resumen!$B$25</f>
        <v>0</v>
      </c>
      <c r="C13" s="15">
        <f>[9]Resumen!$C$25</f>
        <v>0</v>
      </c>
      <c r="D13" s="16">
        <f>[9]Resumen!$D$25</f>
        <v>0</v>
      </c>
      <c r="E13" s="14">
        <f>[9]Resumen!$E$25</f>
        <v>0</v>
      </c>
      <c r="F13" s="15">
        <f>[9]Resumen!$F$25</f>
        <v>0</v>
      </c>
      <c r="G13" s="17">
        <f>[9]Resumen!$G$25</f>
        <v>0</v>
      </c>
      <c r="H13" s="18">
        <f>[9]Resumen!$H$25</f>
        <v>0</v>
      </c>
      <c r="I13" s="15">
        <f>[9]Resumen!$I$25</f>
        <v>0</v>
      </c>
      <c r="J13" s="16">
        <f>[9]Resumen!$J$25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[12]Resumen!$B$25</f>
        <v>0</v>
      </c>
      <c r="C14" s="15">
        <f>[12]Resumen!$C$25</f>
        <v>0</v>
      </c>
      <c r="D14" s="16">
        <f>[12]Resumen!$D$25</f>
        <v>0</v>
      </c>
      <c r="E14" s="14">
        <f>[12]Resumen!$E$25</f>
        <v>0</v>
      </c>
      <c r="F14" s="15">
        <f>[12]Resumen!$F$25</f>
        <v>0</v>
      </c>
      <c r="G14" s="17">
        <f>[12]Resumen!$G$25</f>
        <v>0</v>
      </c>
      <c r="H14" s="18">
        <f>[12]Resumen!$H$25</f>
        <v>0</v>
      </c>
      <c r="I14" s="15">
        <f>[12]Resumen!$I$25</f>
        <v>0</v>
      </c>
      <c r="J14" s="16">
        <f>[12]Resumen!$J$25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[13]Resumen!$B$25</f>
        <v>0</v>
      </c>
      <c r="C15" s="15">
        <f>[13]Resumen!$C$25</f>
        <v>0</v>
      </c>
      <c r="D15" s="16">
        <f>[13]Resumen!$D$25</f>
        <v>0</v>
      </c>
      <c r="E15" s="14">
        <f>[13]Resumen!$E$25</f>
        <v>0</v>
      </c>
      <c r="F15" s="15">
        <f>[13]Resumen!$F$25</f>
        <v>0</v>
      </c>
      <c r="G15" s="17">
        <f>[13]Resumen!$G$25</f>
        <v>0</v>
      </c>
      <c r="H15" s="18">
        <f>[13]Resumen!$H$25</f>
        <v>0</v>
      </c>
      <c r="I15" s="15">
        <f>[13]Resumen!$I$25</f>
        <v>0</v>
      </c>
      <c r="J15" s="16">
        <f>[13]Resumen!$J$25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[14]Resumen!$B$25</f>
        <v>0</v>
      </c>
      <c r="C16" s="15">
        <f>[14]Resumen!$C$25</f>
        <v>0</v>
      </c>
      <c r="D16" s="16">
        <f>[14]Resumen!$D$25</f>
        <v>0</v>
      </c>
      <c r="E16" s="14">
        <f>[14]Resumen!$E$25</f>
        <v>0</v>
      </c>
      <c r="F16" s="15">
        <f>[14]Resumen!$F$25</f>
        <v>0</v>
      </c>
      <c r="G16" s="17">
        <f>[14]Resumen!$G$25</f>
        <v>0</v>
      </c>
      <c r="H16" s="18">
        <f>[14]Resumen!$H$25</f>
        <v>0</v>
      </c>
      <c r="I16" s="15">
        <f>[14]Resumen!$I$25</f>
        <v>0</v>
      </c>
      <c r="J16" s="16">
        <f>[14]Resumen!$J$25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[15]Resumen!$B$25</f>
        <v>0</v>
      </c>
      <c r="C17" s="15">
        <f>[15]Resumen!$C$25</f>
        <v>0</v>
      </c>
      <c r="D17" s="16">
        <f>[15]Resumen!$D$25</f>
        <v>0</v>
      </c>
      <c r="E17" s="14">
        <f>[15]Resumen!$E$25</f>
        <v>0</v>
      </c>
      <c r="F17" s="15">
        <f>[15]Resumen!$F$25</f>
        <v>0</v>
      </c>
      <c r="G17" s="17">
        <f>[15]Resumen!$G$25</f>
        <v>0</v>
      </c>
      <c r="H17" s="18">
        <f>[15]Resumen!$H$25</f>
        <v>0</v>
      </c>
      <c r="I17" s="15">
        <f>[15]Resumen!$I$25</f>
        <v>0</v>
      </c>
      <c r="J17" s="16">
        <f>[15]Resumen!$J$25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[16]Resumen!$B$25</f>
        <v>0</v>
      </c>
      <c r="C18" s="15">
        <f>[16]Resumen!$C$25</f>
        <v>0</v>
      </c>
      <c r="D18" s="16">
        <f>[16]Resumen!$D$25</f>
        <v>0</v>
      </c>
      <c r="E18" s="14">
        <f>[16]Resumen!$E$25</f>
        <v>0</v>
      </c>
      <c r="F18" s="15">
        <f>[16]Resumen!$F$25</f>
        <v>0</v>
      </c>
      <c r="G18" s="17">
        <f>[16]Resumen!$G$25</f>
        <v>0</v>
      </c>
      <c r="H18" s="18">
        <f>[16]Resumen!$H$25</f>
        <v>0</v>
      </c>
      <c r="I18" s="15">
        <f>[16]Resumen!$I$25</f>
        <v>0</v>
      </c>
      <c r="J18" s="16">
        <f>[16]Resumen!$J$25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[17]Resumen!$B$25</f>
        <v>0</v>
      </c>
      <c r="C19" s="15">
        <f>[17]Resumen!$C$25</f>
        <v>0</v>
      </c>
      <c r="D19" s="16">
        <f>[17]Resumen!$D$25</f>
        <v>0</v>
      </c>
      <c r="E19" s="14">
        <f>[17]Resumen!$E$25</f>
        <v>0</v>
      </c>
      <c r="F19" s="15">
        <f>[17]Resumen!$F$25</f>
        <v>0</v>
      </c>
      <c r="G19" s="17">
        <f>[17]Resumen!$G$25</f>
        <v>0</v>
      </c>
      <c r="H19" s="18">
        <f>[17]Resumen!$H$25</f>
        <v>0</v>
      </c>
      <c r="I19" s="15">
        <f>[17]Resumen!$I$25</f>
        <v>0</v>
      </c>
      <c r="J19" s="16">
        <f>[17]Resumen!$J$25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[18]Resumen!$B$25</f>
        <v>0</v>
      </c>
      <c r="C20" s="15">
        <f>[18]Resumen!$C$25</f>
        <v>0</v>
      </c>
      <c r="D20" s="16">
        <f>[18]Resumen!$D$25</f>
        <v>0</v>
      </c>
      <c r="E20" s="14">
        <f>[18]Resumen!$E$25</f>
        <v>0</v>
      </c>
      <c r="F20" s="15">
        <f>[18]Resumen!$F$25</f>
        <v>0</v>
      </c>
      <c r="G20" s="17">
        <f>[18]Resumen!$G$25</f>
        <v>0</v>
      </c>
      <c r="H20" s="18">
        <f>[18]Resumen!$H$25</f>
        <v>0</v>
      </c>
      <c r="I20" s="15">
        <f>[18]Resumen!$I$25</f>
        <v>0</v>
      </c>
      <c r="J20" s="16">
        <f>[18]Resumen!$J$25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[19]Resumen!$B$25</f>
        <v>0</v>
      </c>
      <c r="C21" s="15">
        <f>[19]Resumen!$C$25</f>
        <v>0</v>
      </c>
      <c r="D21" s="16">
        <f>[19]Resumen!$D$25</f>
        <v>0</v>
      </c>
      <c r="E21" s="14">
        <f>[19]Resumen!$E$25</f>
        <v>0</v>
      </c>
      <c r="F21" s="15">
        <f>[19]Resumen!$F$25</f>
        <v>0</v>
      </c>
      <c r="G21" s="17">
        <f>[19]Resumen!$G$25</f>
        <v>0</v>
      </c>
      <c r="H21" s="18">
        <f>[19]Resumen!$H$25</f>
        <v>0</v>
      </c>
      <c r="I21" s="15">
        <f>[19]Resumen!$I$25</f>
        <v>0</v>
      </c>
      <c r="J21" s="16">
        <f>[19]Resumen!$J$25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[20]Resumen!$B$25</f>
        <v>0</v>
      </c>
      <c r="C22" s="15">
        <f>[20]Resumen!$C$25</f>
        <v>0</v>
      </c>
      <c r="D22" s="16">
        <f>[20]Resumen!$D$25</f>
        <v>0</v>
      </c>
      <c r="E22" s="14">
        <f>[20]Resumen!$E$25</f>
        <v>0</v>
      </c>
      <c r="F22" s="15">
        <f>[20]Resumen!$F$25</f>
        <v>0</v>
      </c>
      <c r="G22" s="17">
        <f>[20]Resumen!$G$25</f>
        <v>0</v>
      </c>
      <c r="H22" s="18">
        <f>[20]Resumen!$H$25</f>
        <v>0</v>
      </c>
      <c r="I22" s="15">
        <f>[20]Resumen!$I$25</f>
        <v>0</v>
      </c>
      <c r="J22" s="16">
        <f>[20]Resumen!$J$25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[21]Resumen!$B$25</f>
        <v>0</v>
      </c>
      <c r="C23" s="15">
        <f>[21]Resumen!$C$25</f>
        <v>0</v>
      </c>
      <c r="D23" s="16">
        <f>[21]Resumen!$D$25</f>
        <v>0</v>
      </c>
      <c r="E23" s="14">
        <f>[21]Resumen!$E$25</f>
        <v>0</v>
      </c>
      <c r="F23" s="15">
        <f>[21]Resumen!$F$25</f>
        <v>0</v>
      </c>
      <c r="G23" s="17">
        <f>[21]Resumen!$G$25</f>
        <v>0</v>
      </c>
      <c r="H23" s="18">
        <f>[21]Resumen!$H$25</f>
        <v>0</v>
      </c>
      <c r="I23" s="15">
        <f>[21]Resumen!$I$25</f>
        <v>0</v>
      </c>
      <c r="J23" s="16">
        <f>[21]Resumen!$J$25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[22]Resumen!$B$25</f>
        <v>0</v>
      </c>
      <c r="C24" s="15">
        <f>[22]Resumen!$C$25</f>
        <v>0</v>
      </c>
      <c r="D24" s="16">
        <f>[22]Resumen!$D$25</f>
        <v>0</v>
      </c>
      <c r="E24" s="14">
        <f>[22]Resumen!$E$25</f>
        <v>0</v>
      </c>
      <c r="F24" s="15">
        <f>[22]Resumen!$F$25</f>
        <v>0</v>
      </c>
      <c r="G24" s="17">
        <f>[22]Resumen!$G$25</f>
        <v>0</v>
      </c>
      <c r="H24" s="18">
        <f>[22]Resumen!$H$25</f>
        <v>0</v>
      </c>
      <c r="I24" s="15">
        <f>[22]Resumen!$I$25</f>
        <v>0</v>
      </c>
      <c r="J24" s="16">
        <f>[22]Resumen!$J$25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[23]Resumen!$B$25</f>
        <v>0</v>
      </c>
      <c r="C25" s="15">
        <f>[23]Resumen!$C$25</f>
        <v>0</v>
      </c>
      <c r="D25" s="16">
        <f>[23]Resumen!$D$25</f>
        <v>0</v>
      </c>
      <c r="E25" s="14">
        <f>[23]Resumen!$E$25</f>
        <v>0</v>
      </c>
      <c r="F25" s="15">
        <f>[23]Resumen!$F$25</f>
        <v>0</v>
      </c>
      <c r="G25" s="17">
        <f>[23]Resumen!$G$25</f>
        <v>0</v>
      </c>
      <c r="H25" s="18">
        <f>[23]Resumen!$H$25</f>
        <v>0</v>
      </c>
      <c r="I25" s="15">
        <f>[23]Resumen!$I$25</f>
        <v>0</v>
      </c>
      <c r="J25" s="16">
        <f>[23]Resumen!$J$25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[24]Resumen!$B$25</f>
        <v>0</v>
      </c>
      <c r="C26" s="15">
        <f>[24]Resumen!$C$25</f>
        <v>0</v>
      </c>
      <c r="D26" s="16">
        <f>[24]Resumen!$D$25</f>
        <v>0</v>
      </c>
      <c r="E26" s="14">
        <f>[24]Resumen!$E$25</f>
        <v>0</v>
      </c>
      <c r="F26" s="15">
        <f>[24]Resumen!$F$25</f>
        <v>0</v>
      </c>
      <c r="G26" s="17">
        <f>[24]Resumen!$G$25</f>
        <v>0</v>
      </c>
      <c r="H26" s="18">
        <f>[24]Resumen!$H$25</f>
        <v>0</v>
      </c>
      <c r="I26" s="15">
        <f>[24]Resumen!$I$25</f>
        <v>0</v>
      </c>
      <c r="J26" s="16">
        <f>[24]Resumen!$J$25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[25]Resumen!$B$25</f>
        <v>0</v>
      </c>
      <c r="C27" s="15">
        <f>[25]Resumen!$C$25</f>
        <v>0</v>
      </c>
      <c r="D27" s="16">
        <f>[25]Resumen!$D$25</f>
        <v>0</v>
      </c>
      <c r="E27" s="14">
        <f>[25]Resumen!$E$25</f>
        <v>0</v>
      </c>
      <c r="F27" s="15">
        <f>[25]Resumen!$F$25</f>
        <v>0</v>
      </c>
      <c r="G27" s="17">
        <f>[25]Resumen!$G$25</f>
        <v>0</v>
      </c>
      <c r="H27" s="18">
        <f>[25]Resumen!$H$25</f>
        <v>0</v>
      </c>
      <c r="I27" s="15">
        <f>[25]Resumen!$I$25</f>
        <v>0</v>
      </c>
      <c r="J27" s="16">
        <f>[25]Resumen!$J$25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[26]Resumen!$B$25</f>
        <v>0</v>
      </c>
      <c r="C28" s="15">
        <f>[26]Resumen!$C$25</f>
        <v>0</v>
      </c>
      <c r="D28" s="16">
        <f>[26]Resumen!$D$25</f>
        <v>0</v>
      </c>
      <c r="E28" s="14">
        <f>[26]Resumen!$E$25</f>
        <v>0</v>
      </c>
      <c r="F28" s="15">
        <f>[26]Resumen!$F$25</f>
        <v>0</v>
      </c>
      <c r="G28" s="17">
        <f>[26]Resumen!$G$25</f>
        <v>0</v>
      </c>
      <c r="H28" s="18">
        <f>[26]Resumen!$H$25</f>
        <v>0</v>
      </c>
      <c r="I28" s="15">
        <f>[26]Resumen!$I$25</f>
        <v>0</v>
      </c>
      <c r="J28" s="16">
        <f>[26]Resumen!$J$25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[27]Resumen!$B$25</f>
        <v>0</v>
      </c>
      <c r="C29" s="15">
        <f>[27]Resumen!$C$25</f>
        <v>0</v>
      </c>
      <c r="D29" s="16">
        <f>[27]Resumen!$D$25</f>
        <v>0</v>
      </c>
      <c r="E29" s="14">
        <f>[27]Resumen!$E$25</f>
        <v>0</v>
      </c>
      <c r="F29" s="15">
        <f>[27]Resumen!$F$25</f>
        <v>0</v>
      </c>
      <c r="G29" s="17">
        <f>[27]Resumen!$G$25</f>
        <v>0</v>
      </c>
      <c r="H29" s="18">
        <f>[27]Resumen!$H$25</f>
        <v>0</v>
      </c>
      <c r="I29" s="15">
        <f>[27]Resumen!$I$25</f>
        <v>0</v>
      </c>
      <c r="J29" s="16">
        <f>[27]Resumen!$J$25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[28]Resumen!$B$25</f>
        <v>0</v>
      </c>
      <c r="C30" s="15">
        <f>[28]Resumen!$C$25</f>
        <v>0</v>
      </c>
      <c r="D30" s="16">
        <f>[28]Resumen!$D$25</f>
        <v>0</v>
      </c>
      <c r="E30" s="14">
        <f>[28]Resumen!$E$25</f>
        <v>0</v>
      </c>
      <c r="F30" s="15">
        <f>[28]Resumen!$F$25</f>
        <v>0</v>
      </c>
      <c r="G30" s="17">
        <f>[28]Resumen!$G$25</f>
        <v>0</v>
      </c>
      <c r="H30" s="18">
        <f>[28]Resumen!$H$25</f>
        <v>0</v>
      </c>
      <c r="I30" s="15">
        <f>[28]Resumen!$I$25</f>
        <v>0</v>
      </c>
      <c r="J30" s="16">
        <f>[28]Resumen!$J$25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[29]Resumen!$B$25</f>
        <v>0</v>
      </c>
      <c r="C31" s="15">
        <f>[29]Resumen!$C$25</f>
        <v>0</v>
      </c>
      <c r="D31" s="16">
        <f>[29]Resumen!$D$25</f>
        <v>0</v>
      </c>
      <c r="E31" s="14">
        <f>[29]Resumen!$E$25</f>
        <v>0</v>
      </c>
      <c r="F31" s="15">
        <f>[29]Resumen!$F$25</f>
        <v>0</v>
      </c>
      <c r="G31" s="17">
        <f>[29]Resumen!$G$25</f>
        <v>0</v>
      </c>
      <c r="H31" s="18">
        <f>[29]Resumen!$H$25</f>
        <v>0</v>
      </c>
      <c r="I31" s="15">
        <f>[29]Resumen!$I$25</f>
        <v>0</v>
      </c>
      <c r="J31" s="16">
        <f>[29]Resumen!$J$25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[30]Resumen!$B$25</f>
        <v>0</v>
      </c>
      <c r="C32" s="15">
        <f>[30]Resumen!$C$25</f>
        <v>0</v>
      </c>
      <c r="D32" s="16">
        <f>[30]Resumen!$D$25</f>
        <v>0</v>
      </c>
      <c r="E32" s="14">
        <f>[30]Resumen!$E$25</f>
        <v>0</v>
      </c>
      <c r="F32" s="15">
        <f>[30]Resumen!$F$25</f>
        <v>0</v>
      </c>
      <c r="G32" s="17">
        <f>[30]Resumen!$G$25</f>
        <v>0</v>
      </c>
      <c r="H32" s="18">
        <f>[30]Resumen!$H$25</f>
        <v>0</v>
      </c>
      <c r="I32" s="15">
        <f>[30]Resumen!$I$25</f>
        <v>0</v>
      </c>
      <c r="J32" s="16">
        <f>[30]Resumen!$J$25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[31]Resumen!$B$25</f>
        <v>0</v>
      </c>
      <c r="C33" s="15">
        <f>[31]Resumen!$C$25</f>
        <v>0</v>
      </c>
      <c r="D33" s="16">
        <f>[31]Resumen!$D$25</f>
        <v>0</v>
      </c>
      <c r="E33" s="14">
        <f>[31]Resumen!$E$25</f>
        <v>0</v>
      </c>
      <c r="F33" s="15">
        <f>[31]Resumen!$F$25</f>
        <v>0</v>
      </c>
      <c r="G33" s="17">
        <f>[31]Resumen!$G$25</f>
        <v>0</v>
      </c>
      <c r="H33" s="18">
        <f>[31]Resumen!$H$25</f>
        <v>0</v>
      </c>
      <c r="I33" s="15">
        <f>[31]Resumen!$I$25</f>
        <v>0</v>
      </c>
      <c r="J33" s="16">
        <f>[31]Resumen!$J$25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[10]Resumen!$B$25</f>
        <v>0</v>
      </c>
      <c r="C34" s="15">
        <f>[10]Resumen!$C$25</f>
        <v>0</v>
      </c>
      <c r="D34" s="16">
        <f>[10]Resumen!$D$25</f>
        <v>0</v>
      </c>
      <c r="E34" s="14">
        <f>[10]Resumen!$E$25</f>
        <v>0</v>
      </c>
      <c r="F34" s="15">
        <f>[10]Resumen!$F$25</f>
        <v>0</v>
      </c>
      <c r="G34" s="17">
        <f>[10]Resumen!$G$25</f>
        <v>0</v>
      </c>
      <c r="H34" s="18">
        <f>[10]Resumen!$H$25</f>
        <v>0</v>
      </c>
      <c r="I34" s="15">
        <f>[10]Resumen!$I$25</f>
        <v>0</v>
      </c>
      <c r="J34" s="16">
        <f>[10]Resumen!$J$25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+[11]Resumen!$B$25</f>
        <v>0</v>
      </c>
      <c r="C35" s="22">
        <f>+[11]Resumen!$C$25</f>
        <v>0</v>
      </c>
      <c r="D35" s="23">
        <f>+[11]Resumen!$D$25</f>
        <v>0</v>
      </c>
      <c r="E35" s="21">
        <f>+[11]Resumen!$E$25</f>
        <v>0</v>
      </c>
      <c r="F35" s="22">
        <f>+[11]Resumen!$F$25</f>
        <v>0</v>
      </c>
      <c r="G35" s="24">
        <f>+[11]Resumen!$G$25</f>
        <v>0</v>
      </c>
      <c r="H35" s="25">
        <f>+[11]Resumen!$H$25</f>
        <v>0</v>
      </c>
      <c r="I35" s="22">
        <f>+[11]Resumen!$I$25</f>
        <v>0</v>
      </c>
      <c r="J35" s="23">
        <f>+[11]Resumen!$J$25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>
      <selection activeCell="B5" sqref="B5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1406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74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14">
        <f>[1]Vendedor24!$J$4</f>
        <v>0</v>
      </c>
      <c r="C5" s="81">
        <f>[1]Vendedor24!$K$4</f>
        <v>0</v>
      </c>
      <c r="D5" s="82">
        <f>[1]Vendedor24!$L$4</f>
        <v>0</v>
      </c>
      <c r="E5" s="14">
        <f>[1]Vendedor24!$J$5</f>
        <v>0</v>
      </c>
      <c r="F5" s="81">
        <f>[1]Vendedor24!$K$5</f>
        <v>0</v>
      </c>
      <c r="G5" s="85">
        <f>[1]Vendedor24!$L$5</f>
        <v>0</v>
      </c>
      <c r="H5" s="19">
        <f>[1]Vendedor24!$J$6</f>
        <v>0</v>
      </c>
      <c r="I5" s="15">
        <f>[1]Vendedor24!$K$6</f>
        <v>0</v>
      </c>
      <c r="J5" s="17">
        <f>[1]Vendedor24!$L$6</f>
        <v>0</v>
      </c>
      <c r="K5" s="19">
        <f t="shared" ref="K5:K35" si="0">+B5+E5+H5</f>
        <v>0</v>
      </c>
      <c r="L5" s="15">
        <f>C5+F5+I5</f>
        <v>0</v>
      </c>
      <c r="M5" s="15">
        <f t="shared" ref="M5:M35" si="1">+D5+G5+J5</f>
        <v>0</v>
      </c>
      <c r="N5" s="15">
        <v>0</v>
      </c>
      <c r="O5" s="17">
        <f t="shared" ref="O5:O35" si="2">+K5-L5-M5+N5</f>
        <v>0</v>
      </c>
    </row>
    <row r="6" spans="1:15">
      <c r="A6" s="13" t="s">
        <v>50</v>
      </c>
      <c r="B6" s="14">
        <f>[2]Vendedor24!$J$4</f>
        <v>0</v>
      </c>
      <c r="C6" s="81">
        <f>[2]Vendedor24!$K$4</f>
        <v>0</v>
      </c>
      <c r="D6" s="82">
        <f>[2]Vendedor24!$L$4</f>
        <v>0</v>
      </c>
      <c r="E6" s="14">
        <f>[2]Vendedor24!$J$5</f>
        <v>0</v>
      </c>
      <c r="F6" s="81">
        <f>[2]Vendedor24!$K$5</f>
        <v>0</v>
      </c>
      <c r="G6" s="85">
        <f>[2]Vendedor24!$L$5</f>
        <v>0</v>
      </c>
      <c r="H6" s="19">
        <f>[2]Vendedor24!$J$6</f>
        <v>0</v>
      </c>
      <c r="I6" s="15">
        <f>[2]Vendedor24!$K$6</f>
        <v>0</v>
      </c>
      <c r="J6" s="17">
        <f>[2]Vendedor24!$L$6</f>
        <v>0</v>
      </c>
      <c r="K6" s="19">
        <f t="shared" si="0"/>
        <v>0</v>
      </c>
      <c r="L6" s="15">
        <f t="shared" ref="L6:L35" si="3">C6+F6+I6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[3]Vendedor24!$J$4</f>
        <v>0</v>
      </c>
      <c r="C7" s="81">
        <f>[3]Vendedor24!$K$4</f>
        <v>0</v>
      </c>
      <c r="D7" s="82">
        <f>[3]Vendedor24!$L$4</f>
        <v>0</v>
      </c>
      <c r="E7" s="14">
        <f>[3]Vendedor24!$J$5</f>
        <v>0</v>
      </c>
      <c r="F7" s="81">
        <f>[3]Vendedor24!$K$5</f>
        <v>0</v>
      </c>
      <c r="G7" s="85">
        <f>[3]Vendedor24!$L$5</f>
        <v>0</v>
      </c>
      <c r="H7" s="19">
        <f>[3]Vendedor24!$J$6</f>
        <v>0</v>
      </c>
      <c r="I7" s="15">
        <f>[3]Vendedor24!$K$6</f>
        <v>0</v>
      </c>
      <c r="J7" s="17">
        <f>[3]Vendedor24!$L$6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[4]Vendedor24!$J$4</f>
        <v>0</v>
      </c>
      <c r="C8" s="81">
        <f>[4]Vendedor24!$K$4</f>
        <v>0</v>
      </c>
      <c r="D8" s="82">
        <f>[4]Vendedor24!$L$4</f>
        <v>0</v>
      </c>
      <c r="E8" s="14">
        <f>[4]Vendedor24!$J$5</f>
        <v>0</v>
      </c>
      <c r="F8" s="81">
        <f>[4]Vendedor24!$K$5</f>
        <v>0</v>
      </c>
      <c r="G8" s="85">
        <f>[4]Vendedor24!$L$5</f>
        <v>0</v>
      </c>
      <c r="H8" s="19">
        <f>[4]Vendedor24!$J$6</f>
        <v>0</v>
      </c>
      <c r="I8" s="15">
        <f>[4]Vendedor24!$K$6</f>
        <v>0</v>
      </c>
      <c r="J8" s="17">
        <f>[4]Vendedor24!$L$6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[5]Vendedor24!$J$4</f>
        <v>0</v>
      </c>
      <c r="C9" s="81">
        <f>[5]Vendedor24!$K$4</f>
        <v>0</v>
      </c>
      <c r="D9" s="82">
        <f>[5]Vendedor24!$L$4</f>
        <v>0</v>
      </c>
      <c r="E9" s="14">
        <f>[5]Vendedor24!$J$5</f>
        <v>0</v>
      </c>
      <c r="F9" s="81">
        <f>[5]Vendedor24!$K$5</f>
        <v>0</v>
      </c>
      <c r="G9" s="85">
        <f>[5]Vendedor24!$L$5</f>
        <v>0</v>
      </c>
      <c r="H9" s="19">
        <f>[5]Vendedor24!$J$6</f>
        <v>0</v>
      </c>
      <c r="I9" s="15">
        <f>[5]Vendedor24!$K$6</f>
        <v>0</v>
      </c>
      <c r="J9" s="17">
        <f>[5]Vendedor24!$L$6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[6]Vendedor24!$J$4</f>
        <v>0</v>
      </c>
      <c r="C10" s="81">
        <f>[6]Vendedor24!$K$4</f>
        <v>0</v>
      </c>
      <c r="D10" s="82">
        <f>[6]Vendedor24!$L$4</f>
        <v>0</v>
      </c>
      <c r="E10" s="14">
        <f>[6]Vendedor24!$J$5</f>
        <v>0</v>
      </c>
      <c r="F10" s="81">
        <f>[6]Vendedor24!$K$5</f>
        <v>0</v>
      </c>
      <c r="G10" s="85">
        <f>[6]Vendedor24!$L$5</f>
        <v>0</v>
      </c>
      <c r="H10" s="19">
        <f>[6]Vendedor24!$J$6</f>
        <v>0</v>
      </c>
      <c r="I10" s="15">
        <f>[6]Vendedor24!$K$6</f>
        <v>0</v>
      </c>
      <c r="J10" s="17">
        <f>[6]Vendedor24!$L$6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[7]Vendedor24!$J$4</f>
        <v>0</v>
      </c>
      <c r="C11" s="81">
        <f>[7]Vendedor24!$K$4</f>
        <v>0</v>
      </c>
      <c r="D11" s="82">
        <f>[7]Vendedor24!$L$4</f>
        <v>0</v>
      </c>
      <c r="E11" s="14">
        <f>[7]Vendedor24!$J$5</f>
        <v>0</v>
      </c>
      <c r="F11" s="81">
        <f>[7]Vendedor24!$K$5</f>
        <v>0</v>
      </c>
      <c r="G11" s="85">
        <f>[7]Vendedor24!$L$5</f>
        <v>0</v>
      </c>
      <c r="H11" s="19">
        <f>[7]Vendedor24!$J$6</f>
        <v>0</v>
      </c>
      <c r="I11" s="15">
        <f>[7]Vendedor24!$K$6</f>
        <v>0</v>
      </c>
      <c r="J11" s="17">
        <f>[7]Vendedor24!$L$6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[8]Vendedor24!$J$4</f>
        <v>0</v>
      </c>
      <c r="C12" s="81">
        <f>[8]Vendedor24!$K$4</f>
        <v>0</v>
      </c>
      <c r="D12" s="82">
        <f>[8]Vendedor24!$L$4</f>
        <v>0</v>
      </c>
      <c r="E12" s="14">
        <f>[8]Vendedor24!$J$5</f>
        <v>0</v>
      </c>
      <c r="F12" s="81">
        <f>[8]Vendedor24!$K$5</f>
        <v>0</v>
      </c>
      <c r="G12" s="85">
        <f>[8]Vendedor24!$L$5</f>
        <v>0</v>
      </c>
      <c r="H12" s="19">
        <f>[8]Vendedor24!$J$6</f>
        <v>0</v>
      </c>
      <c r="I12" s="15">
        <f>[8]Vendedor24!$K$6</f>
        <v>0</v>
      </c>
      <c r="J12" s="17">
        <f>[8]Vendedor24!$L$6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[9]Vendedor24!$J$4</f>
        <v>0</v>
      </c>
      <c r="C13" s="81">
        <f>[9]Vendedor24!$K$4</f>
        <v>0</v>
      </c>
      <c r="D13" s="82">
        <f>[9]Vendedor24!$L$4</f>
        <v>0</v>
      </c>
      <c r="E13" s="14">
        <f>[9]Vendedor24!$J$5</f>
        <v>0</v>
      </c>
      <c r="F13" s="81">
        <f>[9]Vendedor24!$K$5</f>
        <v>0</v>
      </c>
      <c r="G13" s="85">
        <f>[9]Vendedor24!$L$5</f>
        <v>0</v>
      </c>
      <c r="H13" s="19">
        <f>[9]Vendedor24!$J$6</f>
        <v>0</v>
      </c>
      <c r="I13" s="15">
        <f>[9]Vendedor24!$K$6</f>
        <v>0</v>
      </c>
      <c r="J13" s="17">
        <f>[9]Vendedor24!$L$6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[12]Vendedor24!$J$4</f>
        <v>100</v>
      </c>
      <c r="C14" s="81">
        <f>[12]Vendedor24!$K$4</f>
        <v>8500</v>
      </c>
      <c r="D14" s="82">
        <f>[12]Vendedor24!$L$4</f>
        <v>0</v>
      </c>
      <c r="E14" s="14">
        <f>[12]Vendedor24!$J$5</f>
        <v>0</v>
      </c>
      <c r="F14" s="81">
        <f>[12]Vendedor24!$K$5</f>
        <v>0</v>
      </c>
      <c r="G14" s="85">
        <f>[12]Vendedor24!$L$5</f>
        <v>0</v>
      </c>
      <c r="H14" s="19">
        <f>[12]Vendedor24!$J$6</f>
        <v>0</v>
      </c>
      <c r="I14" s="15">
        <f>[12]Vendedor24!$K$6</f>
        <v>0</v>
      </c>
      <c r="J14" s="17">
        <f>[12]Vendedor24!$L$6</f>
        <v>0</v>
      </c>
      <c r="K14" s="19">
        <f t="shared" si="0"/>
        <v>100</v>
      </c>
      <c r="L14" s="15">
        <f t="shared" si="3"/>
        <v>8500</v>
      </c>
      <c r="M14" s="15">
        <f t="shared" si="1"/>
        <v>0</v>
      </c>
      <c r="N14" s="15">
        <v>0</v>
      </c>
      <c r="O14" s="17">
        <f t="shared" si="2"/>
        <v>-8400</v>
      </c>
    </row>
    <row r="15" spans="1:15">
      <c r="A15" s="20" t="s">
        <v>25</v>
      </c>
      <c r="B15" s="14">
        <f>[13]Vendedor24!$J$4</f>
        <v>0</v>
      </c>
      <c r="C15" s="81">
        <f>[13]Vendedor24!$K$4</f>
        <v>0</v>
      </c>
      <c r="D15" s="82">
        <f>[13]Vendedor24!$L$4</f>
        <v>0</v>
      </c>
      <c r="E15" s="14">
        <f>[13]Vendedor24!$J$5</f>
        <v>0</v>
      </c>
      <c r="F15" s="81">
        <f>[13]Vendedor24!$K$5</f>
        <v>0</v>
      </c>
      <c r="G15" s="85">
        <f>[13]Vendedor24!$L$5</f>
        <v>0</v>
      </c>
      <c r="H15" s="19">
        <f>[13]Vendedor24!$J$6</f>
        <v>0</v>
      </c>
      <c r="I15" s="15">
        <f>[13]Vendedor24!$K$6</f>
        <v>0</v>
      </c>
      <c r="J15" s="17">
        <f>[13]Vendedor24!$L$6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[14]Vendedor24!$J$4</f>
        <v>0</v>
      </c>
      <c r="C16" s="81">
        <f>[14]Vendedor24!$K$4</f>
        <v>0</v>
      </c>
      <c r="D16" s="82">
        <f>[14]Vendedor24!$L$4</f>
        <v>0</v>
      </c>
      <c r="E16" s="14">
        <f>[14]Vendedor24!$J$5</f>
        <v>0</v>
      </c>
      <c r="F16" s="81">
        <f>[14]Vendedor24!$K$5</f>
        <v>0</v>
      </c>
      <c r="G16" s="85">
        <f>[14]Vendedor24!$L$5</f>
        <v>0</v>
      </c>
      <c r="H16" s="19">
        <f>[14]Vendedor24!$J$6</f>
        <v>0</v>
      </c>
      <c r="I16" s="15">
        <f>[14]Vendedor24!$K$6</f>
        <v>0</v>
      </c>
      <c r="J16" s="17">
        <f>[14]Vendedor24!$L$6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[15]Vendedor24!$J$4</f>
        <v>0</v>
      </c>
      <c r="C17" s="81">
        <f>[15]Vendedor24!$K$4</f>
        <v>0</v>
      </c>
      <c r="D17" s="82">
        <f>[15]Vendedor24!$L$4</f>
        <v>0</v>
      </c>
      <c r="E17" s="14">
        <f>[15]Vendedor24!$J$5</f>
        <v>0</v>
      </c>
      <c r="F17" s="81">
        <f>[15]Vendedor24!$K$5</f>
        <v>0</v>
      </c>
      <c r="G17" s="85">
        <f>[15]Vendedor24!$L$5</f>
        <v>0</v>
      </c>
      <c r="H17" s="19">
        <f>[15]Vendedor24!$J$6</f>
        <v>0</v>
      </c>
      <c r="I17" s="15">
        <f>[15]Vendedor24!$K$6</f>
        <v>0</v>
      </c>
      <c r="J17" s="17">
        <f>[15]Vendedor24!$L$6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[16]Vendedor24!$J$4</f>
        <v>0</v>
      </c>
      <c r="C18" s="81">
        <f>[16]Vendedor24!$K$4</f>
        <v>0</v>
      </c>
      <c r="D18" s="82">
        <f>[16]Vendedor24!$L$4</f>
        <v>0</v>
      </c>
      <c r="E18" s="14">
        <f>[16]Vendedor24!$J$5</f>
        <v>0</v>
      </c>
      <c r="F18" s="81">
        <f>[16]Vendedor24!$K$5</f>
        <v>0</v>
      </c>
      <c r="G18" s="85">
        <f>[16]Vendedor24!$L$5</f>
        <v>0</v>
      </c>
      <c r="H18" s="19">
        <f>[16]Vendedor24!$J$6</f>
        <v>0</v>
      </c>
      <c r="I18" s="15">
        <f>[16]Vendedor24!$K$6</f>
        <v>0</v>
      </c>
      <c r="J18" s="17">
        <f>[16]Vendedor24!$L$6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[17]Vendedor24!$J$4</f>
        <v>0</v>
      </c>
      <c r="C19" s="81">
        <f>[17]Vendedor24!$K$4</f>
        <v>0</v>
      </c>
      <c r="D19" s="82">
        <f>[17]Vendedor24!$L$4</f>
        <v>0</v>
      </c>
      <c r="E19" s="14">
        <f>[17]Vendedor24!$J$5</f>
        <v>0</v>
      </c>
      <c r="F19" s="81">
        <f>[17]Vendedor24!$K$5</f>
        <v>0</v>
      </c>
      <c r="G19" s="85">
        <f>[17]Vendedor24!$L$5</f>
        <v>0</v>
      </c>
      <c r="H19" s="19">
        <f>[17]Vendedor24!$J$6</f>
        <v>0</v>
      </c>
      <c r="I19" s="15">
        <f>[17]Vendedor24!$K$6</f>
        <v>0</v>
      </c>
      <c r="J19" s="17">
        <f>[17]Vendedor24!$L$6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[18]Vendedor24!$J$4</f>
        <v>0</v>
      </c>
      <c r="C20" s="81">
        <f>[18]Vendedor24!$K$4</f>
        <v>0</v>
      </c>
      <c r="D20" s="82">
        <f>[18]Vendedor24!$L$4</f>
        <v>0</v>
      </c>
      <c r="E20" s="14">
        <f>[18]Vendedor24!$J$5</f>
        <v>0</v>
      </c>
      <c r="F20" s="81">
        <f>[18]Vendedor24!$K$5</f>
        <v>0</v>
      </c>
      <c r="G20" s="85">
        <f>[18]Vendedor24!$L$5</f>
        <v>0</v>
      </c>
      <c r="H20" s="19">
        <f>[18]Vendedor24!$J$6</f>
        <v>0</v>
      </c>
      <c r="I20" s="15">
        <f>[18]Vendedor24!$K$6</f>
        <v>0</v>
      </c>
      <c r="J20" s="17">
        <f>[18]Vendedor24!$L$6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[19]Vendedor24!$J$4</f>
        <v>0</v>
      </c>
      <c r="C21" s="81">
        <f>[19]Vendedor24!$K$4</f>
        <v>0</v>
      </c>
      <c r="D21" s="82">
        <f>[19]Vendedor24!$L$4</f>
        <v>0</v>
      </c>
      <c r="E21" s="14">
        <f>[19]Vendedor24!$J$5</f>
        <v>0</v>
      </c>
      <c r="F21" s="81">
        <f>[19]Vendedor24!$K$5</f>
        <v>0</v>
      </c>
      <c r="G21" s="85">
        <f>[19]Vendedor24!$L$5</f>
        <v>0</v>
      </c>
      <c r="H21" s="19">
        <f>[19]Vendedor24!$J$6</f>
        <v>0</v>
      </c>
      <c r="I21" s="15">
        <f>[19]Vendedor24!$K$6</f>
        <v>0</v>
      </c>
      <c r="J21" s="17">
        <f>[19]Vendedor24!$L$6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[20]Vendedor24!$J$4</f>
        <v>0</v>
      </c>
      <c r="C22" s="81">
        <f>[20]Vendedor24!$K$4</f>
        <v>0</v>
      </c>
      <c r="D22" s="82">
        <f>[20]Vendedor24!$L$4</f>
        <v>0</v>
      </c>
      <c r="E22" s="14">
        <f>[20]Vendedor24!$J$5</f>
        <v>0</v>
      </c>
      <c r="F22" s="81">
        <f>[20]Vendedor24!$K$5</f>
        <v>0</v>
      </c>
      <c r="G22" s="85">
        <f>[20]Vendedor24!$L$5</f>
        <v>0</v>
      </c>
      <c r="H22" s="19">
        <f>[20]Vendedor24!$J$6</f>
        <v>0</v>
      </c>
      <c r="I22" s="15">
        <f>[20]Vendedor24!$K$6</f>
        <v>0</v>
      </c>
      <c r="J22" s="17">
        <f>[20]Vendedor24!$L$6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[21]Vendedor24!$J$4</f>
        <v>0</v>
      </c>
      <c r="C23" s="81">
        <f>[21]Vendedor24!$K$4</f>
        <v>0</v>
      </c>
      <c r="D23" s="82">
        <f>[21]Vendedor24!$L$4</f>
        <v>0</v>
      </c>
      <c r="E23" s="14">
        <f>[21]Vendedor24!$J$5</f>
        <v>0</v>
      </c>
      <c r="F23" s="81">
        <f>[21]Vendedor24!$K$5</f>
        <v>0</v>
      </c>
      <c r="G23" s="85">
        <f>[21]Vendedor24!$L$5</f>
        <v>0</v>
      </c>
      <c r="H23" s="19">
        <f>[21]Vendedor24!$J$6</f>
        <v>0</v>
      </c>
      <c r="I23" s="15">
        <f>[21]Vendedor24!$K$6</f>
        <v>0</v>
      </c>
      <c r="J23" s="17">
        <f>[21]Vendedor24!$L$6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[22]Vendedor24!$J$4</f>
        <v>0</v>
      </c>
      <c r="C24" s="81">
        <f>[22]Vendedor24!$K$4</f>
        <v>0</v>
      </c>
      <c r="D24" s="82">
        <f>[22]Vendedor24!$L$4</f>
        <v>0</v>
      </c>
      <c r="E24" s="14">
        <f>[22]Vendedor24!$J$5</f>
        <v>0</v>
      </c>
      <c r="F24" s="81">
        <f>[22]Vendedor24!$K$5</f>
        <v>0</v>
      </c>
      <c r="G24" s="85">
        <f>[22]Vendedor24!$L$5</f>
        <v>0</v>
      </c>
      <c r="H24" s="19">
        <f>[22]Vendedor24!$J$6</f>
        <v>0</v>
      </c>
      <c r="I24" s="15">
        <f>[22]Vendedor24!$K$6</f>
        <v>0</v>
      </c>
      <c r="J24" s="17">
        <f>[22]Vendedor24!$L$6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[23]Vendedor24!$J$4</f>
        <v>0</v>
      </c>
      <c r="C25" s="81">
        <f>[23]Vendedor24!$K$4</f>
        <v>0</v>
      </c>
      <c r="D25" s="82">
        <f>[23]Vendedor24!$L$4</f>
        <v>0</v>
      </c>
      <c r="E25" s="14">
        <f>[23]Vendedor24!$J$5</f>
        <v>0</v>
      </c>
      <c r="F25" s="81">
        <f>[23]Vendedor24!$K$5</f>
        <v>0</v>
      </c>
      <c r="G25" s="85">
        <f>[23]Vendedor24!$L$5</f>
        <v>0</v>
      </c>
      <c r="H25" s="19">
        <f>[23]Vendedor24!$J$6</f>
        <v>0</v>
      </c>
      <c r="I25" s="15">
        <f>[23]Vendedor24!$K$6</f>
        <v>0</v>
      </c>
      <c r="J25" s="17">
        <f>[23]Vendedor24!$L$6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[24]Vendedor24!$J$4</f>
        <v>0</v>
      </c>
      <c r="C26" s="81">
        <f>[24]Vendedor24!$K$4</f>
        <v>0</v>
      </c>
      <c r="D26" s="82">
        <f>[24]Vendedor24!$L$4</f>
        <v>0</v>
      </c>
      <c r="E26" s="14">
        <f>[24]Vendedor24!$J$5</f>
        <v>0</v>
      </c>
      <c r="F26" s="81">
        <f>[24]Vendedor24!$K$5</f>
        <v>0</v>
      </c>
      <c r="G26" s="85">
        <f>[24]Vendedor24!$L$5</f>
        <v>0</v>
      </c>
      <c r="H26" s="19">
        <f>[24]Vendedor24!$J$6</f>
        <v>0</v>
      </c>
      <c r="I26" s="15">
        <f>[24]Vendedor24!$K$6</f>
        <v>0</v>
      </c>
      <c r="J26" s="17">
        <f>[24]Vendedor24!$L$6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[25]Vendedor24!$J$4</f>
        <v>0</v>
      </c>
      <c r="C27" s="81">
        <f>[25]Vendedor24!$K$4</f>
        <v>0</v>
      </c>
      <c r="D27" s="82">
        <f>[25]Vendedor24!$L$4</f>
        <v>0</v>
      </c>
      <c r="E27" s="14">
        <f>[25]Vendedor24!$J$5</f>
        <v>0</v>
      </c>
      <c r="F27" s="81">
        <f>[25]Vendedor24!$K$5</f>
        <v>0</v>
      </c>
      <c r="G27" s="85">
        <f>[25]Vendedor24!$L$5</f>
        <v>0</v>
      </c>
      <c r="H27" s="19">
        <f>[25]Vendedor24!$J$6</f>
        <v>0</v>
      </c>
      <c r="I27" s="15">
        <f>[25]Vendedor24!$K$6</f>
        <v>0</v>
      </c>
      <c r="J27" s="17">
        <f>[25]Vendedor24!$L$6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[26]Vendedor24!$J$4</f>
        <v>0</v>
      </c>
      <c r="C28" s="81">
        <f>[26]Vendedor24!$K$4</f>
        <v>0</v>
      </c>
      <c r="D28" s="82">
        <f>[26]Vendedor24!$L$4</f>
        <v>0</v>
      </c>
      <c r="E28" s="14">
        <f>[26]Vendedor24!$J$5</f>
        <v>0</v>
      </c>
      <c r="F28" s="81">
        <f>[26]Vendedor24!$K$5</f>
        <v>0</v>
      </c>
      <c r="G28" s="85">
        <f>[26]Vendedor24!$L$5</f>
        <v>0</v>
      </c>
      <c r="H28" s="19">
        <f>[26]Vendedor24!$J$6</f>
        <v>0</v>
      </c>
      <c r="I28" s="15">
        <f>[26]Vendedor24!$K$6</f>
        <v>0</v>
      </c>
      <c r="J28" s="17">
        <f>[26]Vendedor24!$L$6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[27]Vendedor24!$J$4</f>
        <v>0</v>
      </c>
      <c r="C29" s="81">
        <f>[27]Vendedor24!$K$4</f>
        <v>0</v>
      </c>
      <c r="D29" s="82">
        <f>[27]Vendedor24!$L$4</f>
        <v>0</v>
      </c>
      <c r="E29" s="14">
        <f>[27]Vendedor24!$J$5</f>
        <v>0</v>
      </c>
      <c r="F29" s="81">
        <f>[27]Vendedor24!$K$5</f>
        <v>0</v>
      </c>
      <c r="G29" s="85">
        <f>[27]Vendedor24!$L$5</f>
        <v>0</v>
      </c>
      <c r="H29" s="19">
        <f>[27]Vendedor24!$J$6</f>
        <v>0</v>
      </c>
      <c r="I29" s="15">
        <f>[27]Vendedor24!$K$6</f>
        <v>0</v>
      </c>
      <c r="J29" s="17">
        <f>[27]Vendedor24!$L$6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[28]Vendedor24!$J$4</f>
        <v>0</v>
      </c>
      <c r="C30" s="81">
        <f>[28]Vendedor24!$K$4</f>
        <v>0</v>
      </c>
      <c r="D30" s="82">
        <f>[28]Vendedor24!$L$4</f>
        <v>0</v>
      </c>
      <c r="E30" s="14">
        <f>[28]Vendedor24!$J$5</f>
        <v>0</v>
      </c>
      <c r="F30" s="81">
        <f>[28]Vendedor24!$K$5</f>
        <v>0</v>
      </c>
      <c r="G30" s="85">
        <f>[28]Vendedor24!$L$5</f>
        <v>0</v>
      </c>
      <c r="H30" s="19">
        <f>[28]Vendedor24!$J$6</f>
        <v>0</v>
      </c>
      <c r="I30" s="15">
        <f>[28]Vendedor24!$K$6</f>
        <v>0</v>
      </c>
      <c r="J30" s="17">
        <f>[28]Vendedor24!$L$6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[29]Vendedor24!$J$4</f>
        <v>0</v>
      </c>
      <c r="C31" s="81">
        <f>[29]Vendedor24!$K$4</f>
        <v>0</v>
      </c>
      <c r="D31" s="82">
        <f>[29]Vendedor24!$L$4</f>
        <v>0</v>
      </c>
      <c r="E31" s="14">
        <f>[29]Vendedor24!$J$5</f>
        <v>0</v>
      </c>
      <c r="F31" s="81">
        <f>[29]Vendedor24!$K$5</f>
        <v>0</v>
      </c>
      <c r="G31" s="85">
        <f>[29]Vendedor24!$L$5</f>
        <v>0</v>
      </c>
      <c r="H31" s="19">
        <f>[29]Vendedor24!$J$6</f>
        <v>0</v>
      </c>
      <c r="I31" s="15">
        <f>[29]Vendedor24!$K$6</f>
        <v>0</v>
      </c>
      <c r="J31" s="17">
        <f>[29]Vendedor24!$L$6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[30]Vendedor24!$J$4</f>
        <v>0</v>
      </c>
      <c r="C32" s="81">
        <f>[30]Vendedor24!$K$4</f>
        <v>0</v>
      </c>
      <c r="D32" s="82">
        <f>[30]Vendedor24!$L$4</f>
        <v>0</v>
      </c>
      <c r="E32" s="14">
        <f>[30]Vendedor24!$J$5</f>
        <v>0</v>
      </c>
      <c r="F32" s="81">
        <f>[30]Vendedor24!$K$5</f>
        <v>0</v>
      </c>
      <c r="G32" s="85">
        <f>[30]Vendedor24!$L$5</f>
        <v>0</v>
      </c>
      <c r="H32" s="19">
        <f>[30]Vendedor24!$J$6</f>
        <v>0</v>
      </c>
      <c r="I32" s="15">
        <f>[30]Vendedor24!$K$6</f>
        <v>0</v>
      </c>
      <c r="J32" s="17">
        <f>[30]Vendedor24!$L$6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[31]Vendedor24!$J$4</f>
        <v>0</v>
      </c>
      <c r="C33" s="81">
        <f>[31]Vendedor24!$K$4</f>
        <v>0</v>
      </c>
      <c r="D33" s="82">
        <f>[31]Vendedor24!$L$4</f>
        <v>0</v>
      </c>
      <c r="E33" s="14">
        <f>[31]Vendedor24!$J$5</f>
        <v>0</v>
      </c>
      <c r="F33" s="81">
        <f>[31]Vendedor24!$K$5</f>
        <v>0</v>
      </c>
      <c r="G33" s="85">
        <f>[31]Vendedor24!$L$5</f>
        <v>0</v>
      </c>
      <c r="H33" s="19">
        <f>[31]Vendedor24!$J$6</f>
        <v>0</v>
      </c>
      <c r="I33" s="15">
        <f>[31]Vendedor24!$K$6</f>
        <v>0</v>
      </c>
      <c r="J33" s="17">
        <f>[31]Vendedor24!$L$6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[10]Vendedor24!$J$4</f>
        <v>0</v>
      </c>
      <c r="C34" s="81">
        <f>[10]Vendedor24!$K$4</f>
        <v>0</v>
      </c>
      <c r="D34" s="82">
        <f>[10]Vendedor24!$L$4</f>
        <v>0</v>
      </c>
      <c r="E34" s="14">
        <f>[10]Vendedor24!$J$5</f>
        <v>0</v>
      </c>
      <c r="F34" s="81">
        <f>[10]Vendedor24!$K$5</f>
        <v>0</v>
      </c>
      <c r="G34" s="85">
        <f>[10]Vendedor24!$L$5</f>
        <v>0</v>
      </c>
      <c r="H34" s="19">
        <f>[10]Vendedor24!$J$6</f>
        <v>0</v>
      </c>
      <c r="I34" s="15">
        <f>[10]Vendedor24!$K$6</f>
        <v>0</v>
      </c>
      <c r="J34" s="17">
        <f>[10]Vendedor24!$L$6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[11]Vendedor24!$J$4</f>
        <v>0</v>
      </c>
      <c r="C35" s="83">
        <f>[11]Vendedor24!$K$4</f>
        <v>0</v>
      </c>
      <c r="D35" s="84">
        <f>[11]Vendedor24!$L$4</f>
        <v>0</v>
      </c>
      <c r="E35" s="21">
        <f>[11]Vendedor24!$J$5</f>
        <v>0</v>
      </c>
      <c r="F35" s="83">
        <f>[11]Vendedor24!$K$5</f>
        <v>0</v>
      </c>
      <c r="G35" s="86">
        <f>[11]Vendedor24!$L$5</f>
        <v>0</v>
      </c>
      <c r="H35" s="26">
        <f>[11]Vendedor24!$J$6</f>
        <v>0</v>
      </c>
      <c r="I35" s="22">
        <f>[11]Vendedor24!$K$6</f>
        <v>0</v>
      </c>
      <c r="J35" s="24">
        <f>[11]Vendedor24!$L$6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100</v>
      </c>
      <c r="C36" s="28">
        <f t="shared" si="4"/>
        <v>8500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100</v>
      </c>
      <c r="L36" s="28">
        <f t="shared" si="4"/>
        <v>8500</v>
      </c>
      <c r="M36" s="28">
        <f t="shared" si="4"/>
        <v>0</v>
      </c>
      <c r="N36" s="32">
        <f t="shared" si="4"/>
        <v>0</v>
      </c>
      <c r="O36" s="33">
        <f t="shared" si="4"/>
        <v>-8400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>
      <selection activeCell="B8" sqref="B8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1406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104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[1]Resumen!$B$27</f>
        <v>0</v>
      </c>
      <c r="C5" s="58">
        <f>[1]Resumen!$C$27</f>
        <v>0</v>
      </c>
      <c r="D5" s="54">
        <f>[1]Resumen!$D$27</f>
        <v>0</v>
      </c>
      <c r="E5" s="53">
        <f>[1]Resumen!$E$27</f>
        <v>0</v>
      </c>
      <c r="F5" s="58">
        <f>[1]Resumen!$F$27</f>
        <v>0</v>
      </c>
      <c r="G5" s="55">
        <f>[1]Resumen!$G$27</f>
        <v>0</v>
      </c>
      <c r="H5" s="61">
        <f>[1]Resumen!$H$27</f>
        <v>0</v>
      </c>
      <c r="I5" s="58">
        <f>[1]Resumen!$I$27</f>
        <v>0</v>
      </c>
      <c r="J5" s="54">
        <f>[1]Resumen!$J$27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[2]Resumen!$B$27</f>
        <v>0</v>
      </c>
      <c r="C6" s="15">
        <f>[2]Resumen!$C$27</f>
        <v>0</v>
      </c>
      <c r="D6" s="16">
        <f>[2]Resumen!$D$27</f>
        <v>0</v>
      </c>
      <c r="E6" s="14">
        <f>[2]Resumen!$E$27</f>
        <v>0</v>
      </c>
      <c r="F6" s="15">
        <f>[2]Resumen!$F$27</f>
        <v>0</v>
      </c>
      <c r="G6" s="17">
        <f>[2]Resumen!$G$27</f>
        <v>0</v>
      </c>
      <c r="H6" s="18">
        <f>[2]Resumen!$H$27</f>
        <v>0</v>
      </c>
      <c r="I6" s="15">
        <f>[2]Resumen!$I$27</f>
        <v>0</v>
      </c>
      <c r="J6" s="16">
        <f>[2]Resumen!$J$27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[3]Resumen!$B$27</f>
        <v>0</v>
      </c>
      <c r="C7" s="15">
        <f>[3]Resumen!$C$27</f>
        <v>0</v>
      </c>
      <c r="D7" s="16">
        <f>[3]Resumen!$D$27</f>
        <v>0</v>
      </c>
      <c r="E7" s="14">
        <f>[3]Resumen!$E$27</f>
        <v>0</v>
      </c>
      <c r="F7" s="15">
        <f>[3]Resumen!$F$27</f>
        <v>0</v>
      </c>
      <c r="G7" s="17">
        <f>[3]Resumen!$G$27</f>
        <v>0</v>
      </c>
      <c r="H7" s="18">
        <f>[3]Resumen!$H$27</f>
        <v>0</v>
      </c>
      <c r="I7" s="15">
        <f>[3]Resumen!$I$27</f>
        <v>0</v>
      </c>
      <c r="J7" s="16">
        <f>[3]Resumen!$J$27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[4]Resumen!$B$27</f>
        <v>0</v>
      </c>
      <c r="C8" s="15">
        <f>[4]Resumen!$C$27</f>
        <v>0</v>
      </c>
      <c r="D8" s="16">
        <f>[4]Resumen!$D$27</f>
        <v>0</v>
      </c>
      <c r="E8" s="14">
        <f>[4]Resumen!$E$27</f>
        <v>0</v>
      </c>
      <c r="F8" s="15">
        <f>[4]Resumen!$F$27</f>
        <v>0</v>
      </c>
      <c r="G8" s="17">
        <f>[4]Resumen!$G$27</f>
        <v>0</v>
      </c>
      <c r="H8" s="18">
        <f>[4]Resumen!$H$27</f>
        <v>0</v>
      </c>
      <c r="I8" s="15">
        <f>[4]Resumen!$I$27</f>
        <v>0</v>
      </c>
      <c r="J8" s="16">
        <f>[4]Resumen!$J$27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[5]Resumen!$B$27</f>
        <v>0</v>
      </c>
      <c r="C9" s="15">
        <f>[5]Resumen!$C$27</f>
        <v>0</v>
      </c>
      <c r="D9" s="16">
        <f>[5]Resumen!$D$27</f>
        <v>0</v>
      </c>
      <c r="E9" s="14">
        <f>[5]Resumen!$E$27</f>
        <v>0</v>
      </c>
      <c r="F9" s="15">
        <f>[5]Resumen!$F$27</f>
        <v>0</v>
      </c>
      <c r="G9" s="17">
        <f>[5]Resumen!$G$27</f>
        <v>0</v>
      </c>
      <c r="H9" s="18">
        <f>[5]Resumen!$H$27</f>
        <v>0</v>
      </c>
      <c r="I9" s="15">
        <f>[5]Resumen!$I$27</f>
        <v>0</v>
      </c>
      <c r="J9" s="16">
        <f>[5]Resumen!$J$27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[6]Resumen!$B$27</f>
        <v>0</v>
      </c>
      <c r="C10" s="15">
        <f>[6]Resumen!$C$27</f>
        <v>0</v>
      </c>
      <c r="D10" s="16">
        <f>[6]Resumen!$D$27</f>
        <v>0</v>
      </c>
      <c r="E10" s="14">
        <f>[6]Resumen!$E$27</f>
        <v>0</v>
      </c>
      <c r="F10" s="15">
        <f>[6]Resumen!$F$27</f>
        <v>0</v>
      </c>
      <c r="G10" s="17">
        <f>[6]Resumen!$G$27</f>
        <v>0</v>
      </c>
      <c r="H10" s="18">
        <f>[6]Resumen!$H$27</f>
        <v>0</v>
      </c>
      <c r="I10" s="15">
        <f>[6]Resumen!$I$27</f>
        <v>0</v>
      </c>
      <c r="J10" s="16">
        <f>[6]Resumen!$J$27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[7]Resumen!$B$27</f>
        <v>0</v>
      </c>
      <c r="C11" s="15">
        <f>[7]Resumen!$C$27</f>
        <v>0</v>
      </c>
      <c r="D11" s="16">
        <f>[7]Resumen!$D$27</f>
        <v>0</v>
      </c>
      <c r="E11" s="14">
        <f>[7]Resumen!$E$27</f>
        <v>0</v>
      </c>
      <c r="F11" s="15">
        <f>[7]Resumen!$F$27</f>
        <v>0</v>
      </c>
      <c r="G11" s="17">
        <f>[7]Resumen!$G$27</f>
        <v>0</v>
      </c>
      <c r="H11" s="18">
        <f>[7]Resumen!$H$27</f>
        <v>0</v>
      </c>
      <c r="I11" s="15">
        <f>[7]Resumen!$I$27</f>
        <v>0</v>
      </c>
      <c r="J11" s="16">
        <f>[7]Resumen!$J$27</f>
        <v>0</v>
      </c>
      <c r="K11" s="19">
        <f t="shared" si="0"/>
        <v>0</v>
      </c>
      <c r="L11" s="15">
        <f>IFERROR(MROUND(C11+F11+I11,50),MROUND(C11+F11+I11,-50))</f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[8]Resumen!$B$27</f>
        <v>0</v>
      </c>
      <c r="C12" s="15">
        <f>[8]Resumen!$C$27</f>
        <v>0</v>
      </c>
      <c r="D12" s="16">
        <f>[8]Resumen!$D$27</f>
        <v>0</v>
      </c>
      <c r="E12" s="14">
        <f>[8]Resumen!$E$27</f>
        <v>0</v>
      </c>
      <c r="F12" s="15">
        <f>[8]Resumen!$F$27</f>
        <v>0</v>
      </c>
      <c r="G12" s="17">
        <f>[8]Resumen!$G$27</f>
        <v>0</v>
      </c>
      <c r="H12" s="18">
        <f>[8]Resumen!$H$27</f>
        <v>0</v>
      </c>
      <c r="I12" s="15">
        <f>[8]Resumen!$I$27</f>
        <v>0</v>
      </c>
      <c r="J12" s="16">
        <f>[8]Resumen!$J$27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[9]Resumen!$B$27</f>
        <v>0</v>
      </c>
      <c r="C13" s="15">
        <f>[9]Resumen!$C$27</f>
        <v>0</v>
      </c>
      <c r="D13" s="16">
        <f>[9]Resumen!$D$27</f>
        <v>0</v>
      </c>
      <c r="E13" s="14">
        <f>[9]Resumen!$E$27</f>
        <v>0</v>
      </c>
      <c r="F13" s="15">
        <f>[9]Resumen!$F$27</f>
        <v>0</v>
      </c>
      <c r="G13" s="17">
        <f>[9]Resumen!$G$27</f>
        <v>0</v>
      </c>
      <c r="H13" s="18">
        <f>[9]Resumen!$H$27</f>
        <v>0</v>
      </c>
      <c r="I13" s="15">
        <f>[9]Resumen!$I$27</f>
        <v>0</v>
      </c>
      <c r="J13" s="16">
        <f>[9]Resumen!$J$27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[12]Resumen!$B$27</f>
        <v>0</v>
      </c>
      <c r="C14" s="15">
        <f>[12]Resumen!$C$27</f>
        <v>0</v>
      </c>
      <c r="D14" s="16">
        <f>[12]Resumen!$D$27</f>
        <v>0</v>
      </c>
      <c r="E14" s="14">
        <f>[12]Resumen!$E$27</f>
        <v>0</v>
      </c>
      <c r="F14" s="15">
        <f>[12]Resumen!$F$27</f>
        <v>0</v>
      </c>
      <c r="G14" s="17">
        <f>[12]Resumen!$G$27</f>
        <v>0</v>
      </c>
      <c r="H14" s="18">
        <f>[12]Resumen!$H$27</f>
        <v>0</v>
      </c>
      <c r="I14" s="15">
        <f>[12]Resumen!$I$27</f>
        <v>0</v>
      </c>
      <c r="J14" s="16">
        <f>[12]Resumen!$J$27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[13]Resumen!$B$27</f>
        <v>0</v>
      </c>
      <c r="C15" s="15">
        <f>[13]Resumen!$C$27</f>
        <v>0</v>
      </c>
      <c r="D15" s="16">
        <f>[13]Resumen!$D$27</f>
        <v>0</v>
      </c>
      <c r="E15" s="14">
        <f>[13]Resumen!$E$27</f>
        <v>0</v>
      </c>
      <c r="F15" s="15">
        <f>[13]Resumen!$F$27</f>
        <v>0</v>
      </c>
      <c r="G15" s="17">
        <f>[13]Resumen!$G$27</f>
        <v>0</v>
      </c>
      <c r="H15" s="18">
        <f>[13]Resumen!$H$27</f>
        <v>0</v>
      </c>
      <c r="I15" s="15">
        <f>[13]Resumen!$I$27</f>
        <v>0</v>
      </c>
      <c r="J15" s="16">
        <f>[13]Resumen!$J$27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[14]Resumen!$B$27</f>
        <v>0</v>
      </c>
      <c r="C16" s="15">
        <f>[14]Resumen!$C$27</f>
        <v>0</v>
      </c>
      <c r="D16" s="16">
        <f>[14]Resumen!$D$27</f>
        <v>0</v>
      </c>
      <c r="E16" s="14">
        <f>[14]Resumen!$E$27</f>
        <v>0</v>
      </c>
      <c r="F16" s="15">
        <f>[14]Resumen!$F$27</f>
        <v>0</v>
      </c>
      <c r="G16" s="17">
        <f>[14]Resumen!$G$27</f>
        <v>0</v>
      </c>
      <c r="H16" s="18">
        <f>[14]Resumen!$H$27</f>
        <v>0</v>
      </c>
      <c r="I16" s="15">
        <f>[14]Resumen!$I$27</f>
        <v>0</v>
      </c>
      <c r="J16" s="16">
        <f>[14]Resumen!$J$27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[15]Resumen!$B$27</f>
        <v>0</v>
      </c>
      <c r="C17" s="15">
        <f>[15]Resumen!$C$27</f>
        <v>0</v>
      </c>
      <c r="D17" s="16">
        <f>[15]Resumen!$D$27</f>
        <v>0</v>
      </c>
      <c r="E17" s="14">
        <f>[15]Resumen!$E$27</f>
        <v>0</v>
      </c>
      <c r="F17" s="15">
        <f>[15]Resumen!$F$27</f>
        <v>0</v>
      </c>
      <c r="G17" s="17">
        <f>[15]Resumen!$G$27</f>
        <v>0</v>
      </c>
      <c r="H17" s="18">
        <f>[15]Resumen!$H$27</f>
        <v>0</v>
      </c>
      <c r="I17" s="15">
        <f>[15]Resumen!$I$27</f>
        <v>0</v>
      </c>
      <c r="J17" s="16">
        <f>[15]Resumen!$J$27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[16]Resumen!$B$27</f>
        <v>0</v>
      </c>
      <c r="C18" s="15">
        <f>[16]Resumen!$C$27</f>
        <v>0</v>
      </c>
      <c r="D18" s="16">
        <f>[16]Resumen!$D$27</f>
        <v>0</v>
      </c>
      <c r="E18" s="14">
        <f>[16]Resumen!$E$27</f>
        <v>0</v>
      </c>
      <c r="F18" s="15">
        <f>[16]Resumen!$F$27</f>
        <v>0</v>
      </c>
      <c r="G18" s="17">
        <f>[16]Resumen!$G$27</f>
        <v>0</v>
      </c>
      <c r="H18" s="18">
        <f>[16]Resumen!$H$27</f>
        <v>0</v>
      </c>
      <c r="I18" s="15">
        <f>[16]Resumen!$I$27</f>
        <v>0</v>
      </c>
      <c r="J18" s="16">
        <f>[16]Resumen!$J$27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[17]Resumen!$B$27</f>
        <v>0</v>
      </c>
      <c r="C19" s="15">
        <f>[17]Resumen!$C$27</f>
        <v>0</v>
      </c>
      <c r="D19" s="16">
        <f>[17]Resumen!$D$27</f>
        <v>0</v>
      </c>
      <c r="E19" s="14">
        <f>[17]Resumen!$E$27</f>
        <v>0</v>
      </c>
      <c r="F19" s="15">
        <f>[17]Resumen!$F$27</f>
        <v>0</v>
      </c>
      <c r="G19" s="17">
        <f>[17]Resumen!$G$27</f>
        <v>0</v>
      </c>
      <c r="H19" s="18">
        <f>[17]Resumen!$H$27</f>
        <v>0</v>
      </c>
      <c r="I19" s="15">
        <f>[17]Resumen!$I$27</f>
        <v>0</v>
      </c>
      <c r="J19" s="16">
        <f>[17]Resumen!$J$27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[18]Resumen!$B$27</f>
        <v>0</v>
      </c>
      <c r="C20" s="15">
        <f>[18]Resumen!$C$27</f>
        <v>0</v>
      </c>
      <c r="D20" s="16">
        <f>[18]Resumen!$D$27</f>
        <v>0</v>
      </c>
      <c r="E20" s="14">
        <f>[18]Resumen!$E$27</f>
        <v>0</v>
      </c>
      <c r="F20" s="15">
        <f>[18]Resumen!$F$27</f>
        <v>0</v>
      </c>
      <c r="G20" s="17">
        <f>[18]Resumen!$G$27</f>
        <v>0</v>
      </c>
      <c r="H20" s="18">
        <f>[18]Resumen!$H$27</f>
        <v>0</v>
      </c>
      <c r="I20" s="15">
        <f>[18]Resumen!$I$27</f>
        <v>0</v>
      </c>
      <c r="J20" s="16">
        <f>[18]Resumen!$J$27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[19]Resumen!$B$27</f>
        <v>0</v>
      </c>
      <c r="C21" s="15">
        <f>[19]Resumen!$C$27</f>
        <v>0</v>
      </c>
      <c r="D21" s="16">
        <f>[19]Resumen!$D$27</f>
        <v>0</v>
      </c>
      <c r="E21" s="14">
        <f>[19]Resumen!$E$27</f>
        <v>0</v>
      </c>
      <c r="F21" s="15">
        <f>[19]Resumen!$F$27</f>
        <v>0</v>
      </c>
      <c r="G21" s="17">
        <f>[19]Resumen!$G$27</f>
        <v>0</v>
      </c>
      <c r="H21" s="18">
        <f>[19]Resumen!$H$27</f>
        <v>0</v>
      </c>
      <c r="I21" s="15">
        <f>[19]Resumen!$I$27</f>
        <v>0</v>
      </c>
      <c r="J21" s="16">
        <f>[19]Resumen!$J$27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[20]Resumen!$B$27</f>
        <v>0</v>
      </c>
      <c r="C22" s="15">
        <f>[20]Resumen!$C$27</f>
        <v>0</v>
      </c>
      <c r="D22" s="16">
        <f>[20]Resumen!$D$27</f>
        <v>0</v>
      </c>
      <c r="E22" s="14">
        <f>[20]Resumen!$E$27</f>
        <v>0</v>
      </c>
      <c r="F22" s="15">
        <f>[20]Resumen!$F$27</f>
        <v>0</v>
      </c>
      <c r="G22" s="17">
        <f>[20]Resumen!$G$27</f>
        <v>0</v>
      </c>
      <c r="H22" s="18">
        <f>[20]Resumen!$H$27</f>
        <v>0</v>
      </c>
      <c r="I22" s="15">
        <f>[20]Resumen!$I$27</f>
        <v>0</v>
      </c>
      <c r="J22" s="16">
        <f>[20]Resumen!$J$27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[21]Resumen!$B$27</f>
        <v>0</v>
      </c>
      <c r="C23" s="15">
        <f>[21]Resumen!$C$27</f>
        <v>0</v>
      </c>
      <c r="D23" s="16">
        <f>[21]Resumen!$D$27</f>
        <v>0</v>
      </c>
      <c r="E23" s="14">
        <f>[21]Resumen!$E$27</f>
        <v>0</v>
      </c>
      <c r="F23" s="15">
        <f>[21]Resumen!$F$27</f>
        <v>0</v>
      </c>
      <c r="G23" s="17">
        <f>[21]Resumen!$G$27</f>
        <v>0</v>
      </c>
      <c r="H23" s="18">
        <f>[21]Resumen!$H$27</f>
        <v>0</v>
      </c>
      <c r="I23" s="15">
        <f>[21]Resumen!$I$27</f>
        <v>0</v>
      </c>
      <c r="J23" s="16">
        <f>[21]Resumen!$J$27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[22]Resumen!$B$27</f>
        <v>0</v>
      </c>
      <c r="C24" s="15">
        <f>[22]Resumen!$C$27</f>
        <v>0</v>
      </c>
      <c r="D24" s="16">
        <f>[22]Resumen!$D$27</f>
        <v>0</v>
      </c>
      <c r="E24" s="14">
        <f>[22]Resumen!$E$27</f>
        <v>0</v>
      </c>
      <c r="F24" s="15">
        <f>[22]Resumen!$F$27</f>
        <v>0</v>
      </c>
      <c r="G24" s="17">
        <f>[22]Resumen!$G$27</f>
        <v>0</v>
      </c>
      <c r="H24" s="18">
        <f>[22]Resumen!$H$27</f>
        <v>0</v>
      </c>
      <c r="I24" s="15">
        <f>[22]Resumen!$I$27</f>
        <v>0</v>
      </c>
      <c r="J24" s="16">
        <f>[22]Resumen!$J$27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[23]Resumen!$B$27</f>
        <v>0</v>
      </c>
      <c r="C25" s="15">
        <f>[23]Resumen!$C$27</f>
        <v>0</v>
      </c>
      <c r="D25" s="16">
        <f>[23]Resumen!$D$27</f>
        <v>0</v>
      </c>
      <c r="E25" s="14">
        <f>[23]Resumen!$E$27</f>
        <v>0</v>
      </c>
      <c r="F25" s="15">
        <f>[23]Resumen!$F$27</f>
        <v>0</v>
      </c>
      <c r="G25" s="17">
        <f>[23]Resumen!$G$27</f>
        <v>0</v>
      </c>
      <c r="H25" s="18">
        <f>[23]Resumen!$H$27</f>
        <v>0</v>
      </c>
      <c r="I25" s="15">
        <f>[23]Resumen!$I$27</f>
        <v>0</v>
      </c>
      <c r="J25" s="16">
        <f>[23]Resumen!$J$27</f>
        <v>0</v>
      </c>
      <c r="K25" s="19">
        <f t="shared" si="0"/>
        <v>0</v>
      </c>
      <c r="L25" s="15">
        <f>IFERROR(MROUND(C25+F25+I25,50),MROUND(C25+F25+I25,-50))</f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[24]Resumen!$B$27</f>
        <v>0</v>
      </c>
      <c r="C26" s="15">
        <f>[24]Resumen!$C$27</f>
        <v>0</v>
      </c>
      <c r="D26" s="16">
        <f>[24]Resumen!$D$27</f>
        <v>0</v>
      </c>
      <c r="E26" s="14">
        <f>[24]Resumen!$E$27</f>
        <v>0</v>
      </c>
      <c r="F26" s="15">
        <f>[24]Resumen!$F$27</f>
        <v>0</v>
      </c>
      <c r="G26" s="17">
        <f>[24]Resumen!$G$27</f>
        <v>0</v>
      </c>
      <c r="H26" s="18">
        <f>[24]Resumen!$H$27</f>
        <v>0</v>
      </c>
      <c r="I26" s="15">
        <f>[24]Resumen!$I$27</f>
        <v>0</v>
      </c>
      <c r="J26" s="16">
        <f>[24]Resumen!$J$27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[25]Resumen!$B$27</f>
        <v>0</v>
      </c>
      <c r="C27" s="15">
        <f>[25]Resumen!$C$27</f>
        <v>0</v>
      </c>
      <c r="D27" s="16">
        <f>[25]Resumen!$D$27</f>
        <v>0</v>
      </c>
      <c r="E27" s="14">
        <f>[25]Resumen!$E$27</f>
        <v>0</v>
      </c>
      <c r="F27" s="15">
        <f>[25]Resumen!$F$27</f>
        <v>0</v>
      </c>
      <c r="G27" s="17">
        <f>[25]Resumen!$G$27</f>
        <v>0</v>
      </c>
      <c r="H27" s="18">
        <f>[25]Resumen!$H$27</f>
        <v>0</v>
      </c>
      <c r="I27" s="15">
        <f>[25]Resumen!$I$27</f>
        <v>0</v>
      </c>
      <c r="J27" s="16">
        <f>[25]Resumen!$J$27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[26]Resumen!$B$27</f>
        <v>0</v>
      </c>
      <c r="C28" s="15">
        <f>[26]Resumen!$C$27</f>
        <v>0</v>
      </c>
      <c r="D28" s="16">
        <f>[26]Resumen!$D$27</f>
        <v>0</v>
      </c>
      <c r="E28" s="14">
        <f>[26]Resumen!$E$27</f>
        <v>0</v>
      </c>
      <c r="F28" s="15">
        <f>[26]Resumen!$F$27</f>
        <v>0</v>
      </c>
      <c r="G28" s="17">
        <f>[26]Resumen!$G$27</f>
        <v>0</v>
      </c>
      <c r="H28" s="18">
        <f>[26]Resumen!$H$27</f>
        <v>0</v>
      </c>
      <c r="I28" s="15">
        <f>[26]Resumen!$I$27</f>
        <v>0</v>
      </c>
      <c r="J28" s="16">
        <f>[26]Resumen!$J$27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[27]Resumen!$B$27</f>
        <v>0</v>
      </c>
      <c r="C29" s="15">
        <f>[27]Resumen!$C$27</f>
        <v>0</v>
      </c>
      <c r="D29" s="16">
        <f>[27]Resumen!$D$27</f>
        <v>0</v>
      </c>
      <c r="E29" s="14">
        <f>[27]Resumen!$E$27</f>
        <v>0</v>
      </c>
      <c r="F29" s="15">
        <f>[27]Resumen!$F$27</f>
        <v>0</v>
      </c>
      <c r="G29" s="17">
        <f>[27]Resumen!$G$27</f>
        <v>0</v>
      </c>
      <c r="H29" s="18">
        <f>[27]Resumen!$H$27</f>
        <v>0</v>
      </c>
      <c r="I29" s="15">
        <f>[27]Resumen!$I$27</f>
        <v>0</v>
      </c>
      <c r="J29" s="16">
        <f>[27]Resumen!$J$27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[28]Resumen!$B$27</f>
        <v>0</v>
      </c>
      <c r="C30" s="15">
        <f>[28]Resumen!$C$27</f>
        <v>0</v>
      </c>
      <c r="D30" s="16">
        <f>[28]Resumen!$D$27</f>
        <v>0</v>
      </c>
      <c r="E30" s="14">
        <f>[28]Resumen!$E$27</f>
        <v>0</v>
      </c>
      <c r="F30" s="15">
        <f>[28]Resumen!$F$27</f>
        <v>0</v>
      </c>
      <c r="G30" s="17">
        <f>[28]Resumen!$G$27</f>
        <v>0</v>
      </c>
      <c r="H30" s="18">
        <f>[28]Resumen!$H$27</f>
        <v>0</v>
      </c>
      <c r="I30" s="15">
        <f>[28]Resumen!$I$27</f>
        <v>0</v>
      </c>
      <c r="J30" s="16">
        <f>[28]Resumen!$J$27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[29]Resumen!$B$27</f>
        <v>0</v>
      </c>
      <c r="C31" s="15">
        <f>[29]Resumen!$C$27</f>
        <v>0</v>
      </c>
      <c r="D31" s="16">
        <f>[29]Resumen!$D$27</f>
        <v>0</v>
      </c>
      <c r="E31" s="14">
        <f>[29]Resumen!$E$27</f>
        <v>0</v>
      </c>
      <c r="F31" s="15">
        <f>[29]Resumen!$F$27</f>
        <v>0</v>
      </c>
      <c r="G31" s="17">
        <f>[29]Resumen!$G$27</f>
        <v>0</v>
      </c>
      <c r="H31" s="18">
        <f>[29]Resumen!$H$27</f>
        <v>0</v>
      </c>
      <c r="I31" s="15">
        <f>[29]Resumen!$I$27</f>
        <v>0</v>
      </c>
      <c r="J31" s="16">
        <f>[29]Resumen!$J$27</f>
        <v>0</v>
      </c>
      <c r="K31" s="19">
        <f t="shared" si="0"/>
        <v>0</v>
      </c>
      <c r="L31" s="15">
        <f>IFERROR(MROUND(C31+F31+I31,50),MROUND(C31+F31+I31,-50))</f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[30]Resumen!$B$27</f>
        <v>0</v>
      </c>
      <c r="C32" s="15">
        <f>[30]Resumen!$C$27</f>
        <v>0</v>
      </c>
      <c r="D32" s="16">
        <f>[30]Resumen!$D$27</f>
        <v>0</v>
      </c>
      <c r="E32" s="14">
        <f>[30]Resumen!$E$27</f>
        <v>0</v>
      </c>
      <c r="F32" s="15">
        <f>[30]Resumen!$F$27</f>
        <v>0</v>
      </c>
      <c r="G32" s="17">
        <f>[30]Resumen!$G$27</f>
        <v>0</v>
      </c>
      <c r="H32" s="18">
        <f>[30]Resumen!$H$27</f>
        <v>0</v>
      </c>
      <c r="I32" s="15">
        <f>[30]Resumen!$I$27</f>
        <v>0</v>
      </c>
      <c r="J32" s="16">
        <f>[30]Resumen!$J$27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[31]Resumen!$B$27</f>
        <v>0</v>
      </c>
      <c r="C33" s="15">
        <f>[31]Resumen!$C$27</f>
        <v>0</v>
      </c>
      <c r="D33" s="16">
        <f>[31]Resumen!$D$27</f>
        <v>0</v>
      </c>
      <c r="E33" s="14">
        <f>[31]Resumen!$E$27</f>
        <v>0</v>
      </c>
      <c r="F33" s="15">
        <f>[31]Resumen!$F$27</f>
        <v>0</v>
      </c>
      <c r="G33" s="17">
        <f>[31]Resumen!$G$27</f>
        <v>0</v>
      </c>
      <c r="H33" s="18">
        <f>[31]Resumen!$H$27</f>
        <v>0</v>
      </c>
      <c r="I33" s="15">
        <f>[31]Resumen!$I$27</f>
        <v>0</v>
      </c>
      <c r="J33" s="16">
        <f>[31]Resumen!$J$27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[10]Resumen!$B$27</f>
        <v>0</v>
      </c>
      <c r="C34" s="15">
        <f>[10]Resumen!$C$27</f>
        <v>0</v>
      </c>
      <c r="D34" s="16">
        <f>[10]Resumen!$D$27</f>
        <v>0</v>
      </c>
      <c r="E34" s="14">
        <f>[10]Resumen!$E$27</f>
        <v>0</v>
      </c>
      <c r="F34" s="15">
        <f>[10]Resumen!$F$27</f>
        <v>0</v>
      </c>
      <c r="G34" s="17">
        <f>[10]Resumen!$G$27</f>
        <v>0</v>
      </c>
      <c r="H34" s="18">
        <f>[10]Resumen!$H$27</f>
        <v>0</v>
      </c>
      <c r="I34" s="15">
        <f>[10]Resumen!$I$27</f>
        <v>0</v>
      </c>
      <c r="J34" s="16">
        <f>[10]Resumen!$J$27</f>
        <v>0</v>
      </c>
      <c r="K34" s="19">
        <f t="shared" si="0"/>
        <v>0</v>
      </c>
      <c r="L34" s="15">
        <f>IFERROR(MROUND(C34+F34+I34,50),MROUND(C34+F34+I34,-50))</f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+[11]Resumen!$B$27</f>
        <v>0</v>
      </c>
      <c r="C35" s="22">
        <f>+[11]Resumen!$C$27</f>
        <v>0</v>
      </c>
      <c r="D35" s="23">
        <f>+[11]Resumen!$D$27</f>
        <v>0</v>
      </c>
      <c r="E35" s="21">
        <f>+[11]Resumen!$E$27</f>
        <v>0</v>
      </c>
      <c r="F35" s="22">
        <f>+[11]Resumen!$F$27</f>
        <v>0</v>
      </c>
      <c r="G35" s="24">
        <f>+[11]Resumen!$G$27</f>
        <v>0</v>
      </c>
      <c r="H35" s="25">
        <f>+[11]Resumen!$H$27</f>
        <v>0</v>
      </c>
      <c r="I35" s="22">
        <f>+[11]Resumen!$I$27</f>
        <v>0</v>
      </c>
      <c r="J35" s="23">
        <f>+[11]Resumen!$J$27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>
      <selection activeCell="B5" sqref="B5:O35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1406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104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14">
        <f>[1]Vendedor26!$J$4</f>
        <v>0</v>
      </c>
      <c r="C5" s="81">
        <f>[1]Vendedor26!$K$4</f>
        <v>0</v>
      </c>
      <c r="D5" s="82">
        <f>[1]Vendedor26!$L$4</f>
        <v>0</v>
      </c>
      <c r="E5" s="14">
        <f>[1]Vendedor26!$J$5</f>
        <v>0</v>
      </c>
      <c r="F5" s="81">
        <f>[1]Vendedor26!$K$5</f>
        <v>0</v>
      </c>
      <c r="G5" s="85">
        <f>[1]Vendedor26!$L$5</f>
        <v>0</v>
      </c>
      <c r="H5" s="19">
        <f>[1]Vendedor26!$J$6</f>
        <v>0</v>
      </c>
      <c r="I5" s="15">
        <f>[1]Vendedor26!$K$6</f>
        <v>0</v>
      </c>
      <c r="J5" s="17">
        <f>[1]Vendedor26!$L$6</f>
        <v>0</v>
      </c>
      <c r="K5" s="19">
        <f t="shared" ref="K5:K35" si="0">+B5+E5+H5</f>
        <v>0</v>
      </c>
      <c r="L5" s="15">
        <f t="shared" ref="L5:L35" si="1">MROUND(C5+F5+I5,50)</f>
        <v>0</v>
      </c>
      <c r="M5" s="15">
        <f t="shared" ref="M5:M35" si="2">+D5+G5+J5</f>
        <v>0</v>
      </c>
      <c r="N5" s="15">
        <v>0</v>
      </c>
      <c r="O5" s="17">
        <f t="shared" ref="O5:O35" si="3">+K5-L5-M5+N5</f>
        <v>0</v>
      </c>
    </row>
    <row r="6" spans="1:15">
      <c r="A6" s="13" t="s">
        <v>50</v>
      </c>
      <c r="B6" s="14">
        <f>[2]Vendedor26!$J$4</f>
        <v>0</v>
      </c>
      <c r="C6" s="81">
        <f>[2]Vendedor26!$K$4</f>
        <v>0</v>
      </c>
      <c r="D6" s="82">
        <f>[2]Vendedor26!$L$4</f>
        <v>0</v>
      </c>
      <c r="E6" s="14">
        <f>[2]Vendedor26!$J$5</f>
        <v>0</v>
      </c>
      <c r="F6" s="81">
        <f>[2]Vendedor26!$K$5</f>
        <v>0</v>
      </c>
      <c r="G6" s="85">
        <f>[2]Vendedor26!$L$5</f>
        <v>0</v>
      </c>
      <c r="H6" s="19">
        <f>[2]Vendedor26!$J$6</f>
        <v>0</v>
      </c>
      <c r="I6" s="15">
        <f>[2]Vendedor26!$K$6</f>
        <v>0</v>
      </c>
      <c r="J6" s="17">
        <f>[2]Vendedor26!$L$6</f>
        <v>0</v>
      </c>
      <c r="K6" s="19">
        <f t="shared" si="0"/>
        <v>0</v>
      </c>
      <c r="L6" s="15">
        <f t="shared" si="1"/>
        <v>0</v>
      </c>
      <c r="M6" s="15">
        <f t="shared" si="2"/>
        <v>0</v>
      </c>
      <c r="N6" s="15">
        <v>0</v>
      </c>
      <c r="O6" s="17">
        <f t="shared" si="3"/>
        <v>0</v>
      </c>
    </row>
    <row r="7" spans="1:15">
      <c r="A7" s="20" t="s">
        <v>51</v>
      </c>
      <c r="B7" s="14">
        <f>[3]Vendedor26!$J$4</f>
        <v>0</v>
      </c>
      <c r="C7" s="81">
        <f>[3]Vendedor26!$K$4</f>
        <v>0</v>
      </c>
      <c r="D7" s="82">
        <f>[3]Vendedor26!$L$4</f>
        <v>0</v>
      </c>
      <c r="E7" s="14">
        <f>[3]Vendedor26!$J$5</f>
        <v>0</v>
      </c>
      <c r="F7" s="81">
        <f>[3]Vendedor26!$K$5</f>
        <v>0</v>
      </c>
      <c r="G7" s="85">
        <f>[3]Vendedor26!$L$5</f>
        <v>0</v>
      </c>
      <c r="H7" s="19">
        <f>[3]Vendedor26!$J$6</f>
        <v>0</v>
      </c>
      <c r="I7" s="15">
        <f>[3]Vendedor26!$K$6</f>
        <v>0</v>
      </c>
      <c r="J7" s="17">
        <f>[3]Vendedor26!$L$6</f>
        <v>0</v>
      </c>
      <c r="K7" s="19">
        <f t="shared" si="0"/>
        <v>0</v>
      </c>
      <c r="L7" s="15">
        <f t="shared" si="1"/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>
      <c r="A8" s="13" t="s">
        <v>52</v>
      </c>
      <c r="B8" s="14">
        <f>[4]Vendedor26!$J$4</f>
        <v>0</v>
      </c>
      <c r="C8" s="81">
        <f>[4]Vendedor26!$K$4</f>
        <v>0</v>
      </c>
      <c r="D8" s="82">
        <f>[4]Vendedor26!$L$4</f>
        <v>0</v>
      </c>
      <c r="E8" s="14">
        <f>[4]Vendedor26!$J$5</f>
        <v>0</v>
      </c>
      <c r="F8" s="81">
        <f>[4]Vendedor26!$K$5</f>
        <v>0</v>
      </c>
      <c r="G8" s="85">
        <f>[4]Vendedor26!$L$5</f>
        <v>0</v>
      </c>
      <c r="H8" s="19">
        <f>[4]Vendedor26!$J$6</f>
        <v>0</v>
      </c>
      <c r="I8" s="15">
        <f>[4]Vendedor26!$K$6</f>
        <v>0</v>
      </c>
      <c r="J8" s="17">
        <f>[4]Vendedor26!$L$6</f>
        <v>0</v>
      </c>
      <c r="K8" s="19">
        <f t="shared" si="0"/>
        <v>0</v>
      </c>
      <c r="L8" s="15">
        <f t="shared" si="1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>
      <c r="A9" s="20" t="s">
        <v>53</v>
      </c>
      <c r="B9" s="14">
        <f>[5]Vendedor26!$J$4</f>
        <v>0</v>
      </c>
      <c r="C9" s="81">
        <f>[5]Vendedor26!$K$4</f>
        <v>0</v>
      </c>
      <c r="D9" s="82">
        <f>[5]Vendedor26!$L$4</f>
        <v>0</v>
      </c>
      <c r="E9" s="14">
        <f>[5]Vendedor26!$J$5</f>
        <v>0</v>
      </c>
      <c r="F9" s="81">
        <f>[5]Vendedor26!$K$5</f>
        <v>0</v>
      </c>
      <c r="G9" s="85">
        <f>[5]Vendedor26!$L$5</f>
        <v>0</v>
      </c>
      <c r="H9" s="19">
        <f>[5]Vendedor26!$J$6</f>
        <v>0</v>
      </c>
      <c r="I9" s="15">
        <f>[5]Vendedor26!$K$6</f>
        <v>0</v>
      </c>
      <c r="J9" s="17">
        <f>[5]Vendedor26!$L$6</f>
        <v>0</v>
      </c>
      <c r="K9" s="19">
        <f t="shared" si="0"/>
        <v>0</v>
      </c>
      <c r="L9" s="15">
        <f t="shared" si="1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>
      <c r="A10" s="13" t="s">
        <v>20</v>
      </c>
      <c r="B10" s="14">
        <f>[6]Vendedor26!$J$4</f>
        <v>0</v>
      </c>
      <c r="C10" s="81">
        <f>[6]Vendedor26!$K$4</f>
        <v>0</v>
      </c>
      <c r="D10" s="82">
        <f>[6]Vendedor26!$L$4</f>
        <v>0</v>
      </c>
      <c r="E10" s="14">
        <f>[6]Vendedor26!$J$5</f>
        <v>0</v>
      </c>
      <c r="F10" s="81">
        <f>[6]Vendedor26!$K$5</f>
        <v>0</v>
      </c>
      <c r="G10" s="85">
        <f>[6]Vendedor26!$L$5</f>
        <v>0</v>
      </c>
      <c r="H10" s="19">
        <f>[6]Vendedor26!$J$6</f>
        <v>0</v>
      </c>
      <c r="I10" s="15">
        <f>[6]Vendedor26!$K$6</f>
        <v>0</v>
      </c>
      <c r="J10" s="17">
        <f>[6]Vendedor26!$L$6</f>
        <v>0</v>
      </c>
      <c r="K10" s="19">
        <f t="shared" si="0"/>
        <v>0</v>
      </c>
      <c r="L10" s="15">
        <f t="shared" si="1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>
      <c r="A11" s="20" t="s">
        <v>21</v>
      </c>
      <c r="B11" s="14">
        <f>[7]Vendedor26!$J$4</f>
        <v>0</v>
      </c>
      <c r="C11" s="81">
        <f>[7]Vendedor26!$K$4</f>
        <v>0</v>
      </c>
      <c r="D11" s="82">
        <f>[7]Vendedor26!$L$4</f>
        <v>0</v>
      </c>
      <c r="E11" s="14">
        <f>[7]Vendedor26!$J$5</f>
        <v>0</v>
      </c>
      <c r="F11" s="81">
        <f>[7]Vendedor26!$K$5</f>
        <v>0</v>
      </c>
      <c r="G11" s="85">
        <f>[7]Vendedor26!$L$5</f>
        <v>0</v>
      </c>
      <c r="H11" s="19">
        <f>[7]Vendedor26!$J$6</f>
        <v>0</v>
      </c>
      <c r="I11" s="15">
        <f>[7]Vendedor26!$K$6</f>
        <v>0</v>
      </c>
      <c r="J11" s="17">
        <f>[7]Vendedor26!$L$6</f>
        <v>0</v>
      </c>
      <c r="K11" s="19">
        <f t="shared" si="0"/>
        <v>0</v>
      </c>
      <c r="L11" s="15">
        <f t="shared" si="1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>
      <c r="A12" s="13" t="s">
        <v>22</v>
      </c>
      <c r="B12" s="14">
        <f>[8]Vendedor26!$J$4</f>
        <v>0</v>
      </c>
      <c r="C12" s="81">
        <f>[8]Vendedor26!$K$4</f>
        <v>0</v>
      </c>
      <c r="D12" s="82">
        <f>[8]Vendedor26!$L$4</f>
        <v>0</v>
      </c>
      <c r="E12" s="14">
        <f>[8]Vendedor26!$J$5</f>
        <v>0</v>
      </c>
      <c r="F12" s="81">
        <f>[8]Vendedor26!$K$5</f>
        <v>0</v>
      </c>
      <c r="G12" s="85">
        <f>[8]Vendedor26!$L$5</f>
        <v>0</v>
      </c>
      <c r="H12" s="19">
        <f>[8]Vendedor26!$J$6</f>
        <v>0</v>
      </c>
      <c r="I12" s="15">
        <f>[8]Vendedor26!$K$6</f>
        <v>0</v>
      </c>
      <c r="J12" s="17">
        <f>[8]Vendedor26!$L$6</f>
        <v>0</v>
      </c>
      <c r="K12" s="19">
        <f t="shared" si="0"/>
        <v>0</v>
      </c>
      <c r="L12" s="15">
        <f t="shared" si="1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>
      <c r="A13" s="20" t="s">
        <v>23</v>
      </c>
      <c r="B13" s="14">
        <f>[9]Vendedor26!$J$4</f>
        <v>0</v>
      </c>
      <c r="C13" s="81">
        <f>[9]Vendedor26!$K$4</f>
        <v>0</v>
      </c>
      <c r="D13" s="82">
        <f>[9]Vendedor26!$L$4</f>
        <v>0</v>
      </c>
      <c r="E13" s="14">
        <f>[9]Vendedor26!$J$5</f>
        <v>0</v>
      </c>
      <c r="F13" s="81">
        <f>[9]Vendedor26!$K$5</f>
        <v>0</v>
      </c>
      <c r="G13" s="85">
        <f>[9]Vendedor26!$L$5</f>
        <v>0</v>
      </c>
      <c r="H13" s="19">
        <f>[9]Vendedor26!$J$6</f>
        <v>0</v>
      </c>
      <c r="I13" s="15">
        <f>[9]Vendedor26!$K$6</f>
        <v>0</v>
      </c>
      <c r="J13" s="17">
        <f>[9]Vendedor26!$L$6</f>
        <v>0</v>
      </c>
      <c r="K13" s="19">
        <f t="shared" si="0"/>
        <v>0</v>
      </c>
      <c r="L13" s="15">
        <f t="shared" si="1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>
      <c r="A14" s="13" t="s">
        <v>24</v>
      </c>
      <c r="B14" s="14">
        <f>[12]Vendedor26!$J$4</f>
        <v>0</v>
      </c>
      <c r="C14" s="81">
        <f>[12]Vendedor26!$K$4</f>
        <v>0</v>
      </c>
      <c r="D14" s="82">
        <f>[12]Vendedor26!$L$4</f>
        <v>0</v>
      </c>
      <c r="E14" s="14">
        <f>[12]Vendedor26!$J$5</f>
        <v>0</v>
      </c>
      <c r="F14" s="81">
        <f>[12]Vendedor26!$K$5</f>
        <v>0</v>
      </c>
      <c r="G14" s="85">
        <f>[12]Vendedor26!$L$5</f>
        <v>0</v>
      </c>
      <c r="H14" s="19">
        <f>[12]Vendedor26!$J$6</f>
        <v>0</v>
      </c>
      <c r="I14" s="15">
        <f>[12]Vendedor26!$K$6</f>
        <v>0</v>
      </c>
      <c r="J14" s="17">
        <f>[12]Vendedor26!$L$6</f>
        <v>0</v>
      </c>
      <c r="K14" s="19">
        <f t="shared" si="0"/>
        <v>0</v>
      </c>
      <c r="L14" s="15">
        <f t="shared" si="1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>
      <c r="A15" s="20" t="s">
        <v>25</v>
      </c>
      <c r="B15" s="14">
        <f>[13]Vendedor26!$J$4</f>
        <v>0</v>
      </c>
      <c r="C15" s="81">
        <f>[13]Vendedor26!$K$4</f>
        <v>0</v>
      </c>
      <c r="D15" s="82">
        <f>[13]Vendedor26!$L$4</f>
        <v>0</v>
      </c>
      <c r="E15" s="14">
        <f>[13]Vendedor26!$J$5</f>
        <v>0</v>
      </c>
      <c r="F15" s="81">
        <f>[13]Vendedor26!$K$5</f>
        <v>0</v>
      </c>
      <c r="G15" s="85">
        <f>[13]Vendedor26!$L$5</f>
        <v>0</v>
      </c>
      <c r="H15" s="19">
        <f>[13]Vendedor26!$J$6</f>
        <v>0</v>
      </c>
      <c r="I15" s="15">
        <f>[13]Vendedor26!$K$6</f>
        <v>0</v>
      </c>
      <c r="J15" s="17">
        <f>[13]Vendedor26!$L$6</f>
        <v>0</v>
      </c>
      <c r="K15" s="19">
        <f t="shared" si="0"/>
        <v>0</v>
      </c>
      <c r="L15" s="15">
        <f t="shared" si="1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>
      <c r="A16" s="13" t="s">
        <v>26</v>
      </c>
      <c r="B16" s="14">
        <f>[14]Vendedor26!$J$4</f>
        <v>0</v>
      </c>
      <c r="C16" s="81">
        <f>[14]Vendedor26!$K$4</f>
        <v>0</v>
      </c>
      <c r="D16" s="82">
        <f>[14]Vendedor26!$L$4</f>
        <v>0</v>
      </c>
      <c r="E16" s="14">
        <f>[14]Vendedor26!$J$5</f>
        <v>0</v>
      </c>
      <c r="F16" s="81">
        <f>[14]Vendedor26!$K$5</f>
        <v>0</v>
      </c>
      <c r="G16" s="85">
        <f>[14]Vendedor26!$L$5</f>
        <v>0</v>
      </c>
      <c r="H16" s="19">
        <f>[14]Vendedor26!$J$6</f>
        <v>0</v>
      </c>
      <c r="I16" s="15">
        <f>[14]Vendedor26!$K$6</f>
        <v>0</v>
      </c>
      <c r="J16" s="17">
        <f>[14]Vendedor26!$L$6</f>
        <v>0</v>
      </c>
      <c r="K16" s="19">
        <f t="shared" si="0"/>
        <v>0</v>
      </c>
      <c r="L16" s="15">
        <f t="shared" si="1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>
      <c r="A17" s="20" t="s">
        <v>27</v>
      </c>
      <c r="B17" s="14">
        <f>[15]Vendedor26!$J$4</f>
        <v>0</v>
      </c>
      <c r="C17" s="81">
        <f>[15]Vendedor26!$K$4</f>
        <v>0</v>
      </c>
      <c r="D17" s="82">
        <f>[15]Vendedor26!$L$4</f>
        <v>0</v>
      </c>
      <c r="E17" s="14">
        <f>[15]Vendedor26!$J$5</f>
        <v>0</v>
      </c>
      <c r="F17" s="81">
        <f>[15]Vendedor26!$K$5</f>
        <v>0</v>
      </c>
      <c r="G17" s="85">
        <f>[15]Vendedor26!$L$5</f>
        <v>0</v>
      </c>
      <c r="H17" s="19">
        <f>[15]Vendedor26!$J$6</f>
        <v>0</v>
      </c>
      <c r="I17" s="15">
        <f>[15]Vendedor26!$K$6</f>
        <v>0</v>
      </c>
      <c r="J17" s="17">
        <f>[15]Vendedor26!$L$6</f>
        <v>0</v>
      </c>
      <c r="K17" s="19">
        <f t="shared" si="0"/>
        <v>0</v>
      </c>
      <c r="L17" s="15">
        <f t="shared" si="1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>
      <c r="A18" s="20" t="s">
        <v>28</v>
      </c>
      <c r="B18" s="14">
        <f>[16]Vendedor26!$J$4</f>
        <v>0</v>
      </c>
      <c r="C18" s="81">
        <f>[16]Vendedor26!$K$4</f>
        <v>0</v>
      </c>
      <c r="D18" s="82">
        <f>[16]Vendedor26!$L$4</f>
        <v>0</v>
      </c>
      <c r="E18" s="14">
        <f>[16]Vendedor26!$J$5</f>
        <v>0</v>
      </c>
      <c r="F18" s="81">
        <f>[16]Vendedor26!$K$5</f>
        <v>0</v>
      </c>
      <c r="G18" s="85">
        <f>[16]Vendedor26!$L$5</f>
        <v>0</v>
      </c>
      <c r="H18" s="19">
        <f>[16]Vendedor26!$J$6</f>
        <v>0</v>
      </c>
      <c r="I18" s="15">
        <f>[16]Vendedor26!$K$6</f>
        <v>0</v>
      </c>
      <c r="J18" s="17">
        <f>[16]Vendedor26!$L$6</f>
        <v>0</v>
      </c>
      <c r="K18" s="19">
        <f t="shared" si="0"/>
        <v>0</v>
      </c>
      <c r="L18" s="15">
        <f t="shared" si="1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>
      <c r="A19" s="13" t="s">
        <v>29</v>
      </c>
      <c r="B19" s="14">
        <f>[17]Vendedor26!$J$4</f>
        <v>0</v>
      </c>
      <c r="C19" s="81">
        <f>[17]Vendedor26!$K$4</f>
        <v>0</v>
      </c>
      <c r="D19" s="82">
        <f>[17]Vendedor26!$L$4</f>
        <v>0</v>
      </c>
      <c r="E19" s="14">
        <f>[17]Vendedor26!$J$5</f>
        <v>0</v>
      </c>
      <c r="F19" s="81">
        <f>[17]Vendedor26!$K$5</f>
        <v>0</v>
      </c>
      <c r="G19" s="85">
        <f>[17]Vendedor26!$L$5</f>
        <v>0</v>
      </c>
      <c r="H19" s="19">
        <f>[17]Vendedor26!$J$6</f>
        <v>0</v>
      </c>
      <c r="I19" s="15">
        <f>[17]Vendedor26!$K$6</f>
        <v>0</v>
      </c>
      <c r="J19" s="17">
        <f>[17]Vendedor26!$L$6</f>
        <v>0</v>
      </c>
      <c r="K19" s="19">
        <f t="shared" si="0"/>
        <v>0</v>
      </c>
      <c r="L19" s="15">
        <f t="shared" si="1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>
      <c r="A20" s="20" t="s">
        <v>30</v>
      </c>
      <c r="B20" s="14">
        <f>[18]Vendedor26!$J$4</f>
        <v>0</v>
      </c>
      <c r="C20" s="81">
        <f>[18]Vendedor26!$K$4</f>
        <v>0</v>
      </c>
      <c r="D20" s="82">
        <f>[18]Vendedor26!$L$4</f>
        <v>0</v>
      </c>
      <c r="E20" s="14">
        <f>[18]Vendedor26!$J$5</f>
        <v>0</v>
      </c>
      <c r="F20" s="81">
        <f>[18]Vendedor26!$K$5</f>
        <v>0</v>
      </c>
      <c r="G20" s="85">
        <f>[18]Vendedor26!$L$5</f>
        <v>0</v>
      </c>
      <c r="H20" s="19">
        <f>[18]Vendedor26!$J$6</f>
        <v>0</v>
      </c>
      <c r="I20" s="15">
        <f>[18]Vendedor26!$K$6</f>
        <v>0</v>
      </c>
      <c r="J20" s="17">
        <f>[18]Vendedor26!$L$6</f>
        <v>0</v>
      </c>
      <c r="K20" s="19">
        <f t="shared" si="0"/>
        <v>0</v>
      </c>
      <c r="L20" s="15">
        <f t="shared" si="1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>
      <c r="A21" s="13" t="s">
        <v>31</v>
      </c>
      <c r="B21" s="14">
        <f>[19]Vendedor26!$J$4</f>
        <v>0</v>
      </c>
      <c r="C21" s="81">
        <f>[19]Vendedor26!$K$4</f>
        <v>0</v>
      </c>
      <c r="D21" s="82">
        <f>[19]Vendedor26!$L$4</f>
        <v>0</v>
      </c>
      <c r="E21" s="14">
        <f>[19]Vendedor26!$J$5</f>
        <v>0</v>
      </c>
      <c r="F21" s="81">
        <f>[19]Vendedor26!$K$5</f>
        <v>0</v>
      </c>
      <c r="G21" s="85">
        <f>[19]Vendedor26!$L$5</f>
        <v>0</v>
      </c>
      <c r="H21" s="19">
        <f>[19]Vendedor26!$J$6</f>
        <v>0</v>
      </c>
      <c r="I21" s="15">
        <f>[19]Vendedor26!$K$6</f>
        <v>0</v>
      </c>
      <c r="J21" s="17">
        <f>[19]Vendedor26!$L$6</f>
        <v>0</v>
      </c>
      <c r="K21" s="19">
        <f t="shared" si="0"/>
        <v>0</v>
      </c>
      <c r="L21" s="15">
        <f t="shared" si="1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>
      <c r="A22" s="20" t="s">
        <v>32</v>
      </c>
      <c r="B22" s="14">
        <f>[20]Vendedor26!$J$4</f>
        <v>0</v>
      </c>
      <c r="C22" s="81">
        <f>[20]Vendedor26!$K$4</f>
        <v>0</v>
      </c>
      <c r="D22" s="82">
        <f>[20]Vendedor26!$L$4</f>
        <v>0</v>
      </c>
      <c r="E22" s="14">
        <f>[20]Vendedor26!$J$5</f>
        <v>0</v>
      </c>
      <c r="F22" s="81">
        <f>[20]Vendedor26!$K$5</f>
        <v>0</v>
      </c>
      <c r="G22" s="85">
        <f>[20]Vendedor26!$L$5</f>
        <v>0</v>
      </c>
      <c r="H22" s="19">
        <f>[20]Vendedor26!$J$6</f>
        <v>0</v>
      </c>
      <c r="I22" s="15">
        <f>[20]Vendedor26!$K$6</f>
        <v>0</v>
      </c>
      <c r="J22" s="17">
        <f>[20]Vendedor26!$L$6</f>
        <v>0</v>
      </c>
      <c r="K22" s="19">
        <f t="shared" si="0"/>
        <v>0</v>
      </c>
      <c r="L22" s="15">
        <f t="shared" si="1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>
      <c r="A23" s="13" t="s">
        <v>33</v>
      </c>
      <c r="B23" s="14">
        <f>[21]Vendedor26!$J$4</f>
        <v>0</v>
      </c>
      <c r="C23" s="81">
        <f>[21]Vendedor26!$K$4</f>
        <v>0</v>
      </c>
      <c r="D23" s="82">
        <f>[21]Vendedor26!$L$4</f>
        <v>0</v>
      </c>
      <c r="E23" s="14">
        <f>[21]Vendedor26!$J$5</f>
        <v>0</v>
      </c>
      <c r="F23" s="81">
        <f>[21]Vendedor26!$K$5</f>
        <v>0</v>
      </c>
      <c r="G23" s="85">
        <f>[21]Vendedor26!$L$5</f>
        <v>0</v>
      </c>
      <c r="H23" s="19">
        <f>[21]Vendedor26!$J$6</f>
        <v>0</v>
      </c>
      <c r="I23" s="15">
        <f>[21]Vendedor26!$K$6</f>
        <v>0</v>
      </c>
      <c r="J23" s="17">
        <f>[21]Vendedor26!$L$6</f>
        <v>0</v>
      </c>
      <c r="K23" s="19">
        <f t="shared" si="0"/>
        <v>0</v>
      </c>
      <c r="L23" s="15">
        <f t="shared" si="1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>
      <c r="A24" s="20" t="s">
        <v>34</v>
      </c>
      <c r="B24" s="14">
        <f>[22]Vendedor26!$J$4</f>
        <v>0</v>
      </c>
      <c r="C24" s="81">
        <f>[22]Vendedor26!$K$4</f>
        <v>0</v>
      </c>
      <c r="D24" s="82">
        <f>[22]Vendedor26!$L$4</f>
        <v>0</v>
      </c>
      <c r="E24" s="14">
        <f>[22]Vendedor26!$J$5</f>
        <v>0</v>
      </c>
      <c r="F24" s="81">
        <f>[22]Vendedor26!$K$5</f>
        <v>0</v>
      </c>
      <c r="G24" s="85">
        <f>[22]Vendedor26!$L$5</f>
        <v>0</v>
      </c>
      <c r="H24" s="19">
        <f>[22]Vendedor26!$J$6</f>
        <v>0</v>
      </c>
      <c r="I24" s="15">
        <f>[22]Vendedor26!$K$6</f>
        <v>0</v>
      </c>
      <c r="J24" s="17">
        <f>[22]Vendedor26!$L$6</f>
        <v>0</v>
      </c>
      <c r="K24" s="19">
        <f t="shared" si="0"/>
        <v>0</v>
      </c>
      <c r="L24" s="15">
        <f t="shared" si="1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>
      <c r="A25" s="13" t="s">
        <v>35</v>
      </c>
      <c r="B25" s="14">
        <f>[23]Vendedor26!$J$4</f>
        <v>0</v>
      </c>
      <c r="C25" s="81">
        <f>[23]Vendedor26!$K$4</f>
        <v>0</v>
      </c>
      <c r="D25" s="82">
        <f>[23]Vendedor26!$L$4</f>
        <v>0</v>
      </c>
      <c r="E25" s="14">
        <f>[23]Vendedor26!$J$5</f>
        <v>0</v>
      </c>
      <c r="F25" s="81">
        <f>[23]Vendedor26!$K$5</f>
        <v>0</v>
      </c>
      <c r="G25" s="85">
        <f>[23]Vendedor26!$L$5</f>
        <v>0</v>
      </c>
      <c r="H25" s="19">
        <f>[23]Vendedor26!$J$6</f>
        <v>0</v>
      </c>
      <c r="I25" s="15">
        <f>[23]Vendedor26!$K$6</f>
        <v>0</v>
      </c>
      <c r="J25" s="17">
        <f>[23]Vendedor26!$L$6</f>
        <v>0</v>
      </c>
      <c r="K25" s="19">
        <f t="shared" si="0"/>
        <v>0</v>
      </c>
      <c r="L25" s="15">
        <f t="shared" si="1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>
      <c r="A26" s="20" t="s">
        <v>36</v>
      </c>
      <c r="B26" s="14">
        <f>[24]Vendedor26!$J$4</f>
        <v>0</v>
      </c>
      <c r="C26" s="81">
        <f>[24]Vendedor26!$K$4</f>
        <v>0</v>
      </c>
      <c r="D26" s="82">
        <f>[24]Vendedor26!$L$4</f>
        <v>0</v>
      </c>
      <c r="E26" s="14">
        <f>[24]Vendedor26!$J$5</f>
        <v>0</v>
      </c>
      <c r="F26" s="81">
        <f>[24]Vendedor26!$K$5</f>
        <v>0</v>
      </c>
      <c r="G26" s="85">
        <f>[24]Vendedor26!$L$5</f>
        <v>0</v>
      </c>
      <c r="H26" s="19">
        <f>[24]Vendedor26!$J$6</f>
        <v>0</v>
      </c>
      <c r="I26" s="15">
        <f>[24]Vendedor26!$K$6</f>
        <v>0</v>
      </c>
      <c r="J26" s="17">
        <f>[24]Vendedor26!$L$6</f>
        <v>0</v>
      </c>
      <c r="K26" s="19">
        <f t="shared" si="0"/>
        <v>0</v>
      </c>
      <c r="L26" s="15">
        <f t="shared" si="1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>
      <c r="A27" s="13" t="s">
        <v>37</v>
      </c>
      <c r="B27" s="14">
        <f>[25]Vendedor26!$J$4</f>
        <v>0</v>
      </c>
      <c r="C27" s="81">
        <f>[25]Vendedor26!$K$4</f>
        <v>0</v>
      </c>
      <c r="D27" s="82">
        <f>[25]Vendedor26!$L$4</f>
        <v>0</v>
      </c>
      <c r="E27" s="14">
        <f>[25]Vendedor26!$J$5</f>
        <v>0</v>
      </c>
      <c r="F27" s="81">
        <f>[25]Vendedor26!$K$5</f>
        <v>0</v>
      </c>
      <c r="G27" s="85">
        <f>[25]Vendedor26!$L$5</f>
        <v>0</v>
      </c>
      <c r="H27" s="19">
        <f>[25]Vendedor26!$J$6</f>
        <v>0</v>
      </c>
      <c r="I27" s="15">
        <f>[25]Vendedor26!$K$6</f>
        <v>0</v>
      </c>
      <c r="J27" s="17">
        <f>[25]Vendedor26!$L$6</f>
        <v>0</v>
      </c>
      <c r="K27" s="19">
        <f t="shared" si="0"/>
        <v>0</v>
      </c>
      <c r="L27" s="15">
        <f t="shared" si="1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>
      <c r="A28" s="20" t="s">
        <v>38</v>
      </c>
      <c r="B28" s="14">
        <f>[26]Vendedor26!$J$4</f>
        <v>0</v>
      </c>
      <c r="C28" s="81">
        <f>[26]Vendedor26!$K$4</f>
        <v>0</v>
      </c>
      <c r="D28" s="82">
        <f>[26]Vendedor26!$L$4</f>
        <v>0</v>
      </c>
      <c r="E28" s="14">
        <f>[26]Vendedor26!$J$5</f>
        <v>0</v>
      </c>
      <c r="F28" s="81">
        <f>[26]Vendedor26!$K$5</f>
        <v>0</v>
      </c>
      <c r="G28" s="85">
        <f>[26]Vendedor26!$L$5</f>
        <v>0</v>
      </c>
      <c r="H28" s="19">
        <f>[26]Vendedor26!$J$6</f>
        <v>0</v>
      </c>
      <c r="I28" s="15">
        <f>[26]Vendedor26!$K$6</f>
        <v>0</v>
      </c>
      <c r="J28" s="17">
        <f>[26]Vendedor26!$L$6</f>
        <v>0</v>
      </c>
      <c r="K28" s="19">
        <f t="shared" si="0"/>
        <v>0</v>
      </c>
      <c r="L28" s="15">
        <f t="shared" si="1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>
      <c r="A29" s="13" t="s">
        <v>39</v>
      </c>
      <c r="B29" s="14">
        <f>[27]Vendedor26!$J$4</f>
        <v>0</v>
      </c>
      <c r="C29" s="81">
        <f>[27]Vendedor26!$K$4</f>
        <v>0</v>
      </c>
      <c r="D29" s="82">
        <f>[27]Vendedor26!$L$4</f>
        <v>0</v>
      </c>
      <c r="E29" s="14">
        <f>[27]Vendedor26!$J$5</f>
        <v>0</v>
      </c>
      <c r="F29" s="81">
        <f>[27]Vendedor26!$K$5</f>
        <v>0</v>
      </c>
      <c r="G29" s="85">
        <f>[27]Vendedor26!$L$5</f>
        <v>0</v>
      </c>
      <c r="H29" s="19">
        <f>[27]Vendedor26!$J$6</f>
        <v>0</v>
      </c>
      <c r="I29" s="15">
        <f>[27]Vendedor26!$K$6</f>
        <v>0</v>
      </c>
      <c r="J29" s="17">
        <f>[27]Vendedor26!$L$6</f>
        <v>0</v>
      </c>
      <c r="K29" s="19">
        <f t="shared" si="0"/>
        <v>0</v>
      </c>
      <c r="L29" s="15">
        <f t="shared" si="1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>
      <c r="A30" s="20" t="s">
        <v>40</v>
      </c>
      <c r="B30" s="14">
        <f>[28]Vendedor26!$J$4</f>
        <v>0</v>
      </c>
      <c r="C30" s="81">
        <f>[28]Vendedor26!$K$4</f>
        <v>0</v>
      </c>
      <c r="D30" s="82">
        <f>[28]Vendedor26!$L$4</f>
        <v>0</v>
      </c>
      <c r="E30" s="14">
        <f>[28]Vendedor26!$J$5</f>
        <v>0</v>
      </c>
      <c r="F30" s="81">
        <f>[28]Vendedor26!$K$5</f>
        <v>0</v>
      </c>
      <c r="G30" s="85">
        <f>[28]Vendedor26!$L$5</f>
        <v>0</v>
      </c>
      <c r="H30" s="19">
        <f>[28]Vendedor26!$J$6</f>
        <v>0</v>
      </c>
      <c r="I30" s="15">
        <f>[28]Vendedor26!$K$6</f>
        <v>0</v>
      </c>
      <c r="J30" s="17">
        <f>[28]Vendedor26!$L$6</f>
        <v>0</v>
      </c>
      <c r="K30" s="19">
        <f t="shared" si="0"/>
        <v>0</v>
      </c>
      <c r="L30" s="15">
        <f t="shared" si="1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>
      <c r="A31" s="20" t="s">
        <v>41</v>
      </c>
      <c r="B31" s="14">
        <f>[29]Vendedor26!$J$4</f>
        <v>0</v>
      </c>
      <c r="C31" s="81">
        <f>[29]Vendedor26!$K$4</f>
        <v>0</v>
      </c>
      <c r="D31" s="82">
        <f>[29]Vendedor26!$L$4</f>
        <v>0</v>
      </c>
      <c r="E31" s="14">
        <f>[29]Vendedor26!$J$5</f>
        <v>0</v>
      </c>
      <c r="F31" s="81">
        <f>[29]Vendedor26!$K$5</f>
        <v>0</v>
      </c>
      <c r="G31" s="85">
        <f>[29]Vendedor26!$L$5</f>
        <v>0</v>
      </c>
      <c r="H31" s="19">
        <f>[29]Vendedor26!$J$6</f>
        <v>0</v>
      </c>
      <c r="I31" s="15">
        <f>[29]Vendedor26!$K$6</f>
        <v>0</v>
      </c>
      <c r="J31" s="17">
        <f>[29]Vendedor26!$L$6</f>
        <v>0</v>
      </c>
      <c r="K31" s="19">
        <f t="shared" si="0"/>
        <v>0</v>
      </c>
      <c r="L31" s="15">
        <f t="shared" si="1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>
      <c r="A32" s="13" t="s">
        <v>42</v>
      </c>
      <c r="B32" s="14">
        <f>[30]Vendedor26!$J$4</f>
        <v>0</v>
      </c>
      <c r="C32" s="81">
        <f>[30]Vendedor26!$K$4</f>
        <v>0</v>
      </c>
      <c r="D32" s="82">
        <f>[30]Vendedor26!$L$4</f>
        <v>0</v>
      </c>
      <c r="E32" s="14">
        <f>[30]Vendedor26!$J$5</f>
        <v>0</v>
      </c>
      <c r="F32" s="81">
        <f>[30]Vendedor26!$K$5</f>
        <v>0</v>
      </c>
      <c r="G32" s="85">
        <f>[30]Vendedor26!$L$5</f>
        <v>0</v>
      </c>
      <c r="H32" s="19">
        <f>[30]Vendedor26!$J$6</f>
        <v>0</v>
      </c>
      <c r="I32" s="15">
        <f>[30]Vendedor26!$K$6</f>
        <v>0</v>
      </c>
      <c r="J32" s="17">
        <f>[30]Vendedor26!$L$6</f>
        <v>0</v>
      </c>
      <c r="K32" s="19">
        <f t="shared" si="0"/>
        <v>0</v>
      </c>
      <c r="L32" s="15">
        <f t="shared" si="1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>
      <c r="A33" s="20" t="s">
        <v>43</v>
      </c>
      <c r="B33" s="14">
        <f>[31]Vendedor26!$J$4</f>
        <v>0</v>
      </c>
      <c r="C33" s="81">
        <f>[31]Vendedor26!$K$4</f>
        <v>0</v>
      </c>
      <c r="D33" s="82">
        <f>[31]Vendedor26!$L$4</f>
        <v>0</v>
      </c>
      <c r="E33" s="14">
        <f>[31]Vendedor26!$J$5</f>
        <v>0</v>
      </c>
      <c r="F33" s="81">
        <f>[31]Vendedor26!$K$5</f>
        <v>0</v>
      </c>
      <c r="G33" s="85">
        <f>[31]Vendedor26!$L$5</f>
        <v>0</v>
      </c>
      <c r="H33" s="19">
        <f>[31]Vendedor26!$J$6</f>
        <v>0</v>
      </c>
      <c r="I33" s="15">
        <f>[31]Vendedor26!$K$6</f>
        <v>0</v>
      </c>
      <c r="J33" s="17">
        <f>[31]Vendedor26!$L$6</f>
        <v>0</v>
      </c>
      <c r="K33" s="19">
        <f t="shared" si="0"/>
        <v>0</v>
      </c>
      <c r="L33" s="15">
        <f t="shared" si="1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>
      <c r="A34" s="13" t="s">
        <v>44</v>
      </c>
      <c r="B34" s="14">
        <f>[10]Vendedor26!$J$4</f>
        <v>0</v>
      </c>
      <c r="C34" s="81">
        <f>[10]Vendedor26!$K$4</f>
        <v>0</v>
      </c>
      <c r="D34" s="82">
        <f>[10]Vendedor26!$L$4</f>
        <v>0</v>
      </c>
      <c r="E34" s="14">
        <f>[10]Vendedor26!$J$5</f>
        <v>0</v>
      </c>
      <c r="F34" s="81">
        <f>[10]Vendedor26!$K$5</f>
        <v>0</v>
      </c>
      <c r="G34" s="85">
        <f>[10]Vendedor26!$L$5</f>
        <v>0</v>
      </c>
      <c r="H34" s="19">
        <f>[10]Vendedor26!$J$6</f>
        <v>0</v>
      </c>
      <c r="I34" s="15">
        <f>[10]Vendedor26!$K$6</f>
        <v>0</v>
      </c>
      <c r="J34" s="17">
        <f>[10]Vendedor26!$L$6</f>
        <v>0</v>
      </c>
      <c r="K34" s="19">
        <f t="shared" si="0"/>
        <v>0</v>
      </c>
      <c r="L34" s="15">
        <f t="shared" si="1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>
      <c r="A35" s="20" t="s">
        <v>45</v>
      </c>
      <c r="B35" s="21">
        <f>[11]Vendedor26!$J$4</f>
        <v>0</v>
      </c>
      <c r="C35" s="83">
        <f>[11]Vendedor26!$K$4</f>
        <v>0</v>
      </c>
      <c r="D35" s="84">
        <f>[11]Vendedor26!$L$4</f>
        <v>0</v>
      </c>
      <c r="E35" s="21">
        <f>[11]Vendedor26!$J$5</f>
        <v>0</v>
      </c>
      <c r="F35" s="83">
        <f>[11]Vendedor26!$K$5</f>
        <v>0</v>
      </c>
      <c r="G35" s="86">
        <f>[11]Vendedor26!$L$5</f>
        <v>0</v>
      </c>
      <c r="H35" s="26">
        <f>[11]Vendedor26!$J$6</f>
        <v>0</v>
      </c>
      <c r="I35" s="22">
        <f>[11]Vendedor26!$K$6</f>
        <v>0</v>
      </c>
      <c r="J35" s="24">
        <f>[11]Vendedor26!$L$6</f>
        <v>0</v>
      </c>
      <c r="K35" s="26">
        <f t="shared" si="0"/>
        <v>0</v>
      </c>
      <c r="L35" s="22">
        <f t="shared" si="1"/>
        <v>0</v>
      </c>
      <c r="M35" s="22">
        <f t="shared" si="2"/>
        <v>0</v>
      </c>
      <c r="N35" s="22">
        <v>0</v>
      </c>
      <c r="O35" s="24">
        <f t="shared" si="3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1" width="11.42578125" style="1"/>
    <col min="12" max="12" width="11.85546875" style="1" customWidth="1"/>
    <col min="13" max="14" width="11.42578125" style="1"/>
    <col min="15" max="15" width="12.1406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70</v>
      </c>
      <c r="C2" s="137"/>
      <c r="D2" s="137"/>
      <c r="I2" s="3" t="s">
        <v>2</v>
      </c>
      <c r="J2" s="4">
        <v>0.12</v>
      </c>
      <c r="K2" s="3" t="s">
        <v>3</v>
      </c>
      <c r="L2" s="4">
        <v>0.14000000000000001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[1]Resumen!$B$29</f>
        <v>0</v>
      </c>
      <c r="C5" s="58">
        <f>[1]Resumen!$C$29</f>
        <v>0</v>
      </c>
      <c r="D5" s="54">
        <f>[1]Resumen!$D$29</f>
        <v>0</v>
      </c>
      <c r="E5" s="53">
        <f>[1]Resumen!$E$29</f>
        <v>0</v>
      </c>
      <c r="F5" s="58">
        <f>[1]Resumen!$F$29</f>
        <v>0</v>
      </c>
      <c r="G5" s="55">
        <f>[1]Resumen!$G$29</f>
        <v>0</v>
      </c>
      <c r="H5" s="61">
        <f>[1]Resumen!$H$29</f>
        <v>0</v>
      </c>
      <c r="I5" s="58">
        <f>[1]Resumen!$I$29</f>
        <v>0</v>
      </c>
      <c r="J5" s="54">
        <f>[1]Resumen!$J$29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[2]Resumen!$B$29</f>
        <v>0</v>
      </c>
      <c r="C6" s="15">
        <f>[2]Resumen!$C$29</f>
        <v>0</v>
      </c>
      <c r="D6" s="16">
        <f>[2]Resumen!$D$29</f>
        <v>0</v>
      </c>
      <c r="E6" s="14">
        <f>[2]Resumen!$E$29</f>
        <v>0</v>
      </c>
      <c r="F6" s="15">
        <f>[2]Resumen!$F$29</f>
        <v>0</v>
      </c>
      <c r="G6" s="17">
        <f>[2]Resumen!$G$29</f>
        <v>0</v>
      </c>
      <c r="H6" s="18">
        <f>[2]Resumen!$H$29</f>
        <v>0</v>
      </c>
      <c r="I6" s="15">
        <f>[2]Resumen!$I$29</f>
        <v>0</v>
      </c>
      <c r="J6" s="16">
        <f>[2]Resumen!$J$29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[3]Resumen!$B$29</f>
        <v>0</v>
      </c>
      <c r="C7" s="15">
        <f>[3]Resumen!$C$29</f>
        <v>0</v>
      </c>
      <c r="D7" s="16">
        <f>[3]Resumen!$D$29</f>
        <v>0</v>
      </c>
      <c r="E7" s="14">
        <f>[3]Resumen!$E$29</f>
        <v>0</v>
      </c>
      <c r="F7" s="15">
        <f>[3]Resumen!$F$29</f>
        <v>0</v>
      </c>
      <c r="G7" s="17">
        <f>[3]Resumen!$G$29</f>
        <v>0</v>
      </c>
      <c r="H7" s="18">
        <f>[3]Resumen!$H$29</f>
        <v>0</v>
      </c>
      <c r="I7" s="15">
        <f>[3]Resumen!$I$29</f>
        <v>0</v>
      </c>
      <c r="J7" s="16">
        <f>[3]Resumen!$J$29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[4]Resumen!$B$29</f>
        <v>0</v>
      </c>
      <c r="C8" s="15">
        <f>[4]Resumen!$C$29</f>
        <v>0</v>
      </c>
      <c r="D8" s="16">
        <f>[4]Resumen!$D$29</f>
        <v>0</v>
      </c>
      <c r="E8" s="14">
        <f>[4]Resumen!$E$29</f>
        <v>0</v>
      </c>
      <c r="F8" s="15">
        <f>[4]Resumen!$F$29</f>
        <v>0</v>
      </c>
      <c r="G8" s="17">
        <f>[4]Resumen!$G$29</f>
        <v>0</v>
      </c>
      <c r="H8" s="18">
        <f>[4]Resumen!$H$29</f>
        <v>0</v>
      </c>
      <c r="I8" s="15">
        <f>[4]Resumen!$I$29</f>
        <v>0</v>
      </c>
      <c r="J8" s="16">
        <f>[4]Resumen!$J$29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[5]Resumen!$B$29</f>
        <v>0</v>
      </c>
      <c r="C9" s="15">
        <f>[5]Resumen!$C$29</f>
        <v>0</v>
      </c>
      <c r="D9" s="16">
        <f>[5]Resumen!$D$29</f>
        <v>0</v>
      </c>
      <c r="E9" s="14">
        <f>[5]Resumen!$E$29</f>
        <v>0</v>
      </c>
      <c r="F9" s="15">
        <f>[5]Resumen!$F$29</f>
        <v>0</v>
      </c>
      <c r="G9" s="17">
        <f>[5]Resumen!$G$29</f>
        <v>0</v>
      </c>
      <c r="H9" s="18">
        <f>[5]Resumen!$H$29</f>
        <v>0</v>
      </c>
      <c r="I9" s="15">
        <f>[5]Resumen!$I$29</f>
        <v>0</v>
      </c>
      <c r="J9" s="16">
        <f>[5]Resumen!$J$29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[6]Resumen!$B$29</f>
        <v>0</v>
      </c>
      <c r="C10" s="15">
        <f>[6]Resumen!$C$29</f>
        <v>0</v>
      </c>
      <c r="D10" s="16">
        <f>[6]Resumen!$D$29</f>
        <v>0</v>
      </c>
      <c r="E10" s="14">
        <f>[6]Resumen!$E$29</f>
        <v>0</v>
      </c>
      <c r="F10" s="15">
        <f>[6]Resumen!$F$29</f>
        <v>0</v>
      </c>
      <c r="G10" s="17">
        <f>[6]Resumen!$G$29</f>
        <v>0</v>
      </c>
      <c r="H10" s="18">
        <f>[6]Resumen!$H$29</f>
        <v>0</v>
      </c>
      <c r="I10" s="15">
        <f>[6]Resumen!$I$29</f>
        <v>0</v>
      </c>
      <c r="J10" s="16">
        <f>[6]Resumen!$J$29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[7]Resumen!$B$29</f>
        <v>0</v>
      </c>
      <c r="C11" s="15">
        <f>[7]Resumen!$C$29</f>
        <v>0</v>
      </c>
      <c r="D11" s="16">
        <f>[7]Resumen!$D$29</f>
        <v>0</v>
      </c>
      <c r="E11" s="14">
        <f>[7]Resumen!$E$29</f>
        <v>0</v>
      </c>
      <c r="F11" s="15">
        <f>[7]Resumen!$F$29</f>
        <v>0</v>
      </c>
      <c r="G11" s="17">
        <f>[7]Resumen!$G$29</f>
        <v>0</v>
      </c>
      <c r="H11" s="18">
        <f>[7]Resumen!$H$29</f>
        <v>0</v>
      </c>
      <c r="I11" s="15">
        <f>[7]Resumen!$I$29</f>
        <v>0</v>
      </c>
      <c r="J11" s="16">
        <f>[7]Resumen!$J$29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[8]Resumen!$B$29</f>
        <v>0</v>
      </c>
      <c r="C12" s="15">
        <f>[8]Resumen!$C$29</f>
        <v>0</v>
      </c>
      <c r="D12" s="16">
        <f>[8]Resumen!$D$29</f>
        <v>0</v>
      </c>
      <c r="E12" s="14">
        <f>[8]Resumen!$E$29</f>
        <v>0</v>
      </c>
      <c r="F12" s="15">
        <f>[8]Resumen!$F$29</f>
        <v>0</v>
      </c>
      <c r="G12" s="17">
        <f>[8]Resumen!$G$29</f>
        <v>0</v>
      </c>
      <c r="H12" s="18">
        <f>[8]Resumen!$H$29</f>
        <v>0</v>
      </c>
      <c r="I12" s="15">
        <f>[8]Resumen!$I$29</f>
        <v>0</v>
      </c>
      <c r="J12" s="16">
        <f>[8]Resumen!$J$29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[9]Resumen!$B$29</f>
        <v>0</v>
      </c>
      <c r="C13" s="15">
        <f>[9]Resumen!$C$29</f>
        <v>0</v>
      </c>
      <c r="D13" s="16">
        <f>[9]Resumen!$D$29</f>
        <v>0</v>
      </c>
      <c r="E13" s="14">
        <f>[9]Resumen!$E$29</f>
        <v>0</v>
      </c>
      <c r="F13" s="15">
        <f>[9]Resumen!$F$29</f>
        <v>0</v>
      </c>
      <c r="G13" s="17">
        <f>[9]Resumen!$G$29</f>
        <v>0</v>
      </c>
      <c r="H13" s="18">
        <f>[9]Resumen!$H$29</f>
        <v>0</v>
      </c>
      <c r="I13" s="15">
        <f>[9]Resumen!$I$29</f>
        <v>0</v>
      </c>
      <c r="J13" s="16">
        <f>[9]Resumen!$J$29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[12]Resumen!$B$29</f>
        <v>0</v>
      </c>
      <c r="C14" s="15">
        <f>[12]Resumen!$C$29</f>
        <v>0</v>
      </c>
      <c r="D14" s="16">
        <f>[12]Resumen!$D$29</f>
        <v>0</v>
      </c>
      <c r="E14" s="14">
        <f>[12]Resumen!$E$29</f>
        <v>0</v>
      </c>
      <c r="F14" s="15">
        <f>[12]Resumen!$F$29</f>
        <v>0</v>
      </c>
      <c r="G14" s="17">
        <f>[12]Resumen!$G$29</f>
        <v>0</v>
      </c>
      <c r="H14" s="18">
        <f>[12]Resumen!$H$29</f>
        <v>0</v>
      </c>
      <c r="I14" s="15">
        <f>[12]Resumen!$I$29</f>
        <v>0</v>
      </c>
      <c r="J14" s="16">
        <f>[12]Resumen!$J$29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[13]Resumen!$B$29</f>
        <v>0</v>
      </c>
      <c r="C15" s="15">
        <f>[13]Resumen!$C$29</f>
        <v>0</v>
      </c>
      <c r="D15" s="16">
        <f>[13]Resumen!$D$29</f>
        <v>0</v>
      </c>
      <c r="E15" s="14">
        <f>[13]Resumen!$E$29</f>
        <v>0</v>
      </c>
      <c r="F15" s="15">
        <f>[13]Resumen!$F$29</f>
        <v>0</v>
      </c>
      <c r="G15" s="17">
        <f>[13]Resumen!$G$29</f>
        <v>0</v>
      </c>
      <c r="H15" s="18">
        <f>[13]Resumen!$H$29</f>
        <v>0</v>
      </c>
      <c r="I15" s="15">
        <f>[13]Resumen!$I$29</f>
        <v>0</v>
      </c>
      <c r="J15" s="16">
        <f>[13]Resumen!$J$29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[14]Resumen!$B$29</f>
        <v>0</v>
      </c>
      <c r="C16" s="15">
        <f>[14]Resumen!$C$29</f>
        <v>0</v>
      </c>
      <c r="D16" s="16">
        <f>[14]Resumen!$D$29</f>
        <v>0</v>
      </c>
      <c r="E16" s="14">
        <f>[14]Resumen!$E$29</f>
        <v>0</v>
      </c>
      <c r="F16" s="15">
        <f>[14]Resumen!$F$29</f>
        <v>0</v>
      </c>
      <c r="G16" s="17">
        <f>[14]Resumen!$G$29</f>
        <v>0</v>
      </c>
      <c r="H16" s="18">
        <f>[14]Resumen!$H$29</f>
        <v>0</v>
      </c>
      <c r="I16" s="15">
        <f>[14]Resumen!$I$29</f>
        <v>0</v>
      </c>
      <c r="J16" s="16">
        <f>[14]Resumen!$J$29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[15]Resumen!$B$29</f>
        <v>0</v>
      </c>
      <c r="C17" s="15">
        <f>[15]Resumen!$C$29</f>
        <v>0</v>
      </c>
      <c r="D17" s="16">
        <f>[15]Resumen!$D$29</f>
        <v>0</v>
      </c>
      <c r="E17" s="14">
        <f>[15]Resumen!$E$29</f>
        <v>0</v>
      </c>
      <c r="F17" s="15">
        <f>[15]Resumen!$F$29</f>
        <v>0</v>
      </c>
      <c r="G17" s="17">
        <f>[15]Resumen!$G$29</f>
        <v>0</v>
      </c>
      <c r="H17" s="18">
        <f>[15]Resumen!$H$29</f>
        <v>0</v>
      </c>
      <c r="I17" s="15">
        <f>[15]Resumen!$I$29</f>
        <v>0</v>
      </c>
      <c r="J17" s="16">
        <f>[15]Resumen!$J$29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[16]Resumen!$B$29</f>
        <v>0</v>
      </c>
      <c r="C18" s="15">
        <f>[16]Resumen!$C$29</f>
        <v>0</v>
      </c>
      <c r="D18" s="16">
        <f>[16]Resumen!$D$29</f>
        <v>0</v>
      </c>
      <c r="E18" s="14">
        <f>[16]Resumen!$E$29</f>
        <v>0</v>
      </c>
      <c r="F18" s="15">
        <f>[16]Resumen!$F$29</f>
        <v>0</v>
      </c>
      <c r="G18" s="17">
        <f>[16]Resumen!$G$29</f>
        <v>0</v>
      </c>
      <c r="H18" s="18">
        <f>[16]Resumen!$H$29</f>
        <v>0</v>
      </c>
      <c r="I18" s="15">
        <f>[16]Resumen!$I$29</f>
        <v>0</v>
      </c>
      <c r="J18" s="16">
        <f>[16]Resumen!$J$29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[17]Resumen!$B$29</f>
        <v>0</v>
      </c>
      <c r="C19" s="15">
        <f>[17]Resumen!$C$29</f>
        <v>0</v>
      </c>
      <c r="D19" s="16">
        <f>[17]Resumen!$D$29</f>
        <v>0</v>
      </c>
      <c r="E19" s="14">
        <f>[17]Resumen!$E$29</f>
        <v>0</v>
      </c>
      <c r="F19" s="15">
        <f>[17]Resumen!$F$29</f>
        <v>0</v>
      </c>
      <c r="G19" s="17">
        <f>[17]Resumen!$G$29</f>
        <v>0</v>
      </c>
      <c r="H19" s="18">
        <f>[17]Resumen!$H$29</f>
        <v>0</v>
      </c>
      <c r="I19" s="15">
        <f>[17]Resumen!$I$29</f>
        <v>0</v>
      </c>
      <c r="J19" s="16">
        <f>[17]Resumen!$J$29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[18]Resumen!$B$29</f>
        <v>0</v>
      </c>
      <c r="C20" s="15">
        <f>[18]Resumen!$C$29</f>
        <v>0</v>
      </c>
      <c r="D20" s="16">
        <f>[18]Resumen!$D$29</f>
        <v>0</v>
      </c>
      <c r="E20" s="14">
        <f>[18]Resumen!$E$29</f>
        <v>0</v>
      </c>
      <c r="F20" s="15">
        <f>[18]Resumen!$F$29</f>
        <v>0</v>
      </c>
      <c r="G20" s="17">
        <f>[18]Resumen!$G$29</f>
        <v>0</v>
      </c>
      <c r="H20" s="18">
        <f>[18]Resumen!$H$29</f>
        <v>0</v>
      </c>
      <c r="I20" s="15">
        <f>[18]Resumen!$I$29</f>
        <v>0</v>
      </c>
      <c r="J20" s="16">
        <f>[18]Resumen!$J$29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[19]Resumen!$B$29</f>
        <v>0</v>
      </c>
      <c r="C21" s="15">
        <f>[19]Resumen!$C$29</f>
        <v>0</v>
      </c>
      <c r="D21" s="16">
        <f>[19]Resumen!$D$29</f>
        <v>0</v>
      </c>
      <c r="E21" s="14">
        <f>[19]Resumen!$E$29</f>
        <v>0</v>
      </c>
      <c r="F21" s="15">
        <f>[19]Resumen!$F$29</f>
        <v>0</v>
      </c>
      <c r="G21" s="17">
        <f>[19]Resumen!$G$29</f>
        <v>0</v>
      </c>
      <c r="H21" s="18">
        <f>[19]Resumen!$H$29</f>
        <v>0</v>
      </c>
      <c r="I21" s="15">
        <f>[19]Resumen!$I$29</f>
        <v>0</v>
      </c>
      <c r="J21" s="16">
        <f>[19]Resumen!$J$29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[20]Resumen!$B$29</f>
        <v>0</v>
      </c>
      <c r="C22" s="15">
        <f>[20]Resumen!$C$29</f>
        <v>0</v>
      </c>
      <c r="D22" s="16">
        <f>[20]Resumen!$D$29</f>
        <v>0</v>
      </c>
      <c r="E22" s="14">
        <f>[20]Resumen!$E$29</f>
        <v>0</v>
      </c>
      <c r="F22" s="15">
        <f>[20]Resumen!$F$29</f>
        <v>0</v>
      </c>
      <c r="G22" s="17">
        <f>[20]Resumen!$G$29</f>
        <v>0</v>
      </c>
      <c r="H22" s="18">
        <f>[20]Resumen!$H$29</f>
        <v>0</v>
      </c>
      <c r="I22" s="15">
        <f>[20]Resumen!$I$29</f>
        <v>0</v>
      </c>
      <c r="J22" s="16">
        <f>[20]Resumen!$J$29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[21]Resumen!$B$29</f>
        <v>0</v>
      </c>
      <c r="C23" s="15">
        <f>[21]Resumen!$C$29</f>
        <v>0</v>
      </c>
      <c r="D23" s="16">
        <f>[21]Resumen!$D$29</f>
        <v>0</v>
      </c>
      <c r="E23" s="14">
        <f>[21]Resumen!$E$29</f>
        <v>0</v>
      </c>
      <c r="F23" s="15">
        <f>[21]Resumen!$F$29</f>
        <v>0</v>
      </c>
      <c r="G23" s="17">
        <f>[21]Resumen!$G$29</f>
        <v>0</v>
      </c>
      <c r="H23" s="18">
        <f>[21]Resumen!$H$29</f>
        <v>0</v>
      </c>
      <c r="I23" s="15">
        <f>[21]Resumen!$I$29</f>
        <v>0</v>
      </c>
      <c r="J23" s="16">
        <f>[21]Resumen!$J$29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[22]Resumen!$B$29</f>
        <v>0</v>
      </c>
      <c r="C24" s="15">
        <f>[22]Resumen!$C$29</f>
        <v>0</v>
      </c>
      <c r="D24" s="16">
        <f>[22]Resumen!$D$29</f>
        <v>0</v>
      </c>
      <c r="E24" s="14">
        <f>[22]Resumen!$E$29</f>
        <v>0</v>
      </c>
      <c r="F24" s="15">
        <f>[22]Resumen!$F$29</f>
        <v>0</v>
      </c>
      <c r="G24" s="17">
        <f>[22]Resumen!$G$29</f>
        <v>0</v>
      </c>
      <c r="H24" s="18">
        <f>[22]Resumen!$H$29</f>
        <v>0</v>
      </c>
      <c r="I24" s="15">
        <f>[22]Resumen!$I$29</f>
        <v>0</v>
      </c>
      <c r="J24" s="16">
        <f>[22]Resumen!$J$29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[23]Resumen!$B$29</f>
        <v>0</v>
      </c>
      <c r="C25" s="15">
        <f>[23]Resumen!$C$29</f>
        <v>0</v>
      </c>
      <c r="D25" s="16">
        <f>[23]Resumen!$D$29</f>
        <v>0</v>
      </c>
      <c r="E25" s="14">
        <f>[23]Resumen!$E$29</f>
        <v>0</v>
      </c>
      <c r="F25" s="15">
        <f>[23]Resumen!$F$29</f>
        <v>0</v>
      </c>
      <c r="G25" s="17">
        <f>[23]Resumen!$G$29</f>
        <v>0</v>
      </c>
      <c r="H25" s="18">
        <f>[23]Resumen!$H$29</f>
        <v>0</v>
      </c>
      <c r="I25" s="15">
        <f>[23]Resumen!$I$29</f>
        <v>0</v>
      </c>
      <c r="J25" s="16">
        <f>[23]Resumen!$J$29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[24]Resumen!$B$29</f>
        <v>0</v>
      </c>
      <c r="C26" s="15">
        <f>[24]Resumen!$C$29</f>
        <v>0</v>
      </c>
      <c r="D26" s="16">
        <f>[24]Resumen!$D$29</f>
        <v>0</v>
      </c>
      <c r="E26" s="14">
        <f>[24]Resumen!$E$29</f>
        <v>0</v>
      </c>
      <c r="F26" s="15">
        <f>[24]Resumen!$F$29</f>
        <v>0</v>
      </c>
      <c r="G26" s="17">
        <f>[24]Resumen!$G$29</f>
        <v>0</v>
      </c>
      <c r="H26" s="18">
        <f>[24]Resumen!$H$29</f>
        <v>0</v>
      </c>
      <c r="I26" s="15">
        <f>[24]Resumen!$I$29</f>
        <v>0</v>
      </c>
      <c r="J26" s="16">
        <f>[24]Resumen!$J$29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[25]Resumen!$B$29</f>
        <v>0</v>
      </c>
      <c r="C27" s="15">
        <f>[25]Resumen!$C$29</f>
        <v>0</v>
      </c>
      <c r="D27" s="16">
        <f>[25]Resumen!$D$29</f>
        <v>0</v>
      </c>
      <c r="E27" s="14">
        <f>[25]Resumen!$E$29</f>
        <v>0</v>
      </c>
      <c r="F27" s="15">
        <f>[25]Resumen!$F$29</f>
        <v>0</v>
      </c>
      <c r="G27" s="17">
        <f>[25]Resumen!$G$29</f>
        <v>0</v>
      </c>
      <c r="H27" s="18">
        <f>[25]Resumen!$H$29</f>
        <v>0</v>
      </c>
      <c r="I27" s="15">
        <f>[25]Resumen!$I$29</f>
        <v>0</v>
      </c>
      <c r="J27" s="16">
        <f>[25]Resumen!$J$29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[26]Resumen!$B$29</f>
        <v>0</v>
      </c>
      <c r="C28" s="15">
        <f>[26]Resumen!$C$29</f>
        <v>0</v>
      </c>
      <c r="D28" s="16">
        <f>[26]Resumen!$D$29</f>
        <v>0</v>
      </c>
      <c r="E28" s="14">
        <f>[26]Resumen!$E$29</f>
        <v>0</v>
      </c>
      <c r="F28" s="15">
        <f>[26]Resumen!$F$29</f>
        <v>0</v>
      </c>
      <c r="G28" s="17">
        <f>[26]Resumen!$G$29</f>
        <v>0</v>
      </c>
      <c r="H28" s="18">
        <f>[26]Resumen!$H$29</f>
        <v>0</v>
      </c>
      <c r="I28" s="15">
        <f>[26]Resumen!$I$29</f>
        <v>0</v>
      </c>
      <c r="J28" s="16">
        <f>[26]Resumen!$J$29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[27]Resumen!$B$29</f>
        <v>0</v>
      </c>
      <c r="C29" s="15">
        <f>[27]Resumen!$C$29</f>
        <v>0</v>
      </c>
      <c r="D29" s="16">
        <f>[27]Resumen!$D$29</f>
        <v>0</v>
      </c>
      <c r="E29" s="14">
        <f>[27]Resumen!$E$29</f>
        <v>0</v>
      </c>
      <c r="F29" s="15">
        <f>[27]Resumen!$F$29</f>
        <v>0</v>
      </c>
      <c r="G29" s="17">
        <f>[27]Resumen!$G$29</f>
        <v>0</v>
      </c>
      <c r="H29" s="18">
        <f>[27]Resumen!$H$29</f>
        <v>0</v>
      </c>
      <c r="I29" s="15">
        <f>[27]Resumen!$I$29</f>
        <v>0</v>
      </c>
      <c r="J29" s="16">
        <f>[27]Resumen!$J$29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[28]Resumen!$B$29</f>
        <v>0</v>
      </c>
      <c r="C30" s="15">
        <f>[28]Resumen!$C$29</f>
        <v>0</v>
      </c>
      <c r="D30" s="16">
        <f>[28]Resumen!$D$29</f>
        <v>0</v>
      </c>
      <c r="E30" s="14">
        <f>[28]Resumen!$E$29</f>
        <v>0</v>
      </c>
      <c r="F30" s="15">
        <f>[28]Resumen!$F$29</f>
        <v>0</v>
      </c>
      <c r="G30" s="17">
        <f>[28]Resumen!$G$29</f>
        <v>0</v>
      </c>
      <c r="H30" s="18">
        <f>[28]Resumen!$H$29</f>
        <v>0</v>
      </c>
      <c r="I30" s="15">
        <f>[28]Resumen!$I$29</f>
        <v>0</v>
      </c>
      <c r="J30" s="16">
        <f>[28]Resumen!$J$29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[29]Resumen!$B$29</f>
        <v>0</v>
      </c>
      <c r="C31" s="15">
        <f>[29]Resumen!$C$29</f>
        <v>0</v>
      </c>
      <c r="D31" s="16">
        <f>[29]Resumen!$D$29</f>
        <v>0</v>
      </c>
      <c r="E31" s="14">
        <f>[29]Resumen!$E$29</f>
        <v>0</v>
      </c>
      <c r="F31" s="15">
        <f>[29]Resumen!$F$29</f>
        <v>0</v>
      </c>
      <c r="G31" s="17">
        <f>[29]Resumen!$G$29</f>
        <v>0</v>
      </c>
      <c r="H31" s="18">
        <f>[29]Resumen!$H$29</f>
        <v>0</v>
      </c>
      <c r="I31" s="15">
        <f>[29]Resumen!$I$29</f>
        <v>0</v>
      </c>
      <c r="J31" s="16">
        <f>[29]Resumen!$J$29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[30]Resumen!$B$29</f>
        <v>0</v>
      </c>
      <c r="C32" s="15">
        <f>[30]Resumen!$C$29</f>
        <v>0</v>
      </c>
      <c r="D32" s="16">
        <f>[30]Resumen!$D$29</f>
        <v>0</v>
      </c>
      <c r="E32" s="14">
        <f>[30]Resumen!$E$29</f>
        <v>0</v>
      </c>
      <c r="F32" s="15">
        <f>[30]Resumen!$F$29</f>
        <v>0</v>
      </c>
      <c r="G32" s="17">
        <f>[30]Resumen!$G$29</f>
        <v>0</v>
      </c>
      <c r="H32" s="18">
        <f>[30]Resumen!$H$29</f>
        <v>0</v>
      </c>
      <c r="I32" s="15">
        <f>[30]Resumen!$I$29</f>
        <v>0</v>
      </c>
      <c r="J32" s="16">
        <f>[30]Resumen!$J$29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[31]Resumen!$B$29</f>
        <v>0</v>
      </c>
      <c r="C33" s="15">
        <f>[31]Resumen!$C$29</f>
        <v>0</v>
      </c>
      <c r="D33" s="16">
        <f>[31]Resumen!$D$29</f>
        <v>0</v>
      </c>
      <c r="E33" s="14">
        <f>[31]Resumen!$E$29</f>
        <v>0</v>
      </c>
      <c r="F33" s="15">
        <f>[31]Resumen!$F$29</f>
        <v>0</v>
      </c>
      <c r="G33" s="17">
        <f>[31]Resumen!$G$29</f>
        <v>0</v>
      </c>
      <c r="H33" s="18">
        <f>[31]Resumen!$H$29</f>
        <v>0</v>
      </c>
      <c r="I33" s="15">
        <f>[31]Resumen!$I$29</f>
        <v>0</v>
      </c>
      <c r="J33" s="16">
        <f>[31]Resumen!$J$29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[10]Resumen!$B$29</f>
        <v>0</v>
      </c>
      <c r="C34" s="15">
        <f>[10]Resumen!$C$29</f>
        <v>0</v>
      </c>
      <c r="D34" s="16">
        <f>[10]Resumen!$D$29</f>
        <v>0</v>
      </c>
      <c r="E34" s="14">
        <f>[10]Resumen!$E$29</f>
        <v>0</v>
      </c>
      <c r="F34" s="15">
        <f>[10]Resumen!$F$29</f>
        <v>0</v>
      </c>
      <c r="G34" s="17">
        <f>[10]Resumen!$G$29</f>
        <v>0</v>
      </c>
      <c r="H34" s="18">
        <f>[10]Resumen!$H$29</f>
        <v>0</v>
      </c>
      <c r="I34" s="15">
        <f>[10]Resumen!$I$29</f>
        <v>0</v>
      </c>
      <c r="J34" s="16">
        <f>[10]Resumen!$J$29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+[11]Resumen!$B$29</f>
        <v>0</v>
      </c>
      <c r="C35" s="22">
        <f>+[11]Resumen!$C$29</f>
        <v>0</v>
      </c>
      <c r="D35" s="23">
        <f>+[11]Resumen!$D$29</f>
        <v>0</v>
      </c>
      <c r="E35" s="21">
        <f>+[11]Resumen!$E$29</f>
        <v>0</v>
      </c>
      <c r="F35" s="22">
        <f>+[11]Resumen!$F$29</f>
        <v>0</v>
      </c>
      <c r="G35" s="24">
        <f>+[11]Resumen!$G$29</f>
        <v>0</v>
      </c>
      <c r="H35" s="25">
        <f>+[11]Resumen!$H$29</f>
        <v>0</v>
      </c>
      <c r="I35" s="22">
        <f>+[11]Resumen!$I$29</f>
        <v>0</v>
      </c>
      <c r="J35" s="23">
        <f>+[11]Resumen!$J$29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425781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73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[1]Resumen!$B$30</f>
        <v>0</v>
      </c>
      <c r="C5" s="58">
        <f>[1]Resumen!$C$30</f>
        <v>0</v>
      </c>
      <c r="D5" s="54">
        <f>[1]Resumen!$D$30</f>
        <v>0</v>
      </c>
      <c r="E5" s="53">
        <f>[1]Resumen!$E$30</f>
        <v>0</v>
      </c>
      <c r="F5" s="58">
        <f>[1]Resumen!$F$30</f>
        <v>0</v>
      </c>
      <c r="G5" s="55">
        <f>[1]Resumen!$G$30</f>
        <v>0</v>
      </c>
      <c r="H5" s="61">
        <f>[1]Resumen!$H$30</f>
        <v>0</v>
      </c>
      <c r="I5" s="58">
        <f>[1]Resumen!$I$30</f>
        <v>0</v>
      </c>
      <c r="J5" s="54">
        <f>[1]Resumen!$J$30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[2]Resumen!$B$30</f>
        <v>0</v>
      </c>
      <c r="C6" s="15">
        <f>[2]Resumen!$C$30</f>
        <v>0</v>
      </c>
      <c r="D6" s="16">
        <f>[2]Resumen!$D$30</f>
        <v>0</v>
      </c>
      <c r="E6" s="14">
        <f>[2]Resumen!$E$30</f>
        <v>0</v>
      </c>
      <c r="F6" s="15">
        <f>[2]Resumen!$F$30</f>
        <v>0</v>
      </c>
      <c r="G6" s="17">
        <f>[2]Resumen!$G$30</f>
        <v>0</v>
      </c>
      <c r="H6" s="18">
        <f>[2]Resumen!$H$30</f>
        <v>0</v>
      </c>
      <c r="I6" s="15">
        <f>[2]Resumen!$I$30</f>
        <v>0</v>
      </c>
      <c r="J6" s="16">
        <f>[2]Resumen!$J$30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[3]Resumen!$B$30</f>
        <v>0</v>
      </c>
      <c r="C7" s="15">
        <f>[3]Resumen!$C$30</f>
        <v>0</v>
      </c>
      <c r="D7" s="16">
        <f>[3]Resumen!$D$30</f>
        <v>0</v>
      </c>
      <c r="E7" s="14">
        <f>[3]Resumen!$E$30</f>
        <v>0</v>
      </c>
      <c r="F7" s="15">
        <f>[3]Resumen!$F$30</f>
        <v>0</v>
      </c>
      <c r="G7" s="17">
        <f>[3]Resumen!$G$30</f>
        <v>0</v>
      </c>
      <c r="H7" s="18">
        <f>[3]Resumen!$H$30</f>
        <v>0</v>
      </c>
      <c r="I7" s="15">
        <f>[3]Resumen!$I$30</f>
        <v>0</v>
      </c>
      <c r="J7" s="16">
        <f>[3]Resumen!$J$30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[4]Resumen!$B$30</f>
        <v>0</v>
      </c>
      <c r="C8" s="15">
        <f>[4]Resumen!$C$30</f>
        <v>0</v>
      </c>
      <c r="D8" s="16">
        <f>[4]Resumen!$D$30</f>
        <v>0</v>
      </c>
      <c r="E8" s="14">
        <f>[4]Resumen!$E$30</f>
        <v>0</v>
      </c>
      <c r="F8" s="15">
        <f>[4]Resumen!$F$30</f>
        <v>0</v>
      </c>
      <c r="G8" s="17">
        <f>[4]Resumen!$G$30</f>
        <v>0</v>
      </c>
      <c r="H8" s="18">
        <f>[4]Resumen!$H$30</f>
        <v>0</v>
      </c>
      <c r="I8" s="15">
        <f>[4]Resumen!$I$30</f>
        <v>0</v>
      </c>
      <c r="J8" s="16">
        <f>[4]Resumen!$J$30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[5]Resumen!$B$30</f>
        <v>0</v>
      </c>
      <c r="C9" s="15">
        <f>[5]Resumen!$C$30</f>
        <v>0</v>
      </c>
      <c r="D9" s="16">
        <f>[5]Resumen!$D$30</f>
        <v>0</v>
      </c>
      <c r="E9" s="14">
        <f>[5]Resumen!$E$30</f>
        <v>0</v>
      </c>
      <c r="F9" s="15">
        <f>[5]Resumen!$F$30</f>
        <v>0</v>
      </c>
      <c r="G9" s="17">
        <f>[5]Resumen!$G$30</f>
        <v>0</v>
      </c>
      <c r="H9" s="18">
        <f>[5]Resumen!$H$30</f>
        <v>0</v>
      </c>
      <c r="I9" s="15">
        <f>[5]Resumen!$I$30</f>
        <v>0</v>
      </c>
      <c r="J9" s="16">
        <f>[5]Resumen!$J$30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[6]Resumen!$B$30</f>
        <v>0</v>
      </c>
      <c r="C10" s="15">
        <f>[6]Resumen!$C$30</f>
        <v>0</v>
      </c>
      <c r="D10" s="16">
        <f>[6]Resumen!$D$30</f>
        <v>0</v>
      </c>
      <c r="E10" s="14">
        <f>[6]Resumen!$E$30</f>
        <v>0</v>
      </c>
      <c r="F10" s="15">
        <f>[6]Resumen!$F$30</f>
        <v>0</v>
      </c>
      <c r="G10" s="17">
        <f>[6]Resumen!$G$30</f>
        <v>0</v>
      </c>
      <c r="H10" s="18">
        <f>[6]Resumen!$H$30</f>
        <v>0</v>
      </c>
      <c r="I10" s="15">
        <f>[6]Resumen!$I$30</f>
        <v>0</v>
      </c>
      <c r="J10" s="16">
        <f>[6]Resumen!$J$30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[7]Resumen!$B$30</f>
        <v>0</v>
      </c>
      <c r="C11" s="15">
        <f>[7]Resumen!$C$30</f>
        <v>0</v>
      </c>
      <c r="D11" s="16">
        <f>[7]Resumen!$D$30</f>
        <v>0</v>
      </c>
      <c r="E11" s="14">
        <f>[7]Resumen!$E$30</f>
        <v>0</v>
      </c>
      <c r="F11" s="15">
        <f>[7]Resumen!$F$30</f>
        <v>0</v>
      </c>
      <c r="G11" s="17">
        <f>[7]Resumen!$G$30</f>
        <v>0</v>
      </c>
      <c r="H11" s="18">
        <f>[7]Resumen!$H$30</f>
        <v>0</v>
      </c>
      <c r="I11" s="15">
        <f>[7]Resumen!$I$30</f>
        <v>0</v>
      </c>
      <c r="J11" s="16">
        <f>[7]Resumen!$J$30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[8]Resumen!$B$30</f>
        <v>0</v>
      </c>
      <c r="C12" s="15">
        <f>[8]Resumen!$C$30</f>
        <v>0</v>
      </c>
      <c r="D12" s="16">
        <f>[8]Resumen!$D$30</f>
        <v>0</v>
      </c>
      <c r="E12" s="14">
        <f>[8]Resumen!$E$30</f>
        <v>0</v>
      </c>
      <c r="F12" s="15">
        <f>[8]Resumen!$F$30</f>
        <v>0</v>
      </c>
      <c r="G12" s="17">
        <f>[8]Resumen!$G$30</f>
        <v>0</v>
      </c>
      <c r="H12" s="18">
        <f>[8]Resumen!$H$30</f>
        <v>0</v>
      </c>
      <c r="I12" s="15">
        <f>[8]Resumen!$I$30</f>
        <v>0</v>
      </c>
      <c r="J12" s="16">
        <f>[8]Resumen!$J$30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[9]Resumen!$B$30</f>
        <v>0</v>
      </c>
      <c r="C13" s="15">
        <f>[9]Resumen!$C$30</f>
        <v>0</v>
      </c>
      <c r="D13" s="16">
        <f>[9]Resumen!$D$30</f>
        <v>0</v>
      </c>
      <c r="E13" s="14">
        <f>[9]Resumen!$E$30</f>
        <v>0</v>
      </c>
      <c r="F13" s="15">
        <f>[9]Resumen!$F$30</f>
        <v>0</v>
      </c>
      <c r="G13" s="17">
        <f>[9]Resumen!$G$30</f>
        <v>0</v>
      </c>
      <c r="H13" s="18">
        <f>[9]Resumen!$H$30</f>
        <v>0</v>
      </c>
      <c r="I13" s="15">
        <f>[9]Resumen!$I$30</f>
        <v>0</v>
      </c>
      <c r="J13" s="16">
        <f>[9]Resumen!$J$30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[12]Resumen!$B$30</f>
        <v>0</v>
      </c>
      <c r="C14" s="15">
        <f>[12]Resumen!$C$30</f>
        <v>0</v>
      </c>
      <c r="D14" s="16">
        <f>[12]Resumen!$D$30</f>
        <v>0</v>
      </c>
      <c r="E14" s="14">
        <f>[12]Resumen!$E$30</f>
        <v>0</v>
      </c>
      <c r="F14" s="15">
        <f>[12]Resumen!$F$30</f>
        <v>0</v>
      </c>
      <c r="G14" s="17">
        <f>[12]Resumen!$G$30</f>
        <v>0</v>
      </c>
      <c r="H14" s="18">
        <f>[12]Resumen!$H$30</f>
        <v>0</v>
      </c>
      <c r="I14" s="15">
        <f>[12]Resumen!$I$30</f>
        <v>0</v>
      </c>
      <c r="J14" s="16">
        <f>[12]Resumen!$J$30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[13]Resumen!$B$30</f>
        <v>0</v>
      </c>
      <c r="C15" s="15">
        <f>[13]Resumen!$C$30</f>
        <v>0</v>
      </c>
      <c r="D15" s="16">
        <f>[13]Resumen!$D$30</f>
        <v>0</v>
      </c>
      <c r="E15" s="14">
        <f>[13]Resumen!$E$30</f>
        <v>0</v>
      </c>
      <c r="F15" s="15">
        <f>[13]Resumen!$F$30</f>
        <v>0</v>
      </c>
      <c r="G15" s="17">
        <f>[13]Resumen!$G$30</f>
        <v>0</v>
      </c>
      <c r="H15" s="18">
        <f>[13]Resumen!$H$30</f>
        <v>0</v>
      </c>
      <c r="I15" s="15">
        <f>[13]Resumen!$I$30</f>
        <v>0</v>
      </c>
      <c r="J15" s="16">
        <f>[13]Resumen!$J$30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[14]Resumen!$B$30</f>
        <v>0</v>
      </c>
      <c r="C16" s="15">
        <f>[14]Resumen!$C$30</f>
        <v>0</v>
      </c>
      <c r="D16" s="16">
        <f>[14]Resumen!$D$30</f>
        <v>0</v>
      </c>
      <c r="E16" s="14">
        <f>[14]Resumen!$E$30</f>
        <v>0</v>
      </c>
      <c r="F16" s="15">
        <f>[14]Resumen!$F$30</f>
        <v>0</v>
      </c>
      <c r="G16" s="17">
        <f>[14]Resumen!$G$30</f>
        <v>0</v>
      </c>
      <c r="H16" s="18">
        <f>[14]Resumen!$H$30</f>
        <v>0</v>
      </c>
      <c r="I16" s="15">
        <f>[14]Resumen!$I$30</f>
        <v>0</v>
      </c>
      <c r="J16" s="16">
        <f>[14]Resumen!$J$30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[15]Resumen!$B$30</f>
        <v>0</v>
      </c>
      <c r="C17" s="15">
        <f>[15]Resumen!$C$30</f>
        <v>0</v>
      </c>
      <c r="D17" s="16">
        <f>[15]Resumen!$D$30</f>
        <v>0</v>
      </c>
      <c r="E17" s="14">
        <f>[15]Resumen!$E$30</f>
        <v>0</v>
      </c>
      <c r="F17" s="15">
        <f>[15]Resumen!$F$30</f>
        <v>0</v>
      </c>
      <c r="G17" s="17">
        <f>[15]Resumen!$G$30</f>
        <v>0</v>
      </c>
      <c r="H17" s="18">
        <f>[15]Resumen!$H$30</f>
        <v>0</v>
      </c>
      <c r="I17" s="15">
        <f>[15]Resumen!$I$30</f>
        <v>0</v>
      </c>
      <c r="J17" s="16">
        <f>[15]Resumen!$J$30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[16]Resumen!$B$30</f>
        <v>0</v>
      </c>
      <c r="C18" s="15">
        <f>[16]Resumen!$C$30</f>
        <v>0</v>
      </c>
      <c r="D18" s="16">
        <f>[16]Resumen!$D$30</f>
        <v>0</v>
      </c>
      <c r="E18" s="14">
        <f>[16]Resumen!$E$30</f>
        <v>0</v>
      </c>
      <c r="F18" s="15">
        <f>[16]Resumen!$F$30</f>
        <v>0</v>
      </c>
      <c r="G18" s="17">
        <f>[16]Resumen!$G$30</f>
        <v>0</v>
      </c>
      <c r="H18" s="18">
        <f>[16]Resumen!$H$30</f>
        <v>0</v>
      </c>
      <c r="I18" s="15">
        <f>[16]Resumen!$I$30</f>
        <v>0</v>
      </c>
      <c r="J18" s="16">
        <f>[16]Resumen!$J$30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[17]Resumen!$B$30</f>
        <v>0</v>
      </c>
      <c r="C19" s="15">
        <f>[17]Resumen!$C$30</f>
        <v>0</v>
      </c>
      <c r="D19" s="16">
        <f>[17]Resumen!$D$30</f>
        <v>0</v>
      </c>
      <c r="E19" s="14">
        <f>[17]Resumen!$E$30</f>
        <v>0</v>
      </c>
      <c r="F19" s="15">
        <f>[17]Resumen!$F$30</f>
        <v>0</v>
      </c>
      <c r="G19" s="17">
        <f>[17]Resumen!$G$30</f>
        <v>0</v>
      </c>
      <c r="H19" s="18">
        <f>[17]Resumen!$H$30</f>
        <v>0</v>
      </c>
      <c r="I19" s="15">
        <f>[17]Resumen!$I$30</f>
        <v>0</v>
      </c>
      <c r="J19" s="16">
        <f>[17]Resumen!$J$30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[18]Resumen!$B$30</f>
        <v>0</v>
      </c>
      <c r="C20" s="15">
        <f>[18]Resumen!$C$30</f>
        <v>0</v>
      </c>
      <c r="D20" s="16">
        <f>[18]Resumen!$D$30</f>
        <v>0</v>
      </c>
      <c r="E20" s="14">
        <f>[18]Resumen!$E$30</f>
        <v>0</v>
      </c>
      <c r="F20" s="15">
        <f>[18]Resumen!$F$30</f>
        <v>0</v>
      </c>
      <c r="G20" s="17">
        <f>[18]Resumen!$G$30</f>
        <v>0</v>
      </c>
      <c r="H20" s="18">
        <f>[18]Resumen!$H$30</f>
        <v>0</v>
      </c>
      <c r="I20" s="15">
        <f>[18]Resumen!$I$30</f>
        <v>0</v>
      </c>
      <c r="J20" s="16">
        <f>[18]Resumen!$J$30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[19]Resumen!$B$30</f>
        <v>0</v>
      </c>
      <c r="C21" s="15">
        <f>[19]Resumen!$C$30</f>
        <v>0</v>
      </c>
      <c r="D21" s="16">
        <f>[19]Resumen!$D$30</f>
        <v>0</v>
      </c>
      <c r="E21" s="14">
        <f>[19]Resumen!$E$30</f>
        <v>0</v>
      </c>
      <c r="F21" s="15">
        <f>[19]Resumen!$F$30</f>
        <v>0</v>
      </c>
      <c r="G21" s="17">
        <f>[19]Resumen!$G$30</f>
        <v>0</v>
      </c>
      <c r="H21" s="18">
        <f>[19]Resumen!$H$30</f>
        <v>0</v>
      </c>
      <c r="I21" s="15">
        <f>[19]Resumen!$I$30</f>
        <v>0</v>
      </c>
      <c r="J21" s="16">
        <f>[19]Resumen!$J$30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[20]Resumen!$B$30</f>
        <v>0</v>
      </c>
      <c r="C22" s="15">
        <f>[20]Resumen!$C$30</f>
        <v>0</v>
      </c>
      <c r="D22" s="16">
        <f>[20]Resumen!$D$30</f>
        <v>0</v>
      </c>
      <c r="E22" s="14">
        <f>[20]Resumen!$E$30</f>
        <v>0</v>
      </c>
      <c r="F22" s="15">
        <f>[20]Resumen!$F$30</f>
        <v>0</v>
      </c>
      <c r="G22" s="17">
        <f>[20]Resumen!$G$30</f>
        <v>0</v>
      </c>
      <c r="H22" s="18">
        <f>[20]Resumen!$H$30</f>
        <v>0</v>
      </c>
      <c r="I22" s="15">
        <f>[20]Resumen!$I$30</f>
        <v>0</v>
      </c>
      <c r="J22" s="16">
        <f>[20]Resumen!$J$30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[21]Resumen!$B$30</f>
        <v>0</v>
      </c>
      <c r="C23" s="15">
        <f>[21]Resumen!$C$30</f>
        <v>0</v>
      </c>
      <c r="D23" s="16">
        <f>[21]Resumen!$D$30</f>
        <v>0</v>
      </c>
      <c r="E23" s="14">
        <f>[21]Resumen!$E$30</f>
        <v>0</v>
      </c>
      <c r="F23" s="15">
        <f>[21]Resumen!$F$30</f>
        <v>0</v>
      </c>
      <c r="G23" s="17">
        <f>[21]Resumen!$G$30</f>
        <v>0</v>
      </c>
      <c r="H23" s="18">
        <f>[21]Resumen!$H$30</f>
        <v>0</v>
      </c>
      <c r="I23" s="15">
        <f>[21]Resumen!$I$30</f>
        <v>0</v>
      </c>
      <c r="J23" s="16">
        <f>[21]Resumen!$J$30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[22]Resumen!$B$30</f>
        <v>0</v>
      </c>
      <c r="C24" s="15">
        <f>[22]Resumen!$C$30</f>
        <v>0</v>
      </c>
      <c r="D24" s="16">
        <f>[22]Resumen!$D$30</f>
        <v>0</v>
      </c>
      <c r="E24" s="14">
        <f>[22]Resumen!$E$30</f>
        <v>0</v>
      </c>
      <c r="F24" s="15">
        <f>[22]Resumen!$F$30</f>
        <v>0</v>
      </c>
      <c r="G24" s="17">
        <f>[22]Resumen!$G$30</f>
        <v>0</v>
      </c>
      <c r="H24" s="18">
        <f>[22]Resumen!$H$30</f>
        <v>0</v>
      </c>
      <c r="I24" s="15">
        <f>[22]Resumen!$I$30</f>
        <v>0</v>
      </c>
      <c r="J24" s="16">
        <f>[22]Resumen!$J$30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[23]Resumen!$B$30</f>
        <v>0</v>
      </c>
      <c r="C25" s="15">
        <f>[23]Resumen!$C$30</f>
        <v>0</v>
      </c>
      <c r="D25" s="16">
        <f>[23]Resumen!$D$30</f>
        <v>0</v>
      </c>
      <c r="E25" s="14">
        <f>[23]Resumen!$E$30</f>
        <v>0</v>
      </c>
      <c r="F25" s="15">
        <f>[23]Resumen!$F$30</f>
        <v>0</v>
      </c>
      <c r="G25" s="17">
        <f>[23]Resumen!$G$30</f>
        <v>0</v>
      </c>
      <c r="H25" s="18">
        <f>[23]Resumen!$H$30</f>
        <v>0</v>
      </c>
      <c r="I25" s="15">
        <f>[23]Resumen!$I$30</f>
        <v>0</v>
      </c>
      <c r="J25" s="16">
        <f>[23]Resumen!$J$30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[24]Resumen!$B$30</f>
        <v>0</v>
      </c>
      <c r="C26" s="15">
        <f>[24]Resumen!$C$30</f>
        <v>0</v>
      </c>
      <c r="D26" s="16">
        <f>[24]Resumen!$D$30</f>
        <v>0</v>
      </c>
      <c r="E26" s="14">
        <f>[24]Resumen!$E$30</f>
        <v>0</v>
      </c>
      <c r="F26" s="15">
        <f>[24]Resumen!$F$30</f>
        <v>0</v>
      </c>
      <c r="G26" s="17">
        <f>[24]Resumen!$G$30</f>
        <v>0</v>
      </c>
      <c r="H26" s="18">
        <f>[24]Resumen!$H$30</f>
        <v>0</v>
      </c>
      <c r="I26" s="15">
        <f>[24]Resumen!$I$30</f>
        <v>0</v>
      </c>
      <c r="J26" s="16">
        <f>[24]Resumen!$J$30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[25]Resumen!$B$30</f>
        <v>0</v>
      </c>
      <c r="C27" s="15">
        <f>[25]Resumen!$C$30</f>
        <v>0</v>
      </c>
      <c r="D27" s="16">
        <f>[25]Resumen!$D$30</f>
        <v>0</v>
      </c>
      <c r="E27" s="14">
        <f>[25]Resumen!$E$30</f>
        <v>0</v>
      </c>
      <c r="F27" s="15">
        <f>[25]Resumen!$F$30</f>
        <v>0</v>
      </c>
      <c r="G27" s="17">
        <f>[25]Resumen!$G$30</f>
        <v>0</v>
      </c>
      <c r="H27" s="18">
        <f>[25]Resumen!$H$30</f>
        <v>0</v>
      </c>
      <c r="I27" s="15">
        <f>[25]Resumen!$I$30</f>
        <v>0</v>
      </c>
      <c r="J27" s="16">
        <f>[25]Resumen!$J$30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[26]Resumen!$B$30</f>
        <v>0</v>
      </c>
      <c r="C28" s="15">
        <f>[26]Resumen!$C$30</f>
        <v>0</v>
      </c>
      <c r="D28" s="16">
        <f>[26]Resumen!$D$30</f>
        <v>0</v>
      </c>
      <c r="E28" s="14">
        <f>[26]Resumen!$E$30</f>
        <v>0</v>
      </c>
      <c r="F28" s="15">
        <f>[26]Resumen!$F$30</f>
        <v>0</v>
      </c>
      <c r="G28" s="17">
        <f>[26]Resumen!$G$30</f>
        <v>0</v>
      </c>
      <c r="H28" s="18">
        <f>[26]Resumen!$H$30</f>
        <v>0</v>
      </c>
      <c r="I28" s="15">
        <f>[26]Resumen!$I$30</f>
        <v>0</v>
      </c>
      <c r="J28" s="16">
        <f>[26]Resumen!$J$30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[27]Resumen!$B$30</f>
        <v>0</v>
      </c>
      <c r="C29" s="15">
        <f>[27]Resumen!$C$30</f>
        <v>0</v>
      </c>
      <c r="D29" s="16">
        <f>[27]Resumen!$D$30</f>
        <v>0</v>
      </c>
      <c r="E29" s="14">
        <f>[27]Resumen!$E$30</f>
        <v>0</v>
      </c>
      <c r="F29" s="15">
        <f>[27]Resumen!$F$30</f>
        <v>0</v>
      </c>
      <c r="G29" s="17">
        <f>[27]Resumen!$G$30</f>
        <v>0</v>
      </c>
      <c r="H29" s="18">
        <f>[27]Resumen!$H$30</f>
        <v>0</v>
      </c>
      <c r="I29" s="15">
        <f>[27]Resumen!$I$30</f>
        <v>0</v>
      </c>
      <c r="J29" s="16">
        <f>[27]Resumen!$J$30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[28]Resumen!$B$30</f>
        <v>0</v>
      </c>
      <c r="C30" s="15">
        <f>[28]Resumen!$C$30</f>
        <v>0</v>
      </c>
      <c r="D30" s="16">
        <f>[28]Resumen!$D$30</f>
        <v>0</v>
      </c>
      <c r="E30" s="14">
        <f>[28]Resumen!$E$30</f>
        <v>0</v>
      </c>
      <c r="F30" s="15">
        <f>[28]Resumen!$F$30</f>
        <v>0</v>
      </c>
      <c r="G30" s="17">
        <f>[28]Resumen!$G$30</f>
        <v>0</v>
      </c>
      <c r="H30" s="18">
        <f>[28]Resumen!$H$30</f>
        <v>0</v>
      </c>
      <c r="I30" s="15">
        <f>[28]Resumen!$I$30</f>
        <v>0</v>
      </c>
      <c r="J30" s="16">
        <f>[28]Resumen!$J$30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[29]Resumen!$B$30</f>
        <v>0</v>
      </c>
      <c r="C31" s="15">
        <f>[29]Resumen!$C$30</f>
        <v>0</v>
      </c>
      <c r="D31" s="16">
        <f>[29]Resumen!$D$30</f>
        <v>0</v>
      </c>
      <c r="E31" s="14">
        <f>[29]Resumen!$E$30</f>
        <v>0</v>
      </c>
      <c r="F31" s="15">
        <f>[29]Resumen!$F$30</f>
        <v>0</v>
      </c>
      <c r="G31" s="17">
        <f>[29]Resumen!$G$30</f>
        <v>0</v>
      </c>
      <c r="H31" s="18">
        <f>[29]Resumen!$H$30</f>
        <v>0</v>
      </c>
      <c r="I31" s="15">
        <f>[29]Resumen!$I$30</f>
        <v>0</v>
      </c>
      <c r="J31" s="16">
        <f>[29]Resumen!$J$30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[30]Resumen!$B$30</f>
        <v>0</v>
      </c>
      <c r="C32" s="15">
        <f>[30]Resumen!$C$30</f>
        <v>0</v>
      </c>
      <c r="D32" s="16">
        <f>[30]Resumen!$D$30</f>
        <v>0</v>
      </c>
      <c r="E32" s="14">
        <f>[30]Resumen!$E$30</f>
        <v>0</v>
      </c>
      <c r="F32" s="15">
        <f>[30]Resumen!$F$30</f>
        <v>0</v>
      </c>
      <c r="G32" s="17">
        <f>[30]Resumen!$G$30</f>
        <v>0</v>
      </c>
      <c r="H32" s="18">
        <f>[30]Resumen!$H$30</f>
        <v>0</v>
      </c>
      <c r="I32" s="15">
        <f>[30]Resumen!$I$30</f>
        <v>0</v>
      </c>
      <c r="J32" s="16">
        <f>[30]Resumen!$J$30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[31]Resumen!$B$30</f>
        <v>0</v>
      </c>
      <c r="C33" s="15">
        <f>[31]Resumen!$C$30</f>
        <v>0</v>
      </c>
      <c r="D33" s="16">
        <f>[31]Resumen!$D$30</f>
        <v>0</v>
      </c>
      <c r="E33" s="14">
        <f>[31]Resumen!$E$30</f>
        <v>0</v>
      </c>
      <c r="F33" s="15">
        <f>[31]Resumen!$F$30</f>
        <v>0</v>
      </c>
      <c r="G33" s="17">
        <f>[31]Resumen!$G$30</f>
        <v>0</v>
      </c>
      <c r="H33" s="18">
        <f>[31]Resumen!$H$30</f>
        <v>0</v>
      </c>
      <c r="I33" s="15">
        <f>[31]Resumen!$I$30</f>
        <v>0</v>
      </c>
      <c r="J33" s="16">
        <f>[31]Resumen!$J$30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[10]Resumen!$B$30</f>
        <v>0</v>
      </c>
      <c r="C34" s="15">
        <f>[10]Resumen!$C$30</f>
        <v>0</v>
      </c>
      <c r="D34" s="16">
        <f>[10]Resumen!$D$30</f>
        <v>0</v>
      </c>
      <c r="E34" s="14">
        <f>[10]Resumen!$E$30</f>
        <v>0</v>
      </c>
      <c r="F34" s="15">
        <f>[10]Resumen!$F$30</f>
        <v>0</v>
      </c>
      <c r="G34" s="17">
        <f>[10]Resumen!$G$30</f>
        <v>0</v>
      </c>
      <c r="H34" s="18">
        <f>[10]Resumen!$H$30</f>
        <v>0</v>
      </c>
      <c r="I34" s="15">
        <f>[10]Resumen!$I$30</f>
        <v>0</v>
      </c>
      <c r="J34" s="16">
        <f>[10]Resumen!$J$30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+[11]Resumen!$B$30</f>
        <v>0</v>
      </c>
      <c r="C35" s="22">
        <f>+[11]Resumen!$C$30</f>
        <v>0</v>
      </c>
      <c r="D35" s="23">
        <f>+[11]Resumen!$D$30</f>
        <v>0</v>
      </c>
      <c r="E35" s="21">
        <f>+[11]Resumen!$E$30</f>
        <v>0</v>
      </c>
      <c r="F35" s="22">
        <f>+[11]Resumen!$F$30</f>
        <v>0</v>
      </c>
      <c r="G35" s="24">
        <f>+[11]Resumen!$G$30</f>
        <v>0</v>
      </c>
      <c r="H35" s="25">
        <f>+[11]Resumen!$H$30</f>
        <v>0</v>
      </c>
      <c r="I35" s="22">
        <f>+[11]Resumen!$I$30</f>
        <v>0</v>
      </c>
      <c r="J35" s="23">
        <f>+[11]Resumen!$J$30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425781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66</v>
      </c>
      <c r="C2" s="137"/>
      <c r="D2" s="137"/>
      <c r="I2" s="3" t="s">
        <v>2</v>
      </c>
      <c r="J2" s="4">
        <v>0.12</v>
      </c>
      <c r="K2" s="3" t="s">
        <v>3</v>
      </c>
      <c r="L2" s="4">
        <v>0.14000000000000001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[1]Resumen!$B$31</f>
        <v>0</v>
      </c>
      <c r="C5" s="58">
        <f>[1]Resumen!$C$31</f>
        <v>0</v>
      </c>
      <c r="D5" s="54">
        <f>[1]Resumen!$D$31</f>
        <v>0</v>
      </c>
      <c r="E5" s="53">
        <f>[1]Resumen!$E$31</f>
        <v>0</v>
      </c>
      <c r="F5" s="58">
        <f>[1]Resumen!$F$31</f>
        <v>0</v>
      </c>
      <c r="G5" s="55">
        <f>[1]Resumen!$G$31</f>
        <v>0</v>
      </c>
      <c r="H5" s="61">
        <f>[1]Resumen!$H$31</f>
        <v>0</v>
      </c>
      <c r="I5" s="58">
        <f>[1]Resumen!$I$31</f>
        <v>0</v>
      </c>
      <c r="J5" s="54">
        <f>[1]Resumen!$J$31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[2]Resumen!$B$31</f>
        <v>0</v>
      </c>
      <c r="C6" s="15">
        <f>[2]Resumen!$C$31</f>
        <v>0</v>
      </c>
      <c r="D6" s="16">
        <f>[2]Resumen!$D$31</f>
        <v>0</v>
      </c>
      <c r="E6" s="14">
        <f>[2]Resumen!$E$31</f>
        <v>0</v>
      </c>
      <c r="F6" s="15">
        <f>[2]Resumen!$F$31</f>
        <v>0</v>
      </c>
      <c r="G6" s="17">
        <f>[2]Resumen!$G$31</f>
        <v>0</v>
      </c>
      <c r="H6" s="18">
        <f>[2]Resumen!$H$31</f>
        <v>0</v>
      </c>
      <c r="I6" s="15">
        <f>[2]Resumen!$I$31</f>
        <v>0</v>
      </c>
      <c r="J6" s="16">
        <f>[2]Resumen!$J$31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[3]Resumen!$B$31</f>
        <v>0</v>
      </c>
      <c r="C7" s="15">
        <f>[3]Resumen!$C$31</f>
        <v>0</v>
      </c>
      <c r="D7" s="16">
        <f>[3]Resumen!$D$31</f>
        <v>0</v>
      </c>
      <c r="E7" s="14">
        <f>[3]Resumen!$E$31</f>
        <v>0</v>
      </c>
      <c r="F7" s="15">
        <f>[3]Resumen!$F$31</f>
        <v>0</v>
      </c>
      <c r="G7" s="17">
        <f>[3]Resumen!$G$31</f>
        <v>0</v>
      </c>
      <c r="H7" s="18">
        <f>[3]Resumen!$H$31</f>
        <v>0</v>
      </c>
      <c r="I7" s="15">
        <f>[3]Resumen!$I$31</f>
        <v>0</v>
      </c>
      <c r="J7" s="16">
        <f>[3]Resumen!$J$31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[4]Resumen!$B$31</f>
        <v>0</v>
      </c>
      <c r="C8" s="15">
        <f>[4]Resumen!$C$31</f>
        <v>0</v>
      </c>
      <c r="D8" s="16">
        <f>[4]Resumen!$D$31</f>
        <v>0</v>
      </c>
      <c r="E8" s="14">
        <f>[4]Resumen!$E$31</f>
        <v>0</v>
      </c>
      <c r="F8" s="15">
        <f>[4]Resumen!$F$31</f>
        <v>0</v>
      </c>
      <c r="G8" s="17">
        <f>[4]Resumen!$G$31</f>
        <v>0</v>
      </c>
      <c r="H8" s="18">
        <f>[4]Resumen!$H$31</f>
        <v>0</v>
      </c>
      <c r="I8" s="15">
        <f>[4]Resumen!$I$31</f>
        <v>0</v>
      </c>
      <c r="J8" s="16">
        <f>[4]Resumen!$J$31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[5]Resumen!$B$31</f>
        <v>0</v>
      </c>
      <c r="C9" s="15">
        <f>[5]Resumen!$C$31</f>
        <v>0</v>
      </c>
      <c r="D9" s="16">
        <f>[5]Resumen!$D$31</f>
        <v>0</v>
      </c>
      <c r="E9" s="14">
        <f>[5]Resumen!$E$31</f>
        <v>0</v>
      </c>
      <c r="F9" s="15">
        <f>[5]Resumen!$F$31</f>
        <v>0</v>
      </c>
      <c r="G9" s="17">
        <f>[5]Resumen!$G$31</f>
        <v>0</v>
      </c>
      <c r="H9" s="18">
        <f>[5]Resumen!$H$31</f>
        <v>0</v>
      </c>
      <c r="I9" s="15">
        <f>[5]Resumen!$I$31</f>
        <v>0</v>
      </c>
      <c r="J9" s="16">
        <f>[5]Resumen!$J$31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[6]Resumen!$B$31</f>
        <v>0</v>
      </c>
      <c r="C10" s="15">
        <f>[6]Resumen!$C$31</f>
        <v>0</v>
      </c>
      <c r="D10" s="16">
        <f>[6]Resumen!$D$31</f>
        <v>0</v>
      </c>
      <c r="E10" s="14">
        <f>[6]Resumen!$E$31</f>
        <v>0</v>
      </c>
      <c r="F10" s="15">
        <f>[6]Resumen!$F$31</f>
        <v>0</v>
      </c>
      <c r="G10" s="17">
        <f>[6]Resumen!$G$31</f>
        <v>0</v>
      </c>
      <c r="H10" s="18">
        <f>[6]Resumen!$H$31</f>
        <v>0</v>
      </c>
      <c r="I10" s="15">
        <f>[6]Resumen!$I$31</f>
        <v>0</v>
      </c>
      <c r="J10" s="16">
        <f>[6]Resumen!$J$31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[7]Resumen!$B$31</f>
        <v>0</v>
      </c>
      <c r="C11" s="15">
        <f>[7]Resumen!$C$31</f>
        <v>0</v>
      </c>
      <c r="D11" s="16">
        <f>[7]Resumen!$D$31</f>
        <v>0</v>
      </c>
      <c r="E11" s="14">
        <f>[7]Resumen!$E$31</f>
        <v>0</v>
      </c>
      <c r="F11" s="15">
        <f>[7]Resumen!$F$31</f>
        <v>0</v>
      </c>
      <c r="G11" s="17">
        <f>[7]Resumen!$G$31</f>
        <v>0</v>
      </c>
      <c r="H11" s="18">
        <f>[7]Resumen!$H$31</f>
        <v>0</v>
      </c>
      <c r="I11" s="15">
        <f>[7]Resumen!$I$31</f>
        <v>0</v>
      </c>
      <c r="J11" s="16">
        <f>[7]Resumen!$J$31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[8]Resumen!$B$31</f>
        <v>0</v>
      </c>
      <c r="C12" s="15">
        <f>[8]Resumen!$C$31</f>
        <v>0</v>
      </c>
      <c r="D12" s="16">
        <f>[8]Resumen!$D$31</f>
        <v>0</v>
      </c>
      <c r="E12" s="14">
        <f>[8]Resumen!$E$31</f>
        <v>0</v>
      </c>
      <c r="F12" s="15">
        <f>[8]Resumen!$F$31</f>
        <v>0</v>
      </c>
      <c r="G12" s="17">
        <f>[8]Resumen!$G$31</f>
        <v>0</v>
      </c>
      <c r="H12" s="18">
        <f>[8]Resumen!$H$31</f>
        <v>0</v>
      </c>
      <c r="I12" s="15">
        <f>[8]Resumen!$I$31</f>
        <v>0</v>
      </c>
      <c r="J12" s="16">
        <f>[8]Resumen!$J$31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[9]Resumen!$B$31</f>
        <v>0</v>
      </c>
      <c r="C13" s="15">
        <f>[9]Resumen!$C$31</f>
        <v>0</v>
      </c>
      <c r="D13" s="16">
        <f>[9]Resumen!$D$31</f>
        <v>0</v>
      </c>
      <c r="E13" s="14">
        <f>[9]Resumen!$E$31</f>
        <v>0</v>
      </c>
      <c r="F13" s="15">
        <f>[9]Resumen!$F$31</f>
        <v>0</v>
      </c>
      <c r="G13" s="17">
        <f>[9]Resumen!$G$31</f>
        <v>0</v>
      </c>
      <c r="H13" s="18">
        <f>[9]Resumen!$H$31</f>
        <v>0</v>
      </c>
      <c r="I13" s="15">
        <f>[9]Resumen!$I$31</f>
        <v>0</v>
      </c>
      <c r="J13" s="16">
        <f>[9]Resumen!$J$31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[12]Resumen!$B$31</f>
        <v>0</v>
      </c>
      <c r="C14" s="15">
        <f>[12]Resumen!$C$31</f>
        <v>0</v>
      </c>
      <c r="D14" s="16">
        <f>[12]Resumen!$D$31</f>
        <v>0</v>
      </c>
      <c r="E14" s="14">
        <f>[12]Resumen!$E$31</f>
        <v>0</v>
      </c>
      <c r="F14" s="15">
        <f>[12]Resumen!$F$31</f>
        <v>0</v>
      </c>
      <c r="G14" s="17">
        <f>[12]Resumen!$G$31</f>
        <v>0</v>
      </c>
      <c r="H14" s="18">
        <f>[12]Resumen!$H$31</f>
        <v>0</v>
      </c>
      <c r="I14" s="15">
        <f>[12]Resumen!$I$31</f>
        <v>0</v>
      </c>
      <c r="J14" s="16">
        <f>[12]Resumen!$J$31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[13]Resumen!$B$31</f>
        <v>0</v>
      </c>
      <c r="C15" s="15">
        <f>[13]Resumen!$C$31</f>
        <v>0</v>
      </c>
      <c r="D15" s="16">
        <f>[13]Resumen!$D$31</f>
        <v>0</v>
      </c>
      <c r="E15" s="14">
        <f>[13]Resumen!$E$31</f>
        <v>0</v>
      </c>
      <c r="F15" s="15">
        <f>[13]Resumen!$F$31</f>
        <v>0</v>
      </c>
      <c r="G15" s="17">
        <f>[13]Resumen!$G$31</f>
        <v>0</v>
      </c>
      <c r="H15" s="18">
        <f>[13]Resumen!$H$31</f>
        <v>0</v>
      </c>
      <c r="I15" s="15">
        <f>[13]Resumen!$I$31</f>
        <v>0</v>
      </c>
      <c r="J15" s="16">
        <f>[13]Resumen!$J$31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[14]Resumen!$B$31</f>
        <v>0</v>
      </c>
      <c r="C16" s="15">
        <f>[14]Resumen!$C$31</f>
        <v>0</v>
      </c>
      <c r="D16" s="16">
        <f>[14]Resumen!$D$31</f>
        <v>0</v>
      </c>
      <c r="E16" s="14">
        <f>[14]Resumen!$E$31</f>
        <v>0</v>
      </c>
      <c r="F16" s="15">
        <f>[14]Resumen!$F$31</f>
        <v>0</v>
      </c>
      <c r="G16" s="17">
        <f>[14]Resumen!$G$31</f>
        <v>0</v>
      </c>
      <c r="H16" s="18">
        <f>[14]Resumen!$H$31</f>
        <v>0</v>
      </c>
      <c r="I16" s="15">
        <f>[14]Resumen!$I$31</f>
        <v>0</v>
      </c>
      <c r="J16" s="16">
        <f>[14]Resumen!$J$31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[15]Resumen!$B$31</f>
        <v>0</v>
      </c>
      <c r="C17" s="15">
        <f>[15]Resumen!$C$31</f>
        <v>0</v>
      </c>
      <c r="D17" s="16">
        <f>[15]Resumen!$D$31</f>
        <v>0</v>
      </c>
      <c r="E17" s="14">
        <f>[15]Resumen!$E$31</f>
        <v>0</v>
      </c>
      <c r="F17" s="15">
        <f>[15]Resumen!$F$31</f>
        <v>0</v>
      </c>
      <c r="G17" s="17">
        <f>[15]Resumen!$G$31</f>
        <v>0</v>
      </c>
      <c r="H17" s="18">
        <f>[15]Resumen!$H$31</f>
        <v>0</v>
      </c>
      <c r="I17" s="15">
        <f>[15]Resumen!$I$31</f>
        <v>0</v>
      </c>
      <c r="J17" s="16">
        <f>[15]Resumen!$J$31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[16]Resumen!$B$31</f>
        <v>0</v>
      </c>
      <c r="C18" s="15">
        <f>[16]Resumen!$C$31</f>
        <v>0</v>
      </c>
      <c r="D18" s="16">
        <f>[16]Resumen!$D$31</f>
        <v>0</v>
      </c>
      <c r="E18" s="14">
        <f>[16]Resumen!$E$31</f>
        <v>0</v>
      </c>
      <c r="F18" s="15">
        <f>[16]Resumen!$F$31</f>
        <v>0</v>
      </c>
      <c r="G18" s="17">
        <f>[16]Resumen!$G$31</f>
        <v>0</v>
      </c>
      <c r="H18" s="18">
        <f>[16]Resumen!$H$31</f>
        <v>0</v>
      </c>
      <c r="I18" s="15">
        <f>[16]Resumen!$I$31</f>
        <v>0</v>
      </c>
      <c r="J18" s="16">
        <f>[16]Resumen!$J$31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[17]Resumen!$B$31</f>
        <v>0</v>
      </c>
      <c r="C19" s="15">
        <f>[17]Resumen!$C$31</f>
        <v>0</v>
      </c>
      <c r="D19" s="16">
        <f>[17]Resumen!$D$31</f>
        <v>0</v>
      </c>
      <c r="E19" s="14">
        <f>[17]Resumen!$E$31</f>
        <v>0</v>
      </c>
      <c r="F19" s="15">
        <f>[17]Resumen!$F$31</f>
        <v>0</v>
      </c>
      <c r="G19" s="17">
        <f>[17]Resumen!$G$31</f>
        <v>0</v>
      </c>
      <c r="H19" s="18">
        <f>[17]Resumen!$H$31</f>
        <v>0</v>
      </c>
      <c r="I19" s="15">
        <f>[17]Resumen!$I$31</f>
        <v>0</v>
      </c>
      <c r="J19" s="16">
        <f>[17]Resumen!$J$31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[18]Resumen!$B$31</f>
        <v>0</v>
      </c>
      <c r="C20" s="15">
        <f>[18]Resumen!$C$31</f>
        <v>0</v>
      </c>
      <c r="D20" s="16">
        <f>[18]Resumen!$D$31</f>
        <v>0</v>
      </c>
      <c r="E20" s="14">
        <f>[18]Resumen!$E$31</f>
        <v>0</v>
      </c>
      <c r="F20" s="15">
        <f>[18]Resumen!$F$31</f>
        <v>0</v>
      </c>
      <c r="G20" s="17">
        <f>[18]Resumen!$G$31</f>
        <v>0</v>
      </c>
      <c r="H20" s="18">
        <f>[18]Resumen!$H$31</f>
        <v>0</v>
      </c>
      <c r="I20" s="15">
        <f>[18]Resumen!$I$31</f>
        <v>0</v>
      </c>
      <c r="J20" s="16">
        <f>[18]Resumen!$J$31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[19]Resumen!$B$31</f>
        <v>0</v>
      </c>
      <c r="C21" s="15">
        <f>[19]Resumen!$C$31</f>
        <v>0</v>
      </c>
      <c r="D21" s="16">
        <f>[19]Resumen!$D$31</f>
        <v>0</v>
      </c>
      <c r="E21" s="14">
        <f>[19]Resumen!$E$31</f>
        <v>0</v>
      </c>
      <c r="F21" s="15">
        <f>[19]Resumen!$F$31</f>
        <v>0</v>
      </c>
      <c r="G21" s="17">
        <f>[19]Resumen!$G$31</f>
        <v>0</v>
      </c>
      <c r="H21" s="18">
        <f>[19]Resumen!$H$31</f>
        <v>0</v>
      </c>
      <c r="I21" s="15">
        <f>[19]Resumen!$I$31</f>
        <v>0</v>
      </c>
      <c r="J21" s="16">
        <f>[19]Resumen!$J$31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[20]Resumen!$B$31</f>
        <v>0</v>
      </c>
      <c r="C22" s="15">
        <f>[20]Resumen!$C$31</f>
        <v>0</v>
      </c>
      <c r="D22" s="16">
        <f>[20]Resumen!$D$31</f>
        <v>0</v>
      </c>
      <c r="E22" s="14">
        <f>[20]Resumen!$E$31</f>
        <v>0</v>
      </c>
      <c r="F22" s="15">
        <f>[20]Resumen!$F$31</f>
        <v>0</v>
      </c>
      <c r="G22" s="17">
        <f>[20]Resumen!$G$31</f>
        <v>0</v>
      </c>
      <c r="H22" s="18">
        <f>[20]Resumen!$H$31</f>
        <v>0</v>
      </c>
      <c r="I22" s="15">
        <f>[20]Resumen!$I$31</f>
        <v>0</v>
      </c>
      <c r="J22" s="16">
        <f>[20]Resumen!$J$31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[21]Resumen!$B$31</f>
        <v>0</v>
      </c>
      <c r="C23" s="15">
        <f>[21]Resumen!$C$31</f>
        <v>0</v>
      </c>
      <c r="D23" s="16">
        <f>[21]Resumen!$D$31</f>
        <v>0</v>
      </c>
      <c r="E23" s="14">
        <f>[21]Resumen!$E$31</f>
        <v>0</v>
      </c>
      <c r="F23" s="15">
        <f>[21]Resumen!$F$31</f>
        <v>0</v>
      </c>
      <c r="G23" s="17">
        <f>[21]Resumen!$G$31</f>
        <v>0</v>
      </c>
      <c r="H23" s="18">
        <f>[21]Resumen!$H$31</f>
        <v>0</v>
      </c>
      <c r="I23" s="15">
        <f>[21]Resumen!$I$31</f>
        <v>0</v>
      </c>
      <c r="J23" s="16">
        <f>[21]Resumen!$J$31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[22]Resumen!$B$31</f>
        <v>0</v>
      </c>
      <c r="C24" s="15">
        <f>[22]Resumen!$C$31</f>
        <v>0</v>
      </c>
      <c r="D24" s="16">
        <f>[22]Resumen!$D$31</f>
        <v>0</v>
      </c>
      <c r="E24" s="14">
        <f>[22]Resumen!$E$31</f>
        <v>0</v>
      </c>
      <c r="F24" s="15">
        <f>[22]Resumen!$F$31</f>
        <v>0</v>
      </c>
      <c r="G24" s="17">
        <f>[22]Resumen!$G$31</f>
        <v>0</v>
      </c>
      <c r="H24" s="18">
        <f>[22]Resumen!$H$31</f>
        <v>0</v>
      </c>
      <c r="I24" s="15">
        <f>[22]Resumen!$I$31</f>
        <v>0</v>
      </c>
      <c r="J24" s="16">
        <f>[22]Resumen!$J$31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[23]Resumen!$B$31</f>
        <v>0</v>
      </c>
      <c r="C25" s="15">
        <f>[23]Resumen!$C$31</f>
        <v>0</v>
      </c>
      <c r="D25" s="16">
        <f>[23]Resumen!$D$31</f>
        <v>0</v>
      </c>
      <c r="E25" s="14">
        <f>[23]Resumen!$E$31</f>
        <v>0</v>
      </c>
      <c r="F25" s="15">
        <f>[23]Resumen!$F$31</f>
        <v>0</v>
      </c>
      <c r="G25" s="17">
        <f>[23]Resumen!$G$31</f>
        <v>0</v>
      </c>
      <c r="H25" s="18">
        <f>[23]Resumen!$H$31</f>
        <v>0</v>
      </c>
      <c r="I25" s="15">
        <f>[23]Resumen!$I$31</f>
        <v>0</v>
      </c>
      <c r="J25" s="16">
        <f>[23]Resumen!$J$31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[24]Resumen!$B$31</f>
        <v>0</v>
      </c>
      <c r="C26" s="15">
        <f>[24]Resumen!$C$31</f>
        <v>0</v>
      </c>
      <c r="D26" s="16">
        <f>[24]Resumen!$D$31</f>
        <v>0</v>
      </c>
      <c r="E26" s="14">
        <f>[24]Resumen!$E$31</f>
        <v>0</v>
      </c>
      <c r="F26" s="15">
        <f>[24]Resumen!$F$31</f>
        <v>0</v>
      </c>
      <c r="G26" s="17">
        <f>[24]Resumen!$G$31</f>
        <v>0</v>
      </c>
      <c r="H26" s="18">
        <f>[24]Resumen!$H$31</f>
        <v>0</v>
      </c>
      <c r="I26" s="15">
        <f>[24]Resumen!$I$31</f>
        <v>0</v>
      </c>
      <c r="J26" s="16">
        <f>[24]Resumen!$J$31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[25]Resumen!$B$31</f>
        <v>0</v>
      </c>
      <c r="C27" s="15">
        <f>[25]Resumen!$C$31</f>
        <v>0</v>
      </c>
      <c r="D27" s="16">
        <f>[25]Resumen!$D$31</f>
        <v>0</v>
      </c>
      <c r="E27" s="14">
        <f>[25]Resumen!$E$31</f>
        <v>0</v>
      </c>
      <c r="F27" s="15">
        <f>[25]Resumen!$F$31</f>
        <v>0</v>
      </c>
      <c r="G27" s="17">
        <f>[25]Resumen!$G$31</f>
        <v>0</v>
      </c>
      <c r="H27" s="18">
        <f>[25]Resumen!$H$31</f>
        <v>0</v>
      </c>
      <c r="I27" s="15">
        <f>[25]Resumen!$I$31</f>
        <v>0</v>
      </c>
      <c r="J27" s="16">
        <f>[25]Resumen!$J$31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[26]Resumen!$B$31</f>
        <v>0</v>
      </c>
      <c r="C28" s="15">
        <f>[26]Resumen!$C$31</f>
        <v>0</v>
      </c>
      <c r="D28" s="16">
        <f>[26]Resumen!$D$31</f>
        <v>0</v>
      </c>
      <c r="E28" s="14">
        <f>[26]Resumen!$E$31</f>
        <v>0</v>
      </c>
      <c r="F28" s="15">
        <f>[26]Resumen!$F$31</f>
        <v>0</v>
      </c>
      <c r="G28" s="17">
        <f>[26]Resumen!$G$31</f>
        <v>0</v>
      </c>
      <c r="H28" s="18">
        <f>[26]Resumen!$H$31</f>
        <v>0</v>
      </c>
      <c r="I28" s="15">
        <f>[26]Resumen!$I$31</f>
        <v>0</v>
      </c>
      <c r="J28" s="16">
        <f>[26]Resumen!$J$31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[27]Resumen!$B$31</f>
        <v>0</v>
      </c>
      <c r="C29" s="15">
        <f>[27]Resumen!$C$31</f>
        <v>0</v>
      </c>
      <c r="D29" s="16">
        <f>[27]Resumen!$D$31</f>
        <v>0</v>
      </c>
      <c r="E29" s="14">
        <f>[27]Resumen!$E$31</f>
        <v>0</v>
      </c>
      <c r="F29" s="15">
        <f>[27]Resumen!$F$31</f>
        <v>0</v>
      </c>
      <c r="G29" s="17">
        <f>[27]Resumen!$G$31</f>
        <v>0</v>
      </c>
      <c r="H29" s="18">
        <f>[27]Resumen!$H$31</f>
        <v>0</v>
      </c>
      <c r="I29" s="15">
        <f>[27]Resumen!$I$31</f>
        <v>0</v>
      </c>
      <c r="J29" s="16">
        <f>[27]Resumen!$J$31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[28]Resumen!$B$31</f>
        <v>0</v>
      </c>
      <c r="C30" s="15">
        <f>[28]Resumen!$C$31</f>
        <v>0</v>
      </c>
      <c r="D30" s="16">
        <f>[28]Resumen!$D$31</f>
        <v>0</v>
      </c>
      <c r="E30" s="14">
        <f>[28]Resumen!$E$31</f>
        <v>0</v>
      </c>
      <c r="F30" s="15">
        <f>[28]Resumen!$F$31</f>
        <v>0</v>
      </c>
      <c r="G30" s="17">
        <f>[28]Resumen!$G$31</f>
        <v>0</v>
      </c>
      <c r="H30" s="18">
        <f>[28]Resumen!$H$31</f>
        <v>0</v>
      </c>
      <c r="I30" s="15">
        <f>[28]Resumen!$I$31</f>
        <v>0</v>
      </c>
      <c r="J30" s="16">
        <f>[28]Resumen!$J$31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[29]Resumen!$B$31</f>
        <v>0</v>
      </c>
      <c r="C31" s="15">
        <f>[29]Resumen!$C$31</f>
        <v>0</v>
      </c>
      <c r="D31" s="16">
        <f>[29]Resumen!$D$31</f>
        <v>0</v>
      </c>
      <c r="E31" s="14">
        <f>[29]Resumen!$E$31</f>
        <v>0</v>
      </c>
      <c r="F31" s="15">
        <f>[29]Resumen!$F$31</f>
        <v>0</v>
      </c>
      <c r="G31" s="17">
        <f>[29]Resumen!$G$31</f>
        <v>0</v>
      </c>
      <c r="H31" s="18">
        <f>[29]Resumen!$H$31</f>
        <v>0</v>
      </c>
      <c r="I31" s="15">
        <f>[29]Resumen!$I$31</f>
        <v>0</v>
      </c>
      <c r="J31" s="16">
        <f>[29]Resumen!$J$31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[30]Resumen!$B$31</f>
        <v>0</v>
      </c>
      <c r="C32" s="15">
        <f>[30]Resumen!$C$31</f>
        <v>0</v>
      </c>
      <c r="D32" s="16">
        <f>[30]Resumen!$D$31</f>
        <v>0</v>
      </c>
      <c r="E32" s="14">
        <f>[30]Resumen!$E$31</f>
        <v>0</v>
      </c>
      <c r="F32" s="15">
        <f>[30]Resumen!$F$31</f>
        <v>0</v>
      </c>
      <c r="G32" s="17">
        <f>[30]Resumen!$G$31</f>
        <v>0</v>
      </c>
      <c r="H32" s="18">
        <f>[30]Resumen!$H$31</f>
        <v>0</v>
      </c>
      <c r="I32" s="15">
        <f>[30]Resumen!$I$31</f>
        <v>0</v>
      </c>
      <c r="J32" s="16">
        <f>[30]Resumen!$J$31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[31]Resumen!$B$31</f>
        <v>0</v>
      </c>
      <c r="C33" s="15">
        <f>[31]Resumen!$C$31</f>
        <v>0</v>
      </c>
      <c r="D33" s="16">
        <f>[31]Resumen!$D$31</f>
        <v>0</v>
      </c>
      <c r="E33" s="14">
        <f>[31]Resumen!$E$31</f>
        <v>0</v>
      </c>
      <c r="F33" s="15">
        <f>[31]Resumen!$F$31</f>
        <v>0</v>
      </c>
      <c r="G33" s="17">
        <f>[31]Resumen!$G$31</f>
        <v>0</v>
      </c>
      <c r="H33" s="18">
        <f>[31]Resumen!$H$31</f>
        <v>0</v>
      </c>
      <c r="I33" s="15">
        <f>[31]Resumen!$I$31</f>
        <v>0</v>
      </c>
      <c r="J33" s="16">
        <f>[31]Resumen!$J$31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[10]Resumen!$B$31</f>
        <v>0</v>
      </c>
      <c r="C34" s="15">
        <f>[10]Resumen!$C$31</f>
        <v>0</v>
      </c>
      <c r="D34" s="16">
        <f>[10]Resumen!$D$31</f>
        <v>0</v>
      </c>
      <c r="E34" s="14">
        <f>[10]Resumen!$E$31</f>
        <v>0</v>
      </c>
      <c r="F34" s="15">
        <f>[10]Resumen!$F$31</f>
        <v>0</v>
      </c>
      <c r="G34" s="17">
        <f>[10]Resumen!$G$31</f>
        <v>0</v>
      </c>
      <c r="H34" s="18">
        <f>[10]Resumen!$H$31</f>
        <v>0</v>
      </c>
      <c r="I34" s="15">
        <f>[10]Resumen!$I$31</f>
        <v>0</v>
      </c>
      <c r="J34" s="16">
        <f>[10]Resumen!$J$31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+[11]Resumen!$B$31</f>
        <v>0</v>
      </c>
      <c r="C35" s="22">
        <f>+[11]Resumen!$C$31</f>
        <v>0</v>
      </c>
      <c r="D35" s="23">
        <f>+[11]Resumen!$D$31</f>
        <v>0</v>
      </c>
      <c r="E35" s="21">
        <f>+[11]Resumen!$E$31</f>
        <v>0</v>
      </c>
      <c r="F35" s="22">
        <f>+[11]Resumen!$F$31</f>
        <v>0</v>
      </c>
      <c r="G35" s="24">
        <f>+[11]Resumen!$G$31</f>
        <v>0</v>
      </c>
      <c r="H35" s="25">
        <f>+[11]Resumen!$H$31</f>
        <v>0</v>
      </c>
      <c r="I35" s="22">
        <f>+[11]Resumen!$I$31</f>
        <v>0</v>
      </c>
      <c r="J35" s="23">
        <f>+[11]Resumen!$J$31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60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[1]Resumen!$B$32</f>
        <v>0</v>
      </c>
      <c r="C5" s="58">
        <f>[1]Resumen!$C$32</f>
        <v>0</v>
      </c>
      <c r="D5" s="54">
        <f>[1]Resumen!$D$32</f>
        <v>0</v>
      </c>
      <c r="E5" s="53">
        <f>[1]Resumen!$E$32</f>
        <v>0</v>
      </c>
      <c r="F5" s="58">
        <f>[1]Resumen!$F$32</f>
        <v>0</v>
      </c>
      <c r="G5" s="55">
        <f>[1]Resumen!$G$32</f>
        <v>0</v>
      </c>
      <c r="H5" s="61">
        <f>[1]Resumen!$H$32</f>
        <v>0</v>
      </c>
      <c r="I5" s="58">
        <f>[1]Resumen!$I$32</f>
        <v>0</v>
      </c>
      <c r="J5" s="54">
        <f>[1]Resumen!$J$32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[2]Resumen!$B$32</f>
        <v>0</v>
      </c>
      <c r="C6" s="15">
        <f>[2]Resumen!$C$32</f>
        <v>0</v>
      </c>
      <c r="D6" s="16">
        <f>[2]Resumen!$D$32</f>
        <v>0</v>
      </c>
      <c r="E6" s="14">
        <f>[2]Resumen!$E$32</f>
        <v>0</v>
      </c>
      <c r="F6" s="15">
        <f>[2]Resumen!$F$32</f>
        <v>0</v>
      </c>
      <c r="G6" s="17">
        <f>[2]Resumen!$G$32</f>
        <v>0</v>
      </c>
      <c r="H6" s="18">
        <f>[2]Resumen!$H$32</f>
        <v>0</v>
      </c>
      <c r="I6" s="15">
        <f>[2]Resumen!$I$32</f>
        <v>0</v>
      </c>
      <c r="J6" s="16">
        <f>[2]Resumen!$J$32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[3]Resumen!$B$32</f>
        <v>0</v>
      </c>
      <c r="C7" s="15">
        <f>[3]Resumen!$C$32</f>
        <v>0</v>
      </c>
      <c r="D7" s="16">
        <f>[3]Resumen!$D$32</f>
        <v>0</v>
      </c>
      <c r="E7" s="14">
        <f>[3]Resumen!$E$32</f>
        <v>0</v>
      </c>
      <c r="F7" s="15">
        <f>[3]Resumen!$F$32</f>
        <v>0</v>
      </c>
      <c r="G7" s="17">
        <f>[3]Resumen!$G$32</f>
        <v>0</v>
      </c>
      <c r="H7" s="18">
        <f>[3]Resumen!$H$32</f>
        <v>0</v>
      </c>
      <c r="I7" s="15">
        <f>[3]Resumen!$I$32</f>
        <v>0</v>
      </c>
      <c r="J7" s="16">
        <f>[3]Resumen!$J$32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[4]Resumen!$B$32</f>
        <v>0</v>
      </c>
      <c r="C8" s="15">
        <f>[4]Resumen!$C$32</f>
        <v>0</v>
      </c>
      <c r="D8" s="16">
        <f>[4]Resumen!$D$32</f>
        <v>0</v>
      </c>
      <c r="E8" s="14">
        <f>[4]Resumen!$E$32</f>
        <v>0</v>
      </c>
      <c r="F8" s="15">
        <f>[4]Resumen!$F$32</f>
        <v>0</v>
      </c>
      <c r="G8" s="17">
        <f>[4]Resumen!$G$32</f>
        <v>0</v>
      </c>
      <c r="H8" s="18">
        <f>[4]Resumen!$H$32</f>
        <v>0</v>
      </c>
      <c r="I8" s="15">
        <f>[4]Resumen!$I$32</f>
        <v>0</v>
      </c>
      <c r="J8" s="16">
        <f>[4]Resumen!$J$32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[5]Resumen!$B$32</f>
        <v>0</v>
      </c>
      <c r="C9" s="15">
        <f>[5]Resumen!$C$32</f>
        <v>0</v>
      </c>
      <c r="D9" s="16">
        <f>[5]Resumen!$D$32</f>
        <v>0</v>
      </c>
      <c r="E9" s="14">
        <f>[5]Resumen!$E$32</f>
        <v>0</v>
      </c>
      <c r="F9" s="15">
        <f>[5]Resumen!$F$32</f>
        <v>0</v>
      </c>
      <c r="G9" s="17">
        <f>[5]Resumen!$G$32</f>
        <v>0</v>
      </c>
      <c r="H9" s="18">
        <f>[5]Resumen!$H$32</f>
        <v>0</v>
      </c>
      <c r="I9" s="15">
        <f>[5]Resumen!$I$32</f>
        <v>0</v>
      </c>
      <c r="J9" s="16">
        <f>[5]Resumen!$J$32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[6]Resumen!$B$32</f>
        <v>0</v>
      </c>
      <c r="C10" s="15">
        <f>[6]Resumen!$C$32</f>
        <v>0</v>
      </c>
      <c r="D10" s="16">
        <f>[6]Resumen!$D$32</f>
        <v>0</v>
      </c>
      <c r="E10" s="14">
        <f>[6]Resumen!$E$32</f>
        <v>0</v>
      </c>
      <c r="F10" s="15">
        <f>[6]Resumen!$F$32</f>
        <v>0</v>
      </c>
      <c r="G10" s="17">
        <f>[6]Resumen!$G$32</f>
        <v>0</v>
      </c>
      <c r="H10" s="18">
        <f>[6]Resumen!$H$32</f>
        <v>0</v>
      </c>
      <c r="I10" s="15">
        <f>[6]Resumen!$I$32</f>
        <v>0</v>
      </c>
      <c r="J10" s="16">
        <f>[6]Resumen!$J$32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[7]Resumen!$B$32</f>
        <v>0</v>
      </c>
      <c r="C11" s="15">
        <f>[7]Resumen!$C$32</f>
        <v>0</v>
      </c>
      <c r="D11" s="16">
        <f>[7]Resumen!$D$32</f>
        <v>0</v>
      </c>
      <c r="E11" s="14">
        <f>[7]Resumen!$E$32</f>
        <v>0</v>
      </c>
      <c r="F11" s="15">
        <f>[7]Resumen!$F$32</f>
        <v>0</v>
      </c>
      <c r="G11" s="17">
        <f>[7]Resumen!$G$32</f>
        <v>0</v>
      </c>
      <c r="H11" s="18">
        <f>[7]Resumen!$H$32</f>
        <v>0</v>
      </c>
      <c r="I11" s="15">
        <f>[7]Resumen!$I$32</f>
        <v>0</v>
      </c>
      <c r="J11" s="16">
        <f>[7]Resumen!$J$32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[8]Resumen!$B$32</f>
        <v>0</v>
      </c>
      <c r="C12" s="15">
        <f>[8]Resumen!$C$32</f>
        <v>0</v>
      </c>
      <c r="D12" s="16">
        <f>[8]Resumen!$D$32</f>
        <v>0</v>
      </c>
      <c r="E12" s="14">
        <f>[8]Resumen!$E$32</f>
        <v>0</v>
      </c>
      <c r="F12" s="15">
        <f>[8]Resumen!$F$32</f>
        <v>0</v>
      </c>
      <c r="G12" s="17">
        <f>[8]Resumen!$G$32</f>
        <v>0</v>
      </c>
      <c r="H12" s="18">
        <f>[8]Resumen!$H$32</f>
        <v>0</v>
      </c>
      <c r="I12" s="15">
        <f>[8]Resumen!$I$32</f>
        <v>0</v>
      </c>
      <c r="J12" s="16">
        <f>[8]Resumen!$J$32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[9]Resumen!$B$32</f>
        <v>0</v>
      </c>
      <c r="C13" s="15">
        <f>[9]Resumen!$C$32</f>
        <v>0</v>
      </c>
      <c r="D13" s="16">
        <f>[9]Resumen!$D$32</f>
        <v>0</v>
      </c>
      <c r="E13" s="14">
        <f>[9]Resumen!$E$32</f>
        <v>0</v>
      </c>
      <c r="F13" s="15">
        <f>[9]Resumen!$F$32</f>
        <v>0</v>
      </c>
      <c r="G13" s="17">
        <f>[9]Resumen!$G$32</f>
        <v>0</v>
      </c>
      <c r="H13" s="18">
        <f>[9]Resumen!$H$32</f>
        <v>0</v>
      </c>
      <c r="I13" s="15">
        <f>[9]Resumen!$I$32</f>
        <v>0</v>
      </c>
      <c r="J13" s="16">
        <f>[9]Resumen!$J$32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[12]Resumen!$B$32</f>
        <v>0</v>
      </c>
      <c r="C14" s="15">
        <f>[12]Resumen!$C$32</f>
        <v>0</v>
      </c>
      <c r="D14" s="16">
        <f>[12]Resumen!$D$32</f>
        <v>0</v>
      </c>
      <c r="E14" s="14">
        <f>[12]Resumen!$E$32</f>
        <v>0</v>
      </c>
      <c r="F14" s="15">
        <f>[12]Resumen!$F$32</f>
        <v>0</v>
      </c>
      <c r="G14" s="17">
        <f>[12]Resumen!$G$32</f>
        <v>0</v>
      </c>
      <c r="H14" s="18">
        <f>[12]Resumen!$H$32</f>
        <v>0</v>
      </c>
      <c r="I14" s="15">
        <f>[12]Resumen!$I$32</f>
        <v>0</v>
      </c>
      <c r="J14" s="16">
        <f>[12]Resumen!$J$32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[13]Resumen!$B$32</f>
        <v>0</v>
      </c>
      <c r="C15" s="15">
        <f>[13]Resumen!$C$32</f>
        <v>0</v>
      </c>
      <c r="D15" s="16">
        <f>[13]Resumen!$D$32</f>
        <v>0</v>
      </c>
      <c r="E15" s="14">
        <f>[13]Resumen!$E$32</f>
        <v>0</v>
      </c>
      <c r="F15" s="15">
        <f>[13]Resumen!$F$32</f>
        <v>0</v>
      </c>
      <c r="G15" s="17">
        <f>[13]Resumen!$G$32</f>
        <v>0</v>
      </c>
      <c r="H15" s="18">
        <f>[13]Resumen!$H$32</f>
        <v>0</v>
      </c>
      <c r="I15" s="15">
        <f>[13]Resumen!$I$32</f>
        <v>0</v>
      </c>
      <c r="J15" s="16">
        <f>[13]Resumen!$J$32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[14]Resumen!$B$32</f>
        <v>0</v>
      </c>
      <c r="C16" s="15">
        <f>[14]Resumen!$C$32</f>
        <v>0</v>
      </c>
      <c r="D16" s="16">
        <f>[14]Resumen!$D$32</f>
        <v>0</v>
      </c>
      <c r="E16" s="14">
        <f>[14]Resumen!$E$32</f>
        <v>0</v>
      </c>
      <c r="F16" s="15">
        <f>[14]Resumen!$F$32</f>
        <v>0</v>
      </c>
      <c r="G16" s="17">
        <f>[14]Resumen!$G$32</f>
        <v>0</v>
      </c>
      <c r="H16" s="18">
        <f>[14]Resumen!$H$32</f>
        <v>0</v>
      </c>
      <c r="I16" s="15">
        <f>[14]Resumen!$I$32</f>
        <v>0</v>
      </c>
      <c r="J16" s="16">
        <f>[14]Resumen!$J$32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[15]Resumen!$B$32</f>
        <v>0</v>
      </c>
      <c r="C17" s="15">
        <f>[15]Resumen!$C$32</f>
        <v>0</v>
      </c>
      <c r="D17" s="16">
        <f>[15]Resumen!$D$32</f>
        <v>0</v>
      </c>
      <c r="E17" s="14">
        <f>[15]Resumen!$E$32</f>
        <v>0</v>
      </c>
      <c r="F17" s="15">
        <f>[15]Resumen!$F$32</f>
        <v>0</v>
      </c>
      <c r="G17" s="17">
        <f>[15]Resumen!$G$32</f>
        <v>0</v>
      </c>
      <c r="H17" s="18">
        <f>[15]Resumen!$H$32</f>
        <v>0</v>
      </c>
      <c r="I17" s="15">
        <f>[15]Resumen!$I$32</f>
        <v>0</v>
      </c>
      <c r="J17" s="16">
        <f>[15]Resumen!$J$32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[16]Resumen!$B$32</f>
        <v>0</v>
      </c>
      <c r="C18" s="15">
        <f>[16]Resumen!$C$32</f>
        <v>0</v>
      </c>
      <c r="D18" s="16">
        <f>[16]Resumen!$D$32</f>
        <v>0</v>
      </c>
      <c r="E18" s="14">
        <f>[16]Resumen!$E$32</f>
        <v>0</v>
      </c>
      <c r="F18" s="15">
        <f>[16]Resumen!$F$32</f>
        <v>0</v>
      </c>
      <c r="G18" s="17">
        <f>[16]Resumen!$G$32</f>
        <v>0</v>
      </c>
      <c r="H18" s="18">
        <f>[16]Resumen!$H$32</f>
        <v>0</v>
      </c>
      <c r="I18" s="15">
        <f>[16]Resumen!$I$32</f>
        <v>0</v>
      </c>
      <c r="J18" s="16">
        <f>[16]Resumen!$J$32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[17]Resumen!$B$32</f>
        <v>0</v>
      </c>
      <c r="C19" s="15">
        <f>[17]Resumen!$C$32</f>
        <v>0</v>
      </c>
      <c r="D19" s="16">
        <f>[17]Resumen!$D$32</f>
        <v>0</v>
      </c>
      <c r="E19" s="14">
        <f>[17]Resumen!$E$32</f>
        <v>0</v>
      </c>
      <c r="F19" s="15">
        <f>[17]Resumen!$F$32</f>
        <v>0</v>
      </c>
      <c r="G19" s="17">
        <f>[17]Resumen!$G$32</f>
        <v>0</v>
      </c>
      <c r="H19" s="18">
        <f>[17]Resumen!$H$32</f>
        <v>0</v>
      </c>
      <c r="I19" s="15">
        <f>[17]Resumen!$I$32</f>
        <v>0</v>
      </c>
      <c r="J19" s="16">
        <f>[17]Resumen!$J$32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[18]Resumen!$B$32</f>
        <v>0</v>
      </c>
      <c r="C20" s="15">
        <f>[18]Resumen!$C$32</f>
        <v>0</v>
      </c>
      <c r="D20" s="16">
        <f>[18]Resumen!$D$32</f>
        <v>0</v>
      </c>
      <c r="E20" s="14">
        <f>[18]Resumen!$E$32</f>
        <v>0</v>
      </c>
      <c r="F20" s="15">
        <f>[18]Resumen!$F$32</f>
        <v>0</v>
      </c>
      <c r="G20" s="17">
        <f>[18]Resumen!$G$32</f>
        <v>0</v>
      </c>
      <c r="H20" s="18">
        <f>[18]Resumen!$H$32</f>
        <v>0</v>
      </c>
      <c r="I20" s="15">
        <f>[18]Resumen!$I$32</f>
        <v>0</v>
      </c>
      <c r="J20" s="16">
        <f>[18]Resumen!$J$32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[19]Resumen!$B$32</f>
        <v>0</v>
      </c>
      <c r="C21" s="15">
        <f>[19]Resumen!$C$32</f>
        <v>0</v>
      </c>
      <c r="D21" s="16">
        <f>[19]Resumen!$D$32</f>
        <v>0</v>
      </c>
      <c r="E21" s="14">
        <f>[19]Resumen!$E$32</f>
        <v>0</v>
      </c>
      <c r="F21" s="15">
        <f>[19]Resumen!$F$32</f>
        <v>0</v>
      </c>
      <c r="G21" s="17">
        <f>[19]Resumen!$G$32</f>
        <v>0</v>
      </c>
      <c r="H21" s="18">
        <f>[19]Resumen!$H$32</f>
        <v>0</v>
      </c>
      <c r="I21" s="15">
        <f>[19]Resumen!$I$32</f>
        <v>0</v>
      </c>
      <c r="J21" s="16">
        <f>[19]Resumen!$J$32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[20]Resumen!$B$32</f>
        <v>0</v>
      </c>
      <c r="C22" s="15">
        <f>[20]Resumen!$C$32</f>
        <v>0</v>
      </c>
      <c r="D22" s="16">
        <f>[20]Resumen!$D$32</f>
        <v>0</v>
      </c>
      <c r="E22" s="14">
        <f>[20]Resumen!$E$32</f>
        <v>0</v>
      </c>
      <c r="F22" s="15">
        <f>[20]Resumen!$F$32</f>
        <v>0</v>
      </c>
      <c r="G22" s="17">
        <f>[20]Resumen!$G$32</f>
        <v>0</v>
      </c>
      <c r="H22" s="18">
        <f>[20]Resumen!$H$32</f>
        <v>0</v>
      </c>
      <c r="I22" s="15">
        <f>[20]Resumen!$I$32</f>
        <v>0</v>
      </c>
      <c r="J22" s="16">
        <f>[20]Resumen!$J$32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[21]Resumen!$B$32</f>
        <v>0</v>
      </c>
      <c r="C23" s="15">
        <f>[21]Resumen!$C$32</f>
        <v>0</v>
      </c>
      <c r="D23" s="16">
        <f>[21]Resumen!$D$32</f>
        <v>0</v>
      </c>
      <c r="E23" s="14">
        <f>[21]Resumen!$E$32</f>
        <v>0</v>
      </c>
      <c r="F23" s="15">
        <f>[21]Resumen!$F$32</f>
        <v>0</v>
      </c>
      <c r="G23" s="17">
        <f>[21]Resumen!$G$32</f>
        <v>0</v>
      </c>
      <c r="H23" s="18">
        <f>[21]Resumen!$H$32</f>
        <v>0</v>
      </c>
      <c r="I23" s="15">
        <f>[21]Resumen!$I$32</f>
        <v>0</v>
      </c>
      <c r="J23" s="16">
        <f>[21]Resumen!$J$32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[22]Resumen!$B$32</f>
        <v>0</v>
      </c>
      <c r="C24" s="15">
        <f>[22]Resumen!$C$32</f>
        <v>0</v>
      </c>
      <c r="D24" s="16">
        <f>[22]Resumen!$D$32</f>
        <v>0</v>
      </c>
      <c r="E24" s="14">
        <f>[22]Resumen!$E$32</f>
        <v>0</v>
      </c>
      <c r="F24" s="15">
        <f>[22]Resumen!$F$32</f>
        <v>0</v>
      </c>
      <c r="G24" s="17">
        <f>[22]Resumen!$G$32</f>
        <v>0</v>
      </c>
      <c r="H24" s="18">
        <f>[22]Resumen!$H$32</f>
        <v>0</v>
      </c>
      <c r="I24" s="15">
        <f>[22]Resumen!$I$32</f>
        <v>0</v>
      </c>
      <c r="J24" s="16">
        <f>[22]Resumen!$J$32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[23]Resumen!$B$32</f>
        <v>0</v>
      </c>
      <c r="C25" s="15">
        <f>[23]Resumen!$C$32</f>
        <v>0</v>
      </c>
      <c r="D25" s="16">
        <f>[23]Resumen!$D$32</f>
        <v>0</v>
      </c>
      <c r="E25" s="14">
        <f>[23]Resumen!$E$32</f>
        <v>0</v>
      </c>
      <c r="F25" s="15">
        <f>[23]Resumen!$F$32</f>
        <v>0</v>
      </c>
      <c r="G25" s="17">
        <f>[23]Resumen!$G$32</f>
        <v>0</v>
      </c>
      <c r="H25" s="18">
        <f>[23]Resumen!$H$32</f>
        <v>0</v>
      </c>
      <c r="I25" s="15">
        <f>[23]Resumen!$I$32</f>
        <v>0</v>
      </c>
      <c r="J25" s="16">
        <f>[23]Resumen!$J$32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[24]Resumen!$B$32</f>
        <v>0</v>
      </c>
      <c r="C26" s="15">
        <f>[24]Resumen!$C$32</f>
        <v>0</v>
      </c>
      <c r="D26" s="16">
        <f>[24]Resumen!$D$32</f>
        <v>0</v>
      </c>
      <c r="E26" s="14">
        <f>[24]Resumen!$E$32</f>
        <v>0</v>
      </c>
      <c r="F26" s="15">
        <f>[24]Resumen!$F$32</f>
        <v>0</v>
      </c>
      <c r="G26" s="17">
        <f>[24]Resumen!$G$32</f>
        <v>0</v>
      </c>
      <c r="H26" s="18">
        <f>[24]Resumen!$H$32</f>
        <v>0</v>
      </c>
      <c r="I26" s="15">
        <f>[24]Resumen!$I$32</f>
        <v>0</v>
      </c>
      <c r="J26" s="16">
        <f>[24]Resumen!$J$32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[25]Resumen!$B$32</f>
        <v>0</v>
      </c>
      <c r="C27" s="15">
        <f>[25]Resumen!$C$32</f>
        <v>0</v>
      </c>
      <c r="D27" s="16">
        <f>[25]Resumen!$D$32</f>
        <v>0</v>
      </c>
      <c r="E27" s="14">
        <f>[25]Resumen!$E$32</f>
        <v>0</v>
      </c>
      <c r="F27" s="15">
        <f>[25]Resumen!$F$32</f>
        <v>0</v>
      </c>
      <c r="G27" s="17">
        <f>[25]Resumen!$G$32</f>
        <v>0</v>
      </c>
      <c r="H27" s="18">
        <f>[25]Resumen!$H$32</f>
        <v>0</v>
      </c>
      <c r="I27" s="15">
        <f>[25]Resumen!$I$32</f>
        <v>0</v>
      </c>
      <c r="J27" s="16">
        <f>[25]Resumen!$J$32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[26]Resumen!$B$32</f>
        <v>0</v>
      </c>
      <c r="C28" s="15">
        <f>[26]Resumen!$C$32</f>
        <v>0</v>
      </c>
      <c r="D28" s="16">
        <f>[26]Resumen!$D$32</f>
        <v>0</v>
      </c>
      <c r="E28" s="14">
        <f>[26]Resumen!$E$32</f>
        <v>0</v>
      </c>
      <c r="F28" s="15">
        <f>[26]Resumen!$F$32</f>
        <v>0</v>
      </c>
      <c r="G28" s="17">
        <f>[26]Resumen!$G$32</f>
        <v>0</v>
      </c>
      <c r="H28" s="18">
        <f>[26]Resumen!$H$32</f>
        <v>0</v>
      </c>
      <c r="I28" s="15">
        <f>[26]Resumen!$I$32</f>
        <v>0</v>
      </c>
      <c r="J28" s="16">
        <f>[26]Resumen!$J$32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[27]Resumen!$B$32</f>
        <v>0</v>
      </c>
      <c r="C29" s="15">
        <f>[27]Resumen!$C$32</f>
        <v>0</v>
      </c>
      <c r="D29" s="16">
        <f>[27]Resumen!$D$32</f>
        <v>0</v>
      </c>
      <c r="E29" s="14">
        <f>[27]Resumen!$E$32</f>
        <v>0</v>
      </c>
      <c r="F29" s="15">
        <f>[27]Resumen!$F$32</f>
        <v>0</v>
      </c>
      <c r="G29" s="17">
        <f>[27]Resumen!$G$32</f>
        <v>0</v>
      </c>
      <c r="H29" s="18">
        <f>[27]Resumen!$H$32</f>
        <v>0</v>
      </c>
      <c r="I29" s="15">
        <f>[27]Resumen!$I$32</f>
        <v>0</v>
      </c>
      <c r="J29" s="16">
        <f>[27]Resumen!$J$32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[28]Resumen!$B$32</f>
        <v>0</v>
      </c>
      <c r="C30" s="15">
        <f>[28]Resumen!$C$32</f>
        <v>0</v>
      </c>
      <c r="D30" s="16">
        <f>[28]Resumen!$D$32</f>
        <v>0</v>
      </c>
      <c r="E30" s="14">
        <f>[28]Resumen!$E$32</f>
        <v>0</v>
      </c>
      <c r="F30" s="15">
        <f>[28]Resumen!$F$32</f>
        <v>0</v>
      </c>
      <c r="G30" s="17">
        <f>[28]Resumen!$G$32</f>
        <v>0</v>
      </c>
      <c r="H30" s="18">
        <f>[28]Resumen!$H$32</f>
        <v>0</v>
      </c>
      <c r="I30" s="15">
        <f>[28]Resumen!$I$32</f>
        <v>0</v>
      </c>
      <c r="J30" s="16">
        <f>[28]Resumen!$J$32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[29]Resumen!$B$32</f>
        <v>0</v>
      </c>
      <c r="C31" s="15">
        <f>[29]Resumen!$C$32</f>
        <v>0</v>
      </c>
      <c r="D31" s="16">
        <f>[29]Resumen!$D$32</f>
        <v>0</v>
      </c>
      <c r="E31" s="14">
        <f>[29]Resumen!$E$32</f>
        <v>0</v>
      </c>
      <c r="F31" s="15">
        <f>[29]Resumen!$F$32</f>
        <v>0</v>
      </c>
      <c r="G31" s="17">
        <f>[29]Resumen!$G$32</f>
        <v>0</v>
      </c>
      <c r="H31" s="18">
        <f>[29]Resumen!$H$32</f>
        <v>0</v>
      </c>
      <c r="I31" s="15">
        <f>[29]Resumen!$I$32</f>
        <v>0</v>
      </c>
      <c r="J31" s="16">
        <f>[29]Resumen!$J$32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[30]Resumen!$B$32</f>
        <v>0</v>
      </c>
      <c r="C32" s="15">
        <f>[30]Resumen!$C$32</f>
        <v>0</v>
      </c>
      <c r="D32" s="16">
        <f>[30]Resumen!$D$32</f>
        <v>0</v>
      </c>
      <c r="E32" s="14">
        <f>[30]Resumen!$E$32</f>
        <v>0</v>
      </c>
      <c r="F32" s="15">
        <f>[30]Resumen!$F$32</f>
        <v>0</v>
      </c>
      <c r="G32" s="17">
        <f>[30]Resumen!$G$32</f>
        <v>0</v>
      </c>
      <c r="H32" s="18">
        <f>[30]Resumen!$H$32</f>
        <v>0</v>
      </c>
      <c r="I32" s="15">
        <f>[30]Resumen!$I$32</f>
        <v>0</v>
      </c>
      <c r="J32" s="16">
        <f>[30]Resumen!$J$32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[31]Resumen!$B$32</f>
        <v>0</v>
      </c>
      <c r="C33" s="15">
        <f>[31]Resumen!$C$32</f>
        <v>0</v>
      </c>
      <c r="D33" s="16">
        <f>[31]Resumen!$D$32</f>
        <v>0</v>
      </c>
      <c r="E33" s="14">
        <f>[31]Resumen!$E$32</f>
        <v>0</v>
      </c>
      <c r="F33" s="15">
        <f>[31]Resumen!$F$32</f>
        <v>0</v>
      </c>
      <c r="G33" s="17">
        <f>[31]Resumen!$G$32</f>
        <v>0</v>
      </c>
      <c r="H33" s="18">
        <f>[31]Resumen!$H$32</f>
        <v>0</v>
      </c>
      <c r="I33" s="15">
        <f>[31]Resumen!$I$32</f>
        <v>0</v>
      </c>
      <c r="J33" s="16">
        <f>[31]Resumen!$J$32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[10]Resumen!$B$32</f>
        <v>0</v>
      </c>
      <c r="C34" s="15">
        <f>[10]Resumen!$C$32</f>
        <v>0</v>
      </c>
      <c r="D34" s="16">
        <f>[10]Resumen!$D$32</f>
        <v>0</v>
      </c>
      <c r="E34" s="14">
        <f>[10]Resumen!$E$32</f>
        <v>0</v>
      </c>
      <c r="F34" s="15">
        <f>[10]Resumen!$F$32</f>
        <v>0</v>
      </c>
      <c r="G34" s="17">
        <f>[10]Resumen!$G$32</f>
        <v>0</v>
      </c>
      <c r="H34" s="18">
        <f>[10]Resumen!$H$32</f>
        <v>0</v>
      </c>
      <c r="I34" s="15">
        <f>[10]Resumen!$I$32</f>
        <v>0</v>
      </c>
      <c r="J34" s="16">
        <f>[10]Resumen!$J$32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+[11]Resumen!$B$32</f>
        <v>0</v>
      </c>
      <c r="C35" s="22">
        <f>+[11]Resumen!$C$32</f>
        <v>0</v>
      </c>
      <c r="D35" s="23">
        <f>+[11]Resumen!$D$32</f>
        <v>0</v>
      </c>
      <c r="E35" s="21">
        <f>+[11]Resumen!$E$32</f>
        <v>0</v>
      </c>
      <c r="F35" s="22">
        <f>+[11]Resumen!$F$32</f>
        <v>0</v>
      </c>
      <c r="G35" s="24">
        <f>+[11]Resumen!$G$32</f>
        <v>0</v>
      </c>
      <c r="H35" s="25">
        <f>+[11]Resumen!$H$32</f>
        <v>0</v>
      </c>
      <c r="I35" s="22">
        <f>+[11]Resumen!$I$32</f>
        <v>0</v>
      </c>
      <c r="J35" s="23">
        <f>+[11]Resumen!$J$32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1406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63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[1]Resumen!$B$33</f>
        <v>0</v>
      </c>
      <c r="C5" s="58">
        <f>[1]Resumen!$C$33</f>
        <v>0</v>
      </c>
      <c r="D5" s="54">
        <f>[1]Resumen!$D$33</f>
        <v>0</v>
      </c>
      <c r="E5" s="53">
        <f>[1]Resumen!$E$33</f>
        <v>0</v>
      </c>
      <c r="F5" s="58">
        <f>[1]Resumen!$F$33</f>
        <v>0</v>
      </c>
      <c r="G5" s="55">
        <f>[1]Resumen!$G$33</f>
        <v>0</v>
      </c>
      <c r="H5" s="61">
        <f>[1]Resumen!$H$33</f>
        <v>0</v>
      </c>
      <c r="I5" s="58">
        <f>[1]Resumen!$I$33</f>
        <v>0</v>
      </c>
      <c r="J5" s="54">
        <f>[1]Resumen!$J$33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[2]Resumen!$B$33</f>
        <v>0</v>
      </c>
      <c r="C6" s="15">
        <f>[2]Resumen!$C$33</f>
        <v>0</v>
      </c>
      <c r="D6" s="16">
        <f>[2]Resumen!$D$33</f>
        <v>0</v>
      </c>
      <c r="E6" s="14">
        <f>[2]Resumen!$E$33</f>
        <v>0</v>
      </c>
      <c r="F6" s="15">
        <f>[2]Resumen!$F$33</f>
        <v>0</v>
      </c>
      <c r="G6" s="17">
        <f>[2]Resumen!$G$33</f>
        <v>0</v>
      </c>
      <c r="H6" s="18">
        <f>[2]Resumen!$H$33</f>
        <v>0</v>
      </c>
      <c r="I6" s="15">
        <f>[2]Resumen!$I$33</f>
        <v>0</v>
      </c>
      <c r="J6" s="16">
        <f>[2]Resumen!$J$33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[3]Resumen!$B$33</f>
        <v>0</v>
      </c>
      <c r="C7" s="15">
        <f>[3]Resumen!$C$33</f>
        <v>0</v>
      </c>
      <c r="D7" s="16">
        <f>[3]Resumen!$D$33</f>
        <v>0</v>
      </c>
      <c r="E7" s="14">
        <f>[3]Resumen!$E$33</f>
        <v>0</v>
      </c>
      <c r="F7" s="15">
        <f>[3]Resumen!$F$33</f>
        <v>0</v>
      </c>
      <c r="G7" s="17">
        <f>[3]Resumen!$G$33</f>
        <v>0</v>
      </c>
      <c r="H7" s="18">
        <f>[3]Resumen!$H$33</f>
        <v>0</v>
      </c>
      <c r="I7" s="15">
        <f>[3]Resumen!$I$33</f>
        <v>0</v>
      </c>
      <c r="J7" s="16">
        <f>[3]Resumen!$J$33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[4]Resumen!$B$33</f>
        <v>0</v>
      </c>
      <c r="C8" s="15">
        <f>[4]Resumen!$C$33</f>
        <v>0</v>
      </c>
      <c r="D8" s="16">
        <f>[4]Resumen!$D$33</f>
        <v>0</v>
      </c>
      <c r="E8" s="14">
        <f>[4]Resumen!$E$33</f>
        <v>0</v>
      </c>
      <c r="F8" s="15">
        <f>[4]Resumen!$F$33</f>
        <v>0</v>
      </c>
      <c r="G8" s="17">
        <f>[4]Resumen!$G$33</f>
        <v>0</v>
      </c>
      <c r="H8" s="18">
        <f>[4]Resumen!$H$33</f>
        <v>0</v>
      </c>
      <c r="I8" s="15">
        <f>[4]Resumen!$I$33</f>
        <v>0</v>
      </c>
      <c r="J8" s="16">
        <f>[4]Resumen!$J$33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[5]Resumen!$B$33</f>
        <v>0</v>
      </c>
      <c r="C9" s="15">
        <f>[5]Resumen!$C$33</f>
        <v>0</v>
      </c>
      <c r="D9" s="16">
        <f>[5]Resumen!$D$33</f>
        <v>0</v>
      </c>
      <c r="E9" s="14">
        <f>[5]Resumen!$E$33</f>
        <v>0</v>
      </c>
      <c r="F9" s="15">
        <f>[5]Resumen!$F$33</f>
        <v>0</v>
      </c>
      <c r="G9" s="17">
        <f>[5]Resumen!$G$33</f>
        <v>0</v>
      </c>
      <c r="H9" s="18">
        <f>[5]Resumen!$H$33</f>
        <v>0</v>
      </c>
      <c r="I9" s="15">
        <f>[5]Resumen!$I$33</f>
        <v>0</v>
      </c>
      <c r="J9" s="16">
        <f>[5]Resumen!$J$33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[6]Resumen!$B$33</f>
        <v>0</v>
      </c>
      <c r="C10" s="15">
        <f>[6]Resumen!$C$33</f>
        <v>0</v>
      </c>
      <c r="D10" s="16">
        <f>[6]Resumen!$D$33</f>
        <v>0</v>
      </c>
      <c r="E10" s="14">
        <f>[6]Resumen!$E$33</f>
        <v>0</v>
      </c>
      <c r="F10" s="15">
        <f>[6]Resumen!$F$33</f>
        <v>0</v>
      </c>
      <c r="G10" s="17">
        <f>[6]Resumen!$G$33</f>
        <v>0</v>
      </c>
      <c r="H10" s="18">
        <f>[6]Resumen!$H$33</f>
        <v>0</v>
      </c>
      <c r="I10" s="15">
        <f>[6]Resumen!$I$33</f>
        <v>0</v>
      </c>
      <c r="J10" s="16">
        <f>[6]Resumen!$J$33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[7]Resumen!$B$33</f>
        <v>0</v>
      </c>
      <c r="C11" s="15">
        <f>[7]Resumen!$C$33</f>
        <v>0</v>
      </c>
      <c r="D11" s="16">
        <f>[7]Resumen!$D$33</f>
        <v>0</v>
      </c>
      <c r="E11" s="14">
        <f>[7]Resumen!$E$33</f>
        <v>0</v>
      </c>
      <c r="F11" s="15">
        <f>[7]Resumen!$F$33</f>
        <v>0</v>
      </c>
      <c r="G11" s="17">
        <f>[7]Resumen!$G$33</f>
        <v>0</v>
      </c>
      <c r="H11" s="18">
        <f>[7]Resumen!$H$33</f>
        <v>0</v>
      </c>
      <c r="I11" s="15">
        <f>[7]Resumen!$I$33</f>
        <v>0</v>
      </c>
      <c r="J11" s="16">
        <f>[7]Resumen!$J$33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[8]Resumen!$B$33</f>
        <v>0</v>
      </c>
      <c r="C12" s="15">
        <f>[8]Resumen!$C$33</f>
        <v>0</v>
      </c>
      <c r="D12" s="16">
        <f>[8]Resumen!$D$33</f>
        <v>0</v>
      </c>
      <c r="E12" s="14">
        <f>[8]Resumen!$E$33</f>
        <v>0</v>
      </c>
      <c r="F12" s="15">
        <f>[8]Resumen!$F$33</f>
        <v>0</v>
      </c>
      <c r="G12" s="17">
        <f>[8]Resumen!$G$33</f>
        <v>0</v>
      </c>
      <c r="H12" s="18">
        <f>[8]Resumen!$H$33</f>
        <v>0</v>
      </c>
      <c r="I12" s="15">
        <f>[8]Resumen!$I$33</f>
        <v>0</v>
      </c>
      <c r="J12" s="16">
        <f>[8]Resumen!$J$33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[9]Resumen!$B$33</f>
        <v>0</v>
      </c>
      <c r="C13" s="15">
        <f>[9]Resumen!$C$33</f>
        <v>0</v>
      </c>
      <c r="D13" s="16">
        <f>[9]Resumen!$D$33</f>
        <v>0</v>
      </c>
      <c r="E13" s="14">
        <f>[9]Resumen!$E$33</f>
        <v>0</v>
      </c>
      <c r="F13" s="15">
        <f>[9]Resumen!$F$33</f>
        <v>0</v>
      </c>
      <c r="G13" s="17">
        <f>[9]Resumen!$G$33</f>
        <v>0</v>
      </c>
      <c r="H13" s="18">
        <f>[9]Resumen!$H$33</f>
        <v>0</v>
      </c>
      <c r="I13" s="15">
        <f>[9]Resumen!$I$33</f>
        <v>0</v>
      </c>
      <c r="J13" s="16">
        <f>[9]Resumen!$J$33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[12]Resumen!$B$33</f>
        <v>0</v>
      </c>
      <c r="C14" s="15">
        <f>[12]Resumen!$C$33</f>
        <v>0</v>
      </c>
      <c r="D14" s="16">
        <f>[12]Resumen!$D$33</f>
        <v>0</v>
      </c>
      <c r="E14" s="14">
        <f>[12]Resumen!$E$33</f>
        <v>0</v>
      </c>
      <c r="F14" s="15">
        <f>[12]Resumen!$F$33</f>
        <v>0</v>
      </c>
      <c r="G14" s="17">
        <f>[12]Resumen!$G$33</f>
        <v>0</v>
      </c>
      <c r="H14" s="18">
        <f>[12]Resumen!$H$33</f>
        <v>0</v>
      </c>
      <c r="I14" s="15">
        <f>[12]Resumen!$I$33</f>
        <v>0</v>
      </c>
      <c r="J14" s="16">
        <f>[12]Resumen!$J$33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[13]Resumen!$B$33</f>
        <v>0</v>
      </c>
      <c r="C15" s="15">
        <f>[13]Resumen!$C$33</f>
        <v>0</v>
      </c>
      <c r="D15" s="16">
        <f>[13]Resumen!$D$33</f>
        <v>0</v>
      </c>
      <c r="E15" s="14">
        <f>[13]Resumen!$E$33</f>
        <v>0</v>
      </c>
      <c r="F15" s="15">
        <f>[13]Resumen!$F$33</f>
        <v>0</v>
      </c>
      <c r="G15" s="17">
        <f>[13]Resumen!$G$33</f>
        <v>0</v>
      </c>
      <c r="H15" s="18">
        <f>[13]Resumen!$H$33</f>
        <v>0</v>
      </c>
      <c r="I15" s="15">
        <f>[13]Resumen!$I$33</f>
        <v>0</v>
      </c>
      <c r="J15" s="16">
        <f>[13]Resumen!$J$33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[14]Resumen!$B$33</f>
        <v>0</v>
      </c>
      <c r="C16" s="15">
        <f>[14]Resumen!$C$33</f>
        <v>0</v>
      </c>
      <c r="D16" s="16">
        <f>[14]Resumen!$D$33</f>
        <v>0</v>
      </c>
      <c r="E16" s="14">
        <f>[14]Resumen!$E$33</f>
        <v>0</v>
      </c>
      <c r="F16" s="15">
        <f>[14]Resumen!$F$33</f>
        <v>0</v>
      </c>
      <c r="G16" s="17">
        <f>[14]Resumen!$G$33</f>
        <v>0</v>
      </c>
      <c r="H16" s="18">
        <f>[14]Resumen!$H$33</f>
        <v>0</v>
      </c>
      <c r="I16" s="15">
        <f>[14]Resumen!$I$33</f>
        <v>0</v>
      </c>
      <c r="J16" s="16">
        <f>[14]Resumen!$J$33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[15]Resumen!$B$33</f>
        <v>0</v>
      </c>
      <c r="C17" s="15">
        <f>[15]Resumen!$C$33</f>
        <v>0</v>
      </c>
      <c r="D17" s="16">
        <f>[15]Resumen!$D$33</f>
        <v>0</v>
      </c>
      <c r="E17" s="14">
        <f>[15]Resumen!$E$33</f>
        <v>0</v>
      </c>
      <c r="F17" s="15">
        <f>[15]Resumen!$F$33</f>
        <v>0</v>
      </c>
      <c r="G17" s="17">
        <f>[15]Resumen!$G$33</f>
        <v>0</v>
      </c>
      <c r="H17" s="18">
        <f>[15]Resumen!$H$33</f>
        <v>0</v>
      </c>
      <c r="I17" s="15">
        <f>[15]Resumen!$I$33</f>
        <v>0</v>
      </c>
      <c r="J17" s="16">
        <f>[15]Resumen!$J$33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[16]Resumen!$B$33</f>
        <v>0</v>
      </c>
      <c r="C18" s="15">
        <f>[16]Resumen!$C$33</f>
        <v>0</v>
      </c>
      <c r="D18" s="16">
        <f>[16]Resumen!$D$33</f>
        <v>0</v>
      </c>
      <c r="E18" s="14">
        <f>[16]Resumen!$E$33</f>
        <v>0</v>
      </c>
      <c r="F18" s="15">
        <f>[16]Resumen!$F$33</f>
        <v>0</v>
      </c>
      <c r="G18" s="17">
        <f>[16]Resumen!$G$33</f>
        <v>0</v>
      </c>
      <c r="H18" s="18">
        <f>[16]Resumen!$H$33</f>
        <v>0</v>
      </c>
      <c r="I18" s="15">
        <f>[16]Resumen!$I$33</f>
        <v>0</v>
      </c>
      <c r="J18" s="16">
        <f>[16]Resumen!$J$33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[17]Resumen!$B$33</f>
        <v>0</v>
      </c>
      <c r="C19" s="15">
        <f>[17]Resumen!$C$33</f>
        <v>0</v>
      </c>
      <c r="D19" s="16">
        <f>[17]Resumen!$D$33</f>
        <v>0</v>
      </c>
      <c r="E19" s="14">
        <f>[17]Resumen!$E$33</f>
        <v>0</v>
      </c>
      <c r="F19" s="15">
        <f>[17]Resumen!$F$33</f>
        <v>0</v>
      </c>
      <c r="G19" s="17">
        <f>[17]Resumen!$G$33</f>
        <v>0</v>
      </c>
      <c r="H19" s="18">
        <f>[17]Resumen!$H$33</f>
        <v>0</v>
      </c>
      <c r="I19" s="15">
        <f>[17]Resumen!$I$33</f>
        <v>0</v>
      </c>
      <c r="J19" s="16">
        <f>[17]Resumen!$J$33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[18]Resumen!$B$33</f>
        <v>0</v>
      </c>
      <c r="C20" s="15">
        <f>[18]Resumen!$C$33</f>
        <v>0</v>
      </c>
      <c r="D20" s="16">
        <f>[18]Resumen!$D$33</f>
        <v>0</v>
      </c>
      <c r="E20" s="14">
        <f>[18]Resumen!$E$33</f>
        <v>0</v>
      </c>
      <c r="F20" s="15">
        <f>[18]Resumen!$F$33</f>
        <v>0</v>
      </c>
      <c r="G20" s="17">
        <f>[18]Resumen!$G$33</f>
        <v>0</v>
      </c>
      <c r="H20" s="18">
        <f>[18]Resumen!$H$33</f>
        <v>0</v>
      </c>
      <c r="I20" s="15">
        <f>[18]Resumen!$I$33</f>
        <v>0</v>
      </c>
      <c r="J20" s="16">
        <f>[18]Resumen!$J$33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[19]Resumen!$B$33</f>
        <v>0</v>
      </c>
      <c r="C21" s="15">
        <f>[19]Resumen!$C$33</f>
        <v>0</v>
      </c>
      <c r="D21" s="16">
        <f>[19]Resumen!$D$33</f>
        <v>0</v>
      </c>
      <c r="E21" s="14">
        <f>[19]Resumen!$E$33</f>
        <v>0</v>
      </c>
      <c r="F21" s="15">
        <f>[19]Resumen!$F$33</f>
        <v>0</v>
      </c>
      <c r="G21" s="17">
        <f>[19]Resumen!$G$33</f>
        <v>0</v>
      </c>
      <c r="H21" s="18">
        <f>[19]Resumen!$H$33</f>
        <v>0</v>
      </c>
      <c r="I21" s="15">
        <f>[19]Resumen!$I$33</f>
        <v>0</v>
      </c>
      <c r="J21" s="16">
        <f>[19]Resumen!$J$33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[20]Resumen!$B$33</f>
        <v>0</v>
      </c>
      <c r="C22" s="15">
        <f>[20]Resumen!$C$33</f>
        <v>0</v>
      </c>
      <c r="D22" s="16">
        <f>[20]Resumen!$D$33</f>
        <v>0</v>
      </c>
      <c r="E22" s="14">
        <f>[20]Resumen!$E$33</f>
        <v>0</v>
      </c>
      <c r="F22" s="15">
        <f>[20]Resumen!$F$33</f>
        <v>0</v>
      </c>
      <c r="G22" s="17">
        <f>[20]Resumen!$G$33</f>
        <v>0</v>
      </c>
      <c r="H22" s="18">
        <f>[20]Resumen!$H$33</f>
        <v>0</v>
      </c>
      <c r="I22" s="15">
        <f>[20]Resumen!$I$33</f>
        <v>0</v>
      </c>
      <c r="J22" s="16">
        <f>[20]Resumen!$J$33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[21]Resumen!$B$33</f>
        <v>0</v>
      </c>
      <c r="C23" s="15">
        <f>[21]Resumen!$C$33</f>
        <v>0</v>
      </c>
      <c r="D23" s="16">
        <f>[21]Resumen!$D$33</f>
        <v>0</v>
      </c>
      <c r="E23" s="14">
        <f>[21]Resumen!$E$33</f>
        <v>0</v>
      </c>
      <c r="F23" s="15">
        <f>[21]Resumen!$F$33</f>
        <v>0</v>
      </c>
      <c r="G23" s="17">
        <f>[21]Resumen!$G$33</f>
        <v>0</v>
      </c>
      <c r="H23" s="18">
        <f>[21]Resumen!$H$33</f>
        <v>0</v>
      </c>
      <c r="I23" s="15">
        <f>[21]Resumen!$I$33</f>
        <v>0</v>
      </c>
      <c r="J23" s="16">
        <f>[21]Resumen!$J$33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[22]Resumen!$B$33</f>
        <v>0</v>
      </c>
      <c r="C24" s="15">
        <f>[22]Resumen!$C$33</f>
        <v>0</v>
      </c>
      <c r="D24" s="16">
        <f>[22]Resumen!$D$33</f>
        <v>0</v>
      </c>
      <c r="E24" s="14">
        <f>[22]Resumen!$E$33</f>
        <v>0</v>
      </c>
      <c r="F24" s="15">
        <f>[22]Resumen!$F$33</f>
        <v>0</v>
      </c>
      <c r="G24" s="17">
        <f>[22]Resumen!$G$33</f>
        <v>0</v>
      </c>
      <c r="H24" s="18">
        <f>[22]Resumen!$H$33</f>
        <v>0</v>
      </c>
      <c r="I24" s="15">
        <f>[22]Resumen!$I$33</f>
        <v>0</v>
      </c>
      <c r="J24" s="16">
        <f>[22]Resumen!$J$33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[23]Resumen!$B$33</f>
        <v>0</v>
      </c>
      <c r="C25" s="15">
        <f>[23]Resumen!$C$33</f>
        <v>0</v>
      </c>
      <c r="D25" s="16">
        <f>[23]Resumen!$D$33</f>
        <v>0</v>
      </c>
      <c r="E25" s="14">
        <f>[23]Resumen!$E$33</f>
        <v>0</v>
      </c>
      <c r="F25" s="15">
        <f>[23]Resumen!$F$33</f>
        <v>0</v>
      </c>
      <c r="G25" s="17">
        <f>[23]Resumen!$G$33</f>
        <v>0</v>
      </c>
      <c r="H25" s="18">
        <f>[23]Resumen!$H$33</f>
        <v>0</v>
      </c>
      <c r="I25" s="15">
        <f>[23]Resumen!$I$33</f>
        <v>0</v>
      </c>
      <c r="J25" s="16">
        <f>[23]Resumen!$J$33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[24]Resumen!$B$33</f>
        <v>0</v>
      </c>
      <c r="C26" s="15">
        <f>[24]Resumen!$C$33</f>
        <v>0</v>
      </c>
      <c r="D26" s="16">
        <f>[24]Resumen!$D$33</f>
        <v>0</v>
      </c>
      <c r="E26" s="14">
        <f>[24]Resumen!$E$33</f>
        <v>0</v>
      </c>
      <c r="F26" s="15">
        <f>[24]Resumen!$F$33</f>
        <v>0</v>
      </c>
      <c r="G26" s="17">
        <f>[24]Resumen!$G$33</f>
        <v>0</v>
      </c>
      <c r="H26" s="18">
        <f>[24]Resumen!$H$33</f>
        <v>0</v>
      </c>
      <c r="I26" s="15">
        <f>[24]Resumen!$I$33</f>
        <v>0</v>
      </c>
      <c r="J26" s="16">
        <f>[24]Resumen!$J$33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[25]Resumen!$B$33</f>
        <v>0</v>
      </c>
      <c r="C27" s="15">
        <f>[25]Resumen!$C$33</f>
        <v>0</v>
      </c>
      <c r="D27" s="16">
        <f>[25]Resumen!$D$33</f>
        <v>0</v>
      </c>
      <c r="E27" s="14">
        <f>[25]Resumen!$E$33</f>
        <v>0</v>
      </c>
      <c r="F27" s="15">
        <f>[25]Resumen!$F$33</f>
        <v>0</v>
      </c>
      <c r="G27" s="17">
        <f>[25]Resumen!$G$33</f>
        <v>0</v>
      </c>
      <c r="H27" s="18">
        <f>[25]Resumen!$H$33</f>
        <v>0</v>
      </c>
      <c r="I27" s="15">
        <f>[25]Resumen!$I$33</f>
        <v>0</v>
      </c>
      <c r="J27" s="16">
        <f>[25]Resumen!$J$33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[26]Resumen!$B$33</f>
        <v>0</v>
      </c>
      <c r="C28" s="15">
        <f>[26]Resumen!$C$33</f>
        <v>0</v>
      </c>
      <c r="D28" s="16">
        <f>[26]Resumen!$D$33</f>
        <v>0</v>
      </c>
      <c r="E28" s="14">
        <f>[26]Resumen!$E$33</f>
        <v>0</v>
      </c>
      <c r="F28" s="15">
        <f>[26]Resumen!$F$33</f>
        <v>0</v>
      </c>
      <c r="G28" s="17">
        <f>[26]Resumen!$G$33</f>
        <v>0</v>
      </c>
      <c r="H28" s="18">
        <f>[26]Resumen!$H$33</f>
        <v>0</v>
      </c>
      <c r="I28" s="15">
        <f>[26]Resumen!$I$33</f>
        <v>0</v>
      </c>
      <c r="J28" s="16">
        <f>[26]Resumen!$J$33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[27]Resumen!$B$33</f>
        <v>0</v>
      </c>
      <c r="C29" s="15">
        <f>[27]Resumen!$C$33</f>
        <v>0</v>
      </c>
      <c r="D29" s="16">
        <f>[27]Resumen!$D$33</f>
        <v>0</v>
      </c>
      <c r="E29" s="14">
        <f>[27]Resumen!$E$33</f>
        <v>0</v>
      </c>
      <c r="F29" s="15">
        <f>[27]Resumen!$F$33</f>
        <v>0</v>
      </c>
      <c r="G29" s="17">
        <f>[27]Resumen!$G$33</f>
        <v>0</v>
      </c>
      <c r="H29" s="18">
        <f>[27]Resumen!$H$33</f>
        <v>0</v>
      </c>
      <c r="I29" s="15">
        <f>[27]Resumen!$I$33</f>
        <v>0</v>
      </c>
      <c r="J29" s="16">
        <f>[27]Resumen!$J$33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[28]Resumen!$B$33</f>
        <v>0</v>
      </c>
      <c r="C30" s="15">
        <f>[28]Resumen!$C$33</f>
        <v>0</v>
      </c>
      <c r="D30" s="16">
        <f>[28]Resumen!$D$33</f>
        <v>0</v>
      </c>
      <c r="E30" s="14">
        <f>[28]Resumen!$E$33</f>
        <v>0</v>
      </c>
      <c r="F30" s="15">
        <f>[28]Resumen!$F$33</f>
        <v>0</v>
      </c>
      <c r="G30" s="17">
        <f>[28]Resumen!$G$33</f>
        <v>0</v>
      </c>
      <c r="H30" s="18">
        <f>[28]Resumen!$H$33</f>
        <v>0</v>
      </c>
      <c r="I30" s="15">
        <f>[28]Resumen!$I$33</f>
        <v>0</v>
      </c>
      <c r="J30" s="16">
        <f>[28]Resumen!$J$33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[29]Resumen!$B$33</f>
        <v>0</v>
      </c>
      <c r="C31" s="15">
        <f>[29]Resumen!$C$33</f>
        <v>0</v>
      </c>
      <c r="D31" s="16">
        <f>[29]Resumen!$D$33</f>
        <v>0</v>
      </c>
      <c r="E31" s="14">
        <f>[29]Resumen!$E$33</f>
        <v>0</v>
      </c>
      <c r="F31" s="15">
        <f>[29]Resumen!$F$33</f>
        <v>0</v>
      </c>
      <c r="G31" s="17">
        <f>[29]Resumen!$G$33</f>
        <v>0</v>
      </c>
      <c r="H31" s="18">
        <f>[29]Resumen!$H$33</f>
        <v>0</v>
      </c>
      <c r="I31" s="15">
        <f>[29]Resumen!$I$33</f>
        <v>0</v>
      </c>
      <c r="J31" s="16">
        <f>[29]Resumen!$J$33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[30]Resumen!$B$33</f>
        <v>0</v>
      </c>
      <c r="C32" s="15">
        <f>[30]Resumen!$C$33</f>
        <v>0</v>
      </c>
      <c r="D32" s="16">
        <f>[30]Resumen!$D$33</f>
        <v>0</v>
      </c>
      <c r="E32" s="14">
        <f>[30]Resumen!$E$33</f>
        <v>0</v>
      </c>
      <c r="F32" s="15">
        <f>[30]Resumen!$F$33</f>
        <v>0</v>
      </c>
      <c r="G32" s="17">
        <f>[30]Resumen!$G$33</f>
        <v>0</v>
      </c>
      <c r="H32" s="18">
        <f>[30]Resumen!$H$33</f>
        <v>0</v>
      </c>
      <c r="I32" s="15">
        <f>[30]Resumen!$I$33</f>
        <v>0</v>
      </c>
      <c r="J32" s="16">
        <f>[30]Resumen!$J$33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[31]Resumen!$B$33</f>
        <v>0</v>
      </c>
      <c r="C33" s="15">
        <f>[31]Resumen!$C$33</f>
        <v>0</v>
      </c>
      <c r="D33" s="16">
        <f>[31]Resumen!$D$33</f>
        <v>0</v>
      </c>
      <c r="E33" s="14">
        <f>[31]Resumen!$E$33</f>
        <v>0</v>
      </c>
      <c r="F33" s="15">
        <f>[31]Resumen!$F$33</f>
        <v>0</v>
      </c>
      <c r="G33" s="17">
        <f>[31]Resumen!$G$33</f>
        <v>0</v>
      </c>
      <c r="H33" s="18">
        <f>[31]Resumen!$H$33</f>
        <v>0</v>
      </c>
      <c r="I33" s="15">
        <f>[31]Resumen!$I$33</f>
        <v>0</v>
      </c>
      <c r="J33" s="16">
        <f>[31]Resumen!$J$33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[10]Resumen!$B$33</f>
        <v>0</v>
      </c>
      <c r="C34" s="15">
        <f>[10]Resumen!$C$33</f>
        <v>0</v>
      </c>
      <c r="D34" s="16">
        <f>[10]Resumen!$D$33</f>
        <v>0</v>
      </c>
      <c r="E34" s="14">
        <f>[10]Resumen!$E$33</f>
        <v>0</v>
      </c>
      <c r="F34" s="15">
        <f>[10]Resumen!$F$33</f>
        <v>0</v>
      </c>
      <c r="G34" s="17">
        <f>[10]Resumen!$G$33</f>
        <v>0</v>
      </c>
      <c r="H34" s="18">
        <f>[10]Resumen!$H$33</f>
        <v>0</v>
      </c>
      <c r="I34" s="15">
        <f>[10]Resumen!$I$33</f>
        <v>0</v>
      </c>
      <c r="J34" s="16">
        <f>[10]Resumen!$J$33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+[11]Resumen!$B$33</f>
        <v>0</v>
      </c>
      <c r="C35" s="22">
        <f>+[11]Resumen!$C$33</f>
        <v>0</v>
      </c>
      <c r="D35" s="23">
        <f>+[11]Resumen!$D$33</f>
        <v>0</v>
      </c>
      <c r="E35" s="21">
        <f>+[11]Resumen!$E$33</f>
        <v>0</v>
      </c>
      <c r="F35" s="22">
        <f>+[11]Resumen!$F$33</f>
        <v>0</v>
      </c>
      <c r="G35" s="24">
        <f>+[11]Resumen!$G$33</f>
        <v>0</v>
      </c>
      <c r="H35" s="25">
        <f>+[11]Resumen!$H$33</f>
        <v>0</v>
      </c>
      <c r="I35" s="22">
        <f>+[11]Resumen!$I$33</f>
        <v>0</v>
      </c>
      <c r="J35" s="23">
        <f>+[11]Resumen!$J$33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57031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7">
      <c r="I1" s="138" t="s">
        <v>0</v>
      </c>
      <c r="J1" s="138"/>
      <c r="K1" s="138"/>
      <c r="L1" s="138"/>
      <c r="M1" s="138"/>
      <c r="N1" s="138"/>
    </row>
    <row r="2" spans="1:17" ht="18.75">
      <c r="A2" s="2" t="s">
        <v>1</v>
      </c>
      <c r="B2" s="137" t="s">
        <v>64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7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7">
      <c r="A5" s="20" t="s">
        <v>49</v>
      </c>
      <c r="B5" s="53">
        <f>[1]Resumen!$B$34</f>
        <v>0</v>
      </c>
      <c r="C5" s="58">
        <f>[1]Resumen!$C$34</f>
        <v>0</v>
      </c>
      <c r="D5" s="54">
        <f>[1]Resumen!$D$34</f>
        <v>0</v>
      </c>
      <c r="E5" s="53">
        <f>[1]Resumen!$E$34</f>
        <v>0</v>
      </c>
      <c r="F5" s="58">
        <f>[1]Resumen!$F$34</f>
        <v>0</v>
      </c>
      <c r="G5" s="55">
        <f>[1]Resumen!$G$34</f>
        <v>0</v>
      </c>
      <c r="H5" s="61">
        <f>[1]Resumen!$H$34</f>
        <v>0</v>
      </c>
      <c r="I5" s="58">
        <f>[1]Resumen!$I$34</f>
        <v>0</v>
      </c>
      <c r="J5" s="54">
        <f>[1]Resumen!$J$34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7">
      <c r="A6" s="13" t="s">
        <v>50</v>
      </c>
      <c r="B6" s="14">
        <f>[2]Resumen!$B$34</f>
        <v>0</v>
      </c>
      <c r="C6" s="15">
        <f>[2]Resumen!$C$34</f>
        <v>0</v>
      </c>
      <c r="D6" s="16">
        <f>[2]Resumen!$D$34</f>
        <v>0</v>
      </c>
      <c r="E6" s="14">
        <f>[2]Resumen!$E$34</f>
        <v>0</v>
      </c>
      <c r="F6" s="15">
        <f>[2]Resumen!$F$34</f>
        <v>0</v>
      </c>
      <c r="G6" s="17">
        <f>[2]Resumen!$G$34</f>
        <v>0</v>
      </c>
      <c r="H6" s="18">
        <f>[2]Resumen!$H$34</f>
        <v>0</v>
      </c>
      <c r="I6" s="15">
        <f>[2]Resumen!$I$34</f>
        <v>0</v>
      </c>
      <c r="J6" s="16">
        <f>[2]Resumen!$J$34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7">
      <c r="A7" s="20" t="s">
        <v>51</v>
      </c>
      <c r="B7" s="14">
        <f>[3]Resumen!$B$34</f>
        <v>0</v>
      </c>
      <c r="C7" s="15">
        <f>[3]Resumen!$C$34</f>
        <v>0</v>
      </c>
      <c r="D7" s="16">
        <f>[3]Resumen!$D$34</f>
        <v>0</v>
      </c>
      <c r="E7" s="14">
        <f>[3]Resumen!$E$34</f>
        <v>0</v>
      </c>
      <c r="F7" s="15">
        <f>[3]Resumen!$F$34</f>
        <v>0</v>
      </c>
      <c r="G7" s="17">
        <f>[3]Resumen!$G$34</f>
        <v>0</v>
      </c>
      <c r="H7" s="18">
        <f>[3]Resumen!$H$34</f>
        <v>0</v>
      </c>
      <c r="I7" s="15">
        <f>[3]Resumen!$I$34</f>
        <v>0</v>
      </c>
      <c r="J7" s="16">
        <f>[3]Resumen!$J$34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7">
      <c r="A8" s="13" t="s">
        <v>52</v>
      </c>
      <c r="B8" s="14">
        <f>[4]Resumen!$B$34</f>
        <v>0</v>
      </c>
      <c r="C8" s="15">
        <f>[4]Resumen!$C$34</f>
        <v>0</v>
      </c>
      <c r="D8" s="16">
        <f>[4]Resumen!$D$34</f>
        <v>0</v>
      </c>
      <c r="E8" s="14">
        <f>[4]Resumen!$E$34</f>
        <v>0</v>
      </c>
      <c r="F8" s="15">
        <f>[4]Resumen!$F$34</f>
        <v>0</v>
      </c>
      <c r="G8" s="17">
        <f>[4]Resumen!$G$34</f>
        <v>0</v>
      </c>
      <c r="H8" s="18">
        <f>[4]Resumen!$H$34</f>
        <v>0</v>
      </c>
      <c r="I8" s="15">
        <f>[4]Resumen!$I$34</f>
        <v>0</v>
      </c>
      <c r="J8" s="16">
        <f>[4]Resumen!$J$34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7">
      <c r="A9" s="20" t="s">
        <v>53</v>
      </c>
      <c r="B9" s="14">
        <f>[5]Resumen!$B$34</f>
        <v>0</v>
      </c>
      <c r="C9" s="15">
        <f>[5]Resumen!$C$34</f>
        <v>0</v>
      </c>
      <c r="D9" s="16">
        <f>[5]Resumen!$D$34</f>
        <v>0</v>
      </c>
      <c r="E9" s="14">
        <f>[5]Resumen!$E$34</f>
        <v>0</v>
      </c>
      <c r="F9" s="15">
        <f>[5]Resumen!$F$34</f>
        <v>0</v>
      </c>
      <c r="G9" s="17">
        <f>[5]Resumen!$G$34</f>
        <v>0</v>
      </c>
      <c r="H9" s="18">
        <f>[5]Resumen!$H$34</f>
        <v>0</v>
      </c>
      <c r="I9" s="15">
        <f>[5]Resumen!$I$34</f>
        <v>0</v>
      </c>
      <c r="J9" s="16">
        <f>[5]Resumen!$J$34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7">
      <c r="A10" s="13" t="s">
        <v>20</v>
      </c>
      <c r="B10" s="14">
        <f>[6]Resumen!$B$34</f>
        <v>0</v>
      </c>
      <c r="C10" s="15">
        <f>[6]Resumen!$C$34</f>
        <v>0</v>
      </c>
      <c r="D10" s="16">
        <f>[6]Resumen!$D$34</f>
        <v>0</v>
      </c>
      <c r="E10" s="14">
        <f>[6]Resumen!$E$34</f>
        <v>0</v>
      </c>
      <c r="F10" s="15">
        <f>[6]Resumen!$F$34</f>
        <v>0</v>
      </c>
      <c r="G10" s="17">
        <f>[6]Resumen!$G$34</f>
        <v>0</v>
      </c>
      <c r="H10" s="18">
        <f>[6]Resumen!$H$34</f>
        <v>0</v>
      </c>
      <c r="I10" s="15">
        <f>[6]Resumen!$I$34</f>
        <v>0</v>
      </c>
      <c r="J10" s="16">
        <f>[6]Resumen!$J$34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7">
      <c r="A11" s="20" t="s">
        <v>21</v>
      </c>
      <c r="B11" s="14">
        <f>[7]Resumen!$B$34</f>
        <v>0</v>
      </c>
      <c r="C11" s="15">
        <f>[7]Resumen!$C$34</f>
        <v>0</v>
      </c>
      <c r="D11" s="16">
        <f>[7]Resumen!$D$34</f>
        <v>0</v>
      </c>
      <c r="E11" s="14">
        <f>[7]Resumen!$E$34</f>
        <v>0</v>
      </c>
      <c r="F11" s="15">
        <f>[7]Resumen!$F$34</f>
        <v>0</v>
      </c>
      <c r="G11" s="17">
        <f>[7]Resumen!$G$34</f>
        <v>0</v>
      </c>
      <c r="H11" s="18">
        <f>[7]Resumen!$H$34</f>
        <v>0</v>
      </c>
      <c r="I11" s="15">
        <f>[7]Resumen!$I$34</f>
        <v>0</v>
      </c>
      <c r="J11" s="16">
        <f>[7]Resumen!$J$34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7">
      <c r="A12" s="13" t="s">
        <v>22</v>
      </c>
      <c r="B12" s="14">
        <f>[8]Resumen!$B$34</f>
        <v>0</v>
      </c>
      <c r="C12" s="15">
        <f>[8]Resumen!$C$34</f>
        <v>0</v>
      </c>
      <c r="D12" s="16">
        <f>[8]Resumen!$D$34</f>
        <v>0</v>
      </c>
      <c r="E12" s="14">
        <f>[8]Resumen!$E$34</f>
        <v>0</v>
      </c>
      <c r="F12" s="15">
        <f>[8]Resumen!$F$34</f>
        <v>0</v>
      </c>
      <c r="G12" s="17">
        <f>[8]Resumen!$G$34</f>
        <v>0</v>
      </c>
      <c r="H12" s="18">
        <f>[8]Resumen!$H$34</f>
        <v>0</v>
      </c>
      <c r="I12" s="15">
        <f>[8]Resumen!$I$34</f>
        <v>0</v>
      </c>
      <c r="J12" s="16">
        <f>[8]Resumen!$J$34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  <c r="Q12" s="63"/>
    </row>
    <row r="13" spans="1:17">
      <c r="A13" s="20" t="s">
        <v>23</v>
      </c>
      <c r="B13" s="14">
        <f>[9]Resumen!$B$34</f>
        <v>0</v>
      </c>
      <c r="C13" s="15">
        <f>[9]Resumen!$C$34</f>
        <v>0</v>
      </c>
      <c r="D13" s="16">
        <f>[9]Resumen!$D$34</f>
        <v>0</v>
      </c>
      <c r="E13" s="14">
        <f>[9]Resumen!$E$34</f>
        <v>0</v>
      </c>
      <c r="F13" s="15">
        <f>[9]Resumen!$F$34</f>
        <v>0</v>
      </c>
      <c r="G13" s="17">
        <f>[9]Resumen!$G$34</f>
        <v>0</v>
      </c>
      <c r="H13" s="18">
        <f>[9]Resumen!$H$34</f>
        <v>0</v>
      </c>
      <c r="I13" s="15">
        <f>[9]Resumen!$I$34</f>
        <v>0</v>
      </c>
      <c r="J13" s="16">
        <f>[9]Resumen!$J$34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7">
      <c r="A14" s="13" t="s">
        <v>24</v>
      </c>
      <c r="B14" s="14">
        <f>[12]Resumen!$B$34</f>
        <v>0</v>
      </c>
      <c r="C14" s="15">
        <f>[12]Resumen!$C$34</f>
        <v>0</v>
      </c>
      <c r="D14" s="16">
        <f>[12]Resumen!$D$34</f>
        <v>0</v>
      </c>
      <c r="E14" s="14">
        <f>[12]Resumen!$E$34</f>
        <v>0</v>
      </c>
      <c r="F14" s="15">
        <f>[12]Resumen!$F$34</f>
        <v>0</v>
      </c>
      <c r="G14" s="17">
        <f>[12]Resumen!$G$34</f>
        <v>0</v>
      </c>
      <c r="H14" s="18">
        <f>[12]Resumen!$H$34</f>
        <v>0</v>
      </c>
      <c r="I14" s="15">
        <f>[12]Resumen!$I$34</f>
        <v>0</v>
      </c>
      <c r="J14" s="16">
        <f>[12]Resumen!$J$34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7">
      <c r="A15" s="20" t="s">
        <v>25</v>
      </c>
      <c r="B15" s="14">
        <f>[13]Resumen!$B$34</f>
        <v>0</v>
      </c>
      <c r="C15" s="15">
        <f>[13]Resumen!$C$34</f>
        <v>0</v>
      </c>
      <c r="D15" s="16">
        <f>[13]Resumen!$D$34</f>
        <v>0</v>
      </c>
      <c r="E15" s="14">
        <f>[13]Resumen!$E$34</f>
        <v>0</v>
      </c>
      <c r="F15" s="15">
        <f>[13]Resumen!$F$34</f>
        <v>0</v>
      </c>
      <c r="G15" s="17">
        <f>[13]Resumen!$G$34</f>
        <v>0</v>
      </c>
      <c r="H15" s="18">
        <f>[13]Resumen!$H$34</f>
        <v>0</v>
      </c>
      <c r="I15" s="15">
        <f>[13]Resumen!$I$34</f>
        <v>0</v>
      </c>
      <c r="J15" s="16">
        <f>[13]Resumen!$J$34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7">
      <c r="A16" s="13" t="s">
        <v>26</v>
      </c>
      <c r="B16" s="14">
        <f>[14]Resumen!$B$34</f>
        <v>0</v>
      </c>
      <c r="C16" s="15">
        <f>[14]Resumen!$C$34</f>
        <v>0</v>
      </c>
      <c r="D16" s="16">
        <f>[14]Resumen!$D$34</f>
        <v>0</v>
      </c>
      <c r="E16" s="14">
        <f>[14]Resumen!$E$34</f>
        <v>0</v>
      </c>
      <c r="F16" s="15">
        <f>[14]Resumen!$F$34</f>
        <v>0</v>
      </c>
      <c r="G16" s="17">
        <f>[14]Resumen!$G$34</f>
        <v>0</v>
      </c>
      <c r="H16" s="18">
        <f>[14]Resumen!$H$34</f>
        <v>0</v>
      </c>
      <c r="I16" s="15">
        <f>[14]Resumen!$I$34</f>
        <v>0</v>
      </c>
      <c r="J16" s="16">
        <f>[14]Resumen!$J$34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[15]Resumen!$B$34</f>
        <v>0</v>
      </c>
      <c r="C17" s="15">
        <f>[15]Resumen!$C$34</f>
        <v>0</v>
      </c>
      <c r="D17" s="16">
        <f>[15]Resumen!$D$34</f>
        <v>0</v>
      </c>
      <c r="E17" s="14">
        <f>[15]Resumen!$E$34</f>
        <v>0</v>
      </c>
      <c r="F17" s="15">
        <f>[15]Resumen!$F$34</f>
        <v>0</v>
      </c>
      <c r="G17" s="17">
        <f>[15]Resumen!$G$34</f>
        <v>0</v>
      </c>
      <c r="H17" s="18">
        <f>[15]Resumen!$H$34</f>
        <v>0</v>
      </c>
      <c r="I17" s="15">
        <f>[15]Resumen!$I$34</f>
        <v>0</v>
      </c>
      <c r="J17" s="16">
        <f>[15]Resumen!$J$34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[16]Resumen!$B$34</f>
        <v>0</v>
      </c>
      <c r="C18" s="15">
        <f>[16]Resumen!$C$34</f>
        <v>0</v>
      </c>
      <c r="D18" s="16">
        <f>[16]Resumen!$D$34</f>
        <v>0</v>
      </c>
      <c r="E18" s="14">
        <f>[16]Resumen!$E$34</f>
        <v>0</v>
      </c>
      <c r="F18" s="15">
        <f>[16]Resumen!$F$34</f>
        <v>0</v>
      </c>
      <c r="G18" s="17">
        <f>[16]Resumen!$G$34</f>
        <v>0</v>
      </c>
      <c r="H18" s="18">
        <f>[16]Resumen!$H$34</f>
        <v>0</v>
      </c>
      <c r="I18" s="15">
        <f>[16]Resumen!$I$34</f>
        <v>0</v>
      </c>
      <c r="J18" s="16">
        <f>[16]Resumen!$J$34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[17]Resumen!$B$34</f>
        <v>0</v>
      </c>
      <c r="C19" s="15">
        <f>[17]Resumen!$C$34</f>
        <v>0</v>
      </c>
      <c r="D19" s="16">
        <f>[17]Resumen!$D$34</f>
        <v>0</v>
      </c>
      <c r="E19" s="14">
        <f>[17]Resumen!$E$34</f>
        <v>0</v>
      </c>
      <c r="F19" s="15">
        <f>[17]Resumen!$F$34</f>
        <v>0</v>
      </c>
      <c r="G19" s="17">
        <f>[17]Resumen!$G$34</f>
        <v>0</v>
      </c>
      <c r="H19" s="18">
        <f>[17]Resumen!$H$34</f>
        <v>0</v>
      </c>
      <c r="I19" s="15">
        <f>[17]Resumen!$I$34</f>
        <v>0</v>
      </c>
      <c r="J19" s="16">
        <f>[17]Resumen!$J$34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[18]Resumen!$B$34</f>
        <v>0</v>
      </c>
      <c r="C20" s="15">
        <f>[18]Resumen!$C$34</f>
        <v>0</v>
      </c>
      <c r="D20" s="16">
        <f>[18]Resumen!$D$34</f>
        <v>0</v>
      </c>
      <c r="E20" s="14">
        <f>[18]Resumen!$E$34</f>
        <v>0</v>
      </c>
      <c r="F20" s="15">
        <f>[18]Resumen!$F$34</f>
        <v>0</v>
      </c>
      <c r="G20" s="17">
        <f>[18]Resumen!$G$34</f>
        <v>0</v>
      </c>
      <c r="H20" s="18">
        <f>[18]Resumen!$H$34</f>
        <v>0</v>
      </c>
      <c r="I20" s="15">
        <f>[18]Resumen!$I$34</f>
        <v>0</v>
      </c>
      <c r="J20" s="16">
        <f>[18]Resumen!$J$34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[19]Resumen!$B$34</f>
        <v>0</v>
      </c>
      <c r="C21" s="15">
        <f>[19]Resumen!$C$34</f>
        <v>0</v>
      </c>
      <c r="D21" s="16">
        <f>[19]Resumen!$D$34</f>
        <v>0</v>
      </c>
      <c r="E21" s="14">
        <f>[19]Resumen!$E$34</f>
        <v>0</v>
      </c>
      <c r="F21" s="15">
        <f>[19]Resumen!$F$34</f>
        <v>0</v>
      </c>
      <c r="G21" s="17">
        <f>[19]Resumen!$G$34</f>
        <v>0</v>
      </c>
      <c r="H21" s="18">
        <f>[19]Resumen!$H$34</f>
        <v>0</v>
      </c>
      <c r="I21" s="15">
        <f>[19]Resumen!$I$34</f>
        <v>0</v>
      </c>
      <c r="J21" s="16">
        <f>[19]Resumen!$J$34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[20]Resumen!$B$34</f>
        <v>0</v>
      </c>
      <c r="C22" s="15">
        <f>[20]Resumen!$C$34</f>
        <v>0</v>
      </c>
      <c r="D22" s="16">
        <f>[20]Resumen!$D$34</f>
        <v>0</v>
      </c>
      <c r="E22" s="14">
        <f>[20]Resumen!$E$34</f>
        <v>0</v>
      </c>
      <c r="F22" s="15">
        <f>[20]Resumen!$F$34</f>
        <v>0</v>
      </c>
      <c r="G22" s="17">
        <f>[20]Resumen!$G$34</f>
        <v>0</v>
      </c>
      <c r="H22" s="18">
        <f>[20]Resumen!$H$34</f>
        <v>0</v>
      </c>
      <c r="I22" s="15">
        <f>[20]Resumen!$I$34</f>
        <v>0</v>
      </c>
      <c r="J22" s="16">
        <f>[20]Resumen!$J$34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[21]Resumen!$B$34</f>
        <v>0</v>
      </c>
      <c r="C23" s="15">
        <f>[21]Resumen!$C$34</f>
        <v>0</v>
      </c>
      <c r="D23" s="16">
        <f>[21]Resumen!$D$34</f>
        <v>0</v>
      </c>
      <c r="E23" s="14">
        <f>[21]Resumen!$E$34</f>
        <v>0</v>
      </c>
      <c r="F23" s="15">
        <f>[21]Resumen!$F$34</f>
        <v>0</v>
      </c>
      <c r="G23" s="17">
        <f>[21]Resumen!$G$34</f>
        <v>0</v>
      </c>
      <c r="H23" s="18">
        <f>[21]Resumen!$H$34</f>
        <v>0</v>
      </c>
      <c r="I23" s="15">
        <f>[21]Resumen!$I$34</f>
        <v>0</v>
      </c>
      <c r="J23" s="16">
        <f>[21]Resumen!$J$34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[22]Resumen!$B$34</f>
        <v>0</v>
      </c>
      <c r="C24" s="15">
        <f>[22]Resumen!$C$34</f>
        <v>0</v>
      </c>
      <c r="D24" s="16">
        <f>[22]Resumen!$D$34</f>
        <v>0</v>
      </c>
      <c r="E24" s="14">
        <f>[22]Resumen!$E$34</f>
        <v>0</v>
      </c>
      <c r="F24" s="15">
        <f>[22]Resumen!$F$34</f>
        <v>0</v>
      </c>
      <c r="G24" s="17">
        <f>[22]Resumen!$G$34</f>
        <v>0</v>
      </c>
      <c r="H24" s="18">
        <f>[22]Resumen!$H$34</f>
        <v>0</v>
      </c>
      <c r="I24" s="15">
        <f>[22]Resumen!$I$34</f>
        <v>0</v>
      </c>
      <c r="J24" s="16">
        <f>[22]Resumen!$J$34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[23]Resumen!$B$34</f>
        <v>0</v>
      </c>
      <c r="C25" s="15">
        <f>[23]Resumen!$C$34</f>
        <v>0</v>
      </c>
      <c r="D25" s="16">
        <f>[23]Resumen!$D$34</f>
        <v>0</v>
      </c>
      <c r="E25" s="14">
        <f>[23]Resumen!$E$34</f>
        <v>0</v>
      </c>
      <c r="F25" s="15">
        <f>[23]Resumen!$F$34</f>
        <v>0</v>
      </c>
      <c r="G25" s="17">
        <f>[23]Resumen!$G$34</f>
        <v>0</v>
      </c>
      <c r="H25" s="18">
        <f>[23]Resumen!$H$34</f>
        <v>0</v>
      </c>
      <c r="I25" s="15">
        <f>[23]Resumen!$I$34</f>
        <v>0</v>
      </c>
      <c r="J25" s="16">
        <f>[23]Resumen!$J$34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[24]Resumen!$B$34</f>
        <v>0</v>
      </c>
      <c r="C26" s="15">
        <f>[24]Resumen!$C$34</f>
        <v>0</v>
      </c>
      <c r="D26" s="16">
        <f>[24]Resumen!$D$34</f>
        <v>0</v>
      </c>
      <c r="E26" s="14">
        <f>[24]Resumen!$E$34</f>
        <v>0</v>
      </c>
      <c r="F26" s="15">
        <f>[24]Resumen!$F$34</f>
        <v>0</v>
      </c>
      <c r="G26" s="17">
        <f>[24]Resumen!$G$34</f>
        <v>0</v>
      </c>
      <c r="H26" s="18">
        <f>[24]Resumen!$H$34</f>
        <v>0</v>
      </c>
      <c r="I26" s="15">
        <f>[24]Resumen!$I$34</f>
        <v>0</v>
      </c>
      <c r="J26" s="16">
        <f>[24]Resumen!$J$34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[25]Resumen!$B$34</f>
        <v>0</v>
      </c>
      <c r="C27" s="15">
        <f>[25]Resumen!$C$34</f>
        <v>0</v>
      </c>
      <c r="D27" s="16">
        <f>[25]Resumen!$D$34</f>
        <v>0</v>
      </c>
      <c r="E27" s="14">
        <f>[25]Resumen!$E$34</f>
        <v>0</v>
      </c>
      <c r="F27" s="15">
        <f>[25]Resumen!$F$34</f>
        <v>0</v>
      </c>
      <c r="G27" s="17">
        <f>[25]Resumen!$G$34</f>
        <v>0</v>
      </c>
      <c r="H27" s="18">
        <f>[25]Resumen!$H$34</f>
        <v>0</v>
      </c>
      <c r="I27" s="15">
        <f>[25]Resumen!$I$34</f>
        <v>0</v>
      </c>
      <c r="J27" s="16">
        <f>[25]Resumen!$J$34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[26]Resumen!$B$34</f>
        <v>0</v>
      </c>
      <c r="C28" s="15">
        <f>[26]Resumen!$C$34</f>
        <v>0</v>
      </c>
      <c r="D28" s="16">
        <f>[26]Resumen!$D$34</f>
        <v>0</v>
      </c>
      <c r="E28" s="14">
        <f>[26]Resumen!$E$34</f>
        <v>0</v>
      </c>
      <c r="F28" s="15">
        <f>[26]Resumen!$F$34</f>
        <v>0</v>
      </c>
      <c r="G28" s="17">
        <f>[26]Resumen!$G$34</f>
        <v>0</v>
      </c>
      <c r="H28" s="18">
        <f>[26]Resumen!$H$34</f>
        <v>0</v>
      </c>
      <c r="I28" s="15">
        <f>[26]Resumen!$I$34</f>
        <v>0</v>
      </c>
      <c r="J28" s="16">
        <f>[26]Resumen!$J$34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[27]Resumen!$B$34</f>
        <v>0</v>
      </c>
      <c r="C29" s="15">
        <f>[27]Resumen!$C$34</f>
        <v>0</v>
      </c>
      <c r="D29" s="16">
        <f>[27]Resumen!$D$34</f>
        <v>0</v>
      </c>
      <c r="E29" s="14">
        <f>[27]Resumen!$E$34</f>
        <v>0</v>
      </c>
      <c r="F29" s="15">
        <f>[27]Resumen!$F$34</f>
        <v>0</v>
      </c>
      <c r="G29" s="17">
        <f>[27]Resumen!$G$34</f>
        <v>0</v>
      </c>
      <c r="H29" s="18">
        <f>[27]Resumen!$H$34</f>
        <v>0</v>
      </c>
      <c r="I29" s="15">
        <f>[27]Resumen!$I$34</f>
        <v>0</v>
      </c>
      <c r="J29" s="16">
        <f>[27]Resumen!$J$34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[28]Resumen!$B$34</f>
        <v>0</v>
      </c>
      <c r="C30" s="15">
        <f>[28]Resumen!$C$34</f>
        <v>0</v>
      </c>
      <c r="D30" s="16">
        <f>[28]Resumen!$D$34</f>
        <v>0</v>
      </c>
      <c r="E30" s="14">
        <f>[28]Resumen!$E$34</f>
        <v>0</v>
      </c>
      <c r="F30" s="15">
        <f>[28]Resumen!$F$34</f>
        <v>0</v>
      </c>
      <c r="G30" s="17">
        <f>[28]Resumen!$G$34</f>
        <v>0</v>
      </c>
      <c r="H30" s="18">
        <f>[28]Resumen!$H$34</f>
        <v>0</v>
      </c>
      <c r="I30" s="15">
        <f>[28]Resumen!$I$34</f>
        <v>0</v>
      </c>
      <c r="J30" s="16">
        <f>[28]Resumen!$J$34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[29]Resumen!$B$34</f>
        <v>0</v>
      </c>
      <c r="C31" s="15">
        <f>[29]Resumen!$C$34</f>
        <v>0</v>
      </c>
      <c r="D31" s="16">
        <f>[29]Resumen!$D$34</f>
        <v>0</v>
      </c>
      <c r="E31" s="14">
        <f>[29]Resumen!$E$34</f>
        <v>0</v>
      </c>
      <c r="F31" s="15">
        <f>[29]Resumen!$F$34</f>
        <v>0</v>
      </c>
      <c r="G31" s="17">
        <f>[29]Resumen!$G$34</f>
        <v>0</v>
      </c>
      <c r="H31" s="18">
        <f>[29]Resumen!$H$34</f>
        <v>0</v>
      </c>
      <c r="I31" s="15">
        <f>[29]Resumen!$I$34</f>
        <v>0</v>
      </c>
      <c r="J31" s="16">
        <f>[29]Resumen!$J$34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[30]Resumen!$B$34</f>
        <v>0</v>
      </c>
      <c r="C32" s="15">
        <f>[30]Resumen!$C$34</f>
        <v>0</v>
      </c>
      <c r="D32" s="16">
        <f>[30]Resumen!$D$34</f>
        <v>0</v>
      </c>
      <c r="E32" s="14">
        <f>[30]Resumen!$E$34</f>
        <v>0</v>
      </c>
      <c r="F32" s="15">
        <f>[30]Resumen!$F$34</f>
        <v>0</v>
      </c>
      <c r="G32" s="17">
        <f>[30]Resumen!$G$34</f>
        <v>0</v>
      </c>
      <c r="H32" s="18">
        <f>[30]Resumen!$H$34</f>
        <v>0</v>
      </c>
      <c r="I32" s="15">
        <f>[30]Resumen!$I$34</f>
        <v>0</v>
      </c>
      <c r="J32" s="16">
        <f>[30]Resumen!$J$34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[31]Resumen!$B$34</f>
        <v>0</v>
      </c>
      <c r="C33" s="15">
        <f>[31]Resumen!$C$34</f>
        <v>0</v>
      </c>
      <c r="D33" s="16">
        <f>[31]Resumen!$D$34</f>
        <v>0</v>
      </c>
      <c r="E33" s="14">
        <f>[31]Resumen!$E$34</f>
        <v>0</v>
      </c>
      <c r="F33" s="15">
        <f>[31]Resumen!$F$34</f>
        <v>0</v>
      </c>
      <c r="G33" s="17">
        <f>[31]Resumen!$G$34</f>
        <v>0</v>
      </c>
      <c r="H33" s="18">
        <f>[31]Resumen!$H$34</f>
        <v>0</v>
      </c>
      <c r="I33" s="15">
        <f>[31]Resumen!$I$34</f>
        <v>0</v>
      </c>
      <c r="J33" s="16">
        <f>[31]Resumen!$J$34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[10]Resumen!$B$34</f>
        <v>0</v>
      </c>
      <c r="C34" s="15">
        <f>[10]Resumen!$C$34</f>
        <v>0</v>
      </c>
      <c r="D34" s="16">
        <f>[10]Resumen!$D$34</f>
        <v>0</v>
      </c>
      <c r="E34" s="14">
        <f>[10]Resumen!$E$34</f>
        <v>0</v>
      </c>
      <c r="F34" s="15">
        <f>[10]Resumen!$F$34</f>
        <v>0</v>
      </c>
      <c r="G34" s="17">
        <f>[10]Resumen!$G$34</f>
        <v>0</v>
      </c>
      <c r="H34" s="18">
        <f>[10]Resumen!$H$34</f>
        <v>0</v>
      </c>
      <c r="I34" s="15">
        <f>[10]Resumen!$I$34</f>
        <v>0</v>
      </c>
      <c r="J34" s="16">
        <f>[10]Resumen!$J$34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+[11]Resumen!$B$34</f>
        <v>0</v>
      </c>
      <c r="C35" s="22">
        <f>+[11]Resumen!$C$34</f>
        <v>0</v>
      </c>
      <c r="D35" s="23">
        <f>+[11]Resumen!$D$34</f>
        <v>0</v>
      </c>
      <c r="E35" s="21">
        <f>+[11]Resumen!$E$34</f>
        <v>0</v>
      </c>
      <c r="F35" s="22">
        <f>+[11]Resumen!$F$34</f>
        <v>0</v>
      </c>
      <c r="G35" s="24">
        <f>+[11]Resumen!$G$34</f>
        <v>0</v>
      </c>
      <c r="H35" s="25">
        <f>+[11]Resumen!$H$34</f>
        <v>0</v>
      </c>
      <c r="I35" s="22">
        <f>+[11]Resumen!$I$34</f>
        <v>0</v>
      </c>
      <c r="J35" s="23">
        <f>+[11]Resumen!$J$34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8554687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71</v>
      </c>
      <c r="C2" s="137"/>
      <c r="D2" s="137"/>
      <c r="I2" s="3" t="s">
        <v>2</v>
      </c>
      <c r="J2" s="4">
        <v>0.12</v>
      </c>
      <c r="K2" s="3" t="s">
        <v>3</v>
      </c>
      <c r="L2" s="4">
        <v>0.14000000000000001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[1]Resumen!$B$35</f>
        <v>0</v>
      </c>
      <c r="C5" s="58">
        <f>[1]Resumen!$C$35</f>
        <v>0</v>
      </c>
      <c r="D5" s="54">
        <f>[1]Resumen!$D$35</f>
        <v>0</v>
      </c>
      <c r="E5" s="53">
        <f>[1]Resumen!$E$35</f>
        <v>0</v>
      </c>
      <c r="F5" s="58">
        <f>[1]Resumen!$F$35</f>
        <v>0</v>
      </c>
      <c r="G5" s="55">
        <f>[1]Resumen!$G$35</f>
        <v>0</v>
      </c>
      <c r="H5" s="61">
        <f>[1]Resumen!$H$35</f>
        <v>0</v>
      </c>
      <c r="I5" s="58">
        <f>[1]Resumen!$I$35</f>
        <v>0</v>
      </c>
      <c r="J5" s="54">
        <f>[1]Resumen!$J$35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[2]Resumen!$B$35</f>
        <v>0</v>
      </c>
      <c r="C6" s="15">
        <f>[2]Resumen!$C$35</f>
        <v>0</v>
      </c>
      <c r="D6" s="16">
        <f>[2]Resumen!$D$35</f>
        <v>0</v>
      </c>
      <c r="E6" s="14">
        <f>[2]Resumen!$E$35</f>
        <v>0</v>
      </c>
      <c r="F6" s="15">
        <f>[2]Resumen!$F$35</f>
        <v>0</v>
      </c>
      <c r="G6" s="17">
        <f>[2]Resumen!$G$35</f>
        <v>0</v>
      </c>
      <c r="H6" s="18">
        <f>[2]Resumen!$H$35</f>
        <v>0</v>
      </c>
      <c r="I6" s="15">
        <f>[2]Resumen!$I$35</f>
        <v>0</v>
      </c>
      <c r="J6" s="16">
        <f>[2]Resumen!$J$35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[3]Resumen!$B$35</f>
        <v>0</v>
      </c>
      <c r="C7" s="15">
        <f>[3]Resumen!$C$35</f>
        <v>0</v>
      </c>
      <c r="D7" s="16">
        <f>[3]Resumen!$D$35</f>
        <v>0</v>
      </c>
      <c r="E7" s="14">
        <f>[3]Resumen!$E$35</f>
        <v>0</v>
      </c>
      <c r="F7" s="15">
        <f>[3]Resumen!$F$35</f>
        <v>0</v>
      </c>
      <c r="G7" s="17">
        <f>[3]Resumen!$G$35</f>
        <v>0</v>
      </c>
      <c r="H7" s="18">
        <f>[3]Resumen!$H$35</f>
        <v>0</v>
      </c>
      <c r="I7" s="15">
        <f>[3]Resumen!$I$35</f>
        <v>0</v>
      </c>
      <c r="J7" s="16">
        <f>[3]Resumen!$J$35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[4]Resumen!$B$35</f>
        <v>0</v>
      </c>
      <c r="C8" s="15">
        <f>[4]Resumen!$C$35</f>
        <v>0</v>
      </c>
      <c r="D8" s="16">
        <f>[4]Resumen!$D$35</f>
        <v>0</v>
      </c>
      <c r="E8" s="14">
        <f>[4]Resumen!$E$35</f>
        <v>0</v>
      </c>
      <c r="F8" s="15">
        <f>[4]Resumen!$F$35</f>
        <v>0</v>
      </c>
      <c r="G8" s="17">
        <f>[4]Resumen!$G$35</f>
        <v>0</v>
      </c>
      <c r="H8" s="18">
        <f>[4]Resumen!$H$35</f>
        <v>0</v>
      </c>
      <c r="I8" s="15">
        <f>[4]Resumen!$I$35</f>
        <v>0</v>
      </c>
      <c r="J8" s="16">
        <f>[4]Resumen!$J$35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[5]Resumen!$B$35</f>
        <v>0</v>
      </c>
      <c r="C9" s="15">
        <f>[5]Resumen!$C$35</f>
        <v>0</v>
      </c>
      <c r="D9" s="16">
        <f>[5]Resumen!$D$35</f>
        <v>0</v>
      </c>
      <c r="E9" s="14">
        <f>[5]Resumen!$E$35</f>
        <v>0</v>
      </c>
      <c r="F9" s="15">
        <f>[5]Resumen!$F$35</f>
        <v>0</v>
      </c>
      <c r="G9" s="17">
        <f>[5]Resumen!$G$35</f>
        <v>0</v>
      </c>
      <c r="H9" s="18">
        <f>[5]Resumen!$H$35</f>
        <v>0</v>
      </c>
      <c r="I9" s="15">
        <f>[5]Resumen!$I$35</f>
        <v>0</v>
      </c>
      <c r="J9" s="16">
        <f>[5]Resumen!$J$35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[6]Resumen!$B$35</f>
        <v>0</v>
      </c>
      <c r="C10" s="15">
        <f>[6]Resumen!$C$35</f>
        <v>0</v>
      </c>
      <c r="D10" s="16">
        <f>[6]Resumen!$D$35</f>
        <v>0</v>
      </c>
      <c r="E10" s="14">
        <f>[6]Resumen!$E$35</f>
        <v>0</v>
      </c>
      <c r="F10" s="15">
        <f>[6]Resumen!$F$35</f>
        <v>0</v>
      </c>
      <c r="G10" s="17">
        <f>[6]Resumen!$G$35</f>
        <v>0</v>
      </c>
      <c r="H10" s="18">
        <f>[6]Resumen!$H$35</f>
        <v>0</v>
      </c>
      <c r="I10" s="15">
        <f>[6]Resumen!$I$35</f>
        <v>0</v>
      </c>
      <c r="J10" s="16">
        <f>[6]Resumen!$J$35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[7]Resumen!$B$35</f>
        <v>0</v>
      </c>
      <c r="C11" s="15">
        <f>[7]Resumen!$C$35</f>
        <v>0</v>
      </c>
      <c r="D11" s="16">
        <f>[7]Resumen!$D$35</f>
        <v>0</v>
      </c>
      <c r="E11" s="14">
        <f>[7]Resumen!$E$35</f>
        <v>0</v>
      </c>
      <c r="F11" s="15">
        <f>[7]Resumen!$F$35</f>
        <v>0</v>
      </c>
      <c r="G11" s="17">
        <f>[7]Resumen!$G$35</f>
        <v>0</v>
      </c>
      <c r="H11" s="18">
        <f>[7]Resumen!$H$35</f>
        <v>0</v>
      </c>
      <c r="I11" s="15">
        <f>[7]Resumen!$I$35</f>
        <v>0</v>
      </c>
      <c r="J11" s="16">
        <f>[7]Resumen!$J$35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[8]Resumen!$B$35</f>
        <v>0</v>
      </c>
      <c r="C12" s="15">
        <f>[8]Resumen!$C$35</f>
        <v>0</v>
      </c>
      <c r="D12" s="16">
        <f>[8]Resumen!$D$35</f>
        <v>0</v>
      </c>
      <c r="E12" s="14">
        <f>[8]Resumen!$E$35</f>
        <v>0</v>
      </c>
      <c r="F12" s="15">
        <f>[8]Resumen!$F$35</f>
        <v>0</v>
      </c>
      <c r="G12" s="17">
        <f>[8]Resumen!$G$35</f>
        <v>0</v>
      </c>
      <c r="H12" s="18">
        <f>[8]Resumen!$H$35</f>
        <v>0</v>
      </c>
      <c r="I12" s="15">
        <f>[8]Resumen!$I$35</f>
        <v>0</v>
      </c>
      <c r="J12" s="16">
        <f>[8]Resumen!$J$35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[9]Resumen!$B$35</f>
        <v>0</v>
      </c>
      <c r="C13" s="15">
        <f>[9]Resumen!$C$35</f>
        <v>0</v>
      </c>
      <c r="D13" s="16">
        <f>[9]Resumen!$D$35</f>
        <v>0</v>
      </c>
      <c r="E13" s="14">
        <f>[9]Resumen!$E$35</f>
        <v>0</v>
      </c>
      <c r="F13" s="15">
        <f>[9]Resumen!$F$35</f>
        <v>0</v>
      </c>
      <c r="G13" s="17">
        <f>[9]Resumen!$G$35</f>
        <v>0</v>
      </c>
      <c r="H13" s="18">
        <f>[9]Resumen!$H$35</f>
        <v>0</v>
      </c>
      <c r="I13" s="15">
        <f>[9]Resumen!$I$35</f>
        <v>0</v>
      </c>
      <c r="J13" s="16">
        <f>[9]Resumen!$J$35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[12]Resumen!$B$35</f>
        <v>0</v>
      </c>
      <c r="C14" s="15">
        <f>[12]Resumen!$C$35</f>
        <v>0</v>
      </c>
      <c r="D14" s="16">
        <f>[12]Resumen!$D$35</f>
        <v>0</v>
      </c>
      <c r="E14" s="14">
        <f>[12]Resumen!$E$35</f>
        <v>0</v>
      </c>
      <c r="F14" s="15">
        <f>[12]Resumen!$F$35</f>
        <v>0</v>
      </c>
      <c r="G14" s="17">
        <f>[12]Resumen!$G$35</f>
        <v>0</v>
      </c>
      <c r="H14" s="18">
        <f>[12]Resumen!$H$35</f>
        <v>0</v>
      </c>
      <c r="I14" s="15">
        <f>[12]Resumen!$I$35</f>
        <v>0</v>
      </c>
      <c r="J14" s="16">
        <f>[12]Resumen!$J$35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[13]Resumen!$B$35</f>
        <v>0</v>
      </c>
      <c r="C15" s="15">
        <f>[13]Resumen!$C$35</f>
        <v>0</v>
      </c>
      <c r="D15" s="16">
        <f>[13]Resumen!$D$35</f>
        <v>0</v>
      </c>
      <c r="E15" s="14">
        <f>[13]Resumen!$E$35</f>
        <v>0</v>
      </c>
      <c r="F15" s="15">
        <f>[13]Resumen!$F$35</f>
        <v>0</v>
      </c>
      <c r="G15" s="17">
        <f>[13]Resumen!$G$35</f>
        <v>0</v>
      </c>
      <c r="H15" s="18">
        <f>[13]Resumen!$H$35</f>
        <v>0</v>
      </c>
      <c r="I15" s="15">
        <f>[13]Resumen!$I$35</f>
        <v>0</v>
      </c>
      <c r="J15" s="16">
        <f>[13]Resumen!$J$35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[14]Resumen!$B$35</f>
        <v>0</v>
      </c>
      <c r="C16" s="15">
        <f>[14]Resumen!$C$35</f>
        <v>0</v>
      </c>
      <c r="D16" s="16">
        <f>[14]Resumen!$D$35</f>
        <v>0</v>
      </c>
      <c r="E16" s="14">
        <f>[14]Resumen!$E$35</f>
        <v>0</v>
      </c>
      <c r="F16" s="15">
        <f>[14]Resumen!$F$35</f>
        <v>0</v>
      </c>
      <c r="G16" s="17">
        <f>[14]Resumen!$G$35</f>
        <v>0</v>
      </c>
      <c r="H16" s="18">
        <f>[14]Resumen!$H$35</f>
        <v>0</v>
      </c>
      <c r="I16" s="15">
        <f>[14]Resumen!$I$35</f>
        <v>0</v>
      </c>
      <c r="J16" s="16">
        <f>[14]Resumen!$J$35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[15]Resumen!$B$35</f>
        <v>0</v>
      </c>
      <c r="C17" s="15">
        <f>[15]Resumen!$C$35</f>
        <v>0</v>
      </c>
      <c r="D17" s="16">
        <f>[15]Resumen!$D$35</f>
        <v>0</v>
      </c>
      <c r="E17" s="14">
        <f>[15]Resumen!$E$35</f>
        <v>0</v>
      </c>
      <c r="F17" s="15">
        <f>[15]Resumen!$F$35</f>
        <v>0</v>
      </c>
      <c r="G17" s="17">
        <f>[15]Resumen!$G$35</f>
        <v>0</v>
      </c>
      <c r="H17" s="18">
        <f>[15]Resumen!$H$35</f>
        <v>0</v>
      </c>
      <c r="I17" s="15">
        <f>[15]Resumen!$I$35</f>
        <v>0</v>
      </c>
      <c r="J17" s="16">
        <f>[15]Resumen!$J$35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[16]Resumen!$B$35</f>
        <v>0</v>
      </c>
      <c r="C18" s="15">
        <f>[16]Resumen!$C$35</f>
        <v>0</v>
      </c>
      <c r="D18" s="16">
        <f>[16]Resumen!$D$35</f>
        <v>0</v>
      </c>
      <c r="E18" s="14">
        <f>[16]Resumen!$E$35</f>
        <v>0</v>
      </c>
      <c r="F18" s="15">
        <f>[16]Resumen!$F$35</f>
        <v>0</v>
      </c>
      <c r="G18" s="17">
        <f>[16]Resumen!$G$35</f>
        <v>0</v>
      </c>
      <c r="H18" s="18">
        <f>[16]Resumen!$H$35</f>
        <v>0</v>
      </c>
      <c r="I18" s="15">
        <f>[16]Resumen!$I$35</f>
        <v>0</v>
      </c>
      <c r="J18" s="16">
        <f>[16]Resumen!$J$35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[17]Resumen!$B$35</f>
        <v>0</v>
      </c>
      <c r="C19" s="15">
        <f>[17]Resumen!$C$35</f>
        <v>0</v>
      </c>
      <c r="D19" s="16">
        <f>[17]Resumen!$D$35</f>
        <v>0</v>
      </c>
      <c r="E19" s="14">
        <f>[17]Resumen!$E$35</f>
        <v>0</v>
      </c>
      <c r="F19" s="15">
        <f>[17]Resumen!$F$35</f>
        <v>0</v>
      </c>
      <c r="G19" s="17">
        <f>[17]Resumen!$G$35</f>
        <v>0</v>
      </c>
      <c r="H19" s="18">
        <f>[17]Resumen!$H$35</f>
        <v>0</v>
      </c>
      <c r="I19" s="15">
        <f>[17]Resumen!$I$35</f>
        <v>0</v>
      </c>
      <c r="J19" s="16">
        <f>[17]Resumen!$J$35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[18]Resumen!$B$35</f>
        <v>0</v>
      </c>
      <c r="C20" s="15">
        <f>[18]Resumen!$C$35</f>
        <v>0</v>
      </c>
      <c r="D20" s="16">
        <f>[18]Resumen!$D$35</f>
        <v>0</v>
      </c>
      <c r="E20" s="14">
        <f>[18]Resumen!$E$35</f>
        <v>0</v>
      </c>
      <c r="F20" s="15">
        <f>[18]Resumen!$F$35</f>
        <v>0</v>
      </c>
      <c r="G20" s="17">
        <f>[18]Resumen!$G$35</f>
        <v>0</v>
      </c>
      <c r="H20" s="18">
        <f>[18]Resumen!$H$35</f>
        <v>0</v>
      </c>
      <c r="I20" s="15">
        <f>[18]Resumen!$I$35</f>
        <v>0</v>
      </c>
      <c r="J20" s="16">
        <f>[18]Resumen!$J$35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[19]Resumen!$B$35</f>
        <v>0</v>
      </c>
      <c r="C21" s="15">
        <f>[19]Resumen!$C$35</f>
        <v>0</v>
      </c>
      <c r="D21" s="16">
        <f>[19]Resumen!$D$35</f>
        <v>0</v>
      </c>
      <c r="E21" s="14">
        <f>[19]Resumen!$E$35</f>
        <v>0</v>
      </c>
      <c r="F21" s="15">
        <f>[19]Resumen!$F$35</f>
        <v>0</v>
      </c>
      <c r="G21" s="17">
        <f>[19]Resumen!$G$35</f>
        <v>0</v>
      </c>
      <c r="H21" s="18">
        <f>[19]Resumen!$H$35</f>
        <v>0</v>
      </c>
      <c r="I21" s="15">
        <f>[19]Resumen!$I$35</f>
        <v>0</v>
      </c>
      <c r="J21" s="16">
        <f>[19]Resumen!$J$35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[20]Resumen!$B$35</f>
        <v>0</v>
      </c>
      <c r="C22" s="15">
        <f>[20]Resumen!$C$35</f>
        <v>0</v>
      </c>
      <c r="D22" s="16">
        <f>[20]Resumen!$D$35</f>
        <v>0</v>
      </c>
      <c r="E22" s="14">
        <f>[20]Resumen!$E$35</f>
        <v>0</v>
      </c>
      <c r="F22" s="15">
        <f>[20]Resumen!$F$35</f>
        <v>0</v>
      </c>
      <c r="G22" s="17">
        <f>[20]Resumen!$G$35</f>
        <v>0</v>
      </c>
      <c r="H22" s="18">
        <f>[20]Resumen!$H$35</f>
        <v>0</v>
      </c>
      <c r="I22" s="15">
        <f>[20]Resumen!$I$35</f>
        <v>0</v>
      </c>
      <c r="J22" s="16">
        <f>[20]Resumen!$J$35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[21]Resumen!$B$35</f>
        <v>0</v>
      </c>
      <c r="C23" s="15">
        <f>[21]Resumen!$C$35</f>
        <v>0</v>
      </c>
      <c r="D23" s="16">
        <f>[21]Resumen!$D$35</f>
        <v>0</v>
      </c>
      <c r="E23" s="14">
        <f>[21]Resumen!$E$35</f>
        <v>0</v>
      </c>
      <c r="F23" s="15">
        <f>[21]Resumen!$F$35</f>
        <v>0</v>
      </c>
      <c r="G23" s="17">
        <f>[21]Resumen!$G$35</f>
        <v>0</v>
      </c>
      <c r="H23" s="18">
        <f>[21]Resumen!$H$35</f>
        <v>0</v>
      </c>
      <c r="I23" s="15">
        <f>[21]Resumen!$I$35</f>
        <v>0</v>
      </c>
      <c r="J23" s="16">
        <f>[21]Resumen!$J$35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[22]Resumen!$B$35</f>
        <v>0</v>
      </c>
      <c r="C24" s="15">
        <f>[22]Resumen!$C$35</f>
        <v>0</v>
      </c>
      <c r="D24" s="16">
        <f>[22]Resumen!$D$35</f>
        <v>0</v>
      </c>
      <c r="E24" s="14">
        <f>[22]Resumen!$E$35</f>
        <v>0</v>
      </c>
      <c r="F24" s="15">
        <f>[22]Resumen!$F$35</f>
        <v>0</v>
      </c>
      <c r="G24" s="17">
        <f>[22]Resumen!$G$35</f>
        <v>0</v>
      </c>
      <c r="H24" s="18">
        <f>[22]Resumen!$H$35</f>
        <v>0</v>
      </c>
      <c r="I24" s="15">
        <f>[22]Resumen!$I$35</f>
        <v>0</v>
      </c>
      <c r="J24" s="16">
        <f>[22]Resumen!$J$35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[23]Resumen!$B$35</f>
        <v>0</v>
      </c>
      <c r="C25" s="15">
        <f>[23]Resumen!$C$35</f>
        <v>0</v>
      </c>
      <c r="D25" s="16">
        <f>[23]Resumen!$D$35</f>
        <v>0</v>
      </c>
      <c r="E25" s="14">
        <f>[23]Resumen!$E$35</f>
        <v>0</v>
      </c>
      <c r="F25" s="15">
        <f>[23]Resumen!$F$35</f>
        <v>0</v>
      </c>
      <c r="G25" s="17">
        <f>[23]Resumen!$G$35</f>
        <v>0</v>
      </c>
      <c r="H25" s="18">
        <f>[23]Resumen!$H$35</f>
        <v>0</v>
      </c>
      <c r="I25" s="15">
        <f>[23]Resumen!$I$35</f>
        <v>0</v>
      </c>
      <c r="J25" s="16">
        <f>[23]Resumen!$J$35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[24]Resumen!$B$35</f>
        <v>0</v>
      </c>
      <c r="C26" s="15">
        <f>[24]Resumen!$C$35</f>
        <v>0</v>
      </c>
      <c r="D26" s="16">
        <f>[24]Resumen!$D$35</f>
        <v>0</v>
      </c>
      <c r="E26" s="14">
        <f>[24]Resumen!$E$35</f>
        <v>0</v>
      </c>
      <c r="F26" s="15">
        <f>[24]Resumen!$F$35</f>
        <v>0</v>
      </c>
      <c r="G26" s="17">
        <f>[24]Resumen!$G$35</f>
        <v>0</v>
      </c>
      <c r="H26" s="18">
        <f>[24]Resumen!$H$35</f>
        <v>0</v>
      </c>
      <c r="I26" s="15">
        <f>[24]Resumen!$I$35</f>
        <v>0</v>
      </c>
      <c r="J26" s="16">
        <f>[24]Resumen!$J$35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[25]Resumen!$B$35</f>
        <v>0</v>
      </c>
      <c r="C27" s="15">
        <f>[25]Resumen!$C$35</f>
        <v>0</v>
      </c>
      <c r="D27" s="16">
        <f>[25]Resumen!$D$35</f>
        <v>0</v>
      </c>
      <c r="E27" s="14">
        <f>[25]Resumen!$E$35</f>
        <v>0</v>
      </c>
      <c r="F27" s="15">
        <f>[25]Resumen!$F$35</f>
        <v>0</v>
      </c>
      <c r="G27" s="17">
        <f>[25]Resumen!$G$35</f>
        <v>0</v>
      </c>
      <c r="H27" s="18">
        <f>[25]Resumen!$H$35</f>
        <v>0</v>
      </c>
      <c r="I27" s="15">
        <f>[25]Resumen!$I$35</f>
        <v>0</v>
      </c>
      <c r="J27" s="16">
        <f>[25]Resumen!$J$35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[26]Resumen!$B$35</f>
        <v>0</v>
      </c>
      <c r="C28" s="15">
        <f>[26]Resumen!$C$35</f>
        <v>0</v>
      </c>
      <c r="D28" s="16">
        <f>[26]Resumen!$D$35</f>
        <v>0</v>
      </c>
      <c r="E28" s="14">
        <f>[26]Resumen!$E$35</f>
        <v>0</v>
      </c>
      <c r="F28" s="15">
        <f>[26]Resumen!$F$35</f>
        <v>0</v>
      </c>
      <c r="G28" s="17">
        <f>[26]Resumen!$G$35</f>
        <v>0</v>
      </c>
      <c r="H28" s="18">
        <f>[26]Resumen!$H$35</f>
        <v>0</v>
      </c>
      <c r="I28" s="15">
        <f>[26]Resumen!$I$35</f>
        <v>0</v>
      </c>
      <c r="J28" s="16">
        <f>[26]Resumen!$J$35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[27]Resumen!$B$35</f>
        <v>0</v>
      </c>
      <c r="C29" s="15">
        <f>[27]Resumen!$C$35</f>
        <v>0</v>
      </c>
      <c r="D29" s="16">
        <f>[27]Resumen!$D$35</f>
        <v>0</v>
      </c>
      <c r="E29" s="14">
        <f>[27]Resumen!$E$35</f>
        <v>0</v>
      </c>
      <c r="F29" s="15">
        <f>[27]Resumen!$F$35</f>
        <v>0</v>
      </c>
      <c r="G29" s="17">
        <f>[27]Resumen!$G$35</f>
        <v>0</v>
      </c>
      <c r="H29" s="18">
        <f>[27]Resumen!$H$35</f>
        <v>0</v>
      </c>
      <c r="I29" s="15">
        <f>[27]Resumen!$I$35</f>
        <v>0</v>
      </c>
      <c r="J29" s="16">
        <f>[27]Resumen!$J$35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[28]Resumen!$B$35</f>
        <v>0</v>
      </c>
      <c r="C30" s="15">
        <f>[28]Resumen!$C$35</f>
        <v>0</v>
      </c>
      <c r="D30" s="16">
        <f>[28]Resumen!$D$35</f>
        <v>0</v>
      </c>
      <c r="E30" s="14">
        <f>[28]Resumen!$E$35</f>
        <v>0</v>
      </c>
      <c r="F30" s="15">
        <f>[28]Resumen!$F$35</f>
        <v>0</v>
      </c>
      <c r="G30" s="17">
        <f>[28]Resumen!$G$35</f>
        <v>0</v>
      </c>
      <c r="H30" s="18">
        <f>[28]Resumen!$H$35</f>
        <v>0</v>
      </c>
      <c r="I30" s="15">
        <f>[28]Resumen!$I$35</f>
        <v>0</v>
      </c>
      <c r="J30" s="16">
        <f>[28]Resumen!$J$35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[29]Resumen!$B$35</f>
        <v>0</v>
      </c>
      <c r="C31" s="15">
        <f>[29]Resumen!$C$35</f>
        <v>0</v>
      </c>
      <c r="D31" s="16">
        <f>[29]Resumen!$D$35</f>
        <v>0</v>
      </c>
      <c r="E31" s="14">
        <f>[29]Resumen!$E$35</f>
        <v>0</v>
      </c>
      <c r="F31" s="15">
        <f>[29]Resumen!$F$35</f>
        <v>0</v>
      </c>
      <c r="G31" s="17">
        <f>[29]Resumen!$G$35</f>
        <v>0</v>
      </c>
      <c r="H31" s="18">
        <f>[29]Resumen!$H$35</f>
        <v>0</v>
      </c>
      <c r="I31" s="15">
        <f>[29]Resumen!$I$35</f>
        <v>0</v>
      </c>
      <c r="J31" s="16">
        <f>[29]Resumen!$J$35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[30]Resumen!$B$35</f>
        <v>0</v>
      </c>
      <c r="C32" s="15">
        <f>[30]Resumen!$C$35</f>
        <v>0</v>
      </c>
      <c r="D32" s="16">
        <f>[30]Resumen!$D$35</f>
        <v>0</v>
      </c>
      <c r="E32" s="14">
        <f>[30]Resumen!$E$35</f>
        <v>0</v>
      </c>
      <c r="F32" s="15">
        <f>[30]Resumen!$F$35</f>
        <v>0</v>
      </c>
      <c r="G32" s="17">
        <f>[30]Resumen!$G$35</f>
        <v>0</v>
      </c>
      <c r="H32" s="18">
        <f>[30]Resumen!$H$35</f>
        <v>0</v>
      </c>
      <c r="I32" s="15">
        <f>[30]Resumen!$I$35</f>
        <v>0</v>
      </c>
      <c r="J32" s="16">
        <f>[30]Resumen!$J$35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[31]Resumen!$B$35</f>
        <v>0</v>
      </c>
      <c r="C33" s="15">
        <f>[31]Resumen!$C$35</f>
        <v>0</v>
      </c>
      <c r="D33" s="16">
        <f>[31]Resumen!$D$35</f>
        <v>0</v>
      </c>
      <c r="E33" s="14">
        <f>[31]Resumen!$E$35</f>
        <v>0</v>
      </c>
      <c r="F33" s="15">
        <f>[31]Resumen!$F$35</f>
        <v>0</v>
      </c>
      <c r="G33" s="17">
        <f>[31]Resumen!$G$35</f>
        <v>0</v>
      </c>
      <c r="H33" s="18">
        <f>[31]Resumen!$H$35</f>
        <v>0</v>
      </c>
      <c r="I33" s="15">
        <f>[31]Resumen!$I$35</f>
        <v>0</v>
      </c>
      <c r="J33" s="16">
        <f>[31]Resumen!$J$35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[10]Resumen!$B$35</f>
        <v>0</v>
      </c>
      <c r="C34" s="15">
        <f>[10]Resumen!$C$35</f>
        <v>0</v>
      </c>
      <c r="D34" s="16">
        <f>[10]Resumen!$D$35</f>
        <v>0</v>
      </c>
      <c r="E34" s="14">
        <f>[10]Resumen!$E$35</f>
        <v>0</v>
      </c>
      <c r="F34" s="15">
        <f>[10]Resumen!$F$35</f>
        <v>0</v>
      </c>
      <c r="G34" s="17">
        <f>[10]Resumen!$G$35</f>
        <v>0</v>
      </c>
      <c r="H34" s="18">
        <f>[10]Resumen!$H$35</f>
        <v>0</v>
      </c>
      <c r="I34" s="15">
        <f>[10]Resumen!$I$35</f>
        <v>0</v>
      </c>
      <c r="J34" s="16">
        <f>[10]Resumen!$J$35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+[11]Resumen!$B$35</f>
        <v>0</v>
      </c>
      <c r="C35" s="22">
        <f>+[11]Resumen!$C$35</f>
        <v>0</v>
      </c>
      <c r="D35" s="23">
        <f>+[11]Resumen!$D$35</f>
        <v>0</v>
      </c>
      <c r="E35" s="21">
        <f>+[11]Resumen!$E$35</f>
        <v>0</v>
      </c>
      <c r="F35" s="22">
        <f>+[11]Resumen!$F$35</f>
        <v>0</v>
      </c>
      <c r="G35" s="24">
        <f>+[11]Resumen!$G$35</f>
        <v>0</v>
      </c>
      <c r="H35" s="25">
        <f>+[11]Resumen!$H$35</f>
        <v>0</v>
      </c>
      <c r="I35" s="22">
        <f>+[11]Resumen!$I$35</f>
        <v>0</v>
      </c>
      <c r="J35" s="23">
        <f>+[11]Resumen!$J$35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57031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72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[1]Resumen!$B$36</f>
        <v>0</v>
      </c>
      <c r="C5" s="58">
        <f>[1]Resumen!$C$36</f>
        <v>0</v>
      </c>
      <c r="D5" s="54">
        <f>[1]Resumen!$D$36</f>
        <v>0</v>
      </c>
      <c r="E5" s="53">
        <f>[1]Resumen!$E$36</f>
        <v>0</v>
      </c>
      <c r="F5" s="58">
        <f>[1]Resumen!$F$36</f>
        <v>0</v>
      </c>
      <c r="G5" s="55">
        <f>[1]Resumen!$G$36</f>
        <v>0</v>
      </c>
      <c r="H5" s="61">
        <f>[1]Resumen!$H$36</f>
        <v>0</v>
      </c>
      <c r="I5" s="58">
        <f>[1]Resumen!$I$36</f>
        <v>0</v>
      </c>
      <c r="J5" s="54">
        <f>[1]Resumen!$J$36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[2]Resumen!$B$36</f>
        <v>0</v>
      </c>
      <c r="C6" s="15">
        <f>[2]Resumen!$C$36</f>
        <v>0</v>
      </c>
      <c r="D6" s="16">
        <f>[2]Resumen!$D$36</f>
        <v>0</v>
      </c>
      <c r="E6" s="14">
        <f>[2]Resumen!$E$36</f>
        <v>0</v>
      </c>
      <c r="F6" s="15">
        <f>[2]Resumen!$F$36</f>
        <v>0</v>
      </c>
      <c r="G6" s="17">
        <f>[2]Resumen!$G$36</f>
        <v>0</v>
      </c>
      <c r="H6" s="18">
        <f>[2]Resumen!$H$36</f>
        <v>0</v>
      </c>
      <c r="I6" s="15">
        <f>[2]Resumen!$I$36</f>
        <v>0</v>
      </c>
      <c r="J6" s="16">
        <f>[2]Resumen!$J$36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[3]Resumen!$B$36</f>
        <v>0</v>
      </c>
      <c r="C7" s="15">
        <f>[3]Resumen!$C$36</f>
        <v>0</v>
      </c>
      <c r="D7" s="16">
        <f>[3]Resumen!$D$36</f>
        <v>0</v>
      </c>
      <c r="E7" s="14">
        <f>[3]Resumen!$E$36</f>
        <v>0</v>
      </c>
      <c r="F7" s="15">
        <f>[3]Resumen!$F$36</f>
        <v>0</v>
      </c>
      <c r="G7" s="17">
        <f>[3]Resumen!$G$36</f>
        <v>0</v>
      </c>
      <c r="H7" s="18">
        <f>[3]Resumen!$H$36</f>
        <v>0</v>
      </c>
      <c r="I7" s="15">
        <f>[3]Resumen!$I$36</f>
        <v>0</v>
      </c>
      <c r="J7" s="16">
        <f>[3]Resumen!$J$36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[4]Resumen!$B$36</f>
        <v>0</v>
      </c>
      <c r="C8" s="15">
        <f>[4]Resumen!$C$36</f>
        <v>0</v>
      </c>
      <c r="D8" s="16">
        <f>[4]Resumen!$D$36</f>
        <v>0</v>
      </c>
      <c r="E8" s="14">
        <f>[4]Resumen!$E$36</f>
        <v>0</v>
      </c>
      <c r="F8" s="15">
        <f>[4]Resumen!$F$36</f>
        <v>0</v>
      </c>
      <c r="G8" s="17">
        <f>[4]Resumen!$G$36</f>
        <v>0</v>
      </c>
      <c r="H8" s="18">
        <f>[4]Resumen!$H$36</f>
        <v>0</v>
      </c>
      <c r="I8" s="15">
        <f>[4]Resumen!$I$36</f>
        <v>0</v>
      </c>
      <c r="J8" s="16">
        <f>[4]Resumen!$J$36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[5]Resumen!$B$36</f>
        <v>0</v>
      </c>
      <c r="C9" s="15">
        <f>[5]Resumen!$C$36</f>
        <v>0</v>
      </c>
      <c r="D9" s="16">
        <f>[5]Resumen!$D$36</f>
        <v>0</v>
      </c>
      <c r="E9" s="14">
        <f>[5]Resumen!$E$36</f>
        <v>0</v>
      </c>
      <c r="F9" s="15">
        <f>[5]Resumen!$F$36</f>
        <v>0</v>
      </c>
      <c r="G9" s="17">
        <f>[5]Resumen!$G$36</f>
        <v>0</v>
      </c>
      <c r="H9" s="18">
        <f>[5]Resumen!$H$36</f>
        <v>0</v>
      </c>
      <c r="I9" s="15">
        <f>[5]Resumen!$I$36</f>
        <v>0</v>
      </c>
      <c r="J9" s="16">
        <f>[5]Resumen!$J$36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[6]Resumen!$B$36</f>
        <v>0</v>
      </c>
      <c r="C10" s="15">
        <f>[6]Resumen!$C$36</f>
        <v>0</v>
      </c>
      <c r="D10" s="16">
        <f>[6]Resumen!$D$36</f>
        <v>0</v>
      </c>
      <c r="E10" s="14">
        <f>[6]Resumen!$E$36</f>
        <v>0</v>
      </c>
      <c r="F10" s="15">
        <f>[6]Resumen!$F$36</f>
        <v>0</v>
      </c>
      <c r="G10" s="17">
        <f>[6]Resumen!$G$36</f>
        <v>0</v>
      </c>
      <c r="H10" s="18">
        <f>[6]Resumen!$H$36</f>
        <v>0</v>
      </c>
      <c r="I10" s="15">
        <f>[6]Resumen!$I$36</f>
        <v>0</v>
      </c>
      <c r="J10" s="16">
        <f>[6]Resumen!$J$36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[7]Resumen!$B$36</f>
        <v>0</v>
      </c>
      <c r="C11" s="15">
        <f>[7]Resumen!$C$36</f>
        <v>0</v>
      </c>
      <c r="D11" s="16">
        <f>[7]Resumen!$D$36</f>
        <v>0</v>
      </c>
      <c r="E11" s="14">
        <f>[7]Resumen!$E$36</f>
        <v>0</v>
      </c>
      <c r="F11" s="15">
        <f>[7]Resumen!$F$36</f>
        <v>0</v>
      </c>
      <c r="G11" s="17">
        <f>[7]Resumen!$G$36</f>
        <v>0</v>
      </c>
      <c r="H11" s="18">
        <f>[7]Resumen!$H$36</f>
        <v>0</v>
      </c>
      <c r="I11" s="15">
        <f>[7]Resumen!$I$36</f>
        <v>0</v>
      </c>
      <c r="J11" s="16">
        <f>[7]Resumen!$J$36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[8]Resumen!$B$36</f>
        <v>0</v>
      </c>
      <c r="C12" s="15">
        <f>[8]Resumen!$C$36</f>
        <v>0</v>
      </c>
      <c r="D12" s="16">
        <f>[8]Resumen!$D$36</f>
        <v>0</v>
      </c>
      <c r="E12" s="14">
        <f>[8]Resumen!$E$36</f>
        <v>0</v>
      </c>
      <c r="F12" s="15">
        <f>[8]Resumen!$F$36</f>
        <v>0</v>
      </c>
      <c r="G12" s="17">
        <f>[8]Resumen!$G$36</f>
        <v>0</v>
      </c>
      <c r="H12" s="18">
        <f>[8]Resumen!$H$36</f>
        <v>0</v>
      </c>
      <c r="I12" s="15">
        <f>[8]Resumen!$I$36</f>
        <v>0</v>
      </c>
      <c r="J12" s="16">
        <f>[8]Resumen!$J$36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[9]Resumen!$B$36</f>
        <v>0</v>
      </c>
      <c r="C13" s="15">
        <f>[9]Resumen!$C$36</f>
        <v>0</v>
      </c>
      <c r="D13" s="16">
        <f>[9]Resumen!$D$36</f>
        <v>0</v>
      </c>
      <c r="E13" s="14">
        <f>[9]Resumen!$E$36</f>
        <v>0</v>
      </c>
      <c r="F13" s="15">
        <f>[9]Resumen!$F$36</f>
        <v>0</v>
      </c>
      <c r="G13" s="17">
        <f>[9]Resumen!$G$36</f>
        <v>0</v>
      </c>
      <c r="H13" s="18">
        <f>[9]Resumen!$H$36</f>
        <v>0</v>
      </c>
      <c r="I13" s="15">
        <f>[9]Resumen!$I$36</f>
        <v>0</v>
      </c>
      <c r="J13" s="16">
        <f>[9]Resumen!$J$36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[12]Resumen!$B$36</f>
        <v>0</v>
      </c>
      <c r="C14" s="15">
        <f>[12]Resumen!$C$36</f>
        <v>0</v>
      </c>
      <c r="D14" s="16">
        <f>[12]Resumen!$D$36</f>
        <v>0</v>
      </c>
      <c r="E14" s="14">
        <f>[12]Resumen!$E$36</f>
        <v>0</v>
      </c>
      <c r="F14" s="15">
        <f>[12]Resumen!$F$36</f>
        <v>0</v>
      </c>
      <c r="G14" s="17">
        <f>[12]Resumen!$G$36</f>
        <v>0</v>
      </c>
      <c r="H14" s="18">
        <f>[12]Resumen!$H$36</f>
        <v>0</v>
      </c>
      <c r="I14" s="15">
        <f>[12]Resumen!$I$36</f>
        <v>0</v>
      </c>
      <c r="J14" s="16">
        <f>[12]Resumen!$J$36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[13]Resumen!$B$36</f>
        <v>0</v>
      </c>
      <c r="C15" s="15">
        <f>[13]Resumen!$C$36</f>
        <v>0</v>
      </c>
      <c r="D15" s="16">
        <f>[13]Resumen!$D$36</f>
        <v>0</v>
      </c>
      <c r="E15" s="14">
        <f>[13]Resumen!$E$36</f>
        <v>0</v>
      </c>
      <c r="F15" s="15">
        <f>[13]Resumen!$F$36</f>
        <v>0</v>
      </c>
      <c r="G15" s="17">
        <f>[13]Resumen!$G$36</f>
        <v>0</v>
      </c>
      <c r="H15" s="18">
        <f>[13]Resumen!$H$36</f>
        <v>0</v>
      </c>
      <c r="I15" s="15">
        <f>[13]Resumen!$I$36</f>
        <v>0</v>
      </c>
      <c r="J15" s="16">
        <f>[13]Resumen!$J$36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[14]Resumen!$B$36</f>
        <v>0</v>
      </c>
      <c r="C16" s="15">
        <f>[14]Resumen!$C$36</f>
        <v>0</v>
      </c>
      <c r="D16" s="16">
        <f>[14]Resumen!$D$36</f>
        <v>0</v>
      </c>
      <c r="E16" s="14">
        <f>[14]Resumen!$E$36</f>
        <v>0</v>
      </c>
      <c r="F16" s="15">
        <f>[14]Resumen!$F$36</f>
        <v>0</v>
      </c>
      <c r="G16" s="17">
        <f>[14]Resumen!$G$36</f>
        <v>0</v>
      </c>
      <c r="H16" s="18">
        <f>[14]Resumen!$H$36</f>
        <v>0</v>
      </c>
      <c r="I16" s="15">
        <f>[14]Resumen!$I$36</f>
        <v>0</v>
      </c>
      <c r="J16" s="16">
        <f>[14]Resumen!$J$36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[15]Resumen!$B$36</f>
        <v>0</v>
      </c>
      <c r="C17" s="15">
        <f>[15]Resumen!$C$36</f>
        <v>0</v>
      </c>
      <c r="D17" s="16">
        <f>[15]Resumen!$D$36</f>
        <v>0</v>
      </c>
      <c r="E17" s="14">
        <f>[15]Resumen!$E$36</f>
        <v>0</v>
      </c>
      <c r="F17" s="15">
        <f>[15]Resumen!$F$36</f>
        <v>0</v>
      </c>
      <c r="G17" s="17">
        <f>[15]Resumen!$G$36</f>
        <v>0</v>
      </c>
      <c r="H17" s="18">
        <f>[15]Resumen!$H$36</f>
        <v>0</v>
      </c>
      <c r="I17" s="15">
        <f>[15]Resumen!$I$36</f>
        <v>0</v>
      </c>
      <c r="J17" s="16">
        <f>[15]Resumen!$J$36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[16]Resumen!$B$36</f>
        <v>0</v>
      </c>
      <c r="C18" s="15">
        <f>[16]Resumen!$C$36</f>
        <v>0</v>
      </c>
      <c r="D18" s="16">
        <f>[16]Resumen!$D$36</f>
        <v>0</v>
      </c>
      <c r="E18" s="14">
        <f>[16]Resumen!$E$36</f>
        <v>0</v>
      </c>
      <c r="F18" s="15">
        <f>[16]Resumen!$F$36</f>
        <v>0</v>
      </c>
      <c r="G18" s="17">
        <f>[16]Resumen!$G$36</f>
        <v>0</v>
      </c>
      <c r="H18" s="18">
        <f>[16]Resumen!$H$36</f>
        <v>0</v>
      </c>
      <c r="I18" s="15">
        <f>[16]Resumen!$I$36</f>
        <v>0</v>
      </c>
      <c r="J18" s="16">
        <f>[16]Resumen!$J$36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[17]Resumen!$B$36</f>
        <v>0</v>
      </c>
      <c r="C19" s="15">
        <f>[17]Resumen!$C$36</f>
        <v>0</v>
      </c>
      <c r="D19" s="16">
        <f>[17]Resumen!$D$36</f>
        <v>0</v>
      </c>
      <c r="E19" s="14">
        <f>[17]Resumen!$E$36</f>
        <v>0</v>
      </c>
      <c r="F19" s="15">
        <f>[17]Resumen!$F$36</f>
        <v>0</v>
      </c>
      <c r="G19" s="17">
        <f>[17]Resumen!$G$36</f>
        <v>0</v>
      </c>
      <c r="H19" s="18">
        <f>[17]Resumen!$H$36</f>
        <v>0</v>
      </c>
      <c r="I19" s="15">
        <f>[17]Resumen!$I$36</f>
        <v>0</v>
      </c>
      <c r="J19" s="16">
        <f>[17]Resumen!$J$36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[18]Resumen!$B$36</f>
        <v>0</v>
      </c>
      <c r="C20" s="15">
        <f>[18]Resumen!$C$36</f>
        <v>0</v>
      </c>
      <c r="D20" s="16">
        <f>[18]Resumen!$D$36</f>
        <v>0</v>
      </c>
      <c r="E20" s="14">
        <f>[18]Resumen!$E$36</f>
        <v>0</v>
      </c>
      <c r="F20" s="15">
        <f>[18]Resumen!$F$36</f>
        <v>0</v>
      </c>
      <c r="G20" s="17">
        <f>[18]Resumen!$G$36</f>
        <v>0</v>
      </c>
      <c r="H20" s="18">
        <f>[18]Resumen!$H$36</f>
        <v>0</v>
      </c>
      <c r="I20" s="15">
        <f>[18]Resumen!$I$36</f>
        <v>0</v>
      </c>
      <c r="J20" s="16">
        <f>[18]Resumen!$J$36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[19]Resumen!$B$36</f>
        <v>0</v>
      </c>
      <c r="C21" s="15">
        <f>[19]Resumen!$C$36</f>
        <v>0</v>
      </c>
      <c r="D21" s="16">
        <f>[19]Resumen!$D$36</f>
        <v>0</v>
      </c>
      <c r="E21" s="14">
        <f>[19]Resumen!$E$36</f>
        <v>0</v>
      </c>
      <c r="F21" s="15">
        <f>[19]Resumen!$F$36</f>
        <v>0</v>
      </c>
      <c r="G21" s="17">
        <f>[19]Resumen!$G$36</f>
        <v>0</v>
      </c>
      <c r="H21" s="18">
        <f>[19]Resumen!$H$36</f>
        <v>0</v>
      </c>
      <c r="I21" s="15">
        <f>[19]Resumen!$I$36</f>
        <v>0</v>
      </c>
      <c r="J21" s="16">
        <f>[19]Resumen!$J$36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[20]Resumen!$B$36</f>
        <v>0</v>
      </c>
      <c r="C22" s="15">
        <f>[20]Resumen!$C$36</f>
        <v>0</v>
      </c>
      <c r="D22" s="16">
        <f>[20]Resumen!$D$36</f>
        <v>0</v>
      </c>
      <c r="E22" s="14">
        <f>[20]Resumen!$E$36</f>
        <v>0</v>
      </c>
      <c r="F22" s="15">
        <f>[20]Resumen!$F$36</f>
        <v>0</v>
      </c>
      <c r="G22" s="17">
        <f>[20]Resumen!$G$36</f>
        <v>0</v>
      </c>
      <c r="H22" s="18">
        <f>[20]Resumen!$H$36</f>
        <v>0</v>
      </c>
      <c r="I22" s="15">
        <f>[20]Resumen!$I$36</f>
        <v>0</v>
      </c>
      <c r="J22" s="16">
        <f>[20]Resumen!$J$36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[21]Resumen!$B$36</f>
        <v>0</v>
      </c>
      <c r="C23" s="15">
        <f>[21]Resumen!$C$36</f>
        <v>0</v>
      </c>
      <c r="D23" s="16">
        <f>[21]Resumen!$D$36</f>
        <v>0</v>
      </c>
      <c r="E23" s="14">
        <f>[21]Resumen!$E$36</f>
        <v>0</v>
      </c>
      <c r="F23" s="15">
        <f>[21]Resumen!$F$36</f>
        <v>0</v>
      </c>
      <c r="G23" s="17">
        <f>[21]Resumen!$G$36</f>
        <v>0</v>
      </c>
      <c r="H23" s="18">
        <f>[21]Resumen!$H$36</f>
        <v>0</v>
      </c>
      <c r="I23" s="15">
        <f>[21]Resumen!$I$36</f>
        <v>0</v>
      </c>
      <c r="J23" s="16">
        <f>[21]Resumen!$J$36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[22]Resumen!$B$36</f>
        <v>0</v>
      </c>
      <c r="C24" s="15">
        <f>[22]Resumen!$C$36</f>
        <v>0</v>
      </c>
      <c r="D24" s="16">
        <f>[22]Resumen!$D$36</f>
        <v>0</v>
      </c>
      <c r="E24" s="14">
        <f>[22]Resumen!$E$36</f>
        <v>0</v>
      </c>
      <c r="F24" s="15">
        <f>[22]Resumen!$F$36</f>
        <v>0</v>
      </c>
      <c r="G24" s="17">
        <f>[22]Resumen!$G$36</f>
        <v>0</v>
      </c>
      <c r="H24" s="18">
        <f>[22]Resumen!$H$36</f>
        <v>0</v>
      </c>
      <c r="I24" s="15">
        <f>[22]Resumen!$I$36</f>
        <v>0</v>
      </c>
      <c r="J24" s="16">
        <f>[22]Resumen!$J$36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[23]Resumen!$B$36</f>
        <v>0</v>
      </c>
      <c r="C25" s="15">
        <f>[23]Resumen!$C$36</f>
        <v>0</v>
      </c>
      <c r="D25" s="16">
        <f>[23]Resumen!$D$36</f>
        <v>0</v>
      </c>
      <c r="E25" s="14">
        <f>[23]Resumen!$E$36</f>
        <v>0</v>
      </c>
      <c r="F25" s="15">
        <f>[23]Resumen!$F$36</f>
        <v>0</v>
      </c>
      <c r="G25" s="17">
        <f>[23]Resumen!$G$36</f>
        <v>0</v>
      </c>
      <c r="H25" s="18">
        <f>[23]Resumen!$H$36</f>
        <v>0</v>
      </c>
      <c r="I25" s="15">
        <f>[23]Resumen!$I$36</f>
        <v>0</v>
      </c>
      <c r="J25" s="16">
        <f>[23]Resumen!$J$36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[24]Resumen!$B$36</f>
        <v>0</v>
      </c>
      <c r="C26" s="15">
        <f>[24]Resumen!$C$36</f>
        <v>0</v>
      </c>
      <c r="D26" s="16">
        <f>[24]Resumen!$D$36</f>
        <v>0</v>
      </c>
      <c r="E26" s="14">
        <f>[24]Resumen!$E$36</f>
        <v>0</v>
      </c>
      <c r="F26" s="15">
        <f>[24]Resumen!$F$36</f>
        <v>0</v>
      </c>
      <c r="G26" s="17">
        <f>[24]Resumen!$G$36</f>
        <v>0</v>
      </c>
      <c r="H26" s="18">
        <f>[24]Resumen!$H$36</f>
        <v>0</v>
      </c>
      <c r="I26" s="15">
        <f>[24]Resumen!$I$36</f>
        <v>0</v>
      </c>
      <c r="J26" s="16">
        <f>[24]Resumen!$J$36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[25]Resumen!$B$36</f>
        <v>0</v>
      </c>
      <c r="C27" s="15">
        <f>[25]Resumen!$C$36</f>
        <v>0</v>
      </c>
      <c r="D27" s="16">
        <f>[25]Resumen!$D$36</f>
        <v>0</v>
      </c>
      <c r="E27" s="14">
        <f>[25]Resumen!$E$36</f>
        <v>0</v>
      </c>
      <c r="F27" s="15">
        <f>[25]Resumen!$F$36</f>
        <v>0</v>
      </c>
      <c r="G27" s="17">
        <f>[25]Resumen!$G$36</f>
        <v>0</v>
      </c>
      <c r="H27" s="18">
        <f>[25]Resumen!$H$36</f>
        <v>0</v>
      </c>
      <c r="I27" s="15">
        <f>[25]Resumen!$I$36</f>
        <v>0</v>
      </c>
      <c r="J27" s="16">
        <f>[25]Resumen!$J$36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[26]Resumen!$B$36</f>
        <v>0</v>
      </c>
      <c r="C28" s="15">
        <f>[26]Resumen!$C$36</f>
        <v>0</v>
      </c>
      <c r="D28" s="16">
        <f>[26]Resumen!$D$36</f>
        <v>0</v>
      </c>
      <c r="E28" s="14">
        <f>[26]Resumen!$E$36</f>
        <v>0</v>
      </c>
      <c r="F28" s="15">
        <f>[26]Resumen!$F$36</f>
        <v>0</v>
      </c>
      <c r="G28" s="17">
        <f>[26]Resumen!$G$36</f>
        <v>0</v>
      </c>
      <c r="H28" s="18">
        <f>[26]Resumen!$H$36</f>
        <v>0</v>
      </c>
      <c r="I28" s="15">
        <f>[26]Resumen!$I$36</f>
        <v>0</v>
      </c>
      <c r="J28" s="16">
        <f>[26]Resumen!$J$36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[27]Resumen!$B$36</f>
        <v>0</v>
      </c>
      <c r="C29" s="15">
        <f>[27]Resumen!$C$36</f>
        <v>0</v>
      </c>
      <c r="D29" s="16">
        <f>[27]Resumen!$D$36</f>
        <v>0</v>
      </c>
      <c r="E29" s="14">
        <f>[27]Resumen!$E$36</f>
        <v>0</v>
      </c>
      <c r="F29" s="15">
        <f>[27]Resumen!$F$36</f>
        <v>0</v>
      </c>
      <c r="G29" s="17">
        <f>[27]Resumen!$G$36</f>
        <v>0</v>
      </c>
      <c r="H29" s="18">
        <f>[27]Resumen!$H$36</f>
        <v>0</v>
      </c>
      <c r="I29" s="15">
        <f>[27]Resumen!$I$36</f>
        <v>0</v>
      </c>
      <c r="J29" s="16">
        <f>[27]Resumen!$J$36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[28]Resumen!$B$36</f>
        <v>0</v>
      </c>
      <c r="C30" s="15">
        <f>[28]Resumen!$C$36</f>
        <v>0</v>
      </c>
      <c r="D30" s="16">
        <f>[28]Resumen!$D$36</f>
        <v>0</v>
      </c>
      <c r="E30" s="14">
        <f>[28]Resumen!$E$36</f>
        <v>0</v>
      </c>
      <c r="F30" s="15">
        <f>[28]Resumen!$F$36</f>
        <v>0</v>
      </c>
      <c r="G30" s="17">
        <f>[28]Resumen!$G$36</f>
        <v>0</v>
      </c>
      <c r="H30" s="18">
        <f>[28]Resumen!$H$36</f>
        <v>0</v>
      </c>
      <c r="I30" s="15">
        <f>[28]Resumen!$I$36</f>
        <v>0</v>
      </c>
      <c r="J30" s="16">
        <f>[28]Resumen!$J$36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[29]Resumen!$B$36</f>
        <v>0</v>
      </c>
      <c r="C31" s="15">
        <f>[29]Resumen!$C$36</f>
        <v>0</v>
      </c>
      <c r="D31" s="16">
        <f>[29]Resumen!$D$36</f>
        <v>0</v>
      </c>
      <c r="E31" s="14">
        <f>[29]Resumen!$E$36</f>
        <v>0</v>
      </c>
      <c r="F31" s="15">
        <f>[29]Resumen!$F$36</f>
        <v>0</v>
      </c>
      <c r="G31" s="17">
        <f>[29]Resumen!$G$36</f>
        <v>0</v>
      </c>
      <c r="H31" s="18">
        <f>[29]Resumen!$H$36</f>
        <v>0</v>
      </c>
      <c r="I31" s="15">
        <f>[29]Resumen!$I$36</f>
        <v>0</v>
      </c>
      <c r="J31" s="16">
        <f>[29]Resumen!$J$36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[30]Resumen!$B$36</f>
        <v>0</v>
      </c>
      <c r="C32" s="15">
        <f>[30]Resumen!$C$36</f>
        <v>0</v>
      </c>
      <c r="D32" s="16">
        <f>[30]Resumen!$D$36</f>
        <v>0</v>
      </c>
      <c r="E32" s="14">
        <f>[30]Resumen!$E$36</f>
        <v>0</v>
      </c>
      <c r="F32" s="15">
        <f>[30]Resumen!$F$36</f>
        <v>0</v>
      </c>
      <c r="G32" s="17">
        <f>[30]Resumen!$G$36</f>
        <v>0</v>
      </c>
      <c r="H32" s="18">
        <f>[30]Resumen!$H$36</f>
        <v>0</v>
      </c>
      <c r="I32" s="15">
        <f>[30]Resumen!$I$36</f>
        <v>0</v>
      </c>
      <c r="J32" s="16">
        <f>[30]Resumen!$J$36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[31]Resumen!$B$36</f>
        <v>0</v>
      </c>
      <c r="C33" s="15">
        <f>[31]Resumen!$C$36</f>
        <v>0</v>
      </c>
      <c r="D33" s="16">
        <f>[31]Resumen!$D$36</f>
        <v>0</v>
      </c>
      <c r="E33" s="14">
        <f>[31]Resumen!$E$36</f>
        <v>0</v>
      </c>
      <c r="F33" s="15">
        <f>[31]Resumen!$F$36</f>
        <v>0</v>
      </c>
      <c r="G33" s="17">
        <f>[31]Resumen!$G$36</f>
        <v>0</v>
      </c>
      <c r="H33" s="18">
        <f>[31]Resumen!$H$36</f>
        <v>0</v>
      </c>
      <c r="I33" s="15">
        <f>[31]Resumen!$I$36</f>
        <v>0</v>
      </c>
      <c r="J33" s="16">
        <f>[31]Resumen!$J$36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[10]Resumen!$B$36</f>
        <v>0</v>
      </c>
      <c r="C34" s="15">
        <f>[10]Resumen!$C$36</f>
        <v>0</v>
      </c>
      <c r="D34" s="16">
        <f>[10]Resumen!$D$36</f>
        <v>0</v>
      </c>
      <c r="E34" s="14">
        <f>[10]Resumen!$E$36</f>
        <v>0</v>
      </c>
      <c r="F34" s="15">
        <f>[10]Resumen!$F$36</f>
        <v>0</v>
      </c>
      <c r="G34" s="17">
        <f>[10]Resumen!$G$36</f>
        <v>0</v>
      </c>
      <c r="H34" s="18">
        <f>[10]Resumen!$H$36</f>
        <v>0</v>
      </c>
      <c r="I34" s="15">
        <f>[10]Resumen!$I$36</f>
        <v>0</v>
      </c>
      <c r="J34" s="16">
        <f>[10]Resumen!$J$36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+[11]Resumen!$B$36</f>
        <v>0</v>
      </c>
      <c r="C35" s="22">
        <f>+[11]Resumen!$C$36</f>
        <v>0</v>
      </c>
      <c r="D35" s="23">
        <f>+[11]Resumen!$D$36</f>
        <v>0</v>
      </c>
      <c r="E35" s="21">
        <f>+[11]Resumen!$E$36</f>
        <v>0</v>
      </c>
      <c r="F35" s="22">
        <f>+[11]Resumen!$F$36</f>
        <v>0</v>
      </c>
      <c r="G35" s="24">
        <f>+[11]Resumen!$G$36</f>
        <v>0</v>
      </c>
      <c r="H35" s="25">
        <f>+[11]Resumen!$H$36</f>
        <v>0</v>
      </c>
      <c r="I35" s="22">
        <f>+[11]Resumen!$I$36</f>
        <v>0</v>
      </c>
      <c r="J35" s="23">
        <f>+[11]Resumen!$J$36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2" width="10.5703125" style="1" customWidth="1"/>
    <col min="3" max="3" width="9.85546875" style="1" customWidth="1"/>
    <col min="4" max="4" width="11.140625" style="1" customWidth="1"/>
    <col min="5" max="5" width="11.85546875" style="1" customWidth="1"/>
    <col min="6" max="6" width="10.85546875" style="1" customWidth="1"/>
    <col min="7" max="11" width="11.85546875" style="1" customWidth="1"/>
    <col min="12" max="12" width="10.85546875" style="1" customWidth="1"/>
    <col min="13" max="13" width="11.85546875" style="1" customWidth="1"/>
    <col min="14" max="14" width="10.85546875" style="1" customWidth="1"/>
    <col min="15" max="15" width="12.5703125" style="1" customWidth="1"/>
    <col min="16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58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30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[1]Resumen!$B$37</f>
        <v>0</v>
      </c>
      <c r="C5" s="58">
        <f>[1]Resumen!$C$37</f>
        <v>0</v>
      </c>
      <c r="D5" s="54">
        <f>[1]Resumen!$D$37</f>
        <v>0</v>
      </c>
      <c r="E5" s="53">
        <f>[1]Resumen!$E$37</f>
        <v>0</v>
      </c>
      <c r="F5" s="58">
        <f>[1]Resumen!$F$37</f>
        <v>0</v>
      </c>
      <c r="G5" s="55">
        <f>[1]Resumen!$G$37</f>
        <v>0</v>
      </c>
      <c r="H5" s="61">
        <f>[1]Resumen!$H$37</f>
        <v>0</v>
      </c>
      <c r="I5" s="58">
        <f>[1]Resumen!$I$37</f>
        <v>0</v>
      </c>
      <c r="J5" s="54">
        <f>[1]Resumen!$J$37</f>
        <v>0</v>
      </c>
      <c r="K5" s="59">
        <f t="shared" ref="K5:K35" si="0">+B5+E5+H5</f>
        <v>0</v>
      </c>
      <c r="L5" s="58">
        <f t="shared" ref="L5:L35" si="1">+C5+F5+I5</f>
        <v>0</v>
      </c>
      <c r="M5" s="58">
        <f t="shared" ref="M5:M35" si="2">+D5+G5+J5</f>
        <v>0</v>
      </c>
      <c r="N5" s="58">
        <v>0</v>
      </c>
      <c r="O5" s="55">
        <f t="shared" ref="O5:O35" si="3">+K5-L5-M5+N5</f>
        <v>0</v>
      </c>
    </row>
    <row r="6" spans="1:15">
      <c r="A6" s="13" t="s">
        <v>50</v>
      </c>
      <c r="B6" s="14">
        <f>[2]Resumen!$B$37</f>
        <v>0</v>
      </c>
      <c r="C6" s="15">
        <f>[2]Resumen!$C$37</f>
        <v>0</v>
      </c>
      <c r="D6" s="16">
        <f>[2]Resumen!$D$37</f>
        <v>0</v>
      </c>
      <c r="E6" s="14">
        <f>[2]Resumen!$E$37</f>
        <v>0</v>
      </c>
      <c r="F6" s="15">
        <f>[2]Resumen!$F$37</f>
        <v>0</v>
      </c>
      <c r="G6" s="17">
        <f>[2]Resumen!$G$37</f>
        <v>0</v>
      </c>
      <c r="H6" s="18">
        <f>[2]Resumen!$H$37</f>
        <v>0</v>
      </c>
      <c r="I6" s="15">
        <f>[2]Resumen!$I$37</f>
        <v>0</v>
      </c>
      <c r="J6" s="16">
        <f>[2]Resumen!$J$37</f>
        <v>0</v>
      </c>
      <c r="K6" s="19">
        <f t="shared" si="0"/>
        <v>0</v>
      </c>
      <c r="L6" s="15">
        <f t="shared" si="1"/>
        <v>0</v>
      </c>
      <c r="M6" s="15">
        <f t="shared" si="2"/>
        <v>0</v>
      </c>
      <c r="N6" s="15">
        <v>0</v>
      </c>
      <c r="O6" s="17">
        <f t="shared" si="3"/>
        <v>0</v>
      </c>
    </row>
    <row r="7" spans="1:15">
      <c r="A7" s="20" t="s">
        <v>51</v>
      </c>
      <c r="B7" s="14">
        <f>[3]Resumen!$B$37</f>
        <v>0</v>
      </c>
      <c r="C7" s="15">
        <f>[3]Resumen!$C$37</f>
        <v>0</v>
      </c>
      <c r="D7" s="16">
        <f>[3]Resumen!$D$37</f>
        <v>0</v>
      </c>
      <c r="E7" s="14">
        <f>[3]Resumen!$E$37</f>
        <v>0</v>
      </c>
      <c r="F7" s="15">
        <f>[3]Resumen!$F$37</f>
        <v>0</v>
      </c>
      <c r="G7" s="17">
        <f>[3]Resumen!$G$37</f>
        <v>0</v>
      </c>
      <c r="H7" s="18">
        <f>[3]Resumen!$H$37</f>
        <v>0</v>
      </c>
      <c r="I7" s="15">
        <f>[3]Resumen!$I$37</f>
        <v>0</v>
      </c>
      <c r="J7" s="16">
        <f>[3]Resumen!$J$37</f>
        <v>0</v>
      </c>
      <c r="K7" s="19">
        <f t="shared" si="0"/>
        <v>0</v>
      </c>
      <c r="L7" s="15">
        <f t="shared" si="1"/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>
      <c r="A8" s="13" t="s">
        <v>52</v>
      </c>
      <c r="B8" s="14">
        <f>[4]Resumen!$B$37</f>
        <v>0</v>
      </c>
      <c r="C8" s="15">
        <f>[4]Resumen!$C$37</f>
        <v>0</v>
      </c>
      <c r="D8" s="16">
        <f>[4]Resumen!$D$37</f>
        <v>0</v>
      </c>
      <c r="E8" s="14">
        <f>[4]Resumen!$E$37</f>
        <v>0</v>
      </c>
      <c r="F8" s="15">
        <f>[4]Resumen!$F$37</f>
        <v>0</v>
      </c>
      <c r="G8" s="17">
        <f>[4]Resumen!$G$37</f>
        <v>0</v>
      </c>
      <c r="H8" s="18">
        <f>[4]Resumen!$H$37</f>
        <v>0</v>
      </c>
      <c r="I8" s="15">
        <f>[4]Resumen!$I$37</f>
        <v>0</v>
      </c>
      <c r="J8" s="16">
        <f>[4]Resumen!$J$37</f>
        <v>0</v>
      </c>
      <c r="K8" s="19">
        <f t="shared" si="0"/>
        <v>0</v>
      </c>
      <c r="L8" s="15">
        <f t="shared" si="1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>
      <c r="A9" s="20" t="s">
        <v>53</v>
      </c>
      <c r="B9" s="14">
        <f>[5]Resumen!$B$37</f>
        <v>0</v>
      </c>
      <c r="C9" s="15">
        <f>[5]Resumen!$C$37</f>
        <v>0</v>
      </c>
      <c r="D9" s="16">
        <f>[5]Resumen!$D$37</f>
        <v>0</v>
      </c>
      <c r="E9" s="14">
        <f>[5]Resumen!$E$37</f>
        <v>0</v>
      </c>
      <c r="F9" s="15">
        <f>[5]Resumen!$F$37</f>
        <v>0</v>
      </c>
      <c r="G9" s="17">
        <f>[5]Resumen!$G$37</f>
        <v>0</v>
      </c>
      <c r="H9" s="18">
        <f>[5]Resumen!$H$37</f>
        <v>0</v>
      </c>
      <c r="I9" s="15">
        <f>[5]Resumen!$I$37</f>
        <v>0</v>
      </c>
      <c r="J9" s="16">
        <f>[5]Resumen!$J$37</f>
        <v>0</v>
      </c>
      <c r="K9" s="19">
        <f t="shared" si="0"/>
        <v>0</v>
      </c>
      <c r="L9" s="15">
        <f t="shared" si="1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>
      <c r="A10" s="13" t="s">
        <v>20</v>
      </c>
      <c r="B10" s="14">
        <f>[6]Resumen!$B$37</f>
        <v>0</v>
      </c>
      <c r="C10" s="15">
        <f>[6]Resumen!$C$37</f>
        <v>0</v>
      </c>
      <c r="D10" s="16">
        <f>[6]Resumen!$D$37</f>
        <v>0</v>
      </c>
      <c r="E10" s="14">
        <f>[6]Resumen!$E$37</f>
        <v>0</v>
      </c>
      <c r="F10" s="15">
        <f>[6]Resumen!$F$37</f>
        <v>0</v>
      </c>
      <c r="G10" s="17">
        <f>[6]Resumen!$G$37</f>
        <v>0</v>
      </c>
      <c r="H10" s="18">
        <f>[6]Resumen!$H$37</f>
        <v>0</v>
      </c>
      <c r="I10" s="15">
        <f>[6]Resumen!$I$37</f>
        <v>0</v>
      </c>
      <c r="J10" s="16">
        <f>[6]Resumen!$J$37</f>
        <v>0</v>
      </c>
      <c r="K10" s="19">
        <f t="shared" si="0"/>
        <v>0</v>
      </c>
      <c r="L10" s="15">
        <f t="shared" si="1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>
      <c r="A11" s="20" t="s">
        <v>21</v>
      </c>
      <c r="B11" s="14">
        <f>[7]Resumen!$B$37</f>
        <v>0</v>
      </c>
      <c r="C11" s="15">
        <f>[7]Resumen!$C$37</f>
        <v>0</v>
      </c>
      <c r="D11" s="16">
        <f>[7]Resumen!$D$37</f>
        <v>0</v>
      </c>
      <c r="E11" s="14">
        <f>[7]Resumen!$E$37</f>
        <v>0</v>
      </c>
      <c r="F11" s="15">
        <f>[7]Resumen!$F$37</f>
        <v>0</v>
      </c>
      <c r="G11" s="17">
        <f>[7]Resumen!$G$37</f>
        <v>0</v>
      </c>
      <c r="H11" s="18">
        <f>[7]Resumen!$H$37</f>
        <v>0</v>
      </c>
      <c r="I11" s="15">
        <f>[7]Resumen!$I$37</f>
        <v>0</v>
      </c>
      <c r="J11" s="16">
        <f>[7]Resumen!$J$37</f>
        <v>0</v>
      </c>
      <c r="K11" s="19">
        <f t="shared" si="0"/>
        <v>0</v>
      </c>
      <c r="L11" s="15">
        <f t="shared" si="1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>
      <c r="A12" s="13" t="s">
        <v>22</v>
      </c>
      <c r="B12" s="14">
        <f>[8]Resumen!$B$37</f>
        <v>0</v>
      </c>
      <c r="C12" s="15">
        <f>[8]Resumen!$C$37</f>
        <v>0</v>
      </c>
      <c r="D12" s="16">
        <f>[8]Resumen!$D$37</f>
        <v>0</v>
      </c>
      <c r="E12" s="14">
        <f>[8]Resumen!$E$37</f>
        <v>0</v>
      </c>
      <c r="F12" s="15">
        <f>[8]Resumen!$F$37</f>
        <v>0</v>
      </c>
      <c r="G12" s="17">
        <f>[8]Resumen!$G$37</f>
        <v>0</v>
      </c>
      <c r="H12" s="18">
        <f>[8]Resumen!$H$37</f>
        <v>0</v>
      </c>
      <c r="I12" s="15">
        <f>[8]Resumen!$I$37</f>
        <v>0</v>
      </c>
      <c r="J12" s="16">
        <f>[8]Resumen!$J$37</f>
        <v>0</v>
      </c>
      <c r="K12" s="19">
        <f t="shared" si="0"/>
        <v>0</v>
      </c>
      <c r="L12" s="15">
        <f t="shared" si="1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>
      <c r="A13" s="20" t="s">
        <v>23</v>
      </c>
      <c r="B13" s="14">
        <f>[9]Resumen!$B$37</f>
        <v>0</v>
      </c>
      <c r="C13" s="15">
        <f>[9]Resumen!$C$37</f>
        <v>0</v>
      </c>
      <c r="D13" s="16">
        <f>[9]Resumen!$D$37</f>
        <v>0</v>
      </c>
      <c r="E13" s="14">
        <f>[9]Resumen!$E$37</f>
        <v>0</v>
      </c>
      <c r="F13" s="15">
        <f>[9]Resumen!$F$37</f>
        <v>0</v>
      </c>
      <c r="G13" s="17">
        <f>[9]Resumen!$G$37</f>
        <v>0</v>
      </c>
      <c r="H13" s="18">
        <f>[9]Resumen!$H$37</f>
        <v>0</v>
      </c>
      <c r="I13" s="15">
        <f>[9]Resumen!$I$37</f>
        <v>0</v>
      </c>
      <c r="J13" s="16">
        <f>[9]Resumen!$J$37</f>
        <v>0</v>
      </c>
      <c r="K13" s="19">
        <f t="shared" si="0"/>
        <v>0</v>
      </c>
      <c r="L13" s="15">
        <f t="shared" si="1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>
      <c r="A14" s="13" t="s">
        <v>24</v>
      </c>
      <c r="B14" s="14">
        <f>[12]Resumen!$B$37</f>
        <v>0</v>
      </c>
      <c r="C14" s="15">
        <f>[12]Resumen!$C$37</f>
        <v>0</v>
      </c>
      <c r="D14" s="16">
        <f>[12]Resumen!$D$37</f>
        <v>0</v>
      </c>
      <c r="E14" s="14">
        <f>[12]Resumen!$E$37</f>
        <v>0</v>
      </c>
      <c r="F14" s="15">
        <f>[12]Resumen!$F$37</f>
        <v>0</v>
      </c>
      <c r="G14" s="17">
        <f>[12]Resumen!$G$37</f>
        <v>0</v>
      </c>
      <c r="H14" s="18">
        <f>[12]Resumen!$H$37</f>
        <v>0</v>
      </c>
      <c r="I14" s="15">
        <f>[12]Resumen!$I$37</f>
        <v>0</v>
      </c>
      <c r="J14" s="16">
        <f>[12]Resumen!$J$37</f>
        <v>0</v>
      </c>
      <c r="K14" s="19">
        <f t="shared" si="0"/>
        <v>0</v>
      </c>
      <c r="L14" s="15">
        <f t="shared" si="1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>
      <c r="A15" s="20" t="s">
        <v>25</v>
      </c>
      <c r="B15" s="14">
        <f>[13]Resumen!$B$37</f>
        <v>0</v>
      </c>
      <c r="C15" s="15">
        <f>[13]Resumen!$C$37</f>
        <v>0</v>
      </c>
      <c r="D15" s="16">
        <f>[13]Resumen!$D$37</f>
        <v>0</v>
      </c>
      <c r="E15" s="14">
        <f>[13]Resumen!$E$37</f>
        <v>0</v>
      </c>
      <c r="F15" s="15">
        <f>[13]Resumen!$F$37</f>
        <v>0</v>
      </c>
      <c r="G15" s="17">
        <f>[13]Resumen!$G$37</f>
        <v>0</v>
      </c>
      <c r="H15" s="18">
        <f>[13]Resumen!$H$37</f>
        <v>0</v>
      </c>
      <c r="I15" s="15">
        <f>[13]Resumen!$I$37</f>
        <v>0</v>
      </c>
      <c r="J15" s="16">
        <f>[13]Resumen!$J$37</f>
        <v>0</v>
      </c>
      <c r="K15" s="19">
        <f t="shared" si="0"/>
        <v>0</v>
      </c>
      <c r="L15" s="15">
        <f t="shared" si="1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>
      <c r="A16" s="13" t="s">
        <v>26</v>
      </c>
      <c r="B16" s="14">
        <f>[14]Resumen!$B$37</f>
        <v>0</v>
      </c>
      <c r="C16" s="15">
        <f>[14]Resumen!$C$37</f>
        <v>0</v>
      </c>
      <c r="D16" s="16">
        <f>[14]Resumen!$D$37</f>
        <v>0</v>
      </c>
      <c r="E16" s="14">
        <f>[14]Resumen!$E$37</f>
        <v>0</v>
      </c>
      <c r="F16" s="15">
        <f>[14]Resumen!$F$37</f>
        <v>0</v>
      </c>
      <c r="G16" s="17">
        <f>[14]Resumen!$G$37</f>
        <v>0</v>
      </c>
      <c r="H16" s="18">
        <f>[14]Resumen!$H$37</f>
        <v>0</v>
      </c>
      <c r="I16" s="15">
        <f>[14]Resumen!$I$37</f>
        <v>0</v>
      </c>
      <c r="J16" s="16">
        <f>[14]Resumen!$J$37</f>
        <v>0</v>
      </c>
      <c r="K16" s="19">
        <f t="shared" si="0"/>
        <v>0</v>
      </c>
      <c r="L16" s="15">
        <f t="shared" si="1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>
      <c r="A17" s="20" t="s">
        <v>27</v>
      </c>
      <c r="B17" s="14">
        <f>[15]Resumen!$B$37</f>
        <v>0</v>
      </c>
      <c r="C17" s="15">
        <f>[15]Resumen!$C$37</f>
        <v>0</v>
      </c>
      <c r="D17" s="16">
        <f>[15]Resumen!$D$37</f>
        <v>0</v>
      </c>
      <c r="E17" s="14">
        <f>[15]Resumen!$E$37</f>
        <v>0</v>
      </c>
      <c r="F17" s="15">
        <f>[15]Resumen!$F$37</f>
        <v>0</v>
      </c>
      <c r="G17" s="17">
        <f>[15]Resumen!$G$37</f>
        <v>0</v>
      </c>
      <c r="H17" s="18">
        <f>[15]Resumen!$H$37</f>
        <v>0</v>
      </c>
      <c r="I17" s="15">
        <f>[15]Resumen!$I$37</f>
        <v>0</v>
      </c>
      <c r="J17" s="16">
        <f>[15]Resumen!$J$37</f>
        <v>0</v>
      </c>
      <c r="K17" s="19">
        <f t="shared" si="0"/>
        <v>0</v>
      </c>
      <c r="L17" s="15">
        <f t="shared" si="1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>
      <c r="A18" s="20" t="s">
        <v>28</v>
      </c>
      <c r="B18" s="14">
        <f>[16]Resumen!$B$37</f>
        <v>0</v>
      </c>
      <c r="C18" s="15">
        <f>[16]Resumen!$C$37</f>
        <v>0</v>
      </c>
      <c r="D18" s="16">
        <f>[16]Resumen!$D$37</f>
        <v>0</v>
      </c>
      <c r="E18" s="14">
        <f>[16]Resumen!$E$37</f>
        <v>0</v>
      </c>
      <c r="F18" s="15">
        <f>[16]Resumen!$F$37</f>
        <v>0</v>
      </c>
      <c r="G18" s="17">
        <f>[16]Resumen!$G$37</f>
        <v>0</v>
      </c>
      <c r="H18" s="18">
        <f>[16]Resumen!$H$37</f>
        <v>0</v>
      </c>
      <c r="I18" s="15">
        <f>[16]Resumen!$I$37</f>
        <v>0</v>
      </c>
      <c r="J18" s="16">
        <f>[16]Resumen!$J$37</f>
        <v>0</v>
      </c>
      <c r="K18" s="19">
        <f t="shared" si="0"/>
        <v>0</v>
      </c>
      <c r="L18" s="15">
        <f t="shared" si="1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>
      <c r="A19" s="13" t="s">
        <v>29</v>
      </c>
      <c r="B19" s="14">
        <f>[17]Resumen!$B$37</f>
        <v>0</v>
      </c>
      <c r="C19" s="15">
        <f>[17]Resumen!$C$37</f>
        <v>0</v>
      </c>
      <c r="D19" s="16">
        <f>[17]Resumen!$D$37</f>
        <v>0</v>
      </c>
      <c r="E19" s="14">
        <f>[17]Resumen!$E$37</f>
        <v>0</v>
      </c>
      <c r="F19" s="15">
        <f>[17]Resumen!$F$37</f>
        <v>0</v>
      </c>
      <c r="G19" s="17">
        <f>[17]Resumen!$G$37</f>
        <v>0</v>
      </c>
      <c r="H19" s="18">
        <f>[17]Resumen!$H$37</f>
        <v>0</v>
      </c>
      <c r="I19" s="15">
        <f>[17]Resumen!$I$37</f>
        <v>0</v>
      </c>
      <c r="J19" s="16">
        <f>[17]Resumen!$J$37</f>
        <v>0</v>
      </c>
      <c r="K19" s="19">
        <f t="shared" si="0"/>
        <v>0</v>
      </c>
      <c r="L19" s="15">
        <f t="shared" si="1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>
      <c r="A20" s="20" t="s">
        <v>30</v>
      </c>
      <c r="B20" s="14">
        <f>[18]Resumen!$B$37</f>
        <v>0</v>
      </c>
      <c r="C20" s="15">
        <f>[18]Resumen!$C$37</f>
        <v>0</v>
      </c>
      <c r="D20" s="16">
        <f>[18]Resumen!$D$37</f>
        <v>0</v>
      </c>
      <c r="E20" s="14">
        <f>[18]Resumen!$E$37</f>
        <v>0</v>
      </c>
      <c r="F20" s="15">
        <f>[18]Resumen!$F$37</f>
        <v>0</v>
      </c>
      <c r="G20" s="17">
        <f>[18]Resumen!$G$37</f>
        <v>0</v>
      </c>
      <c r="H20" s="18">
        <f>[18]Resumen!$H$37</f>
        <v>0</v>
      </c>
      <c r="I20" s="15">
        <f>[18]Resumen!$I$37</f>
        <v>0</v>
      </c>
      <c r="J20" s="16">
        <f>[18]Resumen!$J$37</f>
        <v>0</v>
      </c>
      <c r="K20" s="19">
        <f t="shared" si="0"/>
        <v>0</v>
      </c>
      <c r="L20" s="15">
        <f t="shared" si="1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>
      <c r="A21" s="13" t="s">
        <v>31</v>
      </c>
      <c r="B21" s="14">
        <f>[19]Resumen!$B$37</f>
        <v>0</v>
      </c>
      <c r="C21" s="15">
        <f>[19]Resumen!$C$37</f>
        <v>0</v>
      </c>
      <c r="D21" s="16">
        <f>[19]Resumen!$D$37</f>
        <v>0</v>
      </c>
      <c r="E21" s="14">
        <f>[19]Resumen!$E$37</f>
        <v>0</v>
      </c>
      <c r="F21" s="15">
        <f>[19]Resumen!$F$37</f>
        <v>0</v>
      </c>
      <c r="G21" s="17">
        <f>[19]Resumen!$G$37</f>
        <v>0</v>
      </c>
      <c r="H21" s="18">
        <f>[19]Resumen!$H$37</f>
        <v>0</v>
      </c>
      <c r="I21" s="15">
        <f>[19]Resumen!$I$37</f>
        <v>0</v>
      </c>
      <c r="J21" s="16">
        <f>[19]Resumen!$J$37</f>
        <v>0</v>
      </c>
      <c r="K21" s="19">
        <f t="shared" si="0"/>
        <v>0</v>
      </c>
      <c r="L21" s="15">
        <f t="shared" si="1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>
      <c r="A22" s="20" t="s">
        <v>32</v>
      </c>
      <c r="B22" s="14">
        <f>[20]Resumen!$B$37</f>
        <v>0</v>
      </c>
      <c r="C22" s="15">
        <f>[20]Resumen!$C$37</f>
        <v>0</v>
      </c>
      <c r="D22" s="16">
        <f>[20]Resumen!$D$37</f>
        <v>0</v>
      </c>
      <c r="E22" s="14">
        <f>[20]Resumen!$E$37</f>
        <v>0</v>
      </c>
      <c r="F22" s="15">
        <f>[20]Resumen!$F$37</f>
        <v>0</v>
      </c>
      <c r="G22" s="17">
        <f>[20]Resumen!$G$37</f>
        <v>0</v>
      </c>
      <c r="H22" s="18">
        <f>[20]Resumen!$H$37</f>
        <v>0</v>
      </c>
      <c r="I22" s="15">
        <f>[20]Resumen!$I$37</f>
        <v>0</v>
      </c>
      <c r="J22" s="16">
        <f>[20]Resumen!$J$37</f>
        <v>0</v>
      </c>
      <c r="K22" s="19">
        <f t="shared" si="0"/>
        <v>0</v>
      </c>
      <c r="L22" s="15">
        <f t="shared" si="1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>
      <c r="A23" s="13" t="s">
        <v>33</v>
      </c>
      <c r="B23" s="14">
        <f>[21]Resumen!$B$37</f>
        <v>0</v>
      </c>
      <c r="C23" s="15">
        <f>[21]Resumen!$C$37</f>
        <v>0</v>
      </c>
      <c r="D23" s="16">
        <f>[21]Resumen!$D$37</f>
        <v>0</v>
      </c>
      <c r="E23" s="14">
        <f>[21]Resumen!$E$37</f>
        <v>0</v>
      </c>
      <c r="F23" s="15">
        <f>[21]Resumen!$F$37</f>
        <v>0</v>
      </c>
      <c r="G23" s="17">
        <f>[21]Resumen!$G$37</f>
        <v>0</v>
      </c>
      <c r="H23" s="18">
        <f>[21]Resumen!$H$37</f>
        <v>0</v>
      </c>
      <c r="I23" s="15">
        <f>[21]Resumen!$I$37</f>
        <v>0</v>
      </c>
      <c r="J23" s="16">
        <f>[21]Resumen!$J$37</f>
        <v>0</v>
      </c>
      <c r="K23" s="19">
        <f t="shared" si="0"/>
        <v>0</v>
      </c>
      <c r="L23" s="15">
        <f t="shared" si="1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>
      <c r="A24" s="20" t="s">
        <v>34</v>
      </c>
      <c r="B24" s="14">
        <f>[22]Resumen!$B$37</f>
        <v>0</v>
      </c>
      <c r="C24" s="15">
        <f>[22]Resumen!$C$37</f>
        <v>0</v>
      </c>
      <c r="D24" s="16">
        <f>[22]Resumen!$D$37</f>
        <v>0</v>
      </c>
      <c r="E24" s="14">
        <f>[22]Resumen!$E$37</f>
        <v>0</v>
      </c>
      <c r="F24" s="15">
        <f>[22]Resumen!$F$37</f>
        <v>0</v>
      </c>
      <c r="G24" s="17">
        <f>[22]Resumen!$G$37</f>
        <v>0</v>
      </c>
      <c r="H24" s="18">
        <f>[22]Resumen!$H$37</f>
        <v>0</v>
      </c>
      <c r="I24" s="15">
        <f>[22]Resumen!$I$37</f>
        <v>0</v>
      </c>
      <c r="J24" s="16">
        <f>[22]Resumen!$J$37</f>
        <v>0</v>
      </c>
      <c r="K24" s="19">
        <f t="shared" si="0"/>
        <v>0</v>
      </c>
      <c r="L24" s="15">
        <f t="shared" si="1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>
      <c r="A25" s="13" t="s">
        <v>35</v>
      </c>
      <c r="B25" s="14">
        <f>[23]Resumen!$B$37</f>
        <v>0</v>
      </c>
      <c r="C25" s="15">
        <f>[23]Resumen!$C$37</f>
        <v>0</v>
      </c>
      <c r="D25" s="16">
        <f>[23]Resumen!$D$37</f>
        <v>0</v>
      </c>
      <c r="E25" s="14">
        <f>[23]Resumen!$E$37</f>
        <v>0</v>
      </c>
      <c r="F25" s="15">
        <f>[23]Resumen!$F$37</f>
        <v>0</v>
      </c>
      <c r="G25" s="17">
        <f>[23]Resumen!$G$37</f>
        <v>0</v>
      </c>
      <c r="H25" s="18">
        <f>[23]Resumen!$H$37</f>
        <v>0</v>
      </c>
      <c r="I25" s="15">
        <f>[23]Resumen!$I$37</f>
        <v>0</v>
      </c>
      <c r="J25" s="16">
        <f>[23]Resumen!$J$37</f>
        <v>0</v>
      </c>
      <c r="K25" s="19">
        <f t="shared" si="0"/>
        <v>0</v>
      </c>
      <c r="L25" s="15">
        <f t="shared" si="1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>
      <c r="A26" s="20" t="s">
        <v>36</v>
      </c>
      <c r="B26" s="14">
        <f>[24]Resumen!$B$37</f>
        <v>0</v>
      </c>
      <c r="C26" s="15">
        <f>[24]Resumen!$C$37</f>
        <v>0</v>
      </c>
      <c r="D26" s="16">
        <f>[24]Resumen!$D$37</f>
        <v>0</v>
      </c>
      <c r="E26" s="14">
        <f>[24]Resumen!$E$37</f>
        <v>0</v>
      </c>
      <c r="F26" s="15">
        <f>[24]Resumen!$F$37</f>
        <v>0</v>
      </c>
      <c r="G26" s="17">
        <f>[24]Resumen!$G$37</f>
        <v>0</v>
      </c>
      <c r="H26" s="18">
        <f>[24]Resumen!$H$37</f>
        <v>0</v>
      </c>
      <c r="I26" s="15">
        <f>[24]Resumen!$I$37</f>
        <v>0</v>
      </c>
      <c r="J26" s="16">
        <f>[24]Resumen!$J$37</f>
        <v>0</v>
      </c>
      <c r="K26" s="19">
        <f t="shared" si="0"/>
        <v>0</v>
      </c>
      <c r="L26" s="15">
        <f t="shared" si="1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>
      <c r="A27" s="13" t="s">
        <v>37</v>
      </c>
      <c r="B27" s="14">
        <f>[25]Resumen!$B$37</f>
        <v>0</v>
      </c>
      <c r="C27" s="15">
        <f>[25]Resumen!$C$37</f>
        <v>0</v>
      </c>
      <c r="D27" s="16">
        <f>[25]Resumen!$D$37</f>
        <v>0</v>
      </c>
      <c r="E27" s="14">
        <f>[25]Resumen!$E$37</f>
        <v>0</v>
      </c>
      <c r="F27" s="15">
        <f>[25]Resumen!$F$37</f>
        <v>0</v>
      </c>
      <c r="G27" s="17">
        <f>[25]Resumen!$G$37</f>
        <v>0</v>
      </c>
      <c r="H27" s="18">
        <f>[25]Resumen!$H$37</f>
        <v>0</v>
      </c>
      <c r="I27" s="15">
        <f>[25]Resumen!$I$37</f>
        <v>0</v>
      </c>
      <c r="J27" s="16">
        <f>[25]Resumen!$J$37</f>
        <v>0</v>
      </c>
      <c r="K27" s="19">
        <f t="shared" si="0"/>
        <v>0</v>
      </c>
      <c r="L27" s="15">
        <f t="shared" si="1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>
      <c r="A28" s="20" t="s">
        <v>38</v>
      </c>
      <c r="B28" s="14">
        <f>[26]Resumen!$B$37</f>
        <v>0</v>
      </c>
      <c r="C28" s="15">
        <f>[26]Resumen!$C$37</f>
        <v>0</v>
      </c>
      <c r="D28" s="16">
        <f>[26]Resumen!$D$37</f>
        <v>0</v>
      </c>
      <c r="E28" s="14">
        <f>[26]Resumen!$E$37</f>
        <v>0</v>
      </c>
      <c r="F28" s="15">
        <f>[26]Resumen!$F$37</f>
        <v>0</v>
      </c>
      <c r="G28" s="17">
        <f>[26]Resumen!$G$37</f>
        <v>0</v>
      </c>
      <c r="H28" s="18">
        <f>[26]Resumen!$H$37</f>
        <v>0</v>
      </c>
      <c r="I28" s="15">
        <f>[26]Resumen!$I$37</f>
        <v>0</v>
      </c>
      <c r="J28" s="16">
        <f>[26]Resumen!$J$37</f>
        <v>0</v>
      </c>
      <c r="K28" s="19">
        <f t="shared" si="0"/>
        <v>0</v>
      </c>
      <c r="L28" s="15">
        <f t="shared" si="1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>
      <c r="A29" s="13" t="s">
        <v>39</v>
      </c>
      <c r="B29" s="14">
        <f>[27]Resumen!$B$37</f>
        <v>0</v>
      </c>
      <c r="C29" s="15">
        <f>[27]Resumen!$C$37</f>
        <v>0</v>
      </c>
      <c r="D29" s="16">
        <f>[27]Resumen!$D$37</f>
        <v>0</v>
      </c>
      <c r="E29" s="14">
        <f>[27]Resumen!$E$37</f>
        <v>0</v>
      </c>
      <c r="F29" s="15">
        <f>[27]Resumen!$F$37</f>
        <v>0</v>
      </c>
      <c r="G29" s="17">
        <f>[27]Resumen!$G$37</f>
        <v>0</v>
      </c>
      <c r="H29" s="18">
        <f>[27]Resumen!$H$37</f>
        <v>0</v>
      </c>
      <c r="I29" s="15">
        <f>[27]Resumen!$I$37</f>
        <v>0</v>
      </c>
      <c r="J29" s="16">
        <f>[27]Resumen!$J$37</f>
        <v>0</v>
      </c>
      <c r="K29" s="19">
        <f t="shared" si="0"/>
        <v>0</v>
      </c>
      <c r="L29" s="15">
        <f t="shared" si="1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>
      <c r="A30" s="20" t="s">
        <v>40</v>
      </c>
      <c r="B30" s="14">
        <f>[28]Resumen!$B$37</f>
        <v>0</v>
      </c>
      <c r="C30" s="15">
        <f>[28]Resumen!$C$37</f>
        <v>0</v>
      </c>
      <c r="D30" s="16">
        <f>[28]Resumen!$D$37</f>
        <v>0</v>
      </c>
      <c r="E30" s="14">
        <f>[28]Resumen!$E$37</f>
        <v>0</v>
      </c>
      <c r="F30" s="15">
        <f>[28]Resumen!$F$37</f>
        <v>0</v>
      </c>
      <c r="G30" s="17">
        <f>[28]Resumen!$G$37</f>
        <v>0</v>
      </c>
      <c r="H30" s="18">
        <f>[28]Resumen!$H$37</f>
        <v>0</v>
      </c>
      <c r="I30" s="15">
        <f>[28]Resumen!$I$37</f>
        <v>0</v>
      </c>
      <c r="J30" s="16">
        <f>[28]Resumen!$J$37</f>
        <v>0</v>
      </c>
      <c r="K30" s="19">
        <f t="shared" si="0"/>
        <v>0</v>
      </c>
      <c r="L30" s="15">
        <f t="shared" si="1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>
      <c r="A31" s="20" t="s">
        <v>41</v>
      </c>
      <c r="B31" s="14">
        <f>[29]Resumen!$B$37</f>
        <v>0</v>
      </c>
      <c r="C31" s="15">
        <f>[29]Resumen!$C$37</f>
        <v>0</v>
      </c>
      <c r="D31" s="16">
        <f>[29]Resumen!$D$37</f>
        <v>0</v>
      </c>
      <c r="E31" s="14">
        <f>[29]Resumen!$E$37</f>
        <v>0</v>
      </c>
      <c r="F31" s="15">
        <f>[29]Resumen!$F$37</f>
        <v>0</v>
      </c>
      <c r="G31" s="17">
        <f>[29]Resumen!$G$37</f>
        <v>0</v>
      </c>
      <c r="H31" s="18">
        <f>[29]Resumen!$H$37</f>
        <v>0</v>
      </c>
      <c r="I31" s="15">
        <f>[29]Resumen!$I$37</f>
        <v>0</v>
      </c>
      <c r="J31" s="16">
        <f>[29]Resumen!$J$37</f>
        <v>0</v>
      </c>
      <c r="K31" s="19">
        <f t="shared" si="0"/>
        <v>0</v>
      </c>
      <c r="L31" s="15">
        <f t="shared" si="1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>
      <c r="A32" s="13" t="s">
        <v>42</v>
      </c>
      <c r="B32" s="14">
        <f>[30]Resumen!$B$37</f>
        <v>0</v>
      </c>
      <c r="C32" s="15">
        <f>[30]Resumen!$C$37</f>
        <v>0</v>
      </c>
      <c r="D32" s="16">
        <f>[30]Resumen!$D$37</f>
        <v>0</v>
      </c>
      <c r="E32" s="14">
        <f>[30]Resumen!$E$37</f>
        <v>0</v>
      </c>
      <c r="F32" s="15">
        <f>[30]Resumen!$F$37</f>
        <v>0</v>
      </c>
      <c r="G32" s="17">
        <f>[30]Resumen!$G$37</f>
        <v>0</v>
      </c>
      <c r="H32" s="18">
        <f>[30]Resumen!$H$37</f>
        <v>0</v>
      </c>
      <c r="I32" s="15">
        <f>[30]Resumen!$I$37</f>
        <v>0</v>
      </c>
      <c r="J32" s="16">
        <f>[30]Resumen!$J$37</f>
        <v>0</v>
      </c>
      <c r="K32" s="19">
        <f t="shared" si="0"/>
        <v>0</v>
      </c>
      <c r="L32" s="15">
        <f t="shared" si="1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>
      <c r="A33" s="20" t="s">
        <v>43</v>
      </c>
      <c r="B33" s="14">
        <f>[31]Resumen!$B$37</f>
        <v>0</v>
      </c>
      <c r="C33" s="15">
        <f>[31]Resumen!$C$37</f>
        <v>0</v>
      </c>
      <c r="D33" s="16">
        <f>[31]Resumen!$D$37</f>
        <v>0</v>
      </c>
      <c r="E33" s="14">
        <f>[31]Resumen!$E$37</f>
        <v>0</v>
      </c>
      <c r="F33" s="15">
        <f>[31]Resumen!$F$37</f>
        <v>0</v>
      </c>
      <c r="G33" s="17">
        <f>[31]Resumen!$G$37</f>
        <v>0</v>
      </c>
      <c r="H33" s="18">
        <f>[31]Resumen!$H$37</f>
        <v>0</v>
      </c>
      <c r="I33" s="15">
        <f>[31]Resumen!$I$37</f>
        <v>0</v>
      </c>
      <c r="J33" s="16">
        <f>[31]Resumen!$J$37</f>
        <v>0</v>
      </c>
      <c r="K33" s="19">
        <f t="shared" si="0"/>
        <v>0</v>
      </c>
      <c r="L33" s="15">
        <f t="shared" si="1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>
      <c r="A34" s="13" t="s">
        <v>44</v>
      </c>
      <c r="B34" s="14">
        <f>[10]Resumen!$B$37</f>
        <v>0</v>
      </c>
      <c r="C34" s="15">
        <f>[10]Resumen!$C$37</f>
        <v>0</v>
      </c>
      <c r="D34" s="16">
        <f>[10]Resumen!$D$37</f>
        <v>0</v>
      </c>
      <c r="E34" s="14">
        <f>[10]Resumen!$E$37</f>
        <v>0</v>
      </c>
      <c r="F34" s="15">
        <f>[10]Resumen!$F$37</f>
        <v>0</v>
      </c>
      <c r="G34" s="17">
        <f>[10]Resumen!$G$37</f>
        <v>0</v>
      </c>
      <c r="H34" s="18">
        <f>[10]Resumen!$H$37</f>
        <v>0</v>
      </c>
      <c r="I34" s="15">
        <f>[10]Resumen!$I$37</f>
        <v>0</v>
      </c>
      <c r="J34" s="16">
        <f>[10]Resumen!$J$37</f>
        <v>0</v>
      </c>
      <c r="K34" s="19">
        <f t="shared" si="0"/>
        <v>0</v>
      </c>
      <c r="L34" s="15">
        <f t="shared" si="1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>
      <c r="A35" s="20" t="s">
        <v>45</v>
      </c>
      <c r="B35" s="21">
        <f>+[11]Resumen!$B$37</f>
        <v>0</v>
      </c>
      <c r="C35" s="22">
        <f>+[11]Resumen!$C$37</f>
        <v>0</v>
      </c>
      <c r="D35" s="23">
        <f>+[11]Resumen!$D$37</f>
        <v>0</v>
      </c>
      <c r="E35" s="21">
        <f>+[11]Resumen!$E$37</f>
        <v>0</v>
      </c>
      <c r="F35" s="22">
        <f>+[11]Resumen!$F$37</f>
        <v>0</v>
      </c>
      <c r="G35" s="24">
        <f>+[11]Resumen!$G$37</f>
        <v>0</v>
      </c>
      <c r="H35" s="25">
        <f>+[11]Resumen!$H$37</f>
        <v>0</v>
      </c>
      <c r="I35" s="22">
        <f>+[11]Resumen!$I$37</f>
        <v>0</v>
      </c>
      <c r="J35" s="23">
        <f>+[11]Resumen!$J$37</f>
        <v>0</v>
      </c>
      <c r="K35" s="26">
        <f t="shared" si="0"/>
        <v>0</v>
      </c>
      <c r="L35" s="22">
        <f t="shared" si="1"/>
        <v>0</v>
      </c>
      <c r="M35" s="22">
        <f t="shared" si="2"/>
        <v>0</v>
      </c>
      <c r="N35" s="22">
        <v>0</v>
      </c>
      <c r="O35" s="24">
        <f t="shared" si="3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60">
        <f t="shared" si="4"/>
        <v>0</v>
      </c>
      <c r="L36" s="32">
        <f t="shared" si="4"/>
        <v>0</v>
      </c>
      <c r="M36" s="32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>
      <selection activeCell="B3" sqref="B3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3" style="1" customWidth="1"/>
    <col min="16" max="16" width="4.85546875" style="1" customWidth="1"/>
    <col min="17" max="17" width="10" style="1" customWidth="1"/>
    <col min="18" max="18" width="8.8554687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65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[1]Resumen!$B$38</f>
        <v>0</v>
      </c>
      <c r="C5" s="58">
        <f>[1]Resumen!$C$38</f>
        <v>0</v>
      </c>
      <c r="D5" s="54">
        <f>[1]Resumen!$D$38</f>
        <v>0</v>
      </c>
      <c r="E5" s="53">
        <f>[1]Resumen!$E$38</f>
        <v>0</v>
      </c>
      <c r="F5" s="58">
        <f>[1]Resumen!$F$38</f>
        <v>0</v>
      </c>
      <c r="G5" s="55">
        <f>[1]Resumen!$G$38</f>
        <v>0</v>
      </c>
      <c r="H5" s="61">
        <f>[1]Resumen!$H$38</f>
        <v>0</v>
      </c>
      <c r="I5" s="58">
        <f>[1]Resumen!$I$38</f>
        <v>0</v>
      </c>
      <c r="J5" s="54">
        <f>[1]Resumen!$J$38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[2]Resumen!$B$38</f>
        <v>0</v>
      </c>
      <c r="C6" s="15">
        <f>[2]Resumen!$C$38</f>
        <v>0</v>
      </c>
      <c r="D6" s="16">
        <f>[2]Resumen!$D$38</f>
        <v>0</v>
      </c>
      <c r="E6" s="14">
        <f>[2]Resumen!$E$38</f>
        <v>0</v>
      </c>
      <c r="F6" s="15">
        <f>[2]Resumen!$F$38</f>
        <v>0</v>
      </c>
      <c r="G6" s="17">
        <f>[2]Resumen!$G$38</f>
        <v>0</v>
      </c>
      <c r="H6" s="18">
        <f>[2]Resumen!$H$38</f>
        <v>0</v>
      </c>
      <c r="I6" s="15">
        <f>[2]Resumen!$I$38</f>
        <v>0</v>
      </c>
      <c r="J6" s="16">
        <f>[2]Resumen!$J$38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[3]Resumen!$B$38</f>
        <v>0</v>
      </c>
      <c r="C7" s="15">
        <f>[3]Resumen!$C$38</f>
        <v>0</v>
      </c>
      <c r="D7" s="16">
        <f>[3]Resumen!$D$38</f>
        <v>0</v>
      </c>
      <c r="E7" s="14">
        <f>[3]Resumen!$E$38</f>
        <v>0</v>
      </c>
      <c r="F7" s="15">
        <f>[3]Resumen!$F$38</f>
        <v>0</v>
      </c>
      <c r="G7" s="17">
        <f>[3]Resumen!$G$38</f>
        <v>0</v>
      </c>
      <c r="H7" s="18">
        <f>[3]Resumen!$H$38</f>
        <v>0</v>
      </c>
      <c r="I7" s="15">
        <f>[3]Resumen!$I$38</f>
        <v>0</v>
      </c>
      <c r="J7" s="16">
        <f>[3]Resumen!$J$38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[4]Resumen!$B$38</f>
        <v>0</v>
      </c>
      <c r="C8" s="15">
        <f>[4]Resumen!$C$38</f>
        <v>0</v>
      </c>
      <c r="D8" s="16">
        <f>[4]Resumen!$D$38</f>
        <v>0</v>
      </c>
      <c r="E8" s="14">
        <f>[4]Resumen!$E$38</f>
        <v>0</v>
      </c>
      <c r="F8" s="15">
        <f>[4]Resumen!$F$38</f>
        <v>0</v>
      </c>
      <c r="G8" s="17">
        <f>[4]Resumen!$G$38</f>
        <v>0</v>
      </c>
      <c r="H8" s="18">
        <f>[4]Resumen!$H$38</f>
        <v>0</v>
      </c>
      <c r="I8" s="15">
        <f>[4]Resumen!$I$38</f>
        <v>0</v>
      </c>
      <c r="J8" s="16">
        <f>[4]Resumen!$J$38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[5]Resumen!$B$38</f>
        <v>0</v>
      </c>
      <c r="C9" s="15">
        <f>[5]Resumen!$C$38</f>
        <v>0</v>
      </c>
      <c r="D9" s="16">
        <f>[5]Resumen!$D$38</f>
        <v>0</v>
      </c>
      <c r="E9" s="14">
        <f>[5]Resumen!$E$38</f>
        <v>0</v>
      </c>
      <c r="F9" s="15">
        <f>[5]Resumen!$F$38</f>
        <v>0</v>
      </c>
      <c r="G9" s="17">
        <f>[5]Resumen!$G$38</f>
        <v>0</v>
      </c>
      <c r="H9" s="18">
        <f>[5]Resumen!$H$38</f>
        <v>0</v>
      </c>
      <c r="I9" s="15">
        <f>[5]Resumen!$I$38</f>
        <v>0</v>
      </c>
      <c r="J9" s="16">
        <f>[5]Resumen!$J$38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[6]Resumen!$B$38</f>
        <v>0</v>
      </c>
      <c r="C10" s="15">
        <f>[6]Resumen!$C$38</f>
        <v>0</v>
      </c>
      <c r="D10" s="16">
        <f>[6]Resumen!$D$38</f>
        <v>0</v>
      </c>
      <c r="E10" s="14">
        <f>[6]Resumen!$E$38</f>
        <v>0</v>
      </c>
      <c r="F10" s="15">
        <f>[6]Resumen!$F$38</f>
        <v>0</v>
      </c>
      <c r="G10" s="17">
        <f>[6]Resumen!$G$38</f>
        <v>0</v>
      </c>
      <c r="H10" s="18">
        <f>[6]Resumen!$H$38</f>
        <v>0</v>
      </c>
      <c r="I10" s="15">
        <f>[6]Resumen!$I$38</f>
        <v>0</v>
      </c>
      <c r="J10" s="16">
        <f>[6]Resumen!$J$38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[7]Resumen!$B$38</f>
        <v>0</v>
      </c>
      <c r="C11" s="15">
        <f>[7]Resumen!$C$38</f>
        <v>0</v>
      </c>
      <c r="D11" s="16">
        <f>[7]Resumen!$D$38</f>
        <v>0</v>
      </c>
      <c r="E11" s="14">
        <f>[7]Resumen!$E$38</f>
        <v>0</v>
      </c>
      <c r="F11" s="15">
        <f>[7]Resumen!$F$38</f>
        <v>0</v>
      </c>
      <c r="G11" s="17">
        <f>[7]Resumen!$G$38</f>
        <v>0</v>
      </c>
      <c r="H11" s="18">
        <f>[7]Resumen!$H$38</f>
        <v>0</v>
      </c>
      <c r="I11" s="15">
        <f>[7]Resumen!$I$38</f>
        <v>0</v>
      </c>
      <c r="J11" s="16">
        <f>[7]Resumen!$J$38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[8]Resumen!$B$38</f>
        <v>0</v>
      </c>
      <c r="C12" s="15">
        <f>[8]Resumen!$C$38</f>
        <v>0</v>
      </c>
      <c r="D12" s="16">
        <f>[8]Resumen!$D$38</f>
        <v>0</v>
      </c>
      <c r="E12" s="14">
        <f>[8]Resumen!$E$38</f>
        <v>0</v>
      </c>
      <c r="F12" s="15">
        <f>[8]Resumen!$F$38</f>
        <v>0</v>
      </c>
      <c r="G12" s="17">
        <f>[8]Resumen!$G$38</f>
        <v>0</v>
      </c>
      <c r="H12" s="18">
        <f>[8]Resumen!$H$38</f>
        <v>0</v>
      </c>
      <c r="I12" s="15">
        <f>[8]Resumen!$I$38</f>
        <v>0</v>
      </c>
      <c r="J12" s="16">
        <f>[8]Resumen!$J$38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[9]Resumen!$B$38</f>
        <v>0</v>
      </c>
      <c r="C13" s="15">
        <f>[9]Resumen!$C$38</f>
        <v>0</v>
      </c>
      <c r="D13" s="16">
        <f>[9]Resumen!$D$38</f>
        <v>0</v>
      </c>
      <c r="E13" s="14">
        <f>[9]Resumen!$E$38</f>
        <v>0</v>
      </c>
      <c r="F13" s="15">
        <f>[9]Resumen!$F$38</f>
        <v>0</v>
      </c>
      <c r="G13" s="17">
        <f>[9]Resumen!$G$38</f>
        <v>0</v>
      </c>
      <c r="H13" s="18">
        <f>[9]Resumen!$H$38</f>
        <v>0</v>
      </c>
      <c r="I13" s="15">
        <f>[9]Resumen!$I$38</f>
        <v>0</v>
      </c>
      <c r="J13" s="16">
        <f>[9]Resumen!$J$38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[12]Resumen!$B$38</f>
        <v>0</v>
      </c>
      <c r="C14" s="15">
        <f>[12]Resumen!$C$38</f>
        <v>0</v>
      </c>
      <c r="D14" s="16">
        <f>[12]Resumen!$D$38</f>
        <v>0</v>
      </c>
      <c r="E14" s="14">
        <f>[12]Resumen!$E$38</f>
        <v>0</v>
      </c>
      <c r="F14" s="15">
        <f>[12]Resumen!$F$38</f>
        <v>0</v>
      </c>
      <c r="G14" s="17">
        <f>[12]Resumen!$G$38</f>
        <v>0</v>
      </c>
      <c r="H14" s="18">
        <f>[12]Resumen!$H$38</f>
        <v>0</v>
      </c>
      <c r="I14" s="15">
        <f>[12]Resumen!$I$38</f>
        <v>0</v>
      </c>
      <c r="J14" s="16">
        <f>[12]Resumen!$J$38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[13]Resumen!$B$38</f>
        <v>0</v>
      </c>
      <c r="C15" s="15">
        <f>[13]Resumen!$C$38</f>
        <v>0</v>
      </c>
      <c r="D15" s="16">
        <f>[13]Resumen!$D$38</f>
        <v>0</v>
      </c>
      <c r="E15" s="14">
        <f>[13]Resumen!$E$38</f>
        <v>0</v>
      </c>
      <c r="F15" s="15">
        <f>[13]Resumen!$F$38</f>
        <v>0</v>
      </c>
      <c r="G15" s="17">
        <f>[13]Resumen!$G$38</f>
        <v>0</v>
      </c>
      <c r="H15" s="18">
        <f>[13]Resumen!$H$38</f>
        <v>0</v>
      </c>
      <c r="I15" s="15">
        <f>[13]Resumen!$I$38</f>
        <v>0</v>
      </c>
      <c r="J15" s="16">
        <f>[13]Resumen!$J$38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[14]Resumen!$B$38</f>
        <v>0</v>
      </c>
      <c r="C16" s="15">
        <f>[14]Resumen!$C$38</f>
        <v>0</v>
      </c>
      <c r="D16" s="16">
        <f>[14]Resumen!$D$38</f>
        <v>0</v>
      </c>
      <c r="E16" s="14">
        <f>[14]Resumen!$E$38</f>
        <v>0</v>
      </c>
      <c r="F16" s="15">
        <f>[14]Resumen!$F$38</f>
        <v>0</v>
      </c>
      <c r="G16" s="17">
        <f>[14]Resumen!$G$38</f>
        <v>0</v>
      </c>
      <c r="H16" s="18">
        <f>[14]Resumen!$H$38</f>
        <v>0</v>
      </c>
      <c r="I16" s="15">
        <f>[14]Resumen!$I$38</f>
        <v>0</v>
      </c>
      <c r="J16" s="16">
        <f>[14]Resumen!$J$38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[15]Resumen!$B$38</f>
        <v>0</v>
      </c>
      <c r="C17" s="15">
        <f>[15]Resumen!$C$38</f>
        <v>0</v>
      </c>
      <c r="D17" s="16">
        <f>[15]Resumen!$D$38</f>
        <v>0</v>
      </c>
      <c r="E17" s="14">
        <f>[15]Resumen!$E$38</f>
        <v>0</v>
      </c>
      <c r="F17" s="15">
        <f>[15]Resumen!$F$38</f>
        <v>0</v>
      </c>
      <c r="G17" s="17">
        <f>[15]Resumen!$G$38</f>
        <v>0</v>
      </c>
      <c r="H17" s="18">
        <f>[15]Resumen!$H$38</f>
        <v>0</v>
      </c>
      <c r="I17" s="15">
        <f>[15]Resumen!$I$38</f>
        <v>0</v>
      </c>
      <c r="J17" s="16">
        <f>[15]Resumen!$J$38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[16]Resumen!$B$38</f>
        <v>0</v>
      </c>
      <c r="C18" s="15">
        <f>[16]Resumen!$C$38</f>
        <v>0</v>
      </c>
      <c r="D18" s="16">
        <f>[16]Resumen!$D$38</f>
        <v>0</v>
      </c>
      <c r="E18" s="14">
        <f>[16]Resumen!$E$38</f>
        <v>0</v>
      </c>
      <c r="F18" s="15">
        <f>[16]Resumen!$F$38</f>
        <v>0</v>
      </c>
      <c r="G18" s="17">
        <f>[16]Resumen!$G$38</f>
        <v>0</v>
      </c>
      <c r="H18" s="18">
        <f>[16]Resumen!$H$38</f>
        <v>0</v>
      </c>
      <c r="I18" s="15">
        <f>[16]Resumen!$I$38</f>
        <v>0</v>
      </c>
      <c r="J18" s="16">
        <f>[16]Resumen!$J$38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[17]Resumen!$B$38</f>
        <v>0</v>
      </c>
      <c r="C19" s="15">
        <f>[17]Resumen!$C$38</f>
        <v>0</v>
      </c>
      <c r="D19" s="16">
        <f>[17]Resumen!$D$38</f>
        <v>0</v>
      </c>
      <c r="E19" s="14">
        <f>[17]Resumen!$E$38</f>
        <v>0</v>
      </c>
      <c r="F19" s="15">
        <f>[17]Resumen!$F$38</f>
        <v>0</v>
      </c>
      <c r="G19" s="17">
        <f>[17]Resumen!$G$38</f>
        <v>0</v>
      </c>
      <c r="H19" s="18">
        <f>[17]Resumen!$H$38</f>
        <v>0</v>
      </c>
      <c r="I19" s="15">
        <f>[17]Resumen!$I$38</f>
        <v>0</v>
      </c>
      <c r="J19" s="16">
        <f>[17]Resumen!$J$38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[18]Resumen!$B$38</f>
        <v>0</v>
      </c>
      <c r="C20" s="15">
        <f>[18]Resumen!$C$38</f>
        <v>0</v>
      </c>
      <c r="D20" s="16">
        <f>[18]Resumen!$D$38</f>
        <v>0</v>
      </c>
      <c r="E20" s="14">
        <f>[18]Resumen!$E$38</f>
        <v>0</v>
      </c>
      <c r="F20" s="15">
        <f>[18]Resumen!$F$38</f>
        <v>0</v>
      </c>
      <c r="G20" s="17">
        <f>[18]Resumen!$G$38</f>
        <v>0</v>
      </c>
      <c r="H20" s="18">
        <f>[18]Resumen!$H$38</f>
        <v>0</v>
      </c>
      <c r="I20" s="15">
        <f>[18]Resumen!$I$38</f>
        <v>0</v>
      </c>
      <c r="J20" s="16">
        <f>[18]Resumen!$J$38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[19]Resumen!$B$38</f>
        <v>0</v>
      </c>
      <c r="C21" s="15">
        <f>[19]Resumen!$C$38</f>
        <v>0</v>
      </c>
      <c r="D21" s="16">
        <f>[19]Resumen!$D$38</f>
        <v>0</v>
      </c>
      <c r="E21" s="14">
        <f>[19]Resumen!$E$38</f>
        <v>0</v>
      </c>
      <c r="F21" s="15">
        <f>[19]Resumen!$F$38</f>
        <v>0</v>
      </c>
      <c r="G21" s="17">
        <f>[19]Resumen!$G$38</f>
        <v>0</v>
      </c>
      <c r="H21" s="18">
        <f>[19]Resumen!$H$38</f>
        <v>0</v>
      </c>
      <c r="I21" s="15">
        <f>[19]Resumen!$I$38</f>
        <v>0</v>
      </c>
      <c r="J21" s="16">
        <f>[19]Resumen!$J$38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[20]Resumen!$B$38</f>
        <v>0</v>
      </c>
      <c r="C22" s="15">
        <f>[20]Resumen!$C$38</f>
        <v>0</v>
      </c>
      <c r="D22" s="16">
        <f>[20]Resumen!$D$38</f>
        <v>0</v>
      </c>
      <c r="E22" s="14">
        <f>[20]Resumen!$E$38</f>
        <v>0</v>
      </c>
      <c r="F22" s="15">
        <f>[20]Resumen!$F$38</f>
        <v>0</v>
      </c>
      <c r="G22" s="17">
        <f>[20]Resumen!$G$38</f>
        <v>0</v>
      </c>
      <c r="H22" s="18">
        <f>[20]Resumen!$H$38</f>
        <v>0</v>
      </c>
      <c r="I22" s="15">
        <f>[20]Resumen!$I$38</f>
        <v>0</v>
      </c>
      <c r="J22" s="16">
        <f>[20]Resumen!$J$38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[21]Resumen!$B$38</f>
        <v>0</v>
      </c>
      <c r="C23" s="15">
        <f>[21]Resumen!$C$38</f>
        <v>0</v>
      </c>
      <c r="D23" s="16">
        <f>[21]Resumen!$D$38</f>
        <v>0</v>
      </c>
      <c r="E23" s="14">
        <f>[21]Resumen!$E$38</f>
        <v>0</v>
      </c>
      <c r="F23" s="15">
        <f>[21]Resumen!$F$38</f>
        <v>0</v>
      </c>
      <c r="G23" s="17">
        <f>[21]Resumen!$G$38</f>
        <v>0</v>
      </c>
      <c r="H23" s="18">
        <f>[21]Resumen!$H$38</f>
        <v>0</v>
      </c>
      <c r="I23" s="15">
        <f>[21]Resumen!$I$38</f>
        <v>0</v>
      </c>
      <c r="J23" s="16">
        <f>[21]Resumen!$J$38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[22]Resumen!$B$38</f>
        <v>0</v>
      </c>
      <c r="C24" s="15">
        <f>[22]Resumen!$C$38</f>
        <v>0</v>
      </c>
      <c r="D24" s="16">
        <f>[22]Resumen!$D$38</f>
        <v>0</v>
      </c>
      <c r="E24" s="14">
        <f>[22]Resumen!$E$38</f>
        <v>0</v>
      </c>
      <c r="F24" s="15">
        <f>[22]Resumen!$F$38</f>
        <v>0</v>
      </c>
      <c r="G24" s="17">
        <f>[22]Resumen!$G$38</f>
        <v>0</v>
      </c>
      <c r="H24" s="18">
        <f>[22]Resumen!$H$38</f>
        <v>0</v>
      </c>
      <c r="I24" s="15">
        <f>[22]Resumen!$I$38</f>
        <v>0</v>
      </c>
      <c r="J24" s="16">
        <f>[22]Resumen!$J$38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[23]Resumen!$B$38</f>
        <v>0</v>
      </c>
      <c r="C25" s="15">
        <f>[23]Resumen!$C$38</f>
        <v>0</v>
      </c>
      <c r="D25" s="16">
        <f>[23]Resumen!$D$38</f>
        <v>0</v>
      </c>
      <c r="E25" s="14">
        <f>[23]Resumen!$E$38</f>
        <v>0</v>
      </c>
      <c r="F25" s="15">
        <f>[23]Resumen!$F$38</f>
        <v>0</v>
      </c>
      <c r="G25" s="17">
        <f>[23]Resumen!$G$38</f>
        <v>0</v>
      </c>
      <c r="H25" s="18">
        <f>[23]Resumen!$H$38</f>
        <v>0</v>
      </c>
      <c r="I25" s="15">
        <f>[23]Resumen!$I$38</f>
        <v>0</v>
      </c>
      <c r="J25" s="16">
        <f>[23]Resumen!$J$38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[24]Resumen!$B$38</f>
        <v>0</v>
      </c>
      <c r="C26" s="15">
        <f>[24]Resumen!$C$38</f>
        <v>0</v>
      </c>
      <c r="D26" s="16">
        <f>[24]Resumen!$D$38</f>
        <v>0</v>
      </c>
      <c r="E26" s="14">
        <f>[24]Resumen!$E$38</f>
        <v>0</v>
      </c>
      <c r="F26" s="15">
        <f>[24]Resumen!$F$38</f>
        <v>0</v>
      </c>
      <c r="G26" s="17">
        <f>[24]Resumen!$G$38</f>
        <v>0</v>
      </c>
      <c r="H26" s="18">
        <f>[24]Resumen!$H$38</f>
        <v>0</v>
      </c>
      <c r="I26" s="15">
        <f>[24]Resumen!$I$38</f>
        <v>0</v>
      </c>
      <c r="J26" s="16">
        <f>[24]Resumen!$J$38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[25]Resumen!$B$38</f>
        <v>0</v>
      </c>
      <c r="C27" s="15">
        <f>[25]Resumen!$C$38</f>
        <v>0</v>
      </c>
      <c r="D27" s="16">
        <f>[25]Resumen!$D$38</f>
        <v>0</v>
      </c>
      <c r="E27" s="14">
        <f>[25]Resumen!$E$38</f>
        <v>0</v>
      </c>
      <c r="F27" s="15">
        <f>[25]Resumen!$F$38</f>
        <v>0</v>
      </c>
      <c r="G27" s="17">
        <f>[25]Resumen!$G$38</f>
        <v>0</v>
      </c>
      <c r="H27" s="18">
        <f>[25]Resumen!$H$38</f>
        <v>0</v>
      </c>
      <c r="I27" s="15">
        <f>[25]Resumen!$I$38</f>
        <v>0</v>
      </c>
      <c r="J27" s="16">
        <f>[25]Resumen!$J$38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[26]Resumen!$B$38</f>
        <v>0</v>
      </c>
      <c r="C28" s="15">
        <f>[26]Resumen!$C$38</f>
        <v>0</v>
      </c>
      <c r="D28" s="16">
        <f>[26]Resumen!$D$38</f>
        <v>0</v>
      </c>
      <c r="E28" s="14">
        <f>[26]Resumen!$E$38</f>
        <v>0</v>
      </c>
      <c r="F28" s="15">
        <f>[26]Resumen!$F$38</f>
        <v>0</v>
      </c>
      <c r="G28" s="17">
        <f>[26]Resumen!$G$38</f>
        <v>0</v>
      </c>
      <c r="H28" s="18">
        <f>[26]Resumen!$H$38</f>
        <v>0</v>
      </c>
      <c r="I28" s="15">
        <f>[26]Resumen!$I$38</f>
        <v>0</v>
      </c>
      <c r="J28" s="16">
        <f>[26]Resumen!$J$38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[27]Resumen!$B$38</f>
        <v>0</v>
      </c>
      <c r="C29" s="15">
        <f>[27]Resumen!$C$38</f>
        <v>0</v>
      </c>
      <c r="D29" s="16">
        <f>[27]Resumen!$D$38</f>
        <v>0</v>
      </c>
      <c r="E29" s="14">
        <f>[27]Resumen!$E$38</f>
        <v>0</v>
      </c>
      <c r="F29" s="15">
        <f>[27]Resumen!$F$38</f>
        <v>0</v>
      </c>
      <c r="G29" s="17">
        <f>[27]Resumen!$G$38</f>
        <v>0</v>
      </c>
      <c r="H29" s="18">
        <f>[27]Resumen!$H$38</f>
        <v>0</v>
      </c>
      <c r="I29" s="15">
        <f>[27]Resumen!$I$38</f>
        <v>0</v>
      </c>
      <c r="J29" s="16">
        <f>[27]Resumen!$J$38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[28]Resumen!$B$38</f>
        <v>0</v>
      </c>
      <c r="C30" s="15">
        <f>[28]Resumen!$C$38</f>
        <v>0</v>
      </c>
      <c r="D30" s="16">
        <f>[28]Resumen!$D$38</f>
        <v>0</v>
      </c>
      <c r="E30" s="14">
        <f>[28]Resumen!$E$38</f>
        <v>0</v>
      </c>
      <c r="F30" s="15">
        <f>[28]Resumen!$F$38</f>
        <v>0</v>
      </c>
      <c r="G30" s="17">
        <f>[28]Resumen!$G$38</f>
        <v>0</v>
      </c>
      <c r="H30" s="18">
        <f>[28]Resumen!$H$38</f>
        <v>0</v>
      </c>
      <c r="I30" s="15">
        <f>[28]Resumen!$I$38</f>
        <v>0</v>
      </c>
      <c r="J30" s="16">
        <f>[28]Resumen!$J$38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[29]Resumen!$B$38</f>
        <v>0</v>
      </c>
      <c r="C31" s="15">
        <f>[29]Resumen!$C$38</f>
        <v>0</v>
      </c>
      <c r="D31" s="16">
        <f>[29]Resumen!$D$38</f>
        <v>0</v>
      </c>
      <c r="E31" s="14">
        <f>[29]Resumen!$E$38</f>
        <v>0</v>
      </c>
      <c r="F31" s="15">
        <f>[29]Resumen!$F$38</f>
        <v>0</v>
      </c>
      <c r="G31" s="17">
        <f>[29]Resumen!$G$38</f>
        <v>0</v>
      </c>
      <c r="H31" s="18">
        <f>[29]Resumen!$H$38</f>
        <v>0</v>
      </c>
      <c r="I31" s="15">
        <f>[29]Resumen!$I$38</f>
        <v>0</v>
      </c>
      <c r="J31" s="16">
        <f>[29]Resumen!$J$38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[30]Resumen!$B$38</f>
        <v>0</v>
      </c>
      <c r="C32" s="15">
        <f>[30]Resumen!$C$38</f>
        <v>0</v>
      </c>
      <c r="D32" s="16">
        <f>[30]Resumen!$D$38</f>
        <v>0</v>
      </c>
      <c r="E32" s="14">
        <f>[30]Resumen!$E$38</f>
        <v>0</v>
      </c>
      <c r="F32" s="15">
        <f>[30]Resumen!$F$38</f>
        <v>0</v>
      </c>
      <c r="G32" s="17">
        <f>[30]Resumen!$G$38</f>
        <v>0</v>
      </c>
      <c r="H32" s="18">
        <f>[30]Resumen!$H$38</f>
        <v>0</v>
      </c>
      <c r="I32" s="15">
        <f>[30]Resumen!$I$38</f>
        <v>0</v>
      </c>
      <c r="J32" s="16">
        <f>[30]Resumen!$J$38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[31]Resumen!$B$38</f>
        <v>0</v>
      </c>
      <c r="C33" s="15">
        <f>[31]Resumen!$C$38</f>
        <v>0</v>
      </c>
      <c r="D33" s="16">
        <f>[31]Resumen!$D$38</f>
        <v>0</v>
      </c>
      <c r="E33" s="14">
        <f>[31]Resumen!$E$38</f>
        <v>0</v>
      </c>
      <c r="F33" s="15">
        <f>[31]Resumen!$F$38</f>
        <v>0</v>
      </c>
      <c r="G33" s="17">
        <f>[31]Resumen!$G$38</f>
        <v>0</v>
      </c>
      <c r="H33" s="18">
        <f>[31]Resumen!$H$38</f>
        <v>0</v>
      </c>
      <c r="I33" s="15">
        <f>[31]Resumen!$I$38</f>
        <v>0</v>
      </c>
      <c r="J33" s="16">
        <f>[31]Resumen!$J$38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[10]Resumen!$B$38</f>
        <v>0</v>
      </c>
      <c r="C34" s="15">
        <f>[10]Resumen!$C$38</f>
        <v>0</v>
      </c>
      <c r="D34" s="16">
        <f>[10]Resumen!$D$38</f>
        <v>0</v>
      </c>
      <c r="E34" s="14">
        <f>[10]Resumen!$E$38</f>
        <v>0</v>
      </c>
      <c r="F34" s="15">
        <f>[10]Resumen!$F$38</f>
        <v>0</v>
      </c>
      <c r="G34" s="17">
        <f>[10]Resumen!$G$38</f>
        <v>0</v>
      </c>
      <c r="H34" s="18">
        <f>[10]Resumen!$H$38</f>
        <v>0</v>
      </c>
      <c r="I34" s="15">
        <f>[10]Resumen!$I$38</f>
        <v>0</v>
      </c>
      <c r="J34" s="16">
        <f>[10]Resumen!$J$38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+[11]Resumen!$B$38</f>
        <v>0</v>
      </c>
      <c r="C35" s="22">
        <f>+[11]Resumen!$C$38</f>
        <v>0</v>
      </c>
      <c r="D35" s="23">
        <f>+[11]Resumen!$D$38</f>
        <v>0</v>
      </c>
      <c r="E35" s="21">
        <f>+[11]Resumen!$E$38</f>
        <v>0</v>
      </c>
      <c r="F35" s="22">
        <f>+[11]Resumen!$F$38</f>
        <v>0</v>
      </c>
      <c r="G35" s="24">
        <f>+[11]Resumen!$G$38</f>
        <v>0</v>
      </c>
      <c r="H35" s="25">
        <f>+[11]Resumen!$H$38</f>
        <v>0</v>
      </c>
      <c r="I35" s="22">
        <f>+[11]Resumen!$I$38</f>
        <v>0</v>
      </c>
      <c r="J35" s="23">
        <f>+[11]Resumen!$J$38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57031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57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[1]Resumen!$B$39</f>
        <v>0</v>
      </c>
      <c r="C5" s="58">
        <f>[1]Resumen!$C$39</f>
        <v>0</v>
      </c>
      <c r="D5" s="54">
        <f>[1]Resumen!$D$39</f>
        <v>0</v>
      </c>
      <c r="E5" s="53">
        <f>[1]Resumen!$E$39</f>
        <v>0</v>
      </c>
      <c r="F5" s="58">
        <f>[1]Resumen!$F$39</f>
        <v>0</v>
      </c>
      <c r="G5" s="55">
        <f>[1]Resumen!$G$39</f>
        <v>0</v>
      </c>
      <c r="H5" s="61">
        <f>[1]Resumen!$H$39</f>
        <v>0</v>
      </c>
      <c r="I5" s="58">
        <f>[1]Resumen!$I$39</f>
        <v>0</v>
      </c>
      <c r="J5" s="54">
        <f>[1]Resumen!$J$39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[2]Resumen!$B$39</f>
        <v>0</v>
      </c>
      <c r="C6" s="15">
        <f>[2]Resumen!$C$39</f>
        <v>0</v>
      </c>
      <c r="D6" s="16">
        <f>[2]Resumen!$D$39</f>
        <v>0</v>
      </c>
      <c r="E6" s="14">
        <f>[2]Resumen!$E$39</f>
        <v>0</v>
      </c>
      <c r="F6" s="15">
        <f>[2]Resumen!$F$39</f>
        <v>0</v>
      </c>
      <c r="G6" s="17">
        <f>[2]Resumen!$G$39</f>
        <v>0</v>
      </c>
      <c r="H6" s="18">
        <f>[2]Resumen!$H$39</f>
        <v>0</v>
      </c>
      <c r="I6" s="15">
        <f>[2]Resumen!$I$39</f>
        <v>0</v>
      </c>
      <c r="J6" s="16">
        <f>[2]Resumen!$J$39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[3]Resumen!$B$39</f>
        <v>0</v>
      </c>
      <c r="C7" s="15">
        <f>[3]Resumen!$C$39</f>
        <v>0</v>
      </c>
      <c r="D7" s="16">
        <f>[3]Resumen!$D$39</f>
        <v>0</v>
      </c>
      <c r="E7" s="14">
        <f>[3]Resumen!$E$39</f>
        <v>0</v>
      </c>
      <c r="F7" s="15">
        <f>[3]Resumen!$F$39</f>
        <v>0</v>
      </c>
      <c r="G7" s="17">
        <f>[3]Resumen!$G$39</f>
        <v>0</v>
      </c>
      <c r="H7" s="18">
        <f>[3]Resumen!$H$39</f>
        <v>0</v>
      </c>
      <c r="I7" s="15">
        <f>[3]Resumen!$I$39</f>
        <v>0</v>
      </c>
      <c r="J7" s="16">
        <f>[3]Resumen!$J$39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[4]Resumen!$B$39</f>
        <v>0</v>
      </c>
      <c r="C8" s="15">
        <f>[4]Resumen!$C$39</f>
        <v>0</v>
      </c>
      <c r="D8" s="16">
        <f>[4]Resumen!$D$39</f>
        <v>0</v>
      </c>
      <c r="E8" s="14">
        <f>[4]Resumen!$E$39</f>
        <v>0</v>
      </c>
      <c r="F8" s="15">
        <f>[4]Resumen!$F$39</f>
        <v>0</v>
      </c>
      <c r="G8" s="17">
        <f>[4]Resumen!$G$39</f>
        <v>0</v>
      </c>
      <c r="H8" s="18">
        <f>[4]Resumen!$H$39</f>
        <v>0</v>
      </c>
      <c r="I8" s="15">
        <f>[4]Resumen!$I$39</f>
        <v>0</v>
      </c>
      <c r="J8" s="16">
        <f>[4]Resumen!$J$39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[5]Resumen!$B$39</f>
        <v>0</v>
      </c>
      <c r="C9" s="15">
        <f>[5]Resumen!$C$39</f>
        <v>0</v>
      </c>
      <c r="D9" s="16">
        <f>[5]Resumen!$D$39</f>
        <v>0</v>
      </c>
      <c r="E9" s="14">
        <f>[5]Resumen!$E$39</f>
        <v>0</v>
      </c>
      <c r="F9" s="15">
        <f>[5]Resumen!$F$39</f>
        <v>0</v>
      </c>
      <c r="G9" s="17">
        <f>[5]Resumen!$G$39</f>
        <v>0</v>
      </c>
      <c r="H9" s="18">
        <f>[5]Resumen!$H$39</f>
        <v>0</v>
      </c>
      <c r="I9" s="15">
        <f>[5]Resumen!$I$39</f>
        <v>0</v>
      </c>
      <c r="J9" s="16">
        <f>[5]Resumen!$J$39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[6]Resumen!$B$39</f>
        <v>0</v>
      </c>
      <c r="C10" s="15">
        <f>[6]Resumen!$C$39</f>
        <v>0</v>
      </c>
      <c r="D10" s="16">
        <f>[6]Resumen!$D$39</f>
        <v>0</v>
      </c>
      <c r="E10" s="14">
        <f>[6]Resumen!$E$39</f>
        <v>0</v>
      </c>
      <c r="F10" s="15">
        <f>[6]Resumen!$F$39</f>
        <v>0</v>
      </c>
      <c r="G10" s="17">
        <f>[6]Resumen!$G$39</f>
        <v>0</v>
      </c>
      <c r="H10" s="18">
        <f>[6]Resumen!$H$39</f>
        <v>0</v>
      </c>
      <c r="I10" s="15">
        <f>[6]Resumen!$I$39</f>
        <v>0</v>
      </c>
      <c r="J10" s="16">
        <f>[6]Resumen!$J$39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[7]Resumen!$B$39</f>
        <v>0</v>
      </c>
      <c r="C11" s="15">
        <f>[7]Resumen!$C$39</f>
        <v>0</v>
      </c>
      <c r="D11" s="16">
        <f>[7]Resumen!$D$39</f>
        <v>0</v>
      </c>
      <c r="E11" s="14">
        <f>[7]Resumen!$E$39</f>
        <v>0</v>
      </c>
      <c r="F11" s="15">
        <f>[7]Resumen!$F$39</f>
        <v>0</v>
      </c>
      <c r="G11" s="17">
        <f>[7]Resumen!$G$39</f>
        <v>0</v>
      </c>
      <c r="H11" s="18">
        <f>[7]Resumen!$H$39</f>
        <v>0</v>
      </c>
      <c r="I11" s="15">
        <f>[7]Resumen!$I$39</f>
        <v>0</v>
      </c>
      <c r="J11" s="16">
        <f>[7]Resumen!$J$39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[8]Resumen!$B$39</f>
        <v>0</v>
      </c>
      <c r="C12" s="15">
        <f>[8]Resumen!$C$39</f>
        <v>0</v>
      </c>
      <c r="D12" s="16">
        <f>[8]Resumen!$D$39</f>
        <v>0</v>
      </c>
      <c r="E12" s="14">
        <f>[8]Resumen!$E$39</f>
        <v>0</v>
      </c>
      <c r="F12" s="15">
        <f>[8]Resumen!$F$39</f>
        <v>0</v>
      </c>
      <c r="G12" s="17">
        <f>[8]Resumen!$G$39</f>
        <v>0</v>
      </c>
      <c r="H12" s="18">
        <f>[8]Resumen!$H$39</f>
        <v>0</v>
      </c>
      <c r="I12" s="15">
        <f>[8]Resumen!$I$39</f>
        <v>0</v>
      </c>
      <c r="J12" s="16">
        <f>[8]Resumen!$J$39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[9]Resumen!$B$39</f>
        <v>0</v>
      </c>
      <c r="C13" s="15">
        <f>[9]Resumen!$C$39</f>
        <v>0</v>
      </c>
      <c r="D13" s="16">
        <f>[9]Resumen!$D$39</f>
        <v>0</v>
      </c>
      <c r="E13" s="14">
        <f>[9]Resumen!$E$39</f>
        <v>0</v>
      </c>
      <c r="F13" s="15">
        <f>[9]Resumen!$F$39</f>
        <v>0</v>
      </c>
      <c r="G13" s="17">
        <f>[9]Resumen!$G$39</f>
        <v>0</v>
      </c>
      <c r="H13" s="18">
        <f>[9]Resumen!$H$39</f>
        <v>0</v>
      </c>
      <c r="I13" s="15">
        <f>[9]Resumen!$I$39</f>
        <v>0</v>
      </c>
      <c r="J13" s="16">
        <f>[9]Resumen!$J$39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[12]Resumen!$B$39</f>
        <v>0</v>
      </c>
      <c r="C14" s="15">
        <f>[12]Resumen!$C$39</f>
        <v>0</v>
      </c>
      <c r="D14" s="16">
        <f>[12]Resumen!$D$39</f>
        <v>0</v>
      </c>
      <c r="E14" s="14">
        <f>[12]Resumen!$E$39</f>
        <v>0</v>
      </c>
      <c r="F14" s="15">
        <f>[12]Resumen!$F$39</f>
        <v>0</v>
      </c>
      <c r="G14" s="17">
        <f>[12]Resumen!$G$39</f>
        <v>0</v>
      </c>
      <c r="H14" s="18">
        <f>[12]Resumen!$H$39</f>
        <v>0</v>
      </c>
      <c r="I14" s="15">
        <f>[12]Resumen!$I$39</f>
        <v>0</v>
      </c>
      <c r="J14" s="16">
        <f>[12]Resumen!$J$39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[13]Resumen!$B$39</f>
        <v>0</v>
      </c>
      <c r="C15" s="15">
        <f>[13]Resumen!$C$39</f>
        <v>0</v>
      </c>
      <c r="D15" s="16">
        <f>[13]Resumen!$D$39</f>
        <v>0</v>
      </c>
      <c r="E15" s="14">
        <f>[13]Resumen!$E$39</f>
        <v>0</v>
      </c>
      <c r="F15" s="15">
        <f>[13]Resumen!$F$39</f>
        <v>0</v>
      </c>
      <c r="G15" s="17">
        <f>[13]Resumen!$G$39</f>
        <v>0</v>
      </c>
      <c r="H15" s="18">
        <f>[13]Resumen!$H$39</f>
        <v>0</v>
      </c>
      <c r="I15" s="15">
        <f>[13]Resumen!$I$39</f>
        <v>0</v>
      </c>
      <c r="J15" s="16">
        <f>[13]Resumen!$J$39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[14]Resumen!$B$39</f>
        <v>0</v>
      </c>
      <c r="C16" s="15">
        <f>[14]Resumen!$C$39</f>
        <v>0</v>
      </c>
      <c r="D16" s="16">
        <f>[14]Resumen!$D$39</f>
        <v>0</v>
      </c>
      <c r="E16" s="14">
        <f>[14]Resumen!$E$39</f>
        <v>0</v>
      </c>
      <c r="F16" s="15">
        <f>[14]Resumen!$F$39</f>
        <v>0</v>
      </c>
      <c r="G16" s="17">
        <f>[14]Resumen!$G$39</f>
        <v>0</v>
      </c>
      <c r="H16" s="18">
        <f>[14]Resumen!$H$39</f>
        <v>0</v>
      </c>
      <c r="I16" s="15">
        <f>[14]Resumen!$I$39</f>
        <v>0</v>
      </c>
      <c r="J16" s="16">
        <f>[14]Resumen!$J$39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[15]Resumen!$B$39</f>
        <v>0</v>
      </c>
      <c r="C17" s="15">
        <f>[15]Resumen!$C$39</f>
        <v>0</v>
      </c>
      <c r="D17" s="16">
        <f>[15]Resumen!$D$39</f>
        <v>0</v>
      </c>
      <c r="E17" s="14">
        <f>[15]Resumen!$E$39</f>
        <v>0</v>
      </c>
      <c r="F17" s="15">
        <f>[15]Resumen!$F$39</f>
        <v>0</v>
      </c>
      <c r="G17" s="17">
        <f>[15]Resumen!$G$39</f>
        <v>0</v>
      </c>
      <c r="H17" s="18">
        <f>[15]Resumen!$H$39</f>
        <v>0</v>
      </c>
      <c r="I17" s="15">
        <f>[15]Resumen!$I$39</f>
        <v>0</v>
      </c>
      <c r="J17" s="16">
        <f>[15]Resumen!$J$39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[16]Resumen!$B$39</f>
        <v>0</v>
      </c>
      <c r="C18" s="15">
        <f>[16]Resumen!$C$39</f>
        <v>0</v>
      </c>
      <c r="D18" s="16">
        <f>[16]Resumen!$D$39</f>
        <v>0</v>
      </c>
      <c r="E18" s="14">
        <f>[16]Resumen!$E$39</f>
        <v>0</v>
      </c>
      <c r="F18" s="15">
        <f>[16]Resumen!$F$39</f>
        <v>0</v>
      </c>
      <c r="G18" s="17">
        <f>[16]Resumen!$G$39</f>
        <v>0</v>
      </c>
      <c r="H18" s="18">
        <f>[16]Resumen!$H$39</f>
        <v>0</v>
      </c>
      <c r="I18" s="15">
        <f>[16]Resumen!$I$39</f>
        <v>0</v>
      </c>
      <c r="J18" s="16">
        <f>[16]Resumen!$J$39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[17]Resumen!$B$39</f>
        <v>0</v>
      </c>
      <c r="C19" s="15">
        <f>[17]Resumen!$C$39</f>
        <v>0</v>
      </c>
      <c r="D19" s="16">
        <f>[17]Resumen!$D$39</f>
        <v>0</v>
      </c>
      <c r="E19" s="14">
        <f>[17]Resumen!$E$39</f>
        <v>0</v>
      </c>
      <c r="F19" s="15">
        <f>[17]Resumen!$F$39</f>
        <v>0</v>
      </c>
      <c r="G19" s="17">
        <f>[17]Resumen!$G$39</f>
        <v>0</v>
      </c>
      <c r="H19" s="18">
        <f>[17]Resumen!$H$39</f>
        <v>0</v>
      </c>
      <c r="I19" s="15">
        <f>[17]Resumen!$I$39</f>
        <v>0</v>
      </c>
      <c r="J19" s="16">
        <f>[17]Resumen!$J$39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[18]Resumen!$B$39</f>
        <v>0</v>
      </c>
      <c r="C20" s="15">
        <f>[18]Resumen!$C$39</f>
        <v>0</v>
      </c>
      <c r="D20" s="16">
        <f>[18]Resumen!$D$39</f>
        <v>0</v>
      </c>
      <c r="E20" s="14">
        <f>[18]Resumen!$E$39</f>
        <v>0</v>
      </c>
      <c r="F20" s="15">
        <f>[18]Resumen!$F$39</f>
        <v>0</v>
      </c>
      <c r="G20" s="17">
        <f>[18]Resumen!$G$39</f>
        <v>0</v>
      </c>
      <c r="H20" s="18">
        <f>[18]Resumen!$H$39</f>
        <v>0</v>
      </c>
      <c r="I20" s="15">
        <f>[18]Resumen!$I$39</f>
        <v>0</v>
      </c>
      <c r="J20" s="16">
        <f>[18]Resumen!$J$39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[19]Resumen!$B$39</f>
        <v>0</v>
      </c>
      <c r="C21" s="15">
        <f>[19]Resumen!$C$39</f>
        <v>0</v>
      </c>
      <c r="D21" s="16">
        <f>[19]Resumen!$D$39</f>
        <v>0</v>
      </c>
      <c r="E21" s="14">
        <f>[19]Resumen!$E$39</f>
        <v>0</v>
      </c>
      <c r="F21" s="15">
        <f>[19]Resumen!$F$39</f>
        <v>0</v>
      </c>
      <c r="G21" s="17">
        <f>[19]Resumen!$G$39</f>
        <v>0</v>
      </c>
      <c r="H21" s="18">
        <f>[19]Resumen!$H$39</f>
        <v>0</v>
      </c>
      <c r="I21" s="15">
        <f>[19]Resumen!$I$39</f>
        <v>0</v>
      </c>
      <c r="J21" s="16">
        <f>[19]Resumen!$J$39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[20]Resumen!$B$39</f>
        <v>0</v>
      </c>
      <c r="C22" s="15">
        <f>[20]Resumen!$C$39</f>
        <v>0</v>
      </c>
      <c r="D22" s="16">
        <f>[20]Resumen!$D$39</f>
        <v>0</v>
      </c>
      <c r="E22" s="14">
        <f>[20]Resumen!$E$39</f>
        <v>0</v>
      </c>
      <c r="F22" s="15">
        <f>[20]Resumen!$F$39</f>
        <v>0</v>
      </c>
      <c r="G22" s="17">
        <f>[20]Resumen!$G$39</f>
        <v>0</v>
      </c>
      <c r="H22" s="18">
        <f>[20]Resumen!$H$39</f>
        <v>0</v>
      </c>
      <c r="I22" s="15">
        <f>[20]Resumen!$I$39</f>
        <v>0</v>
      </c>
      <c r="J22" s="16">
        <f>[20]Resumen!$J$39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[21]Resumen!$B$39</f>
        <v>0</v>
      </c>
      <c r="C23" s="15">
        <f>[21]Resumen!$C$39</f>
        <v>0</v>
      </c>
      <c r="D23" s="16">
        <f>[21]Resumen!$D$39</f>
        <v>0</v>
      </c>
      <c r="E23" s="14">
        <f>[21]Resumen!$E$39</f>
        <v>0</v>
      </c>
      <c r="F23" s="15">
        <f>[21]Resumen!$F$39</f>
        <v>0</v>
      </c>
      <c r="G23" s="17">
        <f>[21]Resumen!$G$39</f>
        <v>0</v>
      </c>
      <c r="H23" s="18">
        <f>[21]Resumen!$H$39</f>
        <v>0</v>
      </c>
      <c r="I23" s="15">
        <f>[21]Resumen!$I$39</f>
        <v>0</v>
      </c>
      <c r="J23" s="16">
        <f>[21]Resumen!$J$39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[22]Resumen!$B$39</f>
        <v>0</v>
      </c>
      <c r="C24" s="15">
        <f>[22]Resumen!$C$39</f>
        <v>0</v>
      </c>
      <c r="D24" s="16">
        <f>[22]Resumen!$D$39</f>
        <v>0</v>
      </c>
      <c r="E24" s="14">
        <f>[22]Resumen!$E$39</f>
        <v>0</v>
      </c>
      <c r="F24" s="15">
        <f>[22]Resumen!$F$39</f>
        <v>0</v>
      </c>
      <c r="G24" s="17">
        <f>[22]Resumen!$G$39</f>
        <v>0</v>
      </c>
      <c r="H24" s="18">
        <f>[22]Resumen!$H$39</f>
        <v>0</v>
      </c>
      <c r="I24" s="15">
        <f>[22]Resumen!$I$39</f>
        <v>0</v>
      </c>
      <c r="J24" s="16">
        <f>[22]Resumen!$J$39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[23]Resumen!$B$39</f>
        <v>0</v>
      </c>
      <c r="C25" s="15">
        <f>[23]Resumen!$C$39</f>
        <v>0</v>
      </c>
      <c r="D25" s="16">
        <f>[23]Resumen!$D$39</f>
        <v>0</v>
      </c>
      <c r="E25" s="14">
        <f>[23]Resumen!$E$39</f>
        <v>0</v>
      </c>
      <c r="F25" s="15">
        <f>[23]Resumen!$F$39</f>
        <v>0</v>
      </c>
      <c r="G25" s="17">
        <f>[23]Resumen!$G$39</f>
        <v>0</v>
      </c>
      <c r="H25" s="18">
        <f>[23]Resumen!$H$39</f>
        <v>0</v>
      </c>
      <c r="I25" s="15">
        <f>[23]Resumen!$I$39</f>
        <v>0</v>
      </c>
      <c r="J25" s="16">
        <f>[23]Resumen!$J$39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[24]Resumen!$B$39</f>
        <v>0</v>
      </c>
      <c r="C26" s="15">
        <f>[24]Resumen!$C$39</f>
        <v>0</v>
      </c>
      <c r="D26" s="16">
        <f>[24]Resumen!$D$39</f>
        <v>0</v>
      </c>
      <c r="E26" s="14">
        <f>[24]Resumen!$E$39</f>
        <v>0</v>
      </c>
      <c r="F26" s="15">
        <f>[24]Resumen!$F$39</f>
        <v>0</v>
      </c>
      <c r="G26" s="17">
        <f>[24]Resumen!$G$39</f>
        <v>0</v>
      </c>
      <c r="H26" s="18">
        <f>[24]Resumen!$H$39</f>
        <v>0</v>
      </c>
      <c r="I26" s="15">
        <f>[24]Resumen!$I$39</f>
        <v>0</v>
      </c>
      <c r="J26" s="16">
        <f>[24]Resumen!$J$39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[25]Resumen!$B$39</f>
        <v>0</v>
      </c>
      <c r="C27" s="15">
        <f>[25]Resumen!$C$39</f>
        <v>0</v>
      </c>
      <c r="D27" s="16">
        <f>[25]Resumen!$D$39</f>
        <v>0</v>
      </c>
      <c r="E27" s="14">
        <f>[25]Resumen!$E$39</f>
        <v>0</v>
      </c>
      <c r="F27" s="15">
        <f>[25]Resumen!$F$39</f>
        <v>0</v>
      </c>
      <c r="G27" s="17">
        <f>[25]Resumen!$G$39</f>
        <v>0</v>
      </c>
      <c r="H27" s="18">
        <f>[25]Resumen!$H$39</f>
        <v>0</v>
      </c>
      <c r="I27" s="15">
        <f>[25]Resumen!$I$39</f>
        <v>0</v>
      </c>
      <c r="J27" s="16">
        <f>[25]Resumen!$J$39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[26]Resumen!$B$39</f>
        <v>0</v>
      </c>
      <c r="C28" s="15">
        <f>[26]Resumen!$C$39</f>
        <v>0</v>
      </c>
      <c r="D28" s="16">
        <f>[26]Resumen!$D$39</f>
        <v>0</v>
      </c>
      <c r="E28" s="14">
        <f>[26]Resumen!$E$39</f>
        <v>0</v>
      </c>
      <c r="F28" s="15">
        <f>[26]Resumen!$F$39</f>
        <v>0</v>
      </c>
      <c r="G28" s="17">
        <f>[26]Resumen!$G$39</f>
        <v>0</v>
      </c>
      <c r="H28" s="18">
        <f>[26]Resumen!$H$39</f>
        <v>0</v>
      </c>
      <c r="I28" s="15">
        <f>[26]Resumen!$I$39</f>
        <v>0</v>
      </c>
      <c r="J28" s="16">
        <f>[26]Resumen!$J$39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[27]Resumen!$B$39</f>
        <v>0</v>
      </c>
      <c r="C29" s="15">
        <f>[27]Resumen!$C$39</f>
        <v>0</v>
      </c>
      <c r="D29" s="16">
        <f>[27]Resumen!$D$39</f>
        <v>0</v>
      </c>
      <c r="E29" s="14">
        <f>[27]Resumen!$E$39</f>
        <v>0</v>
      </c>
      <c r="F29" s="15">
        <f>[27]Resumen!$F$39</f>
        <v>0</v>
      </c>
      <c r="G29" s="17">
        <f>[27]Resumen!$G$39</f>
        <v>0</v>
      </c>
      <c r="H29" s="18">
        <f>[27]Resumen!$H$39</f>
        <v>0</v>
      </c>
      <c r="I29" s="15">
        <f>[27]Resumen!$I$39</f>
        <v>0</v>
      </c>
      <c r="J29" s="16">
        <f>[27]Resumen!$J$39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[28]Resumen!$B$39</f>
        <v>0</v>
      </c>
      <c r="C30" s="15">
        <f>[28]Resumen!$C$39</f>
        <v>0</v>
      </c>
      <c r="D30" s="16">
        <f>[28]Resumen!$D$39</f>
        <v>0</v>
      </c>
      <c r="E30" s="14">
        <f>[28]Resumen!$E$39</f>
        <v>0</v>
      </c>
      <c r="F30" s="15">
        <f>[28]Resumen!$F$39</f>
        <v>0</v>
      </c>
      <c r="G30" s="17">
        <f>[28]Resumen!$G$39</f>
        <v>0</v>
      </c>
      <c r="H30" s="18">
        <f>[28]Resumen!$H$39</f>
        <v>0</v>
      </c>
      <c r="I30" s="15">
        <f>[28]Resumen!$I$39</f>
        <v>0</v>
      </c>
      <c r="J30" s="16">
        <f>[28]Resumen!$J$39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[29]Resumen!$B$39</f>
        <v>0</v>
      </c>
      <c r="C31" s="15">
        <f>[29]Resumen!$C$39</f>
        <v>0</v>
      </c>
      <c r="D31" s="16">
        <f>[29]Resumen!$D$39</f>
        <v>0</v>
      </c>
      <c r="E31" s="14">
        <f>[29]Resumen!$E$39</f>
        <v>0</v>
      </c>
      <c r="F31" s="15">
        <f>[29]Resumen!$F$39</f>
        <v>0</v>
      </c>
      <c r="G31" s="17">
        <f>[29]Resumen!$G$39</f>
        <v>0</v>
      </c>
      <c r="H31" s="18">
        <f>[29]Resumen!$H$39</f>
        <v>0</v>
      </c>
      <c r="I31" s="15">
        <f>[29]Resumen!$I$39</f>
        <v>0</v>
      </c>
      <c r="J31" s="16">
        <f>[29]Resumen!$J$39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[30]Resumen!$B$39</f>
        <v>0</v>
      </c>
      <c r="C32" s="15">
        <f>[30]Resumen!$C$39</f>
        <v>0</v>
      </c>
      <c r="D32" s="16">
        <f>[30]Resumen!$D$39</f>
        <v>0</v>
      </c>
      <c r="E32" s="14">
        <f>[30]Resumen!$E$39</f>
        <v>0</v>
      </c>
      <c r="F32" s="15">
        <f>[30]Resumen!$F$39</f>
        <v>0</v>
      </c>
      <c r="G32" s="17">
        <f>[30]Resumen!$G$39</f>
        <v>0</v>
      </c>
      <c r="H32" s="18">
        <f>[30]Resumen!$H$39</f>
        <v>0</v>
      </c>
      <c r="I32" s="15">
        <f>[30]Resumen!$I$39</f>
        <v>0</v>
      </c>
      <c r="J32" s="16">
        <f>[30]Resumen!$J$39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[31]Resumen!$B$39</f>
        <v>0</v>
      </c>
      <c r="C33" s="15">
        <f>[31]Resumen!$C$39</f>
        <v>0</v>
      </c>
      <c r="D33" s="16">
        <f>[31]Resumen!$D$39</f>
        <v>0</v>
      </c>
      <c r="E33" s="14">
        <f>[31]Resumen!$E$39</f>
        <v>0</v>
      </c>
      <c r="F33" s="15">
        <f>[31]Resumen!$F$39</f>
        <v>0</v>
      </c>
      <c r="G33" s="17">
        <f>[31]Resumen!$G$39</f>
        <v>0</v>
      </c>
      <c r="H33" s="18">
        <f>[31]Resumen!$H$39</f>
        <v>0</v>
      </c>
      <c r="I33" s="15">
        <f>[31]Resumen!$I$39</f>
        <v>0</v>
      </c>
      <c r="J33" s="16">
        <f>[31]Resumen!$J$39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[10]Resumen!$B$39</f>
        <v>0</v>
      </c>
      <c r="C34" s="15">
        <f>[10]Resumen!$C$39</f>
        <v>0</v>
      </c>
      <c r="D34" s="16">
        <f>[10]Resumen!$D$39</f>
        <v>0</v>
      </c>
      <c r="E34" s="14">
        <f>[10]Resumen!$E$39</f>
        <v>0</v>
      </c>
      <c r="F34" s="15">
        <f>[10]Resumen!$F$39</f>
        <v>0</v>
      </c>
      <c r="G34" s="17">
        <f>[10]Resumen!$G$39</f>
        <v>0</v>
      </c>
      <c r="H34" s="18">
        <f>[10]Resumen!$H$39</f>
        <v>0</v>
      </c>
      <c r="I34" s="15">
        <f>[10]Resumen!$I$39</f>
        <v>0</v>
      </c>
      <c r="J34" s="16">
        <f>[10]Resumen!$J$39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+[11]Resumen!$B$39</f>
        <v>0</v>
      </c>
      <c r="C35" s="22">
        <f>+[11]Resumen!$C$39</f>
        <v>0</v>
      </c>
      <c r="D35" s="23">
        <f>+[11]Resumen!$D$39</f>
        <v>0</v>
      </c>
      <c r="E35" s="21">
        <f>+[11]Resumen!$E$39</f>
        <v>0</v>
      </c>
      <c r="F35" s="22">
        <f>+[11]Resumen!$F$39</f>
        <v>0</v>
      </c>
      <c r="G35" s="24">
        <f>+[11]Resumen!$G$39</f>
        <v>0</v>
      </c>
      <c r="H35" s="25">
        <f>+[11]Resumen!$H$39</f>
        <v>0</v>
      </c>
      <c r="I35" s="22">
        <f>+[11]Resumen!$I$39</f>
        <v>0</v>
      </c>
      <c r="J35" s="23">
        <f>+[11]Resumen!$J$39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>
      <selection activeCell="J3" sqref="J3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57031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67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[1]Resumen!$B$40</f>
        <v>0</v>
      </c>
      <c r="C5" s="58">
        <f>[1]Resumen!$C$40</f>
        <v>0</v>
      </c>
      <c r="D5" s="54">
        <f>[1]Resumen!$D$40</f>
        <v>0</v>
      </c>
      <c r="E5" s="53">
        <f>[1]Resumen!$E$40</f>
        <v>0</v>
      </c>
      <c r="F5" s="58">
        <f>[1]Resumen!$F$40</f>
        <v>0</v>
      </c>
      <c r="G5" s="55">
        <f>[1]Resumen!$G$40</f>
        <v>0</v>
      </c>
      <c r="H5" s="61">
        <f>[1]Resumen!$H$40</f>
        <v>0</v>
      </c>
      <c r="I5" s="58">
        <f>[1]Resumen!$I$40</f>
        <v>0</v>
      </c>
      <c r="J5" s="54">
        <f>[1]Resumen!$J$40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[2]Resumen!$B$40</f>
        <v>0</v>
      </c>
      <c r="C6" s="15">
        <f>[2]Resumen!$C$40</f>
        <v>0</v>
      </c>
      <c r="D6" s="16">
        <f>[2]Resumen!$D$40</f>
        <v>0</v>
      </c>
      <c r="E6" s="14">
        <f>[2]Resumen!$E$40</f>
        <v>0</v>
      </c>
      <c r="F6" s="15">
        <f>[2]Resumen!$F$40</f>
        <v>0</v>
      </c>
      <c r="G6" s="17">
        <f>[2]Resumen!$G$40</f>
        <v>0</v>
      </c>
      <c r="H6" s="18">
        <f>[2]Resumen!$H$40</f>
        <v>0</v>
      </c>
      <c r="I6" s="15">
        <f>[2]Resumen!$I$40</f>
        <v>0</v>
      </c>
      <c r="J6" s="16">
        <f>[2]Resumen!$J$40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[3]Resumen!$B$40</f>
        <v>0</v>
      </c>
      <c r="C7" s="15">
        <f>[3]Resumen!$C$40</f>
        <v>0</v>
      </c>
      <c r="D7" s="16">
        <f>[3]Resumen!$D$40</f>
        <v>0</v>
      </c>
      <c r="E7" s="14">
        <f>[3]Resumen!$E$40</f>
        <v>0</v>
      </c>
      <c r="F7" s="15">
        <f>[3]Resumen!$F$40</f>
        <v>0</v>
      </c>
      <c r="G7" s="17">
        <f>[3]Resumen!$G$40</f>
        <v>0</v>
      </c>
      <c r="H7" s="18">
        <f>[3]Resumen!$H$40</f>
        <v>0</v>
      </c>
      <c r="I7" s="15">
        <f>[3]Resumen!$I$40</f>
        <v>0</v>
      </c>
      <c r="J7" s="16">
        <f>[3]Resumen!$J$40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[4]Resumen!$B$40</f>
        <v>0</v>
      </c>
      <c r="C8" s="15">
        <f>[4]Resumen!$C$40</f>
        <v>0</v>
      </c>
      <c r="D8" s="16">
        <f>[4]Resumen!$D$40</f>
        <v>0</v>
      </c>
      <c r="E8" s="14">
        <f>[4]Resumen!$E$40</f>
        <v>0</v>
      </c>
      <c r="F8" s="15">
        <f>[4]Resumen!$F$40</f>
        <v>0</v>
      </c>
      <c r="G8" s="17">
        <f>[4]Resumen!$G$40</f>
        <v>0</v>
      </c>
      <c r="H8" s="18">
        <f>[4]Resumen!$H$40</f>
        <v>0</v>
      </c>
      <c r="I8" s="15">
        <f>[4]Resumen!$I$40</f>
        <v>0</v>
      </c>
      <c r="J8" s="16">
        <f>[4]Resumen!$J$40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[5]Resumen!$B$40</f>
        <v>0</v>
      </c>
      <c r="C9" s="15">
        <f>[5]Resumen!$C$40</f>
        <v>0</v>
      </c>
      <c r="D9" s="16">
        <f>[5]Resumen!$D$40</f>
        <v>0</v>
      </c>
      <c r="E9" s="14">
        <f>[5]Resumen!$E$40</f>
        <v>0</v>
      </c>
      <c r="F9" s="15">
        <f>[5]Resumen!$F$40</f>
        <v>0</v>
      </c>
      <c r="G9" s="17">
        <f>[5]Resumen!$G$40</f>
        <v>0</v>
      </c>
      <c r="H9" s="18">
        <f>[5]Resumen!$H$40</f>
        <v>0</v>
      </c>
      <c r="I9" s="15">
        <f>[5]Resumen!$I$40</f>
        <v>0</v>
      </c>
      <c r="J9" s="16">
        <f>[5]Resumen!$J$40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[6]Resumen!$B$40</f>
        <v>0</v>
      </c>
      <c r="C10" s="15">
        <f>[6]Resumen!$C$40</f>
        <v>0</v>
      </c>
      <c r="D10" s="16">
        <f>[6]Resumen!$D$40</f>
        <v>0</v>
      </c>
      <c r="E10" s="14">
        <f>[6]Resumen!$E$40</f>
        <v>0</v>
      </c>
      <c r="F10" s="15">
        <f>[6]Resumen!$F$40</f>
        <v>0</v>
      </c>
      <c r="G10" s="17">
        <f>[6]Resumen!$G$40</f>
        <v>0</v>
      </c>
      <c r="H10" s="18">
        <f>[6]Resumen!$H$40</f>
        <v>0</v>
      </c>
      <c r="I10" s="15">
        <f>[6]Resumen!$I$40</f>
        <v>0</v>
      </c>
      <c r="J10" s="16">
        <f>[6]Resumen!$J$40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[7]Resumen!$B$40</f>
        <v>0</v>
      </c>
      <c r="C11" s="15">
        <f>[7]Resumen!$C$40</f>
        <v>0</v>
      </c>
      <c r="D11" s="16">
        <f>[7]Resumen!$D$40</f>
        <v>0</v>
      </c>
      <c r="E11" s="14">
        <f>[7]Resumen!$E$40</f>
        <v>0</v>
      </c>
      <c r="F11" s="15">
        <f>[7]Resumen!$F$40</f>
        <v>0</v>
      </c>
      <c r="G11" s="17">
        <f>[7]Resumen!$G$40</f>
        <v>0</v>
      </c>
      <c r="H11" s="18">
        <f>[7]Resumen!$H$40</f>
        <v>0</v>
      </c>
      <c r="I11" s="15">
        <f>[7]Resumen!$I$40</f>
        <v>0</v>
      </c>
      <c r="J11" s="16">
        <f>[7]Resumen!$J$40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[8]Resumen!$B$40</f>
        <v>0</v>
      </c>
      <c r="C12" s="15">
        <f>[8]Resumen!$C$40</f>
        <v>0</v>
      </c>
      <c r="D12" s="16">
        <f>[8]Resumen!$D$40</f>
        <v>0</v>
      </c>
      <c r="E12" s="14">
        <f>[8]Resumen!$E$40</f>
        <v>0</v>
      </c>
      <c r="F12" s="15">
        <f>[8]Resumen!$F$40</f>
        <v>0</v>
      </c>
      <c r="G12" s="17">
        <f>[8]Resumen!$G$40</f>
        <v>0</v>
      </c>
      <c r="H12" s="18">
        <f>[8]Resumen!$H$40</f>
        <v>0</v>
      </c>
      <c r="I12" s="15">
        <f>[8]Resumen!$I$40</f>
        <v>0</v>
      </c>
      <c r="J12" s="16">
        <f>[8]Resumen!$J$40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[9]Resumen!$B$40</f>
        <v>0</v>
      </c>
      <c r="C13" s="15">
        <f>[9]Resumen!$C$40</f>
        <v>0</v>
      </c>
      <c r="D13" s="16">
        <f>[9]Resumen!$D$40</f>
        <v>0</v>
      </c>
      <c r="E13" s="14">
        <f>[9]Resumen!$E$40</f>
        <v>0</v>
      </c>
      <c r="F13" s="15">
        <f>[9]Resumen!$F$40</f>
        <v>0</v>
      </c>
      <c r="G13" s="17">
        <f>[9]Resumen!$G$40</f>
        <v>0</v>
      </c>
      <c r="H13" s="18">
        <f>[9]Resumen!$H$40</f>
        <v>0</v>
      </c>
      <c r="I13" s="15">
        <f>[9]Resumen!$I$40</f>
        <v>0</v>
      </c>
      <c r="J13" s="16">
        <f>[9]Resumen!$J$40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[12]Resumen!$B$40</f>
        <v>0</v>
      </c>
      <c r="C14" s="15">
        <f>[12]Resumen!$C$40</f>
        <v>0</v>
      </c>
      <c r="D14" s="16">
        <f>[12]Resumen!$D$40</f>
        <v>0</v>
      </c>
      <c r="E14" s="14">
        <f>[12]Resumen!$E$40</f>
        <v>0</v>
      </c>
      <c r="F14" s="15">
        <f>[12]Resumen!$F$40</f>
        <v>0</v>
      </c>
      <c r="G14" s="17">
        <f>[12]Resumen!$G$40</f>
        <v>0</v>
      </c>
      <c r="H14" s="18">
        <f>[12]Resumen!$H$40</f>
        <v>0</v>
      </c>
      <c r="I14" s="15">
        <f>[12]Resumen!$I$40</f>
        <v>0</v>
      </c>
      <c r="J14" s="16">
        <f>[12]Resumen!$J$40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[13]Resumen!$B$40</f>
        <v>0</v>
      </c>
      <c r="C15" s="15">
        <f>[13]Resumen!$C$40</f>
        <v>0</v>
      </c>
      <c r="D15" s="16">
        <f>[13]Resumen!$D$40</f>
        <v>0</v>
      </c>
      <c r="E15" s="14">
        <f>[13]Resumen!$E$40</f>
        <v>0</v>
      </c>
      <c r="F15" s="15">
        <f>[13]Resumen!$F$40</f>
        <v>0</v>
      </c>
      <c r="G15" s="17">
        <f>[13]Resumen!$G$40</f>
        <v>0</v>
      </c>
      <c r="H15" s="18">
        <f>[13]Resumen!$H$40</f>
        <v>0</v>
      </c>
      <c r="I15" s="15">
        <f>[13]Resumen!$I$40</f>
        <v>0</v>
      </c>
      <c r="J15" s="16">
        <f>[13]Resumen!$J$40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[14]Resumen!$B$40</f>
        <v>0</v>
      </c>
      <c r="C16" s="15">
        <f>[14]Resumen!$C$40</f>
        <v>0</v>
      </c>
      <c r="D16" s="16">
        <f>[14]Resumen!$D$40</f>
        <v>0</v>
      </c>
      <c r="E16" s="14">
        <f>[14]Resumen!$E$40</f>
        <v>0</v>
      </c>
      <c r="F16" s="15">
        <f>[14]Resumen!$F$40</f>
        <v>0</v>
      </c>
      <c r="G16" s="17">
        <f>[14]Resumen!$G$40</f>
        <v>0</v>
      </c>
      <c r="H16" s="18">
        <f>[14]Resumen!$H$40</f>
        <v>0</v>
      </c>
      <c r="I16" s="15">
        <f>[14]Resumen!$I$40</f>
        <v>0</v>
      </c>
      <c r="J16" s="16">
        <f>[14]Resumen!$J$40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[15]Resumen!$B$40</f>
        <v>0</v>
      </c>
      <c r="C17" s="15">
        <f>[15]Resumen!$C$40</f>
        <v>0</v>
      </c>
      <c r="D17" s="16">
        <f>[15]Resumen!$D$40</f>
        <v>0</v>
      </c>
      <c r="E17" s="14">
        <f>[15]Resumen!$E$40</f>
        <v>0</v>
      </c>
      <c r="F17" s="15">
        <f>[15]Resumen!$F$40</f>
        <v>0</v>
      </c>
      <c r="G17" s="17">
        <f>[15]Resumen!$G$40</f>
        <v>0</v>
      </c>
      <c r="H17" s="18">
        <f>[15]Resumen!$H$40</f>
        <v>0</v>
      </c>
      <c r="I17" s="15">
        <f>[15]Resumen!$I$40</f>
        <v>0</v>
      </c>
      <c r="J17" s="16">
        <f>[15]Resumen!$J$40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[16]Resumen!$B$40</f>
        <v>0</v>
      </c>
      <c r="C18" s="15">
        <f>[16]Resumen!$C$40</f>
        <v>0</v>
      </c>
      <c r="D18" s="16">
        <f>[16]Resumen!$D$40</f>
        <v>0</v>
      </c>
      <c r="E18" s="14">
        <f>[16]Resumen!$E$40</f>
        <v>0</v>
      </c>
      <c r="F18" s="15">
        <f>[16]Resumen!$F$40</f>
        <v>0</v>
      </c>
      <c r="G18" s="17">
        <f>[16]Resumen!$G$40</f>
        <v>0</v>
      </c>
      <c r="H18" s="18">
        <f>[16]Resumen!$H$40</f>
        <v>0</v>
      </c>
      <c r="I18" s="15">
        <f>[16]Resumen!$I$40</f>
        <v>0</v>
      </c>
      <c r="J18" s="16">
        <f>[16]Resumen!$J$40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[17]Resumen!$B$40</f>
        <v>0</v>
      </c>
      <c r="C19" s="15">
        <f>[17]Resumen!$C$40</f>
        <v>0</v>
      </c>
      <c r="D19" s="16">
        <f>[17]Resumen!$D$40</f>
        <v>0</v>
      </c>
      <c r="E19" s="14">
        <f>[17]Resumen!$E$40</f>
        <v>0</v>
      </c>
      <c r="F19" s="15">
        <f>[17]Resumen!$F$40</f>
        <v>0</v>
      </c>
      <c r="G19" s="17">
        <f>[17]Resumen!$G$40</f>
        <v>0</v>
      </c>
      <c r="H19" s="18">
        <f>[17]Resumen!$H$40</f>
        <v>0</v>
      </c>
      <c r="I19" s="15">
        <f>[17]Resumen!$I$40</f>
        <v>0</v>
      </c>
      <c r="J19" s="16">
        <f>[17]Resumen!$J$40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[18]Resumen!$B$40</f>
        <v>0</v>
      </c>
      <c r="C20" s="15">
        <f>[18]Resumen!$C$40</f>
        <v>0</v>
      </c>
      <c r="D20" s="16">
        <f>[18]Resumen!$D$40</f>
        <v>0</v>
      </c>
      <c r="E20" s="14">
        <f>[18]Resumen!$E$40</f>
        <v>0</v>
      </c>
      <c r="F20" s="15">
        <f>[18]Resumen!$F$40</f>
        <v>0</v>
      </c>
      <c r="G20" s="17">
        <f>[18]Resumen!$G$40</f>
        <v>0</v>
      </c>
      <c r="H20" s="18">
        <f>[18]Resumen!$H$40</f>
        <v>0</v>
      </c>
      <c r="I20" s="15">
        <f>[18]Resumen!$I$40</f>
        <v>0</v>
      </c>
      <c r="J20" s="16">
        <f>[18]Resumen!$J$40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[19]Resumen!$B$40</f>
        <v>0</v>
      </c>
      <c r="C21" s="15">
        <f>[19]Resumen!$C$40</f>
        <v>0</v>
      </c>
      <c r="D21" s="16">
        <f>[19]Resumen!$D$40</f>
        <v>0</v>
      </c>
      <c r="E21" s="14">
        <f>[19]Resumen!$E$40</f>
        <v>0</v>
      </c>
      <c r="F21" s="15">
        <f>[19]Resumen!$F$40</f>
        <v>0</v>
      </c>
      <c r="G21" s="17">
        <f>[19]Resumen!$G$40</f>
        <v>0</v>
      </c>
      <c r="H21" s="18">
        <f>[19]Resumen!$H$40</f>
        <v>0</v>
      </c>
      <c r="I21" s="15">
        <f>[19]Resumen!$I$40</f>
        <v>0</v>
      </c>
      <c r="J21" s="16">
        <f>[19]Resumen!$J$40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[20]Resumen!$B$40</f>
        <v>0</v>
      </c>
      <c r="C22" s="15">
        <f>[20]Resumen!$C$40</f>
        <v>0</v>
      </c>
      <c r="D22" s="16">
        <f>[20]Resumen!$D$40</f>
        <v>0</v>
      </c>
      <c r="E22" s="14">
        <f>[20]Resumen!$E$40</f>
        <v>0</v>
      </c>
      <c r="F22" s="15">
        <f>[20]Resumen!$F$40</f>
        <v>0</v>
      </c>
      <c r="G22" s="17">
        <f>[20]Resumen!$G$40</f>
        <v>0</v>
      </c>
      <c r="H22" s="18">
        <f>[20]Resumen!$H$40</f>
        <v>0</v>
      </c>
      <c r="I22" s="15">
        <f>[20]Resumen!$I$40</f>
        <v>0</v>
      </c>
      <c r="J22" s="16">
        <f>[20]Resumen!$J$40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[21]Resumen!$B$40</f>
        <v>0</v>
      </c>
      <c r="C23" s="15">
        <f>[21]Resumen!$C$40</f>
        <v>0</v>
      </c>
      <c r="D23" s="16">
        <f>[21]Resumen!$D$40</f>
        <v>0</v>
      </c>
      <c r="E23" s="14">
        <f>[21]Resumen!$E$40</f>
        <v>0</v>
      </c>
      <c r="F23" s="15">
        <f>[21]Resumen!$F$40</f>
        <v>0</v>
      </c>
      <c r="G23" s="17">
        <f>[21]Resumen!$G$40</f>
        <v>0</v>
      </c>
      <c r="H23" s="18">
        <f>[21]Resumen!$H$40</f>
        <v>0</v>
      </c>
      <c r="I23" s="15">
        <f>[21]Resumen!$I$40</f>
        <v>0</v>
      </c>
      <c r="J23" s="16">
        <f>[21]Resumen!$J$40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[22]Resumen!$B$40</f>
        <v>0</v>
      </c>
      <c r="C24" s="15">
        <f>[22]Resumen!$C$40</f>
        <v>0</v>
      </c>
      <c r="D24" s="16">
        <f>[22]Resumen!$D$40</f>
        <v>0</v>
      </c>
      <c r="E24" s="14">
        <f>[22]Resumen!$E$40</f>
        <v>0</v>
      </c>
      <c r="F24" s="15">
        <f>[22]Resumen!$F$40</f>
        <v>0</v>
      </c>
      <c r="G24" s="17">
        <f>[22]Resumen!$G$40</f>
        <v>0</v>
      </c>
      <c r="H24" s="18">
        <f>[22]Resumen!$H$40</f>
        <v>0</v>
      </c>
      <c r="I24" s="15">
        <f>[22]Resumen!$I$40</f>
        <v>0</v>
      </c>
      <c r="J24" s="16">
        <f>[22]Resumen!$J$40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[23]Resumen!$B$40</f>
        <v>0</v>
      </c>
      <c r="C25" s="15">
        <f>[23]Resumen!$C$40</f>
        <v>0</v>
      </c>
      <c r="D25" s="16">
        <f>[23]Resumen!$D$40</f>
        <v>0</v>
      </c>
      <c r="E25" s="14">
        <f>[23]Resumen!$E$40</f>
        <v>0</v>
      </c>
      <c r="F25" s="15">
        <f>[23]Resumen!$F$40</f>
        <v>0</v>
      </c>
      <c r="G25" s="17">
        <f>[23]Resumen!$G$40</f>
        <v>0</v>
      </c>
      <c r="H25" s="18">
        <f>[23]Resumen!$H$40</f>
        <v>0</v>
      </c>
      <c r="I25" s="15">
        <f>[23]Resumen!$I$40</f>
        <v>0</v>
      </c>
      <c r="J25" s="16">
        <f>[23]Resumen!$J$40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[24]Resumen!$B$40</f>
        <v>0</v>
      </c>
      <c r="C26" s="15">
        <f>[24]Resumen!$C$40</f>
        <v>0</v>
      </c>
      <c r="D26" s="16">
        <f>[24]Resumen!$D$40</f>
        <v>0</v>
      </c>
      <c r="E26" s="14">
        <f>[24]Resumen!$E$40</f>
        <v>0</v>
      </c>
      <c r="F26" s="15">
        <f>[24]Resumen!$F$40</f>
        <v>0</v>
      </c>
      <c r="G26" s="17">
        <f>[24]Resumen!$G$40</f>
        <v>0</v>
      </c>
      <c r="H26" s="18">
        <f>[24]Resumen!$H$40</f>
        <v>0</v>
      </c>
      <c r="I26" s="15">
        <f>[24]Resumen!$I$40</f>
        <v>0</v>
      </c>
      <c r="J26" s="16">
        <f>[24]Resumen!$J$40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[25]Resumen!$B$40</f>
        <v>0</v>
      </c>
      <c r="C27" s="15">
        <f>[25]Resumen!$C$40</f>
        <v>0</v>
      </c>
      <c r="D27" s="16">
        <f>[25]Resumen!$D$40</f>
        <v>0</v>
      </c>
      <c r="E27" s="14">
        <f>[25]Resumen!$E$40</f>
        <v>0</v>
      </c>
      <c r="F27" s="15">
        <f>[25]Resumen!$F$40</f>
        <v>0</v>
      </c>
      <c r="G27" s="17">
        <f>[25]Resumen!$G$40</f>
        <v>0</v>
      </c>
      <c r="H27" s="18">
        <f>[25]Resumen!$H$40</f>
        <v>0</v>
      </c>
      <c r="I27" s="15">
        <f>[25]Resumen!$I$40</f>
        <v>0</v>
      </c>
      <c r="J27" s="16">
        <f>[25]Resumen!$J$40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[26]Resumen!$B$40</f>
        <v>0</v>
      </c>
      <c r="C28" s="15">
        <f>[26]Resumen!$C$40</f>
        <v>0</v>
      </c>
      <c r="D28" s="16">
        <f>[26]Resumen!$D$40</f>
        <v>0</v>
      </c>
      <c r="E28" s="14">
        <f>[26]Resumen!$E$40</f>
        <v>0</v>
      </c>
      <c r="F28" s="15">
        <f>[26]Resumen!$F$40</f>
        <v>0</v>
      </c>
      <c r="G28" s="17">
        <f>[26]Resumen!$G$40</f>
        <v>0</v>
      </c>
      <c r="H28" s="18">
        <f>[26]Resumen!$H$40</f>
        <v>0</v>
      </c>
      <c r="I28" s="15">
        <f>[26]Resumen!$I$40</f>
        <v>0</v>
      </c>
      <c r="J28" s="16">
        <f>[26]Resumen!$J$40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[27]Resumen!$B$40</f>
        <v>0</v>
      </c>
      <c r="C29" s="15">
        <f>[27]Resumen!$C$40</f>
        <v>0</v>
      </c>
      <c r="D29" s="16">
        <f>[27]Resumen!$D$40</f>
        <v>0</v>
      </c>
      <c r="E29" s="14">
        <f>[27]Resumen!$E$40</f>
        <v>0</v>
      </c>
      <c r="F29" s="15">
        <f>[27]Resumen!$F$40</f>
        <v>0</v>
      </c>
      <c r="G29" s="17">
        <f>[27]Resumen!$G$40</f>
        <v>0</v>
      </c>
      <c r="H29" s="18">
        <f>[27]Resumen!$H$40</f>
        <v>0</v>
      </c>
      <c r="I29" s="15">
        <f>[27]Resumen!$I$40</f>
        <v>0</v>
      </c>
      <c r="J29" s="16">
        <f>[27]Resumen!$J$40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[28]Resumen!$B$40</f>
        <v>0</v>
      </c>
      <c r="C30" s="15">
        <f>[28]Resumen!$C$40</f>
        <v>0</v>
      </c>
      <c r="D30" s="16">
        <f>[28]Resumen!$D$40</f>
        <v>0</v>
      </c>
      <c r="E30" s="14">
        <f>[28]Resumen!$E$40</f>
        <v>0</v>
      </c>
      <c r="F30" s="15">
        <f>[28]Resumen!$F$40</f>
        <v>0</v>
      </c>
      <c r="G30" s="17">
        <f>[28]Resumen!$G$40</f>
        <v>0</v>
      </c>
      <c r="H30" s="18">
        <f>[28]Resumen!$H$40</f>
        <v>0</v>
      </c>
      <c r="I30" s="15">
        <f>[28]Resumen!$I$40</f>
        <v>0</v>
      </c>
      <c r="J30" s="16">
        <f>[28]Resumen!$J$40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[29]Resumen!$B$40</f>
        <v>0</v>
      </c>
      <c r="C31" s="15">
        <f>[29]Resumen!$C$40</f>
        <v>0</v>
      </c>
      <c r="D31" s="16">
        <f>[29]Resumen!$D$40</f>
        <v>0</v>
      </c>
      <c r="E31" s="14">
        <f>[29]Resumen!$E$40</f>
        <v>0</v>
      </c>
      <c r="F31" s="15">
        <f>[29]Resumen!$F$40</f>
        <v>0</v>
      </c>
      <c r="G31" s="17">
        <f>[29]Resumen!$G$40</f>
        <v>0</v>
      </c>
      <c r="H31" s="18">
        <f>[29]Resumen!$H$40</f>
        <v>0</v>
      </c>
      <c r="I31" s="15">
        <f>[29]Resumen!$I$40</f>
        <v>0</v>
      </c>
      <c r="J31" s="16">
        <f>[29]Resumen!$J$40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[30]Resumen!$B$40</f>
        <v>0</v>
      </c>
      <c r="C32" s="15">
        <f>[30]Resumen!$C$40</f>
        <v>0</v>
      </c>
      <c r="D32" s="16">
        <f>[30]Resumen!$D$40</f>
        <v>0</v>
      </c>
      <c r="E32" s="14">
        <f>[30]Resumen!$E$40</f>
        <v>0</v>
      </c>
      <c r="F32" s="15">
        <f>[30]Resumen!$F$40</f>
        <v>0</v>
      </c>
      <c r="G32" s="17">
        <f>[30]Resumen!$G$40</f>
        <v>0</v>
      </c>
      <c r="H32" s="18">
        <f>[30]Resumen!$H$40</f>
        <v>0</v>
      </c>
      <c r="I32" s="15">
        <f>[30]Resumen!$I$40</f>
        <v>0</v>
      </c>
      <c r="J32" s="16">
        <f>[30]Resumen!$J$40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[31]Resumen!$B$40</f>
        <v>0</v>
      </c>
      <c r="C33" s="15">
        <f>[31]Resumen!$C$40</f>
        <v>0</v>
      </c>
      <c r="D33" s="16">
        <f>[31]Resumen!$D$40</f>
        <v>0</v>
      </c>
      <c r="E33" s="14">
        <f>[31]Resumen!$E$40</f>
        <v>0</v>
      </c>
      <c r="F33" s="15">
        <f>[31]Resumen!$F$40</f>
        <v>0</v>
      </c>
      <c r="G33" s="17">
        <f>[31]Resumen!$G$40</f>
        <v>0</v>
      </c>
      <c r="H33" s="18">
        <f>[31]Resumen!$H$40</f>
        <v>0</v>
      </c>
      <c r="I33" s="15">
        <f>[31]Resumen!$I$40</f>
        <v>0</v>
      </c>
      <c r="J33" s="16">
        <f>[31]Resumen!$J$40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[10]Resumen!$B$40</f>
        <v>0</v>
      </c>
      <c r="C34" s="15">
        <f>[10]Resumen!$C$40</f>
        <v>0</v>
      </c>
      <c r="D34" s="16">
        <f>[10]Resumen!$D$40</f>
        <v>0</v>
      </c>
      <c r="E34" s="14">
        <f>[10]Resumen!$E$40</f>
        <v>0</v>
      </c>
      <c r="F34" s="15">
        <f>[10]Resumen!$F$40</f>
        <v>0</v>
      </c>
      <c r="G34" s="17">
        <f>[10]Resumen!$G$40</f>
        <v>0</v>
      </c>
      <c r="H34" s="18">
        <f>[10]Resumen!$H$40</f>
        <v>0</v>
      </c>
      <c r="I34" s="15">
        <f>[10]Resumen!$I$40</f>
        <v>0</v>
      </c>
      <c r="J34" s="16">
        <f>[10]Resumen!$J$40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+[11]Resumen!$B$40</f>
        <v>0</v>
      </c>
      <c r="C35" s="22">
        <f>+[11]Resumen!$C$40</f>
        <v>0</v>
      </c>
      <c r="D35" s="23">
        <f>+[11]Resumen!$D$40</f>
        <v>0</v>
      </c>
      <c r="E35" s="21">
        <f>+[11]Resumen!$E$40</f>
        <v>0</v>
      </c>
      <c r="F35" s="22">
        <f>+[11]Resumen!$F$40</f>
        <v>0</v>
      </c>
      <c r="G35" s="24">
        <f>+[11]Resumen!$G$40</f>
        <v>0</v>
      </c>
      <c r="H35" s="25">
        <f>+[11]Resumen!$H$40</f>
        <v>0</v>
      </c>
      <c r="I35" s="22">
        <f>+[11]Resumen!$I$40</f>
        <v>0</v>
      </c>
      <c r="J35" s="23">
        <f>+[11]Resumen!$J$40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3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59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[1]Resumen!$B$41</f>
        <v>0</v>
      </c>
      <c r="C5" s="58">
        <f>[1]Resumen!$C$41</f>
        <v>0</v>
      </c>
      <c r="D5" s="54">
        <f>[1]Resumen!$D$41</f>
        <v>0</v>
      </c>
      <c r="E5" s="53">
        <f>[1]Resumen!$E$41</f>
        <v>0</v>
      </c>
      <c r="F5" s="58">
        <f>[1]Resumen!$F$41</f>
        <v>0</v>
      </c>
      <c r="G5" s="55">
        <f>[1]Resumen!$G$41</f>
        <v>0</v>
      </c>
      <c r="H5" s="61">
        <f>[1]Resumen!$H$41</f>
        <v>0</v>
      </c>
      <c r="I5" s="58">
        <f>[1]Resumen!$I$41</f>
        <v>0</v>
      </c>
      <c r="J5" s="54">
        <f>[1]Resumen!$J$41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[2]Resumen!$B$41</f>
        <v>0</v>
      </c>
      <c r="C6" s="15">
        <f>[2]Resumen!$C$41</f>
        <v>0</v>
      </c>
      <c r="D6" s="16">
        <f>[2]Resumen!$D$41</f>
        <v>0</v>
      </c>
      <c r="E6" s="14">
        <f>[2]Resumen!$E$41</f>
        <v>0</v>
      </c>
      <c r="F6" s="15">
        <f>[2]Resumen!$F$41</f>
        <v>0</v>
      </c>
      <c r="G6" s="17">
        <f>[2]Resumen!$G$41</f>
        <v>0</v>
      </c>
      <c r="H6" s="18">
        <f>[2]Resumen!$H$41</f>
        <v>0</v>
      </c>
      <c r="I6" s="15">
        <f>[2]Resumen!$I$41</f>
        <v>0</v>
      </c>
      <c r="J6" s="16">
        <f>[2]Resumen!$J$41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[3]Resumen!$B$41</f>
        <v>0</v>
      </c>
      <c r="C7" s="15">
        <f>[3]Resumen!$C$41</f>
        <v>0</v>
      </c>
      <c r="D7" s="16">
        <f>[3]Resumen!$D$41</f>
        <v>0</v>
      </c>
      <c r="E7" s="14">
        <f>[3]Resumen!$E$41</f>
        <v>0</v>
      </c>
      <c r="F7" s="15">
        <f>[3]Resumen!$F$41</f>
        <v>0</v>
      </c>
      <c r="G7" s="17">
        <f>[3]Resumen!$G$41</f>
        <v>0</v>
      </c>
      <c r="H7" s="18">
        <f>[3]Resumen!$H$41</f>
        <v>0</v>
      </c>
      <c r="I7" s="15">
        <f>[3]Resumen!$I$41</f>
        <v>0</v>
      </c>
      <c r="J7" s="16">
        <f>[3]Resumen!$J$41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[4]Resumen!$B$41</f>
        <v>0</v>
      </c>
      <c r="C8" s="15">
        <f>[4]Resumen!$C$41</f>
        <v>0</v>
      </c>
      <c r="D8" s="16">
        <f>[4]Resumen!$D$41</f>
        <v>0</v>
      </c>
      <c r="E8" s="14">
        <f>[4]Resumen!$E$41</f>
        <v>0</v>
      </c>
      <c r="F8" s="15">
        <f>[4]Resumen!$F$41</f>
        <v>0</v>
      </c>
      <c r="G8" s="17">
        <f>[4]Resumen!$G$41</f>
        <v>0</v>
      </c>
      <c r="H8" s="18">
        <f>[4]Resumen!$H$41</f>
        <v>0</v>
      </c>
      <c r="I8" s="15">
        <f>[4]Resumen!$I$41</f>
        <v>0</v>
      </c>
      <c r="J8" s="16">
        <f>[4]Resumen!$J$41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[5]Resumen!$B$41</f>
        <v>0</v>
      </c>
      <c r="C9" s="15">
        <f>[5]Resumen!$C$41</f>
        <v>0</v>
      </c>
      <c r="D9" s="16">
        <f>[5]Resumen!$D$41</f>
        <v>0</v>
      </c>
      <c r="E9" s="14">
        <f>[5]Resumen!$E$41</f>
        <v>0</v>
      </c>
      <c r="F9" s="15">
        <f>[5]Resumen!$F$41</f>
        <v>0</v>
      </c>
      <c r="G9" s="17">
        <f>[5]Resumen!$G$41</f>
        <v>0</v>
      </c>
      <c r="H9" s="18">
        <f>[5]Resumen!$H$41</f>
        <v>0</v>
      </c>
      <c r="I9" s="15">
        <f>[5]Resumen!$I$41</f>
        <v>0</v>
      </c>
      <c r="J9" s="16">
        <f>[5]Resumen!$J$41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[6]Resumen!$B$41</f>
        <v>0</v>
      </c>
      <c r="C10" s="15">
        <f>[6]Resumen!$C$41</f>
        <v>0</v>
      </c>
      <c r="D10" s="16">
        <f>[6]Resumen!$D$41</f>
        <v>0</v>
      </c>
      <c r="E10" s="14">
        <f>[6]Resumen!$E$41</f>
        <v>0</v>
      </c>
      <c r="F10" s="15">
        <f>[6]Resumen!$F$41</f>
        <v>0</v>
      </c>
      <c r="G10" s="17">
        <f>[6]Resumen!$G$41</f>
        <v>0</v>
      </c>
      <c r="H10" s="18">
        <f>[6]Resumen!$H$41</f>
        <v>0</v>
      </c>
      <c r="I10" s="15">
        <f>[6]Resumen!$I$41</f>
        <v>0</v>
      </c>
      <c r="J10" s="16">
        <f>[6]Resumen!$J$41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[7]Resumen!$B$41</f>
        <v>0</v>
      </c>
      <c r="C11" s="15">
        <f>[7]Resumen!$C$41</f>
        <v>0</v>
      </c>
      <c r="D11" s="16">
        <f>[7]Resumen!$D$41</f>
        <v>0</v>
      </c>
      <c r="E11" s="14">
        <f>[7]Resumen!$E$41</f>
        <v>0</v>
      </c>
      <c r="F11" s="15">
        <f>[7]Resumen!$F$41</f>
        <v>0</v>
      </c>
      <c r="G11" s="17">
        <f>[7]Resumen!$G$41</f>
        <v>0</v>
      </c>
      <c r="H11" s="18">
        <f>[7]Resumen!$H$41</f>
        <v>0</v>
      </c>
      <c r="I11" s="15">
        <f>[7]Resumen!$I$41</f>
        <v>0</v>
      </c>
      <c r="J11" s="16">
        <f>[7]Resumen!$J$41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[8]Resumen!$B$41</f>
        <v>0</v>
      </c>
      <c r="C12" s="15">
        <f>[8]Resumen!$C$41</f>
        <v>0</v>
      </c>
      <c r="D12" s="16">
        <f>[8]Resumen!$D$41</f>
        <v>0</v>
      </c>
      <c r="E12" s="14">
        <f>[8]Resumen!$E$41</f>
        <v>0</v>
      </c>
      <c r="F12" s="15">
        <f>[8]Resumen!$F$41</f>
        <v>0</v>
      </c>
      <c r="G12" s="17">
        <f>[8]Resumen!$G$41</f>
        <v>0</v>
      </c>
      <c r="H12" s="18">
        <f>[8]Resumen!$H$41</f>
        <v>0</v>
      </c>
      <c r="I12" s="15">
        <f>[8]Resumen!$I$41</f>
        <v>0</v>
      </c>
      <c r="J12" s="16">
        <f>[8]Resumen!$J$41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[9]Resumen!$B$41</f>
        <v>0</v>
      </c>
      <c r="C13" s="15">
        <f>[9]Resumen!$C$41</f>
        <v>0</v>
      </c>
      <c r="D13" s="16">
        <f>[9]Resumen!$D$41</f>
        <v>0</v>
      </c>
      <c r="E13" s="14">
        <f>[9]Resumen!$E$41</f>
        <v>0</v>
      </c>
      <c r="F13" s="15">
        <f>[9]Resumen!$F$41</f>
        <v>0</v>
      </c>
      <c r="G13" s="17">
        <f>[9]Resumen!$G$41</f>
        <v>0</v>
      </c>
      <c r="H13" s="18">
        <f>[9]Resumen!$H$41</f>
        <v>0</v>
      </c>
      <c r="I13" s="15">
        <f>[9]Resumen!$I$41</f>
        <v>0</v>
      </c>
      <c r="J13" s="16">
        <f>[9]Resumen!$J$41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[12]Resumen!$B$41</f>
        <v>0</v>
      </c>
      <c r="C14" s="15">
        <f>[12]Resumen!$C$41</f>
        <v>0</v>
      </c>
      <c r="D14" s="16">
        <f>[12]Resumen!$D$41</f>
        <v>0</v>
      </c>
      <c r="E14" s="14">
        <f>[12]Resumen!$E$41</f>
        <v>0</v>
      </c>
      <c r="F14" s="15">
        <f>[12]Resumen!$F$41</f>
        <v>0</v>
      </c>
      <c r="G14" s="17">
        <f>[12]Resumen!$G$41</f>
        <v>0</v>
      </c>
      <c r="H14" s="18">
        <f>[12]Resumen!$H$41</f>
        <v>0</v>
      </c>
      <c r="I14" s="15">
        <f>[12]Resumen!$I$41</f>
        <v>0</v>
      </c>
      <c r="J14" s="16">
        <f>[12]Resumen!$J$41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[13]Resumen!$B$41</f>
        <v>0</v>
      </c>
      <c r="C15" s="15">
        <f>[13]Resumen!$C$41</f>
        <v>0</v>
      </c>
      <c r="D15" s="16">
        <f>[13]Resumen!$D$41</f>
        <v>0</v>
      </c>
      <c r="E15" s="14">
        <f>[13]Resumen!$E$41</f>
        <v>0</v>
      </c>
      <c r="F15" s="15">
        <f>[13]Resumen!$F$41</f>
        <v>0</v>
      </c>
      <c r="G15" s="17">
        <f>[13]Resumen!$G$41</f>
        <v>0</v>
      </c>
      <c r="H15" s="18">
        <f>[13]Resumen!$H$41</f>
        <v>0</v>
      </c>
      <c r="I15" s="15">
        <f>[13]Resumen!$I$41</f>
        <v>0</v>
      </c>
      <c r="J15" s="16">
        <f>[13]Resumen!$J$41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[14]Resumen!$B$41</f>
        <v>0</v>
      </c>
      <c r="C16" s="15">
        <f>[14]Resumen!$C$41</f>
        <v>0</v>
      </c>
      <c r="D16" s="16">
        <f>[14]Resumen!$D$41</f>
        <v>0</v>
      </c>
      <c r="E16" s="14">
        <f>[14]Resumen!$E$41</f>
        <v>0</v>
      </c>
      <c r="F16" s="15">
        <f>[14]Resumen!$F$41</f>
        <v>0</v>
      </c>
      <c r="G16" s="17">
        <f>[14]Resumen!$G$41</f>
        <v>0</v>
      </c>
      <c r="H16" s="18">
        <f>[14]Resumen!$H$41</f>
        <v>0</v>
      </c>
      <c r="I16" s="15">
        <f>[14]Resumen!$I$41</f>
        <v>0</v>
      </c>
      <c r="J16" s="16">
        <f>[14]Resumen!$J$41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[15]Resumen!$B$41</f>
        <v>0</v>
      </c>
      <c r="C17" s="15">
        <f>[15]Resumen!$C$41</f>
        <v>0</v>
      </c>
      <c r="D17" s="16">
        <f>[15]Resumen!$D$41</f>
        <v>0</v>
      </c>
      <c r="E17" s="14">
        <f>[15]Resumen!$E$41</f>
        <v>0</v>
      </c>
      <c r="F17" s="15">
        <f>[15]Resumen!$F$41</f>
        <v>0</v>
      </c>
      <c r="G17" s="17">
        <f>[15]Resumen!$G$41</f>
        <v>0</v>
      </c>
      <c r="H17" s="18">
        <f>[15]Resumen!$H$41</f>
        <v>0</v>
      </c>
      <c r="I17" s="15">
        <f>[15]Resumen!$I$41</f>
        <v>0</v>
      </c>
      <c r="J17" s="16">
        <f>[15]Resumen!$J$41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[16]Resumen!$B$41</f>
        <v>0</v>
      </c>
      <c r="C18" s="15">
        <f>[16]Resumen!$C$41</f>
        <v>0</v>
      </c>
      <c r="D18" s="16">
        <f>[16]Resumen!$D$41</f>
        <v>0</v>
      </c>
      <c r="E18" s="14">
        <f>[16]Resumen!$E$41</f>
        <v>0</v>
      </c>
      <c r="F18" s="15">
        <f>[16]Resumen!$F$41</f>
        <v>0</v>
      </c>
      <c r="G18" s="17">
        <f>[16]Resumen!$G$41</f>
        <v>0</v>
      </c>
      <c r="H18" s="18">
        <f>[16]Resumen!$H$41</f>
        <v>0</v>
      </c>
      <c r="I18" s="15">
        <f>[16]Resumen!$I$41</f>
        <v>0</v>
      </c>
      <c r="J18" s="16">
        <f>[16]Resumen!$J$41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[17]Resumen!$B$41</f>
        <v>0</v>
      </c>
      <c r="C19" s="15">
        <f>[17]Resumen!$C$41</f>
        <v>0</v>
      </c>
      <c r="D19" s="16">
        <f>[17]Resumen!$D$41</f>
        <v>0</v>
      </c>
      <c r="E19" s="14">
        <f>[17]Resumen!$E$41</f>
        <v>0</v>
      </c>
      <c r="F19" s="15">
        <f>[17]Resumen!$F$41</f>
        <v>0</v>
      </c>
      <c r="G19" s="17">
        <f>[17]Resumen!$G$41</f>
        <v>0</v>
      </c>
      <c r="H19" s="18">
        <f>[17]Resumen!$H$41</f>
        <v>0</v>
      </c>
      <c r="I19" s="15">
        <f>[17]Resumen!$I$41</f>
        <v>0</v>
      </c>
      <c r="J19" s="16">
        <f>[17]Resumen!$J$41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[18]Resumen!$B$41</f>
        <v>0</v>
      </c>
      <c r="C20" s="15">
        <f>[18]Resumen!$C$41</f>
        <v>0</v>
      </c>
      <c r="D20" s="16">
        <f>[18]Resumen!$D$41</f>
        <v>0</v>
      </c>
      <c r="E20" s="14">
        <f>[18]Resumen!$E$41</f>
        <v>0</v>
      </c>
      <c r="F20" s="15">
        <f>[18]Resumen!$F$41</f>
        <v>0</v>
      </c>
      <c r="G20" s="17">
        <f>[18]Resumen!$G$41</f>
        <v>0</v>
      </c>
      <c r="H20" s="18">
        <f>[18]Resumen!$H$41</f>
        <v>0</v>
      </c>
      <c r="I20" s="15">
        <f>[18]Resumen!$I$41</f>
        <v>0</v>
      </c>
      <c r="J20" s="16">
        <f>[18]Resumen!$J$41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[19]Resumen!$B$41</f>
        <v>0</v>
      </c>
      <c r="C21" s="15">
        <f>[19]Resumen!$C$41</f>
        <v>0</v>
      </c>
      <c r="D21" s="16">
        <f>[19]Resumen!$D$41</f>
        <v>0</v>
      </c>
      <c r="E21" s="14">
        <f>[19]Resumen!$E$41</f>
        <v>0</v>
      </c>
      <c r="F21" s="15">
        <f>[19]Resumen!$F$41</f>
        <v>0</v>
      </c>
      <c r="G21" s="17">
        <f>[19]Resumen!$G$41</f>
        <v>0</v>
      </c>
      <c r="H21" s="18">
        <f>[19]Resumen!$H$41</f>
        <v>0</v>
      </c>
      <c r="I21" s="15">
        <f>[19]Resumen!$I$41</f>
        <v>0</v>
      </c>
      <c r="J21" s="16">
        <f>[19]Resumen!$J$41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[20]Resumen!$B$41</f>
        <v>0</v>
      </c>
      <c r="C22" s="15">
        <f>[20]Resumen!$C$41</f>
        <v>0</v>
      </c>
      <c r="D22" s="16">
        <f>[20]Resumen!$D$41</f>
        <v>0</v>
      </c>
      <c r="E22" s="14">
        <f>[20]Resumen!$E$41</f>
        <v>0</v>
      </c>
      <c r="F22" s="15">
        <f>[20]Resumen!$F$41</f>
        <v>0</v>
      </c>
      <c r="G22" s="17">
        <f>[20]Resumen!$G$41</f>
        <v>0</v>
      </c>
      <c r="H22" s="18">
        <f>[20]Resumen!$H$41</f>
        <v>0</v>
      </c>
      <c r="I22" s="15">
        <f>[20]Resumen!$I$41</f>
        <v>0</v>
      </c>
      <c r="J22" s="16">
        <f>[20]Resumen!$J$41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[21]Resumen!$B$41</f>
        <v>0</v>
      </c>
      <c r="C23" s="15">
        <f>[21]Resumen!$C$41</f>
        <v>0</v>
      </c>
      <c r="D23" s="16">
        <f>[21]Resumen!$D$41</f>
        <v>0</v>
      </c>
      <c r="E23" s="14">
        <f>[21]Resumen!$E$41</f>
        <v>0</v>
      </c>
      <c r="F23" s="15">
        <f>[21]Resumen!$F$41</f>
        <v>0</v>
      </c>
      <c r="G23" s="17">
        <f>[21]Resumen!$G$41</f>
        <v>0</v>
      </c>
      <c r="H23" s="18">
        <f>[21]Resumen!$H$41</f>
        <v>0</v>
      </c>
      <c r="I23" s="15">
        <f>[21]Resumen!$I$41</f>
        <v>0</v>
      </c>
      <c r="J23" s="16">
        <f>[21]Resumen!$J$41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[22]Resumen!$B$41</f>
        <v>0</v>
      </c>
      <c r="C24" s="15">
        <f>[22]Resumen!$C$41</f>
        <v>0</v>
      </c>
      <c r="D24" s="16">
        <f>[22]Resumen!$D$41</f>
        <v>0</v>
      </c>
      <c r="E24" s="14">
        <f>[22]Resumen!$E$41</f>
        <v>0</v>
      </c>
      <c r="F24" s="15">
        <f>[22]Resumen!$F$41</f>
        <v>0</v>
      </c>
      <c r="G24" s="17">
        <f>[22]Resumen!$G$41</f>
        <v>0</v>
      </c>
      <c r="H24" s="18">
        <f>[22]Resumen!$H$41</f>
        <v>0</v>
      </c>
      <c r="I24" s="15">
        <f>[22]Resumen!$I$41</f>
        <v>0</v>
      </c>
      <c r="J24" s="16">
        <f>[22]Resumen!$J$41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[23]Resumen!$B$41</f>
        <v>0</v>
      </c>
      <c r="C25" s="15">
        <f>[23]Resumen!$C$41</f>
        <v>0</v>
      </c>
      <c r="D25" s="16">
        <f>[23]Resumen!$D$41</f>
        <v>0</v>
      </c>
      <c r="E25" s="14">
        <f>[23]Resumen!$E$41</f>
        <v>0</v>
      </c>
      <c r="F25" s="15">
        <f>[23]Resumen!$F$41</f>
        <v>0</v>
      </c>
      <c r="G25" s="17">
        <f>[23]Resumen!$G$41</f>
        <v>0</v>
      </c>
      <c r="H25" s="18">
        <f>[23]Resumen!$H$41</f>
        <v>0</v>
      </c>
      <c r="I25" s="15">
        <f>[23]Resumen!$I$41</f>
        <v>0</v>
      </c>
      <c r="J25" s="16">
        <f>[23]Resumen!$J$41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[24]Resumen!$B$41</f>
        <v>0</v>
      </c>
      <c r="C26" s="15">
        <f>[24]Resumen!$C$41</f>
        <v>0</v>
      </c>
      <c r="D26" s="16">
        <f>[24]Resumen!$D$41</f>
        <v>0</v>
      </c>
      <c r="E26" s="14">
        <f>[24]Resumen!$E$41</f>
        <v>0</v>
      </c>
      <c r="F26" s="15">
        <f>[24]Resumen!$F$41</f>
        <v>0</v>
      </c>
      <c r="G26" s="17">
        <f>[24]Resumen!$G$41</f>
        <v>0</v>
      </c>
      <c r="H26" s="18">
        <f>[24]Resumen!$H$41</f>
        <v>0</v>
      </c>
      <c r="I26" s="15">
        <f>[24]Resumen!$I$41</f>
        <v>0</v>
      </c>
      <c r="J26" s="16">
        <f>[24]Resumen!$J$41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[25]Resumen!$B$41</f>
        <v>0</v>
      </c>
      <c r="C27" s="15">
        <f>[25]Resumen!$C$41</f>
        <v>0</v>
      </c>
      <c r="D27" s="16">
        <f>[25]Resumen!$D$41</f>
        <v>0</v>
      </c>
      <c r="E27" s="14">
        <f>[25]Resumen!$E$41</f>
        <v>0</v>
      </c>
      <c r="F27" s="15">
        <f>[25]Resumen!$F$41</f>
        <v>0</v>
      </c>
      <c r="G27" s="17">
        <f>[25]Resumen!$G$41</f>
        <v>0</v>
      </c>
      <c r="H27" s="18">
        <f>[25]Resumen!$H$41</f>
        <v>0</v>
      </c>
      <c r="I27" s="15">
        <f>[25]Resumen!$I$41</f>
        <v>0</v>
      </c>
      <c r="J27" s="16">
        <f>[25]Resumen!$J$41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[26]Resumen!$B$41</f>
        <v>0</v>
      </c>
      <c r="C28" s="15">
        <f>[26]Resumen!$C$41</f>
        <v>0</v>
      </c>
      <c r="D28" s="16">
        <f>[26]Resumen!$D$41</f>
        <v>0</v>
      </c>
      <c r="E28" s="14">
        <f>[26]Resumen!$E$41</f>
        <v>0</v>
      </c>
      <c r="F28" s="15">
        <f>[26]Resumen!$F$41</f>
        <v>0</v>
      </c>
      <c r="G28" s="17">
        <f>[26]Resumen!$G$41</f>
        <v>0</v>
      </c>
      <c r="H28" s="18">
        <f>[26]Resumen!$H$41</f>
        <v>0</v>
      </c>
      <c r="I28" s="15">
        <f>[26]Resumen!$I$41</f>
        <v>0</v>
      </c>
      <c r="J28" s="16">
        <f>[26]Resumen!$J$41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[27]Resumen!$B$41</f>
        <v>0</v>
      </c>
      <c r="C29" s="15">
        <f>[27]Resumen!$C$41</f>
        <v>0</v>
      </c>
      <c r="D29" s="16">
        <f>[27]Resumen!$D$41</f>
        <v>0</v>
      </c>
      <c r="E29" s="14">
        <f>[27]Resumen!$E$41</f>
        <v>0</v>
      </c>
      <c r="F29" s="15">
        <f>[27]Resumen!$F$41</f>
        <v>0</v>
      </c>
      <c r="G29" s="17">
        <f>[27]Resumen!$G$41</f>
        <v>0</v>
      </c>
      <c r="H29" s="18">
        <f>[27]Resumen!$H$41</f>
        <v>0</v>
      </c>
      <c r="I29" s="15">
        <f>[27]Resumen!$I$41</f>
        <v>0</v>
      </c>
      <c r="J29" s="16">
        <f>[27]Resumen!$J$41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[28]Resumen!$B$41</f>
        <v>0</v>
      </c>
      <c r="C30" s="15">
        <f>[28]Resumen!$C$41</f>
        <v>0</v>
      </c>
      <c r="D30" s="16">
        <f>[28]Resumen!$D$41</f>
        <v>0</v>
      </c>
      <c r="E30" s="14">
        <f>[28]Resumen!$E$41</f>
        <v>0</v>
      </c>
      <c r="F30" s="15">
        <f>[28]Resumen!$F$41</f>
        <v>0</v>
      </c>
      <c r="G30" s="17">
        <f>[28]Resumen!$G$41</f>
        <v>0</v>
      </c>
      <c r="H30" s="18">
        <f>[28]Resumen!$H$41</f>
        <v>0</v>
      </c>
      <c r="I30" s="15">
        <f>[28]Resumen!$I$41</f>
        <v>0</v>
      </c>
      <c r="J30" s="16">
        <f>[28]Resumen!$J$41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[29]Resumen!$B$41</f>
        <v>0</v>
      </c>
      <c r="C31" s="15">
        <f>[29]Resumen!$C$41</f>
        <v>0</v>
      </c>
      <c r="D31" s="16">
        <f>[29]Resumen!$D$41</f>
        <v>0</v>
      </c>
      <c r="E31" s="14">
        <f>[29]Resumen!$E$41</f>
        <v>0</v>
      </c>
      <c r="F31" s="15">
        <f>[29]Resumen!$F$41</f>
        <v>0</v>
      </c>
      <c r="G31" s="17">
        <f>[29]Resumen!$G$41</f>
        <v>0</v>
      </c>
      <c r="H31" s="18">
        <f>[29]Resumen!$H$41</f>
        <v>0</v>
      </c>
      <c r="I31" s="15">
        <f>[29]Resumen!$I$41</f>
        <v>0</v>
      </c>
      <c r="J31" s="16">
        <f>[29]Resumen!$J$41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[30]Resumen!$B$41</f>
        <v>0</v>
      </c>
      <c r="C32" s="15">
        <f>[30]Resumen!$C$41</f>
        <v>0</v>
      </c>
      <c r="D32" s="16">
        <f>[30]Resumen!$D$41</f>
        <v>0</v>
      </c>
      <c r="E32" s="14">
        <f>[30]Resumen!$E$41</f>
        <v>0</v>
      </c>
      <c r="F32" s="15">
        <f>[30]Resumen!$F$41</f>
        <v>0</v>
      </c>
      <c r="G32" s="17">
        <f>[30]Resumen!$G$41</f>
        <v>0</v>
      </c>
      <c r="H32" s="18">
        <f>[30]Resumen!$H$41</f>
        <v>0</v>
      </c>
      <c r="I32" s="15">
        <f>[30]Resumen!$I$41</f>
        <v>0</v>
      </c>
      <c r="J32" s="16">
        <f>[30]Resumen!$J$41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[31]Resumen!$B$41</f>
        <v>0</v>
      </c>
      <c r="C33" s="15">
        <f>[31]Resumen!$C$41</f>
        <v>0</v>
      </c>
      <c r="D33" s="16">
        <f>[31]Resumen!$D$41</f>
        <v>0</v>
      </c>
      <c r="E33" s="14">
        <f>[31]Resumen!$E$41</f>
        <v>0</v>
      </c>
      <c r="F33" s="15">
        <f>[31]Resumen!$F$41</f>
        <v>0</v>
      </c>
      <c r="G33" s="17">
        <f>[31]Resumen!$G$41</f>
        <v>0</v>
      </c>
      <c r="H33" s="18">
        <f>[31]Resumen!$H$41</f>
        <v>0</v>
      </c>
      <c r="I33" s="15">
        <f>[31]Resumen!$I$41</f>
        <v>0</v>
      </c>
      <c r="J33" s="16">
        <f>[31]Resumen!$J$41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[10]Resumen!$B$41</f>
        <v>0</v>
      </c>
      <c r="C34" s="15">
        <f>[10]Resumen!$C$41</f>
        <v>0</v>
      </c>
      <c r="D34" s="16">
        <f>[10]Resumen!$D$41</f>
        <v>0</v>
      </c>
      <c r="E34" s="14">
        <f>[10]Resumen!$E$41</f>
        <v>0</v>
      </c>
      <c r="F34" s="15">
        <f>[10]Resumen!$F$41</f>
        <v>0</v>
      </c>
      <c r="G34" s="17">
        <f>[10]Resumen!$G$41</f>
        <v>0</v>
      </c>
      <c r="H34" s="18">
        <f>[10]Resumen!$H$41</f>
        <v>0</v>
      </c>
      <c r="I34" s="15">
        <f>[10]Resumen!$I$41</f>
        <v>0</v>
      </c>
      <c r="J34" s="16">
        <f>[10]Resumen!$J$41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+[11]Resumen!$B$41</f>
        <v>0</v>
      </c>
      <c r="C35" s="22">
        <f>+[11]Resumen!$C$41</f>
        <v>0</v>
      </c>
      <c r="D35" s="23">
        <f>+[11]Resumen!$D$41</f>
        <v>0</v>
      </c>
      <c r="E35" s="21">
        <f>+[11]Resumen!$E$41</f>
        <v>0</v>
      </c>
      <c r="F35" s="22">
        <f>+[11]Resumen!$F$41</f>
        <v>0</v>
      </c>
      <c r="G35" s="24">
        <f>+[11]Resumen!$G$41</f>
        <v>0</v>
      </c>
      <c r="H35" s="25">
        <f>+[11]Resumen!$H$41</f>
        <v>0</v>
      </c>
      <c r="I35" s="22">
        <f>+[11]Resumen!$I$41</f>
        <v>0</v>
      </c>
      <c r="J35" s="23">
        <f>+[11]Resumen!$J$41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425781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8" t="s">
        <v>0</v>
      </c>
      <c r="J1" s="138"/>
      <c r="K1" s="138"/>
      <c r="L1" s="138"/>
      <c r="M1" s="138"/>
      <c r="N1" s="138"/>
    </row>
    <row r="2" spans="1:15" ht="18.75">
      <c r="A2" s="2" t="s">
        <v>1</v>
      </c>
      <c r="B2" s="137" t="s">
        <v>68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[1]Resumen!$B$42</f>
        <v>0</v>
      </c>
      <c r="C5" s="58">
        <f>[1]Resumen!$C$42</f>
        <v>0</v>
      </c>
      <c r="D5" s="54">
        <f>[1]Resumen!$D$42</f>
        <v>0</v>
      </c>
      <c r="E5" s="53">
        <f>[1]Resumen!$E$42</f>
        <v>0</v>
      </c>
      <c r="F5" s="58">
        <f>[1]Resumen!$F$42</f>
        <v>0</v>
      </c>
      <c r="G5" s="55">
        <f>[1]Resumen!$G$42</f>
        <v>0</v>
      </c>
      <c r="H5" s="61">
        <f>[1]Resumen!$H$42</f>
        <v>0</v>
      </c>
      <c r="I5" s="58">
        <f>[1]Resumen!$I$42</f>
        <v>0</v>
      </c>
      <c r="J5" s="54">
        <f>[1]Resumen!$J$42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[2]Resumen!$B$42</f>
        <v>0</v>
      </c>
      <c r="C6" s="15">
        <f>[2]Resumen!$C$42</f>
        <v>0</v>
      </c>
      <c r="D6" s="16">
        <f>[2]Resumen!$D$42</f>
        <v>0</v>
      </c>
      <c r="E6" s="14">
        <f>[2]Resumen!$E$42</f>
        <v>0</v>
      </c>
      <c r="F6" s="15">
        <f>[2]Resumen!$F$42</f>
        <v>0</v>
      </c>
      <c r="G6" s="17">
        <f>[2]Resumen!$G$42</f>
        <v>0</v>
      </c>
      <c r="H6" s="18">
        <f>[2]Resumen!$H$42</f>
        <v>0</v>
      </c>
      <c r="I6" s="15">
        <f>[2]Resumen!$I$42</f>
        <v>0</v>
      </c>
      <c r="J6" s="16">
        <f>[2]Resumen!$J$42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[3]Resumen!$B$42</f>
        <v>0</v>
      </c>
      <c r="C7" s="15">
        <f>[3]Resumen!$C$42</f>
        <v>0</v>
      </c>
      <c r="D7" s="16">
        <f>[3]Resumen!$D$42</f>
        <v>0</v>
      </c>
      <c r="E7" s="14">
        <f>[3]Resumen!$E$42</f>
        <v>0</v>
      </c>
      <c r="F7" s="15">
        <f>[3]Resumen!$F$42</f>
        <v>0</v>
      </c>
      <c r="G7" s="17">
        <f>[3]Resumen!$G$42</f>
        <v>0</v>
      </c>
      <c r="H7" s="18">
        <f>[3]Resumen!$H$42</f>
        <v>0</v>
      </c>
      <c r="I7" s="15">
        <f>[3]Resumen!$I$42</f>
        <v>0</v>
      </c>
      <c r="J7" s="16">
        <f>[3]Resumen!$J$42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[4]Resumen!$B$42</f>
        <v>0</v>
      </c>
      <c r="C8" s="15">
        <f>[4]Resumen!$C$42</f>
        <v>0</v>
      </c>
      <c r="D8" s="16">
        <f>[4]Resumen!$D$42</f>
        <v>0</v>
      </c>
      <c r="E8" s="14">
        <f>[4]Resumen!$E$42</f>
        <v>0</v>
      </c>
      <c r="F8" s="15">
        <f>[4]Resumen!$F$42</f>
        <v>0</v>
      </c>
      <c r="G8" s="17">
        <f>[4]Resumen!$G$42</f>
        <v>0</v>
      </c>
      <c r="H8" s="18">
        <f>[4]Resumen!$H$42</f>
        <v>0</v>
      </c>
      <c r="I8" s="15">
        <f>[4]Resumen!$I$42</f>
        <v>0</v>
      </c>
      <c r="J8" s="16">
        <f>[4]Resumen!$J$42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[5]Resumen!$B$42</f>
        <v>0</v>
      </c>
      <c r="C9" s="15">
        <f>[5]Resumen!$C$42</f>
        <v>0</v>
      </c>
      <c r="D9" s="16">
        <f>[5]Resumen!$D$42</f>
        <v>0</v>
      </c>
      <c r="E9" s="14">
        <f>[5]Resumen!$E$42</f>
        <v>0</v>
      </c>
      <c r="F9" s="15">
        <f>[5]Resumen!$F$42</f>
        <v>0</v>
      </c>
      <c r="G9" s="17">
        <f>[5]Resumen!$G$42</f>
        <v>0</v>
      </c>
      <c r="H9" s="18">
        <f>[5]Resumen!$H$42</f>
        <v>0</v>
      </c>
      <c r="I9" s="15">
        <f>[5]Resumen!$I$42</f>
        <v>0</v>
      </c>
      <c r="J9" s="16">
        <f>[5]Resumen!$J$42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[6]Resumen!$B$42</f>
        <v>0</v>
      </c>
      <c r="C10" s="15">
        <f>[6]Resumen!$C$42</f>
        <v>0</v>
      </c>
      <c r="D10" s="16">
        <f>[6]Resumen!$D$42</f>
        <v>0</v>
      </c>
      <c r="E10" s="14">
        <f>[6]Resumen!$E$42</f>
        <v>0</v>
      </c>
      <c r="F10" s="15">
        <f>[6]Resumen!$F$42</f>
        <v>0</v>
      </c>
      <c r="G10" s="17">
        <f>[6]Resumen!$G$42</f>
        <v>0</v>
      </c>
      <c r="H10" s="18">
        <f>[6]Resumen!$H$42</f>
        <v>0</v>
      </c>
      <c r="I10" s="15">
        <f>[6]Resumen!$I$42</f>
        <v>0</v>
      </c>
      <c r="J10" s="16">
        <f>[6]Resumen!$J$42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[7]Resumen!$B$42</f>
        <v>0</v>
      </c>
      <c r="C11" s="15">
        <f>[7]Resumen!$C$42</f>
        <v>0</v>
      </c>
      <c r="D11" s="16">
        <f>[7]Resumen!$D$42</f>
        <v>0</v>
      </c>
      <c r="E11" s="14">
        <f>[7]Resumen!$E$42</f>
        <v>0</v>
      </c>
      <c r="F11" s="15">
        <f>[7]Resumen!$F$42</f>
        <v>0</v>
      </c>
      <c r="G11" s="17">
        <f>[7]Resumen!$G$42</f>
        <v>0</v>
      </c>
      <c r="H11" s="18">
        <f>[7]Resumen!$H$42</f>
        <v>0</v>
      </c>
      <c r="I11" s="15">
        <f>[7]Resumen!$I$42</f>
        <v>0</v>
      </c>
      <c r="J11" s="16">
        <f>[7]Resumen!$J$42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[8]Resumen!$B$42</f>
        <v>0</v>
      </c>
      <c r="C12" s="15">
        <f>[8]Resumen!$C$42</f>
        <v>0</v>
      </c>
      <c r="D12" s="16">
        <f>[8]Resumen!$D$42</f>
        <v>0</v>
      </c>
      <c r="E12" s="14">
        <f>[8]Resumen!$E$42</f>
        <v>0</v>
      </c>
      <c r="F12" s="15">
        <f>[8]Resumen!$F$42</f>
        <v>0</v>
      </c>
      <c r="G12" s="17">
        <f>[8]Resumen!$G$42</f>
        <v>0</v>
      </c>
      <c r="H12" s="18">
        <f>[8]Resumen!$H$42</f>
        <v>0</v>
      </c>
      <c r="I12" s="15">
        <f>[8]Resumen!$I$42</f>
        <v>0</v>
      </c>
      <c r="J12" s="16">
        <f>[8]Resumen!$J$42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[9]Resumen!$B$42</f>
        <v>0</v>
      </c>
      <c r="C13" s="15">
        <f>[9]Resumen!$C$42</f>
        <v>0</v>
      </c>
      <c r="D13" s="16">
        <f>[9]Resumen!$D$42</f>
        <v>0</v>
      </c>
      <c r="E13" s="14">
        <f>[9]Resumen!$E$42</f>
        <v>0</v>
      </c>
      <c r="F13" s="15">
        <f>[9]Resumen!$F$42</f>
        <v>0</v>
      </c>
      <c r="G13" s="17">
        <f>[9]Resumen!$G$42</f>
        <v>0</v>
      </c>
      <c r="H13" s="18">
        <f>[9]Resumen!$H$42</f>
        <v>0</v>
      </c>
      <c r="I13" s="15">
        <f>[9]Resumen!$I$42</f>
        <v>0</v>
      </c>
      <c r="J13" s="16">
        <f>[9]Resumen!$J$42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[12]Resumen!$B$42</f>
        <v>0</v>
      </c>
      <c r="C14" s="15">
        <f>[12]Resumen!$C$42</f>
        <v>0</v>
      </c>
      <c r="D14" s="16">
        <f>[12]Resumen!$D$42</f>
        <v>0</v>
      </c>
      <c r="E14" s="14">
        <f>[12]Resumen!$E$42</f>
        <v>0</v>
      </c>
      <c r="F14" s="15">
        <f>[12]Resumen!$F$42</f>
        <v>0</v>
      </c>
      <c r="G14" s="17">
        <f>[12]Resumen!$G$42</f>
        <v>0</v>
      </c>
      <c r="H14" s="18">
        <f>[12]Resumen!$H$42</f>
        <v>0</v>
      </c>
      <c r="I14" s="15">
        <f>[12]Resumen!$I$42</f>
        <v>0</v>
      </c>
      <c r="J14" s="16">
        <f>[12]Resumen!$J$42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[13]Resumen!$B$42</f>
        <v>0</v>
      </c>
      <c r="C15" s="15">
        <f>[13]Resumen!$C$42</f>
        <v>0</v>
      </c>
      <c r="D15" s="16">
        <f>[13]Resumen!$D$42</f>
        <v>0</v>
      </c>
      <c r="E15" s="14">
        <f>[13]Resumen!$E$42</f>
        <v>0</v>
      </c>
      <c r="F15" s="15">
        <f>[13]Resumen!$F$42</f>
        <v>0</v>
      </c>
      <c r="G15" s="17">
        <f>[13]Resumen!$G$42</f>
        <v>0</v>
      </c>
      <c r="H15" s="18">
        <f>[13]Resumen!$H$42</f>
        <v>0</v>
      </c>
      <c r="I15" s="15">
        <f>[13]Resumen!$I$42</f>
        <v>0</v>
      </c>
      <c r="J15" s="16">
        <f>[13]Resumen!$J$42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[14]Resumen!$B$42</f>
        <v>0</v>
      </c>
      <c r="C16" s="15">
        <f>[14]Resumen!$C$42</f>
        <v>0</v>
      </c>
      <c r="D16" s="16">
        <f>[14]Resumen!$D$42</f>
        <v>0</v>
      </c>
      <c r="E16" s="14">
        <f>[14]Resumen!$E$42</f>
        <v>0</v>
      </c>
      <c r="F16" s="15">
        <f>[14]Resumen!$F$42</f>
        <v>0</v>
      </c>
      <c r="G16" s="17">
        <f>[14]Resumen!$G$42</f>
        <v>0</v>
      </c>
      <c r="H16" s="18">
        <f>[14]Resumen!$H$42</f>
        <v>0</v>
      </c>
      <c r="I16" s="15">
        <f>[14]Resumen!$I$42</f>
        <v>0</v>
      </c>
      <c r="J16" s="16">
        <f>[14]Resumen!$J$42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[15]Resumen!$B$42</f>
        <v>0</v>
      </c>
      <c r="C17" s="15">
        <f>[15]Resumen!$C$42</f>
        <v>0</v>
      </c>
      <c r="D17" s="16">
        <f>[15]Resumen!$D$42</f>
        <v>0</v>
      </c>
      <c r="E17" s="14">
        <f>[15]Resumen!$E$42</f>
        <v>0</v>
      </c>
      <c r="F17" s="15">
        <f>[15]Resumen!$F$42</f>
        <v>0</v>
      </c>
      <c r="G17" s="17">
        <f>[15]Resumen!$G$42</f>
        <v>0</v>
      </c>
      <c r="H17" s="18">
        <f>[15]Resumen!$H$42</f>
        <v>0</v>
      </c>
      <c r="I17" s="15">
        <f>[15]Resumen!$I$42</f>
        <v>0</v>
      </c>
      <c r="J17" s="16">
        <f>[15]Resumen!$J$42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[16]Resumen!$B$42</f>
        <v>0</v>
      </c>
      <c r="C18" s="15">
        <f>[16]Resumen!$C$42</f>
        <v>0</v>
      </c>
      <c r="D18" s="16">
        <f>[16]Resumen!$D$42</f>
        <v>0</v>
      </c>
      <c r="E18" s="14">
        <f>[16]Resumen!$E$42</f>
        <v>0</v>
      </c>
      <c r="F18" s="15">
        <f>[16]Resumen!$F$42</f>
        <v>0</v>
      </c>
      <c r="G18" s="17">
        <f>[16]Resumen!$G$42</f>
        <v>0</v>
      </c>
      <c r="H18" s="18">
        <f>[16]Resumen!$H$42</f>
        <v>0</v>
      </c>
      <c r="I18" s="15">
        <f>[16]Resumen!$I$42</f>
        <v>0</v>
      </c>
      <c r="J18" s="16">
        <f>[16]Resumen!$J$42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[17]Resumen!$B$42</f>
        <v>0</v>
      </c>
      <c r="C19" s="15">
        <f>[17]Resumen!$C$42</f>
        <v>0</v>
      </c>
      <c r="D19" s="16">
        <f>[17]Resumen!$D$42</f>
        <v>0</v>
      </c>
      <c r="E19" s="14">
        <f>[17]Resumen!$E$42</f>
        <v>0</v>
      </c>
      <c r="F19" s="15">
        <f>[17]Resumen!$F$42</f>
        <v>0</v>
      </c>
      <c r="G19" s="17">
        <f>[17]Resumen!$G$42</f>
        <v>0</v>
      </c>
      <c r="H19" s="18">
        <f>[17]Resumen!$H$42</f>
        <v>0</v>
      </c>
      <c r="I19" s="15">
        <f>[17]Resumen!$I$42</f>
        <v>0</v>
      </c>
      <c r="J19" s="16">
        <f>[17]Resumen!$J$42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[18]Resumen!$B$42</f>
        <v>0</v>
      </c>
      <c r="C20" s="15">
        <f>[18]Resumen!$C$42</f>
        <v>0</v>
      </c>
      <c r="D20" s="16">
        <f>[18]Resumen!$D$42</f>
        <v>0</v>
      </c>
      <c r="E20" s="14">
        <f>[18]Resumen!$E$42</f>
        <v>0</v>
      </c>
      <c r="F20" s="15">
        <f>[18]Resumen!$F$42</f>
        <v>0</v>
      </c>
      <c r="G20" s="17">
        <f>[18]Resumen!$G$42</f>
        <v>0</v>
      </c>
      <c r="H20" s="18">
        <f>[18]Resumen!$H$42</f>
        <v>0</v>
      </c>
      <c r="I20" s="15">
        <f>[18]Resumen!$I$42</f>
        <v>0</v>
      </c>
      <c r="J20" s="16">
        <f>[18]Resumen!$J$42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[19]Resumen!$B$42</f>
        <v>0</v>
      </c>
      <c r="C21" s="15">
        <f>[19]Resumen!$C$42</f>
        <v>0</v>
      </c>
      <c r="D21" s="16">
        <f>[19]Resumen!$D$42</f>
        <v>0</v>
      </c>
      <c r="E21" s="14">
        <f>[19]Resumen!$E$42</f>
        <v>0</v>
      </c>
      <c r="F21" s="15">
        <f>[19]Resumen!$F$42</f>
        <v>0</v>
      </c>
      <c r="G21" s="17">
        <f>[19]Resumen!$G$42</f>
        <v>0</v>
      </c>
      <c r="H21" s="18">
        <f>[19]Resumen!$H$42</f>
        <v>0</v>
      </c>
      <c r="I21" s="15">
        <f>[19]Resumen!$I$42</f>
        <v>0</v>
      </c>
      <c r="J21" s="16">
        <f>[19]Resumen!$J$42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[20]Resumen!$B$42</f>
        <v>0</v>
      </c>
      <c r="C22" s="15">
        <f>[20]Resumen!$C$42</f>
        <v>0</v>
      </c>
      <c r="D22" s="16">
        <f>[20]Resumen!$D$42</f>
        <v>0</v>
      </c>
      <c r="E22" s="14">
        <f>[20]Resumen!$E$42</f>
        <v>0</v>
      </c>
      <c r="F22" s="15">
        <f>[20]Resumen!$F$42</f>
        <v>0</v>
      </c>
      <c r="G22" s="17">
        <f>[20]Resumen!$G$42</f>
        <v>0</v>
      </c>
      <c r="H22" s="18">
        <f>[20]Resumen!$H$42</f>
        <v>0</v>
      </c>
      <c r="I22" s="15">
        <f>[20]Resumen!$I$42</f>
        <v>0</v>
      </c>
      <c r="J22" s="16">
        <f>[20]Resumen!$J$42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[21]Resumen!$B$42</f>
        <v>0</v>
      </c>
      <c r="C23" s="15">
        <f>[21]Resumen!$C$42</f>
        <v>0</v>
      </c>
      <c r="D23" s="16">
        <f>[21]Resumen!$D$42</f>
        <v>0</v>
      </c>
      <c r="E23" s="14">
        <f>[21]Resumen!$E$42</f>
        <v>0</v>
      </c>
      <c r="F23" s="15">
        <f>[21]Resumen!$F$42</f>
        <v>0</v>
      </c>
      <c r="G23" s="17">
        <f>[21]Resumen!$G$42</f>
        <v>0</v>
      </c>
      <c r="H23" s="18">
        <f>[21]Resumen!$H$42</f>
        <v>0</v>
      </c>
      <c r="I23" s="15">
        <f>[21]Resumen!$I$42</f>
        <v>0</v>
      </c>
      <c r="J23" s="16">
        <f>[21]Resumen!$J$42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[22]Resumen!$B$42</f>
        <v>0</v>
      </c>
      <c r="C24" s="15">
        <f>[22]Resumen!$C$42</f>
        <v>0</v>
      </c>
      <c r="D24" s="16">
        <f>[22]Resumen!$D$42</f>
        <v>0</v>
      </c>
      <c r="E24" s="14">
        <f>[22]Resumen!$E$42</f>
        <v>0</v>
      </c>
      <c r="F24" s="15">
        <f>[22]Resumen!$F$42</f>
        <v>0</v>
      </c>
      <c r="G24" s="17">
        <f>[22]Resumen!$G$42</f>
        <v>0</v>
      </c>
      <c r="H24" s="18">
        <f>[22]Resumen!$H$42</f>
        <v>0</v>
      </c>
      <c r="I24" s="15">
        <f>[22]Resumen!$I$42</f>
        <v>0</v>
      </c>
      <c r="J24" s="16">
        <f>[22]Resumen!$J$42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[23]Resumen!$B$42</f>
        <v>0</v>
      </c>
      <c r="C25" s="15">
        <f>[23]Resumen!$C$42</f>
        <v>0</v>
      </c>
      <c r="D25" s="16">
        <f>[23]Resumen!$D$42</f>
        <v>0</v>
      </c>
      <c r="E25" s="14">
        <f>[23]Resumen!$E$42</f>
        <v>0</v>
      </c>
      <c r="F25" s="15">
        <f>[23]Resumen!$F$42</f>
        <v>0</v>
      </c>
      <c r="G25" s="17">
        <f>[23]Resumen!$G$42</f>
        <v>0</v>
      </c>
      <c r="H25" s="18">
        <f>[23]Resumen!$H$42</f>
        <v>0</v>
      </c>
      <c r="I25" s="15">
        <f>[23]Resumen!$I$42</f>
        <v>0</v>
      </c>
      <c r="J25" s="16">
        <f>[23]Resumen!$J$42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[24]Resumen!$B$42</f>
        <v>0</v>
      </c>
      <c r="C26" s="15">
        <f>[24]Resumen!$C$42</f>
        <v>0</v>
      </c>
      <c r="D26" s="16">
        <f>[24]Resumen!$D$42</f>
        <v>0</v>
      </c>
      <c r="E26" s="14">
        <f>[24]Resumen!$E$42</f>
        <v>0</v>
      </c>
      <c r="F26" s="15">
        <f>[24]Resumen!$F$42</f>
        <v>0</v>
      </c>
      <c r="G26" s="17">
        <f>[24]Resumen!$G$42</f>
        <v>0</v>
      </c>
      <c r="H26" s="18">
        <f>[24]Resumen!$H$42</f>
        <v>0</v>
      </c>
      <c r="I26" s="15">
        <f>[24]Resumen!$I$42</f>
        <v>0</v>
      </c>
      <c r="J26" s="16">
        <f>[24]Resumen!$J$42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[25]Resumen!$B$42</f>
        <v>0</v>
      </c>
      <c r="C27" s="15">
        <f>[25]Resumen!$C$42</f>
        <v>0</v>
      </c>
      <c r="D27" s="16">
        <f>[25]Resumen!$D$42</f>
        <v>0</v>
      </c>
      <c r="E27" s="14">
        <f>[25]Resumen!$E$42</f>
        <v>0</v>
      </c>
      <c r="F27" s="15">
        <f>[25]Resumen!$F$42</f>
        <v>0</v>
      </c>
      <c r="G27" s="17">
        <f>[25]Resumen!$G$42</f>
        <v>0</v>
      </c>
      <c r="H27" s="18">
        <f>[25]Resumen!$H$42</f>
        <v>0</v>
      </c>
      <c r="I27" s="15">
        <f>[25]Resumen!$I$42</f>
        <v>0</v>
      </c>
      <c r="J27" s="16">
        <f>[25]Resumen!$J$42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[26]Resumen!$B$42</f>
        <v>0</v>
      </c>
      <c r="C28" s="15">
        <f>[26]Resumen!$C$42</f>
        <v>0</v>
      </c>
      <c r="D28" s="16">
        <f>[26]Resumen!$D$42</f>
        <v>0</v>
      </c>
      <c r="E28" s="14">
        <f>[26]Resumen!$E$42</f>
        <v>0</v>
      </c>
      <c r="F28" s="15">
        <f>[26]Resumen!$F$42</f>
        <v>0</v>
      </c>
      <c r="G28" s="17">
        <f>[26]Resumen!$G$42</f>
        <v>0</v>
      </c>
      <c r="H28" s="18">
        <f>[26]Resumen!$H$42</f>
        <v>0</v>
      </c>
      <c r="I28" s="15">
        <f>[26]Resumen!$I$42</f>
        <v>0</v>
      </c>
      <c r="J28" s="16">
        <f>[26]Resumen!$J$42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[27]Resumen!$B$42</f>
        <v>0</v>
      </c>
      <c r="C29" s="15">
        <f>[27]Resumen!$C$42</f>
        <v>0</v>
      </c>
      <c r="D29" s="16">
        <f>[27]Resumen!$D$42</f>
        <v>0</v>
      </c>
      <c r="E29" s="14">
        <f>[27]Resumen!$E$42</f>
        <v>0</v>
      </c>
      <c r="F29" s="15">
        <f>[27]Resumen!$F$42</f>
        <v>0</v>
      </c>
      <c r="G29" s="17">
        <f>[27]Resumen!$G$42</f>
        <v>0</v>
      </c>
      <c r="H29" s="18">
        <f>[27]Resumen!$H$42</f>
        <v>0</v>
      </c>
      <c r="I29" s="15">
        <f>[27]Resumen!$I$42</f>
        <v>0</v>
      </c>
      <c r="J29" s="16">
        <f>[27]Resumen!$J$42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[28]Resumen!$B$42</f>
        <v>0</v>
      </c>
      <c r="C30" s="15">
        <f>[28]Resumen!$C$42</f>
        <v>0</v>
      </c>
      <c r="D30" s="16">
        <f>[28]Resumen!$D$42</f>
        <v>0</v>
      </c>
      <c r="E30" s="14">
        <f>[28]Resumen!$E$42</f>
        <v>0</v>
      </c>
      <c r="F30" s="15">
        <f>[28]Resumen!$F$42</f>
        <v>0</v>
      </c>
      <c r="G30" s="17">
        <f>[28]Resumen!$G$42</f>
        <v>0</v>
      </c>
      <c r="H30" s="18">
        <f>[28]Resumen!$H$42</f>
        <v>0</v>
      </c>
      <c r="I30" s="15">
        <f>[28]Resumen!$I$42</f>
        <v>0</v>
      </c>
      <c r="J30" s="16">
        <f>[28]Resumen!$J$42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[29]Resumen!$B$42</f>
        <v>0</v>
      </c>
      <c r="C31" s="15">
        <f>[29]Resumen!$C$42</f>
        <v>0</v>
      </c>
      <c r="D31" s="16">
        <f>[29]Resumen!$D$42</f>
        <v>0</v>
      </c>
      <c r="E31" s="14">
        <f>[29]Resumen!$E$42</f>
        <v>0</v>
      </c>
      <c r="F31" s="15">
        <f>[29]Resumen!$F$42</f>
        <v>0</v>
      </c>
      <c r="G31" s="17">
        <f>[29]Resumen!$G$42</f>
        <v>0</v>
      </c>
      <c r="H31" s="18">
        <f>[29]Resumen!$H$42</f>
        <v>0</v>
      </c>
      <c r="I31" s="15">
        <f>[29]Resumen!$I$42</f>
        <v>0</v>
      </c>
      <c r="J31" s="16">
        <f>[29]Resumen!$J$42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[30]Resumen!$B$42</f>
        <v>0</v>
      </c>
      <c r="C32" s="15">
        <f>[30]Resumen!$C$42</f>
        <v>0</v>
      </c>
      <c r="D32" s="16">
        <f>[30]Resumen!$D$42</f>
        <v>0</v>
      </c>
      <c r="E32" s="14">
        <f>[30]Resumen!$E$42</f>
        <v>0</v>
      </c>
      <c r="F32" s="15">
        <f>[30]Resumen!$F$42</f>
        <v>0</v>
      </c>
      <c r="G32" s="17">
        <f>[30]Resumen!$G$42</f>
        <v>0</v>
      </c>
      <c r="H32" s="18">
        <f>[30]Resumen!$H$42</f>
        <v>0</v>
      </c>
      <c r="I32" s="15">
        <f>[30]Resumen!$I$42</f>
        <v>0</v>
      </c>
      <c r="J32" s="16">
        <f>[30]Resumen!$J$42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[31]Resumen!$B$42</f>
        <v>0</v>
      </c>
      <c r="C33" s="15">
        <f>[31]Resumen!$C$42</f>
        <v>0</v>
      </c>
      <c r="D33" s="16">
        <f>[31]Resumen!$D$42</f>
        <v>0</v>
      </c>
      <c r="E33" s="14">
        <f>[31]Resumen!$E$42</f>
        <v>0</v>
      </c>
      <c r="F33" s="15">
        <f>[31]Resumen!$F$42</f>
        <v>0</v>
      </c>
      <c r="G33" s="17">
        <f>[31]Resumen!$G$42</f>
        <v>0</v>
      </c>
      <c r="H33" s="18">
        <f>[31]Resumen!$H$42</f>
        <v>0</v>
      </c>
      <c r="I33" s="15">
        <f>[31]Resumen!$I$42</f>
        <v>0</v>
      </c>
      <c r="J33" s="16">
        <f>[31]Resumen!$J$42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[10]Resumen!$B$42</f>
        <v>0</v>
      </c>
      <c r="C34" s="15">
        <f>[10]Resumen!$C$42</f>
        <v>0</v>
      </c>
      <c r="D34" s="16">
        <f>[10]Resumen!$D$42</f>
        <v>0</v>
      </c>
      <c r="E34" s="14">
        <f>[10]Resumen!$E$42</f>
        <v>0</v>
      </c>
      <c r="F34" s="15">
        <f>[10]Resumen!$F$42</f>
        <v>0</v>
      </c>
      <c r="G34" s="17">
        <f>[10]Resumen!$G$42</f>
        <v>0</v>
      </c>
      <c r="H34" s="18">
        <f>[10]Resumen!$H$42</f>
        <v>0</v>
      </c>
      <c r="I34" s="15">
        <f>[10]Resumen!$I$42</f>
        <v>0</v>
      </c>
      <c r="J34" s="16">
        <f>[10]Resumen!$J$42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+[11]Resumen!$B$42</f>
        <v>0</v>
      </c>
      <c r="C35" s="22">
        <f>+[11]Resumen!$C$42</f>
        <v>0</v>
      </c>
      <c r="D35" s="23">
        <f>+[11]Resumen!$D$42</f>
        <v>0</v>
      </c>
      <c r="E35" s="21">
        <f>+[11]Resumen!$E$42</f>
        <v>0</v>
      </c>
      <c r="F35" s="22">
        <f>+[11]Resumen!$F$42</f>
        <v>0</v>
      </c>
      <c r="G35" s="24">
        <f>+[11]Resumen!$G$42</f>
        <v>0</v>
      </c>
      <c r="H35" s="25">
        <f>+[11]Resumen!$H$42</f>
        <v>0</v>
      </c>
      <c r="I35" s="22">
        <f>+[11]Resumen!$I$42</f>
        <v>0</v>
      </c>
      <c r="J35" s="23">
        <f>+[11]Resumen!$J$42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D35"/>
  <sheetViews>
    <sheetView workbookViewId="0">
      <selection activeCell="B5" sqref="B5"/>
    </sheetView>
  </sheetViews>
  <sheetFormatPr baseColWidth="10" defaultRowHeight="15"/>
  <cols>
    <col min="1" max="1" width="17.5703125" bestFit="1" customWidth="1"/>
    <col min="2" max="2" width="16.5703125" bestFit="1" customWidth="1"/>
    <col min="3" max="3" width="14.28515625" bestFit="1" customWidth="1"/>
    <col min="4" max="4" width="10" bestFit="1" customWidth="1"/>
    <col min="5" max="6" width="8.85546875" bestFit="1" customWidth="1"/>
    <col min="7" max="7" width="6.85546875" bestFit="1" customWidth="1"/>
    <col min="8" max="8" width="6" bestFit="1" customWidth="1"/>
    <col min="9" max="9" width="7.85546875" bestFit="1" customWidth="1"/>
    <col min="10" max="10" width="8.85546875" bestFit="1" customWidth="1"/>
    <col min="11" max="11" width="6" bestFit="1" customWidth="1"/>
    <col min="12" max="12" width="7.85546875" bestFit="1" customWidth="1"/>
    <col min="13" max="13" width="6" bestFit="1" customWidth="1"/>
    <col min="14" max="16" width="8.85546875" bestFit="1" customWidth="1"/>
    <col min="17" max="17" width="6.85546875" bestFit="1" customWidth="1"/>
    <col min="18" max="20" width="7.85546875" bestFit="1" customWidth="1"/>
    <col min="21" max="21" width="6" bestFit="1" customWidth="1"/>
    <col min="22" max="22" width="7.85546875" bestFit="1" customWidth="1"/>
    <col min="23" max="23" width="6" bestFit="1" customWidth="1"/>
    <col min="24" max="24" width="7.85546875" bestFit="1" customWidth="1"/>
    <col min="25" max="25" width="6.42578125" bestFit="1" customWidth="1"/>
    <col min="26" max="32" width="6" bestFit="1" customWidth="1"/>
    <col min="33" max="33" width="9.85546875" bestFit="1" customWidth="1"/>
    <col min="34" max="34" width="11.7109375" bestFit="1" customWidth="1"/>
  </cols>
  <sheetData>
    <row r="3" spans="1:4">
      <c r="A3" s="131" t="s">
        <v>117</v>
      </c>
      <c r="B3" t="s">
        <v>128</v>
      </c>
      <c r="C3" t="s">
        <v>129</v>
      </c>
      <c r="D3" t="s">
        <v>130</v>
      </c>
    </row>
    <row r="4" spans="1:4">
      <c r="A4" s="132" t="s">
        <v>119</v>
      </c>
      <c r="B4" s="133">
        <v>49176.5</v>
      </c>
      <c r="C4" s="133">
        <v>62535</v>
      </c>
      <c r="D4" s="133">
        <v>111711.5</v>
      </c>
    </row>
    <row r="5" spans="1:4">
      <c r="A5" s="132" t="s">
        <v>120</v>
      </c>
      <c r="B5" s="133">
        <v>45712</v>
      </c>
      <c r="C5" s="133">
        <v>19662.25</v>
      </c>
      <c r="D5" s="133">
        <v>65374.25</v>
      </c>
    </row>
    <row r="6" spans="1:4">
      <c r="A6" s="132" t="s">
        <v>122</v>
      </c>
      <c r="B6" s="133">
        <v>11002</v>
      </c>
      <c r="C6" s="133">
        <v>0</v>
      </c>
      <c r="D6" s="133">
        <v>11002</v>
      </c>
    </row>
    <row r="7" spans="1:4">
      <c r="A7" s="132" t="s">
        <v>121</v>
      </c>
      <c r="B7" s="133">
        <v>0</v>
      </c>
      <c r="C7" s="133">
        <v>0</v>
      </c>
      <c r="D7" s="133">
        <v>0</v>
      </c>
    </row>
    <row r="8" spans="1:4">
      <c r="A8" s="132" t="s">
        <v>123</v>
      </c>
      <c r="B8" s="133">
        <v>0</v>
      </c>
      <c r="C8" s="133">
        <v>0</v>
      </c>
      <c r="D8" s="133">
        <v>0</v>
      </c>
    </row>
    <row r="9" spans="1:4">
      <c r="A9" s="132" t="s">
        <v>124</v>
      </c>
      <c r="B9" s="133">
        <v>0</v>
      </c>
      <c r="C9" s="133">
        <v>0</v>
      </c>
      <c r="D9" s="133">
        <v>0</v>
      </c>
    </row>
    <row r="10" spans="1:4">
      <c r="A10" s="132" t="s">
        <v>125</v>
      </c>
      <c r="B10" s="133">
        <v>0</v>
      </c>
      <c r="C10" s="133">
        <v>0</v>
      </c>
      <c r="D10" s="133">
        <v>0</v>
      </c>
    </row>
    <row r="11" spans="1:4">
      <c r="A11" s="132" t="s">
        <v>126</v>
      </c>
      <c r="B11" s="133">
        <v>0</v>
      </c>
      <c r="C11" s="133">
        <v>0</v>
      </c>
      <c r="D11" s="133">
        <v>0</v>
      </c>
    </row>
    <row r="12" spans="1:4">
      <c r="A12" s="132" t="s">
        <v>127</v>
      </c>
      <c r="B12" s="133">
        <v>0</v>
      </c>
      <c r="C12" s="133">
        <v>0</v>
      </c>
      <c r="D12" s="133">
        <v>0</v>
      </c>
    </row>
    <row r="13" spans="1:4">
      <c r="A13" s="132" t="s">
        <v>24</v>
      </c>
      <c r="B13" s="133">
        <v>0</v>
      </c>
      <c r="C13" s="133">
        <v>0</v>
      </c>
      <c r="D13" s="133">
        <v>0</v>
      </c>
    </row>
    <row r="14" spans="1:4">
      <c r="A14" s="132" t="s">
        <v>25</v>
      </c>
      <c r="B14" s="133">
        <v>0</v>
      </c>
      <c r="C14" s="133">
        <v>0</v>
      </c>
      <c r="D14" s="133">
        <v>0</v>
      </c>
    </row>
    <row r="15" spans="1:4">
      <c r="A15" s="132" t="s">
        <v>26</v>
      </c>
      <c r="B15" s="133">
        <v>0</v>
      </c>
      <c r="C15" s="133">
        <v>0</v>
      </c>
      <c r="D15" s="133">
        <v>0</v>
      </c>
    </row>
    <row r="16" spans="1:4">
      <c r="A16" s="132" t="s">
        <v>27</v>
      </c>
      <c r="B16" s="133">
        <v>0</v>
      </c>
      <c r="C16" s="133">
        <v>0</v>
      </c>
      <c r="D16" s="133">
        <v>0</v>
      </c>
    </row>
    <row r="17" spans="1:4">
      <c r="A17" s="132" t="s">
        <v>28</v>
      </c>
      <c r="B17" s="133">
        <v>0</v>
      </c>
      <c r="C17" s="133">
        <v>0</v>
      </c>
      <c r="D17" s="133">
        <v>0</v>
      </c>
    </row>
    <row r="18" spans="1:4">
      <c r="A18" s="132" t="s">
        <v>29</v>
      </c>
      <c r="B18" s="133">
        <v>0</v>
      </c>
      <c r="C18" s="133">
        <v>0</v>
      </c>
      <c r="D18" s="133">
        <v>0</v>
      </c>
    </row>
    <row r="19" spans="1:4">
      <c r="A19" s="132" t="s">
        <v>30</v>
      </c>
      <c r="B19" s="133">
        <v>0</v>
      </c>
      <c r="C19" s="133">
        <v>0</v>
      </c>
      <c r="D19" s="133">
        <v>0</v>
      </c>
    </row>
    <row r="20" spans="1:4">
      <c r="A20" s="132" t="s">
        <v>31</v>
      </c>
      <c r="B20" s="133">
        <v>0</v>
      </c>
      <c r="C20" s="133">
        <v>0</v>
      </c>
      <c r="D20" s="133">
        <v>0</v>
      </c>
    </row>
    <row r="21" spans="1:4">
      <c r="A21" s="132" t="s">
        <v>32</v>
      </c>
      <c r="B21" s="133">
        <v>0</v>
      </c>
      <c r="C21" s="133">
        <v>0</v>
      </c>
      <c r="D21" s="133">
        <v>0</v>
      </c>
    </row>
    <row r="22" spans="1:4">
      <c r="A22" s="132" t="s">
        <v>33</v>
      </c>
      <c r="B22" s="133">
        <v>0</v>
      </c>
      <c r="C22" s="133">
        <v>0</v>
      </c>
      <c r="D22" s="133">
        <v>0</v>
      </c>
    </row>
    <row r="23" spans="1:4">
      <c r="A23" s="132" t="s">
        <v>34</v>
      </c>
      <c r="B23" s="133">
        <v>0</v>
      </c>
      <c r="C23" s="133">
        <v>0</v>
      </c>
      <c r="D23" s="133">
        <v>0</v>
      </c>
    </row>
    <row r="24" spans="1:4">
      <c r="A24" s="132" t="s">
        <v>35</v>
      </c>
      <c r="B24" s="133">
        <v>0</v>
      </c>
      <c r="C24" s="133">
        <v>0</v>
      </c>
      <c r="D24" s="133">
        <v>0</v>
      </c>
    </row>
    <row r="25" spans="1:4">
      <c r="A25" s="132" t="s">
        <v>36</v>
      </c>
      <c r="B25" s="133">
        <v>0</v>
      </c>
      <c r="C25" s="133">
        <v>0</v>
      </c>
      <c r="D25" s="133">
        <v>0</v>
      </c>
    </row>
    <row r="26" spans="1:4">
      <c r="A26" s="132" t="s">
        <v>37</v>
      </c>
      <c r="B26" s="133">
        <v>0</v>
      </c>
      <c r="C26" s="133">
        <v>0</v>
      </c>
      <c r="D26" s="133">
        <v>0</v>
      </c>
    </row>
    <row r="27" spans="1:4">
      <c r="A27" s="132" t="s">
        <v>38</v>
      </c>
      <c r="B27" s="133">
        <v>0</v>
      </c>
      <c r="C27" s="133">
        <v>0</v>
      </c>
      <c r="D27" s="133">
        <v>0</v>
      </c>
    </row>
    <row r="28" spans="1:4">
      <c r="A28" s="132" t="s">
        <v>39</v>
      </c>
      <c r="B28" s="133">
        <v>0</v>
      </c>
      <c r="C28" s="133">
        <v>0</v>
      </c>
      <c r="D28" s="133">
        <v>0</v>
      </c>
    </row>
    <row r="29" spans="1:4">
      <c r="A29" s="132" t="s">
        <v>40</v>
      </c>
      <c r="B29" s="133">
        <v>0</v>
      </c>
      <c r="C29" s="133">
        <v>0</v>
      </c>
      <c r="D29" s="133">
        <v>0</v>
      </c>
    </row>
    <row r="30" spans="1:4">
      <c r="A30" s="132" t="s">
        <v>41</v>
      </c>
      <c r="B30" s="133">
        <v>0</v>
      </c>
      <c r="C30" s="133">
        <v>0</v>
      </c>
      <c r="D30" s="133">
        <v>0</v>
      </c>
    </row>
    <row r="31" spans="1:4">
      <c r="A31" s="132" t="s">
        <v>42</v>
      </c>
      <c r="B31" s="133">
        <v>0</v>
      </c>
      <c r="C31" s="133">
        <v>0</v>
      </c>
      <c r="D31" s="133">
        <v>0</v>
      </c>
    </row>
    <row r="32" spans="1:4">
      <c r="A32" s="132" t="s">
        <v>43</v>
      </c>
      <c r="B32" s="133">
        <v>0</v>
      </c>
      <c r="C32" s="133">
        <v>0</v>
      </c>
      <c r="D32" s="133">
        <v>0</v>
      </c>
    </row>
    <row r="33" spans="1:4">
      <c r="A33" s="132" t="s">
        <v>44</v>
      </c>
      <c r="B33" s="133">
        <v>0</v>
      </c>
      <c r="C33" s="133">
        <v>0</v>
      </c>
      <c r="D33" s="133">
        <v>0</v>
      </c>
    </row>
    <row r="34" spans="1:4">
      <c r="A34" s="132" t="s">
        <v>45</v>
      </c>
      <c r="B34" s="133">
        <v>0</v>
      </c>
      <c r="C34" s="133">
        <v>0</v>
      </c>
      <c r="D34" s="133">
        <v>0</v>
      </c>
    </row>
    <row r="35" spans="1:4">
      <c r="A35" s="132" t="s">
        <v>118</v>
      </c>
      <c r="B35" s="133">
        <v>105890.5</v>
      </c>
      <c r="C35" s="133">
        <v>82197.25</v>
      </c>
      <c r="D35" s="133">
        <v>188087.75</v>
      </c>
    </row>
  </sheetData>
  <pageMargins left="0.7" right="0.7" top="0.75" bottom="0.75" header="0.3" footer="0.3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L44"/>
  <sheetViews>
    <sheetView showGridLines="0" zoomScale="90" zoomScaleNormal="90" workbookViewId="0">
      <selection activeCell="G1" sqref="G1"/>
    </sheetView>
  </sheetViews>
  <sheetFormatPr baseColWidth="10" defaultColWidth="11.42578125" defaultRowHeight="15"/>
  <cols>
    <col min="1" max="1" width="10.140625" style="1" customWidth="1"/>
    <col min="2" max="2" width="15.85546875" style="1" bestFit="1" customWidth="1"/>
    <col min="3" max="4" width="14.7109375" style="1" bestFit="1" customWidth="1"/>
    <col min="5" max="6" width="14.5703125" style="1" customWidth="1"/>
    <col min="7" max="7" width="13.140625" style="1" bestFit="1" customWidth="1"/>
    <col min="8" max="8" width="14.7109375" style="1" bestFit="1" customWidth="1"/>
    <col min="9" max="9" width="14.7109375" style="1" customWidth="1"/>
    <col min="10" max="10" width="14.7109375" style="1" bestFit="1" customWidth="1"/>
    <col min="11" max="16" width="11.42578125" style="1"/>
    <col min="17" max="17" width="12.42578125" style="1" customWidth="1"/>
    <col min="18" max="18" width="4.85546875" style="1" customWidth="1"/>
    <col min="19" max="20" width="11.42578125" style="1" customWidth="1"/>
    <col min="21" max="1026" width="11.42578125" style="1"/>
  </cols>
  <sheetData>
    <row r="1" spans="1:17" ht="15.75" thickBot="1">
      <c r="K1" s="138" t="s">
        <v>0</v>
      </c>
      <c r="L1" s="138"/>
      <c r="M1" s="138"/>
      <c r="N1" s="138"/>
      <c r="O1" s="138"/>
      <c r="P1" s="138"/>
    </row>
    <row r="2" spans="1:17" ht="19.5" thickBot="1">
      <c r="A2" s="2" t="s">
        <v>1</v>
      </c>
      <c r="B2" s="137" t="s">
        <v>105</v>
      </c>
      <c r="C2" s="137"/>
      <c r="D2" s="137"/>
      <c r="K2" s="3" t="s">
        <v>2</v>
      </c>
      <c r="L2" s="4">
        <v>0.13</v>
      </c>
      <c r="M2" s="3" t="s">
        <v>3</v>
      </c>
      <c r="N2" s="4">
        <v>0.18</v>
      </c>
      <c r="O2" s="3" t="s">
        <v>4</v>
      </c>
      <c r="P2" s="4">
        <v>0.12</v>
      </c>
    </row>
    <row r="3" spans="1:17" ht="15.75" thickBot="1"/>
    <row r="4" spans="1:17" ht="38.25" thickBot="1">
      <c r="A4" s="123" t="s">
        <v>5</v>
      </c>
      <c r="B4" s="124" t="s">
        <v>15</v>
      </c>
      <c r="C4" s="125" t="s">
        <v>16</v>
      </c>
      <c r="D4" s="126" t="s">
        <v>106</v>
      </c>
      <c r="E4" s="126" t="s">
        <v>109</v>
      </c>
      <c r="F4" s="126" t="s">
        <v>111</v>
      </c>
      <c r="G4" s="126" t="s">
        <v>108</v>
      </c>
      <c r="H4" s="126" t="s">
        <v>110</v>
      </c>
      <c r="I4" s="126" t="s">
        <v>112</v>
      </c>
      <c r="J4" s="126" t="s">
        <v>107</v>
      </c>
      <c r="K4" s="92"/>
      <c r="L4" s="92"/>
      <c r="M4" s="92"/>
      <c r="N4" s="92"/>
      <c r="O4" s="92"/>
      <c r="P4" s="92"/>
      <c r="Q4" s="92"/>
    </row>
    <row r="5" spans="1:17" s="1" customFormat="1">
      <c r="A5" s="20" t="s">
        <v>119</v>
      </c>
      <c r="B5" s="99">
        <f>+'[1]Cta ALI'!$D$19</f>
        <v>443550</v>
      </c>
      <c r="C5" s="100">
        <f>+'[1]Cta ALI'!$E$19</f>
        <v>57661.5</v>
      </c>
      <c r="D5" s="101">
        <f>'[1]Cta ALI'!$F$19+'[1]Cta ALI'!$F$10</f>
        <v>30000</v>
      </c>
      <c r="E5" s="115">
        <f t="shared" ref="E5" si="0">+C5-D5</f>
        <v>27661.5</v>
      </c>
      <c r="F5" s="101">
        <f>+'[1]Cta ALI'!$G$11</f>
        <v>32853</v>
      </c>
      <c r="G5" s="101">
        <f>+'[1]Cta ALI'!$G$12</f>
        <v>20000</v>
      </c>
      <c r="H5" s="115">
        <f t="shared" ref="H5" si="1">+F5-G5</f>
        <v>12853</v>
      </c>
      <c r="I5" s="127">
        <f>+'[1]Cta ALI'!$G$22</f>
        <v>0</v>
      </c>
      <c r="J5" s="111">
        <f>+E5+H5+I5</f>
        <v>40514.5</v>
      </c>
      <c r="K5" s="93"/>
      <c r="L5" s="93"/>
      <c r="M5" s="93"/>
      <c r="N5" s="93"/>
      <c r="O5" s="93"/>
      <c r="P5" s="93"/>
      <c r="Q5" s="93"/>
    </row>
    <row r="6" spans="1:17" s="1" customFormat="1">
      <c r="A6" s="13" t="s">
        <v>120</v>
      </c>
      <c r="B6" s="102">
        <f>+'[2]Cta ALI'!$D$19</f>
        <v>816250</v>
      </c>
      <c r="C6" s="103">
        <f>+'[2]Cta ALI'!$E$19</f>
        <v>106112.5</v>
      </c>
      <c r="D6" s="104">
        <f>+'[2]Cta ALI'!$F$19</f>
        <v>30000</v>
      </c>
      <c r="E6" s="116">
        <f>+C6-D6</f>
        <v>76112.5</v>
      </c>
      <c r="F6" s="104">
        <f>+'[2]Cta ALI'!$G$11</f>
        <v>46089</v>
      </c>
      <c r="G6" s="104">
        <f>+'[2]Cta ALI'!$G$12</f>
        <v>15000</v>
      </c>
      <c r="H6" s="116">
        <f>+F6-G6</f>
        <v>31089</v>
      </c>
      <c r="I6" s="128">
        <f>+'[2]Cta ALI'!$G$22</f>
        <v>0</v>
      </c>
      <c r="J6" s="112">
        <f t="shared" ref="J6:J35" si="2">+E6+H6+I6</f>
        <v>107201.5</v>
      </c>
      <c r="K6" s="93"/>
      <c r="L6" s="93"/>
      <c r="M6" s="93"/>
      <c r="N6" s="93"/>
      <c r="O6" s="93"/>
      <c r="P6" s="93"/>
      <c r="Q6" s="93"/>
    </row>
    <row r="7" spans="1:17" s="1" customFormat="1">
      <c r="A7" s="20" t="s">
        <v>122</v>
      </c>
      <c r="B7" s="102">
        <f>+'[3]Cta ALI'!$D$19</f>
        <v>452500</v>
      </c>
      <c r="C7" s="103">
        <f>+'[3]Cta ALI'!$E$19</f>
        <v>58825</v>
      </c>
      <c r="D7" s="104">
        <f>+'[3]Cta ALI'!$F$19</f>
        <v>30000</v>
      </c>
      <c r="E7" s="116">
        <f t="shared" ref="E7:E35" si="3">+C7-D7</f>
        <v>28825</v>
      </c>
      <c r="F7" s="104">
        <f>+'[3]Cta ALI'!$G$11</f>
        <v>26843.5</v>
      </c>
      <c r="G7" s="104">
        <f>+'[3]Cta ALI'!$G$12</f>
        <v>35000</v>
      </c>
      <c r="H7" s="116">
        <f t="shared" ref="H7:H35" si="4">+F7-G7</f>
        <v>-8156.5</v>
      </c>
      <c r="I7" s="128">
        <f>+'[3]Cta ALI'!$G$22</f>
        <v>0</v>
      </c>
      <c r="J7" s="112">
        <f t="shared" si="2"/>
        <v>20668.5</v>
      </c>
      <c r="K7" s="93"/>
      <c r="L7" s="93"/>
      <c r="M7" s="93"/>
      <c r="N7" s="93"/>
      <c r="O7" s="93"/>
      <c r="P7" s="93"/>
      <c r="Q7" s="93"/>
    </row>
    <row r="8" spans="1:17" s="1" customFormat="1">
      <c r="A8" s="13" t="s">
        <v>121</v>
      </c>
      <c r="B8" s="102">
        <f>+'[4]Cta ALI'!$D$19</f>
        <v>494600</v>
      </c>
      <c r="C8" s="103">
        <f>+'[4]Cta ALI'!$E$19</f>
        <v>64298</v>
      </c>
      <c r="D8" s="104">
        <f>+'[4]Cta ALI'!$F$19</f>
        <v>30000</v>
      </c>
      <c r="E8" s="116">
        <f t="shared" si="3"/>
        <v>34298</v>
      </c>
      <c r="F8" s="104">
        <f>+'[4]Cta ALI'!$G$11</f>
        <v>32944.5</v>
      </c>
      <c r="G8" s="104">
        <f>+'[4]Cta ALI'!$G$12</f>
        <v>35000</v>
      </c>
      <c r="H8" s="116">
        <f t="shared" si="4"/>
        <v>-2055.5</v>
      </c>
      <c r="I8" s="128">
        <f>+'[4]Cta ALI'!$G$22</f>
        <v>0</v>
      </c>
      <c r="J8" s="112">
        <f t="shared" si="2"/>
        <v>32242.5</v>
      </c>
      <c r="K8" s="93"/>
      <c r="L8" s="93"/>
      <c r="M8" s="93"/>
      <c r="N8" s="93"/>
      <c r="O8" s="93"/>
      <c r="P8" s="93"/>
      <c r="Q8" s="93"/>
    </row>
    <row r="9" spans="1:17" s="1" customFormat="1">
      <c r="A9" s="20" t="s">
        <v>123</v>
      </c>
      <c r="B9" s="102">
        <f>+'[5]Cta ALI'!$D$19</f>
        <v>424100</v>
      </c>
      <c r="C9" s="103">
        <f>+'[5]Cta ALI'!$E$19</f>
        <v>55133</v>
      </c>
      <c r="D9" s="104">
        <f>+'[5]Cta ALI'!$F$19</f>
        <v>30000</v>
      </c>
      <c r="E9" s="116">
        <f t="shared" si="3"/>
        <v>25133</v>
      </c>
      <c r="F9" s="104">
        <f>+'[5]Cta ALI'!$G$11</f>
        <v>31279</v>
      </c>
      <c r="G9" s="104">
        <f>+'[5]Cta ALI'!$G$12</f>
        <v>20000</v>
      </c>
      <c r="H9" s="116">
        <f t="shared" si="4"/>
        <v>11279</v>
      </c>
      <c r="I9" s="128">
        <f>+'[5]Cta ALI'!$G$22</f>
        <v>0</v>
      </c>
      <c r="J9" s="112">
        <f t="shared" si="2"/>
        <v>36412</v>
      </c>
      <c r="K9" s="93"/>
      <c r="L9" s="93"/>
      <c r="M9" s="93"/>
      <c r="N9" s="93"/>
      <c r="O9" s="93"/>
      <c r="P9" s="93"/>
      <c r="Q9" s="93"/>
    </row>
    <row r="10" spans="1:17" s="1" customFormat="1">
      <c r="A10" s="13" t="s">
        <v>124</v>
      </c>
      <c r="B10" s="102">
        <f>+'[6]Cta ALI'!$D$19</f>
        <v>399400</v>
      </c>
      <c r="C10" s="103">
        <f>+'[6]Cta ALI'!$E$19</f>
        <v>51922</v>
      </c>
      <c r="D10" s="104">
        <f>+'[6]Cta ALI'!$F$19</f>
        <v>30000</v>
      </c>
      <c r="E10" s="116">
        <f t="shared" si="3"/>
        <v>21922</v>
      </c>
      <c r="F10" s="104">
        <f>+'[6]Cta ALI'!$G$11</f>
        <v>27817</v>
      </c>
      <c r="G10" s="104">
        <f>+'[6]Cta ALI'!$G$12</f>
        <v>35000</v>
      </c>
      <c r="H10" s="116">
        <f t="shared" si="4"/>
        <v>-7183</v>
      </c>
      <c r="I10" s="128">
        <f>+'[6]Cta ALI'!$G$22</f>
        <v>0</v>
      </c>
      <c r="J10" s="112">
        <f t="shared" si="2"/>
        <v>14739</v>
      </c>
      <c r="K10" s="93"/>
      <c r="L10" s="93"/>
      <c r="M10" s="93"/>
      <c r="N10" s="93"/>
      <c r="O10" s="93"/>
      <c r="P10" s="93"/>
      <c r="Q10" s="93"/>
    </row>
    <row r="11" spans="1:17" s="1" customFormat="1">
      <c r="A11" s="20" t="s">
        <v>125</v>
      </c>
      <c r="B11" s="102">
        <f>+'[7]Cta ALI'!$D$19</f>
        <v>444800</v>
      </c>
      <c r="C11" s="103">
        <f>+'[7]Cta ALI'!$E$19</f>
        <v>57824</v>
      </c>
      <c r="D11" s="104">
        <f>+'[7]Cta ALI'!$F$19</f>
        <v>30000</v>
      </c>
      <c r="E11" s="116">
        <f t="shared" si="3"/>
        <v>27824</v>
      </c>
      <c r="F11" s="104">
        <f>+'[7]Cta ALI'!$G$11</f>
        <v>31315.5</v>
      </c>
      <c r="G11" s="104">
        <f>+'[7]Cta ALI'!$G$12</f>
        <v>35000</v>
      </c>
      <c r="H11" s="116">
        <f t="shared" si="4"/>
        <v>-3684.5</v>
      </c>
      <c r="I11" s="128">
        <f>+'[7]Cta ALI'!$G$22</f>
        <v>0</v>
      </c>
      <c r="J11" s="112">
        <f t="shared" si="2"/>
        <v>24139.5</v>
      </c>
      <c r="K11" s="93"/>
      <c r="L11" s="93"/>
      <c r="M11" s="93"/>
      <c r="N11" s="93"/>
      <c r="O11" s="93"/>
      <c r="P11" s="93"/>
      <c r="Q11" s="93"/>
    </row>
    <row r="12" spans="1:17" s="1" customFormat="1">
      <c r="A12" s="13" t="s">
        <v>126</v>
      </c>
      <c r="B12" s="102">
        <f>+'[8]Cta ALI'!$D$19</f>
        <v>369150</v>
      </c>
      <c r="C12" s="103">
        <f>+'[8]Cta ALI'!$E$19</f>
        <v>47989.5</v>
      </c>
      <c r="D12" s="104">
        <f>+'[8]Cta ALI'!$F$19</f>
        <v>30000</v>
      </c>
      <c r="E12" s="116">
        <f t="shared" si="3"/>
        <v>17989.5</v>
      </c>
      <c r="F12" s="104">
        <f>+'[8]Cta ALI'!$G$11</f>
        <v>27519.5</v>
      </c>
      <c r="G12" s="104">
        <f>+'[8]Cta ALI'!$G$12</f>
        <v>20000</v>
      </c>
      <c r="H12" s="116">
        <f t="shared" si="4"/>
        <v>7519.5</v>
      </c>
      <c r="I12" s="128">
        <f>+'[8]Cta ALI'!$G$22</f>
        <v>0</v>
      </c>
      <c r="J12" s="112">
        <f t="shared" si="2"/>
        <v>25509</v>
      </c>
      <c r="K12" s="93"/>
      <c r="L12" s="93"/>
      <c r="M12" s="93"/>
      <c r="N12" s="93"/>
      <c r="O12" s="93"/>
      <c r="P12" s="93"/>
      <c r="Q12" s="93"/>
    </row>
    <row r="13" spans="1:17" s="1" customFormat="1">
      <c r="A13" s="20" t="s">
        <v>127</v>
      </c>
      <c r="B13" s="102">
        <f>+'[9]Cta ALI'!$D$19</f>
        <v>425750</v>
      </c>
      <c r="C13" s="103">
        <f>+'[9]Cta ALI'!$E$19</f>
        <v>55347.5</v>
      </c>
      <c r="D13" s="104">
        <f>+'[9]Cta ALI'!$F$19</f>
        <v>30000</v>
      </c>
      <c r="E13" s="116">
        <f t="shared" si="3"/>
        <v>25347.5</v>
      </c>
      <c r="F13" s="104">
        <f>+'[9]Cta ALI'!$G$11</f>
        <v>43037.5</v>
      </c>
      <c r="G13" s="104">
        <f>+'[9]Cta ALI'!$G$12</f>
        <v>20000</v>
      </c>
      <c r="H13" s="116">
        <f t="shared" si="4"/>
        <v>23037.5</v>
      </c>
      <c r="I13" s="128">
        <f>+'[9]Cta ALI'!$G$22</f>
        <v>0</v>
      </c>
      <c r="J13" s="112">
        <f t="shared" si="2"/>
        <v>48385</v>
      </c>
      <c r="K13" s="93"/>
      <c r="L13" s="93"/>
      <c r="M13" s="93"/>
      <c r="N13" s="93"/>
      <c r="O13" s="93"/>
      <c r="P13" s="93"/>
      <c r="Q13" s="93"/>
    </row>
    <row r="14" spans="1:17" s="1" customFormat="1">
      <c r="A14" s="13" t="s">
        <v>24</v>
      </c>
      <c r="B14" s="102">
        <f>+'[12]Cta ALI'!$D$19</f>
        <v>439650</v>
      </c>
      <c r="C14" s="103">
        <f>+'[12]Cta ALI'!$E$19</f>
        <v>57154.5</v>
      </c>
      <c r="D14" s="104">
        <f>+'[12]Cta ALI'!$F$19</f>
        <v>30000</v>
      </c>
      <c r="E14" s="116">
        <f t="shared" si="3"/>
        <v>27154.5</v>
      </c>
      <c r="F14" s="104">
        <f>+'[12]Cta ALI'!$G$11</f>
        <v>25591</v>
      </c>
      <c r="G14" s="104">
        <f>+'[12]Cta ALI'!$G$12</f>
        <v>35000</v>
      </c>
      <c r="H14" s="116">
        <f t="shared" si="4"/>
        <v>-9409</v>
      </c>
      <c r="I14" s="128">
        <f>+'[12]Cta ALI'!$G$22</f>
        <v>8500</v>
      </c>
      <c r="J14" s="112">
        <f t="shared" si="2"/>
        <v>26245.5</v>
      </c>
      <c r="K14" s="93"/>
      <c r="L14" s="93"/>
      <c r="M14" s="93"/>
      <c r="N14" s="93"/>
      <c r="O14" s="93"/>
      <c r="P14" s="93"/>
      <c r="Q14" s="93"/>
    </row>
    <row r="15" spans="1:17" s="1" customFormat="1">
      <c r="A15" s="20" t="s">
        <v>25</v>
      </c>
      <c r="B15" s="102">
        <f>+'[13]Cta ALI'!$D$19</f>
        <v>392700</v>
      </c>
      <c r="C15" s="103">
        <f>+'[13]Cta ALI'!$E$19</f>
        <v>51051</v>
      </c>
      <c r="D15" s="104">
        <f>+'[13]Cta ALI'!$F$19</f>
        <v>30000</v>
      </c>
      <c r="E15" s="116">
        <f t="shared" si="3"/>
        <v>21051</v>
      </c>
      <c r="F15" s="104">
        <f>+'[13]Cta ALI'!$G$11</f>
        <v>24494</v>
      </c>
      <c r="G15" s="104">
        <f>+'[13]Cta ALI'!$G$12</f>
        <v>35000</v>
      </c>
      <c r="H15" s="116">
        <f t="shared" si="4"/>
        <v>-10506</v>
      </c>
      <c r="I15" s="128">
        <f>+'[13]Cta ALI'!$G$22</f>
        <v>0</v>
      </c>
      <c r="J15" s="112">
        <f t="shared" si="2"/>
        <v>10545</v>
      </c>
      <c r="K15" s="93"/>
      <c r="L15" s="93"/>
      <c r="M15" s="93"/>
      <c r="N15" s="93"/>
      <c r="O15" s="93"/>
      <c r="P15" s="93"/>
      <c r="Q15" s="93"/>
    </row>
    <row r="16" spans="1:17" s="1" customFormat="1">
      <c r="A16" s="13" t="s">
        <v>26</v>
      </c>
      <c r="B16" s="102">
        <f>+'[14]Cta ALI'!$D$19</f>
        <v>370700</v>
      </c>
      <c r="C16" s="103">
        <f>+'[14]Cta ALI'!$E$19</f>
        <v>48191</v>
      </c>
      <c r="D16" s="104">
        <f>+'[14]Cta ALI'!$F$19</f>
        <v>30000</v>
      </c>
      <c r="E16" s="116">
        <f t="shared" si="3"/>
        <v>18191</v>
      </c>
      <c r="F16" s="104">
        <f>+'[14]Cta ALI'!$G$11</f>
        <v>21983.5</v>
      </c>
      <c r="G16" s="104">
        <f>+'[14]Cta ALI'!$G$12</f>
        <v>15000</v>
      </c>
      <c r="H16" s="116">
        <f t="shared" si="4"/>
        <v>6983.5</v>
      </c>
      <c r="I16" s="128">
        <f>+'[14]Cta ALI'!$G$22</f>
        <v>0</v>
      </c>
      <c r="J16" s="112">
        <f t="shared" si="2"/>
        <v>25174.5</v>
      </c>
      <c r="K16" s="93"/>
      <c r="L16" s="93"/>
      <c r="M16" s="93"/>
      <c r="N16" s="93"/>
      <c r="O16" s="93"/>
      <c r="P16" s="93"/>
      <c r="Q16" s="93"/>
    </row>
    <row r="17" spans="1:17" s="1" customFormat="1">
      <c r="A17" s="20" t="s">
        <v>27</v>
      </c>
      <c r="B17" s="102">
        <f>+'[15]Cta ALI'!$D$19</f>
        <v>413650</v>
      </c>
      <c r="C17" s="103">
        <f>+'[15]Cta ALI'!$E$19</f>
        <v>53774.5</v>
      </c>
      <c r="D17" s="104">
        <f>+'[15]Cta ALI'!$F$19</f>
        <v>30000</v>
      </c>
      <c r="E17" s="116">
        <f t="shared" si="3"/>
        <v>23774.5</v>
      </c>
      <c r="F17" s="104">
        <f>+'[15]Cta ALI'!$G$11</f>
        <v>30720.5</v>
      </c>
      <c r="G17" s="104">
        <f>+'[15]Cta ALI'!$G$12</f>
        <v>35000</v>
      </c>
      <c r="H17" s="116">
        <f t="shared" si="4"/>
        <v>-4279.5</v>
      </c>
      <c r="I17" s="128">
        <f>+'[15]Cta ALI'!$G$22</f>
        <v>0</v>
      </c>
      <c r="J17" s="112">
        <f t="shared" si="2"/>
        <v>19495</v>
      </c>
      <c r="K17" s="93"/>
      <c r="L17" s="93"/>
      <c r="M17" s="93"/>
      <c r="N17" s="93"/>
      <c r="O17" s="93"/>
      <c r="P17" s="93"/>
      <c r="Q17" s="93"/>
    </row>
    <row r="18" spans="1:17" s="1" customFormat="1">
      <c r="A18" s="20" t="s">
        <v>28</v>
      </c>
      <c r="B18" s="102">
        <f>+'[16]Cta ALI'!$D$19</f>
        <v>280150</v>
      </c>
      <c r="C18" s="103">
        <f>+'[16]Cta ALI'!$E$19</f>
        <v>36419.5</v>
      </c>
      <c r="D18" s="104">
        <f>+'[16]Cta ALI'!$F$19</f>
        <v>30000</v>
      </c>
      <c r="E18" s="116">
        <f t="shared" si="3"/>
        <v>6419.5</v>
      </c>
      <c r="F18" s="104">
        <f>+'[16]Cta ALI'!$G$11</f>
        <v>27240.5</v>
      </c>
      <c r="G18" s="104">
        <f>+'[16]Cta ALI'!$G$12</f>
        <v>35000</v>
      </c>
      <c r="H18" s="116">
        <f t="shared" si="4"/>
        <v>-7759.5</v>
      </c>
      <c r="I18" s="128">
        <f>+'[16]Cta ALI'!$G$22</f>
        <v>0</v>
      </c>
      <c r="J18" s="112">
        <f t="shared" si="2"/>
        <v>-1340</v>
      </c>
      <c r="K18" s="93"/>
      <c r="L18" s="93"/>
      <c r="M18" s="93"/>
      <c r="N18" s="93"/>
      <c r="O18" s="93"/>
      <c r="P18" s="93"/>
      <c r="Q18" s="93"/>
    </row>
    <row r="19" spans="1:17" s="1" customFormat="1">
      <c r="A19" s="13" t="s">
        <v>29</v>
      </c>
      <c r="B19" s="102">
        <f>+'[17]Cta ALI'!$D$19</f>
        <v>0</v>
      </c>
      <c r="C19" s="103">
        <f>+'[17]Cta ALI'!$E$19</f>
        <v>0</v>
      </c>
      <c r="D19" s="104">
        <f>+'[17]Cta ALI'!$F$19</f>
        <v>0</v>
      </c>
      <c r="E19" s="116">
        <f t="shared" si="3"/>
        <v>0</v>
      </c>
      <c r="F19" s="104">
        <f>+'[17]Cta ALI'!$G$11</f>
        <v>0</v>
      </c>
      <c r="G19" s="104">
        <f>+'[17]Cta ALI'!$G$12</f>
        <v>0</v>
      </c>
      <c r="H19" s="116">
        <f t="shared" si="4"/>
        <v>0</v>
      </c>
      <c r="I19" s="128">
        <f>+'[17]Cta ALI'!$G$22</f>
        <v>0</v>
      </c>
      <c r="J19" s="112">
        <f t="shared" si="2"/>
        <v>0</v>
      </c>
      <c r="K19" s="93"/>
      <c r="L19" s="93"/>
      <c r="M19" s="93"/>
      <c r="N19" s="93"/>
      <c r="O19" s="93"/>
      <c r="P19" s="93"/>
      <c r="Q19" s="93"/>
    </row>
    <row r="20" spans="1:17" s="1" customFormat="1">
      <c r="A20" s="20" t="s">
        <v>30</v>
      </c>
      <c r="B20" s="102">
        <f>+'[18]Cta ALI'!$D$19</f>
        <v>0</v>
      </c>
      <c r="C20" s="105">
        <f>+'[18]Cta ALI'!$E$19</f>
        <v>0</v>
      </c>
      <c r="D20" s="106">
        <f>+'[18]Cta ALI'!$F$19</f>
        <v>0</v>
      </c>
      <c r="E20" s="117">
        <f t="shared" si="3"/>
        <v>0</v>
      </c>
      <c r="F20" s="106">
        <f>+'[18]Cta ALI'!$G$11</f>
        <v>0</v>
      </c>
      <c r="G20" s="106">
        <f>+'[18]Cta ALI'!$G$12</f>
        <v>0</v>
      </c>
      <c r="H20" s="117">
        <f t="shared" si="4"/>
        <v>0</v>
      </c>
      <c r="I20" s="129">
        <f>+'[18]Cta ALI'!$G$22</f>
        <v>0</v>
      </c>
      <c r="J20" s="113">
        <f t="shared" si="2"/>
        <v>0</v>
      </c>
      <c r="K20" s="93"/>
      <c r="L20" s="93"/>
      <c r="M20" s="93"/>
      <c r="N20" s="93"/>
      <c r="O20" s="93"/>
      <c r="P20" s="93"/>
      <c r="Q20" s="93"/>
    </row>
    <row r="21" spans="1:17" s="1" customFormat="1">
      <c r="A21" s="13" t="s">
        <v>31</v>
      </c>
      <c r="B21" s="102">
        <f>+'[19]Cta ALI'!$D$19</f>
        <v>0</v>
      </c>
      <c r="C21" s="105">
        <f>+'[19]Cta ALI'!$E$19</f>
        <v>0</v>
      </c>
      <c r="D21" s="106">
        <f>+'[19]Cta ALI'!$F$19</f>
        <v>0</v>
      </c>
      <c r="E21" s="117">
        <f t="shared" si="3"/>
        <v>0</v>
      </c>
      <c r="F21" s="106">
        <f>+'[19]Cta ALI'!$G$11</f>
        <v>0</v>
      </c>
      <c r="G21" s="106">
        <f>+'[19]Cta ALI'!$G$12</f>
        <v>0</v>
      </c>
      <c r="H21" s="117">
        <f t="shared" si="4"/>
        <v>0</v>
      </c>
      <c r="I21" s="129">
        <f>+'[19]Cta ALI'!$G$22</f>
        <v>0</v>
      </c>
      <c r="J21" s="113">
        <f t="shared" si="2"/>
        <v>0</v>
      </c>
      <c r="K21" s="93"/>
      <c r="L21" s="93"/>
      <c r="M21" s="93"/>
      <c r="N21" s="93"/>
      <c r="O21" s="93"/>
      <c r="P21" s="93"/>
      <c r="Q21" s="93"/>
    </row>
    <row r="22" spans="1:17" s="1" customFormat="1">
      <c r="A22" s="20" t="s">
        <v>32</v>
      </c>
      <c r="B22" s="102">
        <f>+'[20]Cta ALI'!$D$19</f>
        <v>0</v>
      </c>
      <c r="C22" s="105">
        <f>+'[20]Cta ALI'!$E$19</f>
        <v>0</v>
      </c>
      <c r="D22" s="106">
        <f>+'[20]Cta ALI'!$F$19</f>
        <v>0</v>
      </c>
      <c r="E22" s="117">
        <f t="shared" si="3"/>
        <v>0</v>
      </c>
      <c r="F22" s="106">
        <f>+'[20]Cta ALI'!$G$11</f>
        <v>0</v>
      </c>
      <c r="G22" s="106">
        <f>+'[20]Cta ALI'!$G$12</f>
        <v>0</v>
      </c>
      <c r="H22" s="117">
        <f t="shared" si="4"/>
        <v>0</v>
      </c>
      <c r="I22" s="129">
        <f>+'[20]Cta ALI'!$G$22</f>
        <v>0</v>
      </c>
      <c r="J22" s="113">
        <f t="shared" si="2"/>
        <v>0</v>
      </c>
      <c r="K22" s="93"/>
      <c r="L22" s="93"/>
      <c r="M22" s="93"/>
      <c r="N22" s="93"/>
      <c r="O22" s="93"/>
      <c r="P22" s="93"/>
      <c r="Q22" s="93"/>
    </row>
    <row r="23" spans="1:17" s="1" customFormat="1">
      <c r="A23" s="13" t="s">
        <v>33</v>
      </c>
      <c r="B23" s="102">
        <f>+'[21]Cta ALI'!$D$19</f>
        <v>0</v>
      </c>
      <c r="C23" s="105">
        <f>+'[21]Cta ALI'!$E$19</f>
        <v>0</v>
      </c>
      <c r="D23" s="106">
        <f>+'[21]Cta ALI'!$F$19</f>
        <v>0</v>
      </c>
      <c r="E23" s="117">
        <f t="shared" si="3"/>
        <v>0</v>
      </c>
      <c r="F23" s="106">
        <f>+'[21]Cta ALI'!$G$11</f>
        <v>0</v>
      </c>
      <c r="G23" s="106">
        <f>+'[21]Cta ALI'!$G$12</f>
        <v>0</v>
      </c>
      <c r="H23" s="117">
        <f t="shared" si="4"/>
        <v>0</v>
      </c>
      <c r="I23" s="129">
        <f>+'[21]Cta ALI'!$G$22</f>
        <v>0</v>
      </c>
      <c r="J23" s="113">
        <f t="shared" si="2"/>
        <v>0</v>
      </c>
      <c r="K23" s="93"/>
      <c r="L23" s="93"/>
      <c r="M23" s="93"/>
      <c r="N23" s="93"/>
      <c r="O23" s="93"/>
      <c r="P23" s="93"/>
      <c r="Q23" s="93"/>
    </row>
    <row r="24" spans="1:17" s="1" customFormat="1">
      <c r="A24" s="20" t="s">
        <v>34</v>
      </c>
      <c r="B24" s="102">
        <f>+'[22]Cta ALI'!$D$19</f>
        <v>0</v>
      </c>
      <c r="C24" s="105">
        <f>+'[22]Cta ALI'!$E$19</f>
        <v>0</v>
      </c>
      <c r="D24" s="106">
        <f>+'[22]Cta ALI'!$F$19</f>
        <v>0</v>
      </c>
      <c r="E24" s="117">
        <f t="shared" si="3"/>
        <v>0</v>
      </c>
      <c r="F24" s="106">
        <f>+'[22]Cta ALI'!$G$11</f>
        <v>0</v>
      </c>
      <c r="G24" s="106">
        <f>+'[22]Cta ALI'!$G$12</f>
        <v>0</v>
      </c>
      <c r="H24" s="117">
        <f t="shared" si="4"/>
        <v>0</v>
      </c>
      <c r="I24" s="129">
        <f>+'[22]Cta ALI'!$G$22</f>
        <v>0</v>
      </c>
      <c r="J24" s="113">
        <f t="shared" si="2"/>
        <v>0</v>
      </c>
      <c r="K24" s="93"/>
      <c r="L24" s="93"/>
      <c r="M24" s="93"/>
      <c r="N24" s="93"/>
      <c r="O24" s="93"/>
      <c r="P24" s="93"/>
      <c r="Q24" s="93"/>
    </row>
    <row r="25" spans="1:17" s="1" customFormat="1">
      <c r="A25" s="13" t="s">
        <v>35</v>
      </c>
      <c r="B25" s="102">
        <f>+'[23]Cta ALI'!$D$19</f>
        <v>0</v>
      </c>
      <c r="C25" s="105">
        <f>+'[23]Cta ALI'!$E$19</f>
        <v>0</v>
      </c>
      <c r="D25" s="106">
        <f>+'[23]Cta ALI'!$F$19</f>
        <v>0</v>
      </c>
      <c r="E25" s="117">
        <f t="shared" si="3"/>
        <v>0</v>
      </c>
      <c r="F25" s="106">
        <f>+'[23]Cta ALI'!$G$11</f>
        <v>0</v>
      </c>
      <c r="G25" s="106">
        <f>+'[23]Cta ALI'!$G$12</f>
        <v>0</v>
      </c>
      <c r="H25" s="117">
        <f t="shared" si="4"/>
        <v>0</v>
      </c>
      <c r="I25" s="129">
        <f>+'[23]Cta ALI'!$G$22</f>
        <v>0</v>
      </c>
      <c r="J25" s="113">
        <f t="shared" si="2"/>
        <v>0</v>
      </c>
      <c r="K25" s="93"/>
      <c r="L25" s="93"/>
      <c r="M25" s="93"/>
      <c r="N25" s="93"/>
      <c r="O25" s="93"/>
      <c r="P25" s="93"/>
      <c r="Q25" s="93"/>
    </row>
    <row r="26" spans="1:17" s="1" customFormat="1">
      <c r="A26" s="20" t="s">
        <v>36</v>
      </c>
      <c r="B26" s="102">
        <f>+'[24]Cta ALI'!$D$19</f>
        <v>0</v>
      </c>
      <c r="C26" s="105">
        <f>+'[24]Cta ALI'!$E$19</f>
        <v>0</v>
      </c>
      <c r="D26" s="106">
        <f>+'[24]Cta ALI'!$F$19</f>
        <v>0</v>
      </c>
      <c r="E26" s="117">
        <f t="shared" si="3"/>
        <v>0</v>
      </c>
      <c r="F26" s="106">
        <f>+'[24]Cta ALI'!$G$11</f>
        <v>0</v>
      </c>
      <c r="G26" s="106">
        <f>+'[24]Cta ALI'!$G$12</f>
        <v>0</v>
      </c>
      <c r="H26" s="117">
        <f t="shared" si="4"/>
        <v>0</v>
      </c>
      <c r="I26" s="129">
        <f>+'[24]Cta ALI'!$G$22</f>
        <v>0</v>
      </c>
      <c r="J26" s="113">
        <f t="shared" si="2"/>
        <v>0</v>
      </c>
      <c r="K26" s="93"/>
      <c r="L26" s="93"/>
      <c r="M26" s="93"/>
      <c r="N26" s="93"/>
      <c r="O26" s="93"/>
      <c r="P26" s="93"/>
      <c r="Q26" s="93"/>
    </row>
    <row r="27" spans="1:17" s="1" customFormat="1">
      <c r="A27" s="13" t="s">
        <v>37</v>
      </c>
      <c r="B27" s="102">
        <f>+'[25]Cta ALI'!$D$19</f>
        <v>0</v>
      </c>
      <c r="C27" s="105">
        <f>+'[25]Cta ALI'!$E$19</f>
        <v>0</v>
      </c>
      <c r="D27" s="106">
        <f>+'[25]Cta ALI'!$F$19</f>
        <v>0</v>
      </c>
      <c r="E27" s="117">
        <f t="shared" si="3"/>
        <v>0</v>
      </c>
      <c r="F27" s="106">
        <f>+'[25]Cta ALI'!$G$11</f>
        <v>0</v>
      </c>
      <c r="G27" s="106">
        <f>+'[25]Cta ALI'!$G$12</f>
        <v>0</v>
      </c>
      <c r="H27" s="117">
        <f t="shared" si="4"/>
        <v>0</v>
      </c>
      <c r="I27" s="129">
        <f>+'[25]Cta ALI'!$G$22</f>
        <v>0</v>
      </c>
      <c r="J27" s="113">
        <f t="shared" si="2"/>
        <v>0</v>
      </c>
      <c r="K27" s="93"/>
      <c r="L27" s="93"/>
      <c r="M27" s="93"/>
      <c r="N27" s="93"/>
      <c r="O27" s="93"/>
      <c r="P27" s="93"/>
      <c r="Q27" s="93"/>
    </row>
    <row r="28" spans="1:17" s="1" customFormat="1">
      <c r="A28" s="20" t="s">
        <v>38</v>
      </c>
      <c r="B28" s="102">
        <f>+'[26]Cta ALI'!$D$19</f>
        <v>0</v>
      </c>
      <c r="C28" s="105">
        <f>+'[26]Cta ALI'!$E$19</f>
        <v>0</v>
      </c>
      <c r="D28" s="106">
        <f>+'[26]Cta ALI'!$F$19</f>
        <v>0</v>
      </c>
      <c r="E28" s="117">
        <f t="shared" si="3"/>
        <v>0</v>
      </c>
      <c r="F28" s="106">
        <f>+'[26]Cta ALI'!$G$11</f>
        <v>0</v>
      </c>
      <c r="G28" s="106">
        <f>+'[26]Cta ALI'!$G$12</f>
        <v>0</v>
      </c>
      <c r="H28" s="117">
        <f t="shared" si="4"/>
        <v>0</v>
      </c>
      <c r="I28" s="129">
        <f>+'[26]Cta ALI'!$G$22</f>
        <v>0</v>
      </c>
      <c r="J28" s="113">
        <f t="shared" si="2"/>
        <v>0</v>
      </c>
      <c r="K28" s="93"/>
      <c r="L28" s="93"/>
      <c r="M28" s="93"/>
      <c r="N28" s="93"/>
      <c r="O28" s="93"/>
      <c r="P28" s="93"/>
      <c r="Q28" s="93"/>
    </row>
    <row r="29" spans="1:17" s="1" customFormat="1">
      <c r="A29" s="13" t="s">
        <v>39</v>
      </c>
      <c r="B29" s="102">
        <f>+'[27]Cta ALI'!$D$19</f>
        <v>0</v>
      </c>
      <c r="C29" s="105">
        <f>+'[27]Cta ALI'!$E$19</f>
        <v>0</v>
      </c>
      <c r="D29" s="106">
        <f>+'[27]Cta ALI'!$F$19</f>
        <v>0</v>
      </c>
      <c r="E29" s="117">
        <f t="shared" si="3"/>
        <v>0</v>
      </c>
      <c r="F29" s="106">
        <f>+'[27]Cta ALI'!$G$11</f>
        <v>0</v>
      </c>
      <c r="G29" s="106">
        <f>+'[27]Cta ALI'!$G$12</f>
        <v>0</v>
      </c>
      <c r="H29" s="117">
        <f t="shared" si="4"/>
        <v>0</v>
      </c>
      <c r="I29" s="129">
        <f>+'[27]Cta ALI'!$G$22</f>
        <v>0</v>
      </c>
      <c r="J29" s="113">
        <f t="shared" si="2"/>
        <v>0</v>
      </c>
      <c r="K29" s="93"/>
      <c r="L29" s="93"/>
      <c r="M29" s="93"/>
      <c r="N29" s="93"/>
      <c r="O29" s="93"/>
      <c r="P29" s="93"/>
      <c r="Q29" s="93"/>
    </row>
    <row r="30" spans="1:17" s="1" customFormat="1">
      <c r="A30" s="20" t="s">
        <v>40</v>
      </c>
      <c r="B30" s="102">
        <f>+'[28]Cta ALI'!$D$19</f>
        <v>0</v>
      </c>
      <c r="C30" s="105">
        <f>+'[28]Cta ALI'!$E$19</f>
        <v>0</v>
      </c>
      <c r="D30" s="106">
        <f>+'[28]Cta ALI'!$F$19</f>
        <v>0</v>
      </c>
      <c r="E30" s="117">
        <f t="shared" si="3"/>
        <v>0</v>
      </c>
      <c r="F30" s="106">
        <f>+'[28]Cta ALI'!$G$11</f>
        <v>0</v>
      </c>
      <c r="G30" s="106">
        <f>+'[28]Cta ALI'!$G$12</f>
        <v>0</v>
      </c>
      <c r="H30" s="117">
        <f t="shared" si="4"/>
        <v>0</v>
      </c>
      <c r="I30" s="129">
        <f>+'[28]Cta ALI'!$G$22</f>
        <v>0</v>
      </c>
      <c r="J30" s="113">
        <f t="shared" si="2"/>
        <v>0</v>
      </c>
      <c r="K30" s="93"/>
      <c r="L30" s="93"/>
      <c r="M30" s="93"/>
      <c r="N30" s="93"/>
      <c r="O30" s="93"/>
      <c r="P30" s="93"/>
      <c r="Q30" s="93"/>
    </row>
    <row r="31" spans="1:17" s="1" customFormat="1">
      <c r="A31" s="20" t="s">
        <v>41</v>
      </c>
      <c r="B31" s="102">
        <f>+'[29]Cta ALI'!$D$19</f>
        <v>0</v>
      </c>
      <c r="C31" s="105">
        <f>+'[29]Cta ALI'!$E$19</f>
        <v>0</v>
      </c>
      <c r="D31" s="106">
        <f>+'[29]Cta ALI'!$F$19</f>
        <v>0</v>
      </c>
      <c r="E31" s="117">
        <f t="shared" si="3"/>
        <v>0</v>
      </c>
      <c r="F31" s="106">
        <f>+'[29]Cta ALI'!$G$11</f>
        <v>0</v>
      </c>
      <c r="G31" s="106">
        <f>+'[29]Cta ALI'!$G$12</f>
        <v>0</v>
      </c>
      <c r="H31" s="117">
        <f t="shared" si="4"/>
        <v>0</v>
      </c>
      <c r="I31" s="129">
        <f>+'[29]Cta ALI'!$G$22</f>
        <v>0</v>
      </c>
      <c r="J31" s="113">
        <f t="shared" si="2"/>
        <v>0</v>
      </c>
      <c r="K31" s="93"/>
      <c r="L31" s="93"/>
      <c r="M31" s="93"/>
      <c r="N31" s="93"/>
      <c r="O31" s="93"/>
      <c r="P31" s="93"/>
      <c r="Q31" s="93"/>
    </row>
    <row r="32" spans="1:17" s="1" customFormat="1">
      <c r="A32" s="13" t="s">
        <v>42</v>
      </c>
      <c r="B32" s="102">
        <f>+'[30]Cta ALI'!$D$19</f>
        <v>0</v>
      </c>
      <c r="C32" s="105">
        <f>+'[30]Cta ALI'!$E$19</f>
        <v>0</v>
      </c>
      <c r="D32" s="106">
        <f>+'[30]Cta ALI'!$F$19</f>
        <v>0</v>
      </c>
      <c r="E32" s="117">
        <f t="shared" si="3"/>
        <v>0</v>
      </c>
      <c r="F32" s="106">
        <f>+'[30]Cta ALI'!$G$11</f>
        <v>0</v>
      </c>
      <c r="G32" s="106">
        <f>+'[30]Cta ALI'!$G$12</f>
        <v>0</v>
      </c>
      <c r="H32" s="117">
        <f t="shared" si="4"/>
        <v>0</v>
      </c>
      <c r="I32" s="129">
        <f>+'[30]Cta ALI'!$G$22</f>
        <v>0</v>
      </c>
      <c r="J32" s="113">
        <f t="shared" si="2"/>
        <v>0</v>
      </c>
      <c r="K32" s="93"/>
      <c r="L32" s="93"/>
      <c r="M32" s="93"/>
      <c r="N32" s="93"/>
      <c r="O32" s="93"/>
      <c r="P32" s="93"/>
      <c r="Q32" s="93"/>
    </row>
    <row r="33" spans="1:17" s="1" customFormat="1">
      <c r="A33" s="20" t="s">
        <v>43</v>
      </c>
      <c r="B33" s="102">
        <f>+'[31]Cta ALI'!$D$19</f>
        <v>0</v>
      </c>
      <c r="C33" s="105">
        <f>+'[31]Cta ALI'!$E$19</f>
        <v>0</v>
      </c>
      <c r="D33" s="106">
        <f>+'[31]Cta ALI'!$F$19</f>
        <v>0</v>
      </c>
      <c r="E33" s="117">
        <f t="shared" si="3"/>
        <v>0</v>
      </c>
      <c r="F33" s="106">
        <f>+'[31]Cta ALI'!$G$11</f>
        <v>0</v>
      </c>
      <c r="G33" s="106">
        <f>+'[31]Cta ALI'!$G$12</f>
        <v>0</v>
      </c>
      <c r="H33" s="117">
        <f t="shared" si="4"/>
        <v>0</v>
      </c>
      <c r="I33" s="129">
        <f>+'[31]Cta ALI'!$G$22</f>
        <v>0</v>
      </c>
      <c r="J33" s="113">
        <f t="shared" si="2"/>
        <v>0</v>
      </c>
      <c r="K33" s="93"/>
      <c r="L33" s="93"/>
      <c r="M33" s="93"/>
      <c r="N33" s="93"/>
      <c r="O33" s="93"/>
      <c r="P33" s="93"/>
      <c r="Q33" s="93"/>
    </row>
    <row r="34" spans="1:17" s="1" customFormat="1">
      <c r="A34" s="13" t="s">
        <v>44</v>
      </c>
      <c r="B34" s="102">
        <f>+'[10]Cta ALI'!$D$19</f>
        <v>0</v>
      </c>
      <c r="C34" s="105">
        <f>+'[10]Cta ALI'!$E$19</f>
        <v>0</v>
      </c>
      <c r="D34" s="106">
        <f>+'[10]Cta ALI'!$F$19</f>
        <v>0</v>
      </c>
      <c r="E34" s="117">
        <f t="shared" si="3"/>
        <v>0</v>
      </c>
      <c r="F34" s="106">
        <f>+'[10]Cta ALI'!$G$11</f>
        <v>0</v>
      </c>
      <c r="G34" s="106">
        <f>+'[10]Cta ALI'!$G$12</f>
        <v>0</v>
      </c>
      <c r="H34" s="117">
        <f t="shared" si="4"/>
        <v>0</v>
      </c>
      <c r="I34" s="129">
        <f>+'[10]Cta ALI'!$G$22</f>
        <v>0</v>
      </c>
      <c r="J34" s="113">
        <f t="shared" si="2"/>
        <v>0</v>
      </c>
      <c r="K34" s="93"/>
      <c r="L34" s="93"/>
      <c r="M34" s="93"/>
      <c r="N34" s="93"/>
      <c r="O34" s="93"/>
      <c r="P34" s="93"/>
      <c r="Q34" s="93"/>
    </row>
    <row r="35" spans="1:17" s="1" customFormat="1" ht="15.75" thickBot="1">
      <c r="A35" s="20" t="s">
        <v>45</v>
      </c>
      <c r="B35" s="107">
        <f>+'[11]Cta ALI'!$D$19</f>
        <v>0</v>
      </c>
      <c r="C35" s="108">
        <f>+'[11]Cta ALI'!$E$19</f>
        <v>0</v>
      </c>
      <c r="D35" s="109">
        <f>+'[11]Cta ALI'!$F$19</f>
        <v>0</v>
      </c>
      <c r="E35" s="118">
        <f t="shared" si="3"/>
        <v>0</v>
      </c>
      <c r="F35" s="109">
        <f>+'[11]Cta ALI'!$G$11</f>
        <v>0</v>
      </c>
      <c r="G35" s="109">
        <f>+'[11]Cta ALI'!$G$12</f>
        <v>0</v>
      </c>
      <c r="H35" s="118">
        <f t="shared" si="4"/>
        <v>0</v>
      </c>
      <c r="I35" s="130">
        <f>+'[11]Cta ALI'!$G$22</f>
        <v>0</v>
      </c>
      <c r="J35" s="114">
        <f t="shared" si="2"/>
        <v>0</v>
      </c>
      <c r="K35" s="93"/>
      <c r="L35" s="93"/>
      <c r="M35" s="93"/>
      <c r="N35" s="93"/>
      <c r="O35" s="93"/>
      <c r="P35" s="93"/>
      <c r="Q35" s="93"/>
    </row>
    <row r="36" spans="1:17" s="1" customFormat="1" ht="16.5" thickBot="1">
      <c r="A36" s="110" t="s">
        <v>46</v>
      </c>
      <c r="B36" s="119">
        <f>SUM(B5:B35)</f>
        <v>6166950</v>
      </c>
      <c r="C36" s="120">
        <f t="shared" ref="C36:D36" si="5">SUM(C5:C35)</f>
        <v>801703.5</v>
      </c>
      <c r="D36" s="121">
        <f t="shared" si="5"/>
        <v>420000</v>
      </c>
      <c r="E36" s="122">
        <f t="shared" ref="E36" si="6">SUM(E5:E35)</f>
        <v>381703.5</v>
      </c>
      <c r="F36" s="121">
        <f t="shared" ref="F36" si="7">SUM(F5:F35)</f>
        <v>429728</v>
      </c>
      <c r="G36" s="121">
        <f t="shared" ref="G36:I36" si="8">SUM(G5:G35)</f>
        <v>390000</v>
      </c>
      <c r="H36" s="122">
        <f t="shared" ref="H36" si="9">SUM(H5:H35)</f>
        <v>39728</v>
      </c>
      <c r="I36" s="121">
        <f t="shared" si="8"/>
        <v>8500</v>
      </c>
      <c r="J36" s="121">
        <f t="shared" ref="J36" si="10">SUM(J5:J35)</f>
        <v>429931.5</v>
      </c>
      <c r="K36" s="94"/>
      <c r="L36" s="94"/>
      <c r="M36" s="94"/>
      <c r="N36" s="94"/>
      <c r="O36" s="94"/>
      <c r="P36" s="94"/>
      <c r="Q36" s="95"/>
    </row>
    <row r="37" spans="1:17" s="1" customFormat="1"/>
    <row r="38" spans="1:17" s="1" customFormat="1">
      <c r="L38" s="144"/>
      <c r="M38" s="144"/>
      <c r="N38" s="96"/>
    </row>
    <row r="39" spans="1:17" s="1" customFormat="1">
      <c r="B39" s="1">
        <f>+B36/16</f>
        <v>385434.375</v>
      </c>
      <c r="L39" s="144"/>
      <c r="M39" s="144"/>
      <c r="N39" s="97"/>
    </row>
    <row r="40" spans="1:17">
      <c r="L40" s="96"/>
      <c r="M40" s="96"/>
      <c r="N40" s="96"/>
    </row>
    <row r="41" spans="1:17" s="1" customFormat="1">
      <c r="L41" s="96"/>
      <c r="M41" s="96"/>
      <c r="N41" s="96"/>
    </row>
    <row r="42" spans="1:17" s="1" customFormat="1">
      <c r="L42" s="96"/>
      <c r="M42" s="96"/>
      <c r="N42" s="96"/>
    </row>
    <row r="43" spans="1:17" s="1" customFormat="1">
      <c r="L43" s="96"/>
      <c r="M43" s="96"/>
      <c r="N43" s="96"/>
    </row>
    <row r="44" spans="1:17" s="1" customFormat="1">
      <c r="L44" s="96"/>
      <c r="M44" s="96"/>
      <c r="N44" s="98"/>
    </row>
  </sheetData>
  <mergeCells count="4">
    <mergeCell ref="K1:P1"/>
    <mergeCell ref="B2:D2"/>
    <mergeCell ref="L38:M38"/>
    <mergeCell ref="L39:M39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75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46</vt:i4>
      </vt:variant>
      <vt:variant>
        <vt:lpstr>Gráficos</vt:lpstr>
      </vt:variant>
      <vt:variant>
        <vt:i4>1</vt:i4>
      </vt:variant>
    </vt:vector>
  </HeadingPairs>
  <TitlesOfParts>
    <vt:vector size="47" baseType="lpstr">
      <vt:lpstr>Vendedor15 (2)</vt:lpstr>
      <vt:lpstr>Vendedor14 (2)</vt:lpstr>
      <vt:lpstr>Resumen</vt:lpstr>
      <vt:lpstr>PuestosALI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Vendedor30</vt:lpstr>
      <vt:lpstr>Vendedor31</vt:lpstr>
      <vt:lpstr>Vendedor32</vt:lpstr>
      <vt:lpstr>Vendedor33</vt:lpstr>
      <vt:lpstr>Vendedor34</vt:lpstr>
      <vt:lpstr>Vendedor35</vt:lpstr>
      <vt:lpstr>Vendedor36</vt:lpstr>
      <vt:lpstr>Vendedor37</vt:lpstr>
      <vt:lpstr>Vendedor38</vt:lpstr>
      <vt:lpstr>Vendedor39</vt:lpstr>
      <vt:lpstr>Vendedor40</vt:lpstr>
      <vt:lpstr>Grafico Dinámico</vt:lpstr>
      <vt:lpstr>PuestosALI RESUMEN</vt:lpstr>
      <vt:lpstr>Gráfico Ventas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Raul Watson</cp:lastModifiedBy>
  <cp:revision>30</cp:revision>
  <cp:lastPrinted>2025-05-13T01:14:16Z</cp:lastPrinted>
  <dcterms:created xsi:type="dcterms:W3CDTF">2015-06-05T18:19:34Z</dcterms:created>
  <dcterms:modified xsi:type="dcterms:W3CDTF">2026-08-15T00:20:00Z</dcterms:modified>
  <dc:language>es-CR</dc:language>
</cp:coreProperties>
</file>
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65" documentId="13_ncr:1_{EB1C27A7-1EBD-4619-B18B-0BCA469E8746}" xr6:coauthVersionLast="47" xr6:coauthVersionMax="47" xr10:uidLastSave="{4D2F345F-84CC-4C56-A2C0-C61E8DDAAA28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4"/>
  <c r="C10" i="65"/>
  <c r="G10" i="62"/>
  <c r="E10" i="62"/>
  <c r="C10" i="62"/>
  <c r="J10" i="61"/>
  <c r="I10" i="61"/>
  <c r="E10" i="61"/>
  <c r="C10" i="61"/>
  <c r="G10" i="60"/>
  <c r="E10" i="60"/>
  <c r="C10" i="60"/>
  <c r="C11" i="60"/>
  <c r="D18" i="64" l="1"/>
  <c r="D18" i="65"/>
  <c r="D11" i="65"/>
  <c r="D10" i="65"/>
  <c r="D18" i="61"/>
  <c r="D17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L6" i="23" l="1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1" i="60"/>
  <c r="E7" i="16" s="1"/>
  <c r="D9" i="60"/>
  <c r="D7" i="60"/>
  <c r="D5" i="60"/>
  <c r="D4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3" i="60"/>
  <c r="F11" i="60"/>
  <c r="F9" i="60"/>
  <c r="F8" i="60"/>
  <c r="F7" i="60"/>
  <c r="F6" i="60"/>
  <c r="F4" i="60"/>
  <c r="H17" i="60"/>
  <c r="H15" i="60"/>
  <c r="H13" i="60"/>
  <c r="H11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L8" i="15" l="1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5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24" i="15" s="1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<sst xmlns="http://schemas.openxmlformats.org/spreadsheetml/2006/main" count="1291" uniqueCount="158">
  <si>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</si>
  <si>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</si>
  <si>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</si>
  <si>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</si>
  <si>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</si>
  <si>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</si>
  <si>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</si>
  <si>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</si>
  <si>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</si>
  <si>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</si>
  <si>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</si>
  <si>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</si>
  <si>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</si>
  <si>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</si>
  <si>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</si>
  <si>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</si>
  <si>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</si>
  <si>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</si>
  <si>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</si>
  <si>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</si>
  <si>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</si>
  <si>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</si>
  <si>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</si>
  <si>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</si>
  <si>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</si>
  <si>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</si>
  <si>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</si>
  <si>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</si>
  <si>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</si>
  <si>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</si>
  <si>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</si>
  <si>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</si>
  <si>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</si>
  <si>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</si>
  <si>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</si>
  <si>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</si>
  <si>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</si>
  <si>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</si>
  <si>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</si>
  <si>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</si>
  <si>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</si>
  <si>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</si>
  <si>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</si>
  <si>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</si>
  <si>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</si>
  <si>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</si>
  <si>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</si>
  <si>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</si>
  <si>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</si>
  <si>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</si>
  <si>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</si>
  <si>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</si>
  <si>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</si>
  <si>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</si>
  <si>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</si>
  <si>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</si>
  <si>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</si>
  <si>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</si>
  <si>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</si>
  <si>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</si>
  <si>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</si>
  <si>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</si>
  <si>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</si>
  <si>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</si>
  <si>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</si>
  <si>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</si>
  <si>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</si>
  <si>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</si>
  <si>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</si>
  <si>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</si>
  <si>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</si>
  <si>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</si>
  <si>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</si>
  <si>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</si>
  <si>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</si>
  <si>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</si>
  <si>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</si>
  <si>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</si>
  <si>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</si>
  <si>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</si>
  <si>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</si>
  <si>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</si>
  <si>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</si>
  <si>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</si>
  <si>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</si>
  <si>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</si>
  <si>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</si>
  <si>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</si>
  <si>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</si>
  <si>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</si>
  <si>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</si>
  <si>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</si>
  <si>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</si>
  <si>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</si>
  <si>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</si>
  <si>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</si>
  <si>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</si>
  <si>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</si>
  <si>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</si>
  <si>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</si>
  <si>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</si>
  <si>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</si>
  <si>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</si>
  <si>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</si>
  <si>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</si>
  <si>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</si>
  <si>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</si>
  <si>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</si>
  <si>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</si>
  <si>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</si>
  <si>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</si>
  <si>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</si>
  <si>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</si>
  <si>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</si>
  <si>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</si>
  <si>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</si>
  <si>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</si>
  <si>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</si>
  <si>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</si>
  <si>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</si>
  <si>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</si>
  <si>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</si>
  <si>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</si>
  <si>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</si>
  <si>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</si>
  <si>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</si>
  <si>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</si>
  <si>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</si>
  <si>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</si>
  <si>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</si>
  <si>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</si>
  <si>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</si>
  <si>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</si>
  <si>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</si>
  <si>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</si>
  <si>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</si>
  <si>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</si>
  <si>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</si>
  <si>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</si>
  <si>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</si>
  <si>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</si>
  <si>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</si>
  <si>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</si>
  <si>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</si>
  <si>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</si>
  <si>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</si>
  <si>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</si>
  <si>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</si>
  <si>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</si>
  <si>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</si>
  <si>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</si>
  <si>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</si>
  <si>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</si>
  <si>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</si>
  <si>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</si>
  <si>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</si>
  <si>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09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</si>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</sst>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0" fillId="3" borderId="46" xfId="0" quotePrefix="1" applyFill="1" applyBorder="1" applyAlignment="1">
      <alignment horizontal="center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185500</v>
      </c>
      <c r="C3" s="9">
        <f>+HojaTICA!K4+HojaNICA!M4+HojaREVENTADO!K4+HojaPrimera!I4+HojaHonduras!K4+HojaDominicana!I4+HojaPANA!G4</f>
        <v>24100</v>
      </c>
      <c r="D3" s="9">
        <f>+HojaTICA!N4+HojaNICA!P4+HojaREVENTADO!O4+HojaPrimera!L4+HojaHonduras!N4+HojaDominicana!L4+HojaPANA!J4</f>
        <v>42500</v>
      </c>
      <c r="F3" s="10">
        <f t="shared" ref="F3:F27" si="0">+B3-C3-D3</f>
        <v>118900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185200</v>
      </c>
      <c r="C4" s="9">
        <f>+HojaTICA!K5+HojaNICA!M5+HojaREVENTADO!K5+HojaPrimera!I5+HojaHonduras!K5+HojaDominicana!I5+HojaPANA!G5</f>
        <v>24050</v>
      </c>
      <c r="D4" s="9">
        <f>+HojaTICA!N5+HojaNICA!P5+HojaREVENTADO!O5+HojaPrimera!L5+HojaHonduras!N5+HojaDominicana!L5+HojaPANA!J5</f>
        <v>272000</v>
      </c>
      <c r="F4" s="14">
        <f t="shared" si="0"/>
        <v>-110850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262450</v>
      </c>
      <c r="C7" s="9">
        <f>+HojaTICA!K8+HojaNICA!M8+HojaREVENTADO!K8+HojaPrimera!I8+HojaHonduras!K8+HojaDominicana!I8+HojaPANA!G8</f>
        <v>31500</v>
      </c>
      <c r="D7" s="9">
        <f>+HojaTICA!N8+HojaNICA!P8+HojaREVENTADO!O8+HojaPrimera!L8+HojaHonduras!N8+HojaDominicana!L8+HojaPANA!J8</f>
        <v>71250</v>
      </c>
      <c r="F7" s="14">
        <f t="shared" si="0"/>
        <v>159700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565150</v>
      </c>
      <c r="C9" s="9">
        <f>+HojaTICA!K10+HojaNICA!M10+HojaREVENTADO!K10+HojaPrimera!I10+HojaHonduras!K10+HojaDominicana!I10+HojaPANA!G10</f>
        <v>67275</v>
      </c>
      <c r="D9" s="9">
        <f>+HojaTICA!N10+HojaNICA!P10+HojaREVENTADO!O10+HojaPrimera!L10+HojaHonduras!N10+HojaDominicana!L10+HojaPANA!J10</f>
        <v>391000</v>
      </c>
      <c r="F9" s="14">
        <f t="shared" si="0"/>
        <v>106875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3000</v>
      </c>
      <c r="C10" s="9">
        <f>+HojaTICA!K11+HojaNICA!M11+HojaREVENTADO!K11+HojaPrimera!I11+HojaHonduras!K11+HojaDominicana!I11+HojaPANA!G11</f>
        <v>350</v>
      </c>
      <c r="D10" s="9">
        <f>+HojaTICA!N11+HojaNICA!P11+HojaREVENTADO!O11+HojaPrimera!L11+HojaHonduras!N11+HojaDominicana!L11+HojaPANA!J11</f>
        <v>0</v>
      </c>
      <c r="F10" s="14">
        <f t="shared" si="0"/>
        <v>2650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300950</v>
      </c>
      <c r="C11" s="9">
        <f>+HojaTICA!K12+HojaNICA!M12+HojaREVENTADO!K12+HojaPrimera!I12+HojaHonduras!K12+HojaDominicana!I12+HojaPANA!G12</f>
        <v>35995</v>
      </c>
      <c r="D11" s="9">
        <f>+HojaTICA!N12+HojaNICA!P12+HojaREVENTADO!O12+HojaPrimera!L12+HojaHonduras!N12+HojaDominicana!L12+HojaPANA!J12</f>
        <v>493000</v>
      </c>
      <c r="F11" s="14">
        <f t="shared" si="0"/>
        <v>-228045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103600</v>
      </c>
      <c r="C12" s="9">
        <f>+HojaTICA!K13+HojaNICA!M13+HojaREVENTADO!K13+HojaPrimera!I13+HojaHonduras!K13+HojaDominicana!I13+HojaPANA!G13</f>
        <v>12450</v>
      </c>
      <c r="D12" s="9">
        <f>+HojaTICA!N13+HojaNICA!P13+HojaREVENTADO!O13+HojaPrimera!L13+HojaHonduras!N13+HojaDominicana!L13+HojaPANA!J13</f>
        <v>20000</v>
      </c>
      <c r="F12" s="14">
        <f t="shared" si="0"/>
        <v>71150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108850</v>
      </c>
      <c r="C13" s="9">
        <f>+HojaTICA!K14+HojaNICA!M14+HojaREVENTADO!K14+HojaPrimera!I14+HojaHonduras!K14+HojaDominicana!I14+HojaPANA!G14</f>
        <v>16350</v>
      </c>
      <c r="D13" s="9">
        <f>+HojaTICA!N14+HojaNICA!P14+HojaREVENTADO!O14+HojaPrimera!L14+HojaHonduras!N14+HojaDominicana!L14+HojaPANA!J14</f>
        <v>144000</v>
      </c>
      <c r="F13" s="14">
        <f t="shared" si="0"/>
        <v>-51500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89450</v>
      </c>
      <c r="C15" s="9">
        <f>+HojaTICA!K16+HojaNICA!M16+HojaREVENTADO!K16+HojaPrimera!I16+HojaHonduras!K16+HojaDominicana!I16+HojaPANA!G16</f>
        <v>10650</v>
      </c>
      <c r="D15" s="9">
        <f>+HojaTICA!N16+HojaNICA!P16+HojaREVENTADO!O16+HojaPrimera!L16+HojaHonduras!N16+HojaDominicana!L16+HojaPANA!J16</f>
        <v>127500</v>
      </c>
      <c r="F15" s="14">
        <f t="shared" si="0"/>
        <v>-48700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1804150</v>
      </c>
      <c r="C28" s="17">
        <f t="shared" si="1"/>
        <v>222720</v>
      </c>
      <c r="D28" s="18">
        <f t="shared" si="1"/>
        <v>1561250</v>
      </c>
      <c r="F28" s="20">
        <f>SUM(F3:F27)</f>
        <v>20180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7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25</v>
      </c>
      <c r="C5" s="132"/>
      <c r="D5" s="137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65</v>
      </c>
      <c r="C7" s="132"/>
      <c r="D7" s="137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61</v>
      </c>
      <c r="C11" s="132"/>
      <c r="D11" s="137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 t="s">
        <v>157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82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62</v>
      </c>
      <c r="C19" s="132">
        <v>76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27</v>
      </c>
      <c r="C20" s="163">
        <v>34</v>
      </c>
      <c r="D20" s="166">
        <v>87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99</v>
      </c>
      <c r="C21" s="164">
        <v>86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258" t="s">
        <v>156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65</v>
      </c>
      <c r="D2" s="269"/>
      <c r="E2" s="268">
        <f>DigitaTICA!E2</f>
        <v>61</v>
      </c>
      <c r="F2" s="269"/>
      <c r="G2" s="268" t="str">
        <f>DigitaTICA!G2</f>
        <v>06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61250</v>
      </c>
      <c r="D4" s="30">
        <f>IF(Vendedor1!$E$7="",0,Vendedor1!$E$7)</f>
        <v>0</v>
      </c>
      <c r="E4" s="180">
        <f>IF(Vendedor1!$C$11="",0,Vendedor1!$C$11)</f>
        <v>33650</v>
      </c>
      <c r="F4" s="30">
        <f>IF(Vendedor1!$E$11="",0,Vendedor1!$E$11)</f>
        <v>0</v>
      </c>
      <c r="G4" s="180">
        <f>IF(Vendedor1!$C$15="",0,Vendedor1!$C$15)</f>
        <v>60200</v>
      </c>
      <c r="H4" s="30">
        <f>IF(Vendedor1!$E$15="",0,Vendedor1!$E$15)</f>
        <v>500</v>
      </c>
      <c r="J4" s="42">
        <f t="shared" ref="J4:J7" si="0">+C4+E4+G4</f>
        <v>155100</v>
      </c>
      <c r="K4" s="41">
        <f>MROUND(J4*Vendedor1!J$9,50)</f>
        <v>20150</v>
      </c>
      <c r="L4" s="42">
        <f t="shared" ref="L4:L7" si="1">+D4+F4+H4</f>
        <v>500</v>
      </c>
      <c r="M4" s="42">
        <f t="shared" ref="M4:M7" si="2">+L4*85</f>
        <v>42500</v>
      </c>
      <c r="N4" s="42">
        <f>Vendedor1!$F$7+Vendedor1!$F$11+Vendedor1!$F$15</f>
        <v>42500</v>
      </c>
      <c r="P4" s="42">
        <f t="shared" ref="P4:P7" si="3">+J4-K4-N4</f>
        <v>92450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70500</v>
      </c>
      <c r="D5" s="30">
        <f>IF(Vendedor2!$E$7="",0,Vendedor2!$E$7)</f>
        <v>0</v>
      </c>
      <c r="E5" s="180">
        <f>IF(Vendedor2!$C$11="",0,Vendedor2!$C$11)</f>
        <v>33600</v>
      </c>
      <c r="F5" s="30">
        <f>IF(Vendedor2!$E$11="",0,Vendedor2!$E$11)</f>
        <v>250</v>
      </c>
      <c r="G5" s="180">
        <f>IF(Vendedor2!$C$15="",0,Vendedor2!$C$15)</f>
        <v>59650</v>
      </c>
      <c r="H5" s="30">
        <f>IF(Vendedor2!$E$15="",0,Vendedor2!$E$15)</f>
        <v>2950</v>
      </c>
      <c r="J5" s="42">
        <f t="shared" si="0"/>
        <v>163750</v>
      </c>
      <c r="K5" s="41">
        <f>MROUND(J5*Vendedor2!J$9,50)</f>
        <v>21300</v>
      </c>
      <c r="L5" s="42">
        <f t="shared" si="1"/>
        <v>3200</v>
      </c>
      <c r="M5" s="42">
        <f t="shared" si="2"/>
        <v>272000</v>
      </c>
      <c r="N5" s="42">
        <f>Vendedor2!$F$7+Vendedor2!$F$11+Vendedor2!$F$15</f>
        <v>272000</v>
      </c>
      <c r="P5" s="42">
        <f t="shared" si="3"/>
        <v>-129550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50050</v>
      </c>
      <c r="D8" s="30">
        <f>IF(Vendedor5!$E$7="",0,Vendedor5!$E$7)</f>
        <v>400</v>
      </c>
      <c r="E8" s="180">
        <f>IF(Vendedor5!$C$11="",0,Vendedor5!$C$11)</f>
        <v>36800</v>
      </c>
      <c r="F8" s="30">
        <f>IF(Vendedor5!$E$11="",0,Vendedor5!$E$11)</f>
        <v>0</v>
      </c>
      <c r="G8" s="180">
        <f>IF(Vendedor5!$C$15="",0,Vendedor5!$C$15)</f>
        <v>37600</v>
      </c>
      <c r="H8" s="30">
        <f>IF(Vendedor5!$E$15="",0,Vendedor5!$E$15)</f>
        <v>250</v>
      </c>
      <c r="J8" s="42">
        <f t="shared" ref="J8" si="4">+C8+E8+G8</f>
        <v>124450</v>
      </c>
      <c r="K8" s="41">
        <f>MROUND(J8*Vendedor5!J$11,50)</f>
        <v>14950</v>
      </c>
      <c r="L8" s="42">
        <f t="shared" ref="L8" si="5">+D8+F8+H8</f>
        <v>650</v>
      </c>
      <c r="M8" s="42">
        <f t="shared" ref="M8" si="6">+L8*85</f>
        <v>55250</v>
      </c>
      <c r="N8" s="42">
        <f>Vendedor5!$F$7+Vendedor5!$F$11+Vendedor5!$F$15</f>
        <v>55250</v>
      </c>
      <c r="P8" s="42">
        <f t="shared" ref="P8" si="7">+J8-K8-N8</f>
        <v>54250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84250</v>
      </c>
      <c r="D10" s="30">
        <f>IF(Vendedor7!$E$7="",0,Vendedor7!$E$7)</f>
        <v>100</v>
      </c>
      <c r="E10" s="180">
        <f>IF(Vendedor7!$C$11="",0,Vendedor7!$C$11)</f>
        <v>66950</v>
      </c>
      <c r="F10" s="30">
        <f>IF(Vendedor7!$E$11="",0,Vendedor7!$E$11)</f>
        <v>750</v>
      </c>
      <c r="G10" s="180">
        <f>IF(Vendedor7!$C$15="",0,Vendedor7!$C$15)</f>
        <v>92300</v>
      </c>
      <c r="H10" s="30">
        <f>IF(Vendedor7!$E$15="",0,Vendedor7!$E$15)</f>
        <v>2600</v>
      </c>
      <c r="J10" s="42">
        <f t="shared" si="8"/>
        <v>243500</v>
      </c>
      <c r="K10" s="41">
        <f>MROUND(J10*Vendedor7!J$14,50)</f>
        <v>29200</v>
      </c>
      <c r="L10" s="42">
        <f t="shared" si="9"/>
        <v>3450</v>
      </c>
      <c r="M10" s="42">
        <f t="shared" si="10"/>
        <v>293250</v>
      </c>
      <c r="N10" s="42">
        <f>Vendedor7!$F$7+Vendedor7!$F$11+Vendedor7!$F$15</f>
        <v>293250</v>
      </c>
      <c r="P10" s="42">
        <f t="shared" si="11"/>
        <v>-78950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3000</v>
      </c>
      <c r="K11" s="41">
        <f>MROUND(J11*Vendedor8!J$11,50)</f>
        <v>350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2650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71750</v>
      </c>
      <c r="D12" s="30">
        <f>IF(Vendedor9!$E$7="",0,Vendedor9!$E$7)</f>
        <v>1100</v>
      </c>
      <c r="E12" s="180">
        <f>IF(Vendedor9!$C$11="",0,Vendedor9!$C$11)</f>
        <v>40050</v>
      </c>
      <c r="F12" s="30">
        <f>IF(Vendedor9!$E$11="",0,Vendedor9!$E$11)</f>
        <v>2250</v>
      </c>
      <c r="G12" s="180">
        <f>IF(Vendedor9!$C$15="",0,Vendedor9!$C$15)</f>
        <v>32600</v>
      </c>
      <c r="H12" s="30">
        <f>IF(Vendedor9!$E$15="",0,Vendedor9!$E$15)</f>
        <v>250</v>
      </c>
      <c r="J12" s="42">
        <f t="shared" si="8"/>
        <v>144400</v>
      </c>
      <c r="K12" s="41">
        <f>MROUND(J12*Vendedor9!J$11,50)</f>
        <v>17350</v>
      </c>
      <c r="L12" s="42">
        <f t="shared" si="9"/>
        <v>3600</v>
      </c>
      <c r="M12" s="42">
        <f t="shared" si="10"/>
        <v>306000</v>
      </c>
      <c r="N12" s="42">
        <f>Vendedor9!$F$7+Vendedor9!$F$11+Vendedor9!$F$15</f>
        <v>306000</v>
      </c>
      <c r="P12" s="42">
        <f t="shared" si="11"/>
        <v>-178950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31800</v>
      </c>
      <c r="D13" s="30">
        <f>IF(Vendedor10!$E$7="",0,Vendedor10!$E$7)</f>
        <v>0</v>
      </c>
      <c r="E13" s="180">
        <f>IF(Vendedor10!$C$11="",0,Vendedor10!$C$11)</f>
        <v>15500</v>
      </c>
      <c r="F13" s="30">
        <f>IF(Vendedor10!$E$11="",0,Vendedor10!$E$11)</f>
        <v>0</v>
      </c>
      <c r="G13" s="180">
        <f>IF(Vendedor10!$C$15="",0,Vendedor10!$C$15)</f>
        <v>24000</v>
      </c>
      <c r="H13" s="30">
        <f>IF(Vendedor10!$E$15="",0,Vendedor10!$E$15)</f>
        <v>0</v>
      </c>
      <c r="J13" s="42">
        <f t="shared" si="8"/>
        <v>71300</v>
      </c>
      <c r="K13" s="41">
        <f>MROUND(J13*Vendedor10!J$9,50)</f>
        <v>8550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62750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47350</v>
      </c>
      <c r="D14" s="30">
        <f>IF(Vendedor11!$E$7="",0,Vendedor11!$E$7)</f>
        <v>0</v>
      </c>
      <c r="E14" s="180">
        <f>IF(Vendedor11!$C$11="",0,Vendedor11!$C$11)</f>
        <v>24900</v>
      </c>
      <c r="F14" s="30">
        <f>IF(Vendedor11!$E$11="",0,Vendedor11!$E$11)</f>
        <v>1000</v>
      </c>
      <c r="G14" s="180">
        <f>IF(Vendedor11!$C$15="",0,Vendedor11!$C$15)</f>
        <v>36600</v>
      </c>
      <c r="H14" s="30">
        <f>IF(Vendedor11!$E$15="",0,Vendedor11!$E$15)</f>
        <v>800</v>
      </c>
      <c r="J14" s="42">
        <f t="shared" si="8"/>
        <v>108850</v>
      </c>
      <c r="K14" s="41">
        <f>MROUND(J14*Vendedor11!J$9,50)</f>
        <v>16350</v>
      </c>
      <c r="L14" s="42">
        <f t="shared" si="9"/>
        <v>1800</v>
      </c>
      <c r="M14" s="42">
        <f t="shared" si="10"/>
        <v>153000</v>
      </c>
      <c r="N14" s="42">
        <f>Vendedor11!$F$7+Vendedor11!$F$11+Vendedor11!$F$15</f>
        <v>144000</v>
      </c>
      <c r="P14" s="42">
        <f t="shared" si="11"/>
        <v>-51500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18350</v>
      </c>
      <c r="D16" s="30">
        <f>IF(Vendedor13!$E$7="",0,Vendedor13!$E$7)</f>
        <v>0</v>
      </c>
      <c r="E16" s="180">
        <f>IF(Vendedor13!$C$11="",0,Vendedor13!$C$11)</f>
        <v>14550</v>
      </c>
      <c r="F16" s="30">
        <f>IF(Vendedor13!$E$11="",0,Vendedor13!$E$11)</f>
        <v>0</v>
      </c>
      <c r="G16" s="180">
        <f>IF(Vendedor13!$C$15="",0,Vendedor13!$C$15)</f>
        <v>24700</v>
      </c>
      <c r="H16" s="30">
        <f>IF(Vendedor13!$E$15="",0,Vendedor13!$E$15)</f>
        <v>1500</v>
      </c>
      <c r="J16" s="42">
        <f t="shared" si="8"/>
        <v>57600</v>
      </c>
      <c r="K16" s="41">
        <f>MROUND(J16*Vendedor13!J$11,50)</f>
        <v>6900</v>
      </c>
      <c r="L16" s="42">
        <f t="shared" si="9"/>
        <v>1500</v>
      </c>
      <c r="M16" s="42">
        <f t="shared" si="10"/>
        <v>127500</v>
      </c>
      <c r="N16" s="42">
        <f>Vendedor13!$F$7+Vendedor13!$F$11+Vendedor13!$F$15</f>
        <v>127500</v>
      </c>
      <c r="P16" s="42">
        <f t="shared" si="11"/>
        <v>-76800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438300</v>
      </c>
      <c r="D32" s="44">
        <f t="shared" si="16"/>
        <v>1600</v>
      </c>
      <c r="E32" s="43">
        <f t="shared" si="16"/>
        <v>266000</v>
      </c>
      <c r="F32" s="44">
        <f t="shared" si="16"/>
        <v>4250</v>
      </c>
      <c r="G32" s="43">
        <f t="shared" si="16"/>
        <v>367650</v>
      </c>
      <c r="H32" s="44">
        <f t="shared" si="16"/>
        <v>8850</v>
      </c>
      <c r="J32" s="95">
        <f>SUM(J4:J31)</f>
        <v>1071950</v>
      </c>
      <c r="K32" s="45">
        <f>SUM(K7:K31)</f>
        <v>93650</v>
      </c>
      <c r="L32" s="95">
        <f>SUM(L4:L31)</f>
        <v>14700</v>
      </c>
      <c r="M32" s="95">
        <f>SUM(M4:M31)</f>
        <v>1249500</v>
      </c>
      <c r="N32" s="95">
        <f>SUM(N4:N31)</f>
        <v>1240500</v>
      </c>
      <c r="P32" s="79">
        <f>SUM(P4:P31)</f>
        <v>-303650</v>
      </c>
    </row>
    <row r="33" spans="3:13" x14ac:dyDescent="0.35">
      <c r="D33" s="99">
        <f>+D32*85</f>
        <v>136000</v>
      </c>
      <c r="F33" s="99">
        <f>+F32*85</f>
        <v>361250</v>
      </c>
      <c r="H33" s="99">
        <f>+H32*85</f>
        <v>752250</v>
      </c>
    </row>
    <row r="34" spans="3:13" ht="15" thickBot="1" x14ac:dyDescent="0.4">
      <c r="L34" s="149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1071950</v>
      </c>
      <c r="E36" s="43">
        <f>+D36-J4-J5-J6</f>
        <v>753100</v>
      </c>
      <c r="G36" s="101"/>
    </row>
    <row r="37" spans="3:13" x14ac:dyDescent="0.35">
      <c r="C37" s="47" t="s">
        <v>33</v>
      </c>
      <c r="D37" s="48">
        <f>D36*13%</f>
        <v>139353.5</v>
      </c>
      <c r="E37">
        <f>+D37-K4-K5-K6</f>
        <v>97903.5</v>
      </c>
      <c r="G37" s="100"/>
      <c r="H37" s="100"/>
    </row>
    <row r="38" spans="3:13" ht="15" thickBot="1" x14ac:dyDescent="0.4">
      <c r="C38" s="47" t="s">
        <v>30</v>
      </c>
      <c r="D38" s="30">
        <f>M32</f>
        <v>1249500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-316903.5</v>
      </c>
      <c r="F39" s="98">
        <f>+P32-D39</f>
        <v>13253.5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-316903.5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25</v>
      </c>
      <c r="D2" s="269"/>
      <c r="E2" s="268">
        <f>DigitaNICA!E2</f>
        <v>57</v>
      </c>
      <c r="F2" s="269"/>
      <c r="G2" s="268" t="str">
        <f>DigitaNICA!G2</f>
        <v/>
      </c>
      <c r="H2" s="269"/>
      <c r="I2" s="268">
        <f>DigitaNICA!I2</f>
        <v>82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15300</v>
      </c>
      <c r="D4" s="78">
        <f>IF(Vendedor1!$E$5="",0,Vendedor1!$E$5)</f>
        <v>0</v>
      </c>
      <c r="E4" s="189">
        <f>IF(Vendedor1!$C$9="",0,Vendedor1!$C$9)</f>
        <v>7300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3600</v>
      </c>
      <c r="J4" s="78">
        <f>IF(Vendedor1!$E$17="",0,Vendedor1!$E$17)</f>
        <v>0</v>
      </c>
      <c r="L4" s="42">
        <f t="shared" ref="L4:L7" si="0">C4+E4+G4+I4</f>
        <v>26200</v>
      </c>
      <c r="M4" s="41">
        <f>MROUND(L4*Vendedor1!J$10,50)</f>
        <v>3400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22800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6000</v>
      </c>
      <c r="D5" s="30">
        <f>IF(Vendedor2!$E$5="",0,Vendedor2!$E$5)</f>
        <v>0</v>
      </c>
      <c r="E5" s="180">
        <f>IF(Vendedor2!$C$9="",0,Vendedor2!$C$9)</f>
        <v>13350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1200</v>
      </c>
      <c r="J5" s="30">
        <f>IF(Vendedor2!$E$17="",0,Vendedor2!$E$17)</f>
        <v>0</v>
      </c>
      <c r="L5" s="42">
        <f t="shared" si="0"/>
        <v>20550</v>
      </c>
      <c r="M5" s="41">
        <f>MROUND(L5*Vendedor2!J$10,50)</f>
        <v>2650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17900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55850</v>
      </c>
      <c r="D8" s="30">
        <f>IF(Vendedor5!$E$5="",0,Vendedor5!$E$5)</f>
        <v>0</v>
      </c>
      <c r="E8" s="180">
        <f>IF(Vendedor5!$C$9="",0,Vendedor5!$C$9)</f>
        <v>34850</v>
      </c>
      <c r="F8" s="30">
        <f>IF(Vendedor5!$E$9="",0,Vendedor5!$E$9)</f>
        <v>200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20250</v>
      </c>
      <c r="J8" s="30">
        <f>IF(Vendedor5!$E$17="",0,Vendedor5!$E$17)</f>
        <v>0</v>
      </c>
      <c r="L8" s="42">
        <f t="shared" ref="L8" si="4">C8+E8+G8+I8</f>
        <v>110950</v>
      </c>
      <c r="M8" s="41">
        <f>MROUND(L8*Vendedor5!J$12,50)</f>
        <v>13300</v>
      </c>
      <c r="N8" s="42">
        <f t="shared" ref="N8" si="5">D8+F8+H8+J8</f>
        <v>200</v>
      </c>
      <c r="O8" s="41">
        <f t="shared" si="3"/>
        <v>17000</v>
      </c>
      <c r="P8" s="42">
        <f>Vendedor5!$F$5+Vendedor5!$F$9+Vendedor5!$F$13+Vendedor5!$F$17</f>
        <v>16000</v>
      </c>
      <c r="Q8">
        <v>17</v>
      </c>
      <c r="R8" s="41">
        <f t="shared" ref="R8" si="6">+L8-M8-O8</f>
        <v>80650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49350</v>
      </c>
      <c r="D10" s="30">
        <f>IF(Vendedor7!$E$5="",0,Vendedor7!$E$5)</f>
        <v>200</v>
      </c>
      <c r="E10" s="180">
        <f>IF(Vendedor7!$C$9="",0,Vendedor7!$C$9)</f>
        <v>57800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111000</v>
      </c>
      <c r="J10" s="30">
        <f>IF(Vendedor7!$E$17="",0,Vendedor7!$E$17)</f>
        <v>950</v>
      </c>
      <c r="L10" s="42">
        <f t="shared" si="7"/>
        <v>218150</v>
      </c>
      <c r="M10" s="41">
        <f>MROUND(L10*Vendedor7!J$15,50)</f>
        <v>26200</v>
      </c>
      <c r="N10" s="42">
        <f t="shared" ref="N10:N27" si="9">D10+F10+H10+J10</f>
        <v>1150</v>
      </c>
      <c r="O10" s="41">
        <f t="shared" si="3"/>
        <v>97750</v>
      </c>
      <c r="P10" s="42">
        <f>Vendedor7!$F$5+Vendedor7!$F$9+Vendedor7!$F$13+Vendedor7!$F$17</f>
        <v>97750</v>
      </c>
      <c r="R10" s="41">
        <f t="shared" si="8"/>
        <v>94200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58600</v>
      </c>
      <c r="D12" s="30">
        <f>IF(Vendedor9!$E$5="",0,Vendedor9!$E$5)</f>
        <v>450</v>
      </c>
      <c r="E12" s="180">
        <f>IF(Vendedor9!$C$9="",0,Vendedor9!$C$9)</f>
        <v>36600</v>
      </c>
      <c r="F12" s="30">
        <f>IF(Vendedor9!$E$9="",0,Vendedor9!$E$9)</f>
        <v>1350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95200</v>
      </c>
      <c r="M12" s="41">
        <f>MROUND(L12*Vendedor9!J$12,50)</f>
        <v>11400</v>
      </c>
      <c r="N12" s="42">
        <f t="shared" si="9"/>
        <v>1800</v>
      </c>
      <c r="O12" s="41">
        <f t="shared" si="3"/>
        <v>153000</v>
      </c>
      <c r="P12" s="42">
        <f>Vendedor9!$F$5+Vendedor9!$F$9+Vendedor9!$F$13+Vendedor9!$F$17</f>
        <v>153000</v>
      </c>
      <c r="R12" s="41">
        <f t="shared" si="8"/>
        <v>-69200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21200</v>
      </c>
      <c r="D13" s="30">
        <f>IF(Vendedor10!$E$5="",0,Vendedor10!$E$5)</f>
        <v>250</v>
      </c>
      <c r="E13" s="180">
        <f>IF(Vendedor10!$C$9="",0,Vendedor10!$C$9)</f>
        <v>10600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500</v>
      </c>
      <c r="J13" s="30">
        <f>IF(Vendedor10!$E$17="",0,Vendedor10!$E$17)</f>
        <v>0</v>
      </c>
      <c r="L13" s="42">
        <f t="shared" si="7"/>
        <v>32300</v>
      </c>
      <c r="M13" s="41">
        <f>MROUND(L13*Vendedor10!J$10,50)</f>
        <v>3900</v>
      </c>
      <c r="N13" s="42">
        <f t="shared" si="9"/>
        <v>250</v>
      </c>
      <c r="O13" s="41">
        <f t="shared" si="3"/>
        <v>21250</v>
      </c>
      <c r="P13" s="42">
        <f>Vendedor10!$F$5+Vendedor10!$F$9+Vendedor10!$F$13+Vendedor10!$F$17</f>
        <v>20000</v>
      </c>
      <c r="R13" s="41">
        <f t="shared" si="8"/>
        <v>7150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6250</v>
      </c>
      <c r="D16" s="30">
        <f>IF(Vendedor13!$E$5="",0,Vendedor13!$E$5)</f>
        <v>0</v>
      </c>
      <c r="E16" s="180">
        <f>IF(Vendedor13!$C$9="",0,Vendedor13!$C$9)</f>
        <v>10400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7000</v>
      </c>
      <c r="J16" s="30">
        <f>IF(Vendedor13!$E$17="",0,Vendedor13!$E$17)</f>
        <v>0</v>
      </c>
      <c r="L16" s="42">
        <f t="shared" si="7"/>
        <v>23650</v>
      </c>
      <c r="M16" s="41">
        <f>MROUND(L16*Vendedor13!J$12,50)</f>
        <v>2850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20800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212550</v>
      </c>
      <c r="D32" s="44">
        <f t="shared" si="14"/>
        <v>900</v>
      </c>
      <c r="E32" s="43">
        <f t="shared" si="14"/>
        <v>170900</v>
      </c>
      <c r="F32" s="44">
        <f t="shared" si="14"/>
        <v>1550</v>
      </c>
      <c r="G32" s="43">
        <f t="shared" si="14"/>
        <v>0</v>
      </c>
      <c r="H32" s="44">
        <f t="shared" si="14"/>
        <v>0</v>
      </c>
      <c r="I32" s="43">
        <f t="shared" si="14"/>
        <v>143550</v>
      </c>
      <c r="J32" s="44">
        <f t="shared" si="14"/>
        <v>950</v>
      </c>
      <c r="L32" s="45">
        <f>SUM(L4:L31)</f>
        <v>527000</v>
      </c>
      <c r="M32" s="45">
        <f>SUM(M7:M31)</f>
        <v>57650</v>
      </c>
      <c r="N32" s="95">
        <f>SUM(N4:N31)</f>
        <v>3400</v>
      </c>
      <c r="O32" s="46">
        <f>SUM(O4:O31)</f>
        <v>289000</v>
      </c>
      <c r="P32" s="140">
        <f>SUM(P4:P31)</f>
        <v>286750</v>
      </c>
      <c r="R32" s="79">
        <f>SUM(R4:R31)</f>
        <v>174300</v>
      </c>
    </row>
    <row r="33" spans="3:15" x14ac:dyDescent="0.35">
      <c r="D33" s="120">
        <f>+D32*85</f>
        <v>76500</v>
      </c>
      <c r="F33" s="120">
        <f>+F32*85</f>
        <v>131750</v>
      </c>
      <c r="H33" s="120">
        <f>+H32*85</f>
        <v>0</v>
      </c>
      <c r="J33" s="120">
        <f>+J32*85</f>
        <v>80750</v>
      </c>
    </row>
    <row r="34" spans="3:15" ht="15" thickBot="1" x14ac:dyDescent="0.4"/>
    <row r="35" spans="3:15" x14ac:dyDescent="0.35">
      <c r="C35" s="267" t="s">
        <v>89</v>
      </c>
      <c r="D35" s="267"/>
      <c r="N35" s="149"/>
      <c r="O35" s="43"/>
    </row>
    <row r="36" spans="3:15" x14ac:dyDescent="0.35">
      <c r="C36" s="47" t="s">
        <v>28</v>
      </c>
      <c r="D36" s="30">
        <f>+C32+E32+G32+I32</f>
        <v>527000</v>
      </c>
      <c r="E36" s="43">
        <f>+D36-L4-L5-L6</f>
        <v>480250</v>
      </c>
    </row>
    <row r="37" spans="3:15" x14ac:dyDescent="0.35">
      <c r="C37" s="47" t="s">
        <v>33</v>
      </c>
      <c r="D37" s="48">
        <f>D36*13%</f>
        <v>68510</v>
      </c>
      <c r="E37">
        <f>+D37-M4-M5-M6</f>
        <v>62460</v>
      </c>
    </row>
    <row r="38" spans="3:15" x14ac:dyDescent="0.35">
      <c r="C38" s="47" t="s">
        <v>30</v>
      </c>
      <c r="D38" s="30">
        <f>SUM(O4:O27)</f>
        <v>289000</v>
      </c>
      <c r="G38" s="100"/>
    </row>
    <row r="39" spans="3:15" ht="15" thickBot="1" x14ac:dyDescent="0.4">
      <c r="C39" s="49" t="s">
        <v>4</v>
      </c>
      <c r="D39" s="80">
        <f>+D36-D37-D38</f>
        <v>169490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169490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65 Blanca</v>
      </c>
      <c r="D2" s="269"/>
      <c r="E2" s="268" t="str">
        <f>IF(E33=0,"",CONCATENATE(PREMIOS!$B11," ",PREMIOS!$B12))</f>
        <v>61 Blanca</v>
      </c>
      <c r="F2" s="269"/>
      <c r="G2" s="268" t="str">
        <f>IF(G33=0,"",CONCATENATE(PREMIOS!$B15," ",PREMIOS!$B16))</f>
        <v>06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11650</v>
      </c>
      <c r="D10" s="30">
        <f>IF(Vendedor7!$E$8="",0,Vendedor7!$E$8)</f>
        <v>0</v>
      </c>
      <c r="E10" s="180">
        <f>IF(Vendedor7!$C$12="",0,Vendedor7!$C$12)</f>
        <v>4100</v>
      </c>
      <c r="F10" s="30">
        <f>IF(Vendedor7!$E$12="",0,Vendedor7!$E$12)</f>
        <v>0</v>
      </c>
      <c r="G10" s="180">
        <f>IF(Vendedor7!$C$16="",0,Vendedor7!$C$16)</f>
        <v>10500</v>
      </c>
      <c r="H10" s="30">
        <f>IF(Vendedor7!$E$16="",0,Vendedor7!$E$16)</f>
        <v>0</v>
      </c>
      <c r="J10" s="42">
        <f t="shared" si="1"/>
        <v>26250</v>
      </c>
      <c r="K10" s="41">
        <f>J10*Vendedor7!J$16</f>
        <v>2625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23625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3450</v>
      </c>
      <c r="D12" s="30">
        <f>IF(Vendedor9!$E$8="",0,Vendedor9!$E$8)</f>
        <v>500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2500</v>
      </c>
      <c r="H12" s="30">
        <f>IF(Vendedor9!$E$16="",0,Vendedor9!$E$16)</f>
        <v>0</v>
      </c>
      <c r="J12" s="42">
        <f t="shared" si="1"/>
        <v>5950</v>
      </c>
      <c r="K12" s="41">
        <f>J12*Vendedor9!J$13</f>
        <v>595</v>
      </c>
      <c r="L12" s="42">
        <f t="shared" si="2"/>
        <v>0</v>
      </c>
      <c r="M12" s="42">
        <f t="shared" si="3"/>
        <v>500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5355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4000</v>
      </c>
      <c r="H16" s="30">
        <f>IF(Vendedor13!$E$16="",0,Vendedor13!$E$16)</f>
        <v>0</v>
      </c>
      <c r="J16" s="42">
        <f t="shared" si="1"/>
        <v>4000</v>
      </c>
      <c r="K16" s="41">
        <f>J16*Vendedor13!J$13</f>
        <v>400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3600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15100</v>
      </c>
      <c r="D33" s="44">
        <f>IF(PREMIOS!E8&lt;&gt;0,SUM(D4:D32),0)</f>
        <v>0</v>
      </c>
      <c r="E33" s="43">
        <f>SUM(E4:E32)</f>
        <v>4100</v>
      </c>
      <c r="F33" s="44">
        <f>IF(PREMIOS!E12&lt;&gt;0,SUM(F4:F32),0)</f>
        <v>0</v>
      </c>
      <c r="G33" s="43">
        <f>SUM(G4:G32)</f>
        <v>17000</v>
      </c>
      <c r="H33" s="44">
        <f>IF(PREMIOS!E16&lt;&gt;0,SUM(H4:H32),0)</f>
        <v>0</v>
      </c>
      <c r="J33" s="45">
        <f>SUM(J4:J32)</f>
        <v>36200</v>
      </c>
      <c r="K33" s="45">
        <f>SUM(K7:K32)</f>
        <v>3620</v>
      </c>
      <c r="L33" s="95">
        <f>SUM(L7:L32)</f>
        <v>0</v>
      </c>
      <c r="M33" s="95">
        <f>SUM(M7:M32)</f>
        <v>500</v>
      </c>
      <c r="N33" s="95">
        <f>SUM(N4:N27)</f>
        <v>0</v>
      </c>
      <c r="O33" s="95">
        <f>SUM(O4:O27)</f>
        <v>0</v>
      </c>
      <c r="Q33" s="79">
        <f>SUM(Q4:Q32)</f>
        <v>32580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36200</v>
      </c>
      <c r="E37" s="43">
        <f>+D37-J4-J5-J6</f>
        <v>36200</v>
      </c>
      <c r="F37" s="276"/>
      <c r="G37" s="276"/>
    </row>
    <row r="38" spans="3:17" ht="15" thickBot="1" x14ac:dyDescent="0.4">
      <c r="C38" s="47" t="s">
        <v>33</v>
      </c>
      <c r="D38" s="30">
        <f>D37*10%</f>
        <v>3620</v>
      </c>
      <c r="E38" s="43">
        <f>+D38-K4-K5-K6</f>
        <v>3620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32580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32580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62</v>
      </c>
      <c r="D2" s="269"/>
      <c r="E2" s="268">
        <f>DigitaPRIMERA!E2</f>
        <v>76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3200</v>
      </c>
      <c r="D4" s="78">
        <f>IF(Vendedor1!$E$19="",0,Vendedor1!$E$19)</f>
        <v>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4200</v>
      </c>
      <c r="I4" s="41">
        <f>MROUND(H4*Vendedor1!J$9,50)</f>
        <v>550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3650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900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900</v>
      </c>
      <c r="I5" s="41">
        <f>MROUND(H5*Vendedor2!J$9,50)</f>
        <v>100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16650</v>
      </c>
      <c r="D8" s="30">
        <f>IF(Vendedor5!$E$19="",0,Vendedor5!$E$19)</f>
        <v>0</v>
      </c>
      <c r="E8" s="180">
        <f>IF(Vendedor5!$C$20="",0,Vendedor5!$C$20)</f>
        <v>10400</v>
      </c>
      <c r="F8" s="30">
        <f>IF(Vendedor5!$E$20="",0,Vendedor5!$E$20)</f>
        <v>0</v>
      </c>
      <c r="H8" s="133">
        <f t="shared" si="1"/>
        <v>27050</v>
      </c>
      <c r="I8" s="148">
        <f>MROUND(H8*Vendedor5!J$11,50)</f>
        <v>3250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23800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14650</v>
      </c>
      <c r="D10" s="30">
        <f>IF(Vendedor7!$E$19="",0,Vendedor7!$E$19)</f>
        <v>0</v>
      </c>
      <c r="E10" s="180">
        <f>IF(Vendedor7!$C$20="",0,Vendedor7!$C$20)</f>
        <v>2100</v>
      </c>
      <c r="F10" s="30">
        <f>IF(Vendedor7!$E$20="",0,Vendedor7!$E$20)</f>
        <v>0</v>
      </c>
      <c r="H10" s="42">
        <f t="shared" si="1"/>
        <v>16750</v>
      </c>
      <c r="I10" s="41">
        <f>MROUND(H10*Vendedor7!J$14,50)</f>
        <v>2000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14750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55400</v>
      </c>
      <c r="D12" s="30">
        <f>IF(Vendedor9!$E$19="",0,Vendedor9!$E$19)</f>
        <v>400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55400</v>
      </c>
      <c r="I12" s="148">
        <f>MROUND(H12*Vendedor9!J$11,50)</f>
        <v>6650</v>
      </c>
      <c r="J12" s="133">
        <f t="shared" si="2"/>
        <v>400</v>
      </c>
      <c r="K12" s="133">
        <f t="shared" si="3"/>
        <v>34000</v>
      </c>
      <c r="L12" s="133">
        <f>Vendedor9!$F$19+Vendedor9!$F$20</f>
        <v>34000</v>
      </c>
      <c r="M12" s="155"/>
      <c r="N12" s="133">
        <f t="shared" si="0"/>
        <v>14750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4200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4200</v>
      </c>
      <c r="I16" s="148">
        <f>MROUND(H16*Vendedor13!J$11,50)</f>
        <v>500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3700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95000</v>
      </c>
      <c r="D32" s="44">
        <f>SUM(D4:D31)</f>
        <v>400</v>
      </c>
      <c r="E32" s="43">
        <f>SUM(E4:E31)</f>
        <v>13500</v>
      </c>
      <c r="F32" s="44">
        <f>SUM(F4:F31)</f>
        <v>0</v>
      </c>
      <c r="H32" s="95">
        <f>SUM(H4:H31)</f>
        <v>108500</v>
      </c>
      <c r="I32" s="45">
        <f>SUM(I7:I31)</f>
        <v>12400</v>
      </c>
      <c r="J32" s="95"/>
      <c r="K32" s="95">
        <f>SUM(K4:K31)</f>
        <v>34000</v>
      </c>
      <c r="L32" s="95">
        <f>SUM(L4:L31)</f>
        <v>34000</v>
      </c>
      <c r="N32" s="79">
        <f>SUM(N4:N31)</f>
        <v>61450</v>
      </c>
    </row>
    <row r="33" spans="3:6" x14ac:dyDescent="0.35">
      <c r="D33" s="99">
        <f>+D32*85</f>
        <v>34000</v>
      </c>
      <c r="F33" s="99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108500</v>
      </c>
      <c r="E36" s="43">
        <f>+D36-H4-H5-H6</f>
        <v>103400</v>
      </c>
    </row>
    <row r="37" spans="3:6" x14ac:dyDescent="0.35">
      <c r="C37" s="47" t="s">
        <v>33</v>
      </c>
      <c r="D37" s="48">
        <f>D36*13%</f>
        <v>14105</v>
      </c>
      <c r="E37">
        <f>+D37-I4-I5-I6</f>
        <v>13455</v>
      </c>
    </row>
    <row r="38" spans="3:6" ht="15" thickBot="1" x14ac:dyDescent="0.4">
      <c r="C38" s="47" t="s">
        <v>30</v>
      </c>
      <c r="D38" s="30">
        <f>SUM(K4:K27)</f>
        <v>34000</v>
      </c>
    </row>
    <row r="39" spans="3:6" ht="15" thickBot="1" x14ac:dyDescent="0.4">
      <c r="C39" s="49" t="s">
        <v>4</v>
      </c>
      <c r="D39" s="80">
        <f>+D36-D37-D38</f>
        <v>60395</v>
      </c>
      <c r="F39" s="98">
        <f>+N32-D39</f>
        <v>1055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60395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27</v>
      </c>
      <c r="D2" s="269"/>
      <c r="E2" s="268">
        <f>DigitaHONDURAS!E2</f>
        <v>34</v>
      </c>
      <c r="F2" s="269"/>
      <c r="G2" s="268">
        <f>DigitaHONDURAS!G2</f>
        <v>87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19200</v>
      </c>
      <c r="D10" s="30">
        <f>IF(Vendedor7!$E$21="",0,Vendedor7!$E$21)</f>
        <v>0</v>
      </c>
      <c r="E10" s="180">
        <f>IF(Vendedor7!$C$22="",0,Vendedor7!$C$22)</f>
        <v>22000</v>
      </c>
      <c r="F10" s="30">
        <f>IF(Vendedor7!$E$22="",0,Vendedor7!$E$22)</f>
        <v>0</v>
      </c>
      <c r="G10" s="180">
        <f>IF(Vendedor7!$C$23="",0,Vendedor7!$C$23)</f>
        <v>19300</v>
      </c>
      <c r="H10" s="30">
        <f>IF(Vendedor7!$E$23="",0,Vendedor7!$E$23)</f>
        <v>0</v>
      </c>
      <c r="J10" s="42">
        <f t="shared" si="0"/>
        <v>60500</v>
      </c>
      <c r="K10" s="41">
        <f>MROUND(J10*Vendedor7!J$14,50)</f>
        <v>7250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53250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19200</v>
      </c>
      <c r="D32" s="44">
        <f t="shared" si="8"/>
        <v>0</v>
      </c>
      <c r="E32" s="43">
        <f t="shared" si="8"/>
        <v>22000</v>
      </c>
      <c r="F32" s="44">
        <f t="shared" si="8"/>
        <v>0</v>
      </c>
      <c r="G32" s="43">
        <f t="shared" si="8"/>
        <v>19300</v>
      </c>
      <c r="H32" s="44">
        <f t="shared" si="8"/>
        <v>0</v>
      </c>
      <c r="J32" s="95">
        <f>SUM(J4:J31)</f>
        <v>60500</v>
      </c>
      <c r="K32" s="45">
        <f>SUM(K7:K31)</f>
        <v>7250</v>
      </c>
      <c r="L32" s="95"/>
      <c r="M32" s="95">
        <f>SUM(M4:M31)</f>
        <v>0</v>
      </c>
      <c r="N32" s="95">
        <f>SUM(N4:N31)</f>
        <v>0</v>
      </c>
      <c r="P32" s="79">
        <f>SUM(P4:P31)</f>
        <v>53250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60500</v>
      </c>
      <c r="E36" s="43">
        <f>+D36-J4-J5-J6</f>
        <v>60500</v>
      </c>
    </row>
    <row r="37" spans="3:8" x14ac:dyDescent="0.35">
      <c r="C37" s="47" t="s">
        <v>33</v>
      </c>
      <c r="D37" s="48">
        <f>D36*13%</f>
        <v>7865</v>
      </c>
      <c r="E37">
        <f>+D37-K4-K5-K6</f>
        <v>7865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52635</v>
      </c>
      <c r="F39" s="98">
        <f>+P32-D39</f>
        <v>615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52635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99</v>
      </c>
      <c r="D2" s="269"/>
      <c r="E2" s="268">
        <f>DigitaDOMINICANA!E2</f>
        <v>86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2" t="s">
        <v>109</v>
      </c>
      <c r="D1" s="273"/>
    </row>
    <row r="2" spans="1:12" x14ac:dyDescent="0.35">
      <c r="C2" s="268" t="str">
        <f>DigitaPANAMENA!C2</f>
        <v>09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12-08-2026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480250</v>
      </c>
      <c r="C4" s="157">
        <f>HojaNICA!M32</f>
        <v>57650</v>
      </c>
      <c r="D4" s="150">
        <f>HojaNICA!E37</f>
        <v>62460</v>
      </c>
      <c r="E4" s="150">
        <f>HojaNICA!P32</f>
        <v>286750</v>
      </c>
      <c r="F4" s="150">
        <f>HojaNICA!O32</f>
        <v>289000</v>
      </c>
      <c r="G4" s="151">
        <f t="shared" ref="G4:G10" si="0">+D4-C4+F4-E4</f>
        <v>7060</v>
      </c>
      <c r="H4" s="21"/>
      <c r="I4" s="182"/>
    </row>
    <row r="5" spans="1:9" x14ac:dyDescent="0.35">
      <c r="A5" s="28" t="s">
        <v>19</v>
      </c>
      <c r="B5" s="156">
        <f>HojaTICA!$E$36</f>
        <v>753100</v>
      </c>
      <c r="C5" s="157">
        <f>HojaTICA!K32</f>
        <v>93650</v>
      </c>
      <c r="D5" s="150">
        <f>HojaTICA!E37</f>
        <v>97903.5</v>
      </c>
      <c r="E5" s="150">
        <f>HojaTICA!N32</f>
        <v>1240500</v>
      </c>
      <c r="F5" s="150">
        <f>HojaTICA!D38</f>
        <v>1249500</v>
      </c>
      <c r="G5" s="151">
        <f t="shared" si="0"/>
        <v>13253.5</v>
      </c>
      <c r="H5" s="21"/>
      <c r="I5" s="182"/>
    </row>
    <row r="6" spans="1:9" x14ac:dyDescent="0.35">
      <c r="A6" s="28" t="s">
        <v>125</v>
      </c>
      <c r="B6" s="156">
        <f>HojaREVENTADO!$E$37</f>
        <v>36200</v>
      </c>
      <c r="C6" s="157">
        <f>HojaREVENTADO!K33</f>
        <v>3620</v>
      </c>
      <c r="D6" s="150">
        <f>HojaREVENTADO!E38</f>
        <v>3620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103400</v>
      </c>
      <c r="C7" s="157">
        <f>HojaPrimera!I32</f>
        <v>12400</v>
      </c>
      <c r="D7" s="150">
        <f>HojaPrimera!E37</f>
        <v>13455</v>
      </c>
      <c r="E7" s="150">
        <f>HojaPrimera!L32</f>
        <v>34000</v>
      </c>
      <c r="F7" s="150">
        <f>HojaPrimera!K32</f>
        <v>34000</v>
      </c>
      <c r="G7" s="151">
        <f t="shared" si="0"/>
        <v>1055</v>
      </c>
      <c r="H7" s="21"/>
      <c r="I7" s="21"/>
    </row>
    <row r="8" spans="1:9" x14ac:dyDescent="0.35">
      <c r="A8" s="28" t="s">
        <v>104</v>
      </c>
      <c r="B8" s="156">
        <f>HojaHonduras!$E$36</f>
        <v>60500</v>
      </c>
      <c r="C8" s="157">
        <f>HojaHonduras!K32</f>
        <v>7250</v>
      </c>
      <c r="D8" s="150">
        <f>HojaHonduras!E37</f>
        <v>7865</v>
      </c>
      <c r="E8" s="150">
        <f>HojaHonduras!N32</f>
        <v>0</v>
      </c>
      <c r="F8" s="150">
        <f>HojaHonduras!M32</f>
        <v>0</v>
      </c>
      <c r="G8" s="151">
        <f t="shared" si="0"/>
        <v>615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1433450</v>
      </c>
      <c r="C11" s="175">
        <f>SUM(C4:C10)</f>
        <v>174570</v>
      </c>
      <c r="D11" s="175">
        <f t="shared" ref="D11:F11" si="1">SUM(D4:D10)</f>
        <v>185303.5</v>
      </c>
      <c r="E11" s="175">
        <f t="shared" si="1"/>
        <v>1561250</v>
      </c>
      <c r="F11" s="175">
        <f t="shared" si="1"/>
        <v>1572500</v>
      </c>
      <c r="G11" s="176">
        <f>SUM(G4:G10)</f>
        <v>21983.5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6983.5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185500</v>
      </c>
      <c r="E16" s="157">
        <f>+Vendedor1!D21</f>
        <v>24115</v>
      </c>
      <c r="F16" s="158">
        <f>IF(D16&lt;&gt;0,15000,0)</f>
        <v>15000</v>
      </c>
      <c r="G16" s="151">
        <f>+E16-F16</f>
        <v>9115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185200</v>
      </c>
      <c r="E17" s="157">
        <f>+Vendedor2!D21</f>
        <v>24076</v>
      </c>
      <c r="F17" s="158">
        <f>IF(D17&lt;&gt;0,15000,0)</f>
        <v>15000</v>
      </c>
      <c r="G17" s="151">
        <f>+E17-F17</f>
        <v>9076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370700</v>
      </c>
      <c r="E19" s="159">
        <f>SUM(E16:E18)</f>
        <v>48191</v>
      </c>
      <c r="F19" s="160">
        <f>SUM(F16:F18)</f>
        <v>30000</v>
      </c>
      <c r="G19" s="161">
        <f>SUM(G16:G18)</f>
        <v>18191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25174.5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12-08-2026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527000</v>
      </c>
      <c r="C5" s="150">
        <f>HojaNICA!D37</f>
        <v>68510</v>
      </c>
      <c r="D5" s="150">
        <f>HojaNICA!D38</f>
        <v>289000</v>
      </c>
      <c r="E5" s="150"/>
      <c r="F5" s="151">
        <f>+B5-C5-D5+E5</f>
        <v>169490</v>
      </c>
      <c r="H5" s="249" t="s">
        <v>105</v>
      </c>
      <c r="I5" s="243">
        <f ca="1">TODAY()-1</f>
        <v>46246</v>
      </c>
      <c r="O5" s="119"/>
    </row>
    <row r="6" spans="1:15" ht="15" thickBot="1" x14ac:dyDescent="0.4">
      <c r="A6" s="47" t="s">
        <v>36</v>
      </c>
      <c r="B6" s="150">
        <f>HojaTICA!D36</f>
        <v>1071950</v>
      </c>
      <c r="C6" s="150">
        <f>HojaTICA!D37</f>
        <v>139353.5</v>
      </c>
      <c r="D6" s="150">
        <f>HojaTICA!D38</f>
        <v>1249500</v>
      </c>
      <c r="E6" s="150"/>
      <c r="F6" s="151">
        <f t="shared" ref="F6:F11" si="0">+B6-C6-D6+E6</f>
        <v>-316903.5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36200</v>
      </c>
      <c r="C7" s="150">
        <f>HojaREVENTADO!D38</f>
        <v>3620</v>
      </c>
      <c r="D7" s="150">
        <f>HojaREVENTADO!D39</f>
        <v>0</v>
      </c>
      <c r="E7" s="150"/>
      <c r="F7" s="151">
        <f t="shared" si="0"/>
        <v>32580</v>
      </c>
    </row>
    <row r="8" spans="1:15" x14ac:dyDescent="0.35">
      <c r="A8" s="47" t="s">
        <v>96</v>
      </c>
      <c r="B8" s="150">
        <f>HojaPrimera!$D36</f>
        <v>108500</v>
      </c>
      <c r="C8" s="150">
        <f>HojaPrimera!$D37</f>
        <v>14105</v>
      </c>
      <c r="D8" s="150">
        <f>HojaPrimera!$D38</f>
        <v>34000</v>
      </c>
      <c r="E8" s="150"/>
      <c r="F8" s="151">
        <f t="shared" si="0"/>
        <v>60395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60500</v>
      </c>
      <c r="C9" s="150">
        <f>HojaHonduras!$D37</f>
        <v>7865</v>
      </c>
      <c r="D9" s="150">
        <f>HojaHonduras!$D38</f>
        <v>0</v>
      </c>
      <c r="E9" s="150"/>
      <c r="F9" s="151">
        <f t="shared" si="0"/>
        <v>52635</v>
      </c>
      <c r="H9" s="250">
        <f>+K12-K10-H6</f>
        <v>-1803.5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147</v>
      </c>
      <c r="K10" s="252">
        <v>6649280.5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6647477</v>
      </c>
    </row>
    <row r="12" spans="1:15" ht="16" thickBot="1" x14ac:dyDescent="0.4">
      <c r="A12" s="144" t="s">
        <v>5</v>
      </c>
      <c r="B12" s="152">
        <f>SUM(B5:B11)</f>
        <v>1804150</v>
      </c>
      <c r="C12" s="152">
        <f>SUM(C5:C11)</f>
        <v>233453.5</v>
      </c>
      <c r="D12" s="152">
        <f>SUM(D5:D11)</f>
        <v>1572500</v>
      </c>
      <c r="E12" s="152"/>
      <c r="F12" s="255">
        <f>SUM(F5:F11)</f>
        <v>-1803.5</v>
      </c>
      <c r="H12" s="251">
        <f>K12</f>
        <v>6647477</v>
      </c>
      <c r="J12" t="s">
        <v>140</v>
      </c>
      <c r="K12" s="254">
        <f>-1697832.57+979375.09+4051599.5+3314334.98</f>
        <v>6647477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155100</v>
      </c>
      <c r="K4" s="231">
        <f t="shared" ref="K4" si="0">D7+D11+D15</f>
        <v>20163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25</v>
      </c>
      <c r="C5" s="29">
        <f>IF(DigitaNICA!C4&lt;&gt;"",DigitaNICA!C4,"")</f>
        <v>15300</v>
      </c>
      <c r="D5" s="42">
        <f>IF(C5="",0,C5*J$10)</f>
        <v>1989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13311</v>
      </c>
      <c r="I5" s="241" t="s">
        <v>37</v>
      </c>
      <c r="J5" s="221">
        <f>SUM(IF(C5="",0,C5),IF(C9="",0,C9),IF(C13="",0,C13),IF(C17="",0,C17))</f>
        <v>26200</v>
      </c>
      <c r="K5" s="225">
        <f t="shared" ref="K5" si="2">D5+D9+D13+D17</f>
        <v>3406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4200</v>
      </c>
      <c r="K6" s="228">
        <f>D19+D20</f>
        <v>546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65</v>
      </c>
      <c r="C7" s="29">
        <f>IF(DigitaTICA!C4&lt;&gt;"",DigitaTICA!C4,"")</f>
        <v>61250</v>
      </c>
      <c r="D7" s="42">
        <f>IF(C7="",0,C7*J$9)</f>
        <v>7962.5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53287.5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IF(DigitaNICA!E4&lt;&gt;"",DigitaNICA!E4,"")</f>
        <v>7300</v>
      </c>
      <c r="D9" s="42">
        <f>IF(C9="",0,C9*J$10)</f>
        <v>949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6351</v>
      </c>
      <c r="I9" s="76" t="s">
        <v>36</v>
      </c>
      <c r="J9" s="77">
        <v>0.13</v>
      </c>
      <c r="K9" s="78">
        <f>MROUND(D7+D11+D15,50)</f>
        <v>20150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3400</v>
      </c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IF(DigitaTICA!E4&lt;&gt;"",DigitaTICA!E4,"")</f>
        <v>33650</v>
      </c>
      <c r="D11" s="42">
        <f>IF(C11="",0,C11*J$9)</f>
        <v>4374.5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29275.5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>
        <f>IF(DigitaTICA!G4&lt;&gt;"",DigitaTICA!G4,"")</f>
        <v>60200</v>
      </c>
      <c r="D15" s="42">
        <f>IF(C15="",0,C15*J$9)</f>
        <v>7826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9874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IF(DigitaNICA!I4&lt;&gt;"",DigitaNICA!I4,"")</f>
        <v>3600</v>
      </c>
      <c r="D17" s="42">
        <f>IF(C17="",0,C17*J$10)</f>
        <v>468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3132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62</v>
      </c>
      <c r="C19" s="29">
        <f>IF(DigitaPRIMERA!C4&lt;&gt;"",DigitaPRIMERA!C4,"")</f>
        <v>3200</v>
      </c>
      <c r="D19" s="42">
        <f>IF(C19="",0,C19*J$12)</f>
        <v>416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2784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185500</v>
      </c>
      <c r="D21" s="122">
        <f t="shared" ref="D21:G21" si="6">SUM(D5:D20)</f>
        <v>24115</v>
      </c>
      <c r="E21" s="122">
        <f t="shared" si="6"/>
        <v>500</v>
      </c>
      <c r="F21" s="122">
        <f t="shared" si="6"/>
        <v>42500</v>
      </c>
      <c r="G21" s="123">
        <f t="shared" si="6"/>
        <v>118885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163750</v>
      </c>
      <c r="K4" s="231">
        <f t="shared" ref="K4" si="0">D7+D11+D15</f>
        <v>21287.5</v>
      </c>
      <c r="L4" s="220">
        <f>F7+F11+F15</f>
        <v>272000</v>
      </c>
    </row>
    <row r="5" spans="1:12" x14ac:dyDescent="0.35">
      <c r="A5" s="28" t="s">
        <v>43</v>
      </c>
      <c r="B5" s="132">
        <f>IF(DigitaNICA!C2&lt;&gt;"",DigitaNICA!C2,"")</f>
        <v>25</v>
      </c>
      <c r="C5" s="29">
        <f>IF(DigitaNICA!C5&lt;&gt;"",DigitaNICA!C5,"")</f>
        <v>6000</v>
      </c>
      <c r="D5" s="42">
        <f>IF(C5="",0,C5*J$10)</f>
        <v>780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5220</v>
      </c>
      <c r="I5" s="241" t="s">
        <v>37</v>
      </c>
      <c r="J5" s="221">
        <f>SUM(IF(C5="",0,C5),IF(C9="",0,C9),IF(C13="",0,C13),IF(C17="",0,C17))</f>
        <v>20550</v>
      </c>
      <c r="K5" s="225">
        <f t="shared" ref="K5" si="2">D5+D9+D13+D17</f>
        <v>2671.5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900</v>
      </c>
      <c r="K6" s="228">
        <f>D19+D20</f>
        <v>117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65</v>
      </c>
      <c r="C7" s="29">
        <f>IF(DigitaTICA!C5&lt;&gt;"",DigitaTICA!C5,"")</f>
        <v>70500</v>
      </c>
      <c r="D7" s="42">
        <f>IF(C7="",0,C7*J$9)</f>
        <v>9165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61335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IF(DigitaNICA!E5&lt;&gt;"",DigitaNICA!E5,"")</f>
        <v>13350</v>
      </c>
      <c r="D9" s="42">
        <f>IF(C9="",0,C9*J$10)</f>
        <v>1735.5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11614.5</v>
      </c>
      <c r="I9" s="60" t="s">
        <v>36</v>
      </c>
      <c r="J9" s="61">
        <v>0.13</v>
      </c>
      <c r="K9" s="62">
        <f>MROUND(D7+D11+D15,50)</f>
        <v>21300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2650</v>
      </c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IF(DigitaTICA!E5&lt;&gt;"",DigitaTICA!E5,"")</f>
        <v>33600</v>
      </c>
      <c r="D11" s="42">
        <f>IF(C11="",0,C11*J$9)</f>
        <v>4368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7982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>
        <f>IF(DigitaTICA!G5&lt;&gt;"",DigitaTICA!G5,"")</f>
        <v>59650</v>
      </c>
      <c r="D15" s="42">
        <f>IF(C15="",0,C15*J$9)</f>
        <v>7754.5</v>
      </c>
      <c r="E15" s="29">
        <f>IF(DigitaTICA!H5&lt;&gt;"",DigitaTICA!H5,"")</f>
        <v>2950</v>
      </c>
      <c r="F15" s="42">
        <f>IF(E15="",0,E15*PREMIOS!F15)</f>
        <v>250750</v>
      </c>
      <c r="G15" s="30">
        <f t="shared" si="3"/>
        <v>-198854.5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IF(DigitaNICA!I5&lt;&gt;"",DigitaNICA!I5,"")</f>
        <v>1200</v>
      </c>
      <c r="D17" s="42">
        <f>IF(C17="",0,C17*J$10)</f>
        <v>156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1044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62</v>
      </c>
      <c r="C19" s="29">
        <f>IF(DigitaPRIMERA!C5&lt;&gt;"",DigitaPRIMERA!C5,"")</f>
        <v>900</v>
      </c>
      <c r="D19" s="42">
        <f>IF(C19="",0,C19*J$12)</f>
        <v>117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783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185200</v>
      </c>
      <c r="D21" s="68">
        <f t="shared" ref="D21:G21" si="4">SUM(D5:D20)</f>
        <v>24076</v>
      </c>
      <c r="E21" s="68">
        <f t="shared" si="4"/>
        <v>3200</v>
      </c>
      <c r="F21" s="68">
        <f t="shared" si="4"/>
        <v>272000</v>
      </c>
      <c r="G21" s="88">
        <f t="shared" si="4"/>
        <v>-110876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148</v>
      </c>
      <c r="C2" s="281"/>
      <c r="D2" s="282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124450</v>
      </c>
      <c r="K4" s="231">
        <f t="shared" ref="K4" si="0">D7+D11+D15</f>
        <v>14934</v>
      </c>
      <c r="L4" s="220">
        <f>F7+F11+F15</f>
        <v>55250</v>
      </c>
    </row>
    <row r="5" spans="1:12" x14ac:dyDescent="0.35">
      <c r="A5" s="28" t="s">
        <v>43</v>
      </c>
      <c r="B5" s="132">
        <f>IF(DigitaNICA!C2&lt;&gt;"",DigitaNICA!C2,"")</f>
        <v>25</v>
      </c>
      <c r="C5" s="29">
        <f>IF(DigitaNICA!C8&lt;&gt;"",DigitaNICA!C8,"")</f>
        <v>55850</v>
      </c>
      <c r="D5" s="42">
        <f>IF(C5="",0,C5*J$12)</f>
        <v>6702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49148</v>
      </c>
      <c r="I5" s="241" t="s">
        <v>37</v>
      </c>
      <c r="J5" s="221">
        <f>SUM(IF(C5="",0,C5),IF(C9="",0,C9),IF(C13="",0,C13),IF(C17="",0,C17))</f>
        <v>110950</v>
      </c>
      <c r="K5" s="225">
        <f t="shared" ref="K5" si="2">D5+D9+D13+D17</f>
        <v>13314</v>
      </c>
      <c r="L5" s="222">
        <f>F5+F9+F13+F17</f>
        <v>16000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65</v>
      </c>
      <c r="C7" s="29">
        <f>IF(DigitaTICA!C8&lt;&gt;"",DigitaTICA!C8,"")</f>
        <v>50050</v>
      </c>
      <c r="D7" s="42">
        <f>IF(C7="",0,C7*J$11)</f>
        <v>6006</v>
      </c>
      <c r="E7" s="29">
        <f>IF(DigitaTICA!D8&lt;&gt;"",DigitaTICA!D8,"")</f>
        <v>400</v>
      </c>
      <c r="F7" s="42">
        <f>IF(E7="",0,E7*PREMIOS!F7)</f>
        <v>34000</v>
      </c>
      <c r="G7" s="30">
        <f t="shared" si="1"/>
        <v>10044</v>
      </c>
      <c r="I7" s="242" t="s">
        <v>96</v>
      </c>
      <c r="J7" s="224">
        <f>SUM(IF(C19="",0,C19),IF(C20="",0,C20))</f>
        <v>27050</v>
      </c>
      <c r="K7" s="228">
        <f>+D19+D20</f>
        <v>3246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IF(DigitaNICA!E8&lt;&gt;"",DigitaNICA!E8,"")</f>
        <v>34850</v>
      </c>
      <c r="D9" s="42">
        <f>IF(C9="",0,C9*J$12)</f>
        <v>4182</v>
      </c>
      <c r="E9" s="29">
        <f>IF(DigitaNICA!F8&lt;&gt;"",DigitaNICA!F8,"")</f>
        <v>200</v>
      </c>
      <c r="F9" s="42">
        <f>IF(E9="",0,E9*PREMIOS!E9)</f>
        <v>16000</v>
      </c>
      <c r="G9" s="30">
        <f t="shared" si="1"/>
        <v>14668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IF(DigitaTICA!E8&lt;&gt;"",DigitaTICA!E8,"")</f>
        <v>36800</v>
      </c>
      <c r="D11" s="42">
        <f>IF(C11="",0,C11*J$11)</f>
        <v>4416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32384</v>
      </c>
      <c r="I11" s="60" t="s">
        <v>36</v>
      </c>
      <c r="J11" s="61">
        <v>0.12</v>
      </c>
      <c r="K11" s="62">
        <f>MROUND(D7+D11+D15,50)</f>
        <v>14950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13300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3250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>
        <f>IF(DigitaTICA!G8&lt;&gt;"",DigitaTICA!G8,"")</f>
        <v>37600</v>
      </c>
      <c r="D15" s="42">
        <f>IF(C15="",0,C15*J$11)</f>
        <v>4512</v>
      </c>
      <c r="E15" s="29">
        <f>IF(DigitaTICA!H8&lt;&gt;"",DigitaTICA!H8,"")</f>
        <v>250</v>
      </c>
      <c r="F15" s="42">
        <f>IF(E15="",0,E15*PREMIOS!F15)</f>
        <v>21250</v>
      </c>
      <c r="G15" s="30">
        <f t="shared" si="4"/>
        <v>11838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IF(DigitaNICA!I8&lt;&gt;"",DigitaNICA!I8,"")</f>
        <v>20250</v>
      </c>
      <c r="D17" s="42">
        <f>IF(C17="",0,C17*J$12)</f>
        <v>2430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17820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62</v>
      </c>
      <c r="C19" s="29">
        <f>IF(DigitaPRIMERA!C8&lt;&gt;"",DigitaPRIMERA!C8,"")</f>
        <v>16650</v>
      </c>
      <c r="D19" s="42">
        <f>IF(C19="",0,C19*J$14)</f>
        <v>1998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14652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>
        <f>IF(DigitaPRIMERA!E8&lt;&gt;"",DigitaPRIMERA!E8,"")</f>
        <v>10400</v>
      </c>
      <c r="D20" s="42">
        <f>IF(C20="",0,C20*J$14)</f>
        <v>1248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9152</v>
      </c>
    </row>
    <row r="21" spans="1:7" ht="15" thickBot="1" x14ac:dyDescent="0.4">
      <c r="A21" s="121" t="s">
        <v>5</v>
      </c>
      <c r="B21" s="128"/>
      <c r="C21" s="122">
        <f>SUM(C5:C20)</f>
        <v>262450</v>
      </c>
      <c r="D21" s="122">
        <f t="shared" ref="D21:G21" si="5">SUM(D5:D20)</f>
        <v>31494</v>
      </c>
      <c r="E21" s="122">
        <f t="shared" si="5"/>
        <v>850</v>
      </c>
      <c r="F21" s="122">
        <f t="shared" si="5"/>
        <v>71250</v>
      </c>
      <c r="G21" s="123">
        <f t="shared" si="5"/>
        <v>159706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Vendedor 06</v>
      </c>
      <c r="C2" s="281"/>
      <c r="D2" s="282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25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61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243500</v>
      </c>
      <c r="K4" s="231">
        <f t="shared" ref="K4" si="0">D7+D11+D15</f>
        <v>29220</v>
      </c>
      <c r="L4" s="220">
        <f>F7+F11+F15</f>
        <v>293250</v>
      </c>
    </row>
    <row r="5" spans="1:12" x14ac:dyDescent="0.35">
      <c r="A5" s="28" t="s">
        <v>43</v>
      </c>
      <c r="B5" s="132">
        <f>IF(DigitaNICA!C2&lt;&gt;"",DigitaNICA!C2,"")</f>
        <v>25</v>
      </c>
      <c r="C5" s="29">
        <f>IF(DigitaNICA!C10&lt;&gt;"",DigitaNICA!C10,"")</f>
        <v>49350</v>
      </c>
      <c r="D5" s="42">
        <f>IF(C5="",0,C5*J$15)</f>
        <v>5922</v>
      </c>
      <c r="E5" s="29">
        <f>IF(DigitaNICA!D10&lt;&gt;"",DigitaNICA!D10,"")</f>
        <v>200</v>
      </c>
      <c r="F5" s="42">
        <f>IF(E5="",0,E5*PREMIOS!F5)</f>
        <v>17000</v>
      </c>
      <c r="G5" s="30">
        <f t="shared" ref="G5:G12" si="1">IF(OR(C5="",E5=""),0,C5-D5-F5)</f>
        <v>26428</v>
      </c>
      <c r="I5" s="217" t="s">
        <v>37</v>
      </c>
      <c r="J5" s="221">
        <f>SUM(IF(C5="",0,C5),IF(C9="",0,C9),IF(C13="",0,C13),IF(C17="",0,C17))</f>
        <v>218150</v>
      </c>
      <c r="K5" s="225">
        <f t="shared" ref="K5" si="2">D5+D9+D13+D17</f>
        <v>26178</v>
      </c>
      <c r="L5" s="222">
        <f>F5+F9+F13+F17</f>
        <v>97750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26250</v>
      </c>
      <c r="K6" s="226">
        <f t="shared" ref="K6" si="3">+D8+D12+D16</f>
        <v>2625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65</v>
      </c>
      <c r="C7" s="29">
        <f>IF(DigitaTICA!C10&lt;&gt;"",DigitaTICA!C10,"")</f>
        <v>84250</v>
      </c>
      <c r="D7" s="42">
        <f>IF(C7="",0,C7*J$14)</f>
        <v>10110</v>
      </c>
      <c r="E7" s="29">
        <f>IF(DigitaTICA!D10&lt;&gt;"",DigitaTICA!D10,"")</f>
        <v>100</v>
      </c>
      <c r="F7" s="42">
        <f>IF(E7="",0,E7*PREMIOS!F7)</f>
        <v>8500</v>
      </c>
      <c r="G7" s="30">
        <f t="shared" si="1"/>
        <v>65640</v>
      </c>
      <c r="I7" s="217" t="s">
        <v>96</v>
      </c>
      <c r="J7" s="223">
        <f>SUM(IF(C19="",0,C19),IF(C20="",0,C20))</f>
        <v>16750</v>
      </c>
      <c r="K7" s="226">
        <f>+D19+D20</f>
        <v>2010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11650</v>
      </c>
      <c r="D8" s="42">
        <f>IF(C8="",0,C8*J$16)</f>
        <v>1165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10485</v>
      </c>
      <c r="I8" s="217" t="s">
        <v>104</v>
      </c>
      <c r="J8" s="223">
        <f>SUM(IF(C21="",0,C21),IF(C22="",0,C22),IF(C23="",0,C23))</f>
        <v>60500</v>
      </c>
      <c r="K8" s="226">
        <f t="shared" ref="K8" si="4">D21+D22+D23</f>
        <v>7260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IF(DigitaNICA!E10&lt;&gt;"",DigitaNICA!E10,"")</f>
        <v>57800</v>
      </c>
      <c r="D9" s="42">
        <f>IF(C9="",0,C9*J$15)</f>
        <v>6936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50864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IF(DigitaTICA!E10&lt;&gt;"",DigitaTICA!E10,"")</f>
        <v>66950</v>
      </c>
      <c r="D11" s="42">
        <f>IF(C11="",0,C11*J$14)</f>
        <v>8034</v>
      </c>
      <c r="E11" s="29">
        <f>IF(DigitaTICA!F10&lt;&gt;"",DigitaTICA!F10,"")</f>
        <v>750</v>
      </c>
      <c r="F11" s="42">
        <f>IF(E11="",0,E11*PREMIOS!F11)</f>
        <v>63750</v>
      </c>
      <c r="G11" s="30">
        <f t="shared" si="1"/>
        <v>-4834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4100</v>
      </c>
      <c r="D12" s="42">
        <f>IF(C12="",0,C12*J$16)</f>
        <v>410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3690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80" t="s">
        <v>34</v>
      </c>
      <c r="J13" s="280"/>
      <c r="K13" s="280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29200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>
        <f>IF(DigitaTICA!G10&lt;&gt;"",DigitaTICA!G10,"")</f>
        <v>92300</v>
      </c>
      <c r="D15" s="42">
        <f>IF(C15="",0,C15*J$14)</f>
        <v>11076</v>
      </c>
      <c r="E15" s="29">
        <f>IF(DigitaTICA!H10&lt;&gt;"",DigitaTICA!H10,"")</f>
        <v>2600</v>
      </c>
      <c r="F15" s="42">
        <f>IF(E15="",0,E15*PREMIOS!F15)</f>
        <v>221000</v>
      </c>
      <c r="G15" s="30">
        <f t="shared" si="6"/>
        <v>-139776</v>
      </c>
      <c r="I15" s="63" t="s">
        <v>37</v>
      </c>
      <c r="J15" s="64">
        <v>0.12</v>
      </c>
      <c r="K15" s="30">
        <f>MROUND(D5+D9+D13+D17,50)</f>
        <v>26200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10500</v>
      </c>
      <c r="D16" s="42">
        <f>IF(C16="",0,C16*J$16)</f>
        <v>1050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9450</v>
      </c>
      <c r="I16" s="63" t="s">
        <v>38</v>
      </c>
      <c r="J16" s="64">
        <v>0.1</v>
      </c>
      <c r="K16" s="30">
        <f>MROUND(D6+D8+D10+D12+D14+D16+D18,50)</f>
        <v>2650</v>
      </c>
    </row>
    <row r="17" spans="1:11" x14ac:dyDescent="0.35">
      <c r="A17" s="28" t="s">
        <v>52</v>
      </c>
      <c r="B17" s="132">
        <f>IF(DigitaNICA!I2&lt;&gt;"",DigitaNICA!I2,"")</f>
        <v>82</v>
      </c>
      <c r="C17" s="29">
        <f>IF(DigitaNICA!I10&lt;&gt;"",DigitaNICA!I10,"")</f>
        <v>111000</v>
      </c>
      <c r="D17" s="42">
        <f>IF(C17="",0,C17*J$15)</f>
        <v>13320</v>
      </c>
      <c r="E17" s="29">
        <f>IF(DigitaNICA!J10&lt;&gt;"",DigitaNICA!J10,"")</f>
        <v>950</v>
      </c>
      <c r="F17" s="42">
        <f>IF(E17="",0,E17*PREMIOS!F17)</f>
        <v>80750</v>
      </c>
      <c r="G17" s="30">
        <f t="shared" si="6"/>
        <v>16930</v>
      </c>
      <c r="I17" s="63" t="s">
        <v>96</v>
      </c>
      <c r="J17" s="64">
        <v>0.12</v>
      </c>
      <c r="K17" s="30">
        <f>MROUND(D19+D20,50)</f>
        <v>2000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7250</v>
      </c>
    </row>
    <row r="19" spans="1:11" x14ac:dyDescent="0.35">
      <c r="A19" s="28" t="s">
        <v>97</v>
      </c>
      <c r="B19" s="132">
        <f>IF(DigitaPRIMERA!C2&lt;&gt;"",DigitaPRIMERA!C2,"")</f>
        <v>62</v>
      </c>
      <c r="C19" s="29">
        <f>IF(DigitaPRIMERA!$C$10&lt;&gt;"",DigitaPRIMERA!$C$10,"")</f>
        <v>14650</v>
      </c>
      <c r="D19" s="42">
        <f>IF(C19="",0,C19*J$17)</f>
        <v>1758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12892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>
        <f>IF(DigitaPRIMERA!E2&lt;&gt;"",DigitaPRIMERA!E2,"")</f>
        <v>76</v>
      </c>
      <c r="C20" s="29">
        <f>IF(DigitaPRIMERA!$E$10&lt;&gt;"",DigitaPRIMERA!$E$10,"")</f>
        <v>2100</v>
      </c>
      <c r="D20" s="42">
        <f>IF(C20="",0,C20*J$17)</f>
        <v>252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1848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27</v>
      </c>
      <c r="C21" s="29">
        <f>IF(DigitaHONDURAS!$C$10&lt;&gt;"",DigitaHONDURAS!$C$10,"")</f>
        <v>19200</v>
      </c>
      <c r="D21" s="42">
        <f>IF(C21="",0,C21*J$18)</f>
        <v>2304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16896</v>
      </c>
    </row>
    <row r="22" spans="1:11" x14ac:dyDescent="0.35">
      <c r="A22" s="28" t="s">
        <v>100</v>
      </c>
      <c r="B22" s="132">
        <f>IF(DigitaHONDURAS!E2&lt;&gt;"",DigitaHONDURAS!E2,"")</f>
        <v>34</v>
      </c>
      <c r="C22" s="29">
        <f>IF(DigitaHONDURAS!$E$10&lt;&gt;"",DigitaHONDURAS!$E$10,"")</f>
        <v>22000</v>
      </c>
      <c r="D22" s="42">
        <f>IF(C22="",0,C22*J$18)</f>
        <v>2640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19360</v>
      </c>
    </row>
    <row r="23" spans="1:11" x14ac:dyDescent="0.35">
      <c r="A23" s="28" t="s">
        <v>101</v>
      </c>
      <c r="B23" s="132">
        <f>IF(DigitaHONDURAS!G2&lt;&gt;"",DigitaHONDURAS!G2,"")</f>
        <v>87</v>
      </c>
      <c r="C23" s="29">
        <f>IF(DigitaHONDURAS!$G$10&lt;&gt;"",DigitaHONDURAS!$G$10,"")</f>
        <v>19300</v>
      </c>
      <c r="D23" s="42">
        <f>IF(C23="",0,C23*J$18)</f>
        <v>2316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16984</v>
      </c>
    </row>
    <row r="24" spans="1:11" x14ac:dyDescent="0.35">
      <c r="A24" s="28" t="s">
        <v>107</v>
      </c>
      <c r="B24" s="132">
        <f>IF(DigitaDOMINICANA!C2&lt;&gt;"",DigitaDOMINICANA!C2,"")</f>
        <v>99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86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>09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565150</v>
      </c>
      <c r="D27" s="68">
        <f t="shared" ref="D27:F27" si="9">SUM(D5:D26)</f>
        <v>67293</v>
      </c>
      <c r="E27" s="68">
        <f t="shared" si="9"/>
        <v>4600</v>
      </c>
      <c r="F27" s="68">
        <f t="shared" si="9"/>
        <v>391000</v>
      </c>
      <c r="G27" s="88">
        <f>SUM(G5:G26)</f>
        <v>106857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3000</v>
      </c>
      <c r="K4" s="231">
        <f t="shared" ref="K4" si="0">D7+D11+D15</f>
        <v>360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65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>
        <f>IF(DigitaTICA!E2&lt;&gt;"",DigitaTICA!E2,"")</f>
        <v>61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3000</v>
      </c>
      <c r="D21" s="122">
        <f t="shared" ref="D21:G21" si="5">SUM(D5:D20)</f>
        <v>360</v>
      </c>
      <c r="E21" s="122">
        <f t="shared" si="5"/>
        <v>0</v>
      </c>
      <c r="F21" s="122">
        <f t="shared" si="5"/>
        <v>0</v>
      </c>
      <c r="G21" s="123">
        <f t="shared" si="5"/>
        <v>2640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144400</v>
      </c>
      <c r="K4" s="231">
        <f>D7+D11+D15</f>
        <v>17328</v>
      </c>
      <c r="L4" s="220">
        <f>F7+F11+F15</f>
        <v>306000</v>
      </c>
    </row>
    <row r="5" spans="1:12" x14ac:dyDescent="0.35">
      <c r="A5" s="28" t="s">
        <v>43</v>
      </c>
      <c r="B5" s="132">
        <f>IF(DigitaNICA!C2&lt;&gt;"",DigitaNICA!C2,"")</f>
        <v>25</v>
      </c>
      <c r="C5" s="29">
        <f>IF(DigitaNICA!C12&lt;&gt;"",DigitaNICA!C12,"")</f>
        <v>58600</v>
      </c>
      <c r="D5" s="42">
        <f>IF(C5="",0,C5*J$12)</f>
        <v>7032</v>
      </c>
      <c r="E5" s="29">
        <f>IF(DigitaNICA!D12&lt;&gt;"",DigitaNICA!D12,"")</f>
        <v>450</v>
      </c>
      <c r="F5" s="42">
        <f>IF(E5="",0,E5*PREMIOS!F5)</f>
        <v>38250</v>
      </c>
      <c r="G5" s="30">
        <f t="shared" ref="G5:G12" si="0">IF(OR(C5="",E5=""),0,C5-D5-F5)</f>
        <v>13318</v>
      </c>
      <c r="I5" s="217" t="s">
        <v>37</v>
      </c>
      <c r="J5" s="221">
        <f>SUM(IF(C5="",0,C5),IF(C9="",0,C9),IF(C13="",0,C13),IF(C17="",0,C17))</f>
        <v>95200</v>
      </c>
      <c r="K5" s="225">
        <f t="shared" ref="K5" si="1">D5+D9+D13+D17</f>
        <v>11424</v>
      </c>
      <c r="L5" s="222">
        <f>F5+F9+F13+F17</f>
        <v>153000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5950</v>
      </c>
      <c r="K6" s="226">
        <f t="shared" ref="K6" si="2">+D8+D12+D16</f>
        <v>595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65</v>
      </c>
      <c r="C7" s="29">
        <f>IF(DigitaTICA!C12&lt;&gt;"",DigitaTICA!C12,"")</f>
        <v>71750</v>
      </c>
      <c r="D7" s="42">
        <f>IF(C7="",0,C7*J$11)</f>
        <v>8610</v>
      </c>
      <c r="E7" s="29">
        <f>IF(DigitaTICA!D12&lt;&gt;"",DigitaTICA!D12,"")</f>
        <v>1100</v>
      </c>
      <c r="F7" s="42">
        <f>IF(E7="",0,E7*PREMIOS!F7)</f>
        <v>93500</v>
      </c>
      <c r="G7" s="30">
        <f t="shared" si="0"/>
        <v>-30360</v>
      </c>
      <c r="I7" s="217" t="s">
        <v>96</v>
      </c>
      <c r="J7" s="223">
        <f>SUM(IF(C19="",0,C19),IF(C20="",0,C20))</f>
        <v>55400</v>
      </c>
      <c r="K7" s="226">
        <f>+D19+D20</f>
        <v>6648</v>
      </c>
      <c r="L7" s="227">
        <f>+F19+F20</f>
        <v>34000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3450</v>
      </c>
      <c r="D8" s="42">
        <f>IF(C8="",0,C8*J$13)</f>
        <v>345</v>
      </c>
      <c r="E8" s="29">
        <f>IF(DigitaREVENTADO!D12&lt;&gt;"",DigitaREVENTADO!D12,"")</f>
        <v>500</v>
      </c>
      <c r="F8" s="42">
        <f>IF(E8="",0,E8*PREMIOS!F8)</f>
        <v>0</v>
      </c>
      <c r="G8" s="30">
        <f t="shared" si="0"/>
        <v>3105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IF(DigitaNICA!E12&lt;&gt;"",DigitaNICA!E12,"")</f>
        <v>36600</v>
      </c>
      <c r="D9" s="42">
        <f>IF(C9="",0,C9*J$12)</f>
        <v>4392</v>
      </c>
      <c r="E9" s="29">
        <f>IF(DigitaNICA!F12&lt;&gt;"",DigitaNICA!F12,"")</f>
        <v>1350</v>
      </c>
      <c r="F9" s="42">
        <f>IF(E9="",0,E9*PREMIOS!F9)</f>
        <v>114750</v>
      </c>
      <c r="G9" s="30">
        <f t="shared" si="0"/>
        <v>-82542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IF(DigitaTICA!E12&lt;&gt;"",DigitaTICA!E12,"")</f>
        <v>40050</v>
      </c>
      <c r="D11" s="42">
        <f>IF(C11="",0,C11*J$11)</f>
        <v>4806</v>
      </c>
      <c r="E11" s="29">
        <f>IF(DigitaTICA!F12&lt;&gt;"",DigitaTICA!F12,"")</f>
        <v>2250</v>
      </c>
      <c r="F11" s="42">
        <f>IF(E11="",0,E11*PREMIOS!F11)</f>
        <v>191250</v>
      </c>
      <c r="G11" s="30">
        <f t="shared" si="0"/>
        <v>-156006</v>
      </c>
      <c r="I11" s="60" t="s">
        <v>36</v>
      </c>
      <c r="J11" s="61">
        <v>0.12</v>
      </c>
      <c r="K11" s="62">
        <f>MROUND(D7+D11+D15,50)</f>
        <v>17350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11400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6650</v>
      </c>
    </row>
    <row r="15" spans="1:12" ht="15" thickBot="1" x14ac:dyDescent="0.4">
      <c r="A15" s="28" t="s">
        <v>61</v>
      </c>
      <c r="B15" s="132" t="str">
        <f>IF(DigitaTICA!G2&lt;&gt;"",DigitaTICA!G2,"")</f>
        <v>06</v>
      </c>
      <c r="C15" s="29">
        <f>IF(DigitaTICA!G12&lt;&gt;"",DigitaTICA!G12,"")</f>
        <v>32600</v>
      </c>
      <c r="D15" s="42">
        <f>IF(C15="",0,C15*J$11)</f>
        <v>3912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7438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2500</v>
      </c>
      <c r="D16" s="42">
        <f>IF(C16="",0,C16*J$13)</f>
        <v>250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2250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62</v>
      </c>
      <c r="C19" s="29">
        <f>IF(DigitaPRIMERA!$C$12&lt;&gt;"",DigitaPRIMERA!$C$12,"")</f>
        <v>55400</v>
      </c>
      <c r="D19" s="42">
        <f>IF(C19="",0,C19*J$14)</f>
        <v>6648</v>
      </c>
      <c r="E19" s="29">
        <f>IF(DigitaPRIMERA!$D$12&lt;&gt;"",DigitaPRIMERA!$D$12,"")</f>
        <v>400</v>
      </c>
      <c r="F19" s="42">
        <f>IF(E19="",0,E19*PREMIOS!F19)</f>
        <v>34000</v>
      </c>
      <c r="G19" s="30">
        <f t="shared" si="3"/>
        <v>14752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300950</v>
      </c>
      <c r="D24" s="68">
        <f t="shared" ref="D24:G24" si="4">SUM(D5:D23)</f>
        <v>35995</v>
      </c>
      <c r="E24" s="68">
        <f t="shared" si="4"/>
        <v>6300</v>
      </c>
      <c r="F24" s="68">
        <f t="shared" si="4"/>
        <v>493000</v>
      </c>
      <c r="G24" s="88">
        <f t="shared" si="4"/>
        <v>-228045</v>
      </c>
    </row>
    <row r="27" spans="1:7" x14ac:dyDescent="0.35">
      <c r="G27" s="21">
        <v>0</v>
      </c>
    </row>
    <row r="28" spans="1:7" x14ac:dyDescent="0.35">
      <c r="G28" s="141">
        <f>+G24+G27</f>
        <v>-228045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71300</v>
      </c>
      <c r="K4" s="231">
        <f t="shared" ref="K4" si="0">D7+D11+D15</f>
        <v>8556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25</v>
      </c>
      <c r="C5" s="29">
        <f>IF(DigitaNICA!C13&lt;&gt;"",DigitaNICA!C13,"")</f>
        <v>21200</v>
      </c>
      <c r="D5" s="42">
        <f>IF(C5="",0,C5*J$10)</f>
        <v>2544</v>
      </c>
      <c r="E5" s="29">
        <f>IF(DigitaNICA!D13&lt;&gt;"",DigitaNICA!D13,"")</f>
        <v>250</v>
      </c>
      <c r="F5" s="42">
        <f>IF(E5="",0,E5*PREMIOS!E5)</f>
        <v>20000</v>
      </c>
      <c r="G5" s="30">
        <f t="shared" ref="G5:G12" si="1">IF(OR(C5="",E5=""),0,C5-D5-F5)</f>
        <v>-1344</v>
      </c>
      <c r="I5" s="218" t="s">
        <v>37</v>
      </c>
      <c r="J5" s="232">
        <f>SUM(IF(C5="",0,C5),IF(C9="",0,C9),IF(C13="",0,C13),IF(C17="",0,C17))</f>
        <v>32300</v>
      </c>
      <c r="K5" s="233">
        <f t="shared" ref="K5" si="2">D5+D9+D13+D17</f>
        <v>3876</v>
      </c>
      <c r="L5" s="234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65</v>
      </c>
      <c r="C7" s="29">
        <f>IF(DigitaTICA!C13&lt;&gt;"",DigitaTICA!C13,"")</f>
        <v>31800</v>
      </c>
      <c r="D7" s="42">
        <f>IF(C7="",0,C7*J$9)</f>
        <v>3816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27984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IF(DigitaNICA!E13&lt;&gt;"",DigitaNICA!E13,"")</f>
        <v>10600</v>
      </c>
      <c r="D9" s="42">
        <f>IF(C9="",0,C9*J$10)</f>
        <v>1272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9328</v>
      </c>
      <c r="I9" s="60" t="s">
        <v>36</v>
      </c>
      <c r="J9" s="61">
        <v>0.12</v>
      </c>
      <c r="K9" s="62">
        <f>MROUND(D7+D11+D15,50)</f>
        <v>8550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3900</v>
      </c>
    </row>
    <row r="11" spans="1:12" ht="15" thickBot="1" x14ac:dyDescent="0.4">
      <c r="A11" s="28" t="s">
        <v>59</v>
      </c>
      <c r="B11" s="132">
        <f>IF(DigitaTICA!E2&lt;&gt;"",DigitaTICA!E2,"")</f>
        <v>61</v>
      </c>
      <c r="C11" s="29">
        <f>IF(DigitaTICA!E13&lt;&gt;"",DigitaTICA!E13,"")</f>
        <v>15500</v>
      </c>
      <c r="D11" s="42">
        <f>IF(C11="",0,C11*J$9)</f>
        <v>1860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13640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>
        <f>IF(DigitaTICA!G13&lt;&gt;"",DigitaTICA!G13,"")</f>
        <v>24000</v>
      </c>
      <c r="D15" s="42">
        <f>IF(C15="",0,C15*J$9)</f>
        <v>2880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21120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IF(DigitaNICA!I13&lt;&gt;"",DigitaNICA!I13,"")</f>
        <v>500</v>
      </c>
      <c r="D17" s="42">
        <f>IF(C17="",0,C17*J$10)</f>
        <v>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103600</v>
      </c>
      <c r="D19" s="68">
        <f>MROUND(SUM(D5:D18),50)</f>
        <v>12450</v>
      </c>
      <c r="E19" s="68">
        <f>SUM(E5:E18)</f>
        <v>250</v>
      </c>
      <c r="F19" s="68">
        <f>SUM(F5:F18)</f>
        <v>20000</v>
      </c>
      <c r="G19" s="88">
        <f>SUM(G5:G18)</f>
        <v>71168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108850</v>
      </c>
      <c r="K4" s="236">
        <f t="shared" ref="K4" si="0">D7+D11+D15</f>
        <v>16327.5</v>
      </c>
      <c r="L4" s="237">
        <f>F7+F11+F15</f>
        <v>144000</v>
      </c>
    </row>
    <row r="5" spans="1:12" x14ac:dyDescent="0.35">
      <c r="A5" s="28" t="s">
        <v>43</v>
      </c>
      <c r="B5" s="132">
        <f>IF(DigitaNICA!C2&lt;&gt;"",DigitaNICA!C2,"")</f>
        <v>25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65</v>
      </c>
      <c r="C7" s="29">
        <f>IF(DigitaTICA!C14&lt;&gt;"",DigitaTICA!C14,"")</f>
        <v>47350</v>
      </c>
      <c r="D7" s="42">
        <f>IF(C7="",0,C7*J$9)</f>
        <v>7102.5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40247.5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57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16350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61</v>
      </c>
      <c r="C11" s="29">
        <f>IF(DigitaTICA!E14&lt;&gt;"",DigitaTICA!E14,"")</f>
        <v>24900</v>
      </c>
      <c r="D11" s="42">
        <f>IF(C11="",0,C11*J$9)</f>
        <v>3735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-58835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>
        <f>IF(DigitaTICA!G14&lt;&gt;"",DigitaTICA!G14,"")</f>
        <v>36600</v>
      </c>
      <c r="D15" s="42">
        <f>IF(C15="",0,C15*J$9)</f>
        <v>5490</v>
      </c>
      <c r="E15" s="29">
        <f>IF(DigitaTICA!H14&lt;&gt;"",DigitaTICA!H14,"")</f>
        <v>800</v>
      </c>
      <c r="F15" s="42">
        <f>IF(E15="",0,E15*PREMIOS!E15)</f>
        <v>64000</v>
      </c>
      <c r="G15" s="30">
        <f t="shared" si="2"/>
        <v>-32890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108850</v>
      </c>
      <c r="D19" s="68">
        <f>MROUND(SUM(D5:D18),50)</f>
        <v>16350</v>
      </c>
      <c r="E19" s="68">
        <f>SUM(E5:E18)</f>
        <v>1800</v>
      </c>
      <c r="F19" s="68">
        <f>SUM(F5:F18)</f>
        <v>144000</v>
      </c>
      <c r="G19" s="88">
        <f>SUM(G5:G18)</f>
        <v>-51477.5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57600</v>
      </c>
      <c r="K4" s="231">
        <f>D7+D11+D15</f>
        <v>6912</v>
      </c>
      <c r="L4" s="220">
        <f>F7+F11+F15</f>
        <v>127500</v>
      </c>
    </row>
    <row r="5" spans="1:12" x14ac:dyDescent="0.35">
      <c r="A5" s="28" t="s">
        <v>43</v>
      </c>
      <c r="B5" s="132">
        <f>IF(DigitaNICA!C2&lt;&gt;"",DigitaNICA!C2,"")</f>
        <v>25</v>
      </c>
      <c r="C5" s="29">
        <f>IF(DigitaNICA!C16&lt;&gt;"",DigitaNICA!C16,"")</f>
        <v>6250</v>
      </c>
      <c r="D5" s="42">
        <f>IF(C5="",0,C5*J$12)</f>
        <v>750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5500</v>
      </c>
      <c r="I5" s="63" t="s">
        <v>37</v>
      </c>
      <c r="J5" s="225">
        <f>SUM(IF(C5="",0,C5),IF(C9="",0,C9),IF(C13="",0,C13),IF(C17="",0,C17))</f>
        <v>23650</v>
      </c>
      <c r="K5" s="225">
        <f t="shared" ref="K5" si="1">D5+D9+D13+D17</f>
        <v>2838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4000</v>
      </c>
      <c r="K6" s="226">
        <f t="shared" ref="K6" si="2">+D8+D12+D16</f>
        <v>400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65</v>
      </c>
      <c r="C7" s="29">
        <f>IF(DigitaTICA!C16&lt;&gt;"",DigitaTICA!C16,"")</f>
        <v>18350</v>
      </c>
      <c r="D7" s="42">
        <f>IF(C7="",0,C7*J$11)</f>
        <v>2202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16148</v>
      </c>
      <c r="I7" s="63" t="s">
        <v>96</v>
      </c>
      <c r="J7" s="226">
        <f>SUM(IF(C19="",0,C19),IF(C20="",0,C20))</f>
        <v>4200</v>
      </c>
      <c r="K7" s="226">
        <f>+D19+D20</f>
        <v>504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IF(DigitaNICA!E16&lt;&gt;"",DigitaNICA!E16,"")</f>
        <v>10400</v>
      </c>
      <c r="D9" s="42">
        <f>IF(C9="",0,C9*J$12)</f>
        <v>1248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9152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IF(DigitaTICA!E16&lt;&gt;"",DigitaTICA!E16,"")</f>
        <v>14550</v>
      </c>
      <c r="D11" s="42">
        <f>IF(C11="",0,C11*J$11)</f>
        <v>1746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12804</v>
      </c>
      <c r="I11" s="76" t="s">
        <v>36</v>
      </c>
      <c r="J11" s="77">
        <v>0.12</v>
      </c>
      <c r="K11" s="78">
        <f>MROUND(D7+D11+D15,50)</f>
        <v>6900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2850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500</v>
      </c>
    </row>
    <row r="15" spans="1:12" ht="15" thickBot="1" x14ac:dyDescent="0.4">
      <c r="A15" s="28" t="s">
        <v>61</v>
      </c>
      <c r="B15" s="132" t="str">
        <f>IF(DigitaTICA!G2&lt;&gt;"",DigitaTICA!G2,"")</f>
        <v>06</v>
      </c>
      <c r="C15" s="29">
        <f>IF(DigitaTICA!G16&lt;&gt;"",DigitaTICA!G16,"")</f>
        <v>24700</v>
      </c>
      <c r="D15" s="42">
        <f>IF(C15="",0,C15*J$11)</f>
        <v>2964</v>
      </c>
      <c r="E15" s="29">
        <f>IF(DigitaTICA!H16&lt;&gt;"",DigitaTICA!H16,"")</f>
        <v>1500</v>
      </c>
      <c r="F15" s="133">
        <f>IF(E15="",0,E15*PREMIOS!F15)</f>
        <v>127500</v>
      </c>
      <c r="G15" s="30">
        <f t="shared" si="3"/>
        <v>-105764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4000</v>
      </c>
      <c r="D16" s="42">
        <f>IF(C16="",0,C16*J$13)</f>
        <v>400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3600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IF(DigitaNICA!I16&lt;&gt;"",DigitaNICA!I16,"")</f>
        <v>7000</v>
      </c>
      <c r="D17" s="42">
        <f>IF(C17="",0,C17*J$12)</f>
        <v>840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6160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62</v>
      </c>
      <c r="C19" s="29">
        <f>IF(DigitaPRIMERA!C16&lt;&gt;"",DigitaPRIMERA!C16,"")</f>
        <v>4200</v>
      </c>
      <c r="D19" s="42">
        <f>IF(C19="",0,C19*J$14)</f>
        <v>504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3696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89450</v>
      </c>
      <c r="D24" s="122">
        <f t="shared" ref="D24:G24" si="5">SUM(D5:D23)</f>
        <v>10654</v>
      </c>
      <c r="E24" s="122">
        <f t="shared" si="5"/>
        <v>1500</v>
      </c>
      <c r="F24" s="122">
        <f t="shared" si="5"/>
        <v>127500</v>
      </c>
      <c r="G24" s="123">
        <f t="shared" si="5"/>
        <v>-48704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25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65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57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61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2" t="str">
        <f>IF(DigitaTICA!G2&lt;&gt;"",DigitaTICA!G2,"")</f>
        <v>06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82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62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76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27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34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87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>09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25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65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57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61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2" t="str">
        <f>IF(DigitaTICA!G2&lt;&gt;"",DigitaTICA!G2,"")</f>
        <v>06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82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62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76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27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34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87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>09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88</v>
      </c>
      <c r="D2" s="282"/>
      <c r="E2" s="282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25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65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2">
        <f>IF(DigitaNICA!E2&lt;&gt;"",DigitaNICA!E2,"")</f>
        <v>57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>06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2" t="s">
        <v>84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83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82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65</v>
      </c>
      <c r="D2" s="269"/>
      <c r="E2" s="268">
        <f>IF(PREMIOS!$B11="","",PREMIOS!$B11)</f>
        <v>61</v>
      </c>
      <c r="F2" s="269"/>
      <c r="G2" s="268" t="str">
        <f>IF(PREMIOS!$B15="","",PREMIOS!$B15)</f>
        <v>06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61250</v>
      </c>
      <c r="D4" s="78">
        <f t="shared" ref="D4:H27" si="0">IF(C4="","",0)</f>
        <v>0</v>
      </c>
      <c r="E4" s="189">
        <v>33650</v>
      </c>
      <c r="F4" s="78">
        <f t="shared" si="0"/>
        <v>0</v>
      </c>
      <c r="G4" s="189">
        <v>60200</v>
      </c>
      <c r="H4" s="78">
        <v>500</v>
      </c>
      <c r="J4" s="42">
        <f t="shared" ref="J4:J8" si="1">+C4+E4+G4</f>
        <v>155100</v>
      </c>
      <c r="K4" s="42">
        <f>IF(D4="",0,IF(F4="",D4,IF(H4="",D4+F4,D4+F4+H4)))</f>
        <v>500</v>
      </c>
    </row>
    <row r="5" spans="1:11" x14ac:dyDescent="0.35">
      <c r="A5" s="47">
        <v>2</v>
      </c>
      <c r="B5" s="178" t="str">
        <f>Vendedor2!$B$2</f>
        <v>PUESTO 2</v>
      </c>
      <c r="C5" s="180">
        <v>70500</v>
      </c>
      <c r="D5" s="30">
        <f t="shared" si="0"/>
        <v>0</v>
      </c>
      <c r="E5" s="180">
        <v>33600</v>
      </c>
      <c r="F5" s="30">
        <v>250</v>
      </c>
      <c r="G5" s="180">
        <v>59650</v>
      </c>
      <c r="H5" s="30">
        <v>2950</v>
      </c>
      <c r="J5" s="42">
        <f t="shared" si="1"/>
        <v>163750</v>
      </c>
      <c r="K5" s="42">
        <f t="shared" ref="K5:K27" si="2">IF(D5="",0,IF(F5="",D5,IF(H5="",D5+F5,D5+F5+H5)))</f>
        <v>3200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50050</v>
      </c>
      <c r="D8" s="30">
        <v>400</v>
      </c>
      <c r="E8" s="180">
        <v>36800</v>
      </c>
      <c r="F8" s="30">
        <f t="shared" si="0"/>
        <v>0</v>
      </c>
      <c r="G8" s="180">
        <v>37600</v>
      </c>
      <c r="H8" s="30">
        <v>250</v>
      </c>
      <c r="J8" s="42">
        <f t="shared" si="1"/>
        <v>124450</v>
      </c>
      <c r="K8" s="42">
        <f t="shared" si="2"/>
        <v>650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24350+59900</f>
        <v>84250</v>
      </c>
      <c r="D10" s="30">
        <v>100</v>
      </c>
      <c r="E10" s="180">
        <f>14600+52350</f>
        <v>66950</v>
      </c>
      <c r="F10" s="30">
        <v>750</v>
      </c>
      <c r="G10" s="180">
        <f>12500+79800</f>
        <v>92300</v>
      </c>
      <c r="H10" s="30">
        <v>2600</v>
      </c>
      <c r="J10" s="42">
        <f t="shared" si="3"/>
        <v>243500</v>
      </c>
      <c r="K10" s="42">
        <f t="shared" si="2"/>
        <v>3450</v>
      </c>
    </row>
    <row r="11" spans="1:11" x14ac:dyDescent="0.35">
      <c r="A11" s="47">
        <v>8</v>
      </c>
      <c r="B11" s="178" t="str">
        <f>Vendedor8!$B$2</f>
        <v>ISA</v>
      </c>
      <c r="C11" s="180">
        <f>1250+1250+500</f>
        <v>3000</v>
      </c>
      <c r="D11" s="30">
        <f t="shared" si="0"/>
        <v>0</v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3000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71750</v>
      </c>
      <c r="D12" s="30">
        <v>1100</v>
      </c>
      <c r="E12" s="180">
        <v>40050</v>
      </c>
      <c r="F12" s="30">
        <v>2250</v>
      </c>
      <c r="G12" s="180">
        <v>32600</v>
      </c>
      <c r="H12" s="30">
        <v>250</v>
      </c>
      <c r="J12" s="42">
        <f t="shared" si="3"/>
        <v>144400</v>
      </c>
      <c r="K12" s="42">
        <f t="shared" si="2"/>
        <v>3600</v>
      </c>
    </row>
    <row r="13" spans="1:11" x14ac:dyDescent="0.35">
      <c r="A13" s="47">
        <v>10</v>
      </c>
      <c r="B13" s="178" t="str">
        <f>Vendedor10!$B$2</f>
        <v>MARIALIZ</v>
      </c>
      <c r="C13" s="180">
        <v>31800</v>
      </c>
      <c r="D13" s="30">
        <f t="shared" si="0"/>
        <v>0</v>
      </c>
      <c r="E13" s="180">
        <v>15500</v>
      </c>
      <c r="F13" s="30">
        <f t="shared" si="0"/>
        <v>0</v>
      </c>
      <c r="G13" s="180">
        <v>24000</v>
      </c>
      <c r="H13" s="30">
        <f t="shared" si="0"/>
        <v>0</v>
      </c>
      <c r="J13" s="42">
        <f t="shared" si="3"/>
        <v>71300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47350</v>
      </c>
      <c r="D14" s="30">
        <f t="shared" si="0"/>
        <v>0</v>
      </c>
      <c r="E14" s="180">
        <v>24900</v>
      </c>
      <c r="F14" s="30">
        <v>1000</v>
      </c>
      <c r="G14" s="180">
        <v>36600</v>
      </c>
      <c r="H14" s="30">
        <v>800</v>
      </c>
      <c r="J14" s="42">
        <f t="shared" si="3"/>
        <v>108850</v>
      </c>
      <c r="K14" s="42">
        <f t="shared" si="2"/>
        <v>1800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18350</v>
      </c>
      <c r="D16" s="30">
        <f t="shared" si="0"/>
        <v>0</v>
      </c>
      <c r="E16" s="180">
        <v>14550</v>
      </c>
      <c r="F16" s="30">
        <f t="shared" si="0"/>
        <v>0</v>
      </c>
      <c r="G16" s="180">
        <v>24700</v>
      </c>
      <c r="H16" s="30">
        <v>1500</v>
      </c>
      <c r="J16" s="42">
        <f t="shared" si="3"/>
        <v>57600</v>
      </c>
      <c r="K16" s="42">
        <f t="shared" si="2"/>
        <v>1500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438300</v>
      </c>
      <c r="D32" s="44">
        <f t="shared" si="6"/>
        <v>1600</v>
      </c>
      <c r="E32" s="43">
        <f t="shared" si="6"/>
        <v>266000</v>
      </c>
      <c r="F32" s="44">
        <f t="shared" si="6"/>
        <v>4250</v>
      </c>
      <c r="G32" s="43">
        <f t="shared" si="6"/>
        <v>367650</v>
      </c>
      <c r="H32" s="44">
        <f t="shared" si="6"/>
        <v>8850</v>
      </c>
      <c r="J32" s="95">
        <f>SUM(J4:J31)</f>
        <v>1071950</v>
      </c>
      <c r="K32" s="95"/>
    </row>
    <row r="33" spans="2:8" x14ac:dyDescent="0.35">
      <c r="D33" s="99">
        <f>+D32*85</f>
        <v>136000</v>
      </c>
      <c r="F33" s="99">
        <f>+F32*85</f>
        <v>361250</v>
      </c>
      <c r="H33" s="99">
        <f>+H32*85</f>
        <v>752250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ht="21" customHeight="1" x14ac:dyDescent="0.35">
      <c r="C2" s="268">
        <f>IF(PREMIOS!$B5="","",PREMIOS!$B5)</f>
        <v>25</v>
      </c>
      <c r="D2" s="269"/>
      <c r="E2" s="268">
        <f>IF(PREMIOS!$B9="","",PREMIOS!$B9)</f>
        <v>57</v>
      </c>
      <c r="F2" s="269"/>
      <c r="G2" s="268" t="str">
        <f>IF(PREMIOS!$B13="","",PREMIOS!$B13)</f>
        <v/>
      </c>
      <c r="H2" s="269"/>
      <c r="I2" s="268">
        <f>IF(PREMIOS!$B17="","",PREMIOS!$B17)</f>
        <v>82</v>
      </c>
      <c r="J2" s="269"/>
    </row>
    <row r="3" spans="1:13" ht="21" customHeight="1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15300</v>
      </c>
      <c r="D4" s="78">
        <f t="shared" ref="D4:J27" si="0">IF(C4="","",0)</f>
        <v>0</v>
      </c>
      <c r="E4" s="206">
        <v>7300</v>
      </c>
      <c r="F4" s="78">
        <f t="shared" si="0"/>
        <v>0</v>
      </c>
      <c r="G4" s="189"/>
      <c r="H4" s="78" t="str">
        <f t="shared" ref="H4:H27" si="1">IF(G4="","",0)</f>
        <v/>
      </c>
      <c r="I4" s="189">
        <v>3600</v>
      </c>
      <c r="J4" s="78">
        <f t="shared" si="0"/>
        <v>0</v>
      </c>
      <c r="L4" s="42">
        <f t="shared" ref="L4:L8" si="2">+C4+E4+G4+I4</f>
        <v>26200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6000</v>
      </c>
      <c r="D5" s="30">
        <f t="shared" si="0"/>
        <v>0</v>
      </c>
      <c r="E5" s="207">
        <v>13350</v>
      </c>
      <c r="F5" s="30">
        <f t="shared" si="0"/>
        <v>0</v>
      </c>
      <c r="G5" s="180"/>
      <c r="H5" s="30" t="str">
        <f t="shared" si="1"/>
        <v/>
      </c>
      <c r="I5" s="180">
        <v>1200</v>
      </c>
      <c r="J5" s="30">
        <f t="shared" ref="J5:J27" si="3">IF(I5="","",0)</f>
        <v>0</v>
      </c>
      <c r="L5" s="42">
        <f t="shared" si="2"/>
        <v>20550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55850</v>
      </c>
      <c r="D8" s="30">
        <f t="shared" si="0"/>
        <v>0</v>
      </c>
      <c r="E8" s="207">
        <v>34850</v>
      </c>
      <c r="F8" s="30">
        <v>200</v>
      </c>
      <c r="G8" s="180"/>
      <c r="H8" s="30" t="str">
        <f t="shared" si="1"/>
        <v/>
      </c>
      <c r="I8" s="180">
        <v>20250</v>
      </c>
      <c r="J8" s="30">
        <f t="shared" si="0"/>
        <v>0</v>
      </c>
      <c r="L8" s="42">
        <f t="shared" si="2"/>
        <v>110950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19100+30250</f>
        <v>49350</v>
      </c>
      <c r="D10" s="30">
        <v>200</v>
      </c>
      <c r="E10" s="207">
        <f>7600+50200</f>
        <v>57800</v>
      </c>
      <c r="F10" s="30">
        <f t="shared" si="0"/>
        <v>0</v>
      </c>
      <c r="G10" s="180"/>
      <c r="H10" s="30" t="str">
        <f t="shared" si="0"/>
        <v/>
      </c>
      <c r="I10" s="180">
        <f>25000+86000</f>
        <v>111000</v>
      </c>
      <c r="J10" s="30">
        <f>100+850</f>
        <v>950</v>
      </c>
      <c r="L10" s="42">
        <f t="shared" si="5"/>
        <v>218150</v>
      </c>
      <c r="M10" s="42">
        <f t="shared" si="4"/>
        <v>200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58600</v>
      </c>
      <c r="D12" s="30">
        <v>450</v>
      </c>
      <c r="E12" s="207">
        <v>36600</v>
      </c>
      <c r="F12" s="30">
        <v>1350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95200</v>
      </c>
      <c r="M12" s="42">
        <f t="shared" si="4"/>
        <v>1800</v>
      </c>
    </row>
    <row r="13" spans="1:13" x14ac:dyDescent="0.35">
      <c r="A13" s="47">
        <v>10</v>
      </c>
      <c r="B13" s="178" t="str">
        <f>Vendedor10!$B$2</f>
        <v>MARIALIZ</v>
      </c>
      <c r="C13" s="180">
        <v>21200</v>
      </c>
      <c r="D13" s="30">
        <v>250</v>
      </c>
      <c r="E13" s="207">
        <v>10600</v>
      </c>
      <c r="F13" s="30">
        <f t="shared" si="0"/>
        <v>0</v>
      </c>
      <c r="G13" s="180"/>
      <c r="H13" s="30" t="str">
        <f t="shared" si="0"/>
        <v/>
      </c>
      <c r="I13" s="180">
        <v>500</v>
      </c>
      <c r="J13" s="30">
        <f t="shared" si="0"/>
        <v>0</v>
      </c>
      <c r="L13" s="42">
        <f t="shared" si="5"/>
        <v>32300</v>
      </c>
      <c r="M13" s="42">
        <f t="shared" si="4"/>
        <v>250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6250</v>
      </c>
      <c r="D16" s="30">
        <f t="shared" si="0"/>
        <v>0</v>
      </c>
      <c r="E16" s="207">
        <v>10400</v>
      </c>
      <c r="F16" s="30">
        <f t="shared" si="0"/>
        <v>0</v>
      </c>
      <c r="G16" s="180"/>
      <c r="H16" s="30" t="str">
        <f t="shared" si="0"/>
        <v/>
      </c>
      <c r="I16" s="180">
        <v>7000</v>
      </c>
      <c r="J16" s="30">
        <f t="shared" si="0"/>
        <v>0</v>
      </c>
      <c r="L16" s="42">
        <f t="shared" si="5"/>
        <v>23650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212550</v>
      </c>
      <c r="D32" s="44">
        <f t="shared" si="7"/>
        <v>900</v>
      </c>
      <c r="E32" s="43">
        <f t="shared" si="7"/>
        <v>170900</v>
      </c>
      <c r="F32" s="44">
        <f t="shared" si="7"/>
        <v>1550</v>
      </c>
      <c r="G32" s="43">
        <f t="shared" si="7"/>
        <v>0</v>
      </c>
      <c r="H32" s="44">
        <f t="shared" si="7"/>
        <v>0</v>
      </c>
      <c r="I32" s="43">
        <f t="shared" si="7"/>
        <v>143550</v>
      </c>
      <c r="J32" s="44">
        <f t="shared" si="7"/>
        <v>950</v>
      </c>
      <c r="L32" s="95">
        <f>SUM(L9:L31)</f>
        <v>369300</v>
      </c>
      <c r="M32" s="95">
        <f>SUM(M9:M31)</f>
        <v>2250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IF(C33=0,"",CONCATENATE(PREMIOS!$B7," ",PREMIOS!$B8))</f>
        <v>65 Blanca</v>
      </c>
      <c r="D2" s="269"/>
      <c r="E2" s="268" t="str">
        <f>IF(E33=0,"",CONCATENATE(PREMIOS!$B11," ",PREMIOS!$B12))</f>
        <v>61 Blanca</v>
      </c>
      <c r="F2" s="269"/>
      <c r="G2" s="268" t="str">
        <f>IF(G33=0,"",CONCATENATE(PREMIOS!$B15," ",PREMIOS!$B16))</f>
        <v>06 Blanca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6800+4850</f>
        <v>11650</v>
      </c>
      <c r="D10" s="30">
        <f t="shared" si="0"/>
        <v>0</v>
      </c>
      <c r="E10" s="180">
        <f>1000+3100</f>
        <v>4100</v>
      </c>
      <c r="F10" s="30">
        <f t="shared" si="0"/>
        <v>0</v>
      </c>
      <c r="G10" s="180">
        <f>2500+8000</f>
        <v>10500</v>
      </c>
      <c r="H10" s="30">
        <f t="shared" si="0"/>
        <v>0</v>
      </c>
      <c r="J10" s="42">
        <f t="shared" si="3"/>
        <v>26250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3450</v>
      </c>
      <c r="D12" s="30">
        <v>500</v>
      </c>
      <c r="E12" s="180"/>
      <c r="F12" s="30" t="str">
        <f t="shared" si="1"/>
        <v/>
      </c>
      <c r="G12" s="180">
        <v>2500</v>
      </c>
      <c r="H12" s="30">
        <f t="shared" si="0"/>
        <v>0</v>
      </c>
      <c r="J12" s="42">
        <f t="shared" si="3"/>
        <v>5950</v>
      </c>
      <c r="K12" s="42">
        <f t="shared" si="4"/>
        <v>500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4000</v>
      </c>
      <c r="H16" s="195">
        <f t="shared" si="0"/>
        <v>0</v>
      </c>
      <c r="J16" s="42">
        <f t="shared" si="3"/>
        <v>4000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15100</v>
      </c>
      <c r="D33" s="44">
        <f t="shared" si="7"/>
        <v>500</v>
      </c>
      <c r="E33" s="43">
        <f t="shared" si="7"/>
        <v>4100</v>
      </c>
      <c r="F33" s="44">
        <f t="shared" si="7"/>
        <v>0</v>
      </c>
      <c r="G33" s="43">
        <f t="shared" si="7"/>
        <v>17000</v>
      </c>
      <c r="H33" s="44">
        <f t="shared" si="7"/>
        <v>0</v>
      </c>
      <c r="J33" s="45">
        <f>SUM(J4:J32)</f>
        <v>36200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2" t="s">
        <v>97</v>
      </c>
      <c r="D1" s="273"/>
      <c r="E1" s="272" t="s">
        <v>98</v>
      </c>
      <c r="F1" s="273"/>
    </row>
    <row r="2" spans="1:9" ht="21" customHeight="1" x14ac:dyDescent="0.35">
      <c r="C2" s="268">
        <f>IF(PREMIOS!$B19="","",PREMIOS!$B19)</f>
        <v>62</v>
      </c>
      <c r="D2" s="269"/>
      <c r="E2" s="268">
        <f>IF(PREMIOS!$C19="","",PREMIOS!$C19)</f>
        <v>76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3200</v>
      </c>
      <c r="D4" s="78">
        <f t="shared" ref="D4:F27" si="0">IF(C4="","",0)</f>
        <v>0</v>
      </c>
      <c r="E4" s="189">
        <v>1000</v>
      </c>
      <c r="F4" s="78">
        <f t="shared" si="0"/>
        <v>0</v>
      </c>
      <c r="H4" s="42">
        <f>+C4+E4</f>
        <v>4200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900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900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16650</v>
      </c>
      <c r="D8" s="30">
        <f t="shared" si="0"/>
        <v>0</v>
      </c>
      <c r="E8" s="194">
        <v>10400</v>
      </c>
      <c r="F8" s="195">
        <f t="shared" si="1"/>
        <v>0</v>
      </c>
      <c r="H8" s="42">
        <f t="shared" si="2"/>
        <v>27050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6300+8350</f>
        <v>14650</v>
      </c>
      <c r="D10" s="30">
        <f t="shared" si="0"/>
        <v>0</v>
      </c>
      <c r="E10" s="180">
        <v>2100</v>
      </c>
      <c r="F10" s="195">
        <f t="shared" si="1"/>
        <v>0</v>
      </c>
      <c r="H10" s="42">
        <f t="shared" si="2"/>
        <v>16750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55400</v>
      </c>
      <c r="D12" s="30">
        <v>400</v>
      </c>
      <c r="E12" s="194"/>
      <c r="F12" s="30" t="str">
        <f t="shared" si="0"/>
        <v/>
      </c>
      <c r="H12" s="42">
        <f t="shared" si="2"/>
        <v>55400</v>
      </c>
      <c r="I12" s="42">
        <f t="shared" si="3"/>
        <v>400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4200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4200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95000</v>
      </c>
      <c r="D33" s="44">
        <f>SUM(D4:D32)</f>
        <v>400</v>
      </c>
      <c r="E33" s="43">
        <f>SUM(E4:E32)</f>
        <v>13500</v>
      </c>
      <c r="F33" s="44">
        <f>SUM(F4:F32)</f>
        <v>0</v>
      </c>
      <c r="H33" s="95">
        <f>SUM(H4:H32)</f>
        <v>108500</v>
      </c>
      <c r="I33" s="95">
        <f>SUM(I4:I32)</f>
        <v>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ht="21" customHeight="1" x14ac:dyDescent="0.35">
      <c r="C2" s="268">
        <f>IF(PREMIOS!$B20="","",PREMIOS!$B20)</f>
        <v>27</v>
      </c>
      <c r="D2" s="269"/>
      <c r="E2" s="268">
        <f>IF(PREMIOS!$C20="","",PREMIOS!$C20)</f>
        <v>34</v>
      </c>
      <c r="F2" s="269"/>
      <c r="G2" s="268">
        <f>IF(PREMIOS!$D20="","",PREMIOS!$D20)</f>
        <v>87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19200</v>
      </c>
      <c r="D10" s="195">
        <f t="shared" si="0"/>
        <v>0</v>
      </c>
      <c r="E10" s="180">
        <f>1100+20900</f>
        <v>22000</v>
      </c>
      <c r="F10" s="30">
        <f t="shared" si="0"/>
        <v>0</v>
      </c>
      <c r="G10" s="180">
        <v>19300</v>
      </c>
      <c r="H10" s="195">
        <f t="shared" si="0"/>
        <v>0</v>
      </c>
      <c r="J10" s="42">
        <f t="shared" si="3"/>
        <v>60500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19200</v>
      </c>
      <c r="D33" s="44">
        <f t="shared" si="6"/>
        <v>0</v>
      </c>
      <c r="E33" s="43">
        <f t="shared" si="6"/>
        <v>22000</v>
      </c>
      <c r="F33" s="44">
        <f t="shared" si="6"/>
        <v>0</v>
      </c>
      <c r="G33" s="43">
        <f t="shared" si="6"/>
        <v>19300</v>
      </c>
      <c r="H33" s="44">
        <f t="shared" si="6"/>
        <v>0</v>
      </c>
      <c r="J33" s="45">
        <f>SUM(J4:J32)</f>
        <v>60500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2" t="s">
        <v>110</v>
      </c>
      <c r="D1" s="273"/>
      <c r="E1" s="272" t="s">
        <v>111</v>
      </c>
      <c r="F1" s="273"/>
    </row>
    <row r="2" spans="1:9" ht="21" customHeight="1" x14ac:dyDescent="0.35">
      <c r="C2" s="268">
        <f>IF(PREMIOS!$B21="","",PREMIOS!$B21)</f>
        <v>99</v>
      </c>
      <c r="D2" s="269"/>
      <c r="E2" s="268">
        <f>IF(PREMIOS!$C21="","",PREMIOS!$C21)</f>
        <v>86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2" t="s">
        <v>109</v>
      </c>
      <c r="D1" s="273"/>
    </row>
    <row r="2" spans="1:4" ht="21" customHeight="1" x14ac:dyDescent="0.35">
      <c r="C2" s="268" t="str">
        <f>IF(PREMIOS!$B22="","",PREMIOS!$B22)</f>
        <v>09</v>
      </c>
      <c r="D2" s="269"/>
    </row>
    <row r="3" spans="1:4" ht="21" customHeight="1" thickBot="1" x14ac:dyDescent="0.4">
      <c r="C3" s="268"/>
      <c r="D3" s="269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2026-08-13T18:10:31Z</dcterms:modified>
  <dc:language>es-CR</dc:language>
</cp:coreProperties>
</file>
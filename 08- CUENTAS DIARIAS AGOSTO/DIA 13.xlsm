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50" documentId="11_1118F2A9F39BC724C86352CFA20111F22C1DA5A9" xr6:coauthVersionLast="47" xr6:coauthVersionMax="47" xr10:uidLastSave="{C6ECD9BE-8E48-450B-BE5E-CCD34C2D76F4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4"/>
  <c r="G10" i="62"/>
  <c r="J10" i="61"/>
  <c r="I10" i="61"/>
  <c r="H10" i="60"/>
  <c r="G10" i="60"/>
  <c r="E10" i="62"/>
  <c r="E10" i="60"/>
  <c r="C10" i="62" l="1"/>
  <c r="E10" i="61"/>
  <c r="D10" i="60"/>
  <c r="C10" i="60"/>
  <c r="D18" i="64" l="1"/>
  <c r="D18" i="65"/>
  <c r="D11" i="65"/>
  <c r="D18" i="61"/>
  <c r="D17" i="61"/>
  <c r="D10" i="61"/>
  <c r="D9" i="61"/>
  <c r="C23" i="15"/>
  <c r="G16" i="71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3" i="15"/>
  <c r="E16" i="71"/>
  <c r="F21" i="15"/>
  <c r="D16" i="71"/>
  <c r="D21" i="15"/>
  <c r="K8" i="15" s="1"/>
  <c r="G23" i="15"/>
  <c r="J8" i="15"/>
  <c r="K15" i="15" l="1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E5" i="16" s="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3" i="60"/>
  <c r="D11" i="60"/>
  <c r="E7" i="16" s="1"/>
  <c r="D9" i="60"/>
  <c r="D7" i="60"/>
  <c r="D5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F17" i="61"/>
  <c r="F18" i="61"/>
  <c r="F16" i="61"/>
  <c r="J17" i="61"/>
  <c r="D6" i="60"/>
  <c r="F18" i="60"/>
  <c r="F17" i="60"/>
  <c r="F16" i="60"/>
  <c r="F15" i="60"/>
  <c r="F13" i="60"/>
  <c r="F11" i="60"/>
  <c r="F10" i="60"/>
  <c r="F9" i="60"/>
  <c r="F7" i="60"/>
  <c r="F6" i="60"/>
  <c r="F5" i="60"/>
  <c r="F4" i="60"/>
  <c r="H17" i="60"/>
  <c r="H16" i="60"/>
  <c r="H15" i="60"/>
  <c r="H13" i="60"/>
  <c r="H11" i="60"/>
  <c r="H9" i="60"/>
  <c r="H7" i="60"/>
  <c r="H6" i="60"/>
  <c r="H5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J8" i="14" l="1"/>
  <c r="D21" i="14"/>
  <c r="C12" i="71"/>
  <c r="D22" i="14"/>
  <c r="K15" i="14" s="1"/>
  <c r="G12" i="71"/>
  <c r="E19" i="16"/>
  <c r="D20" i="16"/>
  <c r="F18" i="64"/>
  <c r="F17" i="62"/>
  <c r="E11" i="16"/>
  <c r="H17" i="64"/>
  <c r="F10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7" i="23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F25" i="73" s="1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E27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F29" i="72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J15" i="70"/>
  <c r="K15" i="70" s="1"/>
  <c r="J14" i="70"/>
  <c r="K14" i="70" s="1"/>
  <c r="J13" i="70"/>
  <c r="K13" i="70" s="1"/>
  <c r="J11" i="70"/>
  <c r="K11" i="70" s="1"/>
  <c r="J7" i="70"/>
  <c r="K7" i="70" s="1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I24" i="66" s="1"/>
  <c r="D23" i="66"/>
  <c r="I23" i="66" s="1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K22" i="64" s="1"/>
  <c r="D21" i="64"/>
  <c r="K21" i="64" s="1"/>
  <c r="D20" i="64"/>
  <c r="D19" i="64"/>
  <c r="K19" i="64" s="1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2" i="66"/>
  <c r="I19" i="66"/>
  <c r="I14" i="66"/>
  <c r="I12" i="66"/>
  <c r="I11" i="66"/>
  <c r="I5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C24" i="70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E20" i="7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H32" i="66"/>
  <c r="H23" i="70"/>
  <c r="I23" i="70" s="1"/>
  <c r="J26" i="70"/>
  <c r="K26" i="70" s="1"/>
  <c r="L22" i="71"/>
  <c r="M22" i="71" s="1"/>
  <c r="J22" i="72"/>
  <c r="K22" i="72" s="1"/>
  <c r="K28" i="70"/>
  <c r="L21" i="71"/>
  <c r="M21" i="71" s="1"/>
  <c r="J31" i="71"/>
  <c r="D18" i="72"/>
  <c r="J18" i="72" s="1"/>
  <c r="K18" i="72" s="1"/>
  <c r="J31" i="64"/>
  <c r="E33" i="66"/>
  <c r="H22" i="70"/>
  <c r="J25" i="70"/>
  <c r="K25" i="70" s="1"/>
  <c r="J29" i="71"/>
  <c r="J21" i="72"/>
  <c r="K21" i="72" s="1"/>
  <c r="J31" i="72"/>
  <c r="K31" i="72" s="1"/>
  <c r="L7" i="23"/>
  <c r="J22" i="70"/>
  <c r="K22" i="70" s="1"/>
  <c r="D26" i="21"/>
  <c r="J10" i="21"/>
  <c r="C17" i="73"/>
  <c r="F17" i="73" s="1"/>
  <c r="J10" i="8"/>
  <c r="D26" i="19"/>
  <c r="J10" i="19"/>
  <c r="F25" i="19"/>
  <c r="L9" i="19" s="1"/>
  <c r="F18" i="72"/>
  <c r="J26" i="71"/>
  <c r="L29" i="71"/>
  <c r="M29" i="71" s="1"/>
  <c r="H21" i="72"/>
  <c r="K20" i="19"/>
  <c r="K9" i="19"/>
  <c r="J29" i="64"/>
  <c r="I18" i="66"/>
  <c r="H24" i="70"/>
  <c r="I24" i="70" s="1"/>
  <c r="N24" i="70" s="1"/>
  <c r="H30" i="66"/>
  <c r="H21" i="70"/>
  <c r="J24" i="70"/>
  <c r="K24" i="70" s="1"/>
  <c r="F16" i="71"/>
  <c r="L16" i="71" s="1"/>
  <c r="M16" i="71" s="1"/>
  <c r="F22" i="15"/>
  <c r="L8" i="15" s="1"/>
  <c r="G22" i="15"/>
  <c r="L25" i="71"/>
  <c r="M25" i="71" s="1"/>
  <c r="J23" i="72"/>
  <c r="K23" i="72" s="1"/>
  <c r="H28" i="72"/>
  <c r="D17" i="72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I33" i="66" l="1"/>
  <c r="K21" i="19"/>
  <c r="K10" i="19"/>
  <c r="L27" i="71"/>
  <c r="M27" i="71" s="1"/>
  <c r="N27" i="72"/>
  <c r="K21" i="8"/>
  <c r="K10" i="8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L6" i="23" l="1"/>
  <c r="J6" i="23"/>
  <c r="L5" i="23"/>
  <c r="C24" i="15"/>
  <c r="F17" i="52"/>
  <c r="F12" i="8"/>
  <c r="L4" i="23"/>
  <c r="M24" i="52"/>
  <c r="M26" i="52"/>
  <c r="J5" i="23"/>
  <c r="M23" i="52"/>
  <c r="M21" i="52"/>
  <c r="N17" i="71"/>
  <c r="F5" i="15"/>
  <c r="L5" i="15" s="1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F32" i="60"/>
  <c r="D32" i="61"/>
  <c r="K4" i="23"/>
  <c r="G32" i="60"/>
  <c r="K5" i="23"/>
  <c r="F32" i="61"/>
  <c r="L6" i="25"/>
  <c r="H32" i="60"/>
  <c r="H33" i="60" s="1"/>
  <c r="H32" i="61"/>
  <c r="K6" i="23"/>
  <c r="K5" i="19"/>
  <c r="E32" i="60"/>
  <c r="J32" i="61"/>
  <c r="M27" i="52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4" i="52"/>
  <c r="M5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2" i="58"/>
  <c r="P23" i="58"/>
  <c r="P24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4" i="52"/>
  <c r="C23" i="1" s="1"/>
  <c r="B23" i="1"/>
  <c r="K26" i="52"/>
  <c r="C25" i="1" s="1"/>
  <c r="B25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F12" i="14"/>
  <c r="F12" i="15"/>
  <c r="K4" i="52"/>
  <c r="C3" i="1" s="1"/>
  <c r="B3" i="1"/>
  <c r="K20" i="52"/>
  <c r="C19" i="1" s="1"/>
  <c r="B19" i="1"/>
  <c r="K23" i="52"/>
  <c r="C22" i="1" s="1"/>
  <c r="B22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<sst xmlns="http://schemas.openxmlformats.org/spreadsheetml/2006/main" count="1291" uniqueCount="158">
  <si>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</si>
  <si>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</si>
  <si>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</si>
  <si>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</si>
  <si>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</si>
  <si>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</si>
  <si>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</si>
  <si>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</si>
  <si>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</si>
  <si>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</si>
  <si>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</si>
  <si>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</si>
  <si>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</si>
  <si>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</si>
  <si>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</si>
  <si>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</si>
  <si>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</si>
  <si>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</si>
  <si>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</si>
  <si>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</si>
  <si>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</si>
  <si>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</si>
  <si>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</si>
  <si>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</si>
  <si>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</si>
  <si>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</si>
  <si>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</si>
  <si>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</si>
  <si>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</si>
  <si>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</si>
  <si>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</si>
  <si>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</si>
  <si>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</si>
  <si>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</si>
  <si>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</si>
  <si>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</si>
  <si>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</si>
  <si>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</si>
  <si>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</si>
  <si>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</si>
  <si>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</si>
  <si>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</si>
  <si>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</si>
  <si>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</si>
  <si>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</si>
  <si>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</si>
  <si>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</si>
  <si>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</si>
  <si>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</si>
  <si>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</si>
  <si>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</si>
  <si>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</si>
  <si>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</si>
  <si>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</si>
  <si>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</si>
  <si>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</si>
  <si>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</si>
  <si>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</si>
  <si>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</si>
  <si>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</si>
  <si>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</si>
  <si>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</si>
  <si>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</si>
  <si>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</si>
  <si>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</si>
  <si>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</si>
  <si>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</si>
  <si>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</si>
  <si>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</si>
  <si>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</si>
  <si>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</si>
  <si>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</si>
  <si>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</si>
  <si>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</si>
  <si>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</si>
  <si>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</si>
  <si>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</si>
  <si>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</si>
  <si>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</si>
  <si>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</si>
  <si>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</si>
  <si>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</si>
  <si>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</si>
  <si>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</si>
  <si>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</si>
  <si>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</si>
  <si>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</si>
  <si>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</si>
  <si>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</si>
  <si>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</si>
  <si>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</si>
  <si>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</si>
  <si>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</si>
  <si>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</si>
  <si>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</si>
  <si>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</si>
  <si>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</si>
  <si>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</si>
  <si>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</si>
  <si>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</si>
  <si>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</si>
  <si>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</si>
  <si>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</si>
  <si>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</si>
  <si>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</si>
  <si>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</si>
  <si>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</si>
  <si>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</si>
  <si>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</si>
  <si>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</si>
  <si>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</si>
  <si>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</si>
  <si>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</si>
  <si>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</si>
  <si>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</si>
  <si>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</si>
  <si>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</si>
  <si>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</si>
  <si>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</si>
  <si>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</si>
  <si>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</si>
  <si>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</si>
  <si>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</si>
  <si>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</si>
  <si>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</si>
  <si>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</si>
  <si>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</si>
  <si>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</si>
  <si>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</si>
  <si>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</si>
  <si>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</si>
  <si>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</si>
  <si>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</si>
  <si>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</si>
  <si>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</si>
  <si>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</si>
  <si>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</si>
  <si>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</si>
  <si>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</si>
  <si>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</si>
  <si>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</si>
  <si>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</si>
  <si>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</si>
  <si>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</si>
  <si>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</si>
  <si>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</si>
  <si>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</si>
  <si>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</si>
  <si>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</si>
  <si>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</si>
  <si>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</si>
  <si>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</si>
  <si>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</si>
  <si>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</si>
  <si>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</si>
  <si>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</si>
  <si>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03</t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</si>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</sst>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38806</xdr:rowOff>
    </xdr:from>
    <xdr:to>
      <xdr:col>9</xdr:col>
      <xdr:colOff>5643</xdr:colOff>
      <xdr:row>1</xdr:row>
      <xdr:rowOff>201085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665611" y="38806"/>
          <a:ext cx="1663699" cy="35277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208050</v>
      </c>
      <c r="C3" s="9">
        <f>+HojaTICA!K4+HojaNICA!M4+HojaREVENTADO!K4+HojaPrimera!I4+HojaHonduras!K4+HojaDominicana!I4+HojaPANA!G4</f>
        <v>27050</v>
      </c>
      <c r="D3" s="9">
        <f>+HojaTICA!N4+HojaNICA!P4+HojaREVENTADO!O4+HojaPrimera!L4+HojaHonduras!N4+HojaDominicana!L4+HojaPANA!J4</f>
        <v>107250</v>
      </c>
      <c r="F3" s="10">
        <f t="shared" ref="F3:F27" si="0">+B3-C3-D3</f>
        <v>73750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205600</v>
      </c>
      <c r="C4" s="9">
        <f>+HojaTICA!K5+HojaNICA!M5+HojaREVENTADO!K5+HojaPrimera!I5+HojaHonduras!K5+HojaDominicana!I5+HojaPANA!G5</f>
        <v>26700</v>
      </c>
      <c r="D4" s="9">
        <f>+HojaTICA!N5+HojaNICA!P5+HojaREVENTADO!O5+HojaPrimera!L5+HojaHonduras!N5+HojaDominicana!L5+HojaPANA!J5</f>
        <v>56000</v>
      </c>
      <c r="F4" s="14">
        <f t="shared" si="0"/>
        <v>122900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267950</v>
      </c>
      <c r="C7" s="9">
        <f>+HojaTICA!K8+HojaNICA!M8+HojaREVENTADO!K8+HojaPrimera!I8+HojaHonduras!K8+HojaDominicana!I8+HojaPANA!G8</f>
        <v>32150</v>
      </c>
      <c r="D7" s="9">
        <f>+HojaTICA!N8+HojaNICA!P8+HojaREVENTADO!O8+HojaPrimera!L8+HojaHonduras!N8+HojaDominicana!L8+HojaPANA!J8</f>
        <v>152000</v>
      </c>
      <c r="F7" s="14">
        <f t="shared" si="0"/>
        <v>83800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579350</v>
      </c>
      <c r="C9" s="9">
        <f>+HojaTICA!K10+HojaNICA!M10+HojaREVENTADO!K10+HojaPrimera!I10+HojaHonduras!K10+HojaDominicana!I10+HojaPANA!G10</f>
        <v>68660</v>
      </c>
      <c r="D9" s="9">
        <f>+HojaTICA!N10+HojaNICA!P10+HojaREVENTADO!O10+HojaPrimera!L10+HojaHonduras!N10+HojaDominicana!L10+HojaPANA!J10</f>
        <v>697000</v>
      </c>
      <c r="F9" s="14">
        <f t="shared" si="0"/>
        <v>-186310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2000</v>
      </c>
      <c r="C10" s="9">
        <f>+HojaTICA!K11+HojaNICA!M11+HojaREVENTADO!K11+HojaPrimera!I11+HojaHonduras!K11+HojaDominicana!I11+HojaPANA!G11</f>
        <v>250</v>
      </c>
      <c r="D10" s="9">
        <f>+HojaTICA!N11+HojaNICA!P11+HojaREVENTADO!O11+HojaPrimera!L11+HojaHonduras!N11+HojaDominicana!L11+HojaPANA!J11</f>
        <v>0</v>
      </c>
      <c r="F10" s="14">
        <f t="shared" si="0"/>
        <v>1750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265000</v>
      </c>
      <c r="C11" s="9">
        <f>+HojaTICA!K12+HojaNICA!M12+HojaREVENTADO!K12+HojaPrimera!I12+HojaHonduras!K12+HojaDominicana!I12+HojaPANA!G12</f>
        <v>31725</v>
      </c>
      <c r="D11" s="9">
        <f>+HojaTICA!N12+HojaNICA!P12+HojaREVENTADO!O12+HojaPrimera!L12+HojaHonduras!N12+HojaDominicana!L12+HojaPANA!J12</f>
        <v>144500</v>
      </c>
      <c r="F11" s="14">
        <f t="shared" si="0"/>
        <v>88775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103000</v>
      </c>
      <c r="C12" s="9">
        <f>+HojaTICA!K13+HojaNICA!M13+HojaREVENTADO!K13+HojaPrimera!I13+HojaHonduras!K13+HojaDominicana!I13+HojaPANA!G13</f>
        <v>12400</v>
      </c>
      <c r="D12" s="9">
        <f>+HojaTICA!N13+HojaNICA!P13+HojaREVENTADO!O13+HojaPrimera!L13+HojaHonduras!N13+HojaDominicana!L13+HojaPANA!J13</f>
        <v>0</v>
      </c>
      <c r="F12" s="14">
        <f t="shared" si="0"/>
        <v>90600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153900</v>
      </c>
      <c r="C13" s="9">
        <f>+HojaTICA!K14+HojaNICA!M14+HojaREVENTADO!K14+HojaPrimera!I14+HojaHonduras!K14+HojaDominicana!I14+HojaPANA!G14</f>
        <v>23100</v>
      </c>
      <c r="D13" s="9">
        <f>+HojaTICA!N14+HojaNICA!P14+HojaREVENTADO!O14+HojaPrimera!L14+HojaHonduras!N14+HojaDominicana!L14+HojaPANA!J14</f>
        <v>148000</v>
      </c>
      <c r="F13" s="14">
        <f t="shared" si="0"/>
        <v>-17200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92750</v>
      </c>
      <c r="C15" s="9">
        <f>+HojaTICA!K16+HojaNICA!M16+HojaREVENTADO!K16+HojaPrimera!I16+HojaHonduras!K16+HojaDominicana!I16+HojaPANA!G16</f>
        <v>11090</v>
      </c>
      <c r="D15" s="9">
        <f>+HojaTICA!N16+HojaNICA!P16+HojaREVENTADO!O16+HojaPrimera!L16+HojaHonduras!N16+HojaDominicana!L16+HojaPANA!J16</f>
        <v>25500</v>
      </c>
      <c r="F15" s="14">
        <f t="shared" si="0"/>
        <v>56160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1877600</v>
      </c>
      <c r="C28" s="17">
        <f t="shared" si="1"/>
        <v>233125</v>
      </c>
      <c r="D28" s="18">
        <f t="shared" si="1"/>
        <v>1330250</v>
      </c>
      <c r="F28" s="20">
        <f>SUM(F3:F27)</f>
        <v>314225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2">
        <v>52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>
        <v>89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Roja</v>
      </c>
      <c r="C8" s="135"/>
      <c r="D8" s="136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49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91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2">
        <v>86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5" t="str">
        <f>D16</f>
        <v>Roja</v>
      </c>
      <c r="C16" s="135"/>
      <c r="D16" s="136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2">
        <v>91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19</v>
      </c>
      <c r="C19" s="132">
        <v>95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82</v>
      </c>
      <c r="C20" s="162">
        <v>66</v>
      </c>
      <c r="D20" s="165" t="s">
        <v>157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156</v>
      </c>
      <c r="C21" s="163">
        <v>17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>
        <f>DigitaTICA!C2</f>
        <v>89</v>
      </c>
      <c r="D2" s="267"/>
      <c r="E2" s="266">
        <f>DigitaTICA!E2</f>
        <v>91</v>
      </c>
      <c r="F2" s="267"/>
      <c r="G2" s="266">
        <f>DigitaTICA!G2</f>
        <v>86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61850</v>
      </c>
      <c r="D4" s="30">
        <f>IF(Vendedor1!$E$7="",0,Vendedor1!$E$7)</f>
        <v>650</v>
      </c>
      <c r="E4" s="179">
        <f>IF(Vendedor1!$C$11="",0,Vendedor1!$C$11)</f>
        <v>30400</v>
      </c>
      <c r="F4" s="30">
        <f>IF(Vendedor1!$E$11="",0,Vendedor1!$E$11)</f>
        <v>0</v>
      </c>
      <c r="G4" s="179">
        <f>IF(Vendedor1!$C$15="",0,Vendedor1!$C$15)</f>
        <v>72400</v>
      </c>
      <c r="H4" s="30">
        <f>IF(Vendedor1!$E$15="",0,Vendedor1!$E$15)</f>
        <v>0</v>
      </c>
      <c r="J4" s="42">
        <f t="shared" ref="J4:J7" si="0">+C4+E4+G4</f>
        <v>164650</v>
      </c>
      <c r="K4" s="41">
        <f>MROUND(J4*Vendedor1!J$9,50)</f>
        <v>21400</v>
      </c>
      <c r="L4" s="42">
        <f t="shared" ref="L4:L7" si="1">+D4+F4+H4</f>
        <v>650</v>
      </c>
      <c r="M4" s="42">
        <f t="shared" ref="M4:M7" si="2">+L4*85</f>
        <v>55250</v>
      </c>
      <c r="N4" s="42">
        <f>Vendedor1!$F$7+Vendedor1!$F$11+Vendedor1!$F$15</f>
        <v>55250</v>
      </c>
      <c r="P4" s="42">
        <f t="shared" ref="P4:P7" si="3">+J4-K4-N4</f>
        <v>88000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67900</v>
      </c>
      <c r="D5" s="30">
        <f>IF(Vendedor2!$E$7="",0,Vendedor2!$E$7)</f>
        <v>0</v>
      </c>
      <c r="E5" s="179">
        <f>IF(Vendedor2!$C$11="",0,Vendedor2!$C$11)</f>
        <v>50600</v>
      </c>
      <c r="F5" s="30">
        <f>IF(Vendedor2!$E$11="",0,Vendedor2!$E$11)</f>
        <v>0</v>
      </c>
      <c r="G5" s="179">
        <f>IF(Vendedor2!$C$15="",0,Vendedor2!$C$15)</f>
        <v>67800</v>
      </c>
      <c r="H5" s="30">
        <f>IF(Vendedor2!$E$15="",0,Vendedor2!$E$15)</f>
        <v>0</v>
      </c>
      <c r="J5" s="42">
        <f t="shared" si="0"/>
        <v>186300</v>
      </c>
      <c r="K5" s="41">
        <f>MROUND(J5*Vendedor2!J$9,50)</f>
        <v>24200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162100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46300</v>
      </c>
      <c r="D8" s="30">
        <f>IF(Vendedor5!$E$7="",0,Vendedor5!$E$7)</f>
        <v>500</v>
      </c>
      <c r="E8" s="179">
        <f>IF(Vendedor5!$C$11="",0,Vendedor5!$C$11)</f>
        <v>33400</v>
      </c>
      <c r="F8" s="30">
        <f>IF(Vendedor5!$E$11="",0,Vendedor5!$E$11)</f>
        <v>100</v>
      </c>
      <c r="G8" s="179">
        <f>IF(Vendedor5!$C$15="",0,Vendedor5!$C$15)</f>
        <v>56950</v>
      </c>
      <c r="H8" s="30">
        <f>IF(Vendedor5!$E$15="",0,Vendedor5!$E$15)</f>
        <v>200</v>
      </c>
      <c r="J8" s="42">
        <f t="shared" ref="J8" si="4">+C8+E8+G8</f>
        <v>136650</v>
      </c>
      <c r="K8" s="41">
        <f>MROUND(J8*Vendedor5!J$11,50)</f>
        <v>16400</v>
      </c>
      <c r="L8" s="42">
        <f t="shared" ref="L8" si="5">+D8+F8+H8</f>
        <v>800</v>
      </c>
      <c r="M8" s="42">
        <f t="shared" ref="M8" si="6">+L8*85</f>
        <v>68000</v>
      </c>
      <c r="N8" s="42">
        <f>Vendedor5!$F$7+Vendedor5!$F$11+Vendedor5!$F$15</f>
        <v>68000</v>
      </c>
      <c r="P8" s="42">
        <f t="shared" ref="P8" si="7">+J8-K8-N8</f>
        <v>52250</v>
      </c>
    </row>
    <row r="9" spans="1:16" x14ac:dyDescent="0.35">
      <c r="A9" s="41">
        <v>6</v>
      </c>
      <c r="B9" s="177" t="str">
        <f>Vendedor6!$B$2</f>
        <v>Vendedor 06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107200</v>
      </c>
      <c r="D10" s="30">
        <f>IF(Vendedor7!$E$7="",0,Vendedor7!$E$7)</f>
        <v>250</v>
      </c>
      <c r="E10" s="179">
        <f>IF(Vendedor7!$C$11="",0,Vendedor7!$C$11)</f>
        <v>74950</v>
      </c>
      <c r="F10" s="30">
        <f>IF(Vendedor7!$E$11="",0,Vendedor7!$E$11)</f>
        <v>0</v>
      </c>
      <c r="G10" s="179">
        <f>IF(Vendedor7!$C$15="",0,Vendedor7!$C$15)</f>
        <v>107100</v>
      </c>
      <c r="H10" s="30">
        <f>IF(Vendedor7!$E$15="",0,Vendedor7!$E$15)</f>
        <v>2250</v>
      </c>
      <c r="J10" s="42">
        <f t="shared" si="8"/>
        <v>289250</v>
      </c>
      <c r="K10" s="41">
        <f>MROUND(J10*Vendedor7!J$14,50)</f>
        <v>34700</v>
      </c>
      <c r="L10" s="42">
        <f t="shared" si="9"/>
        <v>2500</v>
      </c>
      <c r="M10" s="42">
        <f t="shared" si="10"/>
        <v>212500</v>
      </c>
      <c r="N10" s="42">
        <f>Vendedor7!$F$7+Vendedor7!$F$11+Vendedor7!$F$15</f>
        <v>212500</v>
      </c>
      <c r="P10" s="42">
        <f t="shared" si="11"/>
        <v>42050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2000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0</v>
      </c>
      <c r="H11" s="30">
        <f>IF(Vendedor8!$E$15="",0,Vendedor8!$E$15)</f>
        <v>0</v>
      </c>
      <c r="J11" s="42">
        <f t="shared" si="8"/>
        <v>2000</v>
      </c>
      <c r="K11" s="41">
        <f>MROUND(J11*Vendedor8!J$11,50)</f>
        <v>250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1750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64050</v>
      </c>
      <c r="D12" s="30">
        <f>IF(Vendedor9!$E$7="",0,Vendedor9!$E$7)</f>
        <v>300</v>
      </c>
      <c r="E12" s="179">
        <f>IF(Vendedor9!$C$11="",0,Vendedor9!$C$11)</f>
        <v>25250</v>
      </c>
      <c r="F12" s="30">
        <f>IF(Vendedor9!$E$11="",0,Vendedor9!$E$11)</f>
        <v>250</v>
      </c>
      <c r="G12" s="179">
        <f>IF(Vendedor9!$C$15="",0,Vendedor9!$C$15)</f>
        <v>15100</v>
      </c>
      <c r="H12" s="30">
        <f>IF(Vendedor9!$E$15="",0,Vendedor9!$E$15)</f>
        <v>250</v>
      </c>
      <c r="J12" s="42">
        <f t="shared" si="8"/>
        <v>104400</v>
      </c>
      <c r="K12" s="41">
        <f>MROUND(J12*Vendedor9!J$11,50)</f>
        <v>12550</v>
      </c>
      <c r="L12" s="42">
        <f t="shared" si="9"/>
        <v>800</v>
      </c>
      <c r="M12" s="42">
        <f t="shared" si="10"/>
        <v>68000</v>
      </c>
      <c r="N12" s="42">
        <f>Vendedor9!$F$7+Vendedor9!$F$11+Vendedor9!$F$15</f>
        <v>68000</v>
      </c>
      <c r="P12" s="42">
        <f t="shared" si="11"/>
        <v>23850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37150</v>
      </c>
      <c r="D13" s="30">
        <f>IF(Vendedor10!$E$7="",0,Vendedor10!$E$7)</f>
        <v>0</v>
      </c>
      <c r="E13" s="179">
        <f>IF(Vendedor10!$C$11="",0,Vendedor10!$C$11)</f>
        <v>14900</v>
      </c>
      <c r="F13" s="30">
        <f>IF(Vendedor10!$E$11="",0,Vendedor10!$E$11)</f>
        <v>0</v>
      </c>
      <c r="G13" s="179">
        <f>IF(Vendedor10!$C$15="",0,Vendedor10!$C$15)</f>
        <v>13200</v>
      </c>
      <c r="H13" s="30">
        <f>IF(Vendedor10!$E$15="",0,Vendedor10!$E$15)</f>
        <v>0</v>
      </c>
      <c r="J13" s="42">
        <f t="shared" si="8"/>
        <v>65250</v>
      </c>
      <c r="K13" s="41">
        <f>MROUND(J13*Vendedor10!J$9,50)</f>
        <v>7850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57400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53050</v>
      </c>
      <c r="D14" s="30">
        <f>IF(Vendedor11!$E$7="",0,Vendedor11!$E$7)</f>
        <v>400</v>
      </c>
      <c r="E14" s="179">
        <f>IF(Vendedor11!$C$11="",0,Vendedor11!$C$11)</f>
        <v>22300</v>
      </c>
      <c r="F14" s="30">
        <f>IF(Vendedor11!$E$11="",0,Vendedor11!$E$11)</f>
        <v>1000</v>
      </c>
      <c r="G14" s="179">
        <f>IF(Vendedor11!$C$15="",0,Vendedor11!$C$15)</f>
        <v>78550</v>
      </c>
      <c r="H14" s="30">
        <f>IF(Vendedor11!$E$15="",0,Vendedor11!$E$15)</f>
        <v>450</v>
      </c>
      <c r="J14" s="42">
        <f t="shared" si="8"/>
        <v>153900</v>
      </c>
      <c r="K14" s="41">
        <f>MROUND(J14*Vendedor11!J$9,50)</f>
        <v>23100</v>
      </c>
      <c r="L14" s="42">
        <f t="shared" si="9"/>
        <v>1850</v>
      </c>
      <c r="M14" s="42">
        <f t="shared" si="10"/>
        <v>157250</v>
      </c>
      <c r="N14" s="42">
        <f>Vendedor11!$F$7+Vendedor11!$F$11+Vendedor11!$F$15</f>
        <v>148000</v>
      </c>
      <c r="P14" s="42">
        <f t="shared" si="11"/>
        <v>-17200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19050</v>
      </c>
      <c r="D16" s="30">
        <f>IF(Vendedor13!$E$7="",0,Vendedor13!$E$7)</f>
        <v>300</v>
      </c>
      <c r="E16" s="179">
        <f>IF(Vendedor13!$C$11="",0,Vendedor13!$C$11)</f>
        <v>20550</v>
      </c>
      <c r="F16" s="30">
        <f>IF(Vendedor13!$E$11="",0,Vendedor13!$E$11)</f>
        <v>0</v>
      </c>
      <c r="G16" s="179">
        <f>IF(Vendedor13!$C$15="",0,Vendedor13!$C$15)</f>
        <v>28600</v>
      </c>
      <c r="H16" s="30">
        <f>IF(Vendedor13!$E$15="",0,Vendedor13!$E$15)</f>
        <v>0</v>
      </c>
      <c r="J16" s="42">
        <f t="shared" si="8"/>
        <v>68200</v>
      </c>
      <c r="K16" s="41">
        <f>MROUND(J16*Vendedor13!J$11,50)</f>
        <v>8200</v>
      </c>
      <c r="L16" s="42">
        <f t="shared" si="9"/>
        <v>300</v>
      </c>
      <c r="M16" s="42">
        <f t="shared" si="10"/>
        <v>25500</v>
      </c>
      <c r="N16" s="42">
        <f>Vendedor13!$F$7+Vendedor13!$F$11+Vendedor13!$F$15</f>
        <v>25500</v>
      </c>
      <c r="P16" s="42">
        <f t="shared" si="11"/>
        <v>34500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0</v>
      </c>
      <c r="D17" s="30">
        <f>IF(Vendedor14!$E$7="",0,Vendedor14!$E$7)</f>
        <v>0</v>
      </c>
      <c r="E17" s="179">
        <f>IF(Vendedor14!$C$11="",0,Vendedor14!$C$11)</f>
        <v>0</v>
      </c>
      <c r="F17" s="30">
        <f>IF(Vendedor14!$E$11="",0,Vendedor14!$E$11)</f>
        <v>0</v>
      </c>
      <c r="G17" s="179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0</v>
      </c>
      <c r="D18" s="30">
        <f>IF(Vendedor15!$E$7="",0,Vendedor15!$E$7)</f>
        <v>0</v>
      </c>
      <c r="E18" s="179">
        <f>IF(Vendedor15!$C$11="",0,Vendedor15!$C$11)</f>
        <v>0</v>
      </c>
      <c r="F18" s="30">
        <f>IF(Vendedor15!$E$11="",0,Vendedor15!$E$11)</f>
        <v>0</v>
      </c>
      <c r="G18" s="179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458550</v>
      </c>
      <c r="D32" s="44">
        <f t="shared" si="16"/>
        <v>2400</v>
      </c>
      <c r="E32" s="43">
        <f t="shared" si="16"/>
        <v>272350</v>
      </c>
      <c r="F32" s="44">
        <f t="shared" si="16"/>
        <v>1350</v>
      </c>
      <c r="G32" s="43">
        <f t="shared" si="16"/>
        <v>439700</v>
      </c>
      <c r="H32" s="44">
        <f t="shared" si="16"/>
        <v>3150</v>
      </c>
      <c r="J32" s="95">
        <f>SUM(J4:J31)</f>
        <v>1170600</v>
      </c>
      <c r="K32" s="45">
        <f>SUM(K7:K31)</f>
        <v>103050</v>
      </c>
      <c r="L32" s="95">
        <f>SUM(L4:L31)</f>
        <v>6900</v>
      </c>
      <c r="M32" s="95">
        <f>SUM(M4:M31)</f>
        <v>586500</v>
      </c>
      <c r="N32" s="95">
        <f>SUM(N4:N31)</f>
        <v>577250</v>
      </c>
      <c r="P32" s="79">
        <f>SUM(P4:P31)</f>
        <v>444700</v>
      </c>
    </row>
    <row r="33" spans="3:13" x14ac:dyDescent="0.35">
      <c r="D33" s="99">
        <f>+D32*85</f>
        <v>204000</v>
      </c>
      <c r="F33" s="99">
        <f>+F32*85</f>
        <v>114750</v>
      </c>
      <c r="H33" s="99">
        <f>+H32*85</f>
        <v>267750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1170600</v>
      </c>
      <c r="E36" s="43">
        <f>+D36-J4-J5-J6</f>
        <v>819650</v>
      </c>
      <c r="G36" s="101"/>
    </row>
    <row r="37" spans="3:13" x14ac:dyDescent="0.35">
      <c r="C37" s="47" t="s">
        <v>33</v>
      </c>
      <c r="D37" s="48">
        <f>D36*13%</f>
        <v>152178</v>
      </c>
      <c r="E37">
        <f>+D37-K4-K5-K6</f>
        <v>106578</v>
      </c>
      <c r="G37" s="100"/>
      <c r="H37" s="100"/>
    </row>
    <row r="38" spans="3:13" ht="15" thickBot="1" x14ac:dyDescent="0.4">
      <c r="C38" s="47" t="s">
        <v>30</v>
      </c>
      <c r="D38" s="30">
        <f>M32</f>
        <v>586500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431922</v>
      </c>
      <c r="F39" s="98">
        <f>+P32-D39</f>
        <v>12778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431922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>
        <f>DigitaNICA!C2</f>
        <v>52</v>
      </c>
      <c r="D2" s="267"/>
      <c r="E2" s="266">
        <f>DigitaNICA!E2</f>
        <v>49</v>
      </c>
      <c r="F2" s="267"/>
      <c r="G2" s="266" t="str">
        <f>DigitaNICA!G2</f>
        <v/>
      </c>
      <c r="H2" s="267"/>
      <c r="I2" s="266">
        <f>DigitaNICA!I2</f>
        <v>91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21400</v>
      </c>
      <c r="D4" s="78">
        <f>IF(Vendedor1!$E$5="",0,Vendedor1!$E$5)</f>
        <v>0</v>
      </c>
      <c r="E4" s="188">
        <f>IF(Vendedor1!$C$9="",0,Vendedor1!$C$9)</f>
        <v>8950</v>
      </c>
      <c r="F4" s="78">
        <f>IF(Vendedor1!$E$9="",0,Vendedor1!$E$9)</f>
        <v>300</v>
      </c>
      <c r="G4" s="188">
        <f>IF(Vendedor1!$C$13="",0,Vendedor1!$C$13)</f>
        <v>0</v>
      </c>
      <c r="H4" s="78">
        <f>IF(Vendedor1!$E$13="",0,Vendedor1!$E$13)</f>
        <v>0</v>
      </c>
      <c r="I4" s="188">
        <f>IF(Vendedor1!$C$17="",0,Vendedor1!$C$17)</f>
        <v>4000</v>
      </c>
      <c r="J4" s="78">
        <f>IF(Vendedor1!$E$17="",0,Vendedor1!$E$17)</f>
        <v>0</v>
      </c>
      <c r="L4" s="42">
        <f t="shared" ref="L4:L7" si="0">C4+E4+G4+I4</f>
        <v>34350</v>
      </c>
      <c r="M4" s="41">
        <f>MROUND(L4*Vendedor1!J$10,50)</f>
        <v>4450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4400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4800</v>
      </c>
      <c r="D5" s="30">
        <f>IF(Vendedor2!$E$5="",0,Vendedor2!$E$5)</f>
        <v>200</v>
      </c>
      <c r="E5" s="179">
        <f>IF(Vendedor2!$C$9="",0,Vendedor2!$C$9)</f>
        <v>3500</v>
      </c>
      <c r="F5" s="30">
        <f>IF(Vendedor2!$E$9="",0,Vendedor2!$E$9)</f>
        <v>0</v>
      </c>
      <c r="G5" s="179">
        <f>IF(Vendedor2!$C$13="",0,Vendedor2!$C$13)</f>
        <v>0</v>
      </c>
      <c r="H5" s="30">
        <f>IF(Vendedor2!$E$13="",0,Vendedor2!$E$13)</f>
        <v>0</v>
      </c>
      <c r="I5" s="179">
        <f>IF(Vendedor2!$C$17="",0,Vendedor2!$C$17)</f>
        <v>1600</v>
      </c>
      <c r="J5" s="30">
        <f>IF(Vendedor2!$E$17="",0,Vendedor2!$E$17)</f>
        <v>0</v>
      </c>
      <c r="L5" s="42">
        <f t="shared" si="0"/>
        <v>9900</v>
      </c>
      <c r="M5" s="41">
        <f>MROUND(L5*Vendedor2!J$10,50)</f>
        <v>1300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-8400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40000</v>
      </c>
      <c r="D8" s="30">
        <f>IF(Vendedor5!$E$5="",0,Vendedor5!$E$5)</f>
        <v>750</v>
      </c>
      <c r="E8" s="179">
        <f>IF(Vendedor5!$C$9="",0,Vendedor5!$C$9)</f>
        <v>30950</v>
      </c>
      <c r="F8" s="30">
        <f>IF(Vendedor5!$E$9="",0,Vendedor5!$E$9)</f>
        <v>0</v>
      </c>
      <c r="G8" s="179">
        <f>IF(Vendedor5!$C$13="",0,Vendedor5!$C$13)</f>
        <v>0</v>
      </c>
      <c r="H8" s="30">
        <f>IF(Vendedor5!$E$13="",0,Vendedor5!$E$13)</f>
        <v>0</v>
      </c>
      <c r="I8" s="179">
        <f>IF(Vendedor5!$C$17="",0,Vendedor5!$C$17)</f>
        <v>28900</v>
      </c>
      <c r="J8" s="30">
        <f>IF(Vendedor5!$E$17="",0,Vendedor5!$E$17)</f>
        <v>100</v>
      </c>
      <c r="L8" s="42">
        <f t="shared" ref="L8" si="4">C8+E8+G8+I8</f>
        <v>99850</v>
      </c>
      <c r="M8" s="41">
        <f>MROUND(L8*Vendedor5!J$12,50)</f>
        <v>12000</v>
      </c>
      <c r="N8" s="42">
        <f t="shared" ref="N8" si="5">D8+F8+H8+J8</f>
        <v>850</v>
      </c>
      <c r="O8" s="41">
        <f t="shared" si="3"/>
        <v>72250</v>
      </c>
      <c r="P8" s="42">
        <f>Vendedor5!$F$5+Vendedor5!$F$9+Vendedor5!$F$13+Vendedor5!$F$17</f>
        <v>68000</v>
      </c>
      <c r="Q8">
        <v>17</v>
      </c>
      <c r="R8" s="41">
        <f t="shared" ref="R8" si="6">+L8-M8-O8</f>
        <v>15600</v>
      </c>
    </row>
    <row r="9" spans="1:18" x14ac:dyDescent="0.35">
      <c r="A9" s="47">
        <v>6</v>
      </c>
      <c r="B9" s="177" t="str">
        <f>Vendedor6!$B$2</f>
        <v>Vendedor 06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57150</v>
      </c>
      <c r="D10" s="30">
        <f>IF(Vendedor7!$E$5="",0,Vendedor7!$E$5)</f>
        <v>0</v>
      </c>
      <c r="E10" s="179">
        <f>IF(Vendedor7!$C$9="",0,Vendedor7!$C$9)</f>
        <v>45500</v>
      </c>
      <c r="F10" s="30">
        <f>IF(Vendedor7!$E$9="",0,Vendedor7!$E$9)</f>
        <v>0</v>
      </c>
      <c r="G10" s="179">
        <f>IF(Vendedor7!$C$13="",0,Vendedor7!$C$13)</f>
        <v>0</v>
      </c>
      <c r="H10" s="30">
        <f>IF(Vendedor7!$E$13="",0,Vendedor7!$E$13)</f>
        <v>0</v>
      </c>
      <c r="I10" s="179">
        <f>IF(Vendedor7!$C$17="",0,Vendedor7!$C$17)</f>
        <v>87350</v>
      </c>
      <c r="J10" s="30">
        <f>IF(Vendedor7!$E$17="",0,Vendedor7!$E$17)</f>
        <v>5500</v>
      </c>
      <c r="L10" s="42">
        <f t="shared" si="7"/>
        <v>190000</v>
      </c>
      <c r="M10" s="41">
        <f>MROUND(L10*Vendedor7!J$15,50)</f>
        <v>22800</v>
      </c>
      <c r="N10" s="42">
        <f t="shared" ref="N10:N27" si="9">D10+F10+H10+J10</f>
        <v>5500</v>
      </c>
      <c r="O10" s="41">
        <f t="shared" si="3"/>
        <v>467500</v>
      </c>
      <c r="P10" s="42">
        <f>Vendedor7!$F$5+Vendedor7!$F$9+Vendedor7!$F$13+Vendedor7!$F$17</f>
        <v>467500</v>
      </c>
      <c r="R10" s="41">
        <f t="shared" si="8"/>
        <v>-300300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48850</v>
      </c>
      <c r="D12" s="30">
        <f>IF(Vendedor9!$E$5="",0,Vendedor9!$E$5)</f>
        <v>250</v>
      </c>
      <c r="E12" s="179">
        <f>IF(Vendedor9!$C$9="",0,Vendedor9!$C$9)</f>
        <v>36050</v>
      </c>
      <c r="F12" s="30">
        <f>IF(Vendedor9!$E$9="",0,Vendedor9!$E$9)</f>
        <v>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2000</v>
      </c>
      <c r="J12" s="30">
        <f>IF(Vendedor9!$E$17="",0,Vendedor9!$E$17)</f>
        <v>0</v>
      </c>
      <c r="L12" s="42">
        <f t="shared" si="7"/>
        <v>86900</v>
      </c>
      <c r="M12" s="41">
        <f>MROUND(L12*Vendedor9!J$12,50)</f>
        <v>10450</v>
      </c>
      <c r="N12" s="42">
        <f t="shared" si="9"/>
        <v>250</v>
      </c>
      <c r="O12" s="41">
        <f t="shared" si="3"/>
        <v>21250</v>
      </c>
      <c r="P12" s="42">
        <f>Vendedor9!$F$5+Vendedor9!$F$9+Vendedor9!$F$13+Vendedor9!$F$17</f>
        <v>21250</v>
      </c>
      <c r="R12" s="41">
        <f t="shared" si="8"/>
        <v>55200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25600</v>
      </c>
      <c r="D13" s="30">
        <f>IF(Vendedor10!$E$5="",0,Vendedor10!$E$5)</f>
        <v>0</v>
      </c>
      <c r="E13" s="179">
        <f>IF(Vendedor10!$C$9="",0,Vendedor10!$C$9)</f>
        <v>10500</v>
      </c>
      <c r="F13" s="30">
        <f>IF(Vendedor10!$E$9="",0,Vendedor10!$E$9)</f>
        <v>0</v>
      </c>
      <c r="G13" s="179">
        <f>IF(Vendedor10!$C$13="",0,Vendedor10!$C$13)</f>
        <v>0</v>
      </c>
      <c r="H13" s="30">
        <f>IF(Vendedor10!$E$13="",0,Vendedor10!$E$13)</f>
        <v>0</v>
      </c>
      <c r="I13" s="179">
        <f>IF(Vendedor10!$C$17="",0,Vendedor10!$C$17)</f>
        <v>1650</v>
      </c>
      <c r="J13" s="30">
        <f>IF(Vendedor10!$E$17="",0,Vendedor10!$E$17)</f>
        <v>0</v>
      </c>
      <c r="L13" s="42">
        <f t="shared" si="7"/>
        <v>37750</v>
      </c>
      <c r="M13" s="41">
        <f>MROUND(L13*Vendedor10!J$10,50)</f>
        <v>4550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33200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5400</v>
      </c>
      <c r="D16" s="30">
        <f>IF(Vendedor13!$E$5="",0,Vendedor13!$E$5)</f>
        <v>0</v>
      </c>
      <c r="E16" s="179">
        <f>IF(Vendedor13!$C$9="",0,Vendedor13!$C$9)</f>
        <v>16450</v>
      </c>
      <c r="F16" s="30">
        <f>IF(Vendedor13!$E$9="",0,Vendedor13!$E$9)</f>
        <v>0</v>
      </c>
      <c r="G16" s="179">
        <f>IF(Vendedor13!$C$13="",0,Vendedor13!$C$13)</f>
        <v>0</v>
      </c>
      <c r="H16" s="30">
        <f>IF(Vendedor13!$E$13="",0,Vendedor13!$E$13)</f>
        <v>0</v>
      </c>
      <c r="I16" s="179">
        <f>IF(Vendedor13!$C$17="",0,Vendedor13!$C$17)</f>
        <v>0</v>
      </c>
      <c r="J16" s="30">
        <f>IF(Vendedor13!$E$17="",0,Vendedor13!$E$17)</f>
        <v>0</v>
      </c>
      <c r="L16" s="42">
        <f t="shared" si="7"/>
        <v>21850</v>
      </c>
      <c r="M16" s="41">
        <f>MROUND(L16*Vendedor13!J$12,50)</f>
        <v>2600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19250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0</v>
      </c>
      <c r="D17" s="30">
        <f>IF(Vendedor14!$E$5="",0,Vendedor14!$E$5)</f>
        <v>0</v>
      </c>
      <c r="E17" s="179">
        <f>IF(Vendedor14!$C$9="",0,Vendedor14!$C$9)</f>
        <v>0</v>
      </c>
      <c r="F17" s="30">
        <f>IF(Vendedor14!$E$9="",0,Vendedor14!$E$9)</f>
        <v>0</v>
      </c>
      <c r="G17" s="179">
        <f>IF(Vendedor14!$C$13="",0,Vendedor14!$C$13)</f>
        <v>0</v>
      </c>
      <c r="H17" s="30">
        <f>IF(Vendedor14!$E$13="",0,Vendedor14!$E$13)</f>
        <v>0</v>
      </c>
      <c r="I17" s="179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0</v>
      </c>
      <c r="D18" s="30">
        <f>IF(Vendedor15!$E$5="",0,Vendedor15!$E$5)</f>
        <v>0</v>
      </c>
      <c r="E18" s="179">
        <f>IF(Vendedor15!$C$9="",0,Vendedor15!$C$9)</f>
        <v>0</v>
      </c>
      <c r="F18" s="30">
        <f>IF(Vendedor15!$E$9="",0,Vendedor15!$E$9)</f>
        <v>0</v>
      </c>
      <c r="G18" s="179">
        <f>IF(Vendedor15!$C$13="",0,Vendedor15!$C$13)</f>
        <v>0</v>
      </c>
      <c r="H18" s="30">
        <f>IF(Vendedor15!$E$13="",0,Vendedor15!$E$13)</f>
        <v>0</v>
      </c>
      <c r="I18" s="179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203200</v>
      </c>
      <c r="D32" s="44">
        <f t="shared" si="14"/>
        <v>1200</v>
      </c>
      <c r="E32" s="43">
        <f t="shared" si="14"/>
        <v>151900</v>
      </c>
      <c r="F32" s="44">
        <f t="shared" si="14"/>
        <v>300</v>
      </c>
      <c r="G32" s="43">
        <f t="shared" si="14"/>
        <v>0</v>
      </c>
      <c r="H32" s="44">
        <f t="shared" si="14"/>
        <v>0</v>
      </c>
      <c r="I32" s="43">
        <f t="shared" si="14"/>
        <v>125500</v>
      </c>
      <c r="J32" s="44">
        <f t="shared" si="14"/>
        <v>5600</v>
      </c>
      <c r="L32" s="45">
        <f>SUM(L4:L31)</f>
        <v>480600</v>
      </c>
      <c r="M32" s="45">
        <f>SUM(M7:M31)</f>
        <v>52400</v>
      </c>
      <c r="N32" s="95">
        <f>SUM(N4:N31)</f>
        <v>7100</v>
      </c>
      <c r="O32" s="46">
        <f>SUM(O4:O31)</f>
        <v>603500</v>
      </c>
      <c r="P32" s="139">
        <f>SUM(P4:P31)</f>
        <v>596750</v>
      </c>
      <c r="R32" s="79">
        <f>SUM(R4:R31)</f>
        <v>-181050</v>
      </c>
    </row>
    <row r="33" spans="3:15" x14ac:dyDescent="0.35">
      <c r="D33" s="120">
        <f>+D32*85</f>
        <v>102000</v>
      </c>
      <c r="F33" s="120">
        <f>+F32*85</f>
        <v>25500</v>
      </c>
      <c r="H33" s="120">
        <f>+H32*85</f>
        <v>0</v>
      </c>
      <c r="J33" s="120">
        <f>+J32*85</f>
        <v>476000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480600</v>
      </c>
      <c r="E36" s="43">
        <f>+D36-L4-L5-L6</f>
        <v>436350</v>
      </c>
    </row>
    <row r="37" spans="3:15" x14ac:dyDescent="0.35">
      <c r="C37" s="47" t="s">
        <v>33</v>
      </c>
      <c r="D37" s="48">
        <f>D36*13%</f>
        <v>62478</v>
      </c>
      <c r="E37">
        <f>+D37-M4-M5-M6</f>
        <v>56728</v>
      </c>
    </row>
    <row r="38" spans="3:15" x14ac:dyDescent="0.35">
      <c r="C38" s="47" t="s">
        <v>30</v>
      </c>
      <c r="D38" s="30">
        <f>SUM(O4:O27)</f>
        <v>603500</v>
      </c>
      <c r="G38" s="100"/>
    </row>
    <row r="39" spans="3:15" ht="15" thickBot="1" x14ac:dyDescent="0.4">
      <c r="C39" s="49" t="s">
        <v>4</v>
      </c>
      <c r="D39" s="80">
        <f>+D36-D37-D38</f>
        <v>-185378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-185378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89 Roja</v>
      </c>
      <c r="D2" s="267"/>
      <c r="E2" s="266" t="str">
        <f>IF(E33=0,"",CONCATENATE(PREMIOS!$B11," ",PREMIOS!$B12))</f>
        <v>91 Blanca</v>
      </c>
      <c r="F2" s="267"/>
      <c r="G2" s="266" t="str">
        <f>IF(G33=0,"",CONCATENATE(PREMIOS!$B15," ",PREMIOS!$B16))</f>
        <v>86 Roja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Vendedor 06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15600</v>
      </c>
      <c r="D10" s="30">
        <f>IF(Vendedor7!$E$8="",0,Vendedor7!$E$8)</f>
        <v>0</v>
      </c>
      <c r="E10" s="179">
        <f>IF(Vendedor7!$C$12="",0,Vendedor7!$C$12)</f>
        <v>12050</v>
      </c>
      <c r="F10" s="30">
        <f>IF(Vendedor7!$E$12="",0,Vendedor7!$E$12)</f>
        <v>0</v>
      </c>
      <c r="G10" s="179">
        <f>IF(Vendedor7!$C$16="",0,Vendedor7!$C$16)</f>
        <v>13450</v>
      </c>
      <c r="H10" s="30">
        <f>IF(Vendedor7!$E$16="",0,Vendedor7!$E$16)</f>
        <v>0</v>
      </c>
      <c r="J10" s="42">
        <f t="shared" si="1"/>
        <v>41100</v>
      </c>
      <c r="K10" s="41">
        <f>J10*Vendedor7!J$16</f>
        <v>4110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36990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4750</v>
      </c>
      <c r="D12" s="30">
        <f>IF(Vendedor9!$E$8="",0,Vendedor9!$E$8)</f>
        <v>0</v>
      </c>
      <c r="E12" s="179">
        <f>IF(Vendedor9!$C$12="",0,Vendedor9!$C$12)</f>
        <v>500</v>
      </c>
      <c r="F12" s="30">
        <f>IF(Vendedor9!$E$12="",0,Vendedor9!$E$12)</f>
        <v>0</v>
      </c>
      <c r="G12" s="179">
        <f>IF(Vendedor9!$C$16="",0,Vendedor9!$C$16)</f>
        <v>1000</v>
      </c>
      <c r="H12" s="30">
        <f>IF(Vendedor9!$E$16="",0,Vendedor9!$E$16)</f>
        <v>0</v>
      </c>
      <c r="J12" s="42">
        <f t="shared" si="1"/>
        <v>6250</v>
      </c>
      <c r="K12" s="41">
        <f>J12*Vendedor9!J$13</f>
        <v>625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5625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0</v>
      </c>
      <c r="D16" s="30">
        <f>IF(Vendedor13!$E$8="",0,Vendedor13!$E$8)</f>
        <v>0</v>
      </c>
      <c r="E16" s="179">
        <f>IF(Vendedor13!$C$12="",0,Vendedor13!$C$12)</f>
        <v>2400</v>
      </c>
      <c r="F16" s="30">
        <f>IF(Vendedor13!$E$12="",0,Vendedor13!$E$12)</f>
        <v>0</v>
      </c>
      <c r="G16" s="179">
        <f>IF(Vendedor13!$C$16="",0,Vendedor13!$C$16)</f>
        <v>0</v>
      </c>
      <c r="H16" s="30">
        <f>IF(Vendedor13!$E$16="",0,Vendedor13!$E$16)</f>
        <v>0</v>
      </c>
      <c r="J16" s="42">
        <f t="shared" si="1"/>
        <v>2400</v>
      </c>
      <c r="K16" s="41">
        <f>J16*Vendedor13!J$13</f>
        <v>240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2160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0</v>
      </c>
      <c r="D17" s="30">
        <f>IF(Vendedor14!$E$8="",0,Vendedor14!$E$8)</f>
        <v>0</v>
      </c>
      <c r="E17" s="179">
        <f>IF(Vendedor14!$C$12="",0,Vendedor14!$C$12)</f>
        <v>0</v>
      </c>
      <c r="F17" s="30">
        <f>IF(Vendedor14!$E$12="",0,Vendedor14!$E$12)</f>
        <v>0</v>
      </c>
      <c r="G17" s="179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0</v>
      </c>
      <c r="D18" s="30">
        <f>IF(Vendedor15!$E$8="",0,Vendedor15!$E$8)</f>
        <v>0</v>
      </c>
      <c r="E18" s="179">
        <f>IF(Vendedor15!$C$12="",0,Vendedor15!$C$12)</f>
        <v>0</v>
      </c>
      <c r="F18" s="30">
        <f>IF(Vendedor15!$E$12="",0,Vendedor15!$E$12)</f>
        <v>0</v>
      </c>
      <c r="G18" s="179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20350</v>
      </c>
      <c r="D33" s="44">
        <f>IF(PREMIOS!E8&lt;&gt;0,SUM(D4:D32),0)</f>
        <v>0</v>
      </c>
      <c r="E33" s="43">
        <f>SUM(E4:E32)</f>
        <v>14950</v>
      </c>
      <c r="F33" s="44">
        <f>IF(PREMIOS!E12&lt;&gt;0,SUM(F4:F32),0)</f>
        <v>0</v>
      </c>
      <c r="G33" s="43">
        <f>SUM(G4:G32)</f>
        <v>14450</v>
      </c>
      <c r="H33" s="44">
        <f>IF(PREMIOS!E16&lt;&gt;0,SUM(H4:H32),0)</f>
        <v>0</v>
      </c>
      <c r="J33" s="45">
        <f>SUM(J4:J32)</f>
        <v>49750</v>
      </c>
      <c r="K33" s="45">
        <f>SUM(K7:K32)</f>
        <v>4975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44775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49750</v>
      </c>
      <c r="E37" s="43">
        <f>+D37-J4-J5-J6</f>
        <v>49750</v>
      </c>
      <c r="F37" s="274"/>
      <c r="G37" s="274"/>
    </row>
    <row r="38" spans="3:17" ht="15" thickBot="1" x14ac:dyDescent="0.4">
      <c r="C38" s="47" t="s">
        <v>33</v>
      </c>
      <c r="D38" s="30">
        <f>D37*10%</f>
        <v>4975</v>
      </c>
      <c r="E38" s="43">
        <f>+D38-K4-K5-K6</f>
        <v>4975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44775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44775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19</v>
      </c>
      <c r="D2" s="267"/>
      <c r="E2" s="266">
        <f>DigitaPRIMERA!E2</f>
        <v>95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7500</v>
      </c>
      <c r="D4" s="78">
        <f>IF(Vendedor1!$E$19="",0,Vendedor1!$E$19)</f>
        <v>100</v>
      </c>
      <c r="E4" s="188">
        <f>IF(Vendedor1!$C$20="",0,Vendedor1!$C$20)</f>
        <v>1550</v>
      </c>
      <c r="F4" s="78">
        <f>IF(Vendedor1!$E$20="",0,Vendedor1!$E$20)</f>
        <v>250</v>
      </c>
      <c r="H4" s="42">
        <f>+C4+E4</f>
        <v>9050</v>
      </c>
      <c r="I4" s="41">
        <f>MROUND(H4*Vendedor1!J$9,50)</f>
        <v>1200</v>
      </c>
      <c r="J4" s="42">
        <f>+D4+F4</f>
        <v>350</v>
      </c>
      <c r="K4" s="42">
        <f>+J4*85</f>
        <v>29750</v>
      </c>
      <c r="L4" s="42">
        <f>Vendedor1!$F$19+Vendedor1!$F$20</f>
        <v>28000</v>
      </c>
      <c r="N4" s="42">
        <f t="shared" ref="N4:N31" si="0">+H4-I4-L4</f>
        <v>-20150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3400</v>
      </c>
      <c r="D5" s="30">
        <f>IF(Vendedor2!$E$19="",0,Vendedor2!$E$19)</f>
        <v>0</v>
      </c>
      <c r="E5" s="179">
        <f>IF(Vendedor2!$C$20="",0,Vendedor2!$C$20)</f>
        <v>6000</v>
      </c>
      <c r="F5" s="30">
        <f>IF(Vendedor2!$E$20="",0,Vendedor2!$E$20)</f>
        <v>500</v>
      </c>
      <c r="H5" s="42">
        <f t="shared" ref="H5:H31" si="1">+C5+E5</f>
        <v>9400</v>
      </c>
      <c r="I5" s="41">
        <f>MROUND(H5*Vendedor2!J$9,50)</f>
        <v>1200</v>
      </c>
      <c r="J5" s="42">
        <f t="shared" ref="J5:J31" si="2">+D5+F5</f>
        <v>500</v>
      </c>
      <c r="K5" s="42">
        <f t="shared" ref="K5:K27" si="3">+J5*85</f>
        <v>42500</v>
      </c>
      <c r="L5" s="42">
        <f>Vendedor2!$F$19+Vendedor2!$F$20</f>
        <v>40000</v>
      </c>
      <c r="N5" s="42">
        <f t="shared" si="0"/>
        <v>-31800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20850</v>
      </c>
      <c r="D8" s="30">
        <f>IF(Vendedor5!$E$19="",0,Vendedor5!$E$19)</f>
        <v>200</v>
      </c>
      <c r="E8" s="179">
        <f>IF(Vendedor5!$C$20="",0,Vendedor5!$C$20)</f>
        <v>10600</v>
      </c>
      <c r="F8" s="30">
        <f>IF(Vendedor5!$E$20="",0,Vendedor5!$E$20)</f>
        <v>0</v>
      </c>
      <c r="H8" s="133">
        <f t="shared" si="1"/>
        <v>31450</v>
      </c>
      <c r="I8" s="147">
        <f>MROUND(H8*Vendedor5!J$11,50)</f>
        <v>3750</v>
      </c>
      <c r="J8" s="133">
        <f t="shared" si="2"/>
        <v>200</v>
      </c>
      <c r="K8" s="133">
        <f t="shared" si="3"/>
        <v>17000</v>
      </c>
      <c r="L8" s="133">
        <f>Vendedor5!$F$19+Vendedor5!$F$20</f>
        <v>16000</v>
      </c>
      <c r="M8" s="154"/>
      <c r="N8" s="133">
        <f t="shared" si="0"/>
        <v>11700</v>
      </c>
    </row>
    <row r="9" spans="1:14" x14ac:dyDescent="0.35">
      <c r="A9" s="202">
        <v>6</v>
      </c>
      <c r="B9" s="195" t="str">
        <f>Vendedor6!$B$2</f>
        <v>Vendedor 06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34650</v>
      </c>
      <c r="D10" s="30">
        <f>IF(Vendedor7!$E$19="",0,Vendedor7!$E$19)</f>
        <v>200</v>
      </c>
      <c r="E10" s="179">
        <f>IF(Vendedor7!$C$20="",0,Vendedor7!$C$20)</f>
        <v>7150</v>
      </c>
      <c r="F10" s="30">
        <f>IF(Vendedor7!$E$20="",0,Vendedor7!$E$20)</f>
        <v>0</v>
      </c>
      <c r="H10" s="42">
        <f t="shared" si="1"/>
        <v>41800</v>
      </c>
      <c r="I10" s="41">
        <f>MROUND(H10*Vendedor7!J$14,50)</f>
        <v>5000</v>
      </c>
      <c r="J10" s="42">
        <f t="shared" si="2"/>
        <v>200</v>
      </c>
      <c r="K10" s="42">
        <f t="shared" si="3"/>
        <v>17000</v>
      </c>
      <c r="L10" s="42">
        <f>Vendedor7!$F$19+Vendedor7!$F$20</f>
        <v>17000</v>
      </c>
      <c r="N10" s="42">
        <f t="shared" si="0"/>
        <v>19800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60450</v>
      </c>
      <c r="D12" s="30">
        <f>IF(Vendedor9!$E$19="",0,Vendedor9!$E$19)</f>
        <v>450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60450</v>
      </c>
      <c r="I12" s="147">
        <f>MROUND(H12*Vendedor9!J$11,50)</f>
        <v>7250</v>
      </c>
      <c r="J12" s="133">
        <f t="shared" si="2"/>
        <v>450</v>
      </c>
      <c r="K12" s="133">
        <f t="shared" si="3"/>
        <v>38250</v>
      </c>
      <c r="L12" s="133">
        <f>Vendedor9!$F$19+Vendedor9!$F$20</f>
        <v>38250</v>
      </c>
      <c r="M12" s="154"/>
      <c r="N12" s="133">
        <f t="shared" si="0"/>
        <v>14950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7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0</v>
      </c>
      <c r="D17" s="30">
        <f>IF(Vendedor14!$E$19="",0,Vendedor14!$E$19)</f>
        <v>0</v>
      </c>
      <c r="E17" s="179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0</v>
      </c>
      <c r="D18" s="30">
        <f>IF(Vendedor15!$E$19="",0,Vendedor15!$E$19)</f>
        <v>0</v>
      </c>
      <c r="E18" s="179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126850</v>
      </c>
      <c r="D32" s="44">
        <f>SUM(D4:D31)</f>
        <v>950</v>
      </c>
      <c r="E32" s="43">
        <f>SUM(E4:E31)</f>
        <v>25300</v>
      </c>
      <c r="F32" s="44">
        <f>SUM(F4:F31)</f>
        <v>750</v>
      </c>
      <c r="H32" s="95">
        <f>SUM(H4:H31)</f>
        <v>152150</v>
      </c>
      <c r="I32" s="45">
        <f>SUM(I7:I31)</f>
        <v>16000</v>
      </c>
      <c r="J32" s="95"/>
      <c r="K32" s="95">
        <f>SUM(K4:K31)</f>
        <v>144500</v>
      </c>
      <c r="L32" s="95">
        <f>SUM(L4:L31)</f>
        <v>139250</v>
      </c>
      <c r="N32" s="79">
        <f>SUM(N4:N31)</f>
        <v>-5500</v>
      </c>
    </row>
    <row r="33" spans="3:6" x14ac:dyDescent="0.35">
      <c r="D33" s="99">
        <f>+D32*85</f>
        <v>80750</v>
      </c>
      <c r="F33" s="99">
        <f>+F32*85</f>
        <v>63750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152150</v>
      </c>
      <c r="E36" s="43">
        <f>+D36-H4-H5-H6</f>
        <v>133700</v>
      </c>
    </row>
    <row r="37" spans="3:6" x14ac:dyDescent="0.35">
      <c r="C37" s="47" t="s">
        <v>33</v>
      </c>
      <c r="D37" s="48">
        <f>D36*13%</f>
        <v>19779.5</v>
      </c>
      <c r="E37">
        <f>+D37-I4-I5-I6</f>
        <v>17379.5</v>
      </c>
    </row>
    <row r="38" spans="3:6" ht="15" thickBot="1" x14ac:dyDescent="0.4">
      <c r="C38" s="47" t="s">
        <v>30</v>
      </c>
      <c r="D38" s="30">
        <f>SUM(K4:K27)</f>
        <v>144500</v>
      </c>
    </row>
    <row r="39" spans="3:6" ht="15" thickBot="1" x14ac:dyDescent="0.4">
      <c r="C39" s="49" t="s">
        <v>4</v>
      </c>
      <c r="D39" s="80">
        <f>+D36-D37-D38</f>
        <v>-12129.5</v>
      </c>
      <c r="F39" s="98">
        <f>+N32-D39</f>
        <v>6629.5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-12129.5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82</v>
      </c>
      <c r="D2" s="267"/>
      <c r="E2" s="266">
        <f>DigitaHONDURAS!E2</f>
        <v>66</v>
      </c>
      <c r="F2" s="267"/>
      <c r="G2" s="266" t="str">
        <f>DigitaHONDURAS!G2</f>
        <v>08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Vendedor 06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4150</v>
      </c>
      <c r="D10" s="30">
        <f>IF(Vendedor7!$E$21="",0,Vendedor7!$E$21)</f>
        <v>0</v>
      </c>
      <c r="E10" s="179">
        <f>IF(Vendedor7!$C$22="",0,Vendedor7!$C$22)</f>
        <v>2700</v>
      </c>
      <c r="F10" s="30">
        <f>IF(Vendedor7!$E$22="",0,Vendedor7!$E$22)</f>
        <v>0</v>
      </c>
      <c r="G10" s="179">
        <f>IF(Vendedor7!$C$23="",0,Vendedor7!$C$23)</f>
        <v>9150</v>
      </c>
      <c r="H10" s="30">
        <f>IF(Vendedor7!$E$23="",0,Vendedor7!$E$23)</f>
        <v>0</v>
      </c>
      <c r="J10" s="42">
        <f t="shared" si="0"/>
        <v>16000</v>
      </c>
      <c r="K10" s="41">
        <f>MROUND(J10*Vendedor7!J$14,50)</f>
        <v>1900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14100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7000</v>
      </c>
      <c r="D12" s="30">
        <f>IF(Vendedor9!$E$21="",0,Vendedor9!$E$21)</f>
        <v>200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7000</v>
      </c>
      <c r="K12" s="41">
        <f>MROUND(J12*Vendedor9!J$14,50)</f>
        <v>850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-10850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300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300</v>
      </c>
      <c r="K16" s="147">
        <f>MROUND(J16*Vendedor13!J$11,50)</f>
        <v>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250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0</v>
      </c>
      <c r="D17" s="30">
        <f>IF(Vendedor14!$E$21="",0,Vendedor14!$E$21)</f>
        <v>0</v>
      </c>
      <c r="E17" s="179">
        <f>IF(Vendedor14!$C$22="",0,Vendedor14!$C$22)</f>
        <v>0</v>
      </c>
      <c r="F17" s="30">
        <f>IF(Vendedor14!$E$22="",0,Vendedor14!$E$22)</f>
        <v>0</v>
      </c>
      <c r="G17" s="179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0</v>
      </c>
      <c r="D18" s="30">
        <f>IF(Vendedor15!$E$21="",0,Vendedor15!$E$21)</f>
        <v>0</v>
      </c>
      <c r="E18" s="179">
        <f>IF(Vendedor15!$C$22="",0,Vendedor15!$C$22)</f>
        <v>0</v>
      </c>
      <c r="F18" s="30">
        <f>IF(Vendedor15!$E$22="",0,Vendedor15!$E$22)</f>
        <v>0</v>
      </c>
      <c r="G18" s="179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11450</v>
      </c>
      <c r="D32" s="44">
        <f t="shared" si="8"/>
        <v>200</v>
      </c>
      <c r="E32" s="43">
        <f t="shared" si="8"/>
        <v>2700</v>
      </c>
      <c r="F32" s="44">
        <f t="shared" si="8"/>
        <v>0</v>
      </c>
      <c r="G32" s="43">
        <f t="shared" si="8"/>
        <v>9150</v>
      </c>
      <c r="H32" s="44">
        <f t="shared" si="8"/>
        <v>0</v>
      </c>
      <c r="J32" s="95">
        <f>SUM(J4:J31)</f>
        <v>23300</v>
      </c>
      <c r="K32" s="45">
        <f>SUM(K7:K31)</f>
        <v>2800</v>
      </c>
      <c r="L32" s="95"/>
      <c r="M32" s="95">
        <f>SUM(M4:M31)</f>
        <v>17000</v>
      </c>
      <c r="N32" s="95">
        <f>SUM(N4:N31)</f>
        <v>17000</v>
      </c>
      <c r="P32" s="79">
        <f>SUM(P4:P31)</f>
        <v>3500</v>
      </c>
    </row>
    <row r="33" spans="3:8" x14ac:dyDescent="0.35">
      <c r="D33" s="99">
        <f>+D32*85</f>
        <v>17000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23300</v>
      </c>
      <c r="E36" s="43">
        <f>+D36-J4-J5-J6</f>
        <v>23300</v>
      </c>
    </row>
    <row r="37" spans="3:8" x14ac:dyDescent="0.35">
      <c r="C37" s="47" t="s">
        <v>33</v>
      </c>
      <c r="D37" s="48">
        <f>D36*13%</f>
        <v>3029</v>
      </c>
      <c r="E37">
        <f>+D37-K4-K5-K6</f>
        <v>3029</v>
      </c>
    </row>
    <row r="38" spans="3:8" ht="15" thickBot="1" x14ac:dyDescent="0.4">
      <c r="C38" s="47" t="s">
        <v>30</v>
      </c>
      <c r="D38" s="30">
        <f>SUM(M4:M27)</f>
        <v>17000</v>
      </c>
      <c r="G38" s="100"/>
    </row>
    <row r="39" spans="3:8" ht="15" thickBot="1" x14ac:dyDescent="0.4">
      <c r="C39" s="49" t="s">
        <v>4</v>
      </c>
      <c r="D39" s="80">
        <f>+D36-D37-D38</f>
        <v>3271</v>
      </c>
      <c r="F39" s="98">
        <f>+P32-D39</f>
        <v>229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3271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03</v>
      </c>
      <c r="D2" s="267"/>
      <c r="E2" s="266">
        <f>DigitaDOMINICANA!E2</f>
        <v>17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Vendedor 06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0</v>
      </c>
      <c r="D10" s="30">
        <f>IF(Vendedor7!$E$24="",0,Vendedor7!$E$24)</f>
        <v>0</v>
      </c>
      <c r="E10" s="179">
        <f>IF(Vendedor7!$C$25="",0,Vendedor7!$C$25)</f>
        <v>1200</v>
      </c>
      <c r="F10" s="30">
        <f>IF(Vendedor7!$E$25="",0,Vendedor7!$E$25)</f>
        <v>0</v>
      </c>
      <c r="H10" s="42">
        <f t="shared" si="1"/>
        <v>1200</v>
      </c>
      <c r="I10" s="41">
        <f>MROUND(H10*Vendedor7!J$14,50)</f>
        <v>150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1050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1200</v>
      </c>
      <c r="F32" s="44">
        <f>SUM(F4:F31)</f>
        <v>0</v>
      </c>
      <c r="H32" s="95">
        <f>SUM(H4:H31)</f>
        <v>1200</v>
      </c>
      <c r="I32" s="45">
        <f>SUM(I7:I31)</f>
        <v>150</v>
      </c>
      <c r="J32" s="95"/>
      <c r="K32" s="95">
        <f>SUM(K4:K31)</f>
        <v>0</v>
      </c>
      <c r="L32" s="95">
        <f>SUM(L4:L31)</f>
        <v>0</v>
      </c>
      <c r="N32" s="79">
        <f>SUM(N4:N31)</f>
        <v>1050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1200</v>
      </c>
      <c r="E36" s="43">
        <f>+D36-H4-H5-H6</f>
        <v>1200</v>
      </c>
    </row>
    <row r="37" spans="3:6" x14ac:dyDescent="0.35">
      <c r="C37" s="47" t="s">
        <v>33</v>
      </c>
      <c r="D37" s="48">
        <f>D36*13%</f>
        <v>156</v>
      </c>
      <c r="E37">
        <f>+D37-I4-I5-I6</f>
        <v>156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1044</v>
      </c>
      <c r="F39" s="98">
        <f>+N32-D39</f>
        <v>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1044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 t="str">
        <f>DigitaPANAMENA!C2</f>
        <v/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Vendedor 06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5" t="str">
        <f ca="1">CONCATENATE("Cuentas ALI ",TEXT('Ctas Banca'!I5,"dd-mm-yyyy"))</f>
        <v>Cuentas ALI 13-08-2026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436350</v>
      </c>
      <c r="C4" s="156">
        <f>HojaNICA!M32</f>
        <v>52400</v>
      </c>
      <c r="D4" s="149">
        <f>HojaNICA!E37</f>
        <v>56728</v>
      </c>
      <c r="E4" s="149">
        <f>HojaNICA!P32</f>
        <v>596750</v>
      </c>
      <c r="F4" s="149">
        <f>HojaNICA!O32</f>
        <v>603500</v>
      </c>
      <c r="G4" s="150">
        <f t="shared" ref="G4:G10" si="0">+D4-C4+F4-E4</f>
        <v>11078</v>
      </c>
      <c r="H4" s="21"/>
      <c r="I4" s="181"/>
    </row>
    <row r="5" spans="1:9" x14ac:dyDescent="0.35">
      <c r="A5" s="28" t="s">
        <v>19</v>
      </c>
      <c r="B5" s="155">
        <f>HojaTICA!$E$36</f>
        <v>819650</v>
      </c>
      <c r="C5" s="156">
        <f>HojaTICA!K32</f>
        <v>103050</v>
      </c>
      <c r="D5" s="149">
        <f>HojaTICA!E37</f>
        <v>106578</v>
      </c>
      <c r="E5" s="149">
        <f>HojaTICA!N32</f>
        <v>577250</v>
      </c>
      <c r="F5" s="149">
        <f>HojaTICA!D38</f>
        <v>586500</v>
      </c>
      <c r="G5" s="150">
        <f t="shared" si="0"/>
        <v>12778</v>
      </c>
      <c r="H5" s="21"/>
      <c r="I5" s="181"/>
    </row>
    <row r="6" spans="1:9" x14ac:dyDescent="0.35">
      <c r="A6" s="28" t="s">
        <v>125</v>
      </c>
      <c r="B6" s="155">
        <f>HojaREVENTADO!$E$37</f>
        <v>49750</v>
      </c>
      <c r="C6" s="156">
        <f>HojaREVENTADO!K33</f>
        <v>4975</v>
      </c>
      <c r="D6" s="149">
        <f>HojaREVENTADO!E38</f>
        <v>4975</v>
      </c>
      <c r="E6" s="149">
        <f>HojaREVENTADO!O33</f>
        <v>0</v>
      </c>
      <c r="F6" s="149">
        <f>HojaREVENTADO!N33</f>
        <v>0</v>
      </c>
      <c r="G6" s="150">
        <f t="shared" si="0"/>
        <v>0</v>
      </c>
      <c r="H6" s="21"/>
      <c r="I6" s="181"/>
    </row>
    <row r="7" spans="1:9" x14ac:dyDescent="0.35">
      <c r="A7" s="28" t="s">
        <v>96</v>
      </c>
      <c r="B7" s="155">
        <f>HojaPrimera!$E$36</f>
        <v>133700</v>
      </c>
      <c r="C7" s="156">
        <f>HojaPrimera!I32</f>
        <v>16000</v>
      </c>
      <c r="D7" s="149">
        <f>HojaPrimera!E37</f>
        <v>17379.5</v>
      </c>
      <c r="E7" s="149">
        <f>HojaPrimera!L32</f>
        <v>139250</v>
      </c>
      <c r="F7" s="149">
        <f>HojaPrimera!K32</f>
        <v>144500</v>
      </c>
      <c r="G7" s="150">
        <f t="shared" si="0"/>
        <v>6629.5</v>
      </c>
      <c r="H7" s="21"/>
      <c r="I7" s="21"/>
    </row>
    <row r="8" spans="1:9" x14ac:dyDescent="0.35">
      <c r="A8" s="28" t="s">
        <v>104</v>
      </c>
      <c r="B8" s="155">
        <f>HojaHonduras!$E$36</f>
        <v>23300</v>
      </c>
      <c r="C8" s="156">
        <f>HojaHonduras!K32</f>
        <v>2800</v>
      </c>
      <c r="D8" s="149">
        <f>HojaHonduras!E37</f>
        <v>3029</v>
      </c>
      <c r="E8" s="149">
        <f>HojaHonduras!N32</f>
        <v>17000</v>
      </c>
      <c r="F8" s="149">
        <f>HojaHonduras!M32</f>
        <v>17000</v>
      </c>
      <c r="G8" s="150">
        <f t="shared" si="0"/>
        <v>229</v>
      </c>
      <c r="H8" s="21"/>
      <c r="I8" s="21"/>
    </row>
    <row r="9" spans="1:9" x14ac:dyDescent="0.35">
      <c r="A9" s="28" t="s">
        <v>20</v>
      </c>
      <c r="B9" s="155">
        <f>HojaDominicana!$E$36</f>
        <v>1200</v>
      </c>
      <c r="C9" s="156">
        <f>HojaDominicana!I32</f>
        <v>150</v>
      </c>
      <c r="D9" s="149">
        <f>HojaDominicana!E37</f>
        <v>156</v>
      </c>
      <c r="E9" s="149">
        <f>HojaDominicana!L32</f>
        <v>0</v>
      </c>
      <c r="F9" s="149">
        <f>HojaDominicana!K32</f>
        <v>0</v>
      </c>
      <c r="G9" s="150">
        <f t="shared" si="0"/>
        <v>6</v>
      </c>
      <c r="H9" s="21"/>
      <c r="I9" s="21"/>
    </row>
    <row r="10" spans="1:9" ht="15" thickBot="1" x14ac:dyDescent="0.4">
      <c r="A10" s="166" t="s">
        <v>21</v>
      </c>
      <c r="B10" s="167">
        <f>HojaPANA!F36</f>
        <v>0</v>
      </c>
      <c r="C10" s="168">
        <f>HojaPANA!G32</f>
        <v>0</v>
      </c>
      <c r="D10" s="169">
        <f>HojaPANA!F37</f>
        <v>0</v>
      </c>
      <c r="E10" s="169">
        <f>HojaPANA!J32</f>
        <v>0</v>
      </c>
      <c r="F10" s="169">
        <f>HojaPANA!I32</f>
        <v>0</v>
      </c>
      <c r="G10" s="170">
        <f t="shared" si="0"/>
        <v>0</v>
      </c>
      <c r="H10" s="21"/>
      <c r="I10" s="21"/>
    </row>
    <row r="11" spans="1:9" ht="19" thickBot="1" x14ac:dyDescent="0.5">
      <c r="A11" s="173" t="s">
        <v>32</v>
      </c>
      <c r="B11" s="174">
        <f>SUM(B4:B10)</f>
        <v>1463950</v>
      </c>
      <c r="C11" s="174">
        <f>SUM(C4:C10)</f>
        <v>179375</v>
      </c>
      <c r="D11" s="174">
        <f t="shared" ref="D11:F11" si="1">SUM(D4:D10)</f>
        <v>188845.5</v>
      </c>
      <c r="E11" s="174">
        <f t="shared" si="1"/>
        <v>1330250</v>
      </c>
      <c r="F11" s="174">
        <f t="shared" si="1"/>
        <v>1351500</v>
      </c>
      <c r="G11" s="175">
        <f>SUM(G4:G10)</f>
        <v>30720.5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-4279.5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208050</v>
      </c>
      <c r="E16" s="156">
        <f>+Vendedor1!D21</f>
        <v>27046.5</v>
      </c>
      <c r="F16" s="157">
        <f>IF(D16&lt;&gt;0,15000,0)</f>
        <v>15000</v>
      </c>
      <c r="G16" s="150">
        <f>+E16-F16</f>
        <v>12046.5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205600</v>
      </c>
      <c r="E17" s="156">
        <f>+Vendedor2!D21</f>
        <v>26728</v>
      </c>
      <c r="F17" s="157">
        <f>IF(D17&lt;&gt;0,15000,0)</f>
        <v>15000</v>
      </c>
      <c r="G17" s="150">
        <f>+E17-F17</f>
        <v>11728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413650</v>
      </c>
      <c r="E19" s="158">
        <f>SUM(E16:E18)</f>
        <v>53774.5</v>
      </c>
      <c r="F19" s="159">
        <f>SUM(F16:F18)</f>
        <v>30000</v>
      </c>
      <c r="G19" s="160">
        <f>SUM(G16:G18)</f>
        <v>23774.5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19495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7" t="str">
        <f ca="1">CONCATENATE("Tiempos Pana ",TEXT(I5,"dd-mm-yyyy"))</f>
        <v>Tiempos Pana 13-08-2026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480600</v>
      </c>
      <c r="C5" s="149">
        <f>HojaNICA!D37</f>
        <v>62478</v>
      </c>
      <c r="D5" s="149">
        <f>HojaNICA!D38</f>
        <v>603500</v>
      </c>
      <c r="E5" s="149"/>
      <c r="F5" s="150">
        <f>+B5-C5-D5+E5</f>
        <v>-185378</v>
      </c>
      <c r="H5" s="248" t="s">
        <v>105</v>
      </c>
      <c r="I5" s="242">
        <f ca="1">TODAY()-1</f>
        <v>46247</v>
      </c>
      <c r="O5" s="119"/>
    </row>
    <row r="6" spans="1:15" ht="15" thickBot="1" x14ac:dyDescent="0.4">
      <c r="A6" s="47" t="s">
        <v>36</v>
      </c>
      <c r="B6" s="149">
        <f>HojaTICA!D36</f>
        <v>1170600</v>
      </c>
      <c r="C6" s="149">
        <f>HojaTICA!D37</f>
        <v>152178</v>
      </c>
      <c r="D6" s="149">
        <f>HojaTICA!D38</f>
        <v>586500</v>
      </c>
      <c r="E6" s="149"/>
      <c r="F6" s="150">
        <f t="shared" ref="F6:F11" si="0">+B6-C6-D6+E6</f>
        <v>431922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49750</v>
      </c>
      <c r="C7" s="149">
        <f>HojaREVENTADO!D38</f>
        <v>4975</v>
      </c>
      <c r="D7" s="149">
        <f>HojaREVENTADO!D39</f>
        <v>0</v>
      </c>
      <c r="E7" s="149"/>
      <c r="F7" s="150">
        <f t="shared" si="0"/>
        <v>44775</v>
      </c>
    </row>
    <row r="8" spans="1:15" x14ac:dyDescent="0.35">
      <c r="A8" s="47" t="s">
        <v>96</v>
      </c>
      <c r="B8" s="149">
        <f>HojaPrimera!$D36</f>
        <v>152150</v>
      </c>
      <c r="C8" s="149">
        <f>HojaPrimera!$D37</f>
        <v>19779.5</v>
      </c>
      <c r="D8" s="149">
        <f>HojaPrimera!$D38</f>
        <v>144500</v>
      </c>
      <c r="E8" s="149"/>
      <c r="F8" s="150">
        <f t="shared" si="0"/>
        <v>-12129.5</v>
      </c>
      <c r="H8" s="248" t="s">
        <v>149</v>
      </c>
    </row>
    <row r="9" spans="1:15" ht="15" thickBot="1" x14ac:dyDescent="0.4">
      <c r="A9" s="47" t="s">
        <v>104</v>
      </c>
      <c r="B9" s="149">
        <f>HojaHonduras!$D36</f>
        <v>23300</v>
      </c>
      <c r="C9" s="149">
        <f>HojaHonduras!$D37</f>
        <v>3029</v>
      </c>
      <c r="D9" s="149">
        <f>HojaHonduras!$D38</f>
        <v>17000</v>
      </c>
      <c r="E9" s="149"/>
      <c r="F9" s="150">
        <f t="shared" si="0"/>
        <v>3271</v>
      </c>
      <c r="H9" s="249">
        <f>+K12-K10-H6</f>
        <v>283504.5</v>
      </c>
    </row>
    <row r="10" spans="1:15" ht="15" thickBot="1" x14ac:dyDescent="0.4">
      <c r="A10" s="47" t="s">
        <v>20</v>
      </c>
      <c r="B10" s="149">
        <f>HojaDominicana!$D36</f>
        <v>1200</v>
      </c>
      <c r="C10" s="149">
        <f>HojaDominicana!$D37</f>
        <v>156</v>
      </c>
      <c r="D10" s="149">
        <f>HojaDominicana!$D38</f>
        <v>0</v>
      </c>
      <c r="E10" s="149"/>
      <c r="F10" s="150">
        <f t="shared" si="0"/>
        <v>1044</v>
      </c>
      <c r="H10" s="153"/>
      <c r="J10" t="s">
        <v>147</v>
      </c>
      <c r="K10" s="251">
        <v>6647477</v>
      </c>
    </row>
    <row r="11" spans="1:15" ht="15" thickBot="1" x14ac:dyDescent="0.4">
      <c r="A11" s="47" t="s">
        <v>21</v>
      </c>
      <c r="B11" s="149">
        <f>HojaPANA!$D36</f>
        <v>0</v>
      </c>
      <c r="C11" s="149">
        <f>HojaPANA!$D37</f>
        <v>0</v>
      </c>
      <c r="D11" s="164">
        <f>HojaPANA!$D38</f>
        <v>0</v>
      </c>
      <c r="E11" s="149"/>
      <c r="F11" s="150">
        <f t="shared" si="0"/>
        <v>0</v>
      </c>
      <c r="H11" s="213" t="s">
        <v>150</v>
      </c>
      <c r="J11" t="s">
        <v>154</v>
      </c>
      <c r="K11" s="252">
        <f>+K10+F12+H6</f>
        <v>6930981.5</v>
      </c>
    </row>
    <row r="12" spans="1:15" ht="16" thickBot="1" x14ac:dyDescent="0.4">
      <c r="A12" s="143" t="s">
        <v>5</v>
      </c>
      <c r="B12" s="151">
        <f>SUM(B5:B11)</f>
        <v>1877600</v>
      </c>
      <c r="C12" s="151">
        <f>SUM(C5:C11)</f>
        <v>242595.5</v>
      </c>
      <c r="D12" s="151">
        <f>SUM(D5:D11)</f>
        <v>1351500</v>
      </c>
      <c r="E12" s="151"/>
      <c r="F12" s="254">
        <f>SUM(F5:F11)</f>
        <v>283504.5</v>
      </c>
      <c r="H12" s="250">
        <f>K12</f>
        <v>6930981.5</v>
      </c>
      <c r="J12" t="s">
        <v>140</v>
      </c>
      <c r="K12" s="253">
        <f>-1265910.57+793997.09+4096374.5+3306520.48</f>
        <v>6930981.5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164650</v>
      </c>
      <c r="K4" s="230">
        <f t="shared" ref="K4" si="0">D7+D11+D15</f>
        <v>21404.5</v>
      </c>
      <c r="L4" s="219">
        <f>F7+F11+F15</f>
        <v>55250</v>
      </c>
    </row>
    <row r="5" spans="1:12" x14ac:dyDescent="0.35">
      <c r="A5" s="28" t="s">
        <v>43</v>
      </c>
      <c r="B5" s="132">
        <f>IF(DigitaNICA!C2&lt;&gt;"",DigitaNICA!C2,"")</f>
        <v>52</v>
      </c>
      <c r="C5" s="29">
        <f>IF(DigitaNICA!C4&lt;&gt;"",DigitaNICA!C4,"")</f>
        <v>21400</v>
      </c>
      <c r="D5" s="42">
        <f>IF(C5="",0,C5*J$10)</f>
        <v>2782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18618</v>
      </c>
      <c r="I5" s="240" t="s">
        <v>37</v>
      </c>
      <c r="J5" s="220">
        <f>SUM(IF(C5="",0,C5),IF(C9="",0,C9),IF(C13="",0,C13),IF(C17="",0,C17))</f>
        <v>34350</v>
      </c>
      <c r="K5" s="224">
        <f t="shared" ref="K5" si="2">D5+D9+D13+D17</f>
        <v>4465.5</v>
      </c>
      <c r="L5" s="221">
        <f>F5+F9+F13+F17</f>
        <v>24000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9050</v>
      </c>
      <c r="K6" s="227">
        <f>D19+D20</f>
        <v>1176.5</v>
      </c>
      <c r="L6" s="228">
        <f>F19+F20</f>
        <v>28000</v>
      </c>
    </row>
    <row r="7" spans="1:12" ht="15" thickBot="1" x14ac:dyDescent="0.4">
      <c r="A7" s="28" t="s">
        <v>46</v>
      </c>
      <c r="B7" s="132">
        <f>IF(DigitaTICA!C2&lt;&gt;"",DigitaTICA!C2,"")</f>
        <v>89</v>
      </c>
      <c r="C7" s="29">
        <f>IF(DigitaTICA!C4&lt;&gt;"",DigitaTICA!C4,"")</f>
        <v>61850</v>
      </c>
      <c r="D7" s="42">
        <f>IF(C7="",0,C7*J$9)</f>
        <v>8040.5</v>
      </c>
      <c r="E7" s="29">
        <f>IF(DigitaTICA!D4&lt;&gt;"",DigitaTICA!D4,"")</f>
        <v>650</v>
      </c>
      <c r="F7" s="42">
        <f>IF(E7="",0,E7*PREMIOS!F7)</f>
        <v>55250</v>
      </c>
      <c r="G7" s="30">
        <f t="shared" si="1"/>
        <v>-1440.5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IF(DigitaNICA!E4&lt;&gt;"",DigitaNICA!E4,"")</f>
        <v>8950</v>
      </c>
      <c r="D9" s="42">
        <f>IF(C9="",0,C9*J$10)</f>
        <v>1163.5</v>
      </c>
      <c r="E9" s="29">
        <f>IF(DigitaNICA!F4&lt;&gt;"",DigitaNICA!F4,"")</f>
        <v>300</v>
      </c>
      <c r="F9" s="42">
        <f>IF(E9="",0,E9*PREMIOS!E9)</f>
        <v>24000</v>
      </c>
      <c r="G9" s="30">
        <f t="shared" si="1"/>
        <v>-16213.5</v>
      </c>
      <c r="I9" s="76" t="s">
        <v>36</v>
      </c>
      <c r="J9" s="77">
        <v>0.13</v>
      </c>
      <c r="K9" s="78">
        <f>MROUND(D7+D11+D15,50)</f>
        <v>21400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4450</v>
      </c>
    </row>
    <row r="11" spans="1:12" x14ac:dyDescent="0.35">
      <c r="A11" s="28" t="s">
        <v>59</v>
      </c>
      <c r="B11" s="132">
        <f>IF(DigitaTICA!E2&lt;&gt;"",DigitaTICA!E2,"")</f>
        <v>91</v>
      </c>
      <c r="C11" s="29">
        <f>IF(DigitaTICA!E4&lt;&gt;"",DigitaTICA!E4,"")</f>
        <v>30400</v>
      </c>
      <c r="D11" s="42">
        <f>IF(C11="",0,C11*J$9)</f>
        <v>3952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26448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86</v>
      </c>
      <c r="C15" s="29">
        <f>IF(DigitaTICA!G4&lt;&gt;"",DigitaTICA!G4,"")</f>
        <v>72400</v>
      </c>
      <c r="D15" s="42">
        <f>IF(C15="",0,C15*J$9)</f>
        <v>9412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62988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>
        <f>IF(DigitaNICA!I4&lt;&gt;"",DigitaNICA!I4,"")</f>
        <v>4000</v>
      </c>
      <c r="D17" s="42">
        <f>IF(C17="",0,C17*J$10)</f>
        <v>520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3480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IF(DigitaPRIMERA!C4&lt;&gt;"",DigitaPRIMERA!C4,"")</f>
        <v>7500</v>
      </c>
      <c r="D19" s="42">
        <f>IF(C19="",0,C19*J$12)</f>
        <v>975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-1475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>
        <f>IF(DigitaPRIMERA!E4&lt;&gt;"",DigitaPRIMERA!E4,"")</f>
        <v>1550</v>
      </c>
      <c r="D20" s="42">
        <f>IF(C20="",0,C20*J$12)</f>
        <v>201.5</v>
      </c>
      <c r="E20" s="29">
        <f>IF(DigitaPRIMERA!F4&lt;&gt;"",DigitaPRIMERA!F4,"")</f>
        <v>250</v>
      </c>
      <c r="F20" s="42">
        <f>IF(E20="",0,E20*PREMIOS!E19)</f>
        <v>20000</v>
      </c>
      <c r="G20" s="30">
        <f t="shared" ref="G20" si="5">IF(OR(C20="",E20=""),0,C20-D20-F20)</f>
        <v>-18651.5</v>
      </c>
    </row>
    <row r="21" spans="1:7" ht="15" thickBot="1" x14ac:dyDescent="0.4">
      <c r="A21" s="121" t="s">
        <v>5</v>
      </c>
      <c r="B21" s="128"/>
      <c r="C21" s="122">
        <f>SUM(C5:C20)</f>
        <v>208050</v>
      </c>
      <c r="D21" s="122">
        <f t="shared" ref="D21:G21" si="6">SUM(D5:D20)</f>
        <v>27046.5</v>
      </c>
      <c r="E21" s="122">
        <f t="shared" si="6"/>
        <v>1300</v>
      </c>
      <c r="F21" s="122">
        <f t="shared" si="6"/>
        <v>107250</v>
      </c>
      <c r="G21" s="123">
        <f t="shared" si="6"/>
        <v>73753.5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186300</v>
      </c>
      <c r="K4" s="230">
        <f t="shared" ref="K4" si="0">D7+D11+D15</f>
        <v>24219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>
        <f>IF(DigitaNICA!C5&lt;&gt;"",DigitaNICA!C5,"")</f>
        <v>4800</v>
      </c>
      <c r="D5" s="42">
        <f>IF(C5="",0,C5*J$10)</f>
        <v>624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-11824</v>
      </c>
      <c r="I5" s="240" t="s">
        <v>37</v>
      </c>
      <c r="J5" s="220">
        <f>SUM(IF(C5="",0,C5),IF(C9="",0,C9),IF(C13="",0,C13),IF(C17="",0,C17))</f>
        <v>9900</v>
      </c>
      <c r="K5" s="224">
        <f t="shared" ref="K5" si="2">D5+D9+D13+D17</f>
        <v>1287</v>
      </c>
      <c r="L5" s="221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9400</v>
      </c>
      <c r="K6" s="227">
        <f>D19+D20</f>
        <v>1222</v>
      </c>
      <c r="L6" s="228">
        <f>F19+F20</f>
        <v>40000</v>
      </c>
    </row>
    <row r="7" spans="1:12" ht="15" thickBot="1" x14ac:dyDescent="0.4">
      <c r="A7" s="28" t="s">
        <v>46</v>
      </c>
      <c r="B7" s="132">
        <f>IF(DigitaTICA!C2&lt;&gt;"",DigitaTICA!C2,"")</f>
        <v>89</v>
      </c>
      <c r="C7" s="29">
        <f>IF(DigitaTICA!C5&lt;&gt;"",DigitaTICA!C5,"")</f>
        <v>67900</v>
      </c>
      <c r="D7" s="42">
        <f>IF(C7="",0,C7*J$9)</f>
        <v>8827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59073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IF(DigitaNICA!E5&lt;&gt;"",DigitaNICA!E5,"")</f>
        <v>3500</v>
      </c>
      <c r="D9" s="42">
        <f>IF(C9="",0,C9*J$10)</f>
        <v>455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3045</v>
      </c>
      <c r="I9" s="60" t="s">
        <v>36</v>
      </c>
      <c r="J9" s="61">
        <v>0.13</v>
      </c>
      <c r="K9" s="62">
        <f>MROUND(D7+D11+D15,50)</f>
        <v>24200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1300</v>
      </c>
    </row>
    <row r="11" spans="1:12" x14ac:dyDescent="0.35">
      <c r="A11" s="28" t="s">
        <v>59</v>
      </c>
      <c r="B11" s="132">
        <f>IF(DigitaTICA!E2&lt;&gt;"",DigitaTICA!E2,"")</f>
        <v>91</v>
      </c>
      <c r="C11" s="29">
        <f>IF(DigitaTICA!E5&lt;&gt;"",DigitaTICA!E5,"")</f>
        <v>50600</v>
      </c>
      <c r="D11" s="42">
        <f>IF(C11="",0,C11*J$9)</f>
        <v>6578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44022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86</v>
      </c>
      <c r="C15" s="29">
        <f>IF(DigitaTICA!G5&lt;&gt;"",DigitaTICA!G5,"")</f>
        <v>67800</v>
      </c>
      <c r="D15" s="42">
        <f>IF(C15="",0,C15*J$9)</f>
        <v>8814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58986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>
        <f>IF(DigitaNICA!I5&lt;&gt;"",DigitaNICA!I5,"")</f>
        <v>1600</v>
      </c>
      <c r="D17" s="42">
        <f>IF(C17="",0,C17*J$10)</f>
        <v>208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1392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IF(DigitaPRIMERA!C5&lt;&gt;"",DigitaPRIMERA!C5,"")</f>
        <v>3400</v>
      </c>
      <c r="D19" s="42">
        <f>IF(C19="",0,C19*J$12)</f>
        <v>442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2958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>
        <f>IF(DigitaPRIMERA!E5&lt;&gt;"",DigitaPRIMERA!E5,"")</f>
        <v>6000</v>
      </c>
      <c r="D20" s="42">
        <f>IF(C20="",0,C20*J$12)</f>
        <v>780</v>
      </c>
      <c r="E20" s="29">
        <f>IF(DigitaPRIMERA!F5&lt;&gt;"",DigitaPRIMERA!F5,"")</f>
        <v>500</v>
      </c>
      <c r="F20" s="42">
        <f>IF(E20="",0,E20*PREMIOS!E19)</f>
        <v>40000</v>
      </c>
      <c r="G20" s="30">
        <f t="shared" si="3"/>
        <v>-34780</v>
      </c>
    </row>
    <row r="21" spans="1:7" ht="15" thickBot="1" x14ac:dyDescent="0.4">
      <c r="A21" s="67" t="s">
        <v>5</v>
      </c>
      <c r="B21" s="127"/>
      <c r="C21" s="68">
        <f>SUM(C5:C20)</f>
        <v>205600</v>
      </c>
      <c r="D21" s="68">
        <f t="shared" ref="D21:G21" si="4">SUM(D5:D20)</f>
        <v>26728</v>
      </c>
      <c r="E21" s="68">
        <f t="shared" si="4"/>
        <v>700</v>
      </c>
      <c r="F21" s="68">
        <f t="shared" si="4"/>
        <v>56000</v>
      </c>
      <c r="G21" s="88">
        <f t="shared" si="4"/>
        <v>122872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148</v>
      </c>
      <c r="C2" s="279"/>
      <c r="D2" s="280"/>
      <c r="J2" s="21" t="s">
        <v>148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136650</v>
      </c>
      <c r="K4" s="230">
        <f t="shared" ref="K4" si="0">D7+D11+D15</f>
        <v>16398</v>
      </c>
      <c r="L4" s="219">
        <f>F7+F11+F15</f>
        <v>68000</v>
      </c>
    </row>
    <row r="5" spans="1:12" x14ac:dyDescent="0.35">
      <c r="A5" s="28" t="s">
        <v>43</v>
      </c>
      <c r="B5" s="132">
        <f>IF(DigitaNICA!C2&lt;&gt;"",DigitaNICA!C2,"")</f>
        <v>52</v>
      </c>
      <c r="C5" s="29">
        <f>IF(DigitaNICA!C8&lt;&gt;"",DigitaNICA!C8,"")</f>
        <v>40000</v>
      </c>
      <c r="D5" s="42">
        <f>IF(C5="",0,C5*J$12)</f>
        <v>4800</v>
      </c>
      <c r="E5" s="29">
        <f>IF(DigitaNICA!D8&lt;&gt;"",DigitaNICA!D8,"")</f>
        <v>750</v>
      </c>
      <c r="F5" s="42">
        <f>IF(E5="",0,E5*PREMIOS!E5)</f>
        <v>60000</v>
      </c>
      <c r="G5" s="30">
        <f t="shared" ref="G5:G12" si="1">IF(OR(C5="",E5=""),0,C5-D5-F5)</f>
        <v>-24800</v>
      </c>
      <c r="I5" s="240" t="s">
        <v>37</v>
      </c>
      <c r="J5" s="220">
        <f>SUM(IF(C5="",0,C5),IF(C9="",0,C9),IF(C13="",0,C13),IF(C17="",0,C17))</f>
        <v>99850</v>
      </c>
      <c r="K5" s="224">
        <f t="shared" ref="K5" si="2">D5+D9+D13+D17</f>
        <v>11982</v>
      </c>
      <c r="L5" s="221">
        <f>F5+F9+F13+F17</f>
        <v>68000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89</v>
      </c>
      <c r="C7" s="29">
        <f>IF(DigitaTICA!C8&lt;&gt;"",DigitaTICA!C8,"")</f>
        <v>46300</v>
      </c>
      <c r="D7" s="42">
        <f>IF(C7="",0,C7*J$11)</f>
        <v>5556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-1756</v>
      </c>
      <c r="I7" s="241" t="s">
        <v>96</v>
      </c>
      <c r="J7" s="223">
        <f>SUM(IF(C19="",0,C19),IF(C20="",0,C20))</f>
        <v>31450</v>
      </c>
      <c r="K7" s="227">
        <f>+D19+D20</f>
        <v>3774</v>
      </c>
      <c r="L7" s="228">
        <f>+F19+F20</f>
        <v>16000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>
        <f>IF(DigitaNICA!E8&lt;&gt;"",DigitaNICA!E8,"")</f>
        <v>30950</v>
      </c>
      <c r="D9" s="42">
        <f>IF(C9="",0,C9*J$12)</f>
        <v>3714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27236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91</v>
      </c>
      <c r="C11" s="29">
        <f>IF(DigitaTICA!E8&lt;&gt;"",DigitaTICA!E8,"")</f>
        <v>33400</v>
      </c>
      <c r="D11" s="42">
        <f>IF(C11="",0,C11*J$11)</f>
        <v>4008</v>
      </c>
      <c r="E11" s="29">
        <f>IF(DigitaTICA!F8&lt;&gt;"",DigitaTICA!F8,"")</f>
        <v>100</v>
      </c>
      <c r="F11" s="42">
        <f>IF(E11="",0,E11*PREMIOS!F11)</f>
        <v>8500</v>
      </c>
      <c r="G11" s="30">
        <f t="shared" si="1"/>
        <v>20892</v>
      </c>
      <c r="I11" s="60" t="s">
        <v>36</v>
      </c>
      <c r="J11" s="61">
        <v>0.12</v>
      </c>
      <c r="K11" s="62">
        <f>MROUND(D7+D11+D15,50)</f>
        <v>16400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12000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3750</v>
      </c>
    </row>
    <row r="15" spans="1:12" x14ac:dyDescent="0.35">
      <c r="A15" s="28" t="s">
        <v>61</v>
      </c>
      <c r="B15" s="132">
        <f>IF(DigitaTICA!G2&lt;&gt;"",DigitaTICA!G2,"")</f>
        <v>86</v>
      </c>
      <c r="C15" s="29">
        <f>IF(DigitaTICA!G8&lt;&gt;"",DigitaTICA!G8,"")</f>
        <v>56950</v>
      </c>
      <c r="D15" s="42">
        <f>IF(C15="",0,C15*J$11)</f>
        <v>6834</v>
      </c>
      <c r="E15" s="29">
        <f>IF(DigitaTICA!H8&lt;&gt;"",DigitaTICA!H8,"")</f>
        <v>200</v>
      </c>
      <c r="F15" s="42">
        <f>IF(E15="",0,E15*PREMIOS!F15)</f>
        <v>17000</v>
      </c>
      <c r="G15" s="30">
        <f t="shared" si="4"/>
        <v>33116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>
        <f>IF(DigitaNICA!I8&lt;&gt;"",DigitaNICA!I8,"")</f>
        <v>28900</v>
      </c>
      <c r="D17" s="42">
        <f>IF(C17="",0,C17*J$12)</f>
        <v>3468</v>
      </c>
      <c r="E17" s="29">
        <f>IF(DigitaNICA!J8&lt;&gt;"",DigitaNICA!J8,"")</f>
        <v>100</v>
      </c>
      <c r="F17" s="42">
        <f>IF(E17="",0,E17*PREMIOS!E17)</f>
        <v>8000</v>
      </c>
      <c r="G17" s="30">
        <f t="shared" si="4"/>
        <v>17432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IF(DigitaPRIMERA!C8&lt;&gt;"",DigitaPRIMERA!C8,"")</f>
        <v>20850</v>
      </c>
      <c r="D19" s="42">
        <f>IF(C19="",0,C19*J$14)</f>
        <v>2502</v>
      </c>
      <c r="E19" s="29">
        <f>IF(DigitaPRIMERA!D8&lt;&gt;"",DigitaPRIMERA!D8,"")</f>
        <v>200</v>
      </c>
      <c r="F19" s="42">
        <f>IF(E19="",0,E19*PREMIOS!E19)</f>
        <v>16000</v>
      </c>
      <c r="G19" s="30">
        <f t="shared" si="4"/>
        <v>2348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>
        <f>IF(DigitaPRIMERA!E8&lt;&gt;"",DigitaPRIMERA!E8,"")</f>
        <v>10600</v>
      </c>
      <c r="D20" s="42">
        <f>IF(C20="",0,C20*J$14)</f>
        <v>1272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9328</v>
      </c>
    </row>
    <row r="21" spans="1:7" ht="15" thickBot="1" x14ac:dyDescent="0.4">
      <c r="A21" s="121" t="s">
        <v>5</v>
      </c>
      <c r="B21" s="128"/>
      <c r="C21" s="122">
        <f>SUM(C5:C20)</f>
        <v>267950</v>
      </c>
      <c r="D21" s="122">
        <f t="shared" ref="D21:G21" si="5">SUM(D5:D20)</f>
        <v>32154</v>
      </c>
      <c r="E21" s="122">
        <f t="shared" si="5"/>
        <v>1850</v>
      </c>
      <c r="F21" s="122">
        <f t="shared" si="5"/>
        <v>152000</v>
      </c>
      <c r="G21" s="123">
        <f t="shared" si="5"/>
        <v>83796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Vendedor 06</v>
      </c>
      <c r="C2" s="279"/>
      <c r="D2" s="280"/>
      <c r="J2" s="21" t="s">
        <v>155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91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289250</v>
      </c>
      <c r="K4" s="230">
        <f t="shared" ref="K4" si="0">D7+D11+D15</f>
        <v>34710</v>
      </c>
      <c r="L4" s="219">
        <f>F7+F11+F15</f>
        <v>212500</v>
      </c>
    </row>
    <row r="5" spans="1:12" x14ac:dyDescent="0.35">
      <c r="A5" s="28" t="s">
        <v>43</v>
      </c>
      <c r="B5" s="132">
        <f>IF(DigitaNICA!C2&lt;&gt;"",DigitaNICA!C2,"")</f>
        <v>52</v>
      </c>
      <c r="C5" s="29">
        <f>IF(DigitaNICA!C10&lt;&gt;"",DigitaNICA!C10,"")</f>
        <v>57150</v>
      </c>
      <c r="D5" s="42">
        <f>IF(C5="",0,C5*J$15)</f>
        <v>6858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50292</v>
      </c>
      <c r="I5" s="216" t="s">
        <v>37</v>
      </c>
      <c r="J5" s="220">
        <f>SUM(IF(C5="",0,C5),IF(C9="",0,C9),IF(C13="",0,C13),IF(C17="",0,C17))</f>
        <v>190000</v>
      </c>
      <c r="K5" s="224">
        <f t="shared" ref="K5" si="2">D5+D9+D13+D17</f>
        <v>22800</v>
      </c>
      <c r="L5" s="221">
        <f>F5+F9+F13+F17</f>
        <v>467500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41100</v>
      </c>
      <c r="K6" s="225">
        <f t="shared" ref="K6" si="3">+D8+D12+D16</f>
        <v>4110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89</v>
      </c>
      <c r="C7" s="29">
        <f>IF(DigitaTICA!C10&lt;&gt;"",DigitaTICA!C10,"")</f>
        <v>107200</v>
      </c>
      <c r="D7" s="42">
        <f>IF(C7="",0,C7*J$14)</f>
        <v>12864</v>
      </c>
      <c r="E7" s="29">
        <f>IF(DigitaTICA!D10&lt;&gt;"",DigitaTICA!D10,"")</f>
        <v>250</v>
      </c>
      <c r="F7" s="42">
        <f>IF(E7="",0,E7*PREMIOS!F7)</f>
        <v>21250</v>
      </c>
      <c r="G7" s="30">
        <f t="shared" si="1"/>
        <v>73086</v>
      </c>
      <c r="I7" s="216" t="s">
        <v>96</v>
      </c>
      <c r="J7" s="222">
        <f>SUM(IF(C19="",0,C19),IF(C20="",0,C20))</f>
        <v>41800</v>
      </c>
      <c r="K7" s="225">
        <f>+D19+D20</f>
        <v>5016</v>
      </c>
      <c r="L7" s="226">
        <f>+F19+F20</f>
        <v>17000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15600</v>
      </c>
      <c r="D8" s="42">
        <f>IF(C8="",0,C8*J$16)</f>
        <v>1560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14040</v>
      </c>
      <c r="I8" s="216" t="s">
        <v>104</v>
      </c>
      <c r="J8" s="222">
        <f>SUM(IF(C21="",0,C21),IF(C22="",0,C22),IF(C23="",0,C23))</f>
        <v>16000</v>
      </c>
      <c r="K8" s="225">
        <f t="shared" ref="K8" si="4">D21+D22+D23</f>
        <v>1920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IF(DigitaNICA!E10&lt;&gt;"",DigitaNICA!E10,"")</f>
        <v>45500</v>
      </c>
      <c r="D9" s="42">
        <f>IF(C9="",0,C9*J$15)</f>
        <v>5460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40040</v>
      </c>
      <c r="I9" s="216" t="s">
        <v>20</v>
      </c>
      <c r="J9" s="222">
        <f>SUM(IF(C24="",0,C24),IF(C25="",0,C25))</f>
        <v>1200</v>
      </c>
      <c r="K9" s="225">
        <f t="shared" ref="K9" si="5">+D24+D25</f>
        <v>144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91</v>
      </c>
      <c r="C11" s="29">
        <f>IF(DigitaTICA!E10&lt;&gt;"",DigitaTICA!E10,"")</f>
        <v>74950</v>
      </c>
      <c r="D11" s="42">
        <f>IF(C11="",0,C11*J$14)</f>
        <v>8994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65956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12050</v>
      </c>
      <c r="D12" s="42">
        <f>IF(C12="",0,C12*J$16)</f>
        <v>1205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10845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34700</v>
      </c>
    </row>
    <row r="15" spans="1:12" x14ac:dyDescent="0.35">
      <c r="A15" s="28" t="s">
        <v>61</v>
      </c>
      <c r="B15" s="132">
        <f>IF(DigitaTICA!G2&lt;&gt;"",DigitaTICA!G2,"")</f>
        <v>86</v>
      </c>
      <c r="C15" s="29">
        <f>IF(DigitaTICA!G10&lt;&gt;"",DigitaTICA!G10,"")</f>
        <v>107100</v>
      </c>
      <c r="D15" s="42">
        <f>IF(C15="",0,C15*J$14)</f>
        <v>12852</v>
      </c>
      <c r="E15" s="29">
        <f>IF(DigitaTICA!H10&lt;&gt;"",DigitaTICA!H10,"")</f>
        <v>2250</v>
      </c>
      <c r="F15" s="42">
        <f>IF(E15="",0,E15*PREMIOS!F15)</f>
        <v>191250</v>
      </c>
      <c r="G15" s="30">
        <f t="shared" si="6"/>
        <v>-97002</v>
      </c>
      <c r="I15" s="63" t="s">
        <v>37</v>
      </c>
      <c r="J15" s="64">
        <v>0.12</v>
      </c>
      <c r="K15" s="30">
        <f>MROUND(D5+D9+D13+D17,50)</f>
        <v>22800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13450</v>
      </c>
      <c r="D16" s="42">
        <f>IF(C16="",0,C16*J$16)</f>
        <v>1345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12105</v>
      </c>
      <c r="I16" s="63" t="s">
        <v>38</v>
      </c>
      <c r="J16" s="64">
        <v>0.1</v>
      </c>
      <c r="K16" s="30">
        <f>MROUND(D6+D8+D10+D12+D14+D16+D18,50)</f>
        <v>4100</v>
      </c>
    </row>
    <row r="17" spans="1:11" x14ac:dyDescent="0.35">
      <c r="A17" s="28" t="s">
        <v>52</v>
      </c>
      <c r="B17" s="132">
        <f>IF(DigitaNICA!I2&lt;&gt;"",DigitaNICA!I2,"")</f>
        <v>91</v>
      </c>
      <c r="C17" s="29">
        <f>IF(DigitaNICA!I10&lt;&gt;"",DigitaNICA!I10,"")</f>
        <v>87350</v>
      </c>
      <c r="D17" s="42">
        <f>IF(C17="",0,C17*J$15)</f>
        <v>10482</v>
      </c>
      <c r="E17" s="29">
        <f>IF(DigitaNICA!J10&lt;&gt;"",DigitaNICA!J10,"")</f>
        <v>5500</v>
      </c>
      <c r="F17" s="42">
        <f>IF(E17="",0,E17*PREMIOS!F17)</f>
        <v>467500</v>
      </c>
      <c r="G17" s="30">
        <f t="shared" si="6"/>
        <v>-390632</v>
      </c>
      <c r="I17" s="63" t="s">
        <v>96</v>
      </c>
      <c r="J17" s="64">
        <v>0.12</v>
      </c>
      <c r="K17" s="30">
        <f>MROUND(D19+D20,50)</f>
        <v>5000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1900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>
        <f>IF(DigitaPRIMERA!$C$10&lt;&gt;"",DigitaPRIMERA!$C$10,"")</f>
        <v>34650</v>
      </c>
      <c r="D19" s="42">
        <f>IF(C19="",0,C19*J$17)</f>
        <v>4158</v>
      </c>
      <c r="E19" s="29">
        <f>IF(DigitaPRIMERA!$D$10&lt;&gt;"",DigitaPRIMERA!$D$10,"")</f>
        <v>200</v>
      </c>
      <c r="F19" s="42">
        <f>IF(E19="",0,E19*PREMIOS!F19)</f>
        <v>17000</v>
      </c>
      <c r="G19" s="30">
        <f t="shared" ref="G19:G22" si="7">IF(OR(C19="",E19=""),0,C19-D19-F19)</f>
        <v>13492</v>
      </c>
      <c r="I19" s="63" t="s">
        <v>20</v>
      </c>
      <c r="J19" s="64">
        <v>0.12</v>
      </c>
      <c r="K19" s="30">
        <f>MROUND(D24+D25,50)</f>
        <v>150</v>
      </c>
    </row>
    <row r="20" spans="1:11" ht="15" thickBot="1" x14ac:dyDescent="0.4">
      <c r="A20" s="28" t="s">
        <v>98</v>
      </c>
      <c r="B20" s="132">
        <f>IF(DigitaPRIMERA!E2&lt;&gt;"",DigitaPRIMERA!E2,"")</f>
        <v>95</v>
      </c>
      <c r="C20" s="29">
        <f>IF(DigitaPRIMERA!$E$10&lt;&gt;"",DigitaPRIMERA!$E$10,"")</f>
        <v>7150</v>
      </c>
      <c r="D20" s="42">
        <f>IF(C20="",0,C20*J$17)</f>
        <v>858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6292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82</v>
      </c>
      <c r="C21" s="29">
        <f>IF(DigitaHONDURAS!$C$10&lt;&gt;"",DigitaHONDURAS!$C$10,"")</f>
        <v>4150</v>
      </c>
      <c r="D21" s="42">
        <f>IF(C21="",0,C21*J$18)</f>
        <v>498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3652</v>
      </c>
    </row>
    <row r="22" spans="1:11" x14ac:dyDescent="0.35">
      <c r="A22" s="28" t="s">
        <v>100</v>
      </c>
      <c r="B22" s="132">
        <f>IF(DigitaHONDURAS!E2&lt;&gt;"",DigitaHONDURAS!E2,"")</f>
        <v>66</v>
      </c>
      <c r="C22" s="29">
        <f>IF(DigitaHONDURAS!$E$10&lt;&gt;"",DigitaHONDURAS!$E$10,"")</f>
        <v>2700</v>
      </c>
      <c r="D22" s="42">
        <f>IF(C22="",0,C22*J$18)</f>
        <v>324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2376</v>
      </c>
    </row>
    <row r="23" spans="1:11" x14ac:dyDescent="0.35">
      <c r="A23" s="28" t="s">
        <v>101</v>
      </c>
      <c r="B23" s="132" t="str">
        <f>IF(DigitaHONDURAS!G2&lt;&gt;"",DigitaHONDURAS!G2,"")</f>
        <v>08</v>
      </c>
      <c r="C23" s="29">
        <f>IF(DigitaHONDURAS!$G$10&lt;&gt;"",DigitaHONDURAS!$G$10,"")</f>
        <v>9150</v>
      </c>
      <c r="D23" s="42">
        <f>IF(C23="",0,C23*J$18)</f>
        <v>1098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8052</v>
      </c>
    </row>
    <row r="24" spans="1:11" x14ac:dyDescent="0.35">
      <c r="A24" s="28" t="s">
        <v>107</v>
      </c>
      <c r="B24" s="132" t="str">
        <f>IF(DigitaDOMINICANA!C2&lt;&gt;"",DigitaDOMINICANA!C2,"")</f>
        <v>03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17</v>
      </c>
      <c r="C25" s="29">
        <f>IF(DigitaDOMINICANA!$E$10&lt;&gt;"",DigitaDOMINICANA!$E$10,"")</f>
        <v>1200</v>
      </c>
      <c r="D25" s="42">
        <f>IF(C25="",0,C25*J$19)</f>
        <v>144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1056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579350</v>
      </c>
      <c r="D27" s="68">
        <f t="shared" ref="D27:F27" si="9">SUM(D5:D26)</f>
        <v>68700</v>
      </c>
      <c r="E27" s="68">
        <f t="shared" si="9"/>
        <v>8200</v>
      </c>
      <c r="F27" s="68">
        <f t="shared" si="9"/>
        <v>697000</v>
      </c>
      <c r="G27" s="88">
        <f>SUM(G5:G26)</f>
        <v>-186350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2000</v>
      </c>
      <c r="K4" s="230">
        <f t="shared" ref="K4" si="0">D7+D11+D15</f>
        <v>240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89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1760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91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86</v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2000</v>
      </c>
      <c r="D21" s="122">
        <f t="shared" ref="D21:G21" si="5">SUM(D5:D20)</f>
        <v>240</v>
      </c>
      <c r="E21" s="122">
        <f t="shared" si="5"/>
        <v>0</v>
      </c>
      <c r="F21" s="122">
        <f t="shared" si="5"/>
        <v>0</v>
      </c>
      <c r="G21" s="123">
        <f t="shared" si="5"/>
        <v>1760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104400</v>
      </c>
      <c r="K4" s="230">
        <f>D7+D11+D15</f>
        <v>12528</v>
      </c>
      <c r="L4" s="219">
        <f>F7+F11+F15</f>
        <v>68000</v>
      </c>
    </row>
    <row r="5" spans="1:12" x14ac:dyDescent="0.35">
      <c r="A5" s="28" t="s">
        <v>43</v>
      </c>
      <c r="B5" s="132">
        <f>IF(DigitaNICA!C2&lt;&gt;"",DigitaNICA!C2,"")</f>
        <v>52</v>
      </c>
      <c r="C5" s="29">
        <f>IF(DigitaNICA!C12&lt;&gt;"",DigitaNICA!C12,"")</f>
        <v>48850</v>
      </c>
      <c r="D5" s="42">
        <f>IF(C5="",0,C5*J$12)</f>
        <v>5862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21738</v>
      </c>
      <c r="I5" s="216" t="s">
        <v>37</v>
      </c>
      <c r="J5" s="220">
        <f>SUM(IF(C5="",0,C5),IF(C9="",0,C9),IF(C13="",0,C13),IF(C17="",0,C17))</f>
        <v>86900</v>
      </c>
      <c r="K5" s="224">
        <f t="shared" ref="K5" si="1">D5+D9+D13+D17</f>
        <v>10428</v>
      </c>
      <c r="L5" s="221">
        <f>F5+F9+F13+F17</f>
        <v>21250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6250</v>
      </c>
      <c r="K6" s="225">
        <f t="shared" ref="K6" si="2">+D8+D12+D16</f>
        <v>625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89</v>
      </c>
      <c r="C7" s="29">
        <f>IF(DigitaTICA!C12&lt;&gt;"",DigitaTICA!C12,"")</f>
        <v>64050</v>
      </c>
      <c r="D7" s="42">
        <f>IF(C7="",0,C7*J$11)</f>
        <v>7686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30864</v>
      </c>
      <c r="I7" s="216" t="s">
        <v>96</v>
      </c>
      <c r="J7" s="222">
        <f>SUM(IF(C19="",0,C19),IF(C20="",0,C20))</f>
        <v>60450</v>
      </c>
      <c r="K7" s="225">
        <f>+D19+D20</f>
        <v>7254</v>
      </c>
      <c r="L7" s="226">
        <f>+F19+F20</f>
        <v>38250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4750</v>
      </c>
      <c r="D8" s="42">
        <f>IF(C8="",0,C8*J$13)</f>
        <v>475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4275</v>
      </c>
      <c r="I8" s="217" t="s">
        <v>104</v>
      </c>
      <c r="J8" s="223">
        <f>SUM(IF(C21="",0,C21),IF(C22="",0,C22),IF(C23="",0,C23))</f>
        <v>7000</v>
      </c>
      <c r="K8" s="227">
        <f>+D21+D22+D23</f>
        <v>840</v>
      </c>
      <c r="L8" s="228">
        <f>+F21+F22+F23</f>
        <v>17000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>
        <f>IF(DigitaNICA!E12&lt;&gt;"",DigitaNICA!E12,"")</f>
        <v>36050</v>
      </c>
      <c r="D9" s="42">
        <f>IF(C9="",0,C9*J$12)</f>
        <v>4326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31724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91</v>
      </c>
      <c r="C11" s="29">
        <f>IF(DigitaTICA!E12&lt;&gt;"",DigitaTICA!E12,"")</f>
        <v>25250</v>
      </c>
      <c r="D11" s="42">
        <f>IF(C11="",0,C11*J$11)</f>
        <v>3030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970</v>
      </c>
      <c r="I11" s="60" t="s">
        <v>36</v>
      </c>
      <c r="J11" s="61">
        <v>0.12</v>
      </c>
      <c r="K11" s="62">
        <f>MROUND(D7+D11+D15,50)</f>
        <v>12550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10450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650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7250</v>
      </c>
    </row>
    <row r="15" spans="1:12" ht="15" thickBot="1" x14ac:dyDescent="0.4">
      <c r="A15" s="28" t="s">
        <v>61</v>
      </c>
      <c r="B15" s="132">
        <f>IF(DigitaTICA!G2&lt;&gt;"",DigitaTICA!G2,"")</f>
        <v>86</v>
      </c>
      <c r="C15" s="29">
        <f>IF(DigitaTICA!G12&lt;&gt;"",DigitaTICA!G12,"")</f>
        <v>15100</v>
      </c>
      <c r="D15" s="42">
        <f>IF(C15="",0,C15*J$11)</f>
        <v>1812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-7962</v>
      </c>
      <c r="I15" s="65" t="s">
        <v>104</v>
      </c>
      <c r="J15" s="66">
        <v>0.12</v>
      </c>
      <c r="K15" s="50">
        <f>MROUND(D21+D22+D23,50)</f>
        <v>850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91</v>
      </c>
      <c r="C17" s="29">
        <f>IF(DigitaNICA!I12&lt;&gt;"",DigitaNICA!I12,"")</f>
        <v>2000</v>
      </c>
      <c r="D17" s="42">
        <f>IF(C17="",0,C17*J$12)</f>
        <v>240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1760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IF(DigitaPRIMERA!$C$12&lt;&gt;"",DigitaPRIMERA!$C$12,"")</f>
        <v>60450</v>
      </c>
      <c r="D19" s="42">
        <f>IF(C19="",0,C19*J$14)</f>
        <v>7254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14946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82</v>
      </c>
      <c r="C21" s="29">
        <f>IF(DigitaHONDURAS!$C$12&lt;&gt;"",DigitaHONDURAS!$C$12,"")</f>
        <v>7000</v>
      </c>
      <c r="D21" s="42">
        <f>IF(C21="",0,C21*J$15)</f>
        <v>840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-10840</v>
      </c>
    </row>
    <row r="22" spans="1:7" x14ac:dyDescent="0.35">
      <c r="A22" s="28" t="s">
        <v>100</v>
      </c>
      <c r="B22" s="132">
        <f>IF(DigitaHONDURAS!E2&lt;&gt;"",DigitaHONDURAS!E2,"")</f>
        <v>66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265000</v>
      </c>
      <c r="D24" s="68">
        <f t="shared" ref="D24:G24" si="4">SUM(D5:D23)</f>
        <v>31675</v>
      </c>
      <c r="E24" s="68">
        <f t="shared" si="4"/>
        <v>1700</v>
      </c>
      <c r="F24" s="68">
        <f t="shared" si="4"/>
        <v>144500</v>
      </c>
      <c r="G24" s="88">
        <f t="shared" si="4"/>
        <v>88825</v>
      </c>
    </row>
    <row r="27" spans="1:7" x14ac:dyDescent="0.35">
      <c r="G27" s="21">
        <v>0</v>
      </c>
    </row>
    <row r="28" spans="1:7" x14ac:dyDescent="0.35">
      <c r="G28" s="140">
        <f>+G24+G27</f>
        <v>88825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65250</v>
      </c>
      <c r="K4" s="230">
        <f t="shared" ref="K4" si="0">D7+D11+D15</f>
        <v>7830</v>
      </c>
      <c r="L4" s="219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52</v>
      </c>
      <c r="C5" s="29">
        <f>IF(DigitaNICA!C13&lt;&gt;"",DigitaNICA!C13,"")</f>
        <v>25600</v>
      </c>
      <c r="D5" s="42">
        <f>IF(C5="",0,C5*J$10)</f>
        <v>3072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22528</v>
      </c>
      <c r="I5" s="217" t="s">
        <v>37</v>
      </c>
      <c r="J5" s="231">
        <f>SUM(IF(C5="",0,C5),IF(C9="",0,C9),IF(C13="",0,C13),IF(C17="",0,C17))</f>
        <v>37750</v>
      </c>
      <c r="K5" s="232">
        <f t="shared" ref="K5" si="2">D5+D9+D13+D17</f>
        <v>4530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89</v>
      </c>
      <c r="C7" s="29">
        <f>IF(DigitaTICA!C13&lt;&gt;"",DigitaTICA!C13,"")</f>
        <v>37150</v>
      </c>
      <c r="D7" s="42">
        <f>IF(C7="",0,C7*J$9)</f>
        <v>4458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32692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IF(DigitaNICA!E13&lt;&gt;"",DigitaNICA!E13,"")</f>
        <v>10500</v>
      </c>
      <c r="D9" s="42">
        <f>IF(C9="",0,C9*J$10)</f>
        <v>1260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9240</v>
      </c>
      <c r="I9" s="60" t="s">
        <v>36</v>
      </c>
      <c r="J9" s="61">
        <v>0.12</v>
      </c>
      <c r="K9" s="62">
        <f>MROUND(D7+D11+D15,50)</f>
        <v>7850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4550</v>
      </c>
    </row>
    <row r="11" spans="1:12" ht="15" thickBot="1" x14ac:dyDescent="0.4">
      <c r="A11" s="28" t="s">
        <v>59</v>
      </c>
      <c r="B11" s="132">
        <f>IF(DigitaTICA!E2&lt;&gt;"",DigitaTICA!E2,"")</f>
        <v>91</v>
      </c>
      <c r="C11" s="29">
        <f>IF(DigitaTICA!E13&lt;&gt;"",DigitaTICA!E13,"")</f>
        <v>14900</v>
      </c>
      <c r="D11" s="42">
        <f>IF(C11="",0,C11*J$9)</f>
        <v>1788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13112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86</v>
      </c>
      <c r="C15" s="29">
        <f>IF(DigitaTICA!G13&lt;&gt;"",DigitaTICA!G13,"")</f>
        <v>13200</v>
      </c>
      <c r="D15" s="42">
        <f>IF(C15="",0,C15*J$9)</f>
        <v>1584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11616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>
        <f>IF(DigitaNICA!I13&lt;&gt;"",DigitaNICA!I13,"")</f>
        <v>1650</v>
      </c>
      <c r="D17" s="42">
        <f>IF(C17="",0,C17*J$10)</f>
        <v>198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1452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103000</v>
      </c>
      <c r="D19" s="68">
        <f>MROUND(SUM(D5:D18),50)</f>
        <v>12350</v>
      </c>
      <c r="E19" s="68">
        <f>SUM(E5:E18)</f>
        <v>0</v>
      </c>
      <c r="F19" s="68">
        <f>SUM(F5:F18)</f>
        <v>0</v>
      </c>
      <c r="G19" s="88">
        <f>SUM(G5:G18)</f>
        <v>90640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153900</v>
      </c>
      <c r="K4" s="235">
        <f t="shared" ref="K4" si="0">D7+D11+D15</f>
        <v>23085</v>
      </c>
      <c r="L4" s="236">
        <f>F7+F11+F15</f>
        <v>148000</v>
      </c>
    </row>
    <row r="5" spans="1:12" x14ac:dyDescent="0.35">
      <c r="A5" s="28" t="s">
        <v>43</v>
      </c>
      <c r="B5" s="132">
        <f>IF(DigitaNICA!C2&lt;&gt;"",DigitaNICA!C2,"")</f>
        <v>52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89</v>
      </c>
      <c r="C7" s="29">
        <f>IF(DigitaTICA!C14&lt;&gt;"",DigitaTICA!C14,"")</f>
        <v>53050</v>
      </c>
      <c r="D7" s="42">
        <f>IF(C7="",0,C7*J$9)</f>
        <v>7957.5</v>
      </c>
      <c r="E7" s="29">
        <f>IF(DigitaTICA!D14&lt;&gt;"",DigitaTICA!D14,"")</f>
        <v>400</v>
      </c>
      <c r="F7" s="42">
        <f>IF(E7="",0,E7*PREMIOS!E7)</f>
        <v>32000</v>
      </c>
      <c r="G7" s="30">
        <f t="shared" si="1"/>
        <v>13092.5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49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23100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91</v>
      </c>
      <c r="C11" s="29">
        <f>IF(DigitaTICA!E14&lt;&gt;"",DigitaTICA!E14,"")</f>
        <v>22300</v>
      </c>
      <c r="D11" s="42">
        <f>IF(C11="",0,C11*J$9)</f>
        <v>3345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-61045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86</v>
      </c>
      <c r="C15" s="29">
        <f>IF(DigitaTICA!G14&lt;&gt;"",DigitaTICA!G14,"")</f>
        <v>78550</v>
      </c>
      <c r="D15" s="42">
        <f>IF(C15="",0,C15*J$9)</f>
        <v>11782.5</v>
      </c>
      <c r="E15" s="29">
        <f>IF(DigitaTICA!H14&lt;&gt;"",DigitaTICA!H14,"")</f>
        <v>450</v>
      </c>
      <c r="F15" s="42">
        <f>IF(E15="",0,E15*PREMIOS!E15)</f>
        <v>36000</v>
      </c>
      <c r="G15" s="30">
        <f t="shared" si="2"/>
        <v>30767.5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153900</v>
      </c>
      <c r="D19" s="68">
        <f>MROUND(SUM(D5:D18),50)</f>
        <v>23100</v>
      </c>
      <c r="E19" s="68">
        <f>SUM(E5:E18)</f>
        <v>1850</v>
      </c>
      <c r="F19" s="68">
        <f>SUM(F5:F18)</f>
        <v>148000</v>
      </c>
      <c r="G19" s="88">
        <f>SUM(G5:G18)</f>
        <v>-17185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68200</v>
      </c>
      <c r="K4" s="230">
        <f>D7+D11+D15</f>
        <v>8184</v>
      </c>
      <c r="L4" s="219">
        <f>F7+F11+F15</f>
        <v>25500</v>
      </c>
    </row>
    <row r="5" spans="1:12" x14ac:dyDescent="0.35">
      <c r="A5" s="28" t="s">
        <v>43</v>
      </c>
      <c r="B5" s="132">
        <f>IF(DigitaNICA!C2&lt;&gt;"",DigitaNICA!C2,"")</f>
        <v>52</v>
      </c>
      <c r="C5" s="29">
        <f>IF(DigitaNICA!C16&lt;&gt;"",DigitaNICA!C16,"")</f>
        <v>5400</v>
      </c>
      <c r="D5" s="42">
        <f>IF(C5="",0,C5*J$12)</f>
        <v>648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4752</v>
      </c>
      <c r="I5" s="63" t="s">
        <v>37</v>
      </c>
      <c r="J5" s="224">
        <f>SUM(IF(C5="",0,C5),IF(C9="",0,C9),IF(C13="",0,C13),IF(C17="",0,C17))</f>
        <v>21850</v>
      </c>
      <c r="K5" s="224">
        <f t="shared" ref="K5" si="1">D5+D9+D13+D17</f>
        <v>2622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2400</v>
      </c>
      <c r="K6" s="225">
        <f t="shared" ref="K6" si="2">+D8+D12+D16</f>
        <v>240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89</v>
      </c>
      <c r="C7" s="29">
        <f>IF(DigitaTICA!C16&lt;&gt;"",DigitaTICA!C16,"")</f>
        <v>19050</v>
      </c>
      <c r="D7" s="42">
        <f>IF(C7="",0,C7*J$11)</f>
        <v>2286</v>
      </c>
      <c r="E7" s="29">
        <f>IF(DigitaTICA!D16&lt;&gt;"",DigitaTICA!D16,"")</f>
        <v>300</v>
      </c>
      <c r="F7" s="133">
        <f>IF(E7="",0,E7*PREMIOS!F7)</f>
        <v>25500</v>
      </c>
      <c r="G7" s="30">
        <f t="shared" si="0"/>
        <v>-8736</v>
      </c>
      <c r="I7" s="63" t="s">
        <v>96</v>
      </c>
      <c r="J7" s="225">
        <f>SUM(IF(C19="",0,C19),IF(C20="",0,C20))</f>
        <v>0</v>
      </c>
      <c r="K7" s="225">
        <f>+D19+D20</f>
        <v>0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7">
        <f>SUM(IF(C21="",0,C21),IF(C22="",0,C22),IF(C23="",0,C23))</f>
        <v>300</v>
      </c>
      <c r="K8" s="227">
        <f>D21+D22+D23</f>
        <v>36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>
        <f>IF(DigitaNICA!E16&lt;&gt;"",DigitaNICA!E16,"")</f>
        <v>16450</v>
      </c>
      <c r="D9" s="42">
        <f>IF(C9="",0,C9*J$12)</f>
        <v>1974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14476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91</v>
      </c>
      <c r="C11" s="29">
        <f>IF(DigitaTICA!E16&lt;&gt;"",DigitaTICA!E16,"")</f>
        <v>20550</v>
      </c>
      <c r="D11" s="42">
        <f>IF(C11="",0,C11*J$11)</f>
        <v>2466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18084</v>
      </c>
      <c r="I11" s="76" t="s">
        <v>36</v>
      </c>
      <c r="J11" s="77">
        <v>0.12</v>
      </c>
      <c r="K11" s="78">
        <f>MROUND(D7+D11+D15,50)</f>
        <v>8200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2400</v>
      </c>
      <c r="D12" s="42">
        <f>IF(C12="",0,C12*J$13)</f>
        <v>240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2160</v>
      </c>
      <c r="I12" s="63" t="s">
        <v>37</v>
      </c>
      <c r="J12" s="64">
        <v>0.12</v>
      </c>
      <c r="K12" s="30">
        <f>MROUND(D5+D9+D13+D17,50)</f>
        <v>2600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86</v>
      </c>
      <c r="C15" s="29">
        <f>IF(DigitaTICA!G16&lt;&gt;"",DigitaTICA!G16,"")</f>
        <v>28600</v>
      </c>
      <c r="D15" s="42">
        <f>IF(C15="",0,C15*J$11)</f>
        <v>3432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25168</v>
      </c>
      <c r="I15" s="65" t="s">
        <v>104</v>
      </c>
      <c r="J15" s="66">
        <v>0.12</v>
      </c>
      <c r="K15" s="50">
        <f>MROUND(D21+D22+D23,50)</f>
        <v>50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82</v>
      </c>
      <c r="C21" s="29">
        <f>IF(DigitaHONDURAS!$C$16&lt;&gt;"",DigitaHONDURAS!$C$16,"")</f>
        <v>300</v>
      </c>
      <c r="D21" s="42">
        <f>IF(C21="",0,C21*J$15)</f>
        <v>36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264</v>
      </c>
    </row>
    <row r="22" spans="1:7" x14ac:dyDescent="0.35">
      <c r="A22" s="28" t="s">
        <v>100</v>
      </c>
      <c r="B22" s="132">
        <f>IF(DigitaHONDURAS!E2&lt;&gt;"",DigitaHONDURAS!E2,"")</f>
        <v>66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92750</v>
      </c>
      <c r="D24" s="122">
        <f t="shared" ref="D24:G24" si="5">SUM(D5:D23)</f>
        <v>11082</v>
      </c>
      <c r="E24" s="122">
        <f t="shared" si="5"/>
        <v>300</v>
      </c>
      <c r="F24" s="122">
        <f t="shared" si="5"/>
        <v>25500</v>
      </c>
      <c r="G24" s="123">
        <f t="shared" si="5"/>
        <v>56168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52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89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49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91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>
        <f>IF(DigitaTICA!G2&lt;&gt;"",DigitaTICA!G2,"")</f>
        <v>86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91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95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82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66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08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52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89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49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91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>
        <f>IF(DigitaTICA!G2&lt;&gt;"",DigitaTICA!G2,"")</f>
        <v>86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91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95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82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66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89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49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86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91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>
        <f>IF(PREMIOS!$B7="","",PREMIOS!$B7)</f>
        <v>89</v>
      </c>
      <c r="D2" s="267"/>
      <c r="E2" s="266">
        <f>IF(PREMIOS!$B11="","",PREMIOS!$B11)</f>
        <v>91</v>
      </c>
      <c r="F2" s="267"/>
      <c r="G2" s="266">
        <f>IF(PREMIOS!$B15="","",PREMIOS!$B15)</f>
        <v>86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61850</v>
      </c>
      <c r="D4" s="78">
        <v>650</v>
      </c>
      <c r="E4" s="188">
        <v>30400</v>
      </c>
      <c r="F4" s="78">
        <f t="shared" ref="D4:H27" si="0">IF(E4="","",0)</f>
        <v>0</v>
      </c>
      <c r="G4" s="188">
        <v>72400</v>
      </c>
      <c r="H4" s="78">
        <f t="shared" si="0"/>
        <v>0</v>
      </c>
      <c r="J4" s="42">
        <f t="shared" ref="J4:J8" si="1">+C4+E4+G4</f>
        <v>164650</v>
      </c>
      <c r="K4" s="42">
        <f>IF(D4="",0,IF(F4="",D4,IF(H4="",D4+F4,D4+F4+H4)))</f>
        <v>650</v>
      </c>
    </row>
    <row r="5" spans="1:11" x14ac:dyDescent="0.35">
      <c r="A5" s="47">
        <v>2</v>
      </c>
      <c r="B5" s="177" t="str">
        <f>Vendedor2!$B$2</f>
        <v>PUESTO 2</v>
      </c>
      <c r="C5" s="179">
        <v>67900</v>
      </c>
      <c r="D5" s="30">
        <f t="shared" si="0"/>
        <v>0</v>
      </c>
      <c r="E5" s="179">
        <v>50600</v>
      </c>
      <c r="F5" s="30">
        <f t="shared" si="0"/>
        <v>0</v>
      </c>
      <c r="G5" s="179">
        <v>67800</v>
      </c>
      <c r="H5" s="30">
        <f t="shared" si="0"/>
        <v>0</v>
      </c>
      <c r="J5" s="42">
        <f t="shared" si="1"/>
        <v>186300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0"/>
        <v/>
      </c>
      <c r="G6" s="179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179"/>
      <c r="F7" s="30" t="str">
        <f t="shared" si="0"/>
        <v/>
      </c>
      <c r="G7" s="179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46300</v>
      </c>
      <c r="D8" s="30">
        <v>500</v>
      </c>
      <c r="E8" s="179">
        <v>33400</v>
      </c>
      <c r="F8" s="30">
        <v>100</v>
      </c>
      <c r="G8" s="179">
        <v>56950</v>
      </c>
      <c r="H8" s="30">
        <v>200</v>
      </c>
      <c r="J8" s="42">
        <f t="shared" si="1"/>
        <v>136650</v>
      </c>
      <c r="K8" s="42">
        <f t="shared" si="2"/>
        <v>800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0"/>
        <v/>
      </c>
      <c r="G9" s="179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36500+70700</f>
        <v>107200</v>
      </c>
      <c r="D10" s="30">
        <f>100+150</f>
        <v>250</v>
      </c>
      <c r="E10" s="179">
        <f>16100+58850</f>
        <v>74950</v>
      </c>
      <c r="F10" s="30">
        <f t="shared" si="0"/>
        <v>0</v>
      </c>
      <c r="G10" s="179">
        <f>17750+89350</f>
        <v>107100</v>
      </c>
      <c r="H10" s="30">
        <f>500+1750</f>
        <v>2250</v>
      </c>
      <c r="J10" s="42">
        <f t="shared" si="3"/>
        <v>289250</v>
      </c>
      <c r="K10" s="42">
        <f t="shared" si="2"/>
        <v>2500</v>
      </c>
    </row>
    <row r="11" spans="1:11" x14ac:dyDescent="0.35">
      <c r="A11" s="47">
        <v>8</v>
      </c>
      <c r="B11" s="177" t="str">
        <f>Vendedor8!$B$2</f>
        <v>ISA</v>
      </c>
      <c r="C11" s="179">
        <v>2000</v>
      </c>
      <c r="D11" s="30">
        <f t="shared" si="0"/>
        <v>0</v>
      </c>
      <c r="E11" s="179"/>
      <c r="F11" s="30" t="str">
        <f t="shared" si="0"/>
        <v/>
      </c>
      <c r="G11" s="179"/>
      <c r="H11" s="30" t="str">
        <f t="shared" si="0"/>
        <v/>
      </c>
      <c r="J11" s="42">
        <f t="shared" si="3"/>
        <v>2000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64050</v>
      </c>
      <c r="D12" s="30">
        <v>300</v>
      </c>
      <c r="E12" s="179">
        <v>25250</v>
      </c>
      <c r="F12" s="30">
        <v>250</v>
      </c>
      <c r="G12" s="179">
        <v>15100</v>
      </c>
      <c r="H12" s="30">
        <v>250</v>
      </c>
      <c r="J12" s="42">
        <f t="shared" si="3"/>
        <v>104400</v>
      </c>
      <c r="K12" s="42">
        <f t="shared" si="2"/>
        <v>800</v>
      </c>
    </row>
    <row r="13" spans="1:11" x14ac:dyDescent="0.35">
      <c r="A13" s="47">
        <v>10</v>
      </c>
      <c r="B13" s="177" t="str">
        <f>Vendedor10!$B$2</f>
        <v>MARIALIZ</v>
      </c>
      <c r="C13" s="179">
        <v>37150</v>
      </c>
      <c r="D13" s="30">
        <f t="shared" si="0"/>
        <v>0</v>
      </c>
      <c r="E13" s="179">
        <v>14900</v>
      </c>
      <c r="F13" s="30">
        <f t="shared" si="0"/>
        <v>0</v>
      </c>
      <c r="G13" s="179">
        <v>13200</v>
      </c>
      <c r="H13" s="30">
        <f t="shared" si="0"/>
        <v>0</v>
      </c>
      <c r="J13" s="42">
        <f t="shared" si="3"/>
        <v>65250</v>
      </c>
      <c r="K13" s="42">
        <f t="shared" si="2"/>
        <v>0</v>
      </c>
    </row>
    <row r="14" spans="1:11" x14ac:dyDescent="0.35">
      <c r="A14" s="47">
        <v>11</v>
      </c>
      <c r="B14" s="177" t="str">
        <f>Vendedor11!$B$2</f>
        <v>CHARLY</v>
      </c>
      <c r="C14" s="179">
        <v>53050</v>
      </c>
      <c r="D14" s="30">
        <v>400</v>
      </c>
      <c r="E14" s="179">
        <v>22300</v>
      </c>
      <c r="F14" s="30">
        <v>1000</v>
      </c>
      <c r="G14" s="179">
        <v>78550</v>
      </c>
      <c r="H14" s="30">
        <v>450</v>
      </c>
      <c r="J14" s="42">
        <f t="shared" si="3"/>
        <v>153900</v>
      </c>
      <c r="K14" s="42">
        <f t="shared" si="2"/>
        <v>1850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179"/>
      <c r="F15" s="30" t="str">
        <f t="shared" si="0"/>
        <v/>
      </c>
      <c r="G15" s="179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19050</v>
      </c>
      <c r="D16" s="30">
        <v>300</v>
      </c>
      <c r="E16" s="179">
        <v>20550</v>
      </c>
      <c r="F16" s="30">
        <f t="shared" si="0"/>
        <v>0</v>
      </c>
      <c r="G16" s="179">
        <v>28600</v>
      </c>
      <c r="H16" s="30">
        <f t="shared" si="0"/>
        <v>0</v>
      </c>
      <c r="J16" s="42">
        <f t="shared" si="3"/>
        <v>68200</v>
      </c>
      <c r="K16" s="42">
        <f t="shared" si="2"/>
        <v>300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0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0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0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0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0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0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0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0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0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458550</v>
      </c>
      <c r="D32" s="44">
        <f t="shared" si="6"/>
        <v>2400</v>
      </c>
      <c r="E32" s="43">
        <f t="shared" si="6"/>
        <v>272350</v>
      </c>
      <c r="F32" s="44">
        <f t="shared" si="6"/>
        <v>1350</v>
      </c>
      <c r="G32" s="43">
        <f t="shared" si="6"/>
        <v>439700</v>
      </c>
      <c r="H32" s="44">
        <f t="shared" si="6"/>
        <v>3150</v>
      </c>
      <c r="J32" s="95">
        <f>SUM(J4:J31)</f>
        <v>1170600</v>
      </c>
      <c r="K32" s="95"/>
    </row>
    <row r="33" spans="2:8" x14ac:dyDescent="0.35">
      <c r="D33" s="99">
        <f>+D32*85</f>
        <v>204000</v>
      </c>
      <c r="F33" s="99">
        <f>+F32*85</f>
        <v>114750</v>
      </c>
      <c r="H33" s="99">
        <f>+H32*85</f>
        <v>267750</v>
      </c>
    </row>
    <row r="34" spans="2:8" x14ac:dyDescent="0.35">
      <c r="B34" s="246"/>
      <c r="C34" s="43"/>
      <c r="D34" s="43"/>
      <c r="E34" s="43"/>
      <c r="F34" s="43"/>
      <c r="G34" s="43"/>
      <c r="H34" s="43"/>
    </row>
    <row r="35" spans="2:8" x14ac:dyDescent="0.35">
      <c r="B35" s="246"/>
      <c r="C35" s="43"/>
      <c r="D35" s="43"/>
      <c r="E35" s="43"/>
      <c r="F35" s="43"/>
      <c r="G35" s="43"/>
      <c r="H35" s="43"/>
    </row>
    <row r="36" spans="2:8" x14ac:dyDescent="0.35">
      <c r="B36" s="246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>
        <f>IF(PREMIOS!$B5="","",PREMIOS!$B5)</f>
        <v>52</v>
      </c>
      <c r="D2" s="267"/>
      <c r="E2" s="266">
        <f>IF(PREMIOS!$B9="","",PREMIOS!$B9)</f>
        <v>49</v>
      </c>
      <c r="F2" s="267"/>
      <c r="G2" s="266" t="str">
        <f>IF(PREMIOS!$B13="","",PREMIOS!$B13)</f>
        <v/>
      </c>
      <c r="H2" s="267"/>
      <c r="I2" s="266">
        <f>IF(PREMIOS!$B17="","",PREMIOS!$B17)</f>
        <v>91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21400</v>
      </c>
      <c r="D4" s="78">
        <f t="shared" ref="D4:J27" si="0">IF(C4="","",0)</f>
        <v>0</v>
      </c>
      <c r="E4" s="205">
        <v>8950</v>
      </c>
      <c r="F4" s="78">
        <v>300</v>
      </c>
      <c r="G4" s="188"/>
      <c r="H4" s="78" t="str">
        <f t="shared" ref="H4:H27" si="1">IF(G4="","",0)</f>
        <v/>
      </c>
      <c r="I4" s="188">
        <v>4000</v>
      </c>
      <c r="J4" s="78">
        <f t="shared" si="0"/>
        <v>0</v>
      </c>
      <c r="L4" s="42">
        <f t="shared" ref="L4:L8" si="2">+C4+E4+G4+I4</f>
        <v>34350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7" t="str">
        <f>Vendedor2!$B$2</f>
        <v>PUESTO 2</v>
      </c>
      <c r="C5" s="179">
        <v>4800</v>
      </c>
      <c r="D5" s="30">
        <v>200</v>
      </c>
      <c r="E5" s="206">
        <v>3500</v>
      </c>
      <c r="F5" s="30">
        <f t="shared" si="0"/>
        <v>0</v>
      </c>
      <c r="G5" s="179"/>
      <c r="H5" s="30" t="str">
        <f t="shared" si="1"/>
        <v/>
      </c>
      <c r="I5" s="179">
        <v>1600</v>
      </c>
      <c r="J5" s="30">
        <f t="shared" ref="J5:J27" si="3">IF(I5="","",0)</f>
        <v>0</v>
      </c>
      <c r="L5" s="42">
        <f t="shared" si="2"/>
        <v>9900</v>
      </c>
      <c r="M5" s="42">
        <f t="shared" ref="M5:M27" si="4">IF(D5=0,0,IF(F5="",D5,IF(H5="",D5+F5,IF(J5="",D5+F5+H5,D5+F5+H5+J5))))</f>
        <v>200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40000</v>
      </c>
      <c r="D8" s="30">
        <v>750</v>
      </c>
      <c r="E8" s="206">
        <v>30950</v>
      </c>
      <c r="F8" s="30">
        <f t="shared" si="0"/>
        <v>0</v>
      </c>
      <c r="G8" s="179"/>
      <c r="H8" s="30" t="str">
        <f t="shared" si="1"/>
        <v/>
      </c>
      <c r="I8" s="179">
        <v>28900</v>
      </c>
      <c r="J8" s="30">
        <v>100</v>
      </c>
      <c r="L8" s="42">
        <f t="shared" si="2"/>
        <v>99850</v>
      </c>
      <c r="M8" s="42">
        <f t="shared" si="4"/>
        <v>750</v>
      </c>
    </row>
    <row r="9" spans="1:13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v>57150</v>
      </c>
      <c r="D10" s="30">
        <f t="shared" si="0"/>
        <v>0</v>
      </c>
      <c r="E10" s="206">
        <f>14000+31500</f>
        <v>45500</v>
      </c>
      <c r="F10" s="30">
        <f t="shared" si="0"/>
        <v>0</v>
      </c>
      <c r="G10" s="179"/>
      <c r="H10" s="30" t="str">
        <f t="shared" si="0"/>
        <v/>
      </c>
      <c r="I10" s="179">
        <f>28700+58650</f>
        <v>87350</v>
      </c>
      <c r="J10" s="30">
        <f>500+5000</f>
        <v>5500</v>
      </c>
      <c r="L10" s="42">
        <f t="shared" si="5"/>
        <v>190000</v>
      </c>
      <c r="M10" s="42">
        <f t="shared" si="4"/>
        <v>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48850</v>
      </c>
      <c r="D12" s="30">
        <v>250</v>
      </c>
      <c r="E12" s="206">
        <v>36050</v>
      </c>
      <c r="F12" s="30">
        <f t="shared" si="0"/>
        <v>0</v>
      </c>
      <c r="G12" s="179"/>
      <c r="H12" s="30" t="str">
        <f t="shared" si="0"/>
        <v/>
      </c>
      <c r="I12" s="179">
        <v>2000</v>
      </c>
      <c r="J12" s="30">
        <f t="shared" si="0"/>
        <v>0</v>
      </c>
      <c r="L12" s="42">
        <f t="shared" si="5"/>
        <v>86900</v>
      </c>
      <c r="M12" s="42">
        <f t="shared" si="4"/>
        <v>250</v>
      </c>
    </row>
    <row r="13" spans="1:13" x14ac:dyDescent="0.35">
      <c r="A13" s="47">
        <v>10</v>
      </c>
      <c r="B13" s="177" t="str">
        <f>Vendedor10!$B$2</f>
        <v>MARIALIZ</v>
      </c>
      <c r="C13" s="179">
        <v>25600</v>
      </c>
      <c r="D13" s="30">
        <f t="shared" si="0"/>
        <v>0</v>
      </c>
      <c r="E13" s="206">
        <v>10500</v>
      </c>
      <c r="F13" s="30">
        <f t="shared" si="0"/>
        <v>0</v>
      </c>
      <c r="G13" s="179"/>
      <c r="H13" s="30" t="str">
        <f t="shared" si="0"/>
        <v/>
      </c>
      <c r="I13" s="179">
        <v>1650</v>
      </c>
      <c r="J13" s="30">
        <f t="shared" si="0"/>
        <v>0</v>
      </c>
      <c r="L13" s="42">
        <f t="shared" si="5"/>
        <v>37750</v>
      </c>
      <c r="M13" s="42">
        <f t="shared" si="4"/>
        <v>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5400</v>
      </c>
      <c r="D16" s="30">
        <f t="shared" si="0"/>
        <v>0</v>
      </c>
      <c r="E16" s="206">
        <v>16450</v>
      </c>
      <c r="F16" s="30">
        <f t="shared" si="0"/>
        <v>0</v>
      </c>
      <c r="G16" s="179"/>
      <c r="H16" s="30" t="str">
        <f t="shared" si="0"/>
        <v/>
      </c>
      <c r="I16" s="179"/>
      <c r="J16" s="30" t="str">
        <f t="shared" si="0"/>
        <v/>
      </c>
      <c r="L16" s="42">
        <f t="shared" si="5"/>
        <v>21850</v>
      </c>
      <c r="M16" s="42">
        <f t="shared" si="4"/>
        <v>0</v>
      </c>
    </row>
    <row r="17" spans="1:13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206"/>
      <c r="F17" s="30" t="str">
        <f t="shared" si="0"/>
        <v/>
      </c>
      <c r="G17" s="179"/>
      <c r="H17" s="30" t="str">
        <f t="shared" si="0"/>
        <v/>
      </c>
      <c r="I17" s="179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206"/>
      <c r="F18" s="30" t="str">
        <f t="shared" si="0"/>
        <v/>
      </c>
      <c r="G18" s="179"/>
      <c r="H18" s="30" t="str">
        <f t="shared" si="0"/>
        <v/>
      </c>
      <c r="I18" s="179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203200</v>
      </c>
      <c r="D32" s="44">
        <f t="shared" si="7"/>
        <v>1200</v>
      </c>
      <c r="E32" s="43">
        <f t="shared" si="7"/>
        <v>151900</v>
      </c>
      <c r="F32" s="44">
        <f t="shared" si="7"/>
        <v>300</v>
      </c>
      <c r="G32" s="43">
        <f t="shared" si="7"/>
        <v>0</v>
      </c>
      <c r="H32" s="44">
        <f t="shared" si="7"/>
        <v>0</v>
      </c>
      <c r="I32" s="43">
        <f t="shared" si="7"/>
        <v>125500</v>
      </c>
      <c r="J32" s="44">
        <f t="shared" si="7"/>
        <v>5600</v>
      </c>
      <c r="L32" s="95">
        <f>SUM(L9:L31)</f>
        <v>336500</v>
      </c>
      <c r="M32" s="95">
        <f>SUM(M9:M31)</f>
        <v>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89 Roja</v>
      </c>
      <c r="D2" s="267"/>
      <c r="E2" s="266" t="str">
        <f>IF(E33=0,"",CONCATENATE(PREMIOS!$B11," ",PREMIOS!$B12))</f>
        <v>91 Blanca</v>
      </c>
      <c r="F2" s="267"/>
      <c r="G2" s="266" t="str">
        <f>IF(G33=0,"",CONCATENATE(PREMIOS!$B15," ",PREMIOS!$B16))</f>
        <v>86 Roja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6900+8700</f>
        <v>15600</v>
      </c>
      <c r="D10" s="30">
        <f t="shared" si="0"/>
        <v>0</v>
      </c>
      <c r="E10" s="179">
        <f>4650+7400</f>
        <v>12050</v>
      </c>
      <c r="F10" s="30">
        <f t="shared" si="0"/>
        <v>0</v>
      </c>
      <c r="G10" s="179">
        <f>5150+8300</f>
        <v>13450</v>
      </c>
      <c r="H10" s="30">
        <f t="shared" si="0"/>
        <v>0</v>
      </c>
      <c r="J10" s="42">
        <f t="shared" si="3"/>
        <v>41100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4750</v>
      </c>
      <c r="D12" s="30">
        <f t="shared" si="0"/>
        <v>0</v>
      </c>
      <c r="E12" s="179">
        <v>500</v>
      </c>
      <c r="F12" s="30">
        <f t="shared" si="1"/>
        <v>0</v>
      </c>
      <c r="G12" s="179">
        <v>1000</v>
      </c>
      <c r="H12" s="30">
        <f t="shared" si="0"/>
        <v>0</v>
      </c>
      <c r="J12" s="42">
        <f t="shared" si="3"/>
        <v>6250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>
        <v>2400</v>
      </c>
      <c r="F16" s="194">
        <f t="shared" si="1"/>
        <v>0</v>
      </c>
      <c r="G16" s="193"/>
      <c r="H16" s="194" t="str">
        <f t="shared" si="0"/>
        <v/>
      </c>
      <c r="J16" s="42">
        <f t="shared" si="3"/>
        <v>2400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20350</v>
      </c>
      <c r="D33" s="44">
        <f t="shared" si="7"/>
        <v>0</v>
      </c>
      <c r="E33" s="43">
        <f t="shared" si="7"/>
        <v>14950</v>
      </c>
      <c r="F33" s="44">
        <f t="shared" si="7"/>
        <v>0</v>
      </c>
      <c r="G33" s="43">
        <f t="shared" si="7"/>
        <v>14450</v>
      </c>
      <c r="H33" s="44">
        <f t="shared" si="7"/>
        <v>0</v>
      </c>
      <c r="J33" s="45">
        <f>SUM(J4:J32)</f>
        <v>49750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19</v>
      </c>
      <c r="D2" s="267"/>
      <c r="E2" s="266">
        <f>IF(PREMIOS!$C19="","",PREMIOS!$C19)</f>
        <v>95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7500</v>
      </c>
      <c r="D4" s="78">
        <v>100</v>
      </c>
      <c r="E4" s="188">
        <v>1550</v>
      </c>
      <c r="F4" s="78">
        <v>250</v>
      </c>
      <c r="H4" s="42">
        <f>+C4+E4</f>
        <v>9050</v>
      </c>
      <c r="I4" s="42">
        <f>IF(D4="",0,IF(F4="",D4,D4+F4))</f>
        <v>350</v>
      </c>
    </row>
    <row r="5" spans="1:9" x14ac:dyDescent="0.35">
      <c r="A5" s="47">
        <v>2</v>
      </c>
      <c r="B5" s="177" t="str">
        <f>Vendedor2!$B$2</f>
        <v>PUESTO 2</v>
      </c>
      <c r="C5" s="179">
        <v>3400</v>
      </c>
      <c r="D5" s="30">
        <f t="shared" ref="D5:F27" si="0">IF(C5="","",0)</f>
        <v>0</v>
      </c>
      <c r="E5" s="179">
        <v>6000</v>
      </c>
      <c r="F5" s="30">
        <v>500</v>
      </c>
      <c r="H5" s="42">
        <f t="shared" ref="H5:H32" si="1">+C5+E5</f>
        <v>9400</v>
      </c>
      <c r="I5" s="42">
        <f t="shared" ref="I5:I27" si="2">IF(D5="",0,IF(F5="",D5,D5+F5))</f>
        <v>500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ref="F6:F27" si="3">IF(E6="","",0)</f>
        <v/>
      </c>
      <c r="H6" s="42">
        <f t="shared" si="1"/>
        <v>0</v>
      </c>
      <c r="I6" s="42">
        <f t="shared" si="2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3"/>
        <v/>
      </c>
      <c r="H7" s="42">
        <f t="shared" si="1"/>
        <v>0</v>
      </c>
      <c r="I7" s="42">
        <f t="shared" si="2"/>
        <v>0</v>
      </c>
    </row>
    <row r="8" spans="1:9" x14ac:dyDescent="0.35">
      <c r="A8" s="47">
        <v>5</v>
      </c>
      <c r="B8" s="177" t="str">
        <f>Vendedor5!$B$2</f>
        <v>YOYO</v>
      </c>
      <c r="C8" s="193">
        <v>20850</v>
      </c>
      <c r="D8" s="30">
        <v>200</v>
      </c>
      <c r="E8" s="193">
        <v>10600</v>
      </c>
      <c r="F8" s="194">
        <f t="shared" si="3"/>
        <v>0</v>
      </c>
      <c r="H8" s="42">
        <f t="shared" si="1"/>
        <v>31450</v>
      </c>
      <c r="I8" s="42">
        <f t="shared" si="2"/>
        <v>200</v>
      </c>
    </row>
    <row r="9" spans="1:9" x14ac:dyDescent="0.35">
      <c r="A9" s="47">
        <v>6</v>
      </c>
      <c r="B9" s="177" t="str">
        <f>Vendedor6!$B$2</f>
        <v>Vendedor 06</v>
      </c>
      <c r="C9" s="193"/>
      <c r="D9" s="30" t="str">
        <f t="shared" si="0"/>
        <v/>
      </c>
      <c r="E9" s="193"/>
      <c r="F9" s="194" t="str">
        <f t="shared" si="3"/>
        <v/>
      </c>
      <c r="H9" s="42">
        <f t="shared" si="1"/>
        <v>0</v>
      </c>
      <c r="I9" s="42">
        <f t="shared" si="2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34650</v>
      </c>
      <c r="D10" s="30">
        <v>200</v>
      </c>
      <c r="E10" s="179">
        <v>7150</v>
      </c>
      <c r="F10" s="194">
        <f t="shared" si="3"/>
        <v>0</v>
      </c>
      <c r="H10" s="42">
        <f t="shared" si="1"/>
        <v>41800</v>
      </c>
      <c r="I10" s="42">
        <f t="shared" si="2"/>
        <v>200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3"/>
        <v/>
      </c>
      <c r="H11" s="42">
        <f t="shared" si="1"/>
        <v>0</v>
      </c>
      <c r="I11" s="42">
        <f t="shared" si="2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60450</v>
      </c>
      <c r="D12" s="30">
        <v>450</v>
      </c>
      <c r="E12" s="193"/>
      <c r="F12" s="30" t="str">
        <f t="shared" si="0"/>
        <v/>
      </c>
      <c r="H12" s="42">
        <f t="shared" si="1"/>
        <v>60450</v>
      </c>
      <c r="I12" s="42">
        <f t="shared" si="2"/>
        <v>450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1"/>
        <v>0</v>
      </c>
      <c r="I13" s="42">
        <f t="shared" si="2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1"/>
        <v>0</v>
      </c>
      <c r="I14" s="42">
        <f t="shared" si="2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1"/>
        <v>0</v>
      </c>
      <c r="I15" s="42">
        <f t="shared" si="2"/>
        <v>0</v>
      </c>
    </row>
    <row r="16" spans="1:9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0"/>
        <v/>
      </c>
      <c r="H16" s="42">
        <f t="shared" si="1"/>
        <v>0</v>
      </c>
      <c r="I16" s="42">
        <f t="shared" si="2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194" t="str">
        <f t="shared" si="0"/>
        <v/>
      </c>
      <c r="E17" s="179"/>
      <c r="F17" s="30" t="str">
        <f t="shared" si="0"/>
        <v/>
      </c>
      <c r="H17" s="42">
        <f t="shared" si="1"/>
        <v>0</v>
      </c>
      <c r="I17" s="42">
        <f t="shared" si="2"/>
        <v>0</v>
      </c>
    </row>
    <row r="18" spans="1:9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0"/>
        <v/>
      </c>
      <c r="H18" s="42">
        <f t="shared" si="1"/>
        <v>0</v>
      </c>
      <c r="I18" s="42">
        <f t="shared" si="2"/>
        <v>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3"/>
        <v/>
      </c>
      <c r="H19" s="42">
        <f t="shared" si="1"/>
        <v>0</v>
      </c>
      <c r="I19" s="42">
        <f t="shared" si="2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3"/>
        <v/>
      </c>
      <c r="H20" s="42">
        <f t="shared" si="1"/>
        <v>0</v>
      </c>
      <c r="I20" s="42">
        <f t="shared" si="2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3"/>
        <v/>
      </c>
      <c r="H21" s="42">
        <f t="shared" si="1"/>
        <v>0</v>
      </c>
      <c r="I21" s="42">
        <f t="shared" si="2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3"/>
        <v/>
      </c>
      <c r="H22" s="42">
        <f t="shared" si="1"/>
        <v>0</v>
      </c>
      <c r="I22" s="42">
        <f t="shared" si="2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3"/>
        <v/>
      </c>
      <c r="H23" s="42">
        <f t="shared" si="1"/>
        <v>0</v>
      </c>
      <c r="I23" s="42">
        <f t="shared" si="2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3"/>
        <v/>
      </c>
      <c r="H24" s="42">
        <f t="shared" si="1"/>
        <v>0</v>
      </c>
      <c r="I24" s="42">
        <f t="shared" si="2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3"/>
        <v/>
      </c>
      <c r="H25" s="42">
        <f t="shared" si="1"/>
        <v>0</v>
      </c>
      <c r="I25" s="42">
        <f t="shared" si="2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3"/>
        <v/>
      </c>
      <c r="H26" s="42">
        <f t="shared" si="1"/>
        <v>0</v>
      </c>
      <c r="I26" s="42">
        <f t="shared" si="2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3"/>
        <v/>
      </c>
      <c r="H27" s="42">
        <f t="shared" si="1"/>
        <v>0</v>
      </c>
      <c r="I27" s="42">
        <f t="shared" si="2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1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1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1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1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1"/>
        <v>0</v>
      </c>
      <c r="I32" s="42">
        <f t="shared" si="4"/>
        <v>0</v>
      </c>
    </row>
    <row r="33" spans="3:9" x14ac:dyDescent="0.35">
      <c r="C33" s="43">
        <f>SUM(C4:C32)</f>
        <v>126850</v>
      </c>
      <c r="D33" s="44">
        <f>SUM(D4:D32)</f>
        <v>950</v>
      </c>
      <c r="E33" s="43">
        <f>SUM(E4:E32)</f>
        <v>25300</v>
      </c>
      <c r="F33" s="44">
        <f>SUM(F4:F32)</f>
        <v>750</v>
      </c>
      <c r="H33" s="95">
        <f>SUM(H4:H32)</f>
        <v>152150</v>
      </c>
      <c r="I33" s="95">
        <f>SUM(I4:I32)</f>
        <v>1700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82</v>
      </c>
      <c r="D2" s="267"/>
      <c r="E2" s="266">
        <f>IF(PREMIOS!$C20="","",PREMIOS!$C20)</f>
        <v>66</v>
      </c>
      <c r="F2" s="267"/>
      <c r="G2" s="266" t="str">
        <f>IF(PREMIOS!$D20="","",PREMIOS!$D20)</f>
        <v>08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4150</v>
      </c>
      <c r="D10" s="194">
        <f t="shared" si="0"/>
        <v>0</v>
      </c>
      <c r="E10" s="179">
        <v>2700</v>
      </c>
      <c r="F10" s="30">
        <f t="shared" si="0"/>
        <v>0</v>
      </c>
      <c r="G10" s="179">
        <f>4500+4650</f>
        <v>9150</v>
      </c>
      <c r="H10" s="194">
        <f t="shared" si="0"/>
        <v>0</v>
      </c>
      <c r="J10" s="42">
        <f t="shared" si="3"/>
        <v>16000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>
        <v>7000</v>
      </c>
      <c r="D12" s="194">
        <v>200</v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7000</v>
      </c>
      <c r="K12" s="42">
        <f t="shared" si="4"/>
        <v>200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>
        <v>300</v>
      </c>
      <c r="D16" s="194">
        <f t="shared" si="0"/>
        <v>0</v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300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/>
      <c r="D17" s="194" t="str">
        <f t="shared" si="0"/>
        <v/>
      </c>
      <c r="E17" s="193"/>
      <c r="F17" s="194" t="str">
        <f t="shared" si="0"/>
        <v/>
      </c>
      <c r="G17" s="193"/>
      <c r="H17" s="194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1"/>
        <v/>
      </c>
      <c r="G18" s="179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11450</v>
      </c>
      <c r="D33" s="44">
        <f t="shared" si="6"/>
        <v>200</v>
      </c>
      <c r="E33" s="43">
        <f t="shared" si="6"/>
        <v>2700</v>
      </c>
      <c r="F33" s="44">
        <f t="shared" si="6"/>
        <v>0</v>
      </c>
      <c r="G33" s="43">
        <f t="shared" si="6"/>
        <v>9150</v>
      </c>
      <c r="H33" s="44">
        <f t="shared" si="6"/>
        <v>0</v>
      </c>
      <c r="J33" s="45">
        <f>SUM(J4:J32)</f>
        <v>23300</v>
      </c>
      <c r="K33" s="95">
        <f>SUM(K4:K32)</f>
        <v>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03</v>
      </c>
      <c r="D2" s="267"/>
      <c r="E2" s="266">
        <f>IF(PREMIOS!$C21="","",PREMIOS!$C21)</f>
        <v>17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F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  <c r="E10" s="179">
        <v>1200</v>
      </c>
      <c r="F10" s="30">
        <f t="shared" si="0"/>
        <v>0</v>
      </c>
      <c r="H10" s="42">
        <f t="shared" si="2"/>
        <v>1200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1200</v>
      </c>
      <c r="F33" s="44">
        <f>SUM(F4:F32)</f>
        <v>0</v>
      </c>
      <c r="H33" s="45">
        <f>SUM(H4:H32)</f>
        <v>1200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 t="str">
        <f>IF(PREMIOS!$B22="","",PREMIOS!$B22)</f>
        <v/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2026-08-14T16:48:03Z</dcterms:modified>
  <dc:language>es-CR</dc:language>
</cp:coreProperties>
</file>
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32" documentId="11_E82D6C56F71C4C5C8966C4831570AC22B8B15FE0" xr6:coauthVersionLast="47" xr6:coauthVersionMax="47" xr10:uidLastSave="{AB40A503-FA57-401D-8C43-9D342C9D19F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I10" i="61"/>
  <c r="G10" i="62"/>
  <c r="E10" i="62"/>
  <c r="G10" i="60"/>
  <c r="E10" i="60"/>
  <c r="C10" i="62" l="1"/>
  <c r="F10" i="61"/>
  <c r="E10" i="61"/>
  <c r="C10" i="60"/>
  <c r="C10" i="61" l="1"/>
  <c r="D18" i="64" l="1"/>
  <c r="D18" i="65"/>
  <c r="D11" i="65"/>
  <c r="D18" i="61"/>
  <c r="D17" i="61"/>
  <c r="D10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10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J17" i="61"/>
  <c r="D6" i="60"/>
  <c r="F18" i="60"/>
  <c r="F17" i="60"/>
  <c r="F16" i="60"/>
  <c r="F15" i="60"/>
  <c r="F13" i="60"/>
  <c r="F11" i="60"/>
  <c r="F9" i="60"/>
  <c r="F8" i="60"/>
  <c r="F7" i="60"/>
  <c r="F6" i="60"/>
  <c r="F5" i="60"/>
  <c r="H17" i="60"/>
  <c r="H16" i="60"/>
  <c r="H15" i="60"/>
  <c r="H14" i="60"/>
  <c r="H13" i="60"/>
  <c r="H11" i="60"/>
  <c r="H10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J8" i="14" l="1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4" i="73"/>
  <c r="I24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H29" i="66"/>
  <c r="H33" i="66" s="1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I18" i="66"/>
  <c r="J7" i="19"/>
  <c r="F25" i="19"/>
  <c r="L9" i="19" s="1"/>
  <c r="F18" i="72"/>
  <c r="H21" i="72"/>
  <c r="I21" i="72" s="1"/>
  <c r="N21" i="72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31" i="71" l="1"/>
  <c r="K21" i="19"/>
  <c r="K10" i="19"/>
  <c r="L27" i="71"/>
  <c r="M27" i="71" s="1"/>
  <c r="K21" i="8"/>
  <c r="K10" i="8"/>
  <c r="L18" i="72"/>
  <c r="K20" i="21"/>
  <c r="K10" i="21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6" i="23" l="1"/>
  <c r="M25" i="52"/>
  <c r="L5" i="23"/>
  <c r="L4" i="23"/>
  <c r="M22" i="52"/>
  <c r="L6" i="23"/>
  <c r="M26" i="52"/>
  <c r="M23" i="52"/>
  <c r="F17" i="52"/>
  <c r="F12" i="8"/>
  <c r="J4" i="23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G32" i="61"/>
  <c r="F32" i="61"/>
  <c r="E32" i="60"/>
  <c r="J32" i="61"/>
  <c r="L6" i="25"/>
  <c r="C32" i="61"/>
  <c r="I32" i="61"/>
  <c r="M19" i="52"/>
  <c r="F32" i="60"/>
  <c r="D32" i="61"/>
  <c r="K4" i="23"/>
  <c r="G32" i="60"/>
  <c r="K5" i="8"/>
  <c r="L19" i="59"/>
  <c r="L19" i="71"/>
  <c r="M19" i="71" s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4" i="52"/>
  <c r="C3" i="1" s="1"/>
  <c r="B3" i="1"/>
  <c r="K23" i="52"/>
  <c r="C22" i="1" s="1"/>
  <c r="B22" i="1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<sst xmlns="http://schemas.openxmlformats.org/spreadsheetml/2006/main" count="1290" uniqueCount="157">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</sst>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12" borderId="0" xfId="0" applyFill="1"/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229750</v>
      </c>
      <c r="C3" s="9">
        <f>+HojaTICA!K4+HojaNICA!M4+HojaREVENTADO!K4+HojaPrimera!I4+HojaHonduras!K4+HojaDominicana!I4+HojaPANA!G4</f>
        <v>29850</v>
      </c>
      <c r="D3" s="9">
        <f>+HojaTICA!N4+HojaNICA!P4+HojaREVENTADO!O4+HojaPrimera!L4+HojaHonduras!N4+HojaDominicana!L4+HojaPANA!J4</f>
        <v>82500</v>
      </c>
      <c r="F3" s="10">
        <f t="shared" ref="F3:F27" si="0">+B3-C3-D3</f>
        <v>117400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215050</v>
      </c>
      <c r="C4" s="9">
        <f>+HojaTICA!K5+HojaNICA!M5+HojaREVENTADO!K5+HojaPrimera!I5+HojaHonduras!K5+HojaDominicana!I5+HojaPANA!G5</f>
        <v>28000</v>
      </c>
      <c r="D4" s="9">
        <f>+HojaTICA!N5+HojaNICA!P5+HojaREVENTADO!O5+HojaPrimera!L5+HojaHonduras!N5+HojaDominicana!L5+HojaPANA!J5</f>
        <v>126000</v>
      </c>
      <c r="F4" s="14">
        <f t="shared" si="0"/>
        <v>61050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279500</v>
      </c>
      <c r="C7" s="9">
        <f>+HojaTICA!K8+HojaNICA!M8+HojaREVENTADO!K8+HojaPrimera!I8+HojaHonduras!K8+HojaDominicana!I8+HojaPANA!G8</f>
        <v>33600</v>
      </c>
      <c r="D7" s="9">
        <f>+HojaTICA!N8+HojaNICA!P8+HojaREVENTADO!O8+HojaPrimera!L8+HojaHonduras!N8+HojaDominicana!L8+HojaPANA!J8</f>
        <v>350750</v>
      </c>
      <c r="F7" s="14">
        <f t="shared" si="0"/>
        <v>-104850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557800</v>
      </c>
      <c r="C9" s="9">
        <f>+HojaTICA!K10+HojaNICA!M10+HojaREVENTADO!K10+HojaPrimera!I10+HojaHonduras!K10+HojaDominicana!I10+HojaPANA!G10</f>
        <v>66215</v>
      </c>
      <c r="D9" s="9">
        <f>+HojaTICA!N10+HojaNICA!P10+HojaREVENTADO!O10+HojaPrimera!L10+HojaHonduras!N10+HojaDominicana!L10+HojaPANA!J10</f>
        <v>250750</v>
      </c>
      <c r="F9" s="14">
        <f t="shared" si="0"/>
        <v>240835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11700</v>
      </c>
      <c r="C10" s="9">
        <f>+HojaTICA!K11+HojaNICA!M11+HojaREVENTADO!K11+HojaPrimera!I11+HojaHonduras!K11+HojaDominicana!I11+HojaPANA!G11</f>
        <v>1400</v>
      </c>
      <c r="D10" s="9">
        <f>+HojaTICA!N11+HojaNICA!P11+HojaREVENTADO!O11+HojaPrimera!L11+HojaHonduras!N11+HojaDominicana!L11+HojaPANA!J11</f>
        <v>0</v>
      </c>
      <c r="F10" s="14">
        <f t="shared" si="0"/>
        <v>10300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250600</v>
      </c>
      <c r="C11" s="9">
        <f>+HojaTICA!K12+HojaNICA!M12+HojaREVENTADO!K12+HojaPrimera!I12+HojaHonduras!K12+HojaDominicana!I12+HojaPANA!G12</f>
        <v>29975</v>
      </c>
      <c r="D11" s="9">
        <f>+HojaTICA!N12+HojaNICA!P12+HojaREVENTADO!O12+HojaPrimera!L12+HojaHonduras!N12+HojaDominicana!L12+HojaPANA!J12</f>
        <v>263500</v>
      </c>
      <c r="F11" s="14">
        <f t="shared" si="0"/>
        <v>-42875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159850</v>
      </c>
      <c r="C12" s="9">
        <f>+HojaTICA!K13+HojaNICA!M13+HojaREVENTADO!K13+HojaPrimera!I13+HojaHonduras!K13+HojaDominicana!I13+HojaPANA!G13</f>
        <v>19150</v>
      </c>
      <c r="D12" s="9">
        <f>+HojaTICA!N13+HojaNICA!P13+HojaREVENTADO!O13+HojaPrimera!L13+HojaHonduras!N13+HojaDominicana!L13+HojaPANA!J13</f>
        <v>34000</v>
      </c>
      <c r="F12" s="14">
        <f t="shared" si="0"/>
        <v>106700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92000</v>
      </c>
      <c r="C13" s="9">
        <f>+HojaTICA!K14+HojaNICA!M14+HojaREVENTADO!K14+HojaPrimera!I14+HojaHonduras!K14+HojaDominicana!I14+HojaPANA!G14</f>
        <v>13800</v>
      </c>
      <c r="D13" s="9">
        <f>+HojaTICA!N14+HojaNICA!P14+HojaREVENTADO!O14+HojaPrimera!L14+HojaHonduras!N14+HojaDominicana!L14+HojaPANA!J14</f>
        <v>24000</v>
      </c>
      <c r="F13" s="14">
        <f t="shared" si="0"/>
        <v>54200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105000</v>
      </c>
      <c r="C15" s="9">
        <f>+HojaTICA!K16+HojaNICA!M16+HojaREVENTADO!K16+HojaPrimera!I16+HojaHonduras!K16+HojaDominicana!I16+HojaPANA!G16</f>
        <v>12600</v>
      </c>
      <c r="D15" s="9">
        <f>+HojaTICA!N16+HojaNICA!P16+HojaREVENTADO!O16+HojaPrimera!L16+HojaHonduras!N16+HojaDominicana!L16+HojaPANA!J16</f>
        <v>191500</v>
      </c>
      <c r="F15" s="14">
        <f t="shared" si="0"/>
        <v>-99100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1901250</v>
      </c>
      <c r="C28" s="17">
        <f t="shared" si="1"/>
        <v>234590</v>
      </c>
      <c r="D28" s="18">
        <f t="shared" si="1"/>
        <v>1323000</v>
      </c>
      <c r="F28" s="20">
        <f>SUM(F3:F27)</f>
        <v>343660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38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156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>
        <v>59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12</v>
      </c>
      <c r="C19" s="132">
        <v>19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32</v>
      </c>
      <c r="C20" s="163">
        <v>97</v>
      </c>
      <c r="D20" s="166">
        <v>23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13</v>
      </c>
      <c r="C21" s="164">
        <v>34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85</v>
      </c>
      <c r="D2" s="268"/>
      <c r="E2" s="267">
        <f>DigitaTICA!E2</f>
        <v>78</v>
      </c>
      <c r="F2" s="268"/>
      <c r="G2" s="267">
        <f>DigitaTICA!G2</f>
        <v>59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75650</v>
      </c>
      <c r="D4" s="30">
        <f>IF(Vendedor1!$E$7="",0,Vendedor1!$E$7)</f>
        <v>0</v>
      </c>
      <c r="E4" s="180">
        <f>IF(Vendedor1!$C$11="",0,Vendedor1!$C$11)</f>
        <v>26500</v>
      </c>
      <c r="F4" s="30">
        <f>IF(Vendedor1!$E$11="",0,Vendedor1!$E$11)</f>
        <v>500</v>
      </c>
      <c r="G4" s="180">
        <f>IF(Vendedor1!$C$15="",0,Vendedor1!$C$15)</f>
        <v>89750</v>
      </c>
      <c r="H4" s="30">
        <f>IF(Vendedor1!$E$15="",0,Vendedor1!$E$15)</f>
        <v>0</v>
      </c>
      <c r="J4" s="42">
        <f t="shared" ref="J4:J7" si="0">+C4+E4+G4</f>
        <v>191900</v>
      </c>
      <c r="K4" s="41">
        <f>MROUND(J4*Vendedor1!J$9,50)</f>
        <v>24950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124450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67200</v>
      </c>
      <c r="D5" s="30">
        <f>IF(Vendedor2!$E$7="",0,Vendedor2!$E$7)</f>
        <v>1200</v>
      </c>
      <c r="E5" s="180">
        <f>IF(Vendedor2!$C$11="",0,Vendedor2!$C$11)</f>
        <v>35900</v>
      </c>
      <c r="F5" s="30">
        <f>IF(Vendedor2!$E$11="",0,Vendedor2!$E$11)</f>
        <v>0</v>
      </c>
      <c r="G5" s="180">
        <f>IF(Vendedor2!$C$15="",0,Vendedor2!$C$15)</f>
        <v>79400</v>
      </c>
      <c r="H5" s="30">
        <f>IF(Vendedor2!$E$15="",0,Vendedor2!$E$15)</f>
        <v>0</v>
      </c>
      <c r="J5" s="42">
        <f t="shared" si="0"/>
        <v>182500</v>
      </c>
      <c r="K5" s="41">
        <f>MROUND(J5*Vendedor2!J$9,50)</f>
        <v>23750</v>
      </c>
      <c r="L5" s="42">
        <f t="shared" si="1"/>
        <v>1200</v>
      </c>
      <c r="M5" s="42">
        <f t="shared" si="2"/>
        <v>102000</v>
      </c>
      <c r="N5" s="42">
        <f>Vendedor2!$F$7+Vendedor2!$F$11+Vendedor2!$F$15</f>
        <v>102000</v>
      </c>
      <c r="P5" s="42">
        <f t="shared" si="3"/>
        <v>56750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73200</v>
      </c>
      <c r="D8" s="30">
        <f>IF(Vendedor5!$E$7="",0,Vendedor5!$E$7)</f>
        <v>1900</v>
      </c>
      <c r="E8" s="180">
        <f>IF(Vendedor5!$C$11="",0,Vendedor5!$C$11)</f>
        <v>35450</v>
      </c>
      <c r="F8" s="30">
        <f>IF(Vendedor5!$E$11="",0,Vendedor5!$E$11)</f>
        <v>0</v>
      </c>
      <c r="G8" s="180">
        <f>IF(Vendedor5!$C$15="",0,Vendedor5!$C$15)</f>
        <v>32850</v>
      </c>
      <c r="H8" s="30">
        <f>IF(Vendedor5!$E$15="",0,Vendedor5!$E$15)</f>
        <v>250</v>
      </c>
      <c r="J8" s="42">
        <f t="shared" ref="J8" si="4">+C8+E8+G8</f>
        <v>141500</v>
      </c>
      <c r="K8" s="41">
        <f>MROUND(J8*Vendedor5!J$11,50)</f>
        <v>17000</v>
      </c>
      <c r="L8" s="42">
        <f t="shared" ref="L8" si="5">+D8+F8+H8</f>
        <v>2150</v>
      </c>
      <c r="M8" s="42">
        <f t="shared" ref="M8" si="6">+L8*85</f>
        <v>182750</v>
      </c>
      <c r="N8" s="42">
        <f>Vendedor5!$F$7+Vendedor5!$F$11+Vendedor5!$F$15</f>
        <v>182750</v>
      </c>
      <c r="P8" s="42">
        <f t="shared" ref="P8" si="7">+J8-K8-N8</f>
        <v>-58250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96100</v>
      </c>
      <c r="D10" s="30">
        <f>IF(Vendedor7!$E$7="",0,Vendedor7!$E$7)</f>
        <v>0</v>
      </c>
      <c r="E10" s="180">
        <f>IF(Vendedor7!$C$11="",0,Vendedor7!$C$11)</f>
        <v>42150</v>
      </c>
      <c r="F10" s="30">
        <f>IF(Vendedor7!$E$11="",0,Vendedor7!$E$11)</f>
        <v>200</v>
      </c>
      <c r="G10" s="180">
        <f>IF(Vendedor7!$C$15="",0,Vendedor7!$C$15)</f>
        <v>107750</v>
      </c>
      <c r="H10" s="30">
        <f>IF(Vendedor7!$E$15="",0,Vendedor7!$E$15)</f>
        <v>0</v>
      </c>
      <c r="J10" s="42">
        <f t="shared" si="8"/>
        <v>246000</v>
      </c>
      <c r="K10" s="41">
        <f>MROUND(J10*Vendedor7!J$14,50)</f>
        <v>29500</v>
      </c>
      <c r="L10" s="42">
        <f t="shared" si="9"/>
        <v>200</v>
      </c>
      <c r="M10" s="42">
        <f t="shared" si="10"/>
        <v>17000</v>
      </c>
      <c r="N10" s="42">
        <f>Vendedor7!$F$7+Vendedor7!$F$11+Vendedor7!$F$15</f>
        <v>17000</v>
      </c>
      <c r="P10" s="42">
        <f t="shared" si="11"/>
        <v>199500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11700</v>
      </c>
      <c r="H11" s="30">
        <f>IF(Vendedor8!$E$15="",0,Vendedor8!$E$15)</f>
        <v>0</v>
      </c>
      <c r="J11" s="42">
        <f t="shared" si="8"/>
        <v>11700</v>
      </c>
      <c r="K11" s="41">
        <f>MROUND(J11*Vendedor8!J$11,50)</f>
        <v>1400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10300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40400</v>
      </c>
      <c r="D12" s="30">
        <f>IF(Vendedor9!$E$7="",0,Vendedor9!$E$7)</f>
        <v>200</v>
      </c>
      <c r="E12" s="180">
        <f>IF(Vendedor9!$C$11="",0,Vendedor9!$C$11)</f>
        <v>31300</v>
      </c>
      <c r="F12" s="30">
        <f>IF(Vendedor9!$E$11="",0,Vendedor9!$E$11)</f>
        <v>450</v>
      </c>
      <c r="G12" s="180">
        <f>IF(Vendedor9!$C$15="",0,Vendedor9!$C$15)</f>
        <v>50600</v>
      </c>
      <c r="H12" s="30">
        <f>IF(Vendedor9!$E$15="",0,Vendedor9!$E$15)</f>
        <v>550</v>
      </c>
      <c r="J12" s="42">
        <f t="shared" si="8"/>
        <v>122300</v>
      </c>
      <c r="K12" s="41">
        <f>MROUND(J12*Vendedor9!J$11,50)</f>
        <v>14700</v>
      </c>
      <c r="L12" s="42">
        <f t="shared" si="9"/>
        <v>1200</v>
      </c>
      <c r="M12" s="42">
        <f t="shared" si="10"/>
        <v>102000</v>
      </c>
      <c r="N12" s="42">
        <f>Vendedor9!$F$7+Vendedor9!$F$11+Vendedor9!$F$15</f>
        <v>102000</v>
      </c>
      <c r="P12" s="42">
        <f t="shared" si="11"/>
        <v>5600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48950</v>
      </c>
      <c r="D13" s="30">
        <f>IF(Vendedor10!$E$7="",0,Vendedor10!$E$7)</f>
        <v>400</v>
      </c>
      <c r="E13" s="180">
        <f>IF(Vendedor10!$C$11="",0,Vendedor10!$C$11)</f>
        <v>19900</v>
      </c>
      <c r="F13" s="30">
        <f>IF(Vendedor10!$E$11="",0,Vendedor10!$E$11)</f>
        <v>0</v>
      </c>
      <c r="G13" s="180">
        <f>IF(Vendedor10!$C$15="",0,Vendedor10!$C$15)</f>
        <v>48850</v>
      </c>
      <c r="H13" s="30">
        <f>IF(Vendedor10!$E$15="",0,Vendedor10!$E$15)</f>
        <v>0</v>
      </c>
      <c r="J13" s="42">
        <f t="shared" si="8"/>
        <v>117700</v>
      </c>
      <c r="K13" s="41">
        <f>MROUND(J13*Vendedor10!J$9,50)</f>
        <v>14100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69600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39300</v>
      </c>
      <c r="D14" s="30">
        <f>IF(Vendedor11!$E$7="",0,Vendedor11!$E$7)</f>
        <v>0</v>
      </c>
      <c r="E14" s="180">
        <f>IF(Vendedor11!$C$11="",0,Vendedor11!$C$11)</f>
        <v>19300</v>
      </c>
      <c r="F14" s="30">
        <f>IF(Vendedor11!$E$11="",0,Vendedor11!$E$11)</f>
        <v>300</v>
      </c>
      <c r="G14" s="180">
        <f>IF(Vendedor11!$C$15="",0,Vendedor11!$C$15)</f>
        <v>33400</v>
      </c>
      <c r="H14" s="30">
        <f>IF(Vendedor11!$E$15="",0,Vendedor11!$E$15)</f>
        <v>0</v>
      </c>
      <c r="J14" s="42">
        <f t="shared" si="8"/>
        <v>92000</v>
      </c>
      <c r="K14" s="41">
        <f>MROUND(J14*Vendedor11!J$9,50)</f>
        <v>13800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54200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14050</v>
      </c>
      <c r="D16" s="30">
        <f>IF(Vendedor13!$E$7="",0,Vendedor13!$E$7)</f>
        <v>1500</v>
      </c>
      <c r="E16" s="180">
        <f>IF(Vendedor13!$C$11="",0,Vendedor13!$C$11)</f>
        <v>22750</v>
      </c>
      <c r="F16" s="30">
        <f>IF(Vendedor13!$E$11="",0,Vendedor13!$E$11)</f>
        <v>0</v>
      </c>
      <c r="G16" s="180">
        <f>IF(Vendedor13!$C$15="",0,Vendedor13!$C$15)</f>
        <v>35650</v>
      </c>
      <c r="H16" s="30">
        <f>IF(Vendedor13!$E$15="",0,Vendedor13!$E$15)</f>
        <v>0</v>
      </c>
      <c r="J16" s="42">
        <f t="shared" si="8"/>
        <v>72450</v>
      </c>
      <c r="K16" s="41">
        <f>MROUND(J16*Vendedor13!J$11,50)</f>
        <v>8700</v>
      </c>
      <c r="L16" s="42">
        <f t="shared" si="9"/>
        <v>1500</v>
      </c>
      <c r="M16" s="42">
        <f t="shared" si="10"/>
        <v>127500</v>
      </c>
      <c r="N16" s="42">
        <f>Vendedor13!$F$7+Vendedor13!$F$11+Vendedor13!$F$15</f>
        <v>127500</v>
      </c>
      <c r="P16" s="42">
        <f t="shared" si="11"/>
        <v>-63750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454850</v>
      </c>
      <c r="D32" s="44">
        <f t="shared" si="16"/>
        <v>5200</v>
      </c>
      <c r="E32" s="43">
        <f t="shared" si="16"/>
        <v>233250</v>
      </c>
      <c r="F32" s="44">
        <f t="shared" si="16"/>
        <v>1450</v>
      </c>
      <c r="G32" s="43">
        <f t="shared" si="16"/>
        <v>489950</v>
      </c>
      <c r="H32" s="44">
        <f t="shared" si="16"/>
        <v>800</v>
      </c>
      <c r="J32" s="95">
        <f>SUM(J4:J31)</f>
        <v>1178050</v>
      </c>
      <c r="K32" s="45">
        <f>SUM(K7:K31)</f>
        <v>99200</v>
      </c>
      <c r="L32" s="95">
        <f>SUM(L4:L31)</f>
        <v>7450</v>
      </c>
      <c r="M32" s="95">
        <f>SUM(M4:M31)</f>
        <v>633250</v>
      </c>
      <c r="N32" s="95">
        <f>SUM(N4:N31)</f>
        <v>631750</v>
      </c>
      <c r="P32" s="79">
        <f>SUM(P4:P31)</f>
        <v>398400</v>
      </c>
    </row>
    <row r="33" spans="3:13" x14ac:dyDescent="0.35">
      <c r="D33" s="99">
        <f>+D32*85</f>
        <v>442000</v>
      </c>
      <c r="F33" s="99">
        <f>+F32*85</f>
        <v>123250</v>
      </c>
      <c r="H33" s="99">
        <f>+H32*85</f>
        <v>68000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1178050</v>
      </c>
      <c r="E36" s="43">
        <f>+D36-J4-J5-J6</f>
        <v>803650</v>
      </c>
      <c r="G36" s="101"/>
    </row>
    <row r="37" spans="3:13" x14ac:dyDescent="0.35">
      <c r="C37" s="47" t="s">
        <v>33</v>
      </c>
      <c r="D37" s="48">
        <f>D36*13%</f>
        <v>153146.5</v>
      </c>
      <c r="E37">
        <f>+D37-K4-K5-K6</f>
        <v>104446.5</v>
      </c>
      <c r="G37" s="100"/>
      <c r="H37" s="100"/>
    </row>
    <row r="38" spans="3:13" ht="15" thickBot="1" x14ac:dyDescent="0.4">
      <c r="C38" s="47" t="s">
        <v>30</v>
      </c>
      <c r="D38" s="30">
        <f>M32</f>
        <v>633250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391653.5</v>
      </c>
      <c r="F39" s="98">
        <f>+P32-D39</f>
        <v>6746.5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391653.5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38</v>
      </c>
      <c r="D2" s="268"/>
      <c r="E2" s="267" t="str">
        <f>DigitaNICA!E2</f>
        <v>06</v>
      </c>
      <c r="F2" s="268"/>
      <c r="G2" s="267" t="str">
        <f>DigitaNICA!G2</f>
        <v/>
      </c>
      <c r="H2" s="268"/>
      <c r="I2" s="267">
        <f>DigitaNICA!I2</f>
        <v>89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23650</v>
      </c>
      <c r="D4" s="78">
        <f>IF(Vendedor1!$E$5="",0,Vendedor1!$E$5)</f>
        <v>0</v>
      </c>
      <c r="E4" s="189">
        <f>IF(Vendedor1!$C$9="",0,Vendedor1!$C$9)</f>
        <v>7600</v>
      </c>
      <c r="F4" s="78">
        <f>IF(Vendedor1!$E$9="",0,Vendedor1!$E$9)</f>
        <v>500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31250</v>
      </c>
      <c r="M4" s="41">
        <f>MROUND(L4*Vendedor1!J$10,50)</f>
        <v>4050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-15300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17900</v>
      </c>
      <c r="D5" s="30">
        <f>IF(Vendedor2!$E$5="",0,Vendedor2!$E$5)</f>
        <v>0</v>
      </c>
      <c r="E5" s="180">
        <f>IF(Vendedor2!$C$9="",0,Vendedor2!$C$9)</f>
        <v>6050</v>
      </c>
      <c r="F5" s="30">
        <f>IF(Vendedor2!$E$9="",0,Vendedor2!$E$9)</f>
        <v>300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6250</v>
      </c>
      <c r="J5" s="30">
        <f>IF(Vendedor2!$E$17="",0,Vendedor2!$E$17)</f>
        <v>0</v>
      </c>
      <c r="L5" s="42">
        <f t="shared" si="0"/>
        <v>30200</v>
      </c>
      <c r="M5" s="41">
        <f>MROUND(L5*Vendedor2!J$10,50)</f>
        <v>3950</v>
      </c>
      <c r="N5" s="42">
        <f t="shared" si="1"/>
        <v>300</v>
      </c>
      <c r="O5" s="41">
        <f t="shared" ref="O5:O27" si="3">IFERROR(N5*85,0)</f>
        <v>25500</v>
      </c>
      <c r="P5" s="42">
        <f>Vendedor2!$F$5+Vendedor2!$F$9+Vendedor2!$F$13+Vendedor2!$F$17</f>
        <v>24000</v>
      </c>
      <c r="Q5">
        <v>5</v>
      </c>
      <c r="R5" s="41">
        <f t="shared" si="2"/>
        <v>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60400</v>
      </c>
      <c r="D8" s="30">
        <f>IF(Vendedor5!$E$5="",0,Vendedor5!$E$5)</f>
        <v>800</v>
      </c>
      <c r="E8" s="180">
        <f>IF(Vendedor5!$C$9="",0,Vendedor5!$C$9)</f>
        <v>52550</v>
      </c>
      <c r="F8" s="30">
        <f>IF(Vendedor5!$E$9="",0,Vendedor5!$E$9)</f>
        <v>600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4800</v>
      </c>
      <c r="J8" s="30">
        <f>IF(Vendedor5!$E$17="",0,Vendedor5!$E$17)</f>
        <v>0</v>
      </c>
      <c r="L8" s="42">
        <f t="shared" ref="L8" si="4">C8+E8+G8+I8</f>
        <v>117750</v>
      </c>
      <c r="M8" s="41">
        <f>MROUND(L8*Vendedor5!J$12,50)</f>
        <v>14150</v>
      </c>
      <c r="N8" s="42">
        <f t="shared" ref="N8" si="5">D8+F8+H8+J8</f>
        <v>1400</v>
      </c>
      <c r="O8" s="41">
        <f t="shared" si="3"/>
        <v>119000</v>
      </c>
      <c r="P8" s="42">
        <f>Vendedor5!$F$5+Vendedor5!$F$9+Vendedor5!$F$13+Vendedor5!$F$17</f>
        <v>112000</v>
      </c>
      <c r="Q8">
        <v>17</v>
      </c>
      <c r="R8" s="41">
        <f t="shared" ref="R8" si="6">+L8-M8-O8</f>
        <v>-15400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40100</v>
      </c>
      <c r="D10" s="30">
        <f>IF(Vendedor7!$E$5="",0,Vendedor7!$E$5)</f>
        <v>0</v>
      </c>
      <c r="E10" s="180">
        <f>IF(Vendedor7!$C$9="",0,Vendedor7!$C$9)</f>
        <v>34350</v>
      </c>
      <c r="F10" s="30">
        <f>IF(Vendedor7!$E$9="",0,Vendedor7!$E$9)</f>
        <v>1150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80200</v>
      </c>
      <c r="J10" s="30">
        <f>IF(Vendedor7!$E$17="",0,Vendedor7!$E$17)</f>
        <v>250</v>
      </c>
      <c r="L10" s="42">
        <f t="shared" si="7"/>
        <v>154650</v>
      </c>
      <c r="M10" s="41">
        <f>MROUND(L10*Vendedor7!J$15,50)</f>
        <v>18550</v>
      </c>
      <c r="N10" s="42">
        <f t="shared" ref="N10:N27" si="9">D10+F10+H10+J10</f>
        <v>1400</v>
      </c>
      <c r="O10" s="41">
        <f t="shared" si="3"/>
        <v>119000</v>
      </c>
      <c r="P10" s="42">
        <f>Vendedor7!$F$5+Vendedor7!$F$9+Vendedor7!$F$13+Vendedor7!$F$17</f>
        <v>119000</v>
      </c>
      <c r="R10" s="41">
        <f t="shared" si="8"/>
        <v>17100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36500</v>
      </c>
      <c r="D12" s="30">
        <f>IF(Vendedor9!$E$5="",0,Vendedor9!$E$5)</f>
        <v>500</v>
      </c>
      <c r="E12" s="180">
        <f>IF(Vendedor9!$C$9="",0,Vendedor9!$C$9)</f>
        <v>34550</v>
      </c>
      <c r="F12" s="30">
        <f>IF(Vendedor9!$E$9="",0,Vendedor9!$E$9)</f>
        <v>550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7000</v>
      </c>
      <c r="J12" s="30">
        <f>IF(Vendedor9!$E$17="",0,Vendedor9!$E$17)</f>
        <v>0</v>
      </c>
      <c r="L12" s="42">
        <f t="shared" si="7"/>
        <v>78050</v>
      </c>
      <c r="M12" s="41">
        <f>MROUND(L12*Vendedor9!J$12,50)</f>
        <v>9350</v>
      </c>
      <c r="N12" s="42">
        <f t="shared" si="9"/>
        <v>1050</v>
      </c>
      <c r="O12" s="41">
        <f t="shared" si="3"/>
        <v>89250</v>
      </c>
      <c r="P12" s="42">
        <f>Vendedor9!$F$5+Vendedor9!$F$9+Vendedor9!$F$13+Vendedor9!$F$17</f>
        <v>89250</v>
      </c>
      <c r="R12" s="41">
        <f t="shared" si="8"/>
        <v>-20550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16500</v>
      </c>
      <c r="D13" s="30">
        <f>IF(Vendedor10!$E$5="",0,Vendedor10!$E$5)</f>
        <v>0</v>
      </c>
      <c r="E13" s="180">
        <f>IF(Vendedor10!$C$9="",0,Vendedor10!$C$9)</f>
        <v>22350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3300</v>
      </c>
      <c r="J13" s="30">
        <f>IF(Vendedor10!$E$17="",0,Vendedor10!$E$17)</f>
        <v>0</v>
      </c>
      <c r="L13" s="42">
        <f t="shared" si="7"/>
        <v>42150</v>
      </c>
      <c r="M13" s="41">
        <f>MROUND(L13*Vendedor10!J$10,50)</f>
        <v>5050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37100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8000</v>
      </c>
      <c r="D16" s="30">
        <f>IF(Vendedor13!$E$5="",0,Vendedor13!$E$5)</f>
        <v>0</v>
      </c>
      <c r="E16" s="180">
        <f>IF(Vendedor13!$C$9="",0,Vendedor13!$C$9)</f>
        <v>9250</v>
      </c>
      <c r="F16" s="30">
        <f>IF(Vendedor13!$E$9="",0,Vendedor13!$E$9)</f>
        <v>500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14300</v>
      </c>
      <c r="J16" s="30">
        <f>IF(Vendedor13!$E$17="",0,Vendedor13!$E$17)</f>
        <v>300</v>
      </c>
      <c r="L16" s="42">
        <f t="shared" si="7"/>
        <v>31550</v>
      </c>
      <c r="M16" s="41">
        <f>MROUND(L16*Vendedor13!J$12,50)</f>
        <v>3800</v>
      </c>
      <c r="N16" s="42">
        <f t="shared" si="9"/>
        <v>800</v>
      </c>
      <c r="O16" s="41">
        <f t="shared" si="3"/>
        <v>68000</v>
      </c>
      <c r="P16" s="42">
        <f>Vendedor13!$F$5+Vendedor13!$F$9+Vendedor13!$F$13+Vendedor13!$F$17</f>
        <v>64000</v>
      </c>
      <c r="R16" s="41">
        <f t="shared" si="8"/>
        <v>-40250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203050</v>
      </c>
      <c r="D32" s="44">
        <f t="shared" si="14"/>
        <v>1300</v>
      </c>
      <c r="E32" s="43">
        <f t="shared" si="14"/>
        <v>166700</v>
      </c>
      <c r="F32" s="44">
        <f t="shared" si="14"/>
        <v>3600</v>
      </c>
      <c r="G32" s="43">
        <f t="shared" si="14"/>
        <v>0</v>
      </c>
      <c r="H32" s="44">
        <f t="shared" si="14"/>
        <v>0</v>
      </c>
      <c r="I32" s="43">
        <f t="shared" si="14"/>
        <v>115850</v>
      </c>
      <c r="J32" s="44">
        <f t="shared" si="14"/>
        <v>550</v>
      </c>
      <c r="L32" s="45">
        <f>SUM(L4:L31)</f>
        <v>485600</v>
      </c>
      <c r="M32" s="45">
        <f>SUM(M7:M31)</f>
        <v>50900</v>
      </c>
      <c r="N32" s="95">
        <f>SUM(N4:N31)</f>
        <v>5450</v>
      </c>
      <c r="O32" s="46">
        <f>SUM(O4:O31)</f>
        <v>463250</v>
      </c>
      <c r="P32" s="140">
        <f>SUM(P4:P31)</f>
        <v>448250</v>
      </c>
      <c r="R32" s="79">
        <f>SUM(R4:R31)</f>
        <v>-36550</v>
      </c>
    </row>
    <row r="33" spans="3:15" x14ac:dyDescent="0.35">
      <c r="D33" s="120">
        <f>+D32*85</f>
        <v>110500</v>
      </c>
      <c r="F33" s="120">
        <f>+F32*85</f>
        <v>306000</v>
      </c>
      <c r="H33" s="120">
        <f>+H32*85</f>
        <v>0</v>
      </c>
      <c r="J33" s="120">
        <f>+J32*85</f>
        <v>46750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485600</v>
      </c>
      <c r="E36" s="43">
        <f>+D36-L4-L5-L6</f>
        <v>424150</v>
      </c>
    </row>
    <row r="37" spans="3:15" x14ac:dyDescent="0.35">
      <c r="C37" s="47" t="s">
        <v>33</v>
      </c>
      <c r="D37" s="48">
        <f>D36*13%</f>
        <v>63128</v>
      </c>
      <c r="E37">
        <f>+D37-M4-M5-M6</f>
        <v>55128</v>
      </c>
    </row>
    <row r="38" spans="3:15" x14ac:dyDescent="0.35">
      <c r="C38" s="47" t="s">
        <v>30</v>
      </c>
      <c r="D38" s="30">
        <f>SUM(O4:O27)</f>
        <v>463250</v>
      </c>
      <c r="G38" s="100"/>
    </row>
    <row r="39" spans="3:15" ht="15" thickBot="1" x14ac:dyDescent="0.4">
      <c r="C39" s="49" t="s">
        <v>4</v>
      </c>
      <c r="D39" s="80">
        <f>+D36-D37-D38</f>
        <v>-40778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-40778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59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10050</v>
      </c>
      <c r="D10" s="30">
        <f>IF(Vendedor7!$E$8="",0,Vendedor7!$E$8)</f>
        <v>0</v>
      </c>
      <c r="E10" s="180">
        <f>IF(Vendedor7!$C$12="",0,Vendedor7!$C$12)</f>
        <v>10650</v>
      </c>
      <c r="F10" s="30">
        <f>IF(Vendedor7!$E$12="",0,Vendedor7!$E$12)</f>
        <v>0</v>
      </c>
      <c r="G10" s="180">
        <f>IF(Vendedor7!$C$16="",0,Vendedor7!$C$16)</f>
        <v>14450</v>
      </c>
      <c r="H10" s="30">
        <f>IF(Vendedor7!$E$16="",0,Vendedor7!$E$16)</f>
        <v>0</v>
      </c>
      <c r="J10" s="42">
        <f t="shared" si="1"/>
        <v>35150</v>
      </c>
      <c r="K10" s="41">
        <f>J10*Vendedor7!J$16</f>
        <v>3515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31635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3750</v>
      </c>
      <c r="D12" s="30">
        <f>IF(Vendedor9!$E$8="",0,Vendedor9!$E$8)</f>
        <v>0</v>
      </c>
      <c r="E12" s="180">
        <f>IF(Vendedor9!$C$12="",0,Vendedor9!$C$12)</f>
        <v>2500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6250</v>
      </c>
      <c r="K12" s="41">
        <f>J12*Vendedor9!J$13</f>
        <v>625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5625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14300</v>
      </c>
      <c r="D33" s="44">
        <f>IF(PREMIOS!E8&lt;&gt;0,SUM(D4:D32),0)</f>
        <v>0</v>
      </c>
      <c r="E33" s="43">
        <f>SUM(E4:E32)</f>
        <v>13150</v>
      </c>
      <c r="F33" s="44">
        <f>IF(PREMIOS!E12&lt;&gt;0,SUM(F4:F32),0)</f>
        <v>0</v>
      </c>
      <c r="G33" s="43">
        <f>SUM(G4:G32)</f>
        <v>14450</v>
      </c>
      <c r="H33" s="44">
        <f>IF(PREMIOS!E16&lt;&gt;0,SUM(H4:H32),0)</f>
        <v>0</v>
      </c>
      <c r="J33" s="45">
        <f>SUM(J4:J32)</f>
        <v>41900</v>
      </c>
      <c r="K33" s="45">
        <f>SUM(K7:K32)</f>
        <v>4190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37710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41900</v>
      </c>
      <c r="E37" s="43">
        <f>+D37-J4-J5-J6</f>
        <v>41900</v>
      </c>
      <c r="F37" s="275"/>
      <c r="G37" s="275"/>
    </row>
    <row r="38" spans="3:17" ht="15" thickBot="1" x14ac:dyDescent="0.4">
      <c r="C38" s="47" t="s">
        <v>33</v>
      </c>
      <c r="D38" s="30">
        <f>D37*10%</f>
        <v>4190</v>
      </c>
      <c r="E38" s="43">
        <f>+D38-K4-K5-K6</f>
        <v>4190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37710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37710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12</v>
      </c>
      <c r="D2" s="268"/>
      <c r="E2" s="267">
        <f>DigitaPRIMERA!E2</f>
        <v>19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5200</v>
      </c>
      <c r="D4" s="78">
        <f>IF(Vendedor1!$E$19="",0,Vendedor1!$E$19)</f>
        <v>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6600</v>
      </c>
      <c r="I4" s="41">
        <f>MROUND(H4*Vendedor1!J$9,50)</f>
        <v>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2350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2350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17450</v>
      </c>
      <c r="D8" s="30">
        <f>IF(Vendedor5!$E$19="",0,Vendedor5!$E$19)</f>
        <v>700</v>
      </c>
      <c r="E8" s="180">
        <f>IF(Vendedor5!$C$20="",0,Vendedor5!$C$20)</f>
        <v>2800</v>
      </c>
      <c r="F8" s="30">
        <f>IF(Vendedor5!$E$20="",0,Vendedor5!$E$20)</f>
        <v>0</v>
      </c>
      <c r="H8" s="133">
        <f t="shared" si="1"/>
        <v>20250</v>
      </c>
      <c r="I8" s="148">
        <f>MROUND(H8*Vendedor5!J$11,50)</f>
        <v>2450</v>
      </c>
      <c r="J8" s="133">
        <f t="shared" si="2"/>
        <v>700</v>
      </c>
      <c r="K8" s="133">
        <f t="shared" si="3"/>
        <v>59500</v>
      </c>
      <c r="L8" s="133">
        <f>Vendedor5!$F$19+Vendedor5!$F$20</f>
        <v>56000</v>
      </c>
      <c r="M8" s="155"/>
      <c r="N8" s="133">
        <f t="shared" si="0"/>
        <v>-38200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11750</v>
      </c>
      <c r="D10" s="30">
        <f>IF(Vendedor7!$E$19="",0,Vendedor7!$E$19)</f>
        <v>950</v>
      </c>
      <c r="E10" s="180">
        <f>IF(Vendedor7!$C$20="",0,Vendedor7!$C$20)</f>
        <v>8250</v>
      </c>
      <c r="F10" s="30">
        <f>IF(Vendedor7!$E$20="",0,Vendedor7!$E$20)</f>
        <v>400</v>
      </c>
      <c r="H10" s="42">
        <f t="shared" si="1"/>
        <v>20000</v>
      </c>
      <c r="I10" s="41">
        <f>MROUND(H10*Vendedor7!J$14,50)</f>
        <v>2400</v>
      </c>
      <c r="J10" s="42">
        <f t="shared" si="2"/>
        <v>1350</v>
      </c>
      <c r="K10" s="42">
        <f t="shared" si="3"/>
        <v>114750</v>
      </c>
      <c r="L10" s="42">
        <f>Vendedor7!$F$19+Vendedor7!$F$20</f>
        <v>114750</v>
      </c>
      <c r="N10" s="42">
        <f t="shared" si="0"/>
        <v>-97150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39200</v>
      </c>
      <c r="D12" s="30">
        <f>IF(Vendedor9!$E$19="",0,Vendedor9!$E$19)</f>
        <v>850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39200</v>
      </c>
      <c r="I12" s="148">
        <f>MROUND(H12*Vendedor9!J$11,50)</f>
        <v>4700</v>
      </c>
      <c r="J12" s="133">
        <f t="shared" si="2"/>
        <v>850</v>
      </c>
      <c r="K12" s="133">
        <f t="shared" si="3"/>
        <v>72250</v>
      </c>
      <c r="L12" s="133">
        <f>Vendedor9!$F$19+Vendedor9!$F$20</f>
        <v>72250</v>
      </c>
      <c r="M12" s="155"/>
      <c r="N12" s="133">
        <f t="shared" si="0"/>
        <v>-37750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500</v>
      </c>
      <c r="F16" s="30">
        <f>IF(Vendedor13!$E$20="",0,Vendedor13!$E$20)</f>
        <v>0</v>
      </c>
      <c r="H16" s="133">
        <f t="shared" si="1"/>
        <v>500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75950</v>
      </c>
      <c r="D32" s="44">
        <f>SUM(D4:D31)</f>
        <v>2500</v>
      </c>
      <c r="E32" s="43">
        <f>SUM(E4:E31)</f>
        <v>12950</v>
      </c>
      <c r="F32" s="44">
        <f>SUM(F4:F31)</f>
        <v>400</v>
      </c>
      <c r="H32" s="95">
        <f>SUM(H4:H31)</f>
        <v>88900</v>
      </c>
      <c r="I32" s="45">
        <f>SUM(I7:I31)</f>
        <v>9600</v>
      </c>
      <c r="J32" s="95"/>
      <c r="K32" s="95">
        <f>SUM(K4:K31)</f>
        <v>246500</v>
      </c>
      <c r="L32" s="95">
        <f>SUM(L4:L31)</f>
        <v>243000</v>
      </c>
      <c r="N32" s="79">
        <f>SUM(N4:N31)</f>
        <v>-164850</v>
      </c>
    </row>
    <row r="33" spans="3:6" x14ac:dyDescent="0.35">
      <c r="D33" s="99">
        <f>+D32*85</f>
        <v>212500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88900</v>
      </c>
      <c r="E36" s="43">
        <f>+D36-H4-H5-H6</f>
        <v>79950</v>
      </c>
    </row>
    <row r="37" spans="3:6" x14ac:dyDescent="0.35">
      <c r="C37" s="47" t="s">
        <v>33</v>
      </c>
      <c r="D37" s="48">
        <f>D36*13%</f>
        <v>11557</v>
      </c>
      <c r="E37">
        <f>+D37-I4-I5-I6</f>
        <v>10407</v>
      </c>
    </row>
    <row r="38" spans="3:6" ht="15" thickBot="1" x14ac:dyDescent="0.4">
      <c r="C38" s="47" t="s">
        <v>30</v>
      </c>
      <c r="D38" s="30">
        <f>SUM(K4:K27)</f>
        <v>246500</v>
      </c>
    </row>
    <row r="39" spans="3:6" ht="15" thickBot="1" x14ac:dyDescent="0.4">
      <c r="C39" s="49" t="s">
        <v>4</v>
      </c>
      <c r="D39" s="80">
        <f>+D36-D37-D38</f>
        <v>-169157</v>
      </c>
      <c r="F39" s="98">
        <f>+N32-D39</f>
        <v>4307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-169157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32</v>
      </c>
      <c r="D2" s="268"/>
      <c r="E2" s="267">
        <f>DigitaHONDURAS!E2</f>
        <v>97</v>
      </c>
      <c r="F2" s="268"/>
      <c r="G2" s="267">
        <f>DigitaHONDURAS!G2</f>
        <v>23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2500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5250</v>
      </c>
      <c r="H10" s="30">
        <f>IF(Vendedor7!$E$23="",0,Vendedor7!$E$23)</f>
        <v>0</v>
      </c>
      <c r="J10" s="42">
        <f t="shared" si="0"/>
        <v>7750</v>
      </c>
      <c r="K10" s="41">
        <f>MROUND(J10*Vendedor7!J$14,50)</f>
        <v>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6800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4800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4800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4200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7300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5250</v>
      </c>
      <c r="H32" s="44">
        <f t="shared" si="8"/>
        <v>0</v>
      </c>
      <c r="J32" s="95">
        <f>SUM(J4:J31)</f>
        <v>12550</v>
      </c>
      <c r="K32" s="45">
        <f>SUM(K7:K31)</f>
        <v>1550</v>
      </c>
      <c r="L32" s="95"/>
      <c r="M32" s="95">
        <f>SUM(M4:M31)</f>
        <v>0</v>
      </c>
      <c r="N32" s="95">
        <f>SUM(N4:N31)</f>
        <v>0</v>
      </c>
      <c r="P32" s="79">
        <f>SUM(P4:P31)</f>
        <v>11000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12550</v>
      </c>
      <c r="E36" s="43">
        <f>+D36-J4-J5-J6</f>
        <v>12550</v>
      </c>
    </row>
    <row r="37" spans="3:8" x14ac:dyDescent="0.35">
      <c r="C37" s="47" t="s">
        <v>33</v>
      </c>
      <c r="D37" s="48">
        <f>D36*13%</f>
        <v>1631.5</v>
      </c>
      <c r="E37">
        <f>+D37-K4-K5-K6</f>
        <v>1631.5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10918.5</v>
      </c>
      <c r="F39" s="98">
        <f>+P32-D39</f>
        <v>81.5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10918.5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13</v>
      </c>
      <c r="D2" s="268"/>
      <c r="E2" s="267">
        <f>DigitaDOMINICANA!E2</f>
        <v>34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38000</v>
      </c>
      <c r="D10" s="30">
        <f>IF(Vendedor7!$E$24="",0,Vendedor7!$E$24)</f>
        <v>0</v>
      </c>
      <c r="E10" s="180">
        <f>IF(Vendedor7!$C$25="",0,Vendedor7!$C$25)</f>
        <v>56250</v>
      </c>
      <c r="F10" s="30">
        <f>IF(Vendedor7!$E$25="",0,Vendedor7!$E$25)</f>
        <v>0</v>
      </c>
      <c r="H10" s="42">
        <f t="shared" si="1"/>
        <v>94250</v>
      </c>
      <c r="I10" s="41">
        <f>MROUND(H10*Vendedor7!J$14,50)</f>
        <v>11300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38000</v>
      </c>
      <c r="D32" s="44">
        <f>SUM(D4:D31)</f>
        <v>0</v>
      </c>
      <c r="E32" s="43">
        <f>SUM(E4:E31)</f>
        <v>56250</v>
      </c>
      <c r="F32" s="44">
        <f>SUM(F4:F31)</f>
        <v>0</v>
      </c>
      <c r="H32" s="95">
        <f>SUM(H4:H31)</f>
        <v>94250</v>
      </c>
      <c r="I32" s="45">
        <f>SUM(I7:I31)</f>
        <v>11300</v>
      </c>
      <c r="J32" s="95"/>
      <c r="K32" s="95">
        <f>SUM(K4:K31)</f>
        <v>0</v>
      </c>
      <c r="L32" s="95">
        <f>SUM(L4:L31)</f>
        <v>0</v>
      </c>
      <c r="N32" s="79">
        <f>SUM(N4:N31)</f>
        <v>82950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94250</v>
      </c>
      <c r="E36" s="43">
        <f>+D36-H4-H5-H6</f>
        <v>94250</v>
      </c>
    </row>
    <row r="37" spans="3:6" x14ac:dyDescent="0.35">
      <c r="C37" s="47" t="s">
        <v>33</v>
      </c>
      <c r="D37" s="48">
        <f>D36*13%</f>
        <v>12252.5</v>
      </c>
      <c r="E37">
        <f>+D37-I4-I5-I6</f>
        <v>12252.5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81997.5</v>
      </c>
      <c r="F39" s="98">
        <f>+N32-D39</f>
        <v>952.5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81997.5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424150</v>
      </c>
      <c r="C4" s="157">
        <f>HojaNICA!M32</f>
        <v>50900</v>
      </c>
      <c r="D4" s="150">
        <f>HojaNICA!E37</f>
        <v>55128</v>
      </c>
      <c r="E4" s="150">
        <f>HojaNICA!P32</f>
        <v>448250</v>
      </c>
      <c r="F4" s="150">
        <f>HojaNICA!O32</f>
        <v>463250</v>
      </c>
      <c r="G4" s="151">
        <f t="shared" ref="G4:G10" si="0">+D4-C4+F4-E4</f>
        <v>19228</v>
      </c>
      <c r="H4" s="21"/>
      <c r="I4" s="182"/>
    </row>
    <row r="5" spans="1:9" x14ac:dyDescent="0.35">
      <c r="A5" s="28" t="s">
        <v>19</v>
      </c>
      <c r="B5" s="156">
        <f>HojaTICA!$E$36</f>
        <v>803650</v>
      </c>
      <c r="C5" s="157">
        <f>HojaTICA!K32</f>
        <v>99200</v>
      </c>
      <c r="D5" s="150">
        <f>HojaTICA!E37</f>
        <v>104446.5</v>
      </c>
      <c r="E5" s="150">
        <f>HojaTICA!N32</f>
        <v>631750</v>
      </c>
      <c r="F5" s="150">
        <f>HojaTICA!D38</f>
        <v>633250</v>
      </c>
      <c r="G5" s="151">
        <f t="shared" si="0"/>
        <v>6746.5</v>
      </c>
      <c r="H5" s="21"/>
      <c r="I5" s="182"/>
    </row>
    <row r="6" spans="1:9" x14ac:dyDescent="0.35">
      <c r="A6" s="28" t="s">
        <v>125</v>
      </c>
      <c r="B6" s="156">
        <f>HojaREVENTADO!$E$37</f>
        <v>41900</v>
      </c>
      <c r="C6" s="157">
        <f>HojaREVENTADO!K33</f>
        <v>4190</v>
      </c>
      <c r="D6" s="150">
        <f>HojaREVENTADO!E38</f>
        <v>4190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79950</v>
      </c>
      <c r="C7" s="157">
        <f>HojaPrimera!I32</f>
        <v>9600</v>
      </c>
      <c r="D7" s="150">
        <f>HojaPrimera!E37</f>
        <v>10407</v>
      </c>
      <c r="E7" s="150">
        <f>HojaPrimera!L32</f>
        <v>243000</v>
      </c>
      <c r="F7" s="150">
        <f>HojaPrimera!K32</f>
        <v>246500</v>
      </c>
      <c r="G7" s="151">
        <f t="shared" si="0"/>
        <v>4307</v>
      </c>
      <c r="H7" s="21"/>
      <c r="I7" s="21"/>
    </row>
    <row r="8" spans="1:9" x14ac:dyDescent="0.35">
      <c r="A8" s="28" t="s">
        <v>104</v>
      </c>
      <c r="B8" s="156">
        <f>HojaHonduras!$E$36</f>
        <v>12550</v>
      </c>
      <c r="C8" s="157">
        <f>HojaHonduras!K32</f>
        <v>1550</v>
      </c>
      <c r="D8" s="150">
        <f>HojaHonduras!E37</f>
        <v>1631.5</v>
      </c>
      <c r="E8" s="150">
        <f>HojaHonduras!N32</f>
        <v>0</v>
      </c>
      <c r="F8" s="150">
        <f>HojaHonduras!M32</f>
        <v>0</v>
      </c>
      <c r="G8" s="151">
        <f t="shared" si="0"/>
        <v>81.5</v>
      </c>
      <c r="H8" s="21"/>
      <c r="I8" s="21"/>
    </row>
    <row r="9" spans="1:9" x14ac:dyDescent="0.35">
      <c r="A9" s="28" t="s">
        <v>20</v>
      </c>
      <c r="B9" s="156">
        <f>HojaDominicana!$E$36</f>
        <v>94250</v>
      </c>
      <c r="C9" s="157">
        <f>HojaDominicana!I32</f>
        <v>11300</v>
      </c>
      <c r="D9" s="150">
        <f>HojaDominicana!E37</f>
        <v>12252.5</v>
      </c>
      <c r="E9" s="150">
        <f>HojaDominicana!L32</f>
        <v>0</v>
      </c>
      <c r="F9" s="150">
        <f>HojaDominicana!K32</f>
        <v>0</v>
      </c>
      <c r="G9" s="151">
        <f t="shared" si="0"/>
        <v>952.5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1456450</v>
      </c>
      <c r="C11" s="175">
        <f>SUM(C4:C10)</f>
        <v>176740</v>
      </c>
      <c r="D11" s="175">
        <f t="shared" ref="D11:F11" si="1">SUM(D4:D10)</f>
        <v>188055.5</v>
      </c>
      <c r="E11" s="175">
        <f t="shared" si="1"/>
        <v>1323000</v>
      </c>
      <c r="F11" s="175">
        <f t="shared" si="1"/>
        <v>1343000</v>
      </c>
      <c r="G11" s="176">
        <f>SUM(G4:G10)</f>
        <v>31315.5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-3684.5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229750</v>
      </c>
      <c r="E16" s="157">
        <f>+Vendedor1!D21</f>
        <v>29867.5</v>
      </c>
      <c r="F16" s="158">
        <f>IF(D16&lt;&gt;0,15000,0)</f>
        <v>15000</v>
      </c>
      <c r="G16" s="151">
        <f>+E16-F16</f>
        <v>14867.5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215050</v>
      </c>
      <c r="E17" s="157">
        <f>+Vendedor2!D21</f>
        <v>27956.5</v>
      </c>
      <c r="F17" s="158">
        <f>IF(D17&lt;&gt;0,15000,0)</f>
        <v>15000</v>
      </c>
      <c r="G17" s="151">
        <f>+E17-F17</f>
        <v>12956.5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444800</v>
      </c>
      <c r="E19" s="159">
        <f>SUM(E16:E18)</f>
        <v>57824</v>
      </c>
      <c r="F19" s="160">
        <f>SUM(F16:F18)</f>
        <v>30000</v>
      </c>
      <c r="G19" s="161">
        <f>SUM(G16:G18)</f>
        <v>27824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24139.5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485600</v>
      </c>
      <c r="C5" s="150">
        <f>HojaNICA!D37</f>
        <v>63128</v>
      </c>
      <c r="D5" s="150">
        <f>HojaNICA!D38</f>
        <v>463250</v>
      </c>
      <c r="E5" s="150"/>
      <c r="F5" s="151">
        <f>+B5-C5-D5+E5</f>
        <v>-40778</v>
      </c>
      <c r="H5" s="249" t="s">
        <v>105</v>
      </c>
      <c r="I5" s="243">
        <f ca="1">TODAY()-1</f>
        <v>46241</v>
      </c>
      <c r="O5" s="119"/>
    </row>
    <row r="6" spans="1:15" ht="15" thickBot="1" x14ac:dyDescent="0.4">
      <c r="A6" s="47" t="s">
        <v>36</v>
      </c>
      <c r="B6" s="150">
        <f>HojaTICA!D36</f>
        <v>1178050</v>
      </c>
      <c r="C6" s="150">
        <f>HojaTICA!D37</f>
        <v>153146.5</v>
      </c>
      <c r="D6" s="150">
        <f>HojaTICA!D38</f>
        <v>633250</v>
      </c>
      <c r="E6" s="150"/>
      <c r="F6" s="151">
        <f t="shared" ref="F6:F11" si="0">+B6-C6-D6+E6</f>
        <v>391653.5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41900</v>
      </c>
      <c r="C7" s="150">
        <f>HojaREVENTADO!D38</f>
        <v>4190</v>
      </c>
      <c r="D7" s="150">
        <f>HojaREVENTADO!D39</f>
        <v>0</v>
      </c>
      <c r="E7" s="150"/>
      <c r="F7" s="151">
        <f t="shared" si="0"/>
        <v>37710</v>
      </c>
    </row>
    <row r="8" spans="1:15" x14ac:dyDescent="0.35">
      <c r="A8" s="47" t="s">
        <v>96</v>
      </c>
      <c r="B8" s="150">
        <f>HojaPrimera!$D36</f>
        <v>88900</v>
      </c>
      <c r="C8" s="150">
        <f>HojaPrimera!$D37</f>
        <v>11557</v>
      </c>
      <c r="D8" s="150">
        <f>HojaPrimera!$D38</f>
        <v>246500</v>
      </c>
      <c r="E8" s="150"/>
      <c r="F8" s="151">
        <f t="shared" si="0"/>
        <v>-169157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12550</v>
      </c>
      <c r="C9" s="150">
        <f>HojaHonduras!$D37</f>
        <v>1631.5</v>
      </c>
      <c r="D9" s="150">
        <f>HojaHonduras!$D38</f>
        <v>0</v>
      </c>
      <c r="E9" s="150"/>
      <c r="F9" s="151">
        <f t="shared" si="0"/>
        <v>10918.5</v>
      </c>
      <c r="H9" s="250">
        <f>+K12-K10-H6</f>
        <v>312344.5</v>
      </c>
    </row>
    <row r="10" spans="1:15" ht="15" thickBot="1" x14ac:dyDescent="0.4">
      <c r="A10" s="47" t="s">
        <v>20</v>
      </c>
      <c r="B10" s="150">
        <f>HojaDominicana!$D36</f>
        <v>94250</v>
      </c>
      <c r="C10" s="150">
        <f>HojaDominicana!$D37</f>
        <v>12252.5</v>
      </c>
      <c r="D10" s="150">
        <f>HojaDominicana!$D38</f>
        <v>0</v>
      </c>
      <c r="E10" s="150"/>
      <c r="F10" s="151">
        <f t="shared" si="0"/>
        <v>81997.5</v>
      </c>
      <c r="H10" s="154"/>
      <c r="J10" t="s">
        <v>147</v>
      </c>
      <c r="K10" s="252">
        <v>5323808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5636152.5</v>
      </c>
    </row>
    <row r="12" spans="1:15" ht="16" thickBot="1" x14ac:dyDescent="0.4">
      <c r="A12" s="144" t="s">
        <v>5</v>
      </c>
      <c r="B12" s="152">
        <f>SUM(B5:B11)</f>
        <v>1901250</v>
      </c>
      <c r="C12" s="152">
        <f>SUM(C5:C11)</f>
        <v>245905.5</v>
      </c>
      <c r="D12" s="152">
        <f>SUM(D5:D11)</f>
        <v>1343000</v>
      </c>
      <c r="E12" s="152"/>
      <c r="F12" s="255">
        <f>SUM(F5:F11)</f>
        <v>312344.5</v>
      </c>
      <c r="H12" s="251">
        <f>K12</f>
        <v>5636152.5</v>
      </c>
      <c r="J12" t="s">
        <v>140</v>
      </c>
      <c r="K12" s="254">
        <f>-1372069.57+106681.09+3994199.5+2907341.48</f>
        <v>5636152.5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191900</v>
      </c>
      <c r="K4" s="231">
        <f t="shared" ref="K4" si="0">D7+D11+D15</f>
        <v>24947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IF(DigitaNICA!C4&lt;&gt;"",DigitaNICA!C4,"")</f>
        <v>23650</v>
      </c>
      <c r="D5" s="42">
        <f>IF(C5="",0,C5*J$10)</f>
        <v>3074.5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20575.5</v>
      </c>
      <c r="I5" s="241" t="s">
        <v>37</v>
      </c>
      <c r="J5" s="221">
        <f>SUM(IF(C5="",0,C5),IF(C9="",0,C9),IF(C13="",0,C13),IF(C17="",0,C17))</f>
        <v>31250</v>
      </c>
      <c r="K5" s="225">
        <f t="shared" ref="K5" si="2">D5+D9+D13+D17</f>
        <v>4062.5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6600</v>
      </c>
      <c r="K6" s="228">
        <f>D19+D20</f>
        <v>858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IF(DigitaTICA!C4&lt;&gt;"",DigitaTICA!C4,"")</f>
        <v>75650</v>
      </c>
      <c r="D7" s="42">
        <f>IF(C7="",0,C7*J$9)</f>
        <v>9834.5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65815.5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IF(DigitaNICA!E4&lt;&gt;"",DigitaNICA!E4,"")</f>
        <v>7600</v>
      </c>
      <c r="D9" s="42">
        <f>IF(C9="",0,C9*J$10)</f>
        <v>988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-33388</v>
      </c>
      <c r="I9" s="76" t="s">
        <v>36</v>
      </c>
      <c r="J9" s="77">
        <v>0.13</v>
      </c>
      <c r="K9" s="78">
        <f>MROUND(D7+D11+D15,50)</f>
        <v>24950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4050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IF(DigitaTICA!E4&lt;&gt;"",DigitaTICA!E4,"")</f>
        <v>26500</v>
      </c>
      <c r="D11" s="42">
        <f>IF(C11="",0,C11*J$9)</f>
        <v>3445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-19445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IF(DigitaTICA!G4&lt;&gt;"",DigitaTICA!G4,"")</f>
        <v>89750</v>
      </c>
      <c r="D15" s="42">
        <f>IF(C15="",0,C15*J$9)</f>
        <v>11667.5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78082.5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229750</v>
      </c>
      <c r="D21" s="122">
        <f t="shared" ref="D21:G21" si="6">SUM(D5:D20)</f>
        <v>29867.5</v>
      </c>
      <c r="E21" s="122">
        <f t="shared" si="6"/>
        <v>1000</v>
      </c>
      <c r="F21" s="122">
        <f t="shared" si="6"/>
        <v>82500</v>
      </c>
      <c r="G21" s="123">
        <f t="shared" si="6"/>
        <v>117382.5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182500</v>
      </c>
      <c r="K4" s="231">
        <f t="shared" ref="K4" si="0">D7+D11+D15</f>
        <v>23725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IF(DigitaNICA!C5&lt;&gt;"",DigitaNICA!C5,"")</f>
        <v>17900</v>
      </c>
      <c r="D5" s="42">
        <f>IF(C5="",0,C5*J$10)</f>
        <v>2327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15573</v>
      </c>
      <c r="I5" s="241" t="s">
        <v>37</v>
      </c>
      <c r="J5" s="221">
        <f>SUM(IF(C5="",0,C5),IF(C9="",0,C9),IF(C13="",0,C13),IF(C17="",0,C17))</f>
        <v>30200</v>
      </c>
      <c r="K5" s="225">
        <f t="shared" ref="K5" si="2">D5+D9+D13+D17</f>
        <v>3926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2350</v>
      </c>
      <c r="K6" s="228">
        <f>D19+D20</f>
        <v>305.5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IF(DigitaTICA!C5&lt;&gt;"",DigitaTICA!C5,"")</f>
        <v>67200</v>
      </c>
      <c r="D7" s="42">
        <f>IF(C7="",0,C7*J$9)</f>
        <v>8736</v>
      </c>
      <c r="E7" s="29">
        <f>IF(DigitaTICA!D5&lt;&gt;"",DigitaTICA!D5,"")</f>
        <v>1200</v>
      </c>
      <c r="F7" s="42">
        <f>IF(E7="",0,E7*PREMIOS!F7)</f>
        <v>102000</v>
      </c>
      <c r="G7" s="30">
        <f t="shared" si="1"/>
        <v>-43536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IF(DigitaNICA!E5&lt;&gt;"",DigitaNICA!E5,"")</f>
        <v>6050</v>
      </c>
      <c r="D9" s="42">
        <f>IF(C9="",0,C9*J$10)</f>
        <v>786.5</v>
      </c>
      <c r="E9" s="29">
        <f>IF(DigitaNICA!F5&lt;&gt;"",DigitaNICA!F5,"")</f>
        <v>300</v>
      </c>
      <c r="F9" s="42">
        <f>IF(E9="",0,E9*PREMIOS!E9)</f>
        <v>24000</v>
      </c>
      <c r="G9" s="30">
        <f t="shared" si="1"/>
        <v>-18736.5</v>
      </c>
      <c r="I9" s="60" t="s">
        <v>36</v>
      </c>
      <c r="J9" s="61">
        <v>0.13</v>
      </c>
      <c r="K9" s="62">
        <f>MROUND(D7+D11+D15,50)</f>
        <v>23750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IF(DigitaTICA!E5&lt;&gt;"",DigitaTICA!E5,"")</f>
        <v>35900</v>
      </c>
      <c r="D11" s="42">
        <f>IF(C11="",0,C11*J$9)</f>
        <v>4667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31233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IF(DigitaTICA!G5&lt;&gt;"",DigitaTICA!G5,"")</f>
        <v>79400</v>
      </c>
      <c r="D15" s="42">
        <f>IF(C15="",0,C15*J$9)</f>
        <v>10322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69078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IF(DigitaNICA!I5&lt;&gt;"",DigitaNICA!I5,"")</f>
        <v>6250</v>
      </c>
      <c r="D17" s="42">
        <f>IF(C17="",0,C17*J$10)</f>
        <v>812.5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5437.5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IF(DigitaPRIMERA!C5&lt;&gt;"",DigitaPRIMERA!C5,"")</f>
        <v>2350</v>
      </c>
      <c r="D19" s="42">
        <f>IF(C19="",0,C19*J$12)</f>
        <v>305.5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2044.5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215050</v>
      </c>
      <c r="D21" s="68">
        <f t="shared" ref="D21:G21" si="4">SUM(D5:D20)</f>
        <v>27956.5</v>
      </c>
      <c r="E21" s="68">
        <f t="shared" si="4"/>
        <v>1500</v>
      </c>
      <c r="F21" s="68">
        <f t="shared" si="4"/>
        <v>126000</v>
      </c>
      <c r="G21" s="88">
        <f t="shared" si="4"/>
        <v>61093.5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141500</v>
      </c>
      <c r="K4" s="231">
        <f t="shared" ref="K4" si="0">D7+D11+D15</f>
        <v>16980</v>
      </c>
      <c r="L4" s="220">
        <f>F7+F11+F15</f>
        <v>182750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IF(DigitaNICA!C8&lt;&gt;"",DigitaNICA!C8,"")</f>
        <v>60400</v>
      </c>
      <c r="D5" s="42">
        <f>IF(C5="",0,C5*J$12)</f>
        <v>7248</v>
      </c>
      <c r="E5" s="29">
        <f>IF(DigitaNICA!D8&lt;&gt;"",DigitaNICA!D8,"")</f>
        <v>800</v>
      </c>
      <c r="F5" s="42">
        <f>IF(E5="",0,E5*PREMIOS!E5)</f>
        <v>64000</v>
      </c>
      <c r="G5" s="30">
        <f t="shared" ref="G5:G12" si="1">IF(OR(C5="",E5=""),0,C5-D5-F5)</f>
        <v>-10848</v>
      </c>
      <c r="I5" s="241" t="s">
        <v>37</v>
      </c>
      <c r="J5" s="221">
        <f>SUM(IF(C5="",0,C5),IF(C9="",0,C9),IF(C13="",0,C13),IF(C17="",0,C17))</f>
        <v>117750</v>
      </c>
      <c r="K5" s="225">
        <f t="shared" ref="K5" si="2">D5+D9+D13+D17</f>
        <v>14130</v>
      </c>
      <c r="L5" s="222">
        <f>F5+F9+F13+F17</f>
        <v>112000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IF(DigitaTICA!C8&lt;&gt;"",DigitaTICA!C8,"")</f>
        <v>73200</v>
      </c>
      <c r="D7" s="42">
        <f>IF(C7="",0,C7*J$11)</f>
        <v>8784</v>
      </c>
      <c r="E7" s="29">
        <f>IF(DigitaTICA!D8&lt;&gt;"",DigitaTICA!D8,"")</f>
        <v>1900</v>
      </c>
      <c r="F7" s="42">
        <f>IF(E7="",0,E7*PREMIOS!F7)</f>
        <v>161500</v>
      </c>
      <c r="G7" s="30">
        <f t="shared" si="1"/>
        <v>-97084</v>
      </c>
      <c r="I7" s="242" t="s">
        <v>96</v>
      </c>
      <c r="J7" s="224">
        <f>SUM(IF(C19="",0,C19),IF(C20="",0,C20))</f>
        <v>20250</v>
      </c>
      <c r="K7" s="228">
        <f>+D19+D20</f>
        <v>2430</v>
      </c>
      <c r="L7" s="229">
        <f>+F19+F20</f>
        <v>56000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IF(DigitaNICA!E8&lt;&gt;"",DigitaNICA!E8,"")</f>
        <v>52550</v>
      </c>
      <c r="D9" s="42">
        <f>IF(C9="",0,C9*J$12)</f>
        <v>6306</v>
      </c>
      <c r="E9" s="29">
        <f>IF(DigitaNICA!F8&lt;&gt;"",DigitaNICA!F8,"")</f>
        <v>600</v>
      </c>
      <c r="F9" s="42">
        <f>IF(E9="",0,E9*PREMIOS!E9)</f>
        <v>48000</v>
      </c>
      <c r="G9" s="30">
        <f t="shared" si="1"/>
        <v>-1756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IF(DigitaTICA!E8&lt;&gt;"",DigitaTICA!E8,"")</f>
        <v>35450</v>
      </c>
      <c r="D11" s="42">
        <f>IF(C11="",0,C11*J$11)</f>
        <v>4254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31196</v>
      </c>
      <c r="I11" s="60" t="s">
        <v>36</v>
      </c>
      <c r="J11" s="61">
        <v>0.12</v>
      </c>
      <c r="K11" s="62">
        <f>MROUND(D7+D11+D15,50)</f>
        <v>17000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2450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IF(DigitaTICA!G8&lt;&gt;"",DigitaTICA!G8,"")</f>
        <v>32850</v>
      </c>
      <c r="D15" s="42">
        <f>IF(C15="",0,C15*J$11)</f>
        <v>3942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7658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IF(DigitaNICA!I8&lt;&gt;"",DigitaNICA!I8,"")</f>
        <v>4800</v>
      </c>
      <c r="D17" s="42">
        <f>IF(C17="",0,C17*J$12)</f>
        <v>576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4224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IF(DigitaPRIMERA!C8&lt;&gt;"",DigitaPRIMERA!C8,"")</f>
        <v>17450</v>
      </c>
      <c r="D19" s="42">
        <f>IF(C19="",0,C19*J$14)</f>
        <v>2094</v>
      </c>
      <c r="E19" s="29">
        <f>IF(DigitaPRIMERA!D8&lt;&gt;"",DigitaPRIMERA!D8,"")</f>
        <v>700</v>
      </c>
      <c r="F19" s="42">
        <f>IF(E19="",0,E19*PREMIOS!E19)</f>
        <v>56000</v>
      </c>
      <c r="G19" s="30">
        <f t="shared" si="4"/>
        <v>-40644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>
        <f>IF(DigitaPRIMERA!E8&lt;&gt;"",DigitaPRIMERA!E8,"")</f>
        <v>2800</v>
      </c>
      <c r="D20" s="42">
        <f>IF(C20="",0,C20*J$14)</f>
        <v>336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2464</v>
      </c>
    </row>
    <row r="21" spans="1:7" ht="15" thickBot="1" x14ac:dyDescent="0.4">
      <c r="A21" s="121" t="s">
        <v>5</v>
      </c>
      <c r="B21" s="128"/>
      <c r="C21" s="122">
        <f>SUM(C5:C20)</f>
        <v>279500</v>
      </c>
      <c r="D21" s="122">
        <f t="shared" ref="D21:G21" si="5">SUM(D5:D20)</f>
        <v>33540</v>
      </c>
      <c r="E21" s="122">
        <f t="shared" si="5"/>
        <v>4250</v>
      </c>
      <c r="F21" s="122">
        <f t="shared" si="5"/>
        <v>350750</v>
      </c>
      <c r="G21" s="123">
        <f t="shared" si="5"/>
        <v>-104790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246000</v>
      </c>
      <c r="K4" s="231">
        <f t="shared" ref="K4" si="0">D7+D11+D15</f>
        <v>29520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IF(DigitaNICA!C10&lt;&gt;"",DigitaNICA!C10,"")</f>
        <v>40100</v>
      </c>
      <c r="D5" s="42">
        <f>IF(C5="",0,C5*J$15)</f>
        <v>4812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35288</v>
      </c>
      <c r="I5" s="217" t="s">
        <v>37</v>
      </c>
      <c r="J5" s="221">
        <f>SUM(IF(C5="",0,C5),IF(C9="",0,C9),IF(C13="",0,C13),IF(C17="",0,C17))</f>
        <v>154650</v>
      </c>
      <c r="K5" s="225">
        <f t="shared" ref="K5" si="2">D5+D9+D13+D17</f>
        <v>18558</v>
      </c>
      <c r="L5" s="222">
        <f>F5+F9+F13+F17</f>
        <v>119000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35150</v>
      </c>
      <c r="K6" s="226">
        <f t="shared" ref="K6" si="3">+D8+D12+D16</f>
        <v>3515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IF(DigitaTICA!C10&lt;&gt;"",DigitaTICA!C10,"")</f>
        <v>96100</v>
      </c>
      <c r="D7" s="42">
        <f>IF(C7="",0,C7*J$14)</f>
        <v>11532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84568</v>
      </c>
      <c r="I7" s="217" t="s">
        <v>96</v>
      </c>
      <c r="J7" s="223">
        <f>SUM(IF(C19="",0,C19),IF(C20="",0,C20))</f>
        <v>20000</v>
      </c>
      <c r="K7" s="226">
        <f>+D19+D20</f>
        <v>2400</v>
      </c>
      <c r="L7" s="227">
        <f>+F19+F20</f>
        <v>114750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10050</v>
      </c>
      <c r="D8" s="42">
        <f>IF(C8="",0,C8*J$16)</f>
        <v>1005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9045</v>
      </c>
      <c r="I8" s="217" t="s">
        <v>104</v>
      </c>
      <c r="J8" s="223">
        <f>SUM(IF(C21="",0,C21),IF(C22="",0,C22),IF(C23="",0,C23))</f>
        <v>7750</v>
      </c>
      <c r="K8" s="226">
        <f t="shared" ref="K8" si="4">D21+D22+D23</f>
        <v>930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IF(DigitaNICA!E10&lt;&gt;"",DigitaNICA!E10,"")</f>
        <v>34350</v>
      </c>
      <c r="D9" s="42">
        <f>IF(C9="",0,C9*J$15)</f>
        <v>4122</v>
      </c>
      <c r="E9" s="29">
        <f>IF(DigitaNICA!F10&lt;&gt;"",DigitaNICA!F10,"")</f>
        <v>1150</v>
      </c>
      <c r="F9" s="42">
        <f>IF(E9="",0,E9*PREMIOS!F9)</f>
        <v>97750</v>
      </c>
      <c r="G9" s="30">
        <f t="shared" si="1"/>
        <v>-67522</v>
      </c>
      <c r="I9" s="217" t="s">
        <v>20</v>
      </c>
      <c r="J9" s="223">
        <f>SUM(IF(C24="",0,C24),IF(C25="",0,C25))</f>
        <v>94250</v>
      </c>
      <c r="K9" s="226">
        <f t="shared" ref="K9" si="5">+D24+D25</f>
        <v>11310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IF(DigitaTICA!E10&lt;&gt;"",DigitaTICA!E10,"")</f>
        <v>42150</v>
      </c>
      <c r="D11" s="42">
        <f>IF(C11="",0,C11*J$14)</f>
        <v>5058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20092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10650</v>
      </c>
      <c r="D12" s="42">
        <f>IF(C12="",0,C12*J$16)</f>
        <v>1065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9585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29500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IF(DigitaTICA!G10&lt;&gt;"",DigitaTICA!G10,"")</f>
        <v>107750</v>
      </c>
      <c r="D15" s="42">
        <f>IF(C15="",0,C15*J$14)</f>
        <v>12930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94820</v>
      </c>
      <c r="I15" s="63" t="s">
        <v>37</v>
      </c>
      <c r="J15" s="64">
        <v>0.12</v>
      </c>
      <c r="K15" s="30">
        <f>MROUND(D5+D9+D13+D17,50)</f>
        <v>18550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14450</v>
      </c>
      <c r="D16" s="42">
        <f>IF(C16="",0,C16*J$16)</f>
        <v>1445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13005</v>
      </c>
      <c r="I16" s="63" t="s">
        <v>38</v>
      </c>
      <c r="J16" s="64">
        <v>0.1</v>
      </c>
      <c r="K16" s="30">
        <f>MROUND(D6+D8+D10+D12+D14+D16+D18,50)</f>
        <v>3500</v>
      </c>
    </row>
    <row r="17" spans="1:11" x14ac:dyDescent="0.35">
      <c r="A17" s="28" t="s">
        <v>52</v>
      </c>
      <c r="B17" s="132">
        <f>IF(DigitaNICA!I2&lt;&gt;"",DigitaNICA!I2,"")</f>
        <v>89</v>
      </c>
      <c r="C17" s="29">
        <f>IF(DigitaNICA!I10&lt;&gt;"",DigitaNICA!I10,"")</f>
        <v>80200</v>
      </c>
      <c r="D17" s="42">
        <f>IF(C17="",0,C17*J$15)</f>
        <v>9624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49326</v>
      </c>
      <c r="I17" s="63" t="s">
        <v>96</v>
      </c>
      <c r="J17" s="64">
        <v>0.12</v>
      </c>
      <c r="K17" s="30">
        <f>MROUND(D19+D20,50)</f>
        <v>2400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950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>
        <f>IF(DigitaPRIMERA!$C$10&lt;&gt;"",DigitaPRIMERA!$C$10,"")</f>
        <v>11750</v>
      </c>
      <c r="D19" s="42">
        <f>IF(C19="",0,C19*J$17)</f>
        <v>1410</v>
      </c>
      <c r="E19" s="29">
        <f>IF(DigitaPRIMERA!$D$10&lt;&gt;"",DigitaPRIMERA!$D$10,"")</f>
        <v>950</v>
      </c>
      <c r="F19" s="42">
        <f>IF(E19="",0,E19*PREMIOS!F19)</f>
        <v>80750</v>
      </c>
      <c r="G19" s="30">
        <f t="shared" ref="G19:G22" si="7">IF(OR(C19="",E19=""),0,C19-D19-F19)</f>
        <v>-70410</v>
      </c>
      <c r="I19" s="63" t="s">
        <v>20</v>
      </c>
      <c r="J19" s="64">
        <v>0.12</v>
      </c>
      <c r="K19" s="30">
        <f>MROUND(D24+D25,50)</f>
        <v>11300</v>
      </c>
    </row>
    <row r="20" spans="1:11" ht="15" thickBot="1" x14ac:dyDescent="0.4">
      <c r="A20" s="28" t="s">
        <v>98</v>
      </c>
      <c r="B20" s="132">
        <f>IF(DigitaPRIMERA!E2&lt;&gt;"",DigitaPRIMERA!E2,"")</f>
        <v>19</v>
      </c>
      <c r="C20" s="29">
        <f>IF(DigitaPRIMERA!$E$10&lt;&gt;"",DigitaPRIMERA!$E$10,"")</f>
        <v>8250</v>
      </c>
      <c r="D20" s="42">
        <f>IF(C20="",0,C20*J$17)</f>
        <v>990</v>
      </c>
      <c r="E20" s="29">
        <f>IF(DigitaPRIMERA!$F$10&lt;&gt;"",DigitaPRIMERA!$F$10,"")</f>
        <v>400</v>
      </c>
      <c r="F20" s="42">
        <f>IF(E20="",0,E20*PREMIOS!F19)</f>
        <v>34000</v>
      </c>
      <c r="G20" s="30">
        <f t="shared" si="7"/>
        <v>-26740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32</v>
      </c>
      <c r="C21" s="29">
        <f>IF(DigitaHONDURAS!$C$10&lt;&gt;"",DigitaHONDURAS!$C$10,"")</f>
        <v>2500</v>
      </c>
      <c r="D21" s="42">
        <f>IF(C21="",0,C21*J$18)</f>
        <v>300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2200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>
        <f>IF(DigitaHONDURAS!$G$10&lt;&gt;"",DigitaHONDURAS!$G$10,"")</f>
        <v>5250</v>
      </c>
      <c r="D23" s="42">
        <f>IF(C23="",0,C23*J$18)</f>
        <v>630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4620</v>
      </c>
    </row>
    <row r="24" spans="1:11" x14ac:dyDescent="0.35">
      <c r="A24" s="28" t="s">
        <v>107</v>
      </c>
      <c r="B24" s="132">
        <f>IF(DigitaDOMINICANA!C2&lt;&gt;"",DigitaDOMINICANA!C2,"")</f>
        <v>13</v>
      </c>
      <c r="C24" s="29">
        <f>IF(DigitaDOMINICANA!$C$10&lt;&gt;"",DigitaDOMINICANA!$C$10,"")</f>
        <v>38000</v>
      </c>
      <c r="D24" s="42">
        <f>IF(C24="",0,C24*J$19)</f>
        <v>4560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33440</v>
      </c>
    </row>
    <row r="25" spans="1:11" x14ac:dyDescent="0.35">
      <c r="A25" s="28" t="s">
        <v>108</v>
      </c>
      <c r="B25" s="132">
        <f>IF(DigitaDOMINICANA!E2&lt;&gt;"",DigitaDOMINICANA!E2,"")</f>
        <v>34</v>
      </c>
      <c r="C25" s="29">
        <f>IF(DigitaDOMINICANA!$E$10&lt;&gt;"",DigitaDOMINICANA!$E$10,"")</f>
        <v>56250</v>
      </c>
      <c r="D25" s="42">
        <f>IF(C25="",0,C25*J$19)</f>
        <v>6750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49500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557800</v>
      </c>
      <c r="D27" s="68">
        <f t="shared" ref="D27:F27" si="9">SUM(D5:D26)</f>
        <v>66233</v>
      </c>
      <c r="E27" s="68">
        <f t="shared" si="9"/>
        <v>2950</v>
      </c>
      <c r="F27" s="68">
        <f t="shared" si="9"/>
        <v>250750</v>
      </c>
      <c r="G27" s="88">
        <f>SUM(G5:G26)</f>
        <v>240817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11700</v>
      </c>
      <c r="K4" s="231">
        <f t="shared" ref="K4" si="0">D7+D11+D15</f>
        <v>1404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IF(DigitaTICA!G11&lt;&gt;"",DigitaTICA!G11,"")</f>
        <v>11700</v>
      </c>
      <c r="D15" s="42">
        <f>IF(C15="",0,C15*J$11)</f>
        <v>1404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10296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11700</v>
      </c>
      <c r="D21" s="122">
        <f t="shared" ref="D21:G21" si="5">SUM(D5:D20)</f>
        <v>1404</v>
      </c>
      <c r="E21" s="122">
        <f t="shared" si="5"/>
        <v>0</v>
      </c>
      <c r="F21" s="122">
        <f t="shared" si="5"/>
        <v>0</v>
      </c>
      <c r="G21" s="123">
        <f t="shared" si="5"/>
        <v>10296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9"/>
  <sheetViews>
    <sheetView showGridLines="0" topLeftCell="A11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122300</v>
      </c>
      <c r="K4" s="231">
        <f>D7+D11+D15</f>
        <v>14676</v>
      </c>
      <c r="L4" s="220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IF(DigitaNICA!C12&lt;&gt;"",DigitaNICA!C12,"")</f>
        <v>36500</v>
      </c>
      <c r="D5" s="42">
        <f>IF(C5="",0,C5*J$12)</f>
        <v>4380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-10380</v>
      </c>
      <c r="I5" s="217" t="s">
        <v>37</v>
      </c>
      <c r="J5" s="221">
        <f>SUM(IF(C5="",0,C5),IF(C9="",0,C9),IF(C13="",0,C13),IF(C17="",0,C17))</f>
        <v>78050</v>
      </c>
      <c r="K5" s="225">
        <f t="shared" ref="K5" si="1">D5+D9+D13+D17</f>
        <v>9366</v>
      </c>
      <c r="L5" s="222">
        <f>F5+F9+F13+F17</f>
        <v>89250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6250</v>
      </c>
      <c r="K6" s="226">
        <f t="shared" ref="K6" si="2">+D8+D12+D16</f>
        <v>625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IF(DigitaTICA!C12&lt;&gt;"",DigitaTICA!C12,"")</f>
        <v>40400</v>
      </c>
      <c r="D7" s="42">
        <f>IF(C7="",0,C7*J$11)</f>
        <v>4848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18552</v>
      </c>
      <c r="I7" s="217" t="s">
        <v>96</v>
      </c>
      <c r="J7" s="223">
        <f>SUM(IF(C19="",0,C19),IF(C20="",0,C20))</f>
        <v>39200</v>
      </c>
      <c r="K7" s="226">
        <f>+D19+D20</f>
        <v>4704</v>
      </c>
      <c r="L7" s="227">
        <f>+F19+F20</f>
        <v>72250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3750</v>
      </c>
      <c r="D8" s="42">
        <f>IF(C8="",0,C8*J$13)</f>
        <v>375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3375</v>
      </c>
      <c r="I8" s="218" t="s">
        <v>104</v>
      </c>
      <c r="J8" s="224">
        <f>SUM(IF(C21="",0,C21),IF(C22="",0,C22),IF(C23="",0,C23))</f>
        <v>4800</v>
      </c>
      <c r="K8" s="228">
        <f>+D21+D22+D23</f>
        <v>576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IF(DigitaNICA!E12&lt;&gt;"",DigitaNICA!E12,"")</f>
        <v>34550</v>
      </c>
      <c r="D9" s="42">
        <f>IF(C9="",0,C9*J$12)</f>
        <v>4146</v>
      </c>
      <c r="E9" s="29">
        <f>IF(DigitaNICA!F12&lt;&gt;"",DigitaNICA!F12,"")</f>
        <v>550</v>
      </c>
      <c r="F9" s="42">
        <f>IF(E9="",0,E9*PREMIOS!F9)</f>
        <v>46750</v>
      </c>
      <c r="G9" s="30">
        <f t="shared" si="0"/>
        <v>-16346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IF(DigitaTICA!E12&lt;&gt;"",DigitaTICA!E12,"")</f>
        <v>31300</v>
      </c>
      <c r="D11" s="42">
        <f>IF(C11="",0,C11*J$11)</f>
        <v>3756</v>
      </c>
      <c r="E11" s="29">
        <f>IF(DigitaTICA!F12&lt;&gt;"",DigitaTICA!F12,"")</f>
        <v>450</v>
      </c>
      <c r="F11" s="42">
        <f>IF(E11="",0,E11*PREMIOS!F11)</f>
        <v>38250</v>
      </c>
      <c r="G11" s="30">
        <f t="shared" si="0"/>
        <v>-10706</v>
      </c>
      <c r="I11" s="60" t="s">
        <v>36</v>
      </c>
      <c r="J11" s="61">
        <v>0.12</v>
      </c>
      <c r="K11" s="62">
        <f>MROUND(D7+D11+D15,50)</f>
        <v>14700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2500</v>
      </c>
      <c r="D12" s="42">
        <f>IF(C12="",0,C12*J$13)</f>
        <v>250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2250</v>
      </c>
      <c r="I12" s="63" t="s">
        <v>37</v>
      </c>
      <c r="J12" s="64">
        <v>0.12</v>
      </c>
      <c r="K12" s="30">
        <f>MROUND(D5+D9+D13+D17,50)</f>
        <v>9350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4700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IF(DigitaTICA!G12&lt;&gt;"",DigitaTICA!G12,"")</f>
        <v>50600</v>
      </c>
      <c r="D15" s="42">
        <f>IF(C15="",0,C15*J$11)</f>
        <v>6072</v>
      </c>
      <c r="E15" s="29">
        <f>IF(DigitaTICA!H12&lt;&gt;"",DigitaTICA!H12,"")</f>
        <v>550</v>
      </c>
      <c r="F15" s="42">
        <f>IF(E15="",0,E15*PREMIOS!F15)</f>
        <v>46750</v>
      </c>
      <c r="G15" s="30">
        <f t="shared" si="3"/>
        <v>-2222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IF(DigitaNICA!I12&lt;&gt;"",DigitaNICA!I12,"")</f>
        <v>7000</v>
      </c>
      <c r="D17" s="42">
        <f>IF(C17="",0,C17*J$12)</f>
        <v>840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6160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>
        <f>IF(DigitaPRIMERA!$C$12&lt;&gt;"",DigitaPRIMERA!$C$12,"")</f>
        <v>39200</v>
      </c>
      <c r="D19" s="42">
        <f>IF(C19="",0,C19*J$14)</f>
        <v>4704</v>
      </c>
      <c r="E19" s="29">
        <f>IF(DigitaPRIMERA!$D$12&lt;&gt;"",DigitaPRIMERA!$D$12,"")</f>
        <v>850</v>
      </c>
      <c r="F19" s="42">
        <f>IF(E19="",0,E19*PREMIOS!F19)</f>
        <v>72250</v>
      </c>
      <c r="G19" s="30">
        <f t="shared" si="3"/>
        <v>-37754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>
        <f>IF(DigitaHONDURAS!$C$12&lt;&gt;"",DigitaHONDURAS!$C$12,"")</f>
        <v>4800</v>
      </c>
      <c r="D21" s="42">
        <f>IF(C21="",0,C21*J$15)</f>
        <v>576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4224</v>
      </c>
    </row>
    <row r="22" spans="1:7" x14ac:dyDescent="0.35">
      <c r="A22" s="28" t="s">
        <v>100</v>
      </c>
      <c r="B22" s="132">
        <f>IF(DigitaHONDURAS!E2&lt;&gt;"",DigitaHONDURAS!E2,"")</f>
        <v>97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250600</v>
      </c>
      <c r="D24" s="68">
        <f t="shared" ref="D24:G24" si="4">SUM(D5:D23)</f>
        <v>29947</v>
      </c>
      <c r="E24" s="68">
        <f t="shared" si="4"/>
        <v>3100</v>
      </c>
      <c r="F24" s="68">
        <f t="shared" si="4"/>
        <v>263500</v>
      </c>
      <c r="G24" s="88">
        <f t="shared" si="4"/>
        <v>-42847</v>
      </c>
    </row>
    <row r="27" spans="1:7" x14ac:dyDescent="0.35">
      <c r="G27" s="21">
        <v>-9029</v>
      </c>
    </row>
    <row r="28" spans="1:7" x14ac:dyDescent="0.35">
      <c r="G28" s="141">
        <f>+G24+G27</f>
        <v>-51876</v>
      </c>
    </row>
    <row r="29" spans="1:7" x14ac:dyDescent="0.35">
      <c r="G29" s="288"/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117700</v>
      </c>
      <c r="K4" s="231">
        <f t="shared" ref="K4" si="0">D7+D11+D15</f>
        <v>14124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38</v>
      </c>
      <c r="C5" s="29">
        <f>IF(DigitaNICA!C13&lt;&gt;"",DigitaNICA!C13,"")</f>
        <v>16500</v>
      </c>
      <c r="D5" s="42">
        <f>IF(C5="",0,C5*J$10)</f>
        <v>1980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14520</v>
      </c>
      <c r="I5" s="218" t="s">
        <v>37</v>
      </c>
      <c r="J5" s="232">
        <f>SUM(IF(C5="",0,C5),IF(C9="",0,C9),IF(C13="",0,C13),IF(C17="",0,C17))</f>
        <v>42150</v>
      </c>
      <c r="K5" s="233">
        <f t="shared" ref="K5" si="2">D5+D9+D13+D17</f>
        <v>5058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IF(DigitaTICA!C13&lt;&gt;"",DigitaTICA!C13,"")</f>
        <v>48950</v>
      </c>
      <c r="D7" s="42">
        <f>IF(C7="",0,C7*J$9)</f>
        <v>5874</v>
      </c>
      <c r="E7" s="29">
        <f>IF(DigitaTICA!D13&lt;&gt;"",DigitaTICA!D13,"")</f>
        <v>400</v>
      </c>
      <c r="F7" s="133">
        <f>IF(E7="",0,E7*PREMIOS!F7)</f>
        <v>34000</v>
      </c>
      <c r="G7" s="30">
        <f t="shared" si="1"/>
        <v>9076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>
        <f>IF(DigitaNICA!E13&lt;&gt;"",DigitaNICA!E13,"")</f>
        <v>22350</v>
      </c>
      <c r="D9" s="42">
        <f>IF(C9="",0,C9*J$10)</f>
        <v>2682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19668</v>
      </c>
      <c r="I9" s="60" t="s">
        <v>36</v>
      </c>
      <c r="J9" s="61">
        <v>0.12</v>
      </c>
      <c r="K9" s="62">
        <f>MROUND(D7+D11+D15,50)</f>
        <v>14100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5050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IF(DigitaTICA!E13&lt;&gt;"",DigitaTICA!E13,"")</f>
        <v>19900</v>
      </c>
      <c r="D11" s="42">
        <f>IF(C11="",0,C11*J$9)</f>
        <v>2388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17512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IF(DigitaTICA!G13&lt;&gt;"",DigitaTICA!G13,"")</f>
        <v>48850</v>
      </c>
      <c r="D15" s="42">
        <f>IF(C15="",0,C15*J$9)</f>
        <v>5862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42988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2904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159850</v>
      </c>
      <c r="D19" s="68">
        <f>MROUND(SUM(D5:D18),50)</f>
        <v>19200</v>
      </c>
      <c r="E19" s="68">
        <f>SUM(E5:E18)</f>
        <v>400</v>
      </c>
      <c r="F19" s="68">
        <f>SUM(F5:F18)</f>
        <v>34000</v>
      </c>
      <c r="G19" s="88">
        <f>SUM(G5:G18)</f>
        <v>106668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92000</v>
      </c>
      <c r="K4" s="236">
        <f t="shared" ref="K4" si="0">D7+D11+D15</f>
        <v>13800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38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>
        <f>IF(DigitaTICA!C14&lt;&gt;"",DigitaTICA!C14,"")</f>
        <v>39300</v>
      </c>
      <c r="D7" s="42">
        <f>IF(C7="",0,C7*J$9)</f>
        <v>5895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33405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13800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IF(DigitaTICA!E14&lt;&gt;"",DigitaTICA!E14,"")</f>
        <v>19300</v>
      </c>
      <c r="D11" s="42">
        <f>IF(C11="",0,C11*J$9)</f>
        <v>2895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-7595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IF(DigitaTICA!G14&lt;&gt;"",DigitaTICA!G14,"")</f>
        <v>33400</v>
      </c>
      <c r="D15" s="42">
        <f>IF(C15="",0,C15*J$9)</f>
        <v>5010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28390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92000</v>
      </c>
      <c r="D19" s="68">
        <f>MROUND(SUM(D5:D18),50)</f>
        <v>13800</v>
      </c>
      <c r="E19" s="68">
        <f>SUM(E5:E18)</f>
        <v>300</v>
      </c>
      <c r="F19" s="68">
        <f>SUM(F5:F18)</f>
        <v>24000</v>
      </c>
      <c r="G19" s="88">
        <f>SUM(G5:G18)</f>
        <v>54200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72450</v>
      </c>
      <c r="K4" s="231">
        <f>D7+D11+D15</f>
        <v>8694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IF(DigitaNICA!C16&lt;&gt;"",DigitaNICA!C16,"")</f>
        <v>8000</v>
      </c>
      <c r="D5" s="42">
        <f>IF(C5="",0,C5*J$12)</f>
        <v>960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7040</v>
      </c>
      <c r="I5" s="63" t="s">
        <v>37</v>
      </c>
      <c r="J5" s="225">
        <f>SUM(IF(C5="",0,C5),IF(C9="",0,C9),IF(C13="",0,C13),IF(C17="",0,C17))</f>
        <v>31550</v>
      </c>
      <c r="K5" s="225">
        <f t="shared" ref="K5" si="1">D5+D9+D13+D17</f>
        <v>3786</v>
      </c>
      <c r="L5" s="222">
        <f>F5+F9+F13+F17</f>
        <v>64000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29">
        <f>IF(DigitaTICA!C16&lt;&gt;"",DigitaTICA!C16,"")</f>
        <v>14050</v>
      </c>
      <c r="D7" s="42">
        <f>IF(C7="",0,C7*J$11)</f>
        <v>1686</v>
      </c>
      <c r="E7" s="29">
        <f>IF(DigitaTICA!D16&lt;&gt;"",DigitaTICA!D16,"")</f>
        <v>1500</v>
      </c>
      <c r="F7" s="133">
        <f>IF(E7="",0,E7*PREMIOS!F7)</f>
        <v>127500</v>
      </c>
      <c r="G7" s="30">
        <f t="shared" si="0"/>
        <v>-115136</v>
      </c>
      <c r="I7" s="63" t="s">
        <v>96</v>
      </c>
      <c r="J7" s="226">
        <f>SUM(IF(C19="",0,C19),IF(C20="",0,C20))</f>
        <v>500</v>
      </c>
      <c r="K7" s="226">
        <f>+D19+D20</f>
        <v>60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06</v>
      </c>
      <c r="C9" s="29">
        <f>IF(DigitaNICA!E16&lt;&gt;"",DigitaNICA!E16,"")</f>
        <v>9250</v>
      </c>
      <c r="D9" s="42">
        <f>IF(C9="",0,C9*J$12)</f>
        <v>1110</v>
      </c>
      <c r="E9" s="29">
        <f>IF(DigitaNICA!F16&lt;&gt;"",DigitaNICA!F16,"")</f>
        <v>500</v>
      </c>
      <c r="F9" s="133">
        <f>IF(E9="",0,E9*PREMIOS!E9)</f>
        <v>40000</v>
      </c>
      <c r="G9" s="30">
        <f t="shared" si="0"/>
        <v>-31860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IF(DigitaTICA!E16&lt;&gt;"",DigitaTICA!E16,"")</f>
        <v>22750</v>
      </c>
      <c r="D11" s="42">
        <f>IF(C11="",0,C11*J$11)</f>
        <v>2730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20020</v>
      </c>
      <c r="I11" s="76" t="s">
        <v>36</v>
      </c>
      <c r="J11" s="77">
        <v>0.12</v>
      </c>
      <c r="K11" s="78">
        <f>MROUND(D7+D11+D15,50)</f>
        <v>8700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IF(DigitaTICA!G16&lt;&gt;"",DigitaTICA!G16,"")</f>
        <v>35650</v>
      </c>
      <c r="D15" s="42">
        <f>IF(C15="",0,C15*J$11)</f>
        <v>4278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31372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>
        <f>IF(DigitaNICA!I16&lt;&gt;"",DigitaNICA!I16,"")</f>
        <v>14300</v>
      </c>
      <c r="D17" s="42">
        <f>IF(C17="",0,C17*J$12)</f>
        <v>1716</v>
      </c>
      <c r="E17" s="29">
        <f>IF(DigitaNICA!J16&lt;&gt;"",DigitaNICA!J16,"")</f>
        <v>300</v>
      </c>
      <c r="F17" s="42">
        <f>IF(E17="",0,E17*PREMIOS!E17)</f>
        <v>24000</v>
      </c>
      <c r="G17" s="30">
        <f t="shared" si="3"/>
        <v>-11416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12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19</v>
      </c>
      <c r="C20" s="29">
        <f>IF(DigitaPRIMERA!E16&lt;&gt;"",DigitaPRIMERA!E16,"")</f>
        <v>500</v>
      </c>
      <c r="D20" s="42">
        <f>IF(C20="",0,C20*J$14)</f>
        <v>60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440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105000</v>
      </c>
      <c r="D24" s="122">
        <f t="shared" ref="D24:G24" si="5">SUM(D5:D23)</f>
        <v>12590</v>
      </c>
      <c r="E24" s="122">
        <f t="shared" si="5"/>
        <v>2300</v>
      </c>
      <c r="F24" s="122">
        <f t="shared" si="5"/>
        <v>191500</v>
      </c>
      <c r="G24" s="123">
        <f t="shared" si="5"/>
        <v>-99090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13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85</v>
      </c>
      <c r="D2" s="268"/>
      <c r="E2" s="267">
        <f>IF(PREMIOS!$B11="","",PREMIOS!$B11)</f>
        <v>78</v>
      </c>
      <c r="F2" s="268"/>
      <c r="G2" s="267">
        <f>IF(PREMIOS!$B15="","",PREMIOS!$B15)</f>
        <v>59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75650</v>
      </c>
      <c r="D4" s="78">
        <f t="shared" ref="D4:H27" si="0">IF(C4="","",0)</f>
        <v>0</v>
      </c>
      <c r="E4" s="189">
        <v>26500</v>
      </c>
      <c r="F4" s="78">
        <v>500</v>
      </c>
      <c r="G4" s="189">
        <v>89750</v>
      </c>
      <c r="H4" s="78">
        <f t="shared" si="0"/>
        <v>0</v>
      </c>
      <c r="J4" s="42">
        <f t="shared" ref="J4:J8" si="1">+C4+E4+G4</f>
        <v>191900</v>
      </c>
      <c r="K4" s="42">
        <f>IF(D4="",0,IF(F4="",D4,IF(H4="",D4+F4,D4+F4+H4)))</f>
        <v>500</v>
      </c>
    </row>
    <row r="5" spans="1:11" x14ac:dyDescent="0.35">
      <c r="A5" s="47">
        <v>2</v>
      </c>
      <c r="B5" s="178" t="str">
        <f>Vendedor2!$B$2</f>
        <v>PUESTO 2</v>
      </c>
      <c r="C5" s="180">
        <v>67200</v>
      </c>
      <c r="D5" s="30">
        <v>1200</v>
      </c>
      <c r="E5" s="180">
        <v>35900</v>
      </c>
      <c r="F5" s="30">
        <f t="shared" si="0"/>
        <v>0</v>
      </c>
      <c r="G5" s="180">
        <v>79400</v>
      </c>
      <c r="H5" s="30">
        <f t="shared" si="0"/>
        <v>0</v>
      </c>
      <c r="J5" s="42">
        <f t="shared" si="1"/>
        <v>182500</v>
      </c>
      <c r="K5" s="42">
        <f t="shared" ref="K5:K27" si="2">IF(D5="",0,IF(F5="",D5,IF(H5="",D5+F5,D5+F5+H5)))</f>
        <v>1200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73200</v>
      </c>
      <c r="D8" s="30">
        <v>1900</v>
      </c>
      <c r="E8" s="180">
        <v>35450</v>
      </c>
      <c r="F8" s="30">
        <f t="shared" si="0"/>
        <v>0</v>
      </c>
      <c r="G8" s="180">
        <v>32850</v>
      </c>
      <c r="H8" s="30">
        <v>250</v>
      </c>
      <c r="J8" s="42">
        <f t="shared" si="1"/>
        <v>141500</v>
      </c>
      <c r="K8" s="42">
        <f t="shared" si="2"/>
        <v>2150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13000+83100</f>
        <v>96100</v>
      </c>
      <c r="D10" s="30">
        <f t="shared" si="0"/>
        <v>0</v>
      </c>
      <c r="E10" s="180">
        <f>10400+31750</f>
        <v>42150</v>
      </c>
      <c r="F10" s="30">
        <v>200</v>
      </c>
      <c r="G10" s="180">
        <f>28350+79400</f>
        <v>107750</v>
      </c>
      <c r="H10" s="30">
        <f t="shared" si="0"/>
        <v>0</v>
      </c>
      <c r="J10" s="42">
        <f t="shared" si="3"/>
        <v>246000</v>
      </c>
      <c r="K10" s="42">
        <f t="shared" si="2"/>
        <v>200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11700</v>
      </c>
      <c r="H11" s="30">
        <f t="shared" si="0"/>
        <v>0</v>
      </c>
      <c r="J11" s="42">
        <f t="shared" si="3"/>
        <v>11700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40400</v>
      </c>
      <c r="D12" s="30">
        <v>200</v>
      </c>
      <c r="E12" s="180">
        <v>31300</v>
      </c>
      <c r="F12" s="30">
        <v>450</v>
      </c>
      <c r="G12" s="180">
        <v>50600</v>
      </c>
      <c r="H12" s="30">
        <v>550</v>
      </c>
      <c r="J12" s="42">
        <f t="shared" si="3"/>
        <v>122300</v>
      </c>
      <c r="K12" s="42">
        <f t="shared" si="2"/>
        <v>1200</v>
      </c>
    </row>
    <row r="13" spans="1:11" x14ac:dyDescent="0.35">
      <c r="A13" s="47">
        <v>10</v>
      </c>
      <c r="B13" s="178" t="str">
        <f>Vendedor10!$B$2</f>
        <v>MARIALIZ</v>
      </c>
      <c r="C13" s="180">
        <v>48950</v>
      </c>
      <c r="D13" s="30">
        <v>400</v>
      </c>
      <c r="E13" s="180">
        <v>19900</v>
      </c>
      <c r="F13" s="30">
        <f t="shared" si="0"/>
        <v>0</v>
      </c>
      <c r="G13" s="180">
        <v>48850</v>
      </c>
      <c r="H13" s="30">
        <f t="shared" si="0"/>
        <v>0</v>
      </c>
      <c r="J13" s="42">
        <f t="shared" si="3"/>
        <v>117700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39300</v>
      </c>
      <c r="D14" s="30">
        <f t="shared" si="0"/>
        <v>0</v>
      </c>
      <c r="E14" s="180">
        <v>19300</v>
      </c>
      <c r="F14" s="30">
        <v>300</v>
      </c>
      <c r="G14" s="180">
        <v>33400</v>
      </c>
      <c r="H14" s="30">
        <f t="shared" si="0"/>
        <v>0</v>
      </c>
      <c r="J14" s="42">
        <f t="shared" si="3"/>
        <v>92000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14050</v>
      </c>
      <c r="D16" s="30">
        <v>1500</v>
      </c>
      <c r="E16" s="180">
        <v>22750</v>
      </c>
      <c r="F16" s="30">
        <f t="shared" si="0"/>
        <v>0</v>
      </c>
      <c r="G16" s="180">
        <v>35650</v>
      </c>
      <c r="H16" s="30">
        <f t="shared" si="0"/>
        <v>0</v>
      </c>
      <c r="J16" s="42">
        <f t="shared" si="3"/>
        <v>72450</v>
      </c>
      <c r="K16" s="42">
        <f t="shared" si="2"/>
        <v>1500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454850</v>
      </c>
      <c r="D32" s="44">
        <f t="shared" si="6"/>
        <v>5200</v>
      </c>
      <c r="E32" s="43">
        <f t="shared" si="6"/>
        <v>233250</v>
      </c>
      <c r="F32" s="44">
        <f t="shared" si="6"/>
        <v>1450</v>
      </c>
      <c r="G32" s="43">
        <f t="shared" si="6"/>
        <v>489950</v>
      </c>
      <c r="H32" s="44">
        <f t="shared" si="6"/>
        <v>800</v>
      </c>
      <c r="J32" s="95">
        <f>SUM(J4:J31)</f>
        <v>1178050</v>
      </c>
      <c r="K32" s="95"/>
    </row>
    <row r="33" spans="2:8" x14ac:dyDescent="0.35">
      <c r="D33" s="99">
        <f>+D32*85</f>
        <v>442000</v>
      </c>
      <c r="F33" s="99">
        <f>+F32*85</f>
        <v>123250</v>
      </c>
      <c r="H33" s="99">
        <f>+H32*85</f>
        <v>68000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38</v>
      </c>
      <c r="D2" s="268"/>
      <c r="E2" s="267" t="str">
        <f>IF(PREMIOS!$B9="","",PREMIOS!$B9)</f>
        <v>06</v>
      </c>
      <c r="F2" s="268"/>
      <c r="G2" s="267" t="str">
        <f>IF(PREMIOS!$B13="","",PREMIOS!$B13)</f>
        <v/>
      </c>
      <c r="H2" s="268"/>
      <c r="I2" s="267">
        <f>IF(PREMIOS!$B17="","",PREMIOS!$B17)</f>
        <v>89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23650</v>
      </c>
      <c r="D4" s="78">
        <f t="shared" ref="D4:J27" si="0">IF(C4="","",0)</f>
        <v>0</v>
      </c>
      <c r="E4" s="206">
        <v>7600</v>
      </c>
      <c r="F4" s="78">
        <v>500</v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31250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17900</v>
      </c>
      <c r="D5" s="30">
        <f t="shared" si="0"/>
        <v>0</v>
      </c>
      <c r="E5" s="207">
        <v>6050</v>
      </c>
      <c r="F5" s="30">
        <v>300</v>
      </c>
      <c r="G5" s="180"/>
      <c r="H5" s="30" t="str">
        <f t="shared" si="1"/>
        <v/>
      </c>
      <c r="I5" s="180">
        <v>6250</v>
      </c>
      <c r="J5" s="30">
        <f t="shared" ref="J5:J27" si="3">IF(I5="","",0)</f>
        <v>0</v>
      </c>
      <c r="L5" s="42">
        <f t="shared" si="2"/>
        <v>30200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60400</v>
      </c>
      <c r="D8" s="30">
        <v>800</v>
      </c>
      <c r="E8" s="207">
        <v>52550</v>
      </c>
      <c r="F8" s="30">
        <v>600</v>
      </c>
      <c r="G8" s="180"/>
      <c r="H8" s="30" t="str">
        <f t="shared" si="1"/>
        <v/>
      </c>
      <c r="I8" s="180">
        <v>4800</v>
      </c>
      <c r="J8" s="30">
        <f t="shared" si="0"/>
        <v>0</v>
      </c>
      <c r="L8" s="42">
        <f t="shared" si="2"/>
        <v>117750</v>
      </c>
      <c r="M8" s="42">
        <f t="shared" si="4"/>
        <v>1400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11200+28900</f>
        <v>40100</v>
      </c>
      <c r="D10" s="30">
        <f t="shared" si="0"/>
        <v>0</v>
      </c>
      <c r="E10" s="207">
        <f>8600+25750</f>
        <v>34350</v>
      </c>
      <c r="F10" s="30">
        <f>300+850</f>
        <v>1150</v>
      </c>
      <c r="G10" s="180"/>
      <c r="H10" s="30" t="str">
        <f t="shared" si="0"/>
        <v/>
      </c>
      <c r="I10" s="180">
        <f>20150+60050</f>
        <v>80200</v>
      </c>
      <c r="J10" s="30">
        <v>250</v>
      </c>
      <c r="L10" s="42">
        <f t="shared" si="5"/>
        <v>154650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36500</v>
      </c>
      <c r="D12" s="30">
        <v>500</v>
      </c>
      <c r="E12" s="207">
        <v>34550</v>
      </c>
      <c r="F12" s="30">
        <v>550</v>
      </c>
      <c r="G12" s="180"/>
      <c r="H12" s="30" t="str">
        <f t="shared" si="0"/>
        <v/>
      </c>
      <c r="I12" s="180">
        <v>7000</v>
      </c>
      <c r="J12" s="30">
        <f t="shared" si="0"/>
        <v>0</v>
      </c>
      <c r="L12" s="42">
        <f t="shared" si="5"/>
        <v>78050</v>
      </c>
      <c r="M12" s="42">
        <f t="shared" si="4"/>
        <v>1050</v>
      </c>
    </row>
    <row r="13" spans="1:13" x14ac:dyDescent="0.35">
      <c r="A13" s="47">
        <v>10</v>
      </c>
      <c r="B13" s="178" t="str">
        <f>Vendedor10!$B$2</f>
        <v>MARIALIZ</v>
      </c>
      <c r="C13" s="180">
        <v>16500</v>
      </c>
      <c r="D13" s="30">
        <f t="shared" si="0"/>
        <v>0</v>
      </c>
      <c r="E13" s="207">
        <v>22350</v>
      </c>
      <c r="F13" s="30">
        <f t="shared" si="0"/>
        <v>0</v>
      </c>
      <c r="G13" s="180"/>
      <c r="H13" s="30" t="str">
        <f t="shared" si="0"/>
        <v/>
      </c>
      <c r="I13" s="180">
        <v>3300</v>
      </c>
      <c r="J13" s="30">
        <f t="shared" si="0"/>
        <v>0</v>
      </c>
      <c r="L13" s="42">
        <f t="shared" si="5"/>
        <v>42150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8000</v>
      </c>
      <c r="D16" s="30">
        <f t="shared" si="0"/>
        <v>0</v>
      </c>
      <c r="E16" s="207">
        <v>9250</v>
      </c>
      <c r="F16" s="30">
        <v>500</v>
      </c>
      <c r="G16" s="180"/>
      <c r="H16" s="30" t="str">
        <f t="shared" si="0"/>
        <v/>
      </c>
      <c r="I16" s="180">
        <v>14300</v>
      </c>
      <c r="J16" s="30">
        <v>300</v>
      </c>
      <c r="L16" s="42">
        <f t="shared" si="5"/>
        <v>31550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203050</v>
      </c>
      <c r="D32" s="44">
        <f t="shared" si="7"/>
        <v>1300</v>
      </c>
      <c r="E32" s="43">
        <f t="shared" si="7"/>
        <v>166700</v>
      </c>
      <c r="F32" s="44">
        <f t="shared" si="7"/>
        <v>3600</v>
      </c>
      <c r="G32" s="43">
        <f t="shared" si="7"/>
        <v>0</v>
      </c>
      <c r="H32" s="44">
        <f t="shared" si="7"/>
        <v>0</v>
      </c>
      <c r="I32" s="43">
        <f t="shared" si="7"/>
        <v>115850</v>
      </c>
      <c r="J32" s="44">
        <f t="shared" si="7"/>
        <v>550</v>
      </c>
      <c r="L32" s="95">
        <f>SUM(L9:L31)</f>
        <v>306400</v>
      </c>
      <c r="M32" s="95">
        <f>SUM(M9:M31)</f>
        <v>1050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85 Blanca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59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4500+5550</f>
        <v>10050</v>
      </c>
      <c r="D10" s="30">
        <f t="shared" si="0"/>
        <v>0</v>
      </c>
      <c r="E10" s="180">
        <f>5700+4950</f>
        <v>10650</v>
      </c>
      <c r="F10" s="30">
        <f t="shared" si="0"/>
        <v>0</v>
      </c>
      <c r="G10" s="180">
        <f>5700+8750</f>
        <v>14450</v>
      </c>
      <c r="H10" s="30">
        <f t="shared" si="0"/>
        <v>0</v>
      </c>
      <c r="J10" s="42">
        <f t="shared" si="3"/>
        <v>35150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3750</v>
      </c>
      <c r="D12" s="30">
        <f t="shared" si="0"/>
        <v>0</v>
      </c>
      <c r="E12" s="180">
        <v>2500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6250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14300</v>
      </c>
      <c r="D33" s="44">
        <f t="shared" si="7"/>
        <v>0</v>
      </c>
      <c r="E33" s="43">
        <f t="shared" si="7"/>
        <v>13150</v>
      </c>
      <c r="F33" s="44">
        <f t="shared" si="7"/>
        <v>0</v>
      </c>
      <c r="G33" s="43">
        <f t="shared" si="7"/>
        <v>14450</v>
      </c>
      <c r="H33" s="44">
        <f t="shared" si="7"/>
        <v>0</v>
      </c>
      <c r="J33" s="45">
        <f>SUM(J4:J32)</f>
        <v>41900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12</v>
      </c>
      <c r="D2" s="268"/>
      <c r="E2" s="267">
        <f>IF(PREMIOS!$C19="","",PREMIOS!$C19)</f>
        <v>19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5200</v>
      </c>
      <c r="D4" s="78">
        <f t="shared" ref="D4:F27" si="0">IF(C4="","",0)</f>
        <v>0</v>
      </c>
      <c r="E4" s="189">
        <v>1400</v>
      </c>
      <c r="F4" s="78">
        <f t="shared" si="0"/>
        <v>0</v>
      </c>
      <c r="H4" s="42">
        <f>+C4+E4</f>
        <v>6600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2350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17450</v>
      </c>
      <c r="D8" s="30">
        <v>700</v>
      </c>
      <c r="E8" s="194">
        <v>2800</v>
      </c>
      <c r="F8" s="195">
        <f t="shared" si="1"/>
        <v>0</v>
      </c>
      <c r="H8" s="42">
        <f t="shared" si="2"/>
        <v>20250</v>
      </c>
      <c r="I8" s="42">
        <f t="shared" si="3"/>
        <v>700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11750</v>
      </c>
      <c r="D10" s="30">
        <v>950</v>
      </c>
      <c r="E10" s="180">
        <v>8250</v>
      </c>
      <c r="F10" s="195">
        <v>400</v>
      </c>
      <c r="H10" s="42">
        <f t="shared" si="2"/>
        <v>20000</v>
      </c>
      <c r="I10" s="42">
        <f t="shared" si="3"/>
        <v>1350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39200</v>
      </c>
      <c r="D12" s="30">
        <v>850</v>
      </c>
      <c r="E12" s="194"/>
      <c r="F12" s="30" t="str">
        <f t="shared" si="0"/>
        <v/>
      </c>
      <c r="H12" s="42">
        <f t="shared" si="2"/>
        <v>39200</v>
      </c>
      <c r="I12" s="42">
        <f t="shared" si="3"/>
        <v>850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500</v>
      </c>
      <c r="F16" s="195">
        <f t="shared" si="0"/>
        <v>0</v>
      </c>
      <c r="H16" s="42">
        <f t="shared" si="2"/>
        <v>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75950</v>
      </c>
      <c r="D33" s="44">
        <f>SUM(D4:D32)</f>
        <v>2500</v>
      </c>
      <c r="E33" s="43">
        <f>SUM(E4:E32)</f>
        <v>12950</v>
      </c>
      <c r="F33" s="44">
        <f>SUM(F4:F32)</f>
        <v>400</v>
      </c>
      <c r="H33" s="95">
        <f>SUM(H4:H32)</f>
        <v>88900</v>
      </c>
      <c r="I33" s="95">
        <f>SUM(I4:I32)</f>
        <v>2900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32</v>
      </c>
      <c r="D2" s="268"/>
      <c r="E2" s="267">
        <f>IF(PREMIOS!$C20="","",PREMIOS!$C20)</f>
        <v>97</v>
      </c>
      <c r="F2" s="268"/>
      <c r="G2" s="267">
        <f>IF(PREMIOS!$D20="","",PREMIOS!$D20)</f>
        <v>23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2500</v>
      </c>
      <c r="D10" s="195">
        <f t="shared" si="0"/>
        <v>0</v>
      </c>
      <c r="E10" s="180"/>
      <c r="F10" s="30" t="str">
        <f t="shared" si="0"/>
        <v/>
      </c>
      <c r="G10" s="180">
        <v>5250</v>
      </c>
      <c r="H10" s="195">
        <f t="shared" si="0"/>
        <v>0</v>
      </c>
      <c r="J10" s="42">
        <f t="shared" si="3"/>
        <v>7750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4800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4800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7300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5250</v>
      </c>
      <c r="H33" s="44">
        <f t="shared" si="6"/>
        <v>0</v>
      </c>
      <c r="J33" s="45">
        <f>SUM(J4:J32)</f>
        <v>12550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13</v>
      </c>
      <c r="D2" s="268"/>
      <c r="E2" s="267">
        <f>IF(PREMIOS!$C21="","",PREMIOS!$C21)</f>
        <v>34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38000</v>
      </c>
      <c r="D10" s="30">
        <f t="shared" si="0"/>
        <v>0</v>
      </c>
      <c r="E10" s="180">
        <v>56250</v>
      </c>
      <c r="F10" s="30">
        <f t="shared" si="0"/>
        <v>0</v>
      </c>
      <c r="H10" s="42">
        <f t="shared" si="2"/>
        <v>94250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38000</v>
      </c>
      <c r="D33" s="44">
        <f>SUM(D4:D32)</f>
        <v>0</v>
      </c>
      <c r="E33" s="43">
        <f>SUM(E4:E32)</f>
        <v>56250</v>
      </c>
      <c r="F33" s="44">
        <f>SUM(F4:F32)</f>
        <v>0</v>
      </c>
      <c r="H33" s="45">
        <f>SUM(H4:H32)</f>
        <v>94250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2026-08-08T21:05:44Z</dcterms:modified>
  <dc:language>es-CR</dc:language>
</cp:coreProperties>
</file>
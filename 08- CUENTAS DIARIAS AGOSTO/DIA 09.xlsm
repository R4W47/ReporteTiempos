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105" documentId="13_ncr:1_{EB1C27A7-1EBD-4619-B18B-0BCA469E8746}" xr6:coauthVersionLast="47" xr6:coauthVersionMax="47" xr10:uidLastSave="{91B86F5E-7185-427D-A2E6-9BD3FDFD8A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4" i="65" l="1"/>
  <c r="E10" i="62"/>
  <c r="E10" i="60"/>
  <c r="C10" i="62"/>
  <c r="E10" i="61"/>
  <c r="C10" i="61"/>
  <c r="C10" i="60"/>
  <c r="C11" i="60"/>
  <c r="B2" i="15" l="1"/>
  <c r="D18" i="64" l="1"/>
  <c r="D18" i="65"/>
  <c r="D11" i="65"/>
  <c r="D10" i="65"/>
  <c r="D18" i="61"/>
  <c r="D17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3" i="15"/>
  <c r="I5" i="69"/>
  <c r="B2" i="7"/>
  <c r="B2" i="6"/>
  <c r="B2" i="23"/>
  <c r="B2" i="22"/>
  <c r="B2" i="25"/>
  <c r="B2" i="14"/>
  <c r="B2" i="21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B2" i="16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F15" i="14"/>
  <c r="F15" i="21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K6" i="23" l="1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1" i="60"/>
  <c r="D9" i="60"/>
  <c r="D8" i="60"/>
  <c r="D7" i="60"/>
  <c r="D5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5" i="60"/>
  <c r="F14" i="60"/>
  <c r="F11" i="60"/>
  <c r="F9" i="60"/>
  <c r="F7" i="60"/>
  <c r="F6" i="60"/>
  <c r="F5" i="60"/>
  <c r="H17" i="60"/>
  <c r="H16" i="60"/>
  <c r="H15" i="60"/>
  <c r="H14" i="60"/>
  <c r="H13" i="60"/>
  <c r="H12" i="60"/>
  <c r="H11" i="60"/>
  <c r="H10" i="60"/>
  <c r="H9" i="60"/>
  <c r="H8" i="60"/>
  <c r="H7" i="60"/>
  <c r="H6" i="60"/>
  <c r="H5" i="60"/>
  <c r="H4" i="60"/>
  <c r="F18" i="21"/>
  <c r="F14" i="21"/>
  <c r="F10" i="21"/>
  <c r="F6" i="21"/>
  <c r="K10" i="19"/>
  <c r="J10" i="19"/>
  <c r="L9" i="19"/>
  <c r="K9" i="19"/>
  <c r="J9" i="19"/>
  <c r="L10" i="8"/>
  <c r="K10" i="8"/>
  <c r="J10" i="8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4" i="61"/>
  <c r="E5" i="16"/>
  <c r="L8" i="15" l="1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F10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D26" i="21"/>
  <c r="J10" i="2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L6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24" i="15" s="1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<sst xmlns="http://schemas.openxmlformats.org/spreadsheetml/2006/main" count="1291" uniqueCount="158">
  <si>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</si>
  <si>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</si>
  <si>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</si>
  <si>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</si>
  <si>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</si>
  <si>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</si>
  <si>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</si>
  <si>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</si>
  <si>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</si>
  <si>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</si>
  <si>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</si>
  <si>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</si>
  <si>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</si>
  <si>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</si>
  <si>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</si>
  <si>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</si>
  <si>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</si>
  <si>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</si>
  <si>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</si>
  <si>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</si>
  <si>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</si>
  <si>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</si>
  <si>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</si>
  <si>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</si>
  <si>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</si>
  <si>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</si>
  <si>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</si>
  <si>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</si>
  <si>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</si>
  <si>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</si>
  <si>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</si>
  <si>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</si>
  <si>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</si>
  <si>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</si>
  <si>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</si>
  <si>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</si>
  <si>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</si>
  <si>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</si>
  <si>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</si>
  <si>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</si>
  <si>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</si>
  <si>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</si>
  <si>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</si>
  <si>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</si>
  <si>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</si>
  <si>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</si>
  <si>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</si>
  <si>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</si>
  <si>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</si>
  <si>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</si>
  <si>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</si>
  <si>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</si>
  <si>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</si>
  <si>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</si>
  <si>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</si>
  <si>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</si>
  <si>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</si>
  <si>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</si>
  <si>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</si>
  <si>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</si>
  <si>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</si>
  <si>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</si>
  <si>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</si>
  <si>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</si>
  <si>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</si>
  <si>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</si>
  <si>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</si>
  <si>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</si>
  <si>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</si>
  <si>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</si>
  <si>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</si>
  <si>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</si>
  <si>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</si>
  <si>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</si>
  <si>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</si>
  <si>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</si>
  <si>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</si>
  <si>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</si>
  <si>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</si>
  <si>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</si>
  <si>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</si>
  <si>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</si>
  <si>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</si>
  <si>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</si>
  <si>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</si>
  <si>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</si>
  <si>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</si>
  <si>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</si>
  <si>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</si>
  <si>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</si>
  <si>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</si>
  <si>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</si>
  <si>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</si>
  <si>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</si>
  <si>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</si>
  <si>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</si>
  <si>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</si>
  <si>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</si>
  <si>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</si>
  <si>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</si>
  <si>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</si>
  <si>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</si>
  <si>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</si>
  <si>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</si>
  <si>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</si>
  <si>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</si>
  <si>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</si>
  <si>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</si>
  <si>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</si>
  <si>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</si>
  <si>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</si>
  <si>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</si>
  <si>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</si>
  <si>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</si>
  <si>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</si>
  <si>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</si>
  <si>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</si>
  <si>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</si>
  <si>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</si>
  <si>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</si>
  <si>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</si>
  <si>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</si>
  <si>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</si>
  <si>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</si>
  <si>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</si>
  <si>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</si>
  <si>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</si>
  <si>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</si>
  <si>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</si>
  <si>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</si>
  <si>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</si>
  <si>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</si>
  <si>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</si>
  <si>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</si>
  <si>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</si>
  <si>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</si>
  <si>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</si>
  <si>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</si>
  <si>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</si>
  <si>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</si>
  <si>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</si>
  <si>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</si>
  <si>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</si>
  <si>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</si>
  <si>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</si>
  <si>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</si>
  <si>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</si>
  <si>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</si>
  <si>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</si>
  <si>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</si>
  <si>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</si>
  <si>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</si>
  <si>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</si>
  <si>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</si>
  <si>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</si>
  <si>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</si>
  <si>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03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</si>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</sst>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7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6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122250</v>
      </c>
      <c r="C3" s="9">
        <f>+HojaTICA!K4+HojaNICA!M4+HojaREVENTADO!K4+HojaPrimera!I4+HojaHonduras!K4+HojaDominicana!I4+HojaPANA!G4</f>
        <v>15900</v>
      </c>
      <c r="D3" s="9">
        <f>+HojaTICA!N4+HojaNICA!P4+HojaREVENTADO!O4+HojaPrimera!L4+HojaHonduras!N4+HojaDominicana!L4+HojaPANA!J4</f>
        <v>89250</v>
      </c>
      <c r="F3" s="10">
        <f t="shared" ref="F3:F27" si="0">+B3-C3-D3</f>
        <v>17100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105000</v>
      </c>
      <c r="C4" s="9">
        <f>+HojaTICA!K5+HojaNICA!M5+HojaREVENTADO!K5+HojaPrimera!I5+HojaHonduras!K5+HojaDominicana!I5+HojaPANA!G5</f>
        <v>13650</v>
      </c>
      <c r="D4" s="9">
        <f>+HojaTICA!N5+HojaNICA!P5+HojaREVENTADO!O5+HojaPrimera!L5+HojaHonduras!N5+HojaDominicana!L5+HojaPANA!J5</f>
        <v>120000</v>
      </c>
      <c r="F4" s="14">
        <f t="shared" si="0"/>
        <v>-28650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190600</v>
      </c>
      <c r="C7" s="9">
        <f>+HojaTICA!K8+HojaNICA!M8+HojaREVENTADO!K8+HojaPrimera!I8+HojaHonduras!K8+HojaDominicana!I8+HojaPANA!G8</f>
        <v>22850</v>
      </c>
      <c r="D7" s="9">
        <f>+HojaTICA!N8+HojaNICA!P8+HojaREVENTADO!O8+HojaPrimera!L8+HojaHonduras!N8+HojaDominicana!L8+HojaPANA!J8</f>
        <v>84250</v>
      </c>
      <c r="F7" s="14">
        <f t="shared" si="0"/>
        <v>83500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634350</v>
      </c>
      <c r="C9" s="9">
        <f>+HojaTICA!K10+HojaNICA!M10+HojaREVENTADO!K10+HojaPrimera!I10+HojaHonduras!K10+HojaDominicana!I10+HojaPANA!G10</f>
        <v>75870</v>
      </c>
      <c r="D9" s="9">
        <f>+HojaTICA!N10+HojaNICA!P10+HojaREVENTADO!O10+HojaPrimera!L10+HojaHonduras!N10+HojaDominicana!L10+HojaPANA!J10</f>
        <v>384750</v>
      </c>
      <c r="F9" s="14">
        <f t="shared" si="0"/>
        <v>173730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2500</v>
      </c>
      <c r="C10" s="9">
        <f>+HojaTICA!K11+HojaNICA!M11+HojaREVENTADO!K11+HojaPrimera!I11+HojaHonduras!K11+HojaDominicana!I11+HojaPANA!G11</f>
        <v>300</v>
      </c>
      <c r="D10" s="9">
        <f>+HojaTICA!N11+HojaNICA!P11+HojaREVENTADO!O11+HojaPrimera!L11+HojaHonduras!N11+HojaDominicana!L11+HojaPANA!J11</f>
        <v>0</v>
      </c>
      <c r="F10" s="14">
        <f t="shared" si="0"/>
        <v>2200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144250</v>
      </c>
      <c r="C11" s="9">
        <f>+HojaTICA!K12+HojaNICA!M12+HojaREVENTADO!K12+HojaPrimera!I12+HojaHonduras!K12+HojaDominicana!I12+HojaPANA!G12</f>
        <v>17200</v>
      </c>
      <c r="D11" s="9">
        <f>+HojaTICA!N12+HojaNICA!P12+HojaREVENTADO!O12+HojaPrimera!L12+HojaHonduras!N12+HojaDominicana!L12+HojaPANA!J12</f>
        <v>123250</v>
      </c>
      <c r="F11" s="14">
        <f t="shared" si="0"/>
        <v>3800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61300</v>
      </c>
      <c r="C12" s="9">
        <f>+HojaTICA!K13+HojaNICA!M13+HojaREVENTADO!K13+HojaPrimera!I13+HojaHonduras!K13+HojaDominicana!I13+HojaPANA!G13</f>
        <v>7350</v>
      </c>
      <c r="D12" s="9">
        <f>+HojaTICA!N13+HojaNICA!P13+HojaREVENTADO!O13+HojaPrimera!L13+HojaHonduras!N13+HojaDominicana!L13+HojaPANA!J13</f>
        <v>38250</v>
      </c>
      <c r="F12" s="14">
        <f t="shared" si="0"/>
        <v>15700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43500</v>
      </c>
      <c r="C13" s="9">
        <f>+HojaTICA!K14+HojaNICA!M14+HojaREVENTADO!K14+HojaPrimera!I14+HojaHonduras!K14+HojaDominicana!I14+HojaPANA!G14</f>
        <v>6550</v>
      </c>
      <c r="D13" s="9">
        <f>+HojaTICA!N14+HojaNICA!P14+HojaREVENTADO!O14+HojaPrimera!L14+HojaHonduras!N14+HojaDominicana!L14+HojaPANA!J14</f>
        <v>0</v>
      </c>
      <c r="F13" s="14">
        <f t="shared" si="0"/>
        <v>36950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91100</v>
      </c>
      <c r="C15" s="9">
        <f>+HojaTICA!K16+HojaNICA!M16+HojaREVENTADO!K16+HojaPrimera!I16+HojaHonduras!K16+HojaDominicana!I16+HojaPANA!G16</f>
        <v>10800</v>
      </c>
      <c r="D15" s="9">
        <f>+HojaTICA!N16+HojaNICA!P16+HojaREVENTADO!O16+HojaPrimera!L16+HojaHonduras!N16+HojaDominicana!L16+HojaPANA!J16</f>
        <v>41250</v>
      </c>
      <c r="F15" s="14">
        <f t="shared" si="0"/>
        <v>39050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1394850</v>
      </c>
      <c r="C28" s="17">
        <f t="shared" si="1"/>
        <v>170470</v>
      </c>
      <c r="D28" s="18">
        <f t="shared" si="1"/>
        <v>881000</v>
      </c>
      <c r="F28" s="20">
        <f>SUM(F3:F27)</f>
        <v>343380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13" sqref="B13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2" t="s">
        <v>6</v>
      </c>
      <c r="B2" s="263"/>
      <c r="C2" s="263"/>
      <c r="D2" s="264"/>
      <c r="E2" s="264"/>
      <c r="F2" s="264"/>
      <c r="G2" s="117"/>
      <c r="I2" s="257" t="s">
        <v>7</v>
      </c>
      <c r="J2" s="257"/>
      <c r="K2" s="257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2" t="s">
        <v>157</v>
      </c>
      <c r="C5" s="132"/>
      <c r="D5" s="136"/>
      <c r="E5" s="30">
        <v>80</v>
      </c>
      <c r="F5" s="30">
        <v>85</v>
      </c>
      <c r="G5" s="30">
        <v>85</v>
      </c>
      <c r="I5" s="258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6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8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2">
        <v>77</v>
      </c>
      <c r="C7" s="132"/>
      <c r="D7" s="136"/>
      <c r="E7" s="30">
        <v>80</v>
      </c>
      <c r="F7" s="30">
        <v>85</v>
      </c>
      <c r="G7" s="30">
        <v>85</v>
      </c>
      <c r="I7" s="258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5" t="str">
        <f>D8</f>
        <v>Roja</v>
      </c>
      <c r="C8" s="135"/>
      <c r="D8" s="136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8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2">
        <v>40</v>
      </c>
      <c r="C9" s="132"/>
      <c r="D9" s="136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6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59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2">
        <v>20</v>
      </c>
      <c r="C11" s="132"/>
      <c r="D11" s="136"/>
      <c r="E11" s="30">
        <v>80</v>
      </c>
      <c r="F11" s="30">
        <v>85</v>
      </c>
      <c r="G11" s="30">
        <v>85</v>
      </c>
      <c r="I11" s="260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5" t="str">
        <f>D12</f>
        <v>Blanca</v>
      </c>
      <c r="C12" s="135"/>
      <c r="D12" s="136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1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6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6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2"/>
      <c r="C15" s="132"/>
      <c r="D15" s="136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5" t="str">
        <f>D16</f>
        <v>Blanca</v>
      </c>
      <c r="C16" s="135"/>
      <c r="D16" s="136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2"/>
      <c r="C17" s="132"/>
      <c r="D17" s="136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6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2">
        <v>16</v>
      </c>
      <c r="C19" s="132">
        <v>66</v>
      </c>
      <c r="D19" s="136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2">
        <v>21</v>
      </c>
      <c r="C20" s="162">
        <v>55</v>
      </c>
      <c r="D20" s="165"/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3" t="s">
        <v>156</v>
      </c>
      <c r="C21" s="163">
        <v>39</v>
      </c>
      <c r="D21" s="137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11</v>
      </c>
      <c r="C22" s="134"/>
      <c r="D22" s="138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6" x14ac:dyDescent="0.35">
      <c r="C2" s="266">
        <f>DigitaTICA!C2</f>
        <v>77</v>
      </c>
      <c r="D2" s="267"/>
      <c r="E2" s="266">
        <f>DigitaTICA!E2</f>
        <v>20</v>
      </c>
      <c r="F2" s="267"/>
      <c r="G2" s="266" t="str">
        <f>DigitaTICA!G2</f>
        <v/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79">
        <f>IF(Vendedor1!$C$7="",0,Vendedor1!$C$7)</f>
        <v>57500</v>
      </c>
      <c r="D4" s="30">
        <f>IF(Vendedor1!$E$7="",0,Vendedor1!$E$7)</f>
        <v>350</v>
      </c>
      <c r="E4" s="179">
        <f>IF(Vendedor1!$C$11="",0,Vendedor1!$C$11)</f>
        <v>30000</v>
      </c>
      <c r="F4" s="30">
        <f>IF(Vendedor1!$E$11="",0,Vendedor1!$E$11)</f>
        <v>700</v>
      </c>
      <c r="G4" s="179">
        <f>IF(Vendedor1!$C$15="",0,Vendedor1!$C$15)</f>
        <v>0</v>
      </c>
      <c r="H4" s="30">
        <f>IF(Vendedor1!$E$15="",0,Vendedor1!$E$15)</f>
        <v>0</v>
      </c>
      <c r="J4" s="42">
        <f t="shared" ref="J4:J7" si="0">+C4+E4+G4</f>
        <v>87500</v>
      </c>
      <c r="K4" s="41">
        <f>MROUND(J4*Vendedor1!J$9,50)</f>
        <v>11400</v>
      </c>
      <c r="L4" s="42">
        <f t="shared" ref="L4:L7" si="1">+D4+F4+H4</f>
        <v>1050</v>
      </c>
      <c r="M4" s="42">
        <f t="shared" ref="M4:M7" si="2">+L4*85</f>
        <v>89250</v>
      </c>
      <c r="N4" s="42">
        <f>Vendedor1!$F$7+Vendedor1!$F$11+Vendedor1!$F$15</f>
        <v>89250</v>
      </c>
      <c r="P4" s="42">
        <f t="shared" ref="P4:P7" si="3">+J4-K4-N4</f>
        <v>-13150</v>
      </c>
    </row>
    <row r="5" spans="1:16" x14ac:dyDescent="0.35">
      <c r="A5" s="41">
        <v>2</v>
      </c>
      <c r="B5" s="176" t="str">
        <f>Vendedor2!$B$2</f>
        <v>PUESTO 2</v>
      </c>
      <c r="C5" s="179">
        <f>IF(Vendedor2!$C$7="",0,Vendedor2!$C$7)</f>
        <v>51400</v>
      </c>
      <c r="D5" s="30">
        <f>IF(Vendedor2!$E$7="",0,Vendedor2!$E$7)</f>
        <v>0</v>
      </c>
      <c r="E5" s="179">
        <f>IF(Vendedor2!$C$11="",0,Vendedor2!$C$11)</f>
        <v>7600</v>
      </c>
      <c r="F5" s="30">
        <f>IF(Vendedor2!$E$11="",0,Vendedor2!$E$11)</f>
        <v>0</v>
      </c>
      <c r="G5" s="179">
        <f>IF(Vendedor2!$C$15="",0,Vendedor2!$C$15)</f>
        <v>0</v>
      </c>
      <c r="H5" s="30">
        <f>IF(Vendedor2!$E$15="",0,Vendedor2!$E$15)</f>
        <v>0</v>
      </c>
      <c r="J5" s="42">
        <f t="shared" si="0"/>
        <v>59000</v>
      </c>
      <c r="K5" s="41">
        <f>MROUND(J5*Vendedor2!J$9,50)</f>
        <v>7650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51350</v>
      </c>
    </row>
    <row r="6" spans="1:16" x14ac:dyDescent="0.35">
      <c r="A6" s="41">
        <v>3</v>
      </c>
      <c r="B6" s="176" t="str">
        <f>Vendedor3!$B$2</f>
        <v>TABLET</v>
      </c>
      <c r="C6" s="179">
        <f>IF(Vendedor3!$C$7="",0,Vendedor3!$C$7)</f>
        <v>0</v>
      </c>
      <c r="D6" s="30">
        <f>IF(Vendedor3!$E$7="",0,Vendedor3!$E$7)</f>
        <v>0</v>
      </c>
      <c r="E6" s="179">
        <f>IF(Vendedor3!$C$11="",0,Vendedor3!$C$11)</f>
        <v>0</v>
      </c>
      <c r="F6" s="30">
        <f>IF(Vendedor3!$E$11="",0,Vendedor3!$E$11)</f>
        <v>0</v>
      </c>
      <c r="G6" s="179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6" t="str">
        <f>Vendedor4!$B$2</f>
        <v>Nuevo 2</v>
      </c>
      <c r="C7" s="179">
        <f>IF(Vendedor4!$C$7="",0,Vendedor4!$C$7)</f>
        <v>0</v>
      </c>
      <c r="D7" s="30">
        <f>IF(Vendedor4!$E$7="",0,Vendedor4!$E$7)</f>
        <v>0</v>
      </c>
      <c r="E7" s="179">
        <f>IF(Vendedor4!$C$11="",0,Vendedor4!$C$11)</f>
        <v>0</v>
      </c>
      <c r="F7" s="30">
        <f>IF(Vendedor4!$E$11="",0,Vendedor4!$E$11)</f>
        <v>0</v>
      </c>
      <c r="G7" s="179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6" t="str">
        <f>Vendedor5!$B$2</f>
        <v>YOYO</v>
      </c>
      <c r="C8" s="179">
        <f>IF(Vendedor5!$C$7="",0,Vendedor5!$C$7)</f>
        <v>50250</v>
      </c>
      <c r="D8" s="30">
        <f>IF(Vendedor5!$E$7="",0,Vendedor5!$E$7)</f>
        <v>0</v>
      </c>
      <c r="E8" s="179">
        <f>IF(Vendedor5!$C$11="",0,Vendedor5!$C$11)</f>
        <v>41600</v>
      </c>
      <c r="F8" s="30">
        <f>IF(Vendedor5!$E$11="",0,Vendedor5!$E$11)</f>
        <v>850</v>
      </c>
      <c r="G8" s="179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91850</v>
      </c>
      <c r="K8" s="41">
        <f>MROUND(J8*Vendedor5!J$11,50)</f>
        <v>11000</v>
      </c>
      <c r="L8" s="42">
        <f t="shared" ref="L8" si="5">+D8+F8+H8</f>
        <v>850</v>
      </c>
      <c r="M8" s="42">
        <f t="shared" ref="M8" si="6">+L8*85</f>
        <v>72250</v>
      </c>
      <c r="N8" s="42">
        <f>Vendedor5!$F$7+Vendedor5!$F$11+Vendedor5!$F$15</f>
        <v>72250</v>
      </c>
      <c r="P8" s="42">
        <f t="shared" ref="P8" si="7">+J8-K8-N8</f>
        <v>8600</v>
      </c>
    </row>
    <row r="9" spans="1:16" x14ac:dyDescent="0.35">
      <c r="A9" s="41">
        <v>6</v>
      </c>
      <c r="B9" s="177" t="str">
        <f>Vendedor6!$B$2</f>
        <v>Vendedor 06</v>
      </c>
      <c r="C9" s="179">
        <f>IF(Vendedor6!$C$7="",0,Vendedor6!$C$7)</f>
        <v>0</v>
      </c>
      <c r="D9" s="30">
        <f>IF(Vendedor6!$E$7="",0,Vendedor6!$E$7)</f>
        <v>0</v>
      </c>
      <c r="E9" s="179">
        <f>IF(Vendedor6!$C$11="",0,Vendedor6!$C$11)</f>
        <v>0</v>
      </c>
      <c r="F9" s="30">
        <f>IF(Vendedor6!$E$11="",0,Vendedor6!$E$11)</f>
        <v>0</v>
      </c>
      <c r="G9" s="179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IF(Vendedor7!$C$7="",0,Vendedor7!$C$7)</f>
        <v>143500</v>
      </c>
      <c r="D10" s="30">
        <f>IF(Vendedor7!$E$7="",0,Vendedor7!$E$7)</f>
        <v>1200</v>
      </c>
      <c r="E10" s="179">
        <f>IF(Vendedor7!$C$11="",0,Vendedor7!$C$11)</f>
        <v>87850</v>
      </c>
      <c r="F10" s="30">
        <f>IF(Vendedor7!$E$11="",0,Vendedor7!$E$11)</f>
        <v>700</v>
      </c>
      <c r="G10" s="179">
        <f>IF(Vendedor7!$C$15="",0,Vendedor7!$C$15)</f>
        <v>0</v>
      </c>
      <c r="H10" s="30">
        <f>IF(Vendedor7!$E$15="",0,Vendedor7!$E$15)</f>
        <v>0</v>
      </c>
      <c r="J10" s="42">
        <f t="shared" si="8"/>
        <v>231350</v>
      </c>
      <c r="K10" s="41">
        <f>MROUND(J10*Vendedor7!J$14,50)</f>
        <v>27750</v>
      </c>
      <c r="L10" s="42">
        <f t="shared" si="9"/>
        <v>1900</v>
      </c>
      <c r="M10" s="42">
        <f t="shared" si="10"/>
        <v>161500</v>
      </c>
      <c r="N10" s="42">
        <f>Vendedor7!$F$7+Vendedor7!$F$11+Vendedor7!$F$15</f>
        <v>161500</v>
      </c>
      <c r="P10" s="42">
        <f t="shared" si="11"/>
        <v>42100</v>
      </c>
    </row>
    <row r="11" spans="1:16" x14ac:dyDescent="0.35">
      <c r="A11" s="41">
        <v>8</v>
      </c>
      <c r="B11" s="177" t="str">
        <f>Vendedor8!$B$2</f>
        <v>ISA</v>
      </c>
      <c r="C11" s="179">
        <f>IF(Vendedor8!$C$7="",0,Vendedor8!$C$7)</f>
        <v>2500</v>
      </c>
      <c r="D11" s="30">
        <f>IF(Vendedor8!$E$7="",0,Vendedor8!$E$7)</f>
        <v>0</v>
      </c>
      <c r="E11" s="179">
        <f>IF(Vendedor8!$C$11="",0,Vendedor8!$C$11)</f>
        <v>0</v>
      </c>
      <c r="F11" s="30">
        <f>IF(Vendedor8!$E$11="",0,Vendedor8!$E$11)</f>
        <v>0</v>
      </c>
      <c r="G11" s="179">
        <f>IF(Vendedor8!$C$15="",0,Vendedor8!$C$15)</f>
        <v>0</v>
      </c>
      <c r="H11" s="30">
        <f>IF(Vendedor8!$E$15="",0,Vendedor8!$E$15)</f>
        <v>0</v>
      </c>
      <c r="J11" s="42">
        <f t="shared" si="8"/>
        <v>2500</v>
      </c>
      <c r="K11" s="41">
        <f>MROUND(J11*Vendedor8!J$11,50)</f>
        <v>300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2200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IF(Vendedor9!$C$7="",0,Vendedor9!$C$7)</f>
        <v>41300</v>
      </c>
      <c r="D12" s="30">
        <f>IF(Vendedor9!$E$7="",0,Vendedor9!$E$7)</f>
        <v>250</v>
      </c>
      <c r="E12" s="179">
        <f>IF(Vendedor9!$C$11="",0,Vendedor9!$C$11)</f>
        <v>22600</v>
      </c>
      <c r="F12" s="30">
        <f>IF(Vendedor9!$E$11="",0,Vendedor9!$E$11)</f>
        <v>450</v>
      </c>
      <c r="G12" s="179">
        <f>IF(Vendedor9!$C$15="",0,Vendedor9!$C$15)</f>
        <v>0</v>
      </c>
      <c r="H12" s="30">
        <f>IF(Vendedor9!$E$15="",0,Vendedor9!$E$15)</f>
        <v>0</v>
      </c>
      <c r="J12" s="42">
        <f t="shared" si="8"/>
        <v>63900</v>
      </c>
      <c r="K12" s="41">
        <f>MROUND(J12*Vendedor9!J$11,50)</f>
        <v>7650</v>
      </c>
      <c r="L12" s="42">
        <f t="shared" si="9"/>
        <v>700</v>
      </c>
      <c r="M12" s="42">
        <f t="shared" si="10"/>
        <v>59500</v>
      </c>
      <c r="N12" s="42">
        <f>Vendedor9!$F$7+Vendedor9!$F$11+Vendedor9!$F$15</f>
        <v>59500</v>
      </c>
      <c r="P12" s="42">
        <f t="shared" si="11"/>
        <v>-3250</v>
      </c>
    </row>
    <row r="13" spans="1:16" x14ac:dyDescent="0.35">
      <c r="A13" s="41">
        <v>10</v>
      </c>
      <c r="B13" s="177" t="str">
        <f>Vendedor10!$B$2</f>
        <v>MARIALIZ</v>
      </c>
      <c r="C13" s="179">
        <f>IF(Vendedor10!$C$7="",0,Vendedor10!$C$7)</f>
        <v>20400</v>
      </c>
      <c r="D13" s="30">
        <f>IF(Vendedor10!$E$7="",0,Vendedor10!$E$7)</f>
        <v>100</v>
      </c>
      <c r="E13" s="179">
        <f>IF(Vendedor10!$C$11="",0,Vendedor10!$C$11)</f>
        <v>10900</v>
      </c>
      <c r="F13" s="30">
        <f>IF(Vendedor10!$E$11="",0,Vendedor10!$E$11)</f>
        <v>350</v>
      </c>
      <c r="G13" s="179">
        <f>IF(Vendedor10!$C$15="",0,Vendedor10!$C$15)</f>
        <v>0</v>
      </c>
      <c r="H13" s="30">
        <f>IF(Vendedor10!$E$15="",0,Vendedor10!$E$15)</f>
        <v>0</v>
      </c>
      <c r="J13" s="42">
        <f t="shared" si="8"/>
        <v>31300</v>
      </c>
      <c r="K13" s="41">
        <f>MROUND(J13*Vendedor10!J$9,50)</f>
        <v>3750</v>
      </c>
      <c r="L13" s="42">
        <f t="shared" si="9"/>
        <v>450</v>
      </c>
      <c r="M13" s="42">
        <f t="shared" si="10"/>
        <v>38250</v>
      </c>
      <c r="N13" s="42">
        <f>Vendedor10!$F$7+Vendedor10!$F$11+Vendedor10!$F$15</f>
        <v>38250</v>
      </c>
      <c r="P13" s="42">
        <f t="shared" si="11"/>
        <v>-10700</v>
      </c>
    </row>
    <row r="14" spans="1:16" x14ac:dyDescent="0.35">
      <c r="A14" s="41">
        <v>11</v>
      </c>
      <c r="B14" s="177" t="str">
        <f>Vendedor11!$B$2</f>
        <v>CHARLY</v>
      </c>
      <c r="C14" s="179">
        <f>IF(Vendedor11!$C$7="",0,Vendedor11!$C$7)</f>
        <v>30300</v>
      </c>
      <c r="D14" s="30">
        <f>IF(Vendedor11!$E$7="",0,Vendedor11!$E$7)</f>
        <v>0</v>
      </c>
      <c r="E14" s="179">
        <f>IF(Vendedor11!$C$11="",0,Vendedor11!$C$11)</f>
        <v>13200</v>
      </c>
      <c r="F14" s="30">
        <f>IF(Vendedor11!$E$11="",0,Vendedor11!$E$11)</f>
        <v>0</v>
      </c>
      <c r="G14" s="179">
        <f>IF(Vendedor11!$C$15="",0,Vendedor11!$C$15)</f>
        <v>0</v>
      </c>
      <c r="H14" s="30">
        <f>IF(Vendedor11!$E$15="",0,Vendedor11!$E$15)</f>
        <v>0</v>
      </c>
      <c r="J14" s="42">
        <f t="shared" si="8"/>
        <v>43500</v>
      </c>
      <c r="K14" s="41">
        <f>MROUND(J14*Vendedor11!J$9,50)</f>
        <v>6550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36950</v>
      </c>
    </row>
    <row r="15" spans="1:16" x14ac:dyDescent="0.35">
      <c r="A15" s="41">
        <v>12</v>
      </c>
      <c r="B15" s="177" t="str">
        <f>Vendedor12!$B$2</f>
        <v>LAURY</v>
      </c>
      <c r="C15" s="179">
        <f>IF(Vendedor12!$C$7="",0,Vendedor12!$C$7)</f>
        <v>0</v>
      </c>
      <c r="D15" s="30">
        <f>IF(Vendedor12!$E$7="",0,Vendedor12!$E$7)</f>
        <v>0</v>
      </c>
      <c r="E15" s="179">
        <f>IF(Vendedor12!$C$11="",0,Vendedor12!$C$11)</f>
        <v>0</v>
      </c>
      <c r="F15" s="30">
        <f>IF(Vendedor12!$E$11="",0,Vendedor12!$E$11)</f>
        <v>0</v>
      </c>
      <c r="G15" s="179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IF(Vendedor13!$C$7="",0,Vendedor13!$C$7)</f>
        <v>31050</v>
      </c>
      <c r="D16" s="30">
        <f>IF(Vendedor13!$E$7="",0,Vendedor13!$E$7)</f>
        <v>0</v>
      </c>
      <c r="E16" s="179">
        <f>IF(Vendedor13!$C$11="",0,Vendedor13!$C$11)</f>
        <v>20150</v>
      </c>
      <c r="F16" s="30">
        <f>IF(Vendedor13!$E$11="",0,Vendedor13!$E$11)</f>
        <v>250</v>
      </c>
      <c r="G16" s="179">
        <f>IF(Vendedor13!$C$15="",0,Vendedor13!$C$15)</f>
        <v>0</v>
      </c>
      <c r="H16" s="30">
        <f>IF(Vendedor13!$E$15="",0,Vendedor13!$E$15)</f>
        <v>0</v>
      </c>
      <c r="J16" s="42">
        <f t="shared" si="8"/>
        <v>51200</v>
      </c>
      <c r="K16" s="41">
        <f>MROUND(J16*Vendedor13!J$11,50)</f>
        <v>6150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23800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IF(Vendedor14!$C$7="",0,Vendedor14!$C$7)</f>
        <v>0</v>
      </c>
      <c r="D17" s="30">
        <f>IF(Vendedor14!$E$7="",0,Vendedor14!$E$7)</f>
        <v>0</v>
      </c>
      <c r="E17" s="179">
        <f>IF(Vendedor14!$C$11="",0,Vendedor14!$C$11)</f>
        <v>0</v>
      </c>
      <c r="F17" s="30">
        <f>IF(Vendedor14!$E$11="",0,Vendedor14!$E$11)</f>
        <v>0</v>
      </c>
      <c r="G17" s="179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IF(Vendedor15!$C$7="",0,Vendedor15!$C$7)</f>
        <v>0</v>
      </c>
      <c r="D18" s="30">
        <f>IF(Vendedor15!$E$7="",0,Vendedor15!$E$7)</f>
        <v>0</v>
      </c>
      <c r="E18" s="179">
        <f>IF(Vendedor15!$C$11="",0,Vendedor15!$C$11)</f>
        <v>0</v>
      </c>
      <c r="F18" s="30">
        <f>IF(Vendedor15!$E$11="",0,Vendedor15!$E$11)</f>
        <v>0</v>
      </c>
      <c r="G18" s="179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IF(Vendedor24!$C$7="",0,Vendedor24!$C$7)</f>
        <v>0</v>
      </c>
      <c r="D27" s="50">
        <f>IF(Vendedor24!$E$7="",0,Vendedor24!$E$7)</f>
        <v>0</v>
      </c>
      <c r="E27" s="180">
        <f>IF(Vendedor24!$C$11="",0,Vendedor24!$C$11)</f>
        <v>0</v>
      </c>
      <c r="F27" s="50">
        <f>IF(Vendedor24!$E$11="",0,Vendedor24!$E$11)</f>
        <v>0</v>
      </c>
      <c r="G27" s="180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428200</v>
      </c>
      <c r="D32" s="44">
        <f t="shared" si="16"/>
        <v>1900</v>
      </c>
      <c r="E32" s="43">
        <f t="shared" si="16"/>
        <v>233900</v>
      </c>
      <c r="F32" s="44">
        <f t="shared" si="16"/>
        <v>3300</v>
      </c>
      <c r="G32" s="43">
        <f t="shared" si="16"/>
        <v>0</v>
      </c>
      <c r="H32" s="44">
        <f t="shared" si="16"/>
        <v>0</v>
      </c>
      <c r="J32" s="95">
        <f>SUM(J4:J31)</f>
        <v>662100</v>
      </c>
      <c r="K32" s="45">
        <f>SUM(K7:K31)</f>
        <v>63150</v>
      </c>
      <c r="L32" s="95">
        <f>SUM(L4:L31)</f>
        <v>5200</v>
      </c>
      <c r="M32" s="95">
        <f>SUM(M4:M31)</f>
        <v>442000</v>
      </c>
      <c r="N32" s="95">
        <f>SUM(N4:N31)</f>
        <v>442000</v>
      </c>
      <c r="P32" s="79">
        <f>SUM(P4:P31)</f>
        <v>137900</v>
      </c>
    </row>
    <row r="33" spans="3:13" x14ac:dyDescent="0.35">
      <c r="D33" s="99">
        <f>+D32*85</f>
        <v>161500</v>
      </c>
      <c r="F33" s="99">
        <f>+F32*85</f>
        <v>280500</v>
      </c>
      <c r="H33" s="99">
        <f>+H32*85</f>
        <v>0</v>
      </c>
    </row>
    <row r="34" spans="3:13" ht="15" thickBot="1" x14ac:dyDescent="0.4">
      <c r="L34" s="148"/>
      <c r="M34" s="43"/>
    </row>
    <row r="35" spans="3:13" x14ac:dyDescent="0.35">
      <c r="C35" s="265" t="s">
        <v>89</v>
      </c>
      <c r="D35" s="265"/>
    </row>
    <row r="36" spans="3:13" x14ac:dyDescent="0.35">
      <c r="C36" s="47" t="s">
        <v>28</v>
      </c>
      <c r="D36" s="30">
        <f>+C32+E32+G32</f>
        <v>662100</v>
      </c>
      <c r="E36" s="43">
        <f>+D36-J4-J5-J6</f>
        <v>515600</v>
      </c>
      <c r="G36" s="101"/>
    </row>
    <row r="37" spans="3:13" x14ac:dyDescent="0.35">
      <c r="C37" s="47" t="s">
        <v>33</v>
      </c>
      <c r="D37" s="48">
        <f>D36*13%</f>
        <v>86073</v>
      </c>
      <c r="E37">
        <f>+D37-K4-K5-K6</f>
        <v>67023</v>
      </c>
      <c r="G37" s="100"/>
      <c r="H37" s="100"/>
    </row>
    <row r="38" spans="3:13" ht="15" thickBot="1" x14ac:dyDescent="0.4">
      <c r="C38" s="47" t="s">
        <v>30</v>
      </c>
      <c r="D38" s="30">
        <f>M32</f>
        <v>442000</v>
      </c>
      <c r="G38" s="100"/>
      <c r="H38" s="100"/>
    </row>
    <row r="39" spans="3:13" ht="15" thickBot="1" x14ac:dyDescent="0.4">
      <c r="C39" s="49" t="s">
        <v>4</v>
      </c>
      <c r="D39" s="80">
        <f>+D36-D37-D38</f>
        <v>134027</v>
      </c>
      <c r="F39" s="98">
        <f>+P32-D39</f>
        <v>3873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134027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8" x14ac:dyDescent="0.35">
      <c r="C2" s="266" t="str">
        <f>DigitaNICA!C2</f>
        <v>06</v>
      </c>
      <c r="D2" s="267"/>
      <c r="E2" s="266">
        <f>DigitaNICA!E2</f>
        <v>40</v>
      </c>
      <c r="F2" s="267"/>
      <c r="G2" s="266" t="str">
        <f>DigitaNICA!G2</f>
        <v/>
      </c>
      <c r="H2" s="267"/>
      <c r="I2" s="266" t="str">
        <f>DigitaNICA!I2</f>
        <v/>
      </c>
      <c r="J2" s="267"/>
    </row>
    <row r="3" spans="1:18" ht="15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6">
        <v>1</v>
      </c>
      <c r="B4" s="198" t="str">
        <f>Vendedor1!$B$2</f>
        <v>VENTANA</v>
      </c>
      <c r="C4" s="188">
        <f>IF(Vendedor1!$C$5="",0,Vendedor1!$C$5)</f>
        <v>19300</v>
      </c>
      <c r="D4" s="78">
        <f>IF(Vendedor1!$E$5="",0,Vendedor1!$E$5)</f>
        <v>0</v>
      </c>
      <c r="E4" s="188">
        <f>IF(Vendedor1!$C$9="",0,Vendedor1!$C$9)</f>
        <v>13750</v>
      </c>
      <c r="F4" s="78">
        <f>IF(Vendedor1!$E$9="",0,Vendedor1!$E$9)</f>
        <v>0</v>
      </c>
      <c r="G4" s="188">
        <f>IF(Vendedor1!$C$13="",0,Vendedor1!$C$13)</f>
        <v>0</v>
      </c>
      <c r="H4" s="78">
        <f>IF(Vendedor1!$E$13="",0,Vendedor1!$E$13)</f>
        <v>0</v>
      </c>
      <c r="I4" s="188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33050</v>
      </c>
      <c r="M4" s="41">
        <f>MROUND(L4*Vendedor1!J$10,50)</f>
        <v>4300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28750</v>
      </c>
    </row>
    <row r="5" spans="1:18" x14ac:dyDescent="0.35">
      <c r="A5" s="47">
        <v>2</v>
      </c>
      <c r="B5" s="176" t="str">
        <f>Vendedor2!$B$2</f>
        <v>PUESTO 2</v>
      </c>
      <c r="C5" s="179">
        <f>IF(Vendedor2!$C$5="",0,Vendedor2!$C$5)</f>
        <v>14600</v>
      </c>
      <c r="D5" s="30">
        <f>IF(Vendedor2!$E$5="",0,Vendedor2!$E$5)</f>
        <v>0</v>
      </c>
      <c r="E5" s="179">
        <f>IF(Vendedor2!$C$9="",0,Vendedor2!$C$9)</f>
        <v>20700</v>
      </c>
      <c r="F5" s="30">
        <f>IF(Vendedor2!$E$9="",0,Vendedor2!$E$9)</f>
        <v>500</v>
      </c>
      <c r="G5" s="179">
        <f>IF(Vendedor2!$C$13="",0,Vendedor2!$C$13)</f>
        <v>0</v>
      </c>
      <c r="H5" s="30">
        <f>IF(Vendedor2!$E$13="",0,Vendedor2!$E$13)</f>
        <v>0</v>
      </c>
      <c r="I5" s="179">
        <f>IF(Vendedor2!$C$17="",0,Vendedor2!$C$17)</f>
        <v>0</v>
      </c>
      <c r="J5" s="30">
        <f>IF(Vendedor2!$E$17="",0,Vendedor2!$E$17)</f>
        <v>0</v>
      </c>
      <c r="L5" s="42">
        <f t="shared" si="0"/>
        <v>35300</v>
      </c>
      <c r="M5" s="41">
        <f>MROUND(L5*Vendedor2!J$10,50)</f>
        <v>4600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-11800</v>
      </c>
    </row>
    <row r="6" spans="1:18" x14ac:dyDescent="0.35">
      <c r="A6" s="47">
        <v>3</v>
      </c>
      <c r="B6" s="176" t="str">
        <f>Vendedor3!$B$2</f>
        <v>TABLET</v>
      </c>
      <c r="C6" s="179">
        <f>IF(Vendedor3!$C$5="",0,Vendedor3!$C$5)</f>
        <v>0</v>
      </c>
      <c r="D6" s="30">
        <f>IF(Vendedor3!$E$5="",0,Vendedor3!$E$5)</f>
        <v>0</v>
      </c>
      <c r="E6" s="179">
        <f>IF(Vendedor3!$C$9="",0,Vendedor3!$C$9)</f>
        <v>0</v>
      </c>
      <c r="F6" s="30">
        <f>IF(Vendedor3!$E$9="",0,Vendedor3!$E$9)</f>
        <v>0</v>
      </c>
      <c r="G6" s="179">
        <f>IF(Vendedor3!$C$13="",0,Vendedor3!$C$13)</f>
        <v>0</v>
      </c>
      <c r="H6" s="30">
        <f>IF(Vendedor3!$E$13="",0,Vendedor3!$E$13)</f>
        <v>0</v>
      </c>
      <c r="I6" s="179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6" t="str">
        <f>Vendedor4!$B$2</f>
        <v>Nuevo 2</v>
      </c>
      <c r="C7" s="179">
        <f>IF(Vendedor4!$C$5="",0,Vendedor4!$C$5)</f>
        <v>0</v>
      </c>
      <c r="D7" s="30">
        <f>IF(Vendedor4!$E$5="",0,Vendedor4!$E$5)</f>
        <v>0</v>
      </c>
      <c r="E7" s="179">
        <f>IF(Vendedor4!$C$9="",0,Vendedor4!$C$9)</f>
        <v>0</v>
      </c>
      <c r="F7" s="30">
        <f>IF(Vendedor4!$E$9="",0,Vendedor4!$E$9)</f>
        <v>0</v>
      </c>
      <c r="G7" s="179">
        <f>IF(Vendedor4!$C$13="",0,Vendedor4!$C$13)</f>
        <v>0</v>
      </c>
      <c r="H7" s="30">
        <f>IF(Vendedor4!$E$13="",0,Vendedor4!$E$13)</f>
        <v>0</v>
      </c>
      <c r="I7" s="179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6" t="str">
        <f>Vendedor5!$B$2</f>
        <v>YOYO</v>
      </c>
      <c r="C8" s="179">
        <f>IF(Vendedor5!$C$5="",0,Vendedor5!$C$5)</f>
        <v>34050</v>
      </c>
      <c r="D8" s="30">
        <f>IF(Vendedor5!$E$5="",0,Vendedor5!$E$5)</f>
        <v>150</v>
      </c>
      <c r="E8" s="179">
        <f>IF(Vendedor5!$C$9="",0,Vendedor5!$C$9)</f>
        <v>34800</v>
      </c>
      <c r="F8" s="30">
        <f>IF(Vendedor5!$E$9="",0,Vendedor5!$E$9)</f>
        <v>0</v>
      </c>
      <c r="G8" s="179">
        <f>IF(Vendedor5!$C$13="",0,Vendedor5!$C$13)</f>
        <v>0</v>
      </c>
      <c r="H8" s="30">
        <f>IF(Vendedor5!$E$13="",0,Vendedor5!$E$13)</f>
        <v>0</v>
      </c>
      <c r="I8" s="179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68850</v>
      </c>
      <c r="M8" s="41">
        <f>MROUND(L8*Vendedor5!J$12,50)</f>
        <v>8250</v>
      </c>
      <c r="N8" s="42">
        <f t="shared" ref="N8" si="5">D8+F8+H8+J8</f>
        <v>150</v>
      </c>
      <c r="O8" s="41">
        <f t="shared" si="3"/>
        <v>12750</v>
      </c>
      <c r="P8" s="42">
        <f>Vendedor5!$F$5+Vendedor5!$F$9+Vendedor5!$F$13+Vendedor5!$F$17</f>
        <v>12000</v>
      </c>
      <c r="Q8">
        <v>17</v>
      </c>
      <c r="R8" s="41">
        <f t="shared" ref="R8" si="6">+L8-M8-O8</f>
        <v>47850</v>
      </c>
    </row>
    <row r="9" spans="1:18" x14ac:dyDescent="0.35">
      <c r="A9" s="47">
        <v>6</v>
      </c>
      <c r="B9" s="177" t="str">
        <f>Vendedor6!$B$2</f>
        <v>Vendedor 06</v>
      </c>
      <c r="C9" s="179">
        <f>IF(Vendedor6!$C$5="",0,Vendedor6!$C$5)</f>
        <v>0</v>
      </c>
      <c r="D9" s="30">
        <f>IF(Vendedor6!$E$5="",0,Vendedor6!$E$5)</f>
        <v>0</v>
      </c>
      <c r="E9" s="179">
        <f>IF(Vendedor6!$C$9="",0,Vendedor6!$C$9)</f>
        <v>0</v>
      </c>
      <c r="F9" s="30">
        <f>IF(Vendedor6!$E$9="",0,Vendedor6!$E$9)</f>
        <v>0</v>
      </c>
      <c r="G9" s="179">
        <f>IF(Vendedor6!$C$13="",0,Vendedor6!$C$13)</f>
        <v>0</v>
      </c>
      <c r="H9" s="30">
        <f>IF(Vendedor6!$E$13="",0,Vendedor6!$E$13)</f>
        <v>0</v>
      </c>
      <c r="I9" s="179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7" t="str">
        <f>Vendedor7!$B$2</f>
        <v>PIKIS</v>
      </c>
      <c r="C10" s="179">
        <f>IF(Vendedor7!$C$5="",0,Vendedor7!$C$5)</f>
        <v>44850</v>
      </c>
      <c r="D10" s="30">
        <f>IF(Vendedor7!$E$5="",0,Vendedor7!$E$5)</f>
        <v>600</v>
      </c>
      <c r="E10" s="179">
        <f>IF(Vendedor7!$C$9="",0,Vendedor7!$C$9)</f>
        <v>145900</v>
      </c>
      <c r="F10" s="30">
        <f>IF(Vendedor7!$E$9="",0,Vendedor7!$E$9)</f>
        <v>100</v>
      </c>
      <c r="G10" s="179">
        <f>IF(Vendedor7!$C$13="",0,Vendedor7!$C$13)</f>
        <v>0</v>
      </c>
      <c r="H10" s="30">
        <f>IF(Vendedor7!$E$13="",0,Vendedor7!$E$13)</f>
        <v>0</v>
      </c>
      <c r="I10" s="179">
        <f>IF(Vendedor7!$C$17="",0,Vendedor7!$C$17)</f>
        <v>0</v>
      </c>
      <c r="J10" s="30">
        <f>IF(Vendedor7!$E$17="",0,Vendedor7!$E$17)</f>
        <v>0</v>
      </c>
      <c r="L10" s="42">
        <f t="shared" si="7"/>
        <v>190750</v>
      </c>
      <c r="M10" s="41">
        <f>MROUND(L10*Vendedor7!J$15,50)</f>
        <v>22900</v>
      </c>
      <c r="N10" s="42">
        <f t="shared" ref="N10:N27" si="9">D10+F10+H10+J10</f>
        <v>700</v>
      </c>
      <c r="O10" s="41">
        <f t="shared" si="3"/>
        <v>59500</v>
      </c>
      <c r="P10" s="42">
        <f>Vendedor7!$F$5+Vendedor7!$F$9+Vendedor7!$F$13+Vendedor7!$F$17</f>
        <v>59500</v>
      </c>
      <c r="R10" s="41">
        <f t="shared" si="8"/>
        <v>108350</v>
      </c>
    </row>
    <row r="11" spans="1:18" x14ac:dyDescent="0.35">
      <c r="A11" s="47">
        <v>8</v>
      </c>
      <c r="B11" s="177" t="str">
        <f>Vendedor8!$B$2</f>
        <v>ISA</v>
      </c>
      <c r="C11" s="179">
        <f>IF(Vendedor8!$C$5="",0,Vendedor8!$C$5)</f>
        <v>0</v>
      </c>
      <c r="D11" s="30">
        <f>IF(Vendedor8!$E$5="",0,Vendedor8!$E$5)</f>
        <v>0</v>
      </c>
      <c r="E11" s="179">
        <f>IF(Vendedor8!$C$9="",0,Vendedor8!$C$9)</f>
        <v>0</v>
      </c>
      <c r="F11" s="30">
        <f>IF(Vendedor8!$E$9="",0,Vendedor8!$E$9)</f>
        <v>0</v>
      </c>
      <c r="G11" s="179">
        <f>IF(Vendedor8!$C$13="",0,Vendedor8!$C$13)</f>
        <v>0</v>
      </c>
      <c r="H11" s="30">
        <f>IF(Vendedor8!$E$13="",0,Vendedor8!$E$13)</f>
        <v>0</v>
      </c>
      <c r="I11" s="179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7" t="str">
        <f>Vendedor9!$B$2</f>
        <v>JUAN FELIX</v>
      </c>
      <c r="C12" s="179">
        <f>IF(Vendedor9!$C$5="",0,Vendedor9!$C$5)</f>
        <v>28800</v>
      </c>
      <c r="D12" s="30">
        <f>IF(Vendedor9!$E$5="",0,Vendedor9!$E$5)</f>
        <v>250</v>
      </c>
      <c r="E12" s="179">
        <f>IF(Vendedor9!$C$9="",0,Vendedor9!$C$9)</f>
        <v>20100</v>
      </c>
      <c r="F12" s="30">
        <f>IF(Vendedor9!$E$9="",0,Vendedor9!$E$9)</f>
        <v>250</v>
      </c>
      <c r="G12" s="179">
        <f>IF(Vendedor9!$C$13="",0,Vendedor9!$C$13)</f>
        <v>0</v>
      </c>
      <c r="H12" s="30">
        <f>IF(Vendedor9!$E$13="",0,Vendedor9!$E$13)</f>
        <v>0</v>
      </c>
      <c r="I12" s="179">
        <f>IF(Vendedor9!$C$17="",0,Vendedor9!$C$17)</f>
        <v>0</v>
      </c>
      <c r="J12" s="30">
        <f>IF(Vendedor9!$E$17="",0,Vendedor9!$E$17)</f>
        <v>0</v>
      </c>
      <c r="L12" s="42">
        <f t="shared" si="7"/>
        <v>48900</v>
      </c>
      <c r="M12" s="41">
        <f>MROUND(L12*Vendedor9!J$12,50)</f>
        <v>5850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550</v>
      </c>
    </row>
    <row r="13" spans="1:18" x14ac:dyDescent="0.35">
      <c r="A13" s="47">
        <v>10</v>
      </c>
      <c r="B13" s="177" t="str">
        <f>Vendedor10!$B$2</f>
        <v>MARIALIZ</v>
      </c>
      <c r="C13" s="179">
        <f>IF(Vendedor10!$C$5="",0,Vendedor10!$C$5)</f>
        <v>24600</v>
      </c>
      <c r="D13" s="30">
        <f>IF(Vendedor10!$E$5="",0,Vendedor10!$E$5)</f>
        <v>0</v>
      </c>
      <c r="E13" s="179">
        <f>IF(Vendedor10!$C$9="",0,Vendedor10!$C$9)</f>
        <v>5400</v>
      </c>
      <c r="F13" s="30">
        <f>IF(Vendedor10!$E$9="",0,Vendedor10!$E$9)</f>
        <v>0</v>
      </c>
      <c r="G13" s="179">
        <f>IF(Vendedor10!$C$13="",0,Vendedor10!$C$13)</f>
        <v>0</v>
      </c>
      <c r="H13" s="30">
        <f>IF(Vendedor10!$E$13="",0,Vendedor10!$E$13)</f>
        <v>0</v>
      </c>
      <c r="I13" s="179">
        <f>IF(Vendedor10!$C$17="",0,Vendedor10!$C$17)</f>
        <v>0</v>
      </c>
      <c r="J13" s="30">
        <f>IF(Vendedor10!$E$17="",0,Vendedor10!$E$17)</f>
        <v>0</v>
      </c>
      <c r="L13" s="42">
        <f t="shared" si="7"/>
        <v>30000</v>
      </c>
      <c r="M13" s="41">
        <f>MROUND(L13*Vendedor10!J$10,50)</f>
        <v>3600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26400</v>
      </c>
    </row>
    <row r="14" spans="1:18" x14ac:dyDescent="0.35">
      <c r="A14" s="47">
        <v>11</v>
      </c>
      <c r="B14" s="177" t="str">
        <f>Vendedor11!$B$2</f>
        <v>CHARLY</v>
      </c>
      <c r="C14" s="179">
        <f>IF(Vendedor11!$C$5="",0,Vendedor11!$C$5)</f>
        <v>0</v>
      </c>
      <c r="D14" s="30">
        <f>IF(Vendedor11!$E$5="",0,Vendedor11!$E$5)</f>
        <v>0</v>
      </c>
      <c r="E14" s="179">
        <f>IF(Vendedor11!$C$9="",0,Vendedor11!$C$9)</f>
        <v>0</v>
      </c>
      <c r="F14" s="30">
        <f>IF(Vendedor11!$E$9="",0,Vendedor11!$E$9)</f>
        <v>0</v>
      </c>
      <c r="G14" s="179">
        <f>IF(Vendedor11!$C$13="",0,Vendedor11!$C$13)</f>
        <v>0</v>
      </c>
      <c r="H14" s="30">
        <f>IF(Vendedor11!$E$13="",0,Vendedor11!$E$13)</f>
        <v>0</v>
      </c>
      <c r="I14" s="179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7" t="str">
        <f>Vendedor12!$B$2</f>
        <v>LAURY</v>
      </c>
      <c r="C15" s="179">
        <f>IF(Vendedor12!$C$5="",0,Vendedor12!$C$5)</f>
        <v>0</v>
      </c>
      <c r="D15" s="30">
        <f>IF(Vendedor12!$E$5="",0,Vendedor12!$E$5)</f>
        <v>0</v>
      </c>
      <c r="E15" s="179">
        <f>IF(Vendedor12!$C$9="",0,Vendedor12!$C$9)</f>
        <v>0</v>
      </c>
      <c r="F15" s="30">
        <f>IF(Vendedor12!$E$9="",0,Vendedor12!$E$9)</f>
        <v>0</v>
      </c>
      <c r="G15" s="179">
        <f>IF(Vendedor12!$C$13="",0,Vendedor12!$C$13)</f>
        <v>0</v>
      </c>
      <c r="H15" s="30">
        <f>IF(Vendedor12!$E$13="",0,Vendedor12!$E$13)</f>
        <v>0</v>
      </c>
      <c r="I15" s="179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7" t="str">
        <f>Vendedor13!$B$2</f>
        <v>MINERO</v>
      </c>
      <c r="C16" s="179">
        <f>IF(Vendedor13!$C$5="",0,Vendedor13!$C$5)</f>
        <v>10700</v>
      </c>
      <c r="D16" s="30">
        <f>IF(Vendedor13!$E$5="",0,Vendedor13!$E$5)</f>
        <v>250</v>
      </c>
      <c r="E16" s="179">
        <f>IF(Vendedor13!$C$9="",0,Vendedor13!$C$9)</f>
        <v>20500</v>
      </c>
      <c r="F16" s="30">
        <f>IF(Vendedor13!$E$9="",0,Vendedor13!$E$9)</f>
        <v>0</v>
      </c>
      <c r="G16" s="179">
        <f>IF(Vendedor13!$C$13="",0,Vendedor13!$C$13)</f>
        <v>0</v>
      </c>
      <c r="H16" s="30">
        <f>IF(Vendedor13!$E$13="",0,Vendedor13!$E$13)</f>
        <v>0</v>
      </c>
      <c r="I16" s="179">
        <f>IF(Vendedor13!$C$17="",0,Vendedor13!$C$17)</f>
        <v>0</v>
      </c>
      <c r="J16" s="30">
        <f>IF(Vendedor13!$E$17="",0,Vendedor13!$E$17)</f>
        <v>0</v>
      </c>
      <c r="L16" s="42">
        <f t="shared" si="7"/>
        <v>31200</v>
      </c>
      <c r="M16" s="41">
        <f>MROUND(L16*Vendedor13!J$12,50)</f>
        <v>3750</v>
      </c>
      <c r="N16" s="42">
        <f t="shared" si="9"/>
        <v>250</v>
      </c>
      <c r="O16" s="41">
        <f t="shared" si="3"/>
        <v>21250</v>
      </c>
      <c r="P16" s="42">
        <f>Vendedor13!$F$5+Vendedor13!$F$9+Vendedor13!$F$13+Vendedor13!$F$17</f>
        <v>20000</v>
      </c>
      <c r="R16" s="41">
        <f t="shared" si="8"/>
        <v>6200</v>
      </c>
    </row>
    <row r="17" spans="1:18" x14ac:dyDescent="0.35">
      <c r="A17" s="47">
        <v>14</v>
      </c>
      <c r="B17" s="177" t="str">
        <f>Vendedor14!$B$2</f>
        <v>EDUARDO TIEMPOS LICORERA</v>
      </c>
      <c r="C17" s="179">
        <f>IF(Vendedor14!$C$5="",0,Vendedor14!$C$5)</f>
        <v>0</v>
      </c>
      <c r="D17" s="30">
        <f>IF(Vendedor14!$E$5="",0,Vendedor14!$E$5)</f>
        <v>0</v>
      </c>
      <c r="E17" s="179">
        <f>IF(Vendedor14!$C$9="",0,Vendedor14!$C$9)</f>
        <v>0</v>
      </c>
      <c r="F17" s="30">
        <f>IF(Vendedor14!$E$9="",0,Vendedor14!$E$9)</f>
        <v>0</v>
      </c>
      <c r="G17" s="179">
        <f>IF(Vendedor14!$C$13="",0,Vendedor14!$C$13)</f>
        <v>0</v>
      </c>
      <c r="H17" s="30">
        <f>IF(Vendedor14!$E$13="",0,Vendedor14!$E$13)</f>
        <v>0</v>
      </c>
      <c r="I17" s="179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7" t="str">
        <f>Vendedor15!$B$2</f>
        <v>EDUARDO PUESTO CENTRO</v>
      </c>
      <c r="C18" s="179">
        <f>IF(Vendedor15!$C$5="",0,Vendedor15!$C$5)</f>
        <v>0</v>
      </c>
      <c r="D18" s="30">
        <f>IF(Vendedor15!$E$5="",0,Vendedor15!$E$5)</f>
        <v>0</v>
      </c>
      <c r="E18" s="179">
        <f>IF(Vendedor15!$C$9="",0,Vendedor15!$C$9)</f>
        <v>0</v>
      </c>
      <c r="F18" s="30">
        <f>IF(Vendedor15!$E$9="",0,Vendedor15!$E$9)</f>
        <v>0</v>
      </c>
      <c r="G18" s="179">
        <f>IF(Vendedor15!$C$13="",0,Vendedor15!$C$13)</f>
        <v>0</v>
      </c>
      <c r="H18" s="30">
        <f>IF(Vendedor15!$E$13="",0,Vendedor15!$E$13)</f>
        <v>0</v>
      </c>
      <c r="I18" s="179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7" t="str">
        <f>Vendedor16!$C$2</f>
        <v>Vendedor 16</v>
      </c>
      <c r="C19" s="179">
        <f>IF(Vendedor16!$C$5="",0,Vendedor16!$C$5)</f>
        <v>0</v>
      </c>
      <c r="D19" s="30">
        <f>IF(Vendedor16!$E$5="",0,Vendedor16!$E$5)</f>
        <v>0</v>
      </c>
      <c r="E19" s="179">
        <f>IF(Vendedor16!$C$9="",0,Vendedor16!$C$9)</f>
        <v>0</v>
      </c>
      <c r="F19" s="30">
        <f>IF(Vendedor16!$E$9="",0,Vendedor16!$E$9)</f>
        <v>0</v>
      </c>
      <c r="G19" s="179">
        <f>IF(Vendedor16!$C$13="",0,Vendedor16!$C$13)</f>
        <v>0</v>
      </c>
      <c r="H19" s="30">
        <f>IF(Vendedor16!$E$13="",0,Vendedor16!$E$13)</f>
        <v>0</v>
      </c>
      <c r="I19" s="179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7" t="str">
        <f>Vendedor17!$C$2</f>
        <v>Vendedor 17</v>
      </c>
      <c r="C20" s="179">
        <f>IF(Vendedor17!$C$5="",0,Vendedor17!$C$5)</f>
        <v>0</v>
      </c>
      <c r="D20" s="30">
        <f>IF(Vendedor17!$E$5="",0,Vendedor17!$E$5)</f>
        <v>0</v>
      </c>
      <c r="E20" s="179">
        <f>IF(Vendedor17!$C$9="",0,Vendedor17!$C$9)</f>
        <v>0</v>
      </c>
      <c r="F20" s="30">
        <f>IF(Vendedor17!$E$9="",0,Vendedor17!$E$9)</f>
        <v>0</v>
      </c>
      <c r="G20" s="179">
        <f>IF(Vendedor17!$C$13="",0,Vendedor17!$C$13)</f>
        <v>0</v>
      </c>
      <c r="H20" s="30">
        <f>IF(Vendedor17!$E$13="",0,Vendedor17!$E$13)</f>
        <v>0</v>
      </c>
      <c r="I20" s="179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7" t="str">
        <f>Vendedor18!$C$2</f>
        <v>Vendedor 18</v>
      </c>
      <c r="C21" s="179">
        <f>IF(Vendedor18!$C$5="",0,Vendedor18!$C$5)</f>
        <v>0</v>
      </c>
      <c r="D21" s="30">
        <f>IF(Vendedor18!$E$5="",0,Vendedor18!$E$5)</f>
        <v>0</v>
      </c>
      <c r="E21" s="179">
        <f>IF(Vendedor18!$C$9="",0,Vendedor18!$C$9)</f>
        <v>0</v>
      </c>
      <c r="F21" s="30">
        <f>IF(Vendedor18!$E$9="",0,Vendedor18!$E$9)</f>
        <v>0</v>
      </c>
      <c r="G21" s="179">
        <f>IF(Vendedor18!$C$13="",0,Vendedor18!$C$13)</f>
        <v>0</v>
      </c>
      <c r="H21" s="30">
        <f>IF(Vendedor18!$E$13="",0,Vendedor18!$E$13)</f>
        <v>0</v>
      </c>
      <c r="I21" s="179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7" t="str">
        <f>Vendedor19!$C$2</f>
        <v>Vendedor 19</v>
      </c>
      <c r="C22" s="179">
        <f>IF(Vendedor19!$C$5="",0,Vendedor19!$C$5)</f>
        <v>0</v>
      </c>
      <c r="D22" s="30">
        <f>IF(Vendedor19!$E$5="",0,Vendedor19!$E$5)</f>
        <v>0</v>
      </c>
      <c r="E22" s="179">
        <f>IF(Vendedor19!$C$9="",0,Vendedor19!$C$9)</f>
        <v>0</v>
      </c>
      <c r="F22" s="30">
        <f>IF(Vendedor19!$E$9="",0,Vendedor19!$E$9)</f>
        <v>0</v>
      </c>
      <c r="G22" s="179">
        <f>IF(Vendedor19!$C$13="",0,Vendedor19!$C$13)</f>
        <v>0</v>
      </c>
      <c r="H22" s="30">
        <f>IF(Vendedor19!$E$13="",0,Vendedor19!$E$13)</f>
        <v>0</v>
      </c>
      <c r="I22" s="179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7" t="str">
        <f>Vendedor20!$C$2</f>
        <v>Vendedor 20</v>
      </c>
      <c r="C23" s="179">
        <f>IF(Vendedor20!$C$5="",0,Vendedor20!$C$5)</f>
        <v>0</v>
      </c>
      <c r="D23" s="30">
        <f>IF(Vendedor20!$E$5="",0,Vendedor20!$E$5)</f>
        <v>0</v>
      </c>
      <c r="E23" s="179">
        <f>IF(Vendedor20!$C$9="",0,Vendedor20!$C$9)</f>
        <v>0</v>
      </c>
      <c r="F23" s="30">
        <f>IF(Vendedor20!$E$9="",0,Vendedor20!$E$9)</f>
        <v>0</v>
      </c>
      <c r="G23" s="179">
        <f>IF(Vendedor20!$C$13="",0,Vendedor20!$C$13)</f>
        <v>0</v>
      </c>
      <c r="H23" s="30">
        <f>IF(Vendedor20!$E$13="",0,Vendedor20!$E$13)</f>
        <v>0</v>
      </c>
      <c r="I23" s="179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7" t="str">
        <f>Vendedor21!$B$2</f>
        <v>Vendedor 21</v>
      </c>
      <c r="C24" s="179">
        <f>IF(Vendedor21!$B$5="",0,Vendedor21!$B$5)</f>
        <v>0</v>
      </c>
      <c r="D24" s="30">
        <f>IF(Vendedor21!$D$5="",0,Vendedor21!$D$5)</f>
        <v>0</v>
      </c>
      <c r="E24" s="179">
        <f>IF(Vendedor21!$B$9="",0,Vendedor21!$B$9)</f>
        <v>0</v>
      </c>
      <c r="F24" s="30">
        <f>IF(Vendedor21!$D$9="",0,Vendedor21!$D$9)</f>
        <v>0</v>
      </c>
      <c r="G24" s="179">
        <f>IF(Vendedor21!$B$13="",0,Vendedor21!$B$13)</f>
        <v>0</v>
      </c>
      <c r="H24" s="30">
        <f>IF(Vendedor21!$D$13="",0,Vendedor21!$D$13)</f>
        <v>0</v>
      </c>
      <c r="I24" s="179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7" t="str">
        <f>Vendedor22!$B$2</f>
        <v>Vendedor 22</v>
      </c>
      <c r="C25" s="179">
        <f>IF(Vendedor22!$B$5="",0,Vendedor22!$B$5)</f>
        <v>0</v>
      </c>
      <c r="D25" s="30">
        <f>IF(Vendedor22!$D$5="",0,Vendedor22!$D$5)</f>
        <v>0</v>
      </c>
      <c r="E25" s="179">
        <f>IF(Vendedor22!$B$9="",0,Vendedor22!$B$9)</f>
        <v>0</v>
      </c>
      <c r="F25" s="30">
        <f>IF(Vendedor22!$D$9="",0,Vendedor22!$D$9)</f>
        <v>0</v>
      </c>
      <c r="G25" s="179">
        <f>IF(Vendedor22!$B$13="",0,Vendedor22!$B$13)</f>
        <v>0</v>
      </c>
      <c r="H25" s="30">
        <f>IF(Vendedor22!$D$13="",0,Vendedor22!$D$13)</f>
        <v>0</v>
      </c>
      <c r="I25" s="179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7" t="str">
        <f>Vendedor23!$B$2</f>
        <v>Vendedor 23</v>
      </c>
      <c r="C26" s="179">
        <f>IF(Vendedor23!$B$5="",0,Vendedor23!$B$5)</f>
        <v>0</v>
      </c>
      <c r="D26" s="30">
        <f>IF(Vendedor23!$D$5="",0,Vendedor23!$D$5)</f>
        <v>0</v>
      </c>
      <c r="E26" s="179">
        <f>IF(Vendedor23!$B$9="",0,Vendedor23!$B$9)</f>
        <v>0</v>
      </c>
      <c r="F26" s="30">
        <f>IF(Vendedor23!$D$9="",0,Vendedor23!$D$9)</f>
        <v>0</v>
      </c>
      <c r="G26" s="179">
        <f>IF(Vendedor23!$B$13="",0,Vendedor23!$B$13)</f>
        <v>0</v>
      </c>
      <c r="H26" s="30">
        <f>IF(Vendedor23!$D$13="",0,Vendedor23!$D$13)</f>
        <v>0</v>
      </c>
      <c r="I26" s="179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0" t="str">
        <f>Vendedor24!$C$2</f>
        <v>Arreglo Otro</v>
      </c>
      <c r="C27" s="180">
        <f>IF(Vendedor24!$C$5="",0,Vendedor24!$C$5)</f>
        <v>0</v>
      </c>
      <c r="D27" s="50">
        <f>IF(Vendedor24!$E$5="",0,Vendedor24!$E$5)</f>
        <v>0</v>
      </c>
      <c r="E27" s="180">
        <f>IF(Vendedor24!$C$9="",0,Vendedor24!$C$9)</f>
        <v>0</v>
      </c>
      <c r="F27" s="50">
        <f>IF(Vendedor24!$E$9="",0,Vendedor24!$E$9)</f>
        <v>0</v>
      </c>
      <c r="G27" s="180">
        <f>IF(Vendedor24!$C$13="",0,Vendedor24!$C$13)</f>
        <v>0</v>
      </c>
      <c r="H27" s="50">
        <f>IF(Vendedor24!$E$13="",0,Vendedor24!$E$13)</f>
        <v>0</v>
      </c>
      <c r="I27" s="180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176900</v>
      </c>
      <c r="D32" s="44">
        <f t="shared" si="14"/>
        <v>1250</v>
      </c>
      <c r="E32" s="43">
        <f t="shared" si="14"/>
        <v>261150</v>
      </c>
      <c r="F32" s="44">
        <f t="shared" si="14"/>
        <v>850</v>
      </c>
      <c r="G32" s="43">
        <f t="shared" si="14"/>
        <v>0</v>
      </c>
      <c r="H32" s="44">
        <f t="shared" si="14"/>
        <v>0</v>
      </c>
      <c r="I32" s="43">
        <f t="shared" si="14"/>
        <v>0</v>
      </c>
      <c r="J32" s="44">
        <f t="shared" si="14"/>
        <v>0</v>
      </c>
      <c r="L32" s="45">
        <f>SUM(L4:L31)</f>
        <v>438050</v>
      </c>
      <c r="M32" s="45">
        <f>SUM(M7:M31)</f>
        <v>44350</v>
      </c>
      <c r="N32" s="95">
        <f>SUM(N4:N31)</f>
        <v>2100</v>
      </c>
      <c r="O32" s="46">
        <f>SUM(O4:O31)</f>
        <v>178500</v>
      </c>
      <c r="P32" s="139">
        <f>SUM(P4:P31)</f>
        <v>174000</v>
      </c>
      <c r="R32" s="79">
        <f>SUM(R4:R31)</f>
        <v>206300</v>
      </c>
    </row>
    <row r="33" spans="3:15" x14ac:dyDescent="0.35">
      <c r="D33" s="120">
        <f>+D32*85</f>
        <v>106250</v>
      </c>
      <c r="F33" s="120">
        <f>+F32*85</f>
        <v>72250</v>
      </c>
      <c r="H33" s="120">
        <f>+H32*85</f>
        <v>0</v>
      </c>
      <c r="J33" s="120">
        <f>+J32*85</f>
        <v>0</v>
      </c>
    </row>
    <row r="34" spans="3:15" ht="15" thickBot="1" x14ac:dyDescent="0.4"/>
    <row r="35" spans="3:15" x14ac:dyDescent="0.35">
      <c r="C35" s="265" t="s">
        <v>89</v>
      </c>
      <c r="D35" s="265"/>
      <c r="N35" s="148"/>
      <c r="O35" s="43"/>
    </row>
    <row r="36" spans="3:15" x14ac:dyDescent="0.35">
      <c r="C36" s="47" t="s">
        <v>28</v>
      </c>
      <c r="D36" s="30">
        <f>+C32+E32+G32+I32</f>
        <v>438050</v>
      </c>
      <c r="E36" s="43">
        <f>+D36-L4-L5-L6</f>
        <v>369700</v>
      </c>
    </row>
    <row r="37" spans="3:15" x14ac:dyDescent="0.35">
      <c r="C37" s="47" t="s">
        <v>33</v>
      </c>
      <c r="D37" s="48">
        <f>D36*13%</f>
        <v>56946.5</v>
      </c>
      <c r="E37">
        <f>+D37-M4-M5-M6</f>
        <v>48046.5</v>
      </c>
    </row>
    <row r="38" spans="3:15" x14ac:dyDescent="0.35">
      <c r="C38" s="47" t="s">
        <v>30</v>
      </c>
      <c r="D38" s="30">
        <f>SUM(O4:O27)</f>
        <v>178500</v>
      </c>
      <c r="G38" s="100"/>
    </row>
    <row r="39" spans="3:15" ht="15" thickBot="1" x14ac:dyDescent="0.4">
      <c r="C39" s="49" t="s">
        <v>4</v>
      </c>
      <c r="D39" s="80">
        <f>+D36-D37-D38</f>
        <v>202603.5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202603.5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7" ht="14.5" customHeight="1" x14ac:dyDescent="0.35">
      <c r="C2" s="266" t="str">
        <f>IF(C33=0,"",CONCATENATE(PREMIOS!$B7," ",PREMIOS!$B8))</f>
        <v>77 Roja</v>
      </c>
      <c r="D2" s="267"/>
      <c r="E2" s="266" t="str">
        <f>IF(E33=0,"",CONCATENATE(PREMIOS!$B11," ",PREMIOS!$B12))</f>
        <v>20 Blanca</v>
      </c>
      <c r="F2" s="267"/>
      <c r="G2" s="266" t="str">
        <f>IF(G33=0,"",CONCATENATE(PREMIOS!$B15," ",PREMIOS!$B16))</f>
        <v/>
      </c>
      <c r="H2" s="267"/>
    </row>
    <row r="3" spans="1:17" ht="15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6">
        <v>1</v>
      </c>
      <c r="B4" s="187" t="str">
        <f>Vendedor1!$B$2</f>
        <v>VENTANA</v>
      </c>
      <c r="C4" s="188">
        <f>IF(Vendedor1!$C$8="",0,Vendedor1!$C$8)</f>
        <v>0</v>
      </c>
      <c r="D4" s="78">
        <f>IF(Vendedor1!$E$8="",0,Vendedor1!$E$8)</f>
        <v>0</v>
      </c>
      <c r="E4" s="188">
        <f>IF(Vendedor1!$C$12="",0,Vendedor1!$C$12)</f>
        <v>0</v>
      </c>
      <c r="F4" s="78">
        <f>IF(Vendedor1!$E$12="",0,Vendedor1!$E$12)</f>
        <v>0</v>
      </c>
      <c r="G4" s="188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7" t="str">
        <f>Vendedor2!$B$2</f>
        <v>PUESTO 2</v>
      </c>
      <c r="C5" s="179">
        <f>IF(Vendedor2!$C$8="",0,Vendedor2!$C$8)</f>
        <v>0</v>
      </c>
      <c r="D5" s="30">
        <f>IF(Vendedor2!$E$8="",0,Vendedor2!$E$8)</f>
        <v>0</v>
      </c>
      <c r="E5" s="179">
        <f>IF(Vendedor2!$C$12="",0,Vendedor2!$C$12)</f>
        <v>0</v>
      </c>
      <c r="F5" s="30">
        <f>IF(Vendedor2!$E$12="",0,Vendedor2!$E$12)</f>
        <v>0</v>
      </c>
      <c r="G5" s="179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7" t="str">
        <f>Vendedor3!$B$2</f>
        <v>TABLET</v>
      </c>
      <c r="C6" s="179">
        <f>IF(Vendedor3!$C$8="",0,Vendedor3!$C$8)</f>
        <v>0</v>
      </c>
      <c r="D6" s="30">
        <f>IF(Vendedor3!$E$8="",0,Vendedor3!$E$8)</f>
        <v>0</v>
      </c>
      <c r="E6" s="179">
        <f>IF(Vendedor3!$C$12="",0,Vendedor3!$C$12)</f>
        <v>0</v>
      </c>
      <c r="F6" s="30">
        <f>IF(Vendedor3!$E$12="",0,Vendedor3!$E$12)</f>
        <v>0</v>
      </c>
      <c r="G6" s="179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7" t="str">
        <f>Vendedor4!$B$2</f>
        <v>Nuevo 2</v>
      </c>
      <c r="C7" s="179">
        <f>IF(Vendedor4!$C$8="",0,Vendedor4!$C$8)</f>
        <v>0</v>
      </c>
      <c r="D7" s="30">
        <f>IF(Vendedor4!$E$8="",0,Vendedor4!$E$8)</f>
        <v>0</v>
      </c>
      <c r="E7" s="179">
        <f>IF(Vendedor4!$C$12="",0,Vendedor4!$C$12)</f>
        <v>0</v>
      </c>
      <c r="F7" s="30">
        <f>IF(Vendedor4!$E$12="",0,Vendedor4!$E$12)</f>
        <v>0</v>
      </c>
      <c r="G7" s="179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7" t="str">
        <f>Vendedor5!$B$2</f>
        <v>YOYO</v>
      </c>
      <c r="C8" s="179">
        <f>IF(Vendedor5!$C$8="",0,Vendedor5!$C$8)</f>
        <v>0</v>
      </c>
      <c r="D8" s="30">
        <f>IF(Vendedor5!$E$8="",0,Vendedor5!$E$8)</f>
        <v>0</v>
      </c>
      <c r="E8" s="179">
        <f>IF(Vendedor5!$C$12="",0,Vendedor5!$C$12)</f>
        <v>0</v>
      </c>
      <c r="F8" s="30">
        <f>IF(Vendedor5!$E$12="",0,Vendedor5!$E$12)</f>
        <v>0</v>
      </c>
      <c r="G8" s="179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7" t="str">
        <f>Vendedor6!$B$2</f>
        <v>Vendedor 06</v>
      </c>
      <c r="C9" s="179">
        <f>IF(Vendedor6!$C$8="",0,Vendedor6!$C$8)</f>
        <v>0</v>
      </c>
      <c r="D9" s="30">
        <f>IF(Vendedor6!$E$8="",0,Vendedor6!$E$8)</f>
        <v>0</v>
      </c>
      <c r="E9" s="179">
        <f>IF(Vendedor6!$C$12="",0,Vendedor6!$C$12)</f>
        <v>0</v>
      </c>
      <c r="F9" s="30">
        <f>IF(Vendedor6!$E$12="",0,Vendedor6!$E$12)</f>
        <v>0</v>
      </c>
      <c r="G9" s="179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7" t="str">
        <f>Vendedor7!$B$2</f>
        <v>PIKIS</v>
      </c>
      <c r="C10" s="179">
        <f>IF(Vendedor7!$C$8="",0,Vendedor7!$C$8)</f>
        <v>5750</v>
      </c>
      <c r="D10" s="30">
        <f>IF(Vendedor7!$E$8="",0,Vendedor7!$E$8)</f>
        <v>500</v>
      </c>
      <c r="E10" s="179">
        <f>IF(Vendedor7!$C$12="",0,Vendedor7!$C$12)</f>
        <v>7950</v>
      </c>
      <c r="F10" s="30">
        <f>IF(Vendedor7!$E$12="",0,Vendedor7!$E$12)</f>
        <v>0</v>
      </c>
      <c r="G10" s="179">
        <f>IF(Vendedor7!$C$16="",0,Vendedor7!$C$16)</f>
        <v>0</v>
      </c>
      <c r="H10" s="30">
        <f>IF(Vendedor7!$E$16="",0,Vendedor7!$E$16)</f>
        <v>0</v>
      </c>
      <c r="J10" s="42">
        <f t="shared" si="1"/>
        <v>13700</v>
      </c>
      <c r="K10" s="41">
        <f>J10*Vendedor7!J$16</f>
        <v>1370</v>
      </c>
      <c r="L10" s="42">
        <f t="shared" si="2"/>
        <v>500</v>
      </c>
      <c r="M10" s="42">
        <f t="shared" si="3"/>
        <v>500</v>
      </c>
      <c r="N10" s="42">
        <f t="shared" si="0"/>
        <v>110000</v>
      </c>
      <c r="O10" s="42">
        <f>Vendedor7!$F$8+Vendedor7!$F$12+Vendedor7!$F$16</f>
        <v>100000</v>
      </c>
      <c r="Q10" s="42">
        <f t="shared" si="4"/>
        <v>-87670</v>
      </c>
    </row>
    <row r="11" spans="1:17" x14ac:dyDescent="0.35">
      <c r="A11" s="47">
        <v>8</v>
      </c>
      <c r="B11" s="177" t="str">
        <f>Vendedor8!$B$2</f>
        <v>ISA</v>
      </c>
      <c r="C11" s="179">
        <f>IF(Vendedor8!$C$8="",0,Vendedor8!$C$8)</f>
        <v>0</v>
      </c>
      <c r="D11" s="30">
        <f>IF(Vendedor8!$E$8="",0,Vendedor8!$E$8)</f>
        <v>0</v>
      </c>
      <c r="E11" s="179">
        <f>IF(Vendedor8!$C$12="",0,Vendedor8!$C$12)</f>
        <v>0</v>
      </c>
      <c r="F11" s="30">
        <f>IF(Vendedor8!$E$12="",0,Vendedor8!$E$12)</f>
        <v>0</v>
      </c>
      <c r="G11" s="179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7" t="str">
        <f>Vendedor9!$B$2</f>
        <v>JUAN FELIX</v>
      </c>
      <c r="C12" s="179">
        <f>IF(Vendedor9!$C$8="",0,Vendedor9!$C$8)</f>
        <v>3000</v>
      </c>
      <c r="D12" s="30">
        <f>IF(Vendedor9!$E$8="",0,Vendedor9!$E$8)</f>
        <v>0</v>
      </c>
      <c r="E12" s="179">
        <f>IF(Vendedor9!$C$12="",0,Vendedor9!$C$12)</f>
        <v>0</v>
      </c>
      <c r="F12" s="30">
        <f>IF(Vendedor9!$E$12="",0,Vendedor9!$E$12)</f>
        <v>0</v>
      </c>
      <c r="G12" s="179">
        <f>IF(Vendedor9!$C$16="",0,Vendedor9!$C$16)</f>
        <v>0</v>
      </c>
      <c r="H12" s="30">
        <f>IF(Vendedor9!$E$16="",0,Vendedor9!$E$16)</f>
        <v>0</v>
      </c>
      <c r="J12" s="42">
        <f t="shared" si="1"/>
        <v>3000</v>
      </c>
      <c r="K12" s="41">
        <f>J12*Vendedor9!J$13</f>
        <v>300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2700</v>
      </c>
    </row>
    <row r="13" spans="1:17" x14ac:dyDescent="0.35">
      <c r="A13" s="47">
        <v>10</v>
      </c>
      <c r="B13" s="177" t="str">
        <f>Vendedor10!$B$2</f>
        <v>MARIALIZ</v>
      </c>
      <c r="C13" s="179">
        <f>IF(Vendedor10!$C$8="",0,Vendedor10!$C$8)</f>
        <v>0</v>
      </c>
      <c r="D13" s="30">
        <f>IF(Vendedor10!$E$8="",0,Vendedor10!$E$8)</f>
        <v>0</v>
      </c>
      <c r="E13" s="179">
        <f>IF(Vendedor10!$C$12="",0,Vendedor10!$C$12)</f>
        <v>0</v>
      </c>
      <c r="F13" s="30">
        <f>IF(Vendedor10!$E$12="",0,Vendedor10!$E$12)</f>
        <v>0</v>
      </c>
      <c r="G13" s="179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7" t="str">
        <f>Vendedor11!$B$2</f>
        <v>CHARLY</v>
      </c>
      <c r="C14" s="179">
        <f>IF(Vendedor11!$C$8="",0,Vendedor11!$C$8)</f>
        <v>0</v>
      </c>
      <c r="D14" s="30">
        <f>IF(Vendedor11!$E$8="",0,Vendedor11!$E$8)</f>
        <v>0</v>
      </c>
      <c r="E14" s="179">
        <f>IF(Vendedor11!$C$12="",0,Vendedor11!$C$12)</f>
        <v>0</v>
      </c>
      <c r="F14" s="30">
        <f>IF(Vendedor11!$E$12="",0,Vendedor11!$E$12)</f>
        <v>0</v>
      </c>
      <c r="G14" s="179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7" t="str">
        <f>Vendedor12!$B$2</f>
        <v>LAURY</v>
      </c>
      <c r="C15" s="179">
        <f>IF(Vendedor12!$C$8="",0,Vendedor12!$C$8)</f>
        <v>0</v>
      </c>
      <c r="D15" s="30">
        <f>IF(Vendedor12!$E$8="",0,Vendedor12!$E$8)</f>
        <v>0</v>
      </c>
      <c r="E15" s="179">
        <f>IF(Vendedor12!$C$12="",0,Vendedor12!$C$12)</f>
        <v>0</v>
      </c>
      <c r="F15" s="30">
        <f>IF(Vendedor12!$E$12="",0,Vendedor12!$E$12)</f>
        <v>0</v>
      </c>
      <c r="G15" s="179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7" t="str">
        <f>Vendedor13!$B$2</f>
        <v>MINERO</v>
      </c>
      <c r="C16" s="179">
        <f>IF(Vendedor13!$C$8="",0,Vendedor13!$C$8)</f>
        <v>2000</v>
      </c>
      <c r="D16" s="30">
        <f>IF(Vendedor13!$E$8="",0,Vendedor13!$E$8)</f>
        <v>0</v>
      </c>
      <c r="E16" s="179">
        <f>IF(Vendedor13!$C$12="",0,Vendedor13!$C$12)</f>
        <v>4000</v>
      </c>
      <c r="F16" s="30">
        <f>IF(Vendedor13!$E$12="",0,Vendedor13!$E$12)</f>
        <v>0</v>
      </c>
      <c r="G16" s="179">
        <f>IF(Vendedor13!$C$16="",0,Vendedor13!$C$16)</f>
        <v>0</v>
      </c>
      <c r="H16" s="30">
        <f>IF(Vendedor13!$E$16="",0,Vendedor13!$E$16)</f>
        <v>0</v>
      </c>
      <c r="J16" s="42">
        <f t="shared" si="1"/>
        <v>6000</v>
      </c>
      <c r="K16" s="41">
        <f>J16*Vendedor13!J$13</f>
        <v>600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5400</v>
      </c>
    </row>
    <row r="17" spans="1:17" x14ac:dyDescent="0.35">
      <c r="A17" s="47">
        <v>14</v>
      </c>
      <c r="B17" s="177" t="str">
        <f>Vendedor14!$B$2</f>
        <v>EDUARDO TIEMPOS LICORERA</v>
      </c>
      <c r="C17" s="179">
        <f>IF(Vendedor14!$C$8="",0,Vendedor14!$C$8)</f>
        <v>0</v>
      </c>
      <c r="D17" s="30">
        <f>IF(Vendedor14!$E$8="",0,Vendedor14!$E$8)</f>
        <v>0</v>
      </c>
      <c r="E17" s="179">
        <f>IF(Vendedor14!$C$12="",0,Vendedor14!$C$12)</f>
        <v>0</v>
      </c>
      <c r="F17" s="30">
        <f>IF(Vendedor14!$E$12="",0,Vendedor14!$E$12)</f>
        <v>0</v>
      </c>
      <c r="G17" s="179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7" t="str">
        <f>Vendedor15!$B$2</f>
        <v>EDUARDO PUESTO CENTRO</v>
      </c>
      <c r="C18" s="179">
        <f>IF(Vendedor15!$C$8="",0,Vendedor15!$C$8)</f>
        <v>0</v>
      </c>
      <c r="D18" s="30">
        <f>IF(Vendedor15!$E$8="",0,Vendedor15!$E$8)</f>
        <v>0</v>
      </c>
      <c r="E18" s="179">
        <f>IF(Vendedor15!$C$12="",0,Vendedor15!$C$12)</f>
        <v>0</v>
      </c>
      <c r="F18" s="30">
        <f>IF(Vendedor15!$E$12="",0,Vendedor15!$E$12)</f>
        <v>0</v>
      </c>
      <c r="G18" s="179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7" t="str">
        <f>Vendedor16!$C$2</f>
        <v>Vendedor 16</v>
      </c>
      <c r="C19" s="179">
        <f>IF(Vendedor16!$C$8="",0,Vendedor16!$C$8)</f>
        <v>0</v>
      </c>
      <c r="D19" s="30">
        <f>IF(Vendedor16!$E$8="",0,Vendedor16!$E$8)</f>
        <v>0</v>
      </c>
      <c r="E19" s="179">
        <f>IF(Vendedor16!$C$12="",0,Vendedor16!$C$12)</f>
        <v>0</v>
      </c>
      <c r="F19" s="30">
        <f>IF(Vendedor16!$E$12="",0,Vendedor16!$E$12)</f>
        <v>0</v>
      </c>
      <c r="G19" s="179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7" t="str">
        <f>Vendedor17!$C$2</f>
        <v>Vendedor 17</v>
      </c>
      <c r="C20" s="179">
        <f>IF(Vendedor17!$C$8="",0,Vendedor17!$C$8)</f>
        <v>0</v>
      </c>
      <c r="D20" s="30">
        <f>IF(Vendedor17!$E$8="",0,Vendedor17!$E$8)</f>
        <v>0</v>
      </c>
      <c r="E20" s="179">
        <f>IF(Vendedor17!$C$12="",0,Vendedor17!$C$12)</f>
        <v>0</v>
      </c>
      <c r="F20" s="30">
        <f>IF(Vendedor17!$E$12="",0,Vendedor17!$E$12)</f>
        <v>0</v>
      </c>
      <c r="G20" s="179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7" t="str">
        <f>Vendedor18!$C$2</f>
        <v>Vendedor 18</v>
      </c>
      <c r="C21" s="179">
        <f>IF(Vendedor18!$C$8="",0,Vendedor18!$C$8)</f>
        <v>0</v>
      </c>
      <c r="D21" s="30">
        <f>IF(Vendedor18!$E$8="",0,Vendedor18!$E$8)</f>
        <v>0</v>
      </c>
      <c r="E21" s="179">
        <f>IF(Vendedor18!$C$12="",0,Vendedor18!$C$12)</f>
        <v>0</v>
      </c>
      <c r="F21" s="30">
        <f>IF(Vendedor18!$E$12="",0,Vendedor18!$E$12)</f>
        <v>0</v>
      </c>
      <c r="G21" s="179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7" t="str">
        <f>Vendedor19!$C$2</f>
        <v>Vendedor 19</v>
      </c>
      <c r="C22" s="179">
        <f>IF(Vendedor19!$C$8="",0,Vendedor19!$C$8)</f>
        <v>0</v>
      </c>
      <c r="D22" s="30">
        <f>IF(Vendedor19!$E$8="",0,Vendedor19!$E$8)</f>
        <v>0</v>
      </c>
      <c r="E22" s="179">
        <f>IF(Vendedor19!$C$12="",0,Vendedor19!$C$12)</f>
        <v>0</v>
      </c>
      <c r="F22" s="30">
        <f>IF(Vendedor19!$E$12="",0,Vendedor19!$E$12)</f>
        <v>0</v>
      </c>
      <c r="G22" s="179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7" t="str">
        <f>Vendedor20!$C$2</f>
        <v>Vendedor 20</v>
      </c>
      <c r="C23" s="179">
        <f>IF(Vendedor20!$C$8="",0,Vendedor20!$C$8)</f>
        <v>0</v>
      </c>
      <c r="D23" s="30">
        <f>IF(Vendedor20!$E$8="",0,Vendedor20!$E$8)</f>
        <v>0</v>
      </c>
      <c r="E23" s="179">
        <f>IF(Vendedor20!$C$12="",0,Vendedor20!$C$12)</f>
        <v>0</v>
      </c>
      <c r="F23" s="30">
        <f>IF(Vendedor20!$E$12="",0,Vendedor20!$E$12)</f>
        <v>0</v>
      </c>
      <c r="G23" s="179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7" t="str">
        <f>Vendedor21!$B$2</f>
        <v>Vendedor 21</v>
      </c>
      <c r="C24" s="179">
        <f>IF(Vendedor21!$B$8="",0,Vendedor21!$B$8)</f>
        <v>0</v>
      </c>
      <c r="D24" s="30">
        <f>IF(Vendedor21!$D$8="",0,Vendedor21!$D$8)</f>
        <v>0</v>
      </c>
      <c r="E24" s="179">
        <f>IF(Vendedor21!$B$12="",0,Vendedor21!$B$12)</f>
        <v>0</v>
      </c>
      <c r="F24" s="30">
        <f>IF(Vendedor21!$D$12="",0,Vendedor21!$D$12)</f>
        <v>0</v>
      </c>
      <c r="G24" s="179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7" t="str">
        <f>Vendedor22!$B$2</f>
        <v>Vendedor 22</v>
      </c>
      <c r="C25" s="179">
        <f>IF(Vendedor22!$B$8="",0,Vendedor22!$B$8)</f>
        <v>0</v>
      </c>
      <c r="D25" s="30">
        <f>IF(Vendedor22!$D$8="",0,Vendedor22!$D$8)</f>
        <v>0</v>
      </c>
      <c r="E25" s="179">
        <f>IF(Vendedor22!$B$12="",0,Vendedor22!$B$12)</f>
        <v>0</v>
      </c>
      <c r="F25" s="30">
        <f>IF(Vendedor22!$D$12="",0,Vendedor22!$D$12)</f>
        <v>0</v>
      </c>
      <c r="G25" s="179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7" t="str">
        <f>Vendedor23!$B$2</f>
        <v>Vendedor 23</v>
      </c>
      <c r="C26" s="179">
        <f>IF(Vendedor23!$B$8="",0,Vendedor23!$B$8)</f>
        <v>0</v>
      </c>
      <c r="D26" s="30">
        <f>IF(Vendedor23!$D$8="",0,Vendedor23!$D$8)</f>
        <v>0</v>
      </c>
      <c r="E26" s="179">
        <f>IF(Vendedor23!$B$12="",0,Vendedor23!$B$12)</f>
        <v>0</v>
      </c>
      <c r="F26" s="30">
        <f>IF(Vendedor23!$D$12="",0,Vendedor23!$D$12)</f>
        <v>0</v>
      </c>
      <c r="G26" s="179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0" t="str">
        <f>Vendedor24!$C$2</f>
        <v>Arreglo Otro</v>
      </c>
      <c r="C27" s="180">
        <f>IF(Vendedor24!$C$8="",0,Vendedor24!$C$8)</f>
        <v>0</v>
      </c>
      <c r="D27" s="50">
        <f>IF(Vendedor24!$E$8="",0,Vendedor24!$E$8)</f>
        <v>0</v>
      </c>
      <c r="E27" s="180">
        <f>IF(Vendedor24!$C$12="",0,Vendedor24!$C$12)</f>
        <v>0</v>
      </c>
      <c r="F27" s="50">
        <f>IF(Vendedor24!$E$12="",0,Vendedor24!$E$12)</f>
        <v>0</v>
      </c>
      <c r="G27" s="180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5">
        <v>25</v>
      </c>
      <c r="B28" s="178" t="str">
        <f>Vendedor25!$B$2</f>
        <v>Vendedor 25</v>
      </c>
      <c r="C28" s="178">
        <f>IF(Vendedor25!$B$8="",0,Vendedor25!$B$8)</f>
        <v>0</v>
      </c>
      <c r="D28" s="178">
        <f>IF(Vendedor25!$D$8="",0,Vendedor25!$D$8)</f>
        <v>0</v>
      </c>
      <c r="E28" s="178">
        <f>IF(Vendedor25!$B$12="",0,Vendedor25!$B$12)</f>
        <v>0</v>
      </c>
      <c r="F28" s="178">
        <f>IF(Vendedor25!$D$12="",0,Vendedor25!$D$12)</f>
        <v>0</v>
      </c>
      <c r="G28" s="178">
        <f>IF(Vendedor25!$B$16="",0,Vendedor25!$B$16)</f>
        <v>0</v>
      </c>
      <c r="H28" s="178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10750</v>
      </c>
      <c r="D33" s="44">
        <f>IF(PREMIOS!E8&lt;&gt;0,SUM(D4:D32),0)</f>
        <v>500</v>
      </c>
      <c r="E33" s="43">
        <f>SUM(E4:E32)</f>
        <v>11950</v>
      </c>
      <c r="F33" s="44">
        <f>IF(PREMIOS!E12&lt;&gt;0,SUM(F4:F32),0)</f>
        <v>0</v>
      </c>
      <c r="G33" s="43">
        <f>SUM(G4:G32)</f>
        <v>0</v>
      </c>
      <c r="H33" s="44">
        <f>IF(PREMIOS!E16&lt;&gt;0,SUM(H4:H32),0)</f>
        <v>0</v>
      </c>
      <c r="J33" s="45">
        <f>SUM(J4:J32)</f>
        <v>22700</v>
      </c>
      <c r="K33" s="45">
        <f>SUM(K7:K32)</f>
        <v>2270</v>
      </c>
      <c r="L33" s="95">
        <f>SUM(L7:L32)</f>
        <v>500</v>
      </c>
      <c r="M33" s="95">
        <f>SUM(M7:M32)</f>
        <v>500</v>
      </c>
      <c r="N33" s="95">
        <f>SUM(N4:N27)</f>
        <v>110000</v>
      </c>
      <c r="O33" s="95">
        <f>SUM(O4:O27)</f>
        <v>100000</v>
      </c>
      <c r="Q33" s="79">
        <f>SUM(Q4:Q32)</f>
        <v>-79570</v>
      </c>
    </row>
    <row r="34" spans="3:17" x14ac:dyDescent="0.35">
      <c r="D34" s="118">
        <f>IF(PREMIOS!$D8=PREMIOS!$J$10,D33*$G$38,IF(PREMIOS!$D8=PREMIOS!$J$11,D33*$F$38,IF(PREMIOS!$D8=PREMIOS!$J$12,0,"")))</f>
        <v>110000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2" t="s">
        <v>90</v>
      </c>
      <c r="D36" s="272"/>
      <c r="F36" s="273" t="s">
        <v>94</v>
      </c>
      <c r="G36" s="273" t="s">
        <v>95</v>
      </c>
    </row>
    <row r="37" spans="3:17" ht="14.5" customHeight="1" x14ac:dyDescent="0.35">
      <c r="C37" s="47" t="s">
        <v>28</v>
      </c>
      <c r="D37" s="30">
        <f>+C33+E33+G33</f>
        <v>22700</v>
      </c>
      <c r="E37" s="43">
        <f>+D37-J4-J5-J6</f>
        <v>22700</v>
      </c>
      <c r="F37" s="274"/>
      <c r="G37" s="274"/>
    </row>
    <row r="38" spans="3:17" ht="15" thickBot="1" x14ac:dyDescent="0.4">
      <c r="C38" s="47" t="s">
        <v>33</v>
      </c>
      <c r="D38" s="30">
        <f>D37*10%</f>
        <v>2270</v>
      </c>
      <c r="E38" s="43">
        <f>+D38-K4-K5-K6</f>
        <v>2270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110000</v>
      </c>
    </row>
    <row r="40" spans="3:17" ht="15" thickBot="1" x14ac:dyDescent="0.4">
      <c r="C40" s="49" t="s">
        <v>4</v>
      </c>
      <c r="D40" s="80">
        <f>+D37-D38-D39</f>
        <v>-89570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2">
        <v>0</v>
      </c>
    </row>
    <row r="44" spans="3:17" ht="15" thickBot="1" x14ac:dyDescent="0.4">
      <c r="C44" s="108" t="s">
        <v>79</v>
      </c>
      <c r="D44" s="109">
        <f>+D42+D40+D43</f>
        <v>-89570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113</v>
      </c>
      <c r="D1" s="271"/>
      <c r="E1" s="270" t="s">
        <v>98</v>
      </c>
      <c r="F1" s="271"/>
    </row>
    <row r="2" spans="1:14" ht="14.5" customHeight="1" x14ac:dyDescent="0.35">
      <c r="C2" s="266">
        <f>DigitaPRIMERA!C2</f>
        <v>16</v>
      </c>
      <c r="D2" s="267"/>
      <c r="E2" s="266">
        <f>DigitaPRIMERA!E2</f>
        <v>66</v>
      </c>
      <c r="F2" s="267"/>
    </row>
    <row r="3" spans="1:14" ht="14.5" customHeight="1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6">
        <v>1</v>
      </c>
      <c r="B4" s="198" t="str">
        <f>Vendedor1!$B$2</f>
        <v>VENTANA</v>
      </c>
      <c r="C4" s="188">
        <f>IF(Vendedor1!$C$19="",0,Vendedor1!$C$19)</f>
        <v>700</v>
      </c>
      <c r="D4" s="78">
        <f>IF(Vendedor1!$E$19="",0,Vendedor1!$E$19)</f>
        <v>0</v>
      </c>
      <c r="E4" s="188">
        <f>IF(Vendedor1!$C$20="",0,Vendedor1!$C$20)</f>
        <v>1000</v>
      </c>
      <c r="F4" s="78">
        <f>IF(Vendedor1!$E$20="",0,Vendedor1!$E$20)</f>
        <v>0</v>
      </c>
      <c r="H4" s="42">
        <f>+C4+E4</f>
        <v>1700</v>
      </c>
      <c r="I4" s="41">
        <f>MROUND(H4*Vendedor1!J$9,50)</f>
        <v>200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1500</v>
      </c>
    </row>
    <row r="5" spans="1:14" x14ac:dyDescent="0.35">
      <c r="A5" s="47">
        <v>2</v>
      </c>
      <c r="B5" s="176" t="str">
        <f>Vendedor2!$B$2</f>
        <v>PUESTO 2</v>
      </c>
      <c r="C5" s="179">
        <f>IF(Vendedor2!$C$19="",0,Vendedor2!$C$19)</f>
        <v>10700</v>
      </c>
      <c r="D5" s="30">
        <f>IF(Vendedor2!$E$19="",0,Vendedor2!$E$19)</f>
        <v>1000</v>
      </c>
      <c r="E5" s="179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10700</v>
      </c>
      <c r="I5" s="41">
        <f>MROUND(H5*Vendedor2!J$9,50)</f>
        <v>1400</v>
      </c>
      <c r="J5" s="42">
        <f t="shared" ref="J5:J31" si="2">+D5+F5</f>
        <v>1000</v>
      </c>
      <c r="K5" s="42">
        <f t="shared" ref="K5:K27" si="3">+J5*85</f>
        <v>85000</v>
      </c>
      <c r="L5" s="42">
        <f>Vendedor2!$F$19+Vendedor2!$F$20</f>
        <v>80000</v>
      </c>
      <c r="N5" s="42">
        <f t="shared" si="0"/>
        <v>-70700</v>
      </c>
    </row>
    <row r="6" spans="1:14" x14ac:dyDescent="0.35">
      <c r="A6" s="47">
        <v>3</v>
      </c>
      <c r="B6" s="176" t="str">
        <f>Vendedor3!$B$2</f>
        <v>TABLET</v>
      </c>
      <c r="C6" s="179">
        <f>IF(Vendedor3!$C$19="",0,Vendedor3!$C$19)</f>
        <v>0</v>
      </c>
      <c r="D6" s="30">
        <f>IF(Vendedor3!$E$19="",0,Vendedor3!$E$19)</f>
        <v>0</v>
      </c>
      <c r="E6" s="179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79">
        <f>IF(Vendedor5!$C$19="",0,Vendedor5!$C$19)</f>
        <v>26500</v>
      </c>
      <c r="D8" s="30">
        <f>IF(Vendedor5!$E$19="",0,Vendedor5!$E$19)</f>
        <v>0</v>
      </c>
      <c r="E8" s="179">
        <f>IF(Vendedor5!$C$20="",0,Vendedor5!$C$20)</f>
        <v>3400</v>
      </c>
      <c r="F8" s="30">
        <f>IF(Vendedor5!$E$20="",0,Vendedor5!$E$20)</f>
        <v>0</v>
      </c>
      <c r="H8" s="133">
        <f t="shared" si="1"/>
        <v>29900</v>
      </c>
      <c r="I8" s="147">
        <f>MROUND(H8*Vendedor5!J$11,50)</f>
        <v>3600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4"/>
      <c r="N8" s="133">
        <f t="shared" si="0"/>
        <v>26300</v>
      </c>
    </row>
    <row r="9" spans="1:14" x14ac:dyDescent="0.35">
      <c r="A9" s="202">
        <v>6</v>
      </c>
      <c r="B9" s="195" t="str">
        <f>Vendedor6!$B$2</f>
        <v>Vendedor 06</v>
      </c>
      <c r="C9" s="179">
        <f>IF(Vendedor6!$C$19="",0,Vendedor6!$C$19)</f>
        <v>0</v>
      </c>
      <c r="D9" s="30">
        <f>IF(Vendedor6!$E$19="",0,Vendedor6!$E$19)</f>
        <v>0</v>
      </c>
      <c r="E9" s="179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7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4"/>
      <c r="N9" s="133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IF(Vendedor7!$C$19="",0,Vendedor7!$C$19)</f>
        <v>19100</v>
      </c>
      <c r="D10" s="30">
        <f>IF(Vendedor7!$E$19="",0,Vendedor7!$E$19)</f>
        <v>0</v>
      </c>
      <c r="E10" s="179">
        <f>IF(Vendedor7!$C$20="",0,Vendedor7!$C$20)</f>
        <v>10750</v>
      </c>
      <c r="F10" s="30">
        <f>IF(Vendedor7!$E$20="",0,Vendedor7!$E$20)</f>
        <v>0</v>
      </c>
      <c r="H10" s="42">
        <f t="shared" si="1"/>
        <v>29850</v>
      </c>
      <c r="I10" s="41">
        <f>MROUND(H10*Vendedor7!J$14,50)</f>
        <v>3600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26250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5" t="str">
        <f>Vendedor9!$B$2</f>
        <v>JUAN FELIX</v>
      </c>
      <c r="C12" s="179">
        <f>IF(Vendedor9!$C$19="",0,Vendedor9!$C$19)</f>
        <v>28450</v>
      </c>
      <c r="D12" s="30">
        <f>IF(Vendedor9!$E$19="",0,Vendedor9!$E$19)</f>
        <v>250</v>
      </c>
      <c r="E12" s="179">
        <f>IF(Vendedor9!$C$20="",0,Vendedor9!$C$20)</f>
        <v>0</v>
      </c>
      <c r="F12" s="30">
        <f>IF(Vendedor9!$E$20="",0,Vendedor9!$E$20)</f>
        <v>0</v>
      </c>
      <c r="H12" s="133">
        <f t="shared" si="1"/>
        <v>28450</v>
      </c>
      <c r="I12" s="147">
        <f>MROUND(H12*Vendedor9!J$11,50)</f>
        <v>3400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4"/>
      <c r="N12" s="133">
        <f t="shared" si="0"/>
        <v>3800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5" t="str">
        <f>Vendedor13!$B$2</f>
        <v>MINERO</v>
      </c>
      <c r="C16" s="179">
        <f>IF(Vendedor13!$C$19="",0,Vendedor13!$C$19)</f>
        <v>2700</v>
      </c>
      <c r="D16" s="30">
        <f>IF(Vendedor13!$E$19="",0,Vendedor13!$E$19)</f>
        <v>0</v>
      </c>
      <c r="E16" s="179">
        <f>IF(Vendedor13!$C$20="",0,Vendedor13!$C$20)</f>
        <v>0</v>
      </c>
      <c r="F16" s="30">
        <f>IF(Vendedor13!$E$20="",0,Vendedor13!$E$20)</f>
        <v>0</v>
      </c>
      <c r="H16" s="133">
        <f t="shared" si="1"/>
        <v>2700</v>
      </c>
      <c r="I16" s="147">
        <f>MROUND(H16*Vendedor13!J$11,50)</f>
        <v>300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4"/>
      <c r="N16" s="133">
        <f t="shared" si="0"/>
        <v>2400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IF(Vendedor14!$C$19="",0,Vendedor14!$C$19)</f>
        <v>0</v>
      </c>
      <c r="D17" s="30">
        <f>IF(Vendedor14!$E$19="",0,Vendedor14!$E$19)</f>
        <v>0</v>
      </c>
      <c r="E17" s="179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IF(Vendedor15!$C$19="",0,Vendedor15!$C$19)</f>
        <v>0</v>
      </c>
      <c r="D18" s="30">
        <f>IF(Vendedor15!$E$19="",0,Vendedor15!$E$19)</f>
        <v>0</v>
      </c>
      <c r="E18" s="179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IF(Vendedor24!$C$19="",0,Vendedor24!$C$19)</f>
        <v>0</v>
      </c>
      <c r="D27" s="50">
        <f>IF(Vendedor24!$E$19="",0,Vendedor24!$E$19)</f>
        <v>0</v>
      </c>
      <c r="E27" s="180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88150</v>
      </c>
      <c r="D32" s="44">
        <f>SUM(D4:D31)</f>
        <v>1250</v>
      </c>
      <c r="E32" s="43">
        <f>SUM(E4:E31)</f>
        <v>15150</v>
      </c>
      <c r="F32" s="44">
        <f>SUM(F4:F31)</f>
        <v>0</v>
      </c>
      <c r="H32" s="95">
        <f>SUM(H4:H31)</f>
        <v>103300</v>
      </c>
      <c r="I32" s="45">
        <f>SUM(I7:I31)</f>
        <v>10900</v>
      </c>
      <c r="J32" s="95"/>
      <c r="K32" s="95">
        <f>SUM(K4:K31)</f>
        <v>106250</v>
      </c>
      <c r="L32" s="95">
        <f>SUM(L4:L31)</f>
        <v>101250</v>
      </c>
      <c r="N32" s="79">
        <f>SUM(N4:N31)</f>
        <v>-10450</v>
      </c>
    </row>
    <row r="33" spans="3:6" x14ac:dyDescent="0.35">
      <c r="D33" s="99">
        <f>+D32*85</f>
        <v>106250</v>
      </c>
      <c r="F33" s="99">
        <f>+F32*85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103300</v>
      </c>
      <c r="E36" s="43">
        <f>+D36-H4-H5-H6</f>
        <v>90900</v>
      </c>
    </row>
    <row r="37" spans="3:6" x14ac:dyDescent="0.35">
      <c r="C37" s="47" t="s">
        <v>33</v>
      </c>
      <c r="D37" s="48">
        <f>D36*13%</f>
        <v>13429</v>
      </c>
      <c r="E37">
        <f>+D37-I4-I5-I6</f>
        <v>11829</v>
      </c>
    </row>
    <row r="38" spans="3:6" ht="15" thickBot="1" x14ac:dyDescent="0.4">
      <c r="C38" s="47" t="s">
        <v>30</v>
      </c>
      <c r="D38" s="30">
        <f>SUM(K4:K27)</f>
        <v>106250</v>
      </c>
    </row>
    <row r="39" spans="3:6" ht="15" thickBot="1" x14ac:dyDescent="0.4">
      <c r="C39" s="49" t="s">
        <v>4</v>
      </c>
      <c r="D39" s="80">
        <f>+D36-D37-D38</f>
        <v>-16379</v>
      </c>
      <c r="F39" s="98">
        <f>+N32-D39</f>
        <v>5929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-16379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132</v>
      </c>
      <c r="D1" s="271"/>
      <c r="E1" s="270" t="s">
        <v>133</v>
      </c>
      <c r="F1" s="271"/>
      <c r="G1" s="270" t="s">
        <v>134</v>
      </c>
      <c r="H1" s="271"/>
    </row>
    <row r="2" spans="1:16" x14ac:dyDescent="0.35">
      <c r="C2" s="266">
        <f>DigitaHONDURAS!C2</f>
        <v>21</v>
      </c>
      <c r="D2" s="267"/>
      <c r="E2" s="266">
        <f>DigitaHONDURAS!E2</f>
        <v>55</v>
      </c>
      <c r="F2" s="267"/>
      <c r="G2" s="266" t="str">
        <f>DigitaHONDURAS!G2</f>
        <v/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92"/>
      <c r="D4" s="83"/>
      <c r="E4" s="192"/>
      <c r="F4" s="83"/>
      <c r="G4" s="192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6" t="str">
        <f>Vendedor2!$B$2</f>
        <v>PUESTO 2</v>
      </c>
      <c r="C5" s="192"/>
      <c r="D5" s="83"/>
      <c r="E5" s="192"/>
      <c r="F5" s="83"/>
      <c r="G5" s="192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6" t="str">
        <f>Vendedor3!$B$2</f>
        <v>TABLET</v>
      </c>
      <c r="C6" s="192"/>
      <c r="D6" s="83"/>
      <c r="E6" s="192"/>
      <c r="F6" s="83"/>
      <c r="G6" s="192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6" t="str">
        <f>Vendedor4!$B$2</f>
        <v>Nuevo 2</v>
      </c>
      <c r="C7" s="192"/>
      <c r="D7" s="83"/>
      <c r="E7" s="192"/>
      <c r="F7" s="83"/>
      <c r="G7" s="192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6" t="str">
        <f>Vendedor5!$B$2</f>
        <v>YOYO</v>
      </c>
      <c r="C8" s="192"/>
      <c r="D8" s="83"/>
      <c r="E8" s="192"/>
      <c r="F8" s="83"/>
      <c r="G8" s="192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7" t="str">
        <f>Vendedor6!$B$2</f>
        <v>Vendedor 06</v>
      </c>
      <c r="C9" s="192"/>
      <c r="D9" s="83"/>
      <c r="E9" s="192"/>
      <c r="F9" s="83"/>
      <c r="G9" s="192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IF(Vendedor7!$C$21="",0,Vendedor7!$C$21)</f>
        <v>29500</v>
      </c>
      <c r="D10" s="30">
        <f>IF(Vendedor7!$E$21="",0,Vendedor7!$E$21)</f>
        <v>0</v>
      </c>
      <c r="E10" s="179">
        <f>IF(Vendedor7!$C$22="",0,Vendedor7!$C$22)</f>
        <v>6200</v>
      </c>
      <c r="F10" s="30">
        <f>IF(Vendedor7!$E$22="",0,Vendedor7!$E$22)</f>
        <v>0</v>
      </c>
      <c r="G10" s="179">
        <f>IF(Vendedor7!$C$23="",0,Vendedor7!$C$23)</f>
        <v>0</v>
      </c>
      <c r="H10" s="30">
        <f>IF(Vendedor7!$E$23="",0,Vendedor7!$E$23)</f>
        <v>0</v>
      </c>
      <c r="J10" s="42">
        <f t="shared" si="0"/>
        <v>35700</v>
      </c>
      <c r="K10" s="41">
        <f>MROUND(J10*Vendedor7!J$14,50)</f>
        <v>4300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31400</v>
      </c>
    </row>
    <row r="11" spans="1:16" x14ac:dyDescent="0.35">
      <c r="A11" s="41">
        <v>8</v>
      </c>
      <c r="B11" s="177" t="str">
        <f>Vendedor8!$B$2</f>
        <v>ISA</v>
      </c>
      <c r="C11" s="192"/>
      <c r="D11" s="83"/>
      <c r="E11" s="192"/>
      <c r="F11" s="83"/>
      <c r="G11" s="192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IF(Vendedor9!$C$21="",0,Vendedor9!$C$21)</f>
        <v>0</v>
      </c>
      <c r="D12" s="30">
        <f>IF(Vendedor9!$E$21="",0,Vendedor9!$E$21)</f>
        <v>0</v>
      </c>
      <c r="E12" s="179">
        <f>IF(Vendedor9!$C$22="",0,Vendedor9!$C$22)</f>
        <v>0</v>
      </c>
      <c r="F12" s="30">
        <f>IF(Vendedor9!$E$22="",0,Vendedor9!$E$22)</f>
        <v>0</v>
      </c>
      <c r="G12" s="179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7" t="str">
        <f>Vendedor10!$B$2</f>
        <v>MARIALIZ</v>
      </c>
      <c r="C13" s="192"/>
      <c r="D13" s="83"/>
      <c r="E13" s="192"/>
      <c r="F13" s="83"/>
      <c r="G13" s="192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7" t="str">
        <f>Vendedor11!$B$2</f>
        <v>CHARLY</v>
      </c>
      <c r="C14" s="192"/>
      <c r="D14" s="83"/>
      <c r="E14" s="192"/>
      <c r="F14" s="83"/>
      <c r="G14" s="192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7" t="str">
        <f>Vendedor12!$B$2</f>
        <v>LAURY</v>
      </c>
      <c r="C15" s="192"/>
      <c r="D15" s="83"/>
      <c r="E15" s="192"/>
      <c r="F15" s="83"/>
      <c r="G15" s="192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IF(Vendedor13!$C$21="",0,Vendedor13!$C$21)</f>
        <v>0</v>
      </c>
      <c r="D16" s="30">
        <f>IF(Vendedor13!$E$21="",0,Vendedor13!$E$21)</f>
        <v>0</v>
      </c>
      <c r="E16" s="179">
        <f>IF(Vendedor13!$C$22="",0,Vendedor13!$C$22)</f>
        <v>0</v>
      </c>
      <c r="F16" s="30">
        <f>IF(Vendedor13!$E$22="",0,Vendedor13!$E$22)</f>
        <v>0</v>
      </c>
      <c r="G16" s="179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7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IF(Vendedor14!$C$21="",0,Vendedor14!$C$21)</f>
        <v>0</v>
      </c>
      <c r="D17" s="30">
        <f>IF(Vendedor14!$E$21="",0,Vendedor14!$E$21)</f>
        <v>0</v>
      </c>
      <c r="E17" s="179">
        <f>IF(Vendedor14!$C$22="",0,Vendedor14!$C$22)</f>
        <v>0</v>
      </c>
      <c r="F17" s="30">
        <f>IF(Vendedor14!$E$22="",0,Vendedor14!$E$22)</f>
        <v>0</v>
      </c>
      <c r="G17" s="179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IF(Vendedor15!$C$21="",0,Vendedor15!$C$21)</f>
        <v>0</v>
      </c>
      <c r="D18" s="30">
        <f>IF(Vendedor15!$E$21="",0,Vendedor15!$E$21)</f>
        <v>0</v>
      </c>
      <c r="E18" s="179">
        <f>IF(Vendedor15!$C$22="",0,Vendedor15!$C$22)</f>
        <v>0</v>
      </c>
      <c r="F18" s="30">
        <f>IF(Vendedor15!$E$22="",0,Vendedor15!$E$22)</f>
        <v>0</v>
      </c>
      <c r="G18" s="179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IF(Vendedor24!$C$21="",0,Vendedor24!$C$21)</f>
        <v>0</v>
      </c>
      <c r="D27" s="50">
        <f>IF(Vendedor24!$E$21="",0,Vendedor24!$E$21)</f>
        <v>0</v>
      </c>
      <c r="E27" s="180">
        <f>IF(Vendedor24!$C$22="",0,Vendedor24!$C$22)</f>
        <v>0</v>
      </c>
      <c r="F27" s="50">
        <f>IF(Vendedor24!$E$22="",0,Vendedor24!$E$22)</f>
        <v>0</v>
      </c>
      <c r="G27" s="180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29500</v>
      </c>
      <c r="D32" s="44">
        <f t="shared" si="8"/>
        <v>0</v>
      </c>
      <c r="E32" s="43">
        <f t="shared" si="8"/>
        <v>6200</v>
      </c>
      <c r="F32" s="44">
        <f t="shared" si="8"/>
        <v>0</v>
      </c>
      <c r="G32" s="43">
        <f t="shared" si="8"/>
        <v>0</v>
      </c>
      <c r="H32" s="44">
        <f t="shared" si="8"/>
        <v>0</v>
      </c>
      <c r="J32" s="95">
        <f>SUM(J4:J31)</f>
        <v>35700</v>
      </c>
      <c r="K32" s="45">
        <f>SUM(K7:K31)</f>
        <v>4300</v>
      </c>
      <c r="L32" s="95"/>
      <c r="M32" s="95">
        <f>SUM(M4:M31)</f>
        <v>0</v>
      </c>
      <c r="N32" s="95">
        <f>SUM(N4:N31)</f>
        <v>0</v>
      </c>
      <c r="P32" s="79">
        <f>SUM(P4:P31)</f>
        <v>31400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5" t="s">
        <v>89</v>
      </c>
      <c r="D35" s="265"/>
    </row>
    <row r="36" spans="3:8" x14ac:dyDescent="0.35">
      <c r="C36" s="47" t="s">
        <v>28</v>
      </c>
      <c r="D36" s="30">
        <f>+C32+E32+G32</f>
        <v>35700</v>
      </c>
      <c r="E36" s="43">
        <f>+D36-J4-J5-J6</f>
        <v>35700</v>
      </c>
    </row>
    <row r="37" spans="3:8" x14ac:dyDescent="0.35">
      <c r="C37" s="47" t="s">
        <v>33</v>
      </c>
      <c r="D37" s="48">
        <f>D36*13%</f>
        <v>4641</v>
      </c>
      <c r="E37">
        <f>+D37-K4-K5-K6</f>
        <v>4641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31059</v>
      </c>
      <c r="F39" s="98">
        <f>+P32-D39</f>
        <v>341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31059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114</v>
      </c>
      <c r="D1" s="271"/>
      <c r="E1" s="270" t="s">
        <v>115</v>
      </c>
      <c r="F1" s="271"/>
    </row>
    <row r="2" spans="1:14" x14ac:dyDescent="0.35">
      <c r="C2" s="266" t="str">
        <f>DigitaDOMINICANA!C2</f>
        <v>03</v>
      </c>
      <c r="D2" s="267"/>
      <c r="E2" s="266">
        <f>DigitaDOMINICANA!E2</f>
        <v>39</v>
      </c>
      <c r="F2" s="267"/>
    </row>
    <row r="3" spans="1:14" ht="15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3">
        <v>1</v>
      </c>
      <c r="B4" s="204" t="str">
        <f>Vendedor1!$B$2</f>
        <v>VENTANA</v>
      </c>
      <c r="C4" s="196"/>
      <c r="D4" s="197"/>
      <c r="E4" s="196"/>
      <c r="F4" s="197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1">
        <v>2</v>
      </c>
      <c r="B5" s="199" t="str">
        <f>Vendedor2!$B$2</f>
        <v>PUESTO 2</v>
      </c>
      <c r="C5" s="192"/>
      <c r="D5" s="83"/>
      <c r="E5" s="192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1">
        <v>3</v>
      </c>
      <c r="B6" s="199" t="str">
        <f>Vendedor3!$B$2</f>
        <v>TABLET</v>
      </c>
      <c r="C6" s="192"/>
      <c r="D6" s="83"/>
      <c r="E6" s="192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1">
        <v>5</v>
      </c>
      <c r="B8" s="199" t="str">
        <f>Vendedor5!$B$2</f>
        <v>YOYO</v>
      </c>
      <c r="C8" s="192"/>
      <c r="D8" s="83"/>
      <c r="E8" s="192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1">
        <v>6</v>
      </c>
      <c r="B9" s="191" t="str">
        <f>Vendedor6!$B$2</f>
        <v>Vendedor 06</v>
      </c>
      <c r="C9" s="192"/>
      <c r="D9" s="83"/>
      <c r="E9" s="192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IF(Vendedor7!$C$24="",0,Vendedor7!$C$24)</f>
        <v>66500</v>
      </c>
      <c r="D10" s="30">
        <f>IF(Vendedor7!$E$24="",0,Vendedor7!$E$24)</f>
        <v>0</v>
      </c>
      <c r="E10" s="179">
        <f>IF(Vendedor7!$C$25="",0,Vendedor7!$C$25)</f>
        <v>64500</v>
      </c>
      <c r="F10" s="30">
        <f>IF(Vendedor7!$E$25="",0,Vendedor7!$E$25)</f>
        <v>750</v>
      </c>
      <c r="H10" s="42">
        <f t="shared" si="1"/>
        <v>131000</v>
      </c>
      <c r="I10" s="41">
        <f>MROUND(H10*Vendedor7!J$14,50)</f>
        <v>15700</v>
      </c>
      <c r="J10" s="42">
        <f t="shared" si="2"/>
        <v>750</v>
      </c>
      <c r="K10" s="42">
        <f t="shared" si="3"/>
        <v>63750</v>
      </c>
      <c r="L10" s="42">
        <f>Vendedor7!$F$24+Vendedor7!$F$25</f>
        <v>63750</v>
      </c>
      <c r="N10" s="42">
        <f t="shared" si="0"/>
        <v>51550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1">
        <v>9</v>
      </c>
      <c r="B12" s="191" t="str">
        <f>Vendedor9!$B$2</f>
        <v>JUAN FELIX</v>
      </c>
      <c r="C12" s="192"/>
      <c r="D12" s="83"/>
      <c r="E12" s="192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1">
        <v>13</v>
      </c>
      <c r="B16" s="191" t="str">
        <f>Vendedor13!$B$2</f>
        <v>MINERO</v>
      </c>
      <c r="C16" s="192"/>
      <c r="D16" s="83"/>
      <c r="E16" s="192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IF(Vendedor14!$C$24="",0,Vendedor14!$C$24)</f>
        <v>0</v>
      </c>
      <c r="D17" s="30">
        <f>IF(Vendedor14!$E$24="",0,Vendedor14!$E$24)</f>
        <v>0</v>
      </c>
      <c r="E17" s="179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IF(Vendedor15!$C$24="",0,Vendedor15!$C$24)</f>
        <v>0</v>
      </c>
      <c r="D18" s="30">
        <f>IF(Vendedor15!$E$24="",0,Vendedor15!$E$24)</f>
        <v>0</v>
      </c>
      <c r="E18" s="179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IF(Vendedor24!$C$24="",0,Vendedor24!$C$24)</f>
        <v>0</v>
      </c>
      <c r="D27" s="50">
        <f>IF(Vendedor24!$E$24="",0,Vendedor24!$E$24)</f>
        <v>0</v>
      </c>
      <c r="E27" s="180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66500</v>
      </c>
      <c r="D32" s="44">
        <f>SUM(D4:D31)</f>
        <v>0</v>
      </c>
      <c r="E32" s="43">
        <f>SUM(E4:E31)</f>
        <v>64500</v>
      </c>
      <c r="F32" s="44">
        <f>SUM(F4:F31)</f>
        <v>750</v>
      </c>
      <c r="H32" s="95">
        <f>SUM(H4:H31)</f>
        <v>131000</v>
      </c>
      <c r="I32" s="45">
        <f>SUM(I7:I31)</f>
        <v>15700</v>
      </c>
      <c r="J32" s="95"/>
      <c r="K32" s="95">
        <f>SUM(K4:K31)</f>
        <v>63750</v>
      </c>
      <c r="L32" s="95">
        <f>SUM(L4:L31)</f>
        <v>63750</v>
      </c>
      <c r="N32" s="79">
        <f>SUM(N4:N31)</f>
        <v>51550</v>
      </c>
    </row>
    <row r="33" spans="3:6" x14ac:dyDescent="0.35">
      <c r="D33" s="99">
        <f>+D32*85</f>
        <v>0</v>
      </c>
      <c r="F33" s="99">
        <f>+F32*85</f>
        <v>63750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131000</v>
      </c>
      <c r="E36" s="43">
        <f>+D36-H4-H5-H6</f>
        <v>131000</v>
      </c>
    </row>
    <row r="37" spans="3:6" x14ac:dyDescent="0.35">
      <c r="C37" s="47" t="s">
        <v>33</v>
      </c>
      <c r="D37" s="48">
        <f>D36*13%</f>
        <v>17030</v>
      </c>
      <c r="E37">
        <f>+D37-I4-I5-I6</f>
        <v>17030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0">
        <f>+D36-D37-D38</f>
        <v>50220</v>
      </c>
      <c r="F39" s="98">
        <f>+N32-D39</f>
        <v>1330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50220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0" t="s">
        <v>109</v>
      </c>
      <c r="D1" s="271"/>
    </row>
    <row r="2" spans="1:12" x14ac:dyDescent="0.35">
      <c r="C2" s="266">
        <f>DigitaPANAMENA!C2</f>
        <v>11</v>
      </c>
      <c r="D2" s="267"/>
    </row>
    <row r="3" spans="1:12" ht="15" thickBot="1" x14ac:dyDescent="0.4">
      <c r="C3" s="266"/>
      <c r="D3" s="267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3">
        <v>1</v>
      </c>
      <c r="B4" s="204" t="str">
        <f>Vendedor1!$B$2</f>
        <v>VENTANA</v>
      </c>
      <c r="C4" s="196"/>
      <c r="D4" s="197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1">
        <v>2</v>
      </c>
      <c r="B5" s="199" t="str">
        <f>Vendedor2!$B$2</f>
        <v>PUESTO 2</v>
      </c>
      <c r="C5" s="192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1">
        <v>3</v>
      </c>
      <c r="B6" s="199" t="str">
        <f>Vendedor3!$B$2</f>
        <v>TABLET</v>
      </c>
      <c r="C6" s="192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1">
        <v>4</v>
      </c>
      <c r="B7" s="199" t="str">
        <f>Vendedor4!$B$2</f>
        <v>Nuevo 2</v>
      </c>
      <c r="C7" s="192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1">
        <v>5</v>
      </c>
      <c r="B8" s="199" t="str">
        <f>Vendedor5!$B$2</f>
        <v>YOYO</v>
      </c>
      <c r="C8" s="192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1">
        <v>6</v>
      </c>
      <c r="B9" s="191" t="str">
        <f>Vendedor6!$B$2</f>
        <v>Vendedor 06</v>
      </c>
      <c r="C9" s="192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7" t="str">
        <f>Vendedor7!$B$2</f>
        <v>PIKIS</v>
      </c>
      <c r="C10" s="179">
        <f>IF(Vendedor7!$C$26="",0,Vendedor7!$C$26)</f>
        <v>2000</v>
      </c>
      <c r="D10" s="30">
        <f>IF(Vendedor7!$E$26="",0,Vendedor7!$E$26)</f>
        <v>0</v>
      </c>
      <c r="F10" s="42">
        <f t="shared" si="1"/>
        <v>2000</v>
      </c>
      <c r="G10" s="41">
        <f>MROUND(F10*Vendedor7!J$14,50)</f>
        <v>250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1750</v>
      </c>
    </row>
    <row r="11" spans="1:12" x14ac:dyDescent="0.35">
      <c r="A11" s="201">
        <v>8</v>
      </c>
      <c r="B11" s="191" t="str">
        <f>Vendedor8!$B$2</f>
        <v>ISA</v>
      </c>
      <c r="C11" s="192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1">
        <v>9</v>
      </c>
      <c r="B12" s="191" t="str">
        <f>Vendedor9!$B$2</f>
        <v>JUAN FELIX</v>
      </c>
      <c r="C12" s="192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1">
        <v>10</v>
      </c>
      <c r="B13" s="191" t="str">
        <f>Vendedor10!$B$2</f>
        <v>MARIALIZ</v>
      </c>
      <c r="C13" s="192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1">
        <v>11</v>
      </c>
      <c r="B14" s="191" t="str">
        <f>Vendedor11!$B$2</f>
        <v>CHARLY</v>
      </c>
      <c r="C14" s="192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1">
        <v>12</v>
      </c>
      <c r="B15" s="191" t="str">
        <f>Vendedor12!$B$2</f>
        <v>LAURY</v>
      </c>
      <c r="C15" s="192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1">
        <v>13</v>
      </c>
      <c r="B16" s="191" t="str">
        <f>Vendedor13!$B$2</f>
        <v>MINERO</v>
      </c>
      <c r="C16" s="192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7" t="str">
        <f>Vendedor14!$B$2</f>
        <v>EDUARDO TIEMPOS LICORERA</v>
      </c>
      <c r="C17" s="179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7" t="str">
        <f>Vendedor15!$B$2</f>
        <v>EDUARDO PUESTO CENTRO</v>
      </c>
      <c r="C18" s="179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0" t="str">
        <f>Vendedor24!$C$2</f>
        <v>Arreglo Otro</v>
      </c>
      <c r="C27" s="180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2000</v>
      </c>
      <c r="D32" s="44">
        <f>SUM(D4:D31)</f>
        <v>0</v>
      </c>
      <c r="F32" s="95">
        <f>SUM(F4:F31)</f>
        <v>2000</v>
      </c>
      <c r="G32" s="95">
        <f>SUM(G7:G31)</f>
        <v>250</v>
      </c>
      <c r="H32" s="95"/>
      <c r="I32" s="95">
        <f>SUM(I4:I31)</f>
        <v>0</v>
      </c>
      <c r="J32" s="95">
        <f>SUM(J4:J31)</f>
        <v>0</v>
      </c>
      <c r="L32" s="91">
        <f>SUM(L4:L31)</f>
        <v>1750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</f>
        <v>2000</v>
      </c>
      <c r="F36" s="43">
        <f>+D36-F4-F5-F6</f>
        <v>2000</v>
      </c>
    </row>
    <row r="37" spans="3:6" x14ac:dyDescent="0.35">
      <c r="C37" s="47" t="s">
        <v>33</v>
      </c>
      <c r="D37" s="30">
        <f>D36*14%</f>
        <v>280</v>
      </c>
      <c r="E37" s="43"/>
      <c r="F37" s="43">
        <f>+D37-G4-G5-G6</f>
        <v>280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1720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2">
        <v>0</v>
      </c>
    </row>
    <row r="43" spans="3:6" ht="15" thickBot="1" x14ac:dyDescent="0.4">
      <c r="C43" s="108" t="s">
        <v>79</v>
      </c>
      <c r="D43" s="109">
        <f>+D39+D41+D42</f>
        <v>1720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5" t="str">
        <f ca="1">CONCATENATE("Cuentas ALI ",TEXT('Ctas Banca'!I5,"dd-mm-yyyy"))</f>
        <v>Cuentas ALI 09-08-2026</v>
      </c>
      <c r="B1" s="275"/>
      <c r="C1" s="275"/>
      <c r="D1" s="275"/>
      <c r="E1" s="275"/>
      <c r="F1" s="275"/>
      <c r="G1" s="275"/>
      <c r="H1" s="21"/>
      <c r="I1" s="21"/>
    </row>
    <row r="2" spans="1:9" ht="15" thickBot="1" x14ac:dyDescent="0.4">
      <c r="A2" s="276" t="s">
        <v>137</v>
      </c>
      <c r="B2" s="276"/>
      <c r="C2" s="276"/>
      <c r="D2" s="276"/>
      <c r="E2" s="276"/>
      <c r="F2" s="276"/>
      <c r="G2" s="276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5">
        <f>HojaNICA!$E$36</f>
        <v>369700</v>
      </c>
      <c r="C4" s="156">
        <f>HojaNICA!M32</f>
        <v>44350</v>
      </c>
      <c r="D4" s="149">
        <f>HojaNICA!E37</f>
        <v>48046.5</v>
      </c>
      <c r="E4" s="149">
        <f>HojaNICA!P32</f>
        <v>174000</v>
      </c>
      <c r="F4" s="149">
        <f>HojaNICA!O32</f>
        <v>178500</v>
      </c>
      <c r="G4" s="150">
        <f t="shared" ref="G4:G10" si="0">+D4-C4+F4-E4</f>
        <v>8196.5</v>
      </c>
      <c r="H4" s="21"/>
      <c r="I4" s="181"/>
    </row>
    <row r="5" spans="1:9" x14ac:dyDescent="0.35">
      <c r="A5" s="28" t="s">
        <v>19</v>
      </c>
      <c r="B5" s="155">
        <f>HojaTICA!$E$36</f>
        <v>515600</v>
      </c>
      <c r="C5" s="156">
        <f>HojaTICA!K32</f>
        <v>63150</v>
      </c>
      <c r="D5" s="149">
        <f>HojaTICA!E37</f>
        <v>67023</v>
      </c>
      <c r="E5" s="149">
        <f>HojaTICA!N32</f>
        <v>442000</v>
      </c>
      <c r="F5" s="149">
        <f>HojaTICA!D38</f>
        <v>442000</v>
      </c>
      <c r="G5" s="150">
        <f t="shared" si="0"/>
        <v>3873</v>
      </c>
      <c r="H5" s="21"/>
      <c r="I5" s="181"/>
    </row>
    <row r="6" spans="1:9" x14ac:dyDescent="0.35">
      <c r="A6" s="28" t="s">
        <v>125</v>
      </c>
      <c r="B6" s="155">
        <f>HojaREVENTADO!$E$37</f>
        <v>22700</v>
      </c>
      <c r="C6" s="156">
        <f>HojaREVENTADO!K33</f>
        <v>2270</v>
      </c>
      <c r="D6" s="149">
        <f>HojaREVENTADO!E38</f>
        <v>2270</v>
      </c>
      <c r="E6" s="149">
        <f>HojaREVENTADO!O33</f>
        <v>100000</v>
      </c>
      <c r="F6" s="149">
        <f>HojaREVENTADO!N33</f>
        <v>110000</v>
      </c>
      <c r="G6" s="150">
        <f t="shared" si="0"/>
        <v>10000</v>
      </c>
      <c r="H6" s="21"/>
      <c r="I6" s="181"/>
    </row>
    <row r="7" spans="1:9" x14ac:dyDescent="0.35">
      <c r="A7" s="28" t="s">
        <v>96</v>
      </c>
      <c r="B7" s="155">
        <f>HojaPrimera!$E$36</f>
        <v>90900</v>
      </c>
      <c r="C7" s="156">
        <f>HojaPrimera!I32</f>
        <v>10900</v>
      </c>
      <c r="D7" s="149">
        <f>HojaPrimera!E37</f>
        <v>11829</v>
      </c>
      <c r="E7" s="149">
        <f>HojaPrimera!L32</f>
        <v>101250</v>
      </c>
      <c r="F7" s="149">
        <f>HojaPrimera!K32</f>
        <v>106250</v>
      </c>
      <c r="G7" s="150">
        <f t="shared" si="0"/>
        <v>5929</v>
      </c>
      <c r="H7" s="21"/>
      <c r="I7" s="21"/>
    </row>
    <row r="8" spans="1:9" x14ac:dyDescent="0.35">
      <c r="A8" s="28" t="s">
        <v>104</v>
      </c>
      <c r="B8" s="155">
        <f>HojaHonduras!$E$36</f>
        <v>35700</v>
      </c>
      <c r="C8" s="156">
        <f>HojaHonduras!K32</f>
        <v>4300</v>
      </c>
      <c r="D8" s="149">
        <f>HojaHonduras!E37</f>
        <v>4641</v>
      </c>
      <c r="E8" s="149">
        <f>HojaHonduras!N32</f>
        <v>0</v>
      </c>
      <c r="F8" s="149">
        <f>HojaHonduras!M32</f>
        <v>0</v>
      </c>
      <c r="G8" s="150">
        <f t="shared" si="0"/>
        <v>341</v>
      </c>
      <c r="H8" s="21"/>
      <c r="I8" s="21"/>
    </row>
    <row r="9" spans="1:9" x14ac:dyDescent="0.35">
      <c r="A9" s="28" t="s">
        <v>20</v>
      </c>
      <c r="B9" s="155">
        <f>HojaDominicana!$E$36</f>
        <v>131000</v>
      </c>
      <c r="C9" s="156">
        <f>HojaDominicana!I32</f>
        <v>15700</v>
      </c>
      <c r="D9" s="149">
        <f>HojaDominicana!E37</f>
        <v>17030</v>
      </c>
      <c r="E9" s="149">
        <f>HojaDominicana!L32</f>
        <v>63750</v>
      </c>
      <c r="F9" s="149">
        <f>HojaDominicana!K32</f>
        <v>63750</v>
      </c>
      <c r="G9" s="150">
        <f t="shared" si="0"/>
        <v>1330</v>
      </c>
      <c r="H9" s="21"/>
      <c r="I9" s="21"/>
    </row>
    <row r="10" spans="1:9" ht="15" thickBot="1" x14ac:dyDescent="0.4">
      <c r="A10" s="166" t="s">
        <v>21</v>
      </c>
      <c r="B10" s="167">
        <f>HojaPANA!F36</f>
        <v>2000</v>
      </c>
      <c r="C10" s="168">
        <f>HojaPANA!G32</f>
        <v>250</v>
      </c>
      <c r="D10" s="169">
        <f>HojaPANA!F37</f>
        <v>280</v>
      </c>
      <c r="E10" s="169">
        <f>HojaPANA!J32</f>
        <v>0</v>
      </c>
      <c r="F10" s="169">
        <f>HojaPANA!I32</f>
        <v>0</v>
      </c>
      <c r="G10" s="170">
        <f t="shared" si="0"/>
        <v>30</v>
      </c>
      <c r="H10" s="21"/>
      <c r="I10" s="21"/>
    </row>
    <row r="11" spans="1:9" ht="19" thickBot="1" x14ac:dyDescent="0.5">
      <c r="A11" s="173" t="s">
        <v>32</v>
      </c>
      <c r="B11" s="174">
        <f>SUM(B4:B10)</f>
        <v>1167600</v>
      </c>
      <c r="C11" s="174">
        <f>SUM(C4:C10)</f>
        <v>140920</v>
      </c>
      <c r="D11" s="174">
        <f t="shared" ref="D11:F11" si="1">SUM(D4:D10)</f>
        <v>151119.5</v>
      </c>
      <c r="E11" s="174">
        <f t="shared" si="1"/>
        <v>881000</v>
      </c>
      <c r="F11" s="174">
        <f t="shared" si="1"/>
        <v>900500</v>
      </c>
      <c r="G11" s="175">
        <f>SUM(G4:G10)</f>
        <v>29699.5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1" t="s">
        <v>126</v>
      </c>
      <c r="G12" s="172">
        <f>IF(F16&lt;&gt;0,35000,0)</f>
        <v>35000</v>
      </c>
      <c r="H12" s="140">
        <f>+G11-G12</f>
        <v>-5300.5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6" t="s">
        <v>136</v>
      </c>
      <c r="D14" s="276"/>
      <c r="E14" s="276"/>
      <c r="F14" s="276"/>
      <c r="G14" s="276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6">
        <f>+Vendedor1!C21</f>
        <v>122250</v>
      </c>
      <c r="E16" s="156">
        <f>+Vendedor1!D21</f>
        <v>15892.5</v>
      </c>
      <c r="F16" s="157">
        <f>IF(D16&lt;&gt;0,15000,0)</f>
        <v>15000</v>
      </c>
      <c r="G16" s="150">
        <f>+E16-F16</f>
        <v>892.5</v>
      </c>
      <c r="H16" s="21"/>
      <c r="I16" s="21"/>
    </row>
    <row r="17" spans="1:9" x14ac:dyDescent="0.35">
      <c r="A17" s="21"/>
      <c r="B17" s="21"/>
      <c r="C17" s="28" t="s">
        <v>130</v>
      </c>
      <c r="D17" s="156">
        <f>+Vendedor2!C21</f>
        <v>105000</v>
      </c>
      <c r="E17" s="156">
        <f>+Vendedor2!D21</f>
        <v>13650</v>
      </c>
      <c r="F17" s="157">
        <f>IF(D17&lt;&gt;0,15000,0)</f>
        <v>15000</v>
      </c>
      <c r="G17" s="150">
        <f>+E17-F17</f>
        <v>-1350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6">
        <f>+Vendedor3!C21</f>
        <v>0</v>
      </c>
      <c r="E18" s="156">
        <f>+Vendedor3!D21</f>
        <v>0</v>
      </c>
      <c r="F18" s="157">
        <f>IF(D18&lt;&gt;0,15000,0)</f>
        <v>0</v>
      </c>
      <c r="G18" s="150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1" t="s">
        <v>32</v>
      </c>
      <c r="D19" s="158">
        <f>SUM(D16:D18)</f>
        <v>227250</v>
      </c>
      <c r="E19" s="158">
        <f>SUM(E16:E18)</f>
        <v>29542.5</v>
      </c>
      <c r="F19" s="159">
        <f>SUM(F16:F18)</f>
        <v>30000</v>
      </c>
      <c r="G19" s="160">
        <f>SUM(G16:G18)</f>
        <v>-457.5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6">
        <f>-Vendedor24!C27</f>
        <v>0</v>
      </c>
      <c r="E22" s="156">
        <f>-Vendedor24!D27</f>
        <v>0</v>
      </c>
      <c r="F22" s="157">
        <f>-Vendedor24!F27</f>
        <v>0</v>
      </c>
      <c r="G22" s="150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2" t="s">
        <v>124</v>
      </c>
      <c r="G24" s="161">
        <f>G11+G19-G12+G22</f>
        <v>-5758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H12" sqref="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7" t="str">
        <f ca="1">CONCATENATE("Tiempos Pana ",TEXT(I5,"dd-mm-yyyy"))</f>
        <v>Tiempos Pana 09-08-2026</v>
      </c>
      <c r="B2" s="277"/>
      <c r="C2" s="277"/>
      <c r="D2" s="277"/>
      <c r="E2" s="277"/>
      <c r="F2" s="277"/>
    </row>
    <row r="3" spans="1:15" ht="15" thickBot="1" x14ac:dyDescent="0.4"/>
    <row r="4" spans="1:15" ht="16" thickBot="1" x14ac:dyDescent="0.4">
      <c r="A4" s="144" t="s">
        <v>8</v>
      </c>
      <c r="B4" s="145" t="s">
        <v>39</v>
      </c>
      <c r="C4" s="145" t="s">
        <v>40</v>
      </c>
      <c r="D4" s="145" t="s">
        <v>12</v>
      </c>
      <c r="E4" s="145" t="s">
        <v>105</v>
      </c>
      <c r="F4" s="146" t="s">
        <v>32</v>
      </c>
      <c r="I4" s="247" t="s">
        <v>144</v>
      </c>
      <c r="L4" s="153"/>
    </row>
    <row r="5" spans="1:15" ht="21" x14ac:dyDescent="0.5">
      <c r="A5" s="47" t="s">
        <v>37</v>
      </c>
      <c r="B5" s="149">
        <f>HojaNICA!D36</f>
        <v>438050</v>
      </c>
      <c r="C5" s="149">
        <f>HojaNICA!D37</f>
        <v>56946.5</v>
      </c>
      <c r="D5" s="149">
        <f>HojaNICA!D38</f>
        <v>178500</v>
      </c>
      <c r="E5" s="149"/>
      <c r="F5" s="150">
        <f>+B5-C5-D5+E5</f>
        <v>202603.5</v>
      </c>
      <c r="H5" s="248" t="s">
        <v>105</v>
      </c>
      <c r="I5" s="242">
        <f ca="1">TODAY()</f>
        <v>46243</v>
      </c>
      <c r="O5" s="119"/>
    </row>
    <row r="6" spans="1:15" ht="15" thickBot="1" x14ac:dyDescent="0.4">
      <c r="A6" s="47" t="s">
        <v>36</v>
      </c>
      <c r="B6" s="149">
        <f>HojaTICA!D36</f>
        <v>662100</v>
      </c>
      <c r="C6" s="149">
        <f>HojaTICA!D37</f>
        <v>86073</v>
      </c>
      <c r="D6" s="149">
        <f>HojaTICA!D38</f>
        <v>442000</v>
      </c>
      <c r="E6" s="149"/>
      <c r="F6" s="150">
        <f t="shared" ref="F6:F11" si="0">+B6-C6-D6+E6</f>
        <v>134027</v>
      </c>
      <c r="H6" s="255">
        <v>0</v>
      </c>
    </row>
    <row r="7" spans="1:15" ht="15" thickBot="1" x14ac:dyDescent="0.4">
      <c r="A7" s="47" t="s">
        <v>38</v>
      </c>
      <c r="B7" s="149">
        <f>HojaREVENTADO!D37</f>
        <v>22700</v>
      </c>
      <c r="C7" s="149">
        <f>HojaREVENTADO!D38</f>
        <v>2270</v>
      </c>
      <c r="D7" s="149">
        <f>HojaREVENTADO!D39</f>
        <v>110000</v>
      </c>
      <c r="E7" s="149"/>
      <c r="F7" s="150">
        <f t="shared" si="0"/>
        <v>-89570</v>
      </c>
    </row>
    <row r="8" spans="1:15" x14ac:dyDescent="0.35">
      <c r="A8" s="47" t="s">
        <v>96</v>
      </c>
      <c r="B8" s="149">
        <f>HojaPrimera!$D36</f>
        <v>103300</v>
      </c>
      <c r="C8" s="149">
        <f>HojaPrimera!$D37</f>
        <v>13429</v>
      </c>
      <c r="D8" s="149">
        <f>HojaPrimera!$D38</f>
        <v>106250</v>
      </c>
      <c r="E8" s="149"/>
      <c r="F8" s="150">
        <f t="shared" si="0"/>
        <v>-16379</v>
      </c>
      <c r="H8" s="248" t="s">
        <v>149</v>
      </c>
    </row>
    <row r="9" spans="1:15" ht="15" thickBot="1" x14ac:dyDescent="0.4">
      <c r="A9" s="47" t="s">
        <v>104</v>
      </c>
      <c r="B9" s="149">
        <f>HojaHonduras!$D36</f>
        <v>35700</v>
      </c>
      <c r="C9" s="149">
        <f>HojaHonduras!$D37</f>
        <v>4641</v>
      </c>
      <c r="D9" s="149">
        <f>HojaHonduras!$D38</f>
        <v>0</v>
      </c>
      <c r="E9" s="149"/>
      <c r="F9" s="150">
        <f t="shared" si="0"/>
        <v>31059</v>
      </c>
      <c r="H9" s="249">
        <f>+K12-K10-H6</f>
        <v>0</v>
      </c>
    </row>
    <row r="10" spans="1:15" ht="15" thickBot="1" x14ac:dyDescent="0.4">
      <c r="A10" s="47" t="s">
        <v>20</v>
      </c>
      <c r="B10" s="149">
        <f>HojaDominicana!$D36</f>
        <v>131000</v>
      </c>
      <c r="C10" s="149">
        <f>HojaDominicana!$D37</f>
        <v>17030</v>
      </c>
      <c r="D10" s="149">
        <f>HojaDominicana!$D38</f>
        <v>63750</v>
      </c>
      <c r="E10" s="149"/>
      <c r="F10" s="150">
        <f t="shared" si="0"/>
        <v>50220</v>
      </c>
      <c r="H10" s="153"/>
      <c r="J10" t="s">
        <v>147</v>
      </c>
      <c r="K10" s="251"/>
    </row>
    <row r="11" spans="1:15" ht="15" thickBot="1" x14ac:dyDescent="0.4">
      <c r="A11" s="47" t="s">
        <v>21</v>
      </c>
      <c r="B11" s="149">
        <f>HojaPANA!$D36</f>
        <v>2000</v>
      </c>
      <c r="C11" s="149">
        <f>HojaPANA!$D37</f>
        <v>280</v>
      </c>
      <c r="D11" s="164">
        <f>HojaPANA!$D38</f>
        <v>0</v>
      </c>
      <c r="E11" s="149"/>
      <c r="F11" s="150">
        <f t="shared" si="0"/>
        <v>1720</v>
      </c>
      <c r="H11" s="213" t="s">
        <v>150</v>
      </c>
      <c r="J11" t="s">
        <v>154</v>
      </c>
      <c r="K11" s="252">
        <f>+K10+F12+H6</f>
        <v>313680.5</v>
      </c>
    </row>
    <row r="12" spans="1:15" ht="16" thickBot="1" x14ac:dyDescent="0.4">
      <c r="A12" s="143" t="s">
        <v>5</v>
      </c>
      <c r="B12" s="151">
        <f>SUM(B5:B11)</f>
        <v>1394850</v>
      </c>
      <c r="C12" s="151">
        <f>SUM(C5:C11)</f>
        <v>180669.5</v>
      </c>
      <c r="D12" s="151">
        <f>SUM(D5:D11)</f>
        <v>900500</v>
      </c>
      <c r="E12" s="151"/>
      <c r="F12" s="254">
        <f>SUM(F5:F11)</f>
        <v>313680.5</v>
      </c>
      <c r="H12" s="250">
        <f>K12</f>
        <v>0</v>
      </c>
      <c r="J12" t="s">
        <v>140</v>
      </c>
      <c r="K12" s="253">
        <v>0</v>
      </c>
    </row>
    <row r="13" spans="1:15" x14ac:dyDescent="0.35">
      <c r="M13" s="153"/>
    </row>
    <row r="14" spans="1:15" x14ac:dyDescent="0.35">
      <c r="M14" s="43"/>
    </row>
    <row r="15" spans="1:15" x14ac:dyDescent="0.35">
      <c r="M15" s="43"/>
    </row>
    <row r="16" spans="1:15" x14ac:dyDescent="0.35">
      <c r="B16" s="153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VENTANA</v>
      </c>
      <c r="C2" s="279"/>
      <c r="D2" s="280"/>
      <c r="J2" s="21" t="s">
        <v>146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87500</v>
      </c>
      <c r="K4" s="230">
        <f t="shared" ref="K4" si="0">D7+D11+D15</f>
        <v>11375</v>
      </c>
      <c r="L4" s="219">
        <f>F7+F11+F15</f>
        <v>89250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IF(DigitaNICA!C4&lt;&gt;"",DigitaNICA!C4,"")</f>
        <v>19300</v>
      </c>
      <c r="D5" s="42">
        <f>IF(C5="",0,C5*J$10)</f>
        <v>2509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16791</v>
      </c>
      <c r="I5" s="240" t="s">
        <v>37</v>
      </c>
      <c r="J5" s="220">
        <f>SUM(IF(C5="",0,C5),IF(C9="",0,C9),IF(C13="",0,C13),IF(C17="",0,C17))</f>
        <v>33050</v>
      </c>
      <c r="K5" s="224">
        <f t="shared" ref="K5" si="2">D5+D9+D13+D17</f>
        <v>4296.5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1700</v>
      </c>
      <c r="K6" s="227">
        <f>D19+D20</f>
        <v>221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IF(DigitaTICA!C4&lt;&gt;"",DigitaTICA!C4,"")</f>
        <v>57500</v>
      </c>
      <c r="D7" s="42">
        <f>IF(C7="",0,C7*J$9)</f>
        <v>7475</v>
      </c>
      <c r="E7" s="29">
        <f>IF(DigitaTICA!D4&lt;&gt;"",DigitaTICA!D4,"")</f>
        <v>350</v>
      </c>
      <c r="F7" s="42">
        <f>IF(E7="",0,E7*PREMIOS!F7)</f>
        <v>29750</v>
      </c>
      <c r="G7" s="30">
        <f t="shared" si="1"/>
        <v>20275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40</v>
      </c>
      <c r="C9" s="29">
        <f>IF(DigitaNICA!E4&lt;&gt;"",DigitaNICA!E4,"")</f>
        <v>13750</v>
      </c>
      <c r="D9" s="42">
        <f>IF(C9="",0,C9*J$10)</f>
        <v>1787.5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11962.5</v>
      </c>
      <c r="I9" s="76" t="s">
        <v>36</v>
      </c>
      <c r="J9" s="77">
        <v>0.13</v>
      </c>
      <c r="K9" s="78">
        <f>MROUND(D7+D11+D15,50)</f>
        <v>11400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4300</v>
      </c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IF(DigitaTICA!E4&lt;&gt;"",DigitaTICA!E4,"")</f>
        <v>30000</v>
      </c>
      <c r="D11" s="42">
        <f>IF(C11="",0,C11*J$9)</f>
        <v>3900</v>
      </c>
      <c r="E11" s="29">
        <f>IF(DigitaTICA!F4&lt;&gt;"",DigitaTICA!F4,"")</f>
        <v>700</v>
      </c>
      <c r="F11" s="42">
        <f>IF(E11="",0,E11*PREMIOS!F11)</f>
        <v>59500</v>
      </c>
      <c r="G11" s="30">
        <f t="shared" si="1"/>
        <v>-33400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IF(DigitaTICA!G4&lt;&gt;"",DigitaTICA!G4,"")</f>
        <v/>
      </c>
      <c r="D15" s="42">
        <f>IF(C15="",0,C15*J$9)</f>
        <v>0</v>
      </c>
      <c r="E15" s="29" t="str">
        <f>IF(DigitaTICA!H4&lt;&gt;"",DigitaTICA!H4,"")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IF(DigitaPRIMERA!C4&lt;&gt;"",DigitaPRIMERA!C4,"")</f>
        <v>700</v>
      </c>
      <c r="D19" s="42">
        <f>IF(C19="",0,C19*J$12)</f>
        <v>91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609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122250</v>
      </c>
      <c r="D21" s="122">
        <f t="shared" ref="D21:G21" si="6">SUM(D5:D20)</f>
        <v>15892.5</v>
      </c>
      <c r="E21" s="122">
        <f t="shared" si="6"/>
        <v>1050</v>
      </c>
      <c r="F21" s="122">
        <f t="shared" si="6"/>
        <v>89250</v>
      </c>
      <c r="G21" s="123">
        <f t="shared" si="6"/>
        <v>17107.5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PUESTO 2</v>
      </c>
      <c r="C2" s="279"/>
      <c r="D2" s="280"/>
      <c r="J2" s="21" t="s">
        <v>145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59000</v>
      </c>
      <c r="K4" s="230">
        <f t="shared" ref="K4" si="0">D7+D11+D15</f>
        <v>7670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IF(DigitaNICA!C5&lt;&gt;"",DigitaNICA!C5,"")</f>
        <v>14600</v>
      </c>
      <c r="D5" s="42">
        <f>IF(C5="",0,C5*J$10)</f>
        <v>1898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12702</v>
      </c>
      <c r="I5" s="240" t="s">
        <v>37</v>
      </c>
      <c r="J5" s="220">
        <f>SUM(IF(C5="",0,C5),IF(C9="",0,C9),IF(C13="",0,C13),IF(C17="",0,C17))</f>
        <v>35300</v>
      </c>
      <c r="K5" s="224">
        <f t="shared" ref="K5" si="2">D5+D9+D13+D17</f>
        <v>4589</v>
      </c>
      <c r="L5" s="221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10700</v>
      </c>
      <c r="K6" s="227">
        <f>D19+D20</f>
        <v>1391</v>
      </c>
      <c r="L6" s="228">
        <f>F19+F20</f>
        <v>80000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IF(DigitaTICA!C5&lt;&gt;"",DigitaTICA!C5,"")</f>
        <v>51400</v>
      </c>
      <c r="D7" s="42">
        <f>IF(C7="",0,C7*J$9)</f>
        <v>6682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44718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40</v>
      </c>
      <c r="C9" s="29">
        <f>IF(DigitaNICA!E5&lt;&gt;"",DigitaNICA!E5,"")</f>
        <v>20700</v>
      </c>
      <c r="D9" s="42">
        <f>IF(C9="",0,C9*J$10)</f>
        <v>2691</v>
      </c>
      <c r="E9" s="29">
        <f>IF(DigitaNICA!F5&lt;&gt;"",DigitaNICA!F5,"")</f>
        <v>500</v>
      </c>
      <c r="F9" s="42">
        <f>IF(E9="",0,E9*PREMIOS!E9)</f>
        <v>40000</v>
      </c>
      <c r="G9" s="30">
        <f t="shared" si="1"/>
        <v>-21991</v>
      </c>
      <c r="I9" s="60" t="s">
        <v>36</v>
      </c>
      <c r="J9" s="61">
        <v>0.13</v>
      </c>
      <c r="K9" s="62">
        <f>MROUND(D7+D11+D15,50)</f>
        <v>7650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4600</v>
      </c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IF(DigitaTICA!E5&lt;&gt;"",DigitaTICA!E5,"")</f>
        <v>7600</v>
      </c>
      <c r="D11" s="42">
        <f>IF(C11="",0,C11*J$9)</f>
        <v>988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6612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1400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IF(DigitaTICA!G5&lt;&gt;"",DigitaTICA!G5,"")</f>
        <v/>
      </c>
      <c r="D15" s="42">
        <f>IF(C15="",0,C15*J$9)</f>
        <v>0</v>
      </c>
      <c r="E15" s="29" t="str">
        <f>IF(DigitaTICA!H5&lt;&gt;"",DigitaTICA!H5,"")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IF(DigitaPRIMERA!C5&lt;&gt;"",DigitaPRIMERA!C5,"")</f>
        <v>10700</v>
      </c>
      <c r="D19" s="42">
        <f>IF(C19="",0,C19*J$12)</f>
        <v>1391</v>
      </c>
      <c r="E19" s="29">
        <f>IF(DigitaPRIMERA!D5&lt;&gt;"",DigitaPRIMERA!D5,"")</f>
        <v>1000</v>
      </c>
      <c r="F19" s="42">
        <f>IF(E19="",0,E19*PREMIOS!E19)</f>
        <v>80000</v>
      </c>
      <c r="G19" s="30">
        <f t="shared" si="3"/>
        <v>-70691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105000</v>
      </c>
      <c r="D21" s="68">
        <f t="shared" ref="D21:G21" si="4">SUM(D5:D20)</f>
        <v>13650</v>
      </c>
      <c r="E21" s="68">
        <f t="shared" si="4"/>
        <v>1500</v>
      </c>
      <c r="F21" s="68">
        <f t="shared" si="4"/>
        <v>120000</v>
      </c>
      <c r="G21" s="88">
        <f t="shared" si="4"/>
        <v>-28650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148</v>
      </c>
      <c r="C2" s="279"/>
      <c r="D2" s="280"/>
      <c r="J2" s="21" t="s">
        <v>148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40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20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Nuevo 2</v>
      </c>
      <c r="C2" s="279"/>
      <c r="D2" s="280"/>
      <c r="J2" s="21" t="s">
        <v>117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40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20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YOYO</v>
      </c>
      <c r="C2" s="282"/>
      <c r="D2" s="283"/>
      <c r="J2" s="21" t="s">
        <v>87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91850</v>
      </c>
      <c r="K4" s="230">
        <f t="shared" ref="K4" si="0">D7+D11+D15</f>
        <v>11022</v>
      </c>
      <c r="L4" s="219">
        <f>F7+F11+F15</f>
        <v>72250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IF(DigitaNICA!C8&lt;&gt;"",DigitaNICA!C8,"")</f>
        <v>34050</v>
      </c>
      <c r="D5" s="42">
        <f>IF(C5="",0,C5*J$12)</f>
        <v>4086</v>
      </c>
      <c r="E5" s="29">
        <f>IF(DigitaNICA!D8&lt;&gt;"",DigitaNICA!D8,"")</f>
        <v>150</v>
      </c>
      <c r="F5" s="42">
        <f>IF(E5="",0,E5*PREMIOS!E5)</f>
        <v>12000</v>
      </c>
      <c r="G5" s="30">
        <f t="shared" ref="G5:G12" si="1">IF(OR(C5="",E5=""),0,C5-D5-F5)</f>
        <v>17964</v>
      </c>
      <c r="I5" s="240" t="s">
        <v>37</v>
      </c>
      <c r="J5" s="220">
        <f>SUM(IF(C5="",0,C5),IF(C9="",0,C9),IF(C13="",0,C13),IF(C17="",0,C17))</f>
        <v>68850</v>
      </c>
      <c r="K5" s="224">
        <f t="shared" ref="K5" si="2">D5+D9+D13+D17</f>
        <v>8262</v>
      </c>
      <c r="L5" s="221">
        <f>F5+F9+F13+F17</f>
        <v>12000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IF(DigitaTICA!C8&lt;&gt;"",DigitaTICA!C8,"")</f>
        <v>50250</v>
      </c>
      <c r="D7" s="42">
        <f>IF(C7="",0,C7*J$11)</f>
        <v>6030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44220</v>
      </c>
      <c r="I7" s="241" t="s">
        <v>96</v>
      </c>
      <c r="J7" s="223">
        <f>SUM(IF(C19="",0,C19),IF(C20="",0,C20))</f>
        <v>29900</v>
      </c>
      <c r="K7" s="227">
        <f>+D19+D20</f>
        <v>3588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>
        <f>IF(DigitaNICA!E8&lt;&gt;"",DigitaNICA!E8,"")</f>
        <v>34800</v>
      </c>
      <c r="D9" s="42">
        <f>IF(C9="",0,C9*J$12)</f>
        <v>4176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30624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IF(DigitaTICA!E8&lt;&gt;"",DigitaTICA!E8,"")</f>
        <v>41600</v>
      </c>
      <c r="D11" s="42">
        <f>IF(C11="",0,C11*J$11)</f>
        <v>4992</v>
      </c>
      <c r="E11" s="29">
        <f>IF(DigitaTICA!F8&lt;&gt;"",DigitaTICA!F8,"")</f>
        <v>850</v>
      </c>
      <c r="F11" s="42">
        <f>IF(E11="",0,E11*PREMIOS!F11)</f>
        <v>72250</v>
      </c>
      <c r="G11" s="30">
        <f t="shared" si="1"/>
        <v>-35642</v>
      </c>
      <c r="I11" s="60" t="s">
        <v>36</v>
      </c>
      <c r="J11" s="61">
        <v>0.12</v>
      </c>
      <c r="K11" s="62">
        <f>MROUND(D7+D11+D15,50)</f>
        <v>11000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8250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3600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IF(DigitaPRIMERA!C8&lt;&gt;"",DigitaPRIMERA!C8,"")</f>
        <v>26500</v>
      </c>
      <c r="D19" s="42">
        <f>IF(C19="",0,C19*J$14)</f>
        <v>3180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23320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>
        <f>IF(DigitaPRIMERA!E8&lt;&gt;"",DigitaPRIMERA!E8,"")</f>
        <v>3400</v>
      </c>
      <c r="D20" s="42">
        <f>IF(C20="",0,C20*J$14)</f>
        <v>408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2992</v>
      </c>
    </row>
    <row r="21" spans="1:7" ht="15" thickBot="1" x14ac:dyDescent="0.4">
      <c r="A21" s="121" t="s">
        <v>5</v>
      </c>
      <c r="B21" s="128"/>
      <c r="C21" s="122">
        <f>SUM(C5:C20)</f>
        <v>190600</v>
      </c>
      <c r="D21" s="122">
        <f t="shared" ref="D21:G21" si="5">SUM(D5:D20)</f>
        <v>22872</v>
      </c>
      <c r="E21" s="122">
        <f t="shared" si="5"/>
        <v>1000</v>
      </c>
      <c r="F21" s="122">
        <f t="shared" si="5"/>
        <v>84250</v>
      </c>
      <c r="G21" s="123">
        <f t="shared" si="5"/>
        <v>83478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Vendedor 06</v>
      </c>
      <c r="C2" s="279"/>
      <c r="D2" s="280"/>
      <c r="J2" s="21" t="s">
        <v>155</v>
      </c>
    </row>
    <row r="3" spans="1:12" ht="15" thickBot="1" x14ac:dyDescent="0.4">
      <c r="I3" s="237"/>
      <c r="J3" s="243" t="s">
        <v>39</v>
      </c>
      <c r="K3" s="244" t="s">
        <v>141</v>
      </c>
      <c r="L3" s="245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20">
        <f>SUM(IF(C7="",0,C7),IF(C11="",0,C11),IF(C15="",0,C15))</f>
        <v>0</v>
      </c>
      <c r="K4" s="224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0" t="s">
        <v>38</v>
      </c>
      <c r="J6" s="220">
        <f>SUM(IF(C8="",0,C8),IF(C12="",0,C12),IF(C16="",0,C16))</f>
        <v>0</v>
      </c>
      <c r="K6" s="224">
        <f>D8+D12+D16</f>
        <v>0</v>
      </c>
      <c r="L6" s="221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20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PIKIS</v>
      </c>
      <c r="C2" s="279"/>
      <c r="D2" s="280"/>
      <c r="J2" s="21" t="s">
        <v>116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231350</v>
      </c>
      <c r="K4" s="230">
        <f t="shared" ref="K4" si="0">D7+D11+D15</f>
        <v>27762</v>
      </c>
      <c r="L4" s="219">
        <f>F7+F11+F15</f>
        <v>161500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IF(DigitaNICA!C10&lt;&gt;"",DigitaNICA!C10,"")</f>
        <v>44850</v>
      </c>
      <c r="D5" s="42">
        <f>IF(C5="",0,C5*J$15)</f>
        <v>5382</v>
      </c>
      <c r="E5" s="29">
        <f>IF(DigitaNICA!D10&lt;&gt;"",DigitaNICA!D10,"")</f>
        <v>600</v>
      </c>
      <c r="F5" s="42">
        <f>IF(E5="",0,E5*PREMIOS!F5)</f>
        <v>51000</v>
      </c>
      <c r="G5" s="30">
        <f t="shared" ref="G5:G12" si="1">IF(OR(C5="",E5=""),0,C5-D5-F5)</f>
        <v>-11532</v>
      </c>
      <c r="I5" s="216" t="s">
        <v>37</v>
      </c>
      <c r="J5" s="220">
        <f>SUM(IF(C5="",0,C5),IF(C9="",0,C9),IF(C13="",0,C13),IF(C17="",0,C17))</f>
        <v>190750</v>
      </c>
      <c r="K5" s="224">
        <f t="shared" ref="K5" si="2">D5+D9+D13+D17</f>
        <v>22890</v>
      </c>
      <c r="L5" s="221">
        <f>F5+F9+F13+F17</f>
        <v>59500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13700</v>
      </c>
      <c r="K6" s="225">
        <f t="shared" ref="K6" si="3">+D8+D12+D16</f>
        <v>1370</v>
      </c>
      <c r="L6" s="226">
        <f>F8+F12+F16</f>
        <v>100000</v>
      </c>
    </row>
    <row r="7" spans="1:12" x14ac:dyDescent="0.35">
      <c r="A7" s="28" t="s">
        <v>46</v>
      </c>
      <c r="B7" s="132">
        <f>IF(DigitaTICA!C2&lt;&gt;"",DigitaTICA!C2,"")</f>
        <v>77</v>
      </c>
      <c r="C7" s="29">
        <f>IF(DigitaTICA!C10&lt;&gt;"",DigitaTICA!C10,"")</f>
        <v>143500</v>
      </c>
      <c r="D7" s="42">
        <f>IF(C7="",0,C7*J$14)</f>
        <v>17220</v>
      </c>
      <c r="E7" s="29">
        <f>IF(DigitaTICA!D10&lt;&gt;"",DigitaTICA!D10,"")</f>
        <v>1200</v>
      </c>
      <c r="F7" s="42">
        <f>IF(E7="",0,E7*PREMIOS!F7)</f>
        <v>102000</v>
      </c>
      <c r="G7" s="30">
        <f t="shared" si="1"/>
        <v>24280</v>
      </c>
      <c r="I7" s="216" t="s">
        <v>96</v>
      </c>
      <c r="J7" s="222">
        <f>SUM(IF(C19="",0,C19),IF(C20="",0,C20))</f>
        <v>29850</v>
      </c>
      <c r="K7" s="225">
        <f>+D19+D20</f>
        <v>3582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5750</v>
      </c>
      <c r="D8" s="42">
        <f>IF(C8="",0,C8*J$16)</f>
        <v>575</v>
      </c>
      <c r="E8" s="29">
        <f>IF(DigitaREVENTADO!D10&lt;&gt;"",DigitaREVENTADO!D10,"")</f>
        <v>500</v>
      </c>
      <c r="F8" s="42">
        <f>IF(E8="",0,E8*PREMIOS!F8)</f>
        <v>100000</v>
      </c>
      <c r="G8" s="30">
        <f t="shared" si="1"/>
        <v>-94825</v>
      </c>
      <c r="I8" s="216" t="s">
        <v>104</v>
      </c>
      <c r="J8" s="222">
        <f>SUM(IF(C21="",0,C21),IF(C22="",0,C22),IF(C23="",0,C23))</f>
        <v>35700</v>
      </c>
      <c r="K8" s="225">
        <f t="shared" ref="K8" si="4">D21+D22+D23</f>
        <v>4284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40</v>
      </c>
      <c r="C9" s="29">
        <f>IF(DigitaNICA!E10&lt;&gt;"",DigitaNICA!E10,"")</f>
        <v>145900</v>
      </c>
      <c r="D9" s="42">
        <f>IF(C9="",0,C9*J$15)</f>
        <v>17508</v>
      </c>
      <c r="E9" s="29">
        <f>IF(DigitaNICA!F10&lt;&gt;"",DigitaNICA!F10,"")</f>
        <v>100</v>
      </c>
      <c r="F9" s="42">
        <f>IF(E9="",0,E9*PREMIOS!F9)</f>
        <v>8500</v>
      </c>
      <c r="G9" s="30">
        <f t="shared" si="1"/>
        <v>119892</v>
      </c>
      <c r="I9" s="216" t="s">
        <v>20</v>
      </c>
      <c r="J9" s="222">
        <f>SUM(IF(C24="",0,C24),IF(C25="",0,C25))</f>
        <v>131000</v>
      </c>
      <c r="K9" s="225">
        <f t="shared" ref="K9" si="5">+D24+D25</f>
        <v>15720</v>
      </c>
      <c r="L9" s="226">
        <f>F24+F25</f>
        <v>63750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2000</v>
      </c>
      <c r="K10" s="227">
        <f>+D26</f>
        <v>240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IF(DigitaTICA!E10&lt;&gt;"",DigitaTICA!E10,"")</f>
        <v>87850</v>
      </c>
      <c r="D11" s="42">
        <f>IF(C11="",0,C11*J$14)</f>
        <v>10542</v>
      </c>
      <c r="E11" s="29">
        <f>IF(DigitaTICA!F10&lt;&gt;"",DigitaTICA!F10,"")</f>
        <v>700</v>
      </c>
      <c r="F11" s="42">
        <f>IF(E11="",0,E11*PREMIOS!F11)</f>
        <v>59500</v>
      </c>
      <c r="G11" s="30">
        <f t="shared" si="1"/>
        <v>17808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7950</v>
      </c>
      <c r="D12" s="42">
        <f>IF(C12="",0,C12*J$16)</f>
        <v>795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7155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8" t="s">
        <v>34</v>
      </c>
      <c r="J13" s="278"/>
      <c r="K13" s="278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27750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IF(DigitaTICA!G10&lt;&gt;"",DigitaTICA!G10,"")</f>
        <v/>
      </c>
      <c r="D15" s="42">
        <f>IF(C15="",0,C15*J$14)</f>
        <v>0</v>
      </c>
      <c r="E15" s="29" t="str">
        <f>IF(DigitaTICA!H10&lt;&gt;"",DigitaTICA!H10,"")</f>
        <v/>
      </c>
      <c r="F15" s="42">
        <f>IF(E15="",0,E15*PREMIOS!F15)</f>
        <v>0</v>
      </c>
      <c r="G15" s="30">
        <f t="shared" si="6"/>
        <v>0</v>
      </c>
      <c r="I15" s="63" t="s">
        <v>37</v>
      </c>
      <c r="J15" s="64">
        <v>0.12</v>
      </c>
      <c r="K15" s="30">
        <f>MROUND(D5+D9+D13+D17,50)</f>
        <v>22900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IF(DigitaREVENTADO!G10&lt;&gt;"",DigitaREVENTADO!G10,"")</f>
        <v/>
      </c>
      <c r="D16" s="42">
        <f>IF(C16="",0,C16*J$16)</f>
        <v>0</v>
      </c>
      <c r="E16" s="29" t="str">
        <f>IF(DigitaREVENTADO!H10&lt;&gt;"",DigitaREVENTADO!H10,"")</f>
        <v/>
      </c>
      <c r="F16" s="42">
        <f>IF(E16="",0,E16*PREMIOS!F16)</f>
        <v>0</v>
      </c>
      <c r="G16" s="30">
        <f t="shared" si="6"/>
        <v>0</v>
      </c>
      <c r="I16" s="63" t="s">
        <v>38</v>
      </c>
      <c r="J16" s="64">
        <v>0.1</v>
      </c>
      <c r="K16" s="30">
        <f>MROUND(D6+D8+D10+D12+D14+D16+D18,50)</f>
        <v>1350</v>
      </c>
    </row>
    <row r="17" spans="1:11" x14ac:dyDescent="0.35">
      <c r="A17" s="28" t="s">
        <v>52</v>
      </c>
      <c r="B17" s="132" t="str">
        <f>IF(DigitaNICA!I2&lt;&gt;"",DigitaNICA!I2,"")</f>
        <v/>
      </c>
      <c r="C17" s="29" t="str">
        <f>IF(DigitaNICA!I10&lt;&gt;"",DigitaNICA!I10,"")</f>
        <v/>
      </c>
      <c r="D17" s="42">
        <f>IF(C17="",0,C17*J$15)</f>
        <v>0</v>
      </c>
      <c r="E17" s="29" t="str">
        <f>IF(DigitaNICA!J10&lt;&gt;"",DigitaNICA!J10,"")</f>
        <v/>
      </c>
      <c r="F17" s="42">
        <f>IF(E17="",0,E17*PREMIOS!F17)</f>
        <v>0</v>
      </c>
      <c r="G17" s="30">
        <f t="shared" si="6"/>
        <v>0</v>
      </c>
      <c r="I17" s="63" t="s">
        <v>96</v>
      </c>
      <c r="J17" s="64">
        <v>0.12</v>
      </c>
      <c r="K17" s="30">
        <f>MROUND(D19+D20,50)</f>
        <v>3600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4300</v>
      </c>
    </row>
    <row r="19" spans="1:11" x14ac:dyDescent="0.35">
      <c r="A19" s="28" t="s">
        <v>97</v>
      </c>
      <c r="B19" s="132">
        <f>IF(DigitaPRIMERA!C2&lt;&gt;"",DigitaPRIMERA!C2,"")</f>
        <v>16</v>
      </c>
      <c r="C19" s="29">
        <f>IF(DigitaPRIMERA!$C$10&lt;&gt;"",DigitaPRIMERA!$C$10,"")</f>
        <v>19100</v>
      </c>
      <c r="D19" s="42">
        <f>IF(C19="",0,C19*J$17)</f>
        <v>2292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16808</v>
      </c>
      <c r="I19" s="63" t="s">
        <v>20</v>
      </c>
      <c r="J19" s="64">
        <v>0.12</v>
      </c>
      <c r="K19" s="30">
        <f>MROUND(D24+D25,50)</f>
        <v>15700</v>
      </c>
    </row>
    <row r="20" spans="1:11" ht="15" thickBot="1" x14ac:dyDescent="0.4">
      <c r="A20" s="28" t="s">
        <v>98</v>
      </c>
      <c r="B20" s="132">
        <f>IF(DigitaPRIMERA!E2&lt;&gt;"",DigitaPRIMERA!E2,"")</f>
        <v>66</v>
      </c>
      <c r="C20" s="29">
        <f>IF(DigitaPRIMERA!$E$10&lt;&gt;"",DigitaPRIMERA!$E$10,"")</f>
        <v>10750</v>
      </c>
      <c r="D20" s="42">
        <f>IF(C20="",0,C20*J$17)</f>
        <v>1290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9460</v>
      </c>
      <c r="I20" s="65" t="s">
        <v>21</v>
      </c>
      <c r="J20" s="66">
        <v>0.12</v>
      </c>
      <c r="K20" s="50">
        <f>MROUND(D26,50)</f>
        <v>250</v>
      </c>
    </row>
    <row r="21" spans="1:11" x14ac:dyDescent="0.35">
      <c r="A21" s="28" t="s">
        <v>99</v>
      </c>
      <c r="B21" s="132">
        <f>IF(DigitaHONDURAS!C2&lt;&gt;"",DigitaHONDURAS!C2,"")</f>
        <v>21</v>
      </c>
      <c r="C21" s="29">
        <f>IF(DigitaHONDURAS!$C$10&lt;&gt;"",DigitaHONDURAS!$C$10,"")</f>
        <v>29500</v>
      </c>
      <c r="D21" s="42">
        <f>IF(C21="",0,C21*J$18)</f>
        <v>3540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25960</v>
      </c>
    </row>
    <row r="22" spans="1:11" x14ac:dyDescent="0.35">
      <c r="A22" s="28" t="s">
        <v>100</v>
      </c>
      <c r="B22" s="132">
        <f>IF(DigitaHONDURAS!E2&lt;&gt;"",DigitaHONDURAS!E2,"")</f>
        <v>55</v>
      </c>
      <c r="C22" s="29">
        <f>IF(DigitaHONDURAS!$E$10&lt;&gt;"",DigitaHONDURAS!$E$10,"")</f>
        <v>6200</v>
      </c>
      <c r="D22" s="42">
        <f>IF(C22="",0,C22*J$18)</f>
        <v>744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5456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IF(DigitaHONDURAS!$G$10&lt;&gt;"",DigitaHONDURAS!$G$10,"")</f>
        <v/>
      </c>
      <c r="D23" s="42">
        <f>IF(C23="",0,C23*J$18)</f>
        <v>0</v>
      </c>
      <c r="E23" s="29" t="str">
        <f>IF(DigitaHONDURAS!$H$10&lt;&gt;"",DigitaHONDURAS!$H$10,"")</f>
        <v/>
      </c>
      <c r="F23" s="42">
        <f>IF(E23="",0,E23*PREMIOS!F20)</f>
        <v>0</v>
      </c>
      <c r="G23" s="30">
        <f t="shared" ref="G23:G26" si="8">IF(OR(C23="",E23=""),0,C23-D23-F23)</f>
        <v>0</v>
      </c>
    </row>
    <row r="24" spans="1:11" x14ac:dyDescent="0.35">
      <c r="A24" s="28" t="s">
        <v>107</v>
      </c>
      <c r="B24" s="132" t="str">
        <f>IF(DigitaDOMINICANA!C2&lt;&gt;"",DigitaDOMINICANA!C2,"")</f>
        <v>03</v>
      </c>
      <c r="C24" s="29">
        <f>IF(DigitaDOMINICANA!$C$10&lt;&gt;"",DigitaDOMINICANA!$C$10,"")</f>
        <v>66500</v>
      </c>
      <c r="D24" s="42">
        <f>IF(C24="",0,C24*J$19)</f>
        <v>7980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58520</v>
      </c>
    </row>
    <row r="25" spans="1:11" x14ac:dyDescent="0.35">
      <c r="A25" s="28" t="s">
        <v>108</v>
      </c>
      <c r="B25" s="132">
        <f>IF(DigitaDOMINICANA!E2&lt;&gt;"",DigitaDOMINICANA!E2,"")</f>
        <v>39</v>
      </c>
      <c r="C25" s="29">
        <f>IF(DigitaDOMINICANA!$E$10&lt;&gt;"",DigitaDOMINICANA!$E$10,"")</f>
        <v>64500</v>
      </c>
      <c r="D25" s="42">
        <f>IF(C25="",0,C25*J$19)</f>
        <v>7740</v>
      </c>
      <c r="E25" s="29">
        <f>IF(DigitaDOMINICANA!$F$10&lt;&gt;"",DigitaDOMINICANA!$F$10,"")</f>
        <v>750</v>
      </c>
      <c r="F25" s="42">
        <f>IF(E25="",0,E25*PREMIOS!F21)</f>
        <v>63750</v>
      </c>
      <c r="G25" s="30">
        <f t="shared" si="8"/>
        <v>-6990</v>
      </c>
    </row>
    <row r="26" spans="1:11" x14ac:dyDescent="0.35">
      <c r="A26" s="28" t="s">
        <v>21</v>
      </c>
      <c r="B26" s="132">
        <f>IF(DigitaPANAMENA!C2&lt;&gt;"",DigitaPANAMENA!C2,"")</f>
        <v>11</v>
      </c>
      <c r="C26" s="29">
        <f>IF(DigitaPANAMENA!$C$10&lt;&gt;"",DigitaPANAMENA!$C$10,"")</f>
        <v>2000</v>
      </c>
      <c r="D26" s="42">
        <f>IF(C26="",0,C26*J$20)</f>
        <v>240</v>
      </c>
      <c r="E26" s="29">
        <f>IF(DigitaPANAMENA!$D$10&lt;&gt;"",DigitaPANAMENA!$D$10,"")</f>
        <v>0</v>
      </c>
      <c r="F26" s="42">
        <f>IF(E26="",0,E26*PREMIOS!F22)</f>
        <v>0</v>
      </c>
      <c r="G26" s="30">
        <f t="shared" si="8"/>
        <v>1760</v>
      </c>
    </row>
    <row r="27" spans="1:11" ht="15" thickBot="1" x14ac:dyDescent="0.4">
      <c r="A27" s="67" t="s">
        <v>5</v>
      </c>
      <c r="B27" s="127"/>
      <c r="C27" s="68">
        <f>SUM(C5:C26)</f>
        <v>634350</v>
      </c>
      <c r="D27" s="68">
        <f t="shared" ref="D27:F27" si="9">SUM(D5:D26)</f>
        <v>75848</v>
      </c>
      <c r="E27" s="68">
        <f t="shared" si="9"/>
        <v>3850</v>
      </c>
      <c r="F27" s="68">
        <f t="shared" si="9"/>
        <v>384750</v>
      </c>
      <c r="G27" s="88">
        <f>SUM(G5:G26)</f>
        <v>173752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ISA</v>
      </c>
      <c r="C2" s="279"/>
      <c r="D2" s="280"/>
      <c r="J2" s="21" t="s">
        <v>93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2500</v>
      </c>
      <c r="K4" s="230">
        <f t="shared" ref="K4" si="0">D7+D11+D15</f>
        <v>300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IF(DigitaTICA!C11&lt;&gt;"",DigitaTICA!C11,"")</f>
        <v>2500</v>
      </c>
      <c r="D7" s="42">
        <f>IF(C7="",0,C7*J$11)</f>
        <v>300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2200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20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2500</v>
      </c>
      <c r="D21" s="122">
        <f t="shared" ref="D21:G21" si="5">SUM(D5:D20)</f>
        <v>300</v>
      </c>
      <c r="E21" s="122">
        <f t="shared" si="5"/>
        <v>0</v>
      </c>
      <c r="F21" s="122">
        <f t="shared" si="5"/>
        <v>0</v>
      </c>
      <c r="G21" s="123">
        <f t="shared" si="5"/>
        <v>2200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JUAN FELIX</v>
      </c>
      <c r="C2" s="279"/>
      <c r="D2" s="280"/>
      <c r="J2" s="21" t="s">
        <v>118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63900</v>
      </c>
      <c r="K4" s="230">
        <f>D7+D11+D15</f>
        <v>7668</v>
      </c>
      <c r="L4" s="219">
        <f>F7+F11+F15</f>
        <v>59500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IF(DigitaNICA!C12&lt;&gt;"",DigitaNICA!C12,"")</f>
        <v>28800</v>
      </c>
      <c r="D5" s="42">
        <f>IF(C5="",0,C5*J$12)</f>
        <v>3456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4094</v>
      </c>
      <c r="I5" s="216" t="s">
        <v>37</v>
      </c>
      <c r="J5" s="220">
        <f>SUM(IF(C5="",0,C5),IF(C9="",0,C9),IF(C13="",0,C13),IF(C17="",0,C17))</f>
        <v>48900</v>
      </c>
      <c r="K5" s="224">
        <f t="shared" ref="K5" si="1">D5+D9+D13+D17</f>
        <v>5868</v>
      </c>
      <c r="L5" s="221">
        <f>F5+F9+F13+F17</f>
        <v>42500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6" t="s">
        <v>38</v>
      </c>
      <c r="J6" s="220">
        <f>SUM(IF(C8="",0,C8),IF(C12="",0,C12),IF(C16="",0,C16))</f>
        <v>3000</v>
      </c>
      <c r="K6" s="225">
        <f t="shared" ref="K6" si="2">+D8+D12+D16</f>
        <v>300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77</v>
      </c>
      <c r="C7" s="29">
        <f>IF(DigitaTICA!C12&lt;&gt;"",DigitaTICA!C12,"")</f>
        <v>41300</v>
      </c>
      <c r="D7" s="42">
        <f>IF(C7="",0,C7*J$11)</f>
        <v>4956</v>
      </c>
      <c r="E7" s="29">
        <f>IF(DigitaTICA!D12&lt;&gt;"",DigitaTICA!D12,"")</f>
        <v>250</v>
      </c>
      <c r="F7" s="42">
        <f>IF(E7="",0,E7*PREMIOS!F7)</f>
        <v>21250</v>
      </c>
      <c r="G7" s="30">
        <f t="shared" si="0"/>
        <v>15094</v>
      </c>
      <c r="I7" s="216" t="s">
        <v>96</v>
      </c>
      <c r="J7" s="222">
        <f>SUM(IF(C19="",0,C19),IF(C20="",0,C20))</f>
        <v>28450</v>
      </c>
      <c r="K7" s="225">
        <f>+D19+D20</f>
        <v>3414</v>
      </c>
      <c r="L7" s="226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3000</v>
      </c>
      <c r="D8" s="42">
        <f>IF(C8="",0,C8*J$13)</f>
        <v>300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2700</v>
      </c>
      <c r="I8" s="217" t="s">
        <v>104</v>
      </c>
      <c r="J8" s="223">
        <f>SUM(IF(C21="",0,C21),IF(C22="",0,C22),IF(C23="",0,C23))</f>
        <v>0</v>
      </c>
      <c r="K8" s="227">
        <f>+D21+D22+D23</f>
        <v>0</v>
      </c>
      <c r="L8" s="228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>
        <f>IF(DigitaNICA!E12&lt;&gt;"",DigitaNICA!E12,"")</f>
        <v>20100</v>
      </c>
      <c r="D9" s="42">
        <f>IF(C9="",0,C9*J$12)</f>
        <v>2412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-3562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IF(DigitaTICA!E12&lt;&gt;"",DigitaTICA!E12,"")</f>
        <v>22600</v>
      </c>
      <c r="D11" s="42">
        <f>IF(C11="",0,C11*J$11)</f>
        <v>2712</v>
      </c>
      <c r="E11" s="29">
        <f>IF(DigitaTICA!F12&lt;&gt;"",DigitaTICA!F12,"")</f>
        <v>450</v>
      </c>
      <c r="F11" s="42">
        <f>IF(E11="",0,E11*PREMIOS!F11)</f>
        <v>38250</v>
      </c>
      <c r="G11" s="30">
        <f t="shared" si="0"/>
        <v>-18362</v>
      </c>
      <c r="I11" s="60" t="s">
        <v>36</v>
      </c>
      <c r="J11" s="61">
        <v>0.12</v>
      </c>
      <c r="K11" s="62">
        <f>MROUND(D7+D11+D15,50)</f>
        <v>7650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5850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3400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IF(DigitaPRIMERA!$C$12&lt;&gt;"",DigitaPRIMERA!$C$12,"")</f>
        <v>28450</v>
      </c>
      <c r="D19" s="42">
        <f>IF(C19="",0,C19*J$14)</f>
        <v>3414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3786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21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55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/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144250</v>
      </c>
      <c r="D24" s="68">
        <f t="shared" ref="D24:G24" si="4">SUM(D5:D23)</f>
        <v>17250</v>
      </c>
      <c r="E24" s="68">
        <f t="shared" si="4"/>
        <v>1450</v>
      </c>
      <c r="F24" s="68">
        <f t="shared" si="4"/>
        <v>123250</v>
      </c>
      <c r="G24" s="88">
        <f t="shared" si="4"/>
        <v>3750</v>
      </c>
    </row>
    <row r="27" spans="1:7" x14ac:dyDescent="0.35">
      <c r="G27" s="21">
        <v>0</v>
      </c>
    </row>
    <row r="28" spans="1:7" x14ac:dyDescent="0.35">
      <c r="G28" s="140">
        <f>+G24+G27</f>
        <v>3750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57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31300</v>
      </c>
      <c r="K4" s="230">
        <f t="shared" ref="K4" si="0">D7+D11+D15</f>
        <v>3756</v>
      </c>
      <c r="L4" s="219">
        <f>F7+F11+F15</f>
        <v>38250</v>
      </c>
    </row>
    <row r="5" spans="1:12" ht="15" thickBot="1" x14ac:dyDescent="0.4">
      <c r="A5" s="28" t="s">
        <v>43</v>
      </c>
      <c r="B5" s="132" t="str">
        <f>IF(DigitaNICA!C2&lt;&gt;"",DigitaNICA!C2,"")</f>
        <v>06</v>
      </c>
      <c r="C5" s="29">
        <f>IF(DigitaNICA!C13&lt;&gt;"",DigitaNICA!C13,"")</f>
        <v>24600</v>
      </c>
      <c r="D5" s="42">
        <f>IF(C5="",0,C5*J$10)</f>
        <v>2952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21648</v>
      </c>
      <c r="I5" s="217" t="s">
        <v>37</v>
      </c>
      <c r="J5" s="231">
        <f>SUM(IF(C5="",0,C5),IF(C9="",0,C9),IF(C13="",0,C13),IF(C17="",0,C17))</f>
        <v>30000</v>
      </c>
      <c r="K5" s="232">
        <f t="shared" ref="K5" si="2">D5+D9+D13+D17</f>
        <v>3600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IF(DigitaTICA!C13&lt;&gt;"",DigitaTICA!C13,"")</f>
        <v>20400</v>
      </c>
      <c r="D7" s="42">
        <f>IF(C7="",0,C7*J$9)</f>
        <v>2448</v>
      </c>
      <c r="E7" s="29">
        <f>IF(DigitaTICA!D13&lt;&gt;"",DigitaTICA!D13,"")</f>
        <v>100</v>
      </c>
      <c r="F7" s="133">
        <f>IF(E7="",0,E7*PREMIOS!F7)</f>
        <v>8500</v>
      </c>
      <c r="G7" s="30">
        <f t="shared" si="1"/>
        <v>9452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40</v>
      </c>
      <c r="C9" s="29">
        <f>IF(DigitaNICA!E13&lt;&gt;"",DigitaNICA!E13,"")</f>
        <v>5400</v>
      </c>
      <c r="D9" s="42">
        <f>IF(C9="",0,C9*J$10)</f>
        <v>648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4752</v>
      </c>
      <c r="I9" s="60" t="s">
        <v>36</v>
      </c>
      <c r="J9" s="61">
        <v>0.12</v>
      </c>
      <c r="K9" s="62">
        <f>MROUND(D7+D11+D15,50)</f>
        <v>3750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3600</v>
      </c>
    </row>
    <row r="11" spans="1:12" ht="15" thickBot="1" x14ac:dyDescent="0.4">
      <c r="A11" s="28" t="s">
        <v>59</v>
      </c>
      <c r="B11" s="132">
        <f>IF(DigitaTICA!E2&lt;&gt;"",DigitaTICA!E2,"")</f>
        <v>20</v>
      </c>
      <c r="C11" s="29">
        <f>IF(DigitaTICA!E13&lt;&gt;"",DigitaTICA!E13,"")</f>
        <v>10900</v>
      </c>
      <c r="D11" s="42">
        <f>IF(C11="",0,C11*J$9)</f>
        <v>1308</v>
      </c>
      <c r="E11" s="29">
        <f>IF(DigitaTICA!F13&lt;&gt;"",DigitaTICA!F13,"")</f>
        <v>350</v>
      </c>
      <c r="F11" s="133">
        <f>IF(E11="",0,E11*PREMIOS!F11)</f>
        <v>29750</v>
      </c>
      <c r="G11" s="30">
        <f t="shared" si="1"/>
        <v>-20158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61300</v>
      </c>
      <c r="D19" s="68">
        <f>MROUND(SUM(D5:D18),50)</f>
        <v>7350</v>
      </c>
      <c r="E19" s="68">
        <f>SUM(E5:E18)</f>
        <v>450</v>
      </c>
      <c r="F19" s="68">
        <f>SUM(F5:F18)</f>
        <v>38250</v>
      </c>
      <c r="G19" s="88">
        <f>SUM(G5:G18)</f>
        <v>15694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54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4">
        <f>SUM(IF(C7="",0,C7),IF(C11="",0,C11),IF(C15="",0,C15))</f>
        <v>43500</v>
      </c>
      <c r="K4" s="235">
        <f t="shared" ref="K4" si="0">D7+D11+D15</f>
        <v>6525</v>
      </c>
      <c r="L4" s="236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>
        <f>IF(DigitaTICA!C14&lt;&gt;"",DigitaTICA!C14,"")</f>
        <v>30300</v>
      </c>
      <c r="D7" s="42">
        <f>IF(C7="",0,C7*J$9)</f>
        <v>4545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25755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40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6550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20</v>
      </c>
      <c r="C11" s="29">
        <f>IF(DigitaTICA!E14&lt;&gt;"",DigitaTICA!E14,"")</f>
        <v>13200</v>
      </c>
      <c r="D11" s="42">
        <f>IF(C11="",0,C11*J$9)</f>
        <v>1980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11220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IF(DigitaTICA!G14&lt;&gt;"",DigitaTICA!G14,"")</f>
        <v/>
      </c>
      <c r="D15" s="42">
        <f>IF(C15="",0,C15*J$9)</f>
        <v>0</v>
      </c>
      <c r="E15" s="29" t="str">
        <f>IF(DigitaTICA!H14&lt;&gt;"",DigitaTICA!H14,"")</f>
        <v/>
      </c>
      <c r="F15" s="42">
        <f>IF(E15="",0,E15*PREMIOS!E15)</f>
        <v>0</v>
      </c>
      <c r="G15" s="30">
        <f t="shared" si="2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43500</v>
      </c>
      <c r="D19" s="68">
        <f>MROUND(SUM(D5:D18),50)</f>
        <v>6550</v>
      </c>
      <c r="E19" s="68">
        <f>SUM(E5:E18)</f>
        <v>0</v>
      </c>
      <c r="F19" s="68">
        <f>SUM(F5:F18)</f>
        <v>0</v>
      </c>
      <c r="G19" s="88">
        <f>SUM(G5:G18)</f>
        <v>36975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55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7" t="s">
        <v>37</v>
      </c>
      <c r="J5" s="231">
        <f>SUM(IF(C5="",0,C5),IF(C9="",0,C9),IF(C13="",0,C13),IF(C17="",0,C17))</f>
        <v>0</v>
      </c>
      <c r="K5" s="232">
        <f t="shared" ref="K5" si="2">D5+D9+D13+D17</f>
        <v>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40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20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MINERO</v>
      </c>
      <c r="C2" s="279"/>
      <c r="D2" s="280"/>
      <c r="J2" s="21" t="s">
        <v>142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0">
        <f>SUM(IF(C7="",0,C7),IF(C11="",0,C11),IF(C15="",0,C15))</f>
        <v>51200</v>
      </c>
      <c r="K4" s="230">
        <f>D7+D11+D15</f>
        <v>6144</v>
      </c>
      <c r="L4" s="219">
        <f>F7+F11+F15</f>
        <v>21250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29">
        <f>IF(DigitaNICA!C16&lt;&gt;"",DigitaNICA!C16,"")</f>
        <v>10700</v>
      </c>
      <c r="D5" s="42">
        <f>IF(C5="",0,C5*J$12)</f>
        <v>1284</v>
      </c>
      <c r="E5" s="29">
        <f>IF(DigitaNICA!D16&lt;&gt;"",DigitaNICA!D16,"")</f>
        <v>250</v>
      </c>
      <c r="F5" s="42">
        <f>IF(E5="",0,E5*PREMIOS!E5)</f>
        <v>20000</v>
      </c>
      <c r="G5" s="30">
        <f t="shared" ref="G5:G12" si="0">IF(OR(C5="",E5=""),0,C5-D5-F5)</f>
        <v>-10584</v>
      </c>
      <c r="I5" s="63" t="s">
        <v>37</v>
      </c>
      <c r="J5" s="224">
        <f>SUM(IF(C5="",0,C5),IF(C9="",0,C9),IF(C13="",0,C13),IF(C17="",0,C17))</f>
        <v>31200</v>
      </c>
      <c r="K5" s="224">
        <f t="shared" ref="K5" si="1">D5+D9+D13+D17</f>
        <v>3744</v>
      </c>
      <c r="L5" s="221">
        <f>F5+F9+F13+F17</f>
        <v>20000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5">
        <f>SUM(IF(C8="",0,C8),IF(C12="",0,C12),IF(C16="",0,C16))</f>
        <v>6000</v>
      </c>
      <c r="K6" s="225">
        <f t="shared" ref="K6" si="2">+D8+D12+D16</f>
        <v>600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77</v>
      </c>
      <c r="C7" s="29">
        <f>IF(DigitaTICA!C16&lt;&gt;"",DigitaTICA!C16,"")</f>
        <v>31050</v>
      </c>
      <c r="D7" s="42">
        <f>IF(C7="",0,C7*J$11)</f>
        <v>3726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27324</v>
      </c>
      <c r="I7" s="63" t="s">
        <v>96</v>
      </c>
      <c r="J7" s="225">
        <f>SUM(IF(C19="",0,C19),IF(C20="",0,C20))</f>
        <v>2700</v>
      </c>
      <c r="K7" s="225">
        <f>+D19+D20</f>
        <v>324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2000</v>
      </c>
      <c r="D8" s="42">
        <f>IF(C8="",0,C8*J$13)</f>
        <v>200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1800</v>
      </c>
      <c r="I8" s="65" t="s">
        <v>104</v>
      </c>
      <c r="J8" s="227">
        <f>SUM(IF(C21="",0,C21),IF(C22="",0,C22),IF(C23="",0,C23))</f>
        <v>0</v>
      </c>
      <c r="K8" s="227">
        <f>D21+D22+D23</f>
        <v>0</v>
      </c>
      <c r="L8" s="228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40</v>
      </c>
      <c r="C9" s="29">
        <f>IF(DigitaNICA!E16&lt;&gt;"",DigitaNICA!E16,"")</f>
        <v>20500</v>
      </c>
      <c r="D9" s="42">
        <f>IF(C9="",0,C9*J$12)</f>
        <v>2460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18040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20</v>
      </c>
      <c r="C11" s="29">
        <f>IF(DigitaTICA!E16&lt;&gt;"",DigitaTICA!E16,"")</f>
        <v>20150</v>
      </c>
      <c r="D11" s="42">
        <f>IF(C11="",0,C11*J$11)</f>
        <v>2418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-3518</v>
      </c>
      <c r="I11" s="76" t="s">
        <v>36</v>
      </c>
      <c r="J11" s="77">
        <v>0.12</v>
      </c>
      <c r="K11" s="78">
        <f>MROUND(D7+D11+D15,50)</f>
        <v>6150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4000</v>
      </c>
      <c r="D12" s="42">
        <f>IF(C12="",0,C12*J$13)</f>
        <v>400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3600</v>
      </c>
      <c r="I12" s="63" t="s">
        <v>37</v>
      </c>
      <c r="J12" s="64">
        <v>0.12</v>
      </c>
      <c r="K12" s="30">
        <f>MROUND(D5+D9+D13+D17,50)</f>
        <v>3750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600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300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IF(DigitaTICA!G16&lt;&gt;"",DigitaTICA!G16,"")</f>
        <v/>
      </c>
      <c r="D15" s="42">
        <f>IF(C15="",0,C15*J$11)</f>
        <v>0</v>
      </c>
      <c r="E15" s="29" t="str">
        <f>IF(DigitaTICA!H16&lt;&gt;"",DigitaTICA!H16,"")</f>
        <v/>
      </c>
      <c r="F15" s="133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16</v>
      </c>
      <c r="C19" s="29">
        <f>IF(DigitaPRIMERA!C16&lt;&gt;"",DigitaPRIMERA!C16,"")</f>
        <v>2700</v>
      </c>
      <c r="D19" s="42">
        <f>IF(C19="",0,C19*J$14)</f>
        <v>324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2376</v>
      </c>
    </row>
    <row r="20" spans="1:7" x14ac:dyDescent="0.35">
      <c r="A20" s="28" t="s">
        <v>98</v>
      </c>
      <c r="B20" s="132">
        <f>IF(DigitaPRIMERA!E2&lt;&gt;"",DigitaPRIMERA!E2,"")</f>
        <v>66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21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55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/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91100</v>
      </c>
      <c r="D24" s="122">
        <f t="shared" ref="D24:G24" si="5">SUM(D5:D23)</f>
        <v>10812</v>
      </c>
      <c r="E24" s="122">
        <f t="shared" si="5"/>
        <v>500</v>
      </c>
      <c r="F24" s="122">
        <f t="shared" si="5"/>
        <v>41250</v>
      </c>
      <c r="G24" s="123">
        <f t="shared" si="5"/>
        <v>39038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91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06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77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40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20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8" t="s">
        <v>34</v>
      </c>
      <c r="J14" s="278"/>
      <c r="K14" s="278"/>
    </row>
    <row r="15" spans="1:12" x14ac:dyDescent="0.35">
      <c r="A15" s="28" t="s">
        <v>61</v>
      </c>
      <c r="B15" s="132" t="str">
        <f>IF(DigitaTICA!G2&lt;&gt;"",DigitaTICA!G2,"")</f>
        <v/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 t="str">
        <f>IF(DigitaNICA!I2&lt;&gt;"",DigitaNICA!I2,"")</f>
        <v/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16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66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21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55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11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92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>06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77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40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20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4" t="s">
        <v>34</v>
      </c>
      <c r="J14" s="285"/>
      <c r="K14" s="286"/>
    </row>
    <row r="15" spans="1:12" x14ac:dyDescent="0.35">
      <c r="A15" s="28" t="str">
        <f>+Vendedor1!A15</f>
        <v>Tica 7:30pm</v>
      </c>
      <c r="B15" s="132" t="str">
        <f>IF(DigitaTICA!G2&lt;&gt;"",DigitaTICA!G2,"")</f>
        <v/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 t="str">
        <f>IF(DigitaNICA!I2&lt;&gt;"",DigitaNICA!I2,"")</f>
        <v/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16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66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21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55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11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88</v>
      </c>
      <c r="D2" s="280"/>
      <c r="E2" s="280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>06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77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tr">
        <f>+Vendedor1!A9</f>
        <v>Nica 3pm</v>
      </c>
      <c r="B9" s="132">
        <f>IF(DigitaNICA!E2&lt;&gt;"",DigitaNICA!E2,"")</f>
        <v>40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/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 t="str">
        <f>IF(DigitaNICA!I2&lt;&gt;"",DigitaNICA!I2,"")</f>
        <v/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85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4"/>
  </cols>
  <sheetData>
    <row r="1" spans="1:11" ht="15" thickBot="1" x14ac:dyDescent="0.4"/>
    <row r="2" spans="1:11" ht="15" thickBot="1" x14ac:dyDescent="0.4">
      <c r="A2" s="51" t="s">
        <v>35</v>
      </c>
      <c r="B2" s="124"/>
      <c r="C2" s="280" t="s">
        <v>84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83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82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40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67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70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81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8" t="s">
        <v>34</v>
      </c>
      <c r="J8" s="278"/>
      <c r="K8" s="278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106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64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69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58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>
        <f>IF(PREMIOS!$B7="","",PREMIOS!$B7)</f>
        <v>77</v>
      </c>
      <c r="D2" s="267"/>
      <c r="E2" s="266">
        <f>IF(PREMIOS!$B11="","",PREMIOS!$B11)</f>
        <v>20</v>
      </c>
      <c r="F2" s="267"/>
      <c r="G2" s="266" t="str">
        <f>IF(PREMIOS!$B15="","",PREMIOS!$B15)</f>
        <v/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110" t="s">
        <v>28</v>
      </c>
      <c r="K3" s="110" t="s">
        <v>75</v>
      </c>
    </row>
    <row r="4" spans="1:11" x14ac:dyDescent="0.35">
      <c r="A4" s="186">
        <v>1</v>
      </c>
      <c r="B4" s="187" t="str">
        <f>Vendedor1!$B$2</f>
        <v>VENTANA</v>
      </c>
      <c r="C4" s="188">
        <v>57500</v>
      </c>
      <c r="D4" s="78">
        <v>350</v>
      </c>
      <c r="E4" s="188">
        <v>30000</v>
      </c>
      <c r="F4" s="78">
        <v>700</v>
      </c>
      <c r="G4" s="188"/>
      <c r="H4" s="78" t="str">
        <f t="shared" ref="D4:H27" si="0">IF(G4="","",0)</f>
        <v/>
      </c>
      <c r="J4" s="42">
        <f t="shared" ref="J4:J8" si="1">+C4+E4+G4</f>
        <v>87500</v>
      </c>
      <c r="K4" s="42">
        <f>IF(D4="",0,IF(F4="",D4,IF(H4="",D4+F4,D4+F4+H4)))</f>
        <v>1050</v>
      </c>
    </row>
    <row r="5" spans="1:11" x14ac:dyDescent="0.35">
      <c r="A5" s="47">
        <v>2</v>
      </c>
      <c r="B5" s="177" t="str">
        <f>Vendedor2!$B$2</f>
        <v>PUESTO 2</v>
      </c>
      <c r="C5" s="179">
        <v>51400</v>
      </c>
      <c r="D5" s="30">
        <f t="shared" si="0"/>
        <v>0</v>
      </c>
      <c r="E5" s="179">
        <v>7600</v>
      </c>
      <c r="F5" s="30">
        <f t="shared" si="0"/>
        <v>0</v>
      </c>
      <c r="G5" s="179"/>
      <c r="H5" s="30" t="str">
        <f t="shared" si="0"/>
        <v/>
      </c>
      <c r="J5" s="42">
        <f t="shared" si="1"/>
        <v>59000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0"/>
        <v/>
      </c>
      <c r="G6" s="179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179"/>
      <c r="F7" s="30" t="str">
        <f t="shared" si="0"/>
        <v/>
      </c>
      <c r="G7" s="179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7" t="str">
        <f>Vendedor5!$B$2</f>
        <v>YOYO</v>
      </c>
      <c r="C8" s="179">
        <v>50250</v>
      </c>
      <c r="D8" s="30">
        <f t="shared" si="0"/>
        <v>0</v>
      </c>
      <c r="E8" s="179">
        <v>41600</v>
      </c>
      <c r="F8" s="30">
        <v>850</v>
      </c>
      <c r="G8" s="179"/>
      <c r="H8" s="30" t="str">
        <f t="shared" si="0"/>
        <v/>
      </c>
      <c r="J8" s="42">
        <f t="shared" si="1"/>
        <v>91850</v>
      </c>
      <c r="K8" s="42">
        <f t="shared" si="2"/>
        <v>850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179"/>
      <c r="F9" s="30" t="str">
        <f t="shared" si="0"/>
        <v/>
      </c>
      <c r="G9" s="179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13900+129600</f>
        <v>143500</v>
      </c>
      <c r="D10" s="30">
        <v>1200</v>
      </c>
      <c r="E10" s="179">
        <f>3500+84350</f>
        <v>87850</v>
      </c>
      <c r="F10" s="30">
        <v>700</v>
      </c>
      <c r="G10" s="179"/>
      <c r="H10" s="30" t="str">
        <f t="shared" si="0"/>
        <v/>
      </c>
      <c r="J10" s="42">
        <f t="shared" si="3"/>
        <v>231350</v>
      </c>
      <c r="K10" s="42">
        <f t="shared" si="2"/>
        <v>1900</v>
      </c>
    </row>
    <row r="11" spans="1:11" x14ac:dyDescent="0.35">
      <c r="A11" s="47">
        <v>8</v>
      </c>
      <c r="B11" s="177" t="str">
        <f>Vendedor8!$B$2</f>
        <v>ISA</v>
      </c>
      <c r="C11" s="179">
        <f>1000+1500</f>
        <v>2500</v>
      </c>
      <c r="D11" s="30">
        <f t="shared" si="0"/>
        <v>0</v>
      </c>
      <c r="E11" s="179"/>
      <c r="F11" s="30" t="str">
        <f t="shared" si="0"/>
        <v/>
      </c>
      <c r="G11" s="179"/>
      <c r="H11" s="30" t="str">
        <f t="shared" si="0"/>
        <v/>
      </c>
      <c r="J11" s="42">
        <f t="shared" si="3"/>
        <v>2500</v>
      </c>
      <c r="K11" s="42">
        <f t="shared" si="2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41300</v>
      </c>
      <c r="D12" s="30">
        <v>250</v>
      </c>
      <c r="E12" s="179">
        <v>22600</v>
      </c>
      <c r="F12" s="30">
        <v>450</v>
      </c>
      <c r="G12" s="179"/>
      <c r="H12" s="30" t="str">
        <f t="shared" si="0"/>
        <v/>
      </c>
      <c r="J12" s="42">
        <f t="shared" si="3"/>
        <v>63900</v>
      </c>
      <c r="K12" s="42">
        <f t="shared" si="2"/>
        <v>700</v>
      </c>
    </row>
    <row r="13" spans="1:11" x14ac:dyDescent="0.35">
      <c r="A13" s="47">
        <v>10</v>
      </c>
      <c r="B13" s="177" t="str">
        <f>Vendedor10!$B$2</f>
        <v>MARIALIZ</v>
      </c>
      <c r="C13" s="179">
        <v>20400</v>
      </c>
      <c r="D13" s="30">
        <v>100</v>
      </c>
      <c r="E13" s="179">
        <v>10900</v>
      </c>
      <c r="F13" s="30">
        <v>350</v>
      </c>
      <c r="G13" s="179"/>
      <c r="H13" s="30" t="str">
        <f t="shared" si="0"/>
        <v/>
      </c>
      <c r="J13" s="42">
        <f t="shared" si="3"/>
        <v>31300</v>
      </c>
      <c r="K13" s="42">
        <f t="shared" si="2"/>
        <v>450</v>
      </c>
    </row>
    <row r="14" spans="1:11" x14ac:dyDescent="0.35">
      <c r="A14" s="47">
        <v>11</v>
      </c>
      <c r="B14" s="177" t="str">
        <f>Vendedor11!$B$2</f>
        <v>CHARLY</v>
      </c>
      <c r="C14" s="179">
        <v>30300</v>
      </c>
      <c r="D14" s="30">
        <f t="shared" si="0"/>
        <v>0</v>
      </c>
      <c r="E14" s="179">
        <v>13200</v>
      </c>
      <c r="F14" s="30">
        <f t="shared" si="0"/>
        <v>0</v>
      </c>
      <c r="G14" s="179"/>
      <c r="H14" s="30" t="str">
        <f t="shared" si="0"/>
        <v/>
      </c>
      <c r="J14" s="42">
        <f t="shared" si="3"/>
        <v>43500</v>
      </c>
      <c r="K14" s="42">
        <f t="shared" si="2"/>
        <v>0</v>
      </c>
    </row>
    <row r="15" spans="1:11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179"/>
      <c r="F15" s="30" t="str">
        <f t="shared" si="0"/>
        <v/>
      </c>
      <c r="G15" s="179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7" t="str">
        <f>Vendedor13!$B$2</f>
        <v>MINERO</v>
      </c>
      <c r="C16" s="179">
        <v>31050</v>
      </c>
      <c r="D16" s="30">
        <f t="shared" si="0"/>
        <v>0</v>
      </c>
      <c r="E16" s="179">
        <v>20150</v>
      </c>
      <c r="F16" s="30">
        <v>250</v>
      </c>
      <c r="G16" s="179"/>
      <c r="H16" s="30" t="str">
        <f t="shared" si="0"/>
        <v/>
      </c>
      <c r="J16" s="42">
        <f t="shared" si="3"/>
        <v>51200</v>
      </c>
      <c r="K16" s="42">
        <f t="shared" si="2"/>
        <v>250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0"/>
        <v/>
      </c>
      <c r="G19" s="179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0"/>
        <v/>
      </c>
      <c r="G20" s="179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0"/>
        <v/>
      </c>
      <c r="G21" s="179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0"/>
        <v/>
      </c>
      <c r="G22" s="179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0"/>
        <v/>
      </c>
      <c r="G23" s="179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0"/>
        <v/>
      </c>
      <c r="G24" s="179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0"/>
        <v/>
      </c>
      <c r="G25" s="179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0"/>
        <v/>
      </c>
      <c r="G26" s="179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0"/>
        <v/>
      </c>
      <c r="G27" s="180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428200</v>
      </c>
      <c r="D32" s="44">
        <f t="shared" si="6"/>
        <v>1900</v>
      </c>
      <c r="E32" s="43">
        <f t="shared" si="6"/>
        <v>233900</v>
      </c>
      <c r="F32" s="44">
        <f t="shared" si="6"/>
        <v>3300</v>
      </c>
      <c r="G32" s="43">
        <f t="shared" si="6"/>
        <v>0</v>
      </c>
      <c r="H32" s="44">
        <f t="shared" si="6"/>
        <v>0</v>
      </c>
      <c r="J32" s="95">
        <f>SUM(J4:J31)</f>
        <v>662100</v>
      </c>
      <c r="K32" s="95"/>
    </row>
    <row r="33" spans="2:8" x14ac:dyDescent="0.35">
      <c r="D33" s="99">
        <f>+D32*85</f>
        <v>161500</v>
      </c>
      <c r="F33" s="99">
        <f>+F32*85</f>
        <v>280500</v>
      </c>
      <c r="H33" s="99">
        <f>+H32*85</f>
        <v>0</v>
      </c>
    </row>
    <row r="34" spans="2:8" x14ac:dyDescent="0.35">
      <c r="B34" s="246"/>
      <c r="C34" s="43"/>
      <c r="D34" s="43"/>
      <c r="E34" s="43"/>
      <c r="F34" s="43"/>
      <c r="G34" s="43"/>
      <c r="H34" s="43"/>
    </row>
    <row r="35" spans="2:8" x14ac:dyDescent="0.35">
      <c r="B35" s="246"/>
      <c r="C35" s="43"/>
      <c r="D35" s="43"/>
      <c r="E35" s="43"/>
      <c r="F35" s="43"/>
      <c r="G35" s="43"/>
      <c r="H35" s="43"/>
    </row>
    <row r="36" spans="2:8" x14ac:dyDescent="0.35">
      <c r="B36" s="246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3" sqref="I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3" ht="21" customHeight="1" x14ac:dyDescent="0.35">
      <c r="C2" s="266" t="str">
        <f>IF(PREMIOS!$B5="","",PREMIOS!$B5)</f>
        <v>06</v>
      </c>
      <c r="D2" s="267"/>
      <c r="E2" s="266">
        <f>IF(PREMIOS!$B9="","",PREMIOS!$B9)</f>
        <v>40</v>
      </c>
      <c r="F2" s="267"/>
      <c r="G2" s="266" t="str">
        <f>IF(PREMIOS!$B13="","",PREMIOS!$B13)</f>
        <v/>
      </c>
      <c r="H2" s="267"/>
      <c r="I2" s="266" t="str">
        <f>IF(PREMIOS!$B17="","",PREMIOS!$B17)</f>
        <v/>
      </c>
      <c r="J2" s="267"/>
    </row>
    <row r="3" spans="1:13" ht="21" customHeight="1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30</v>
      </c>
    </row>
    <row r="4" spans="1:13" x14ac:dyDescent="0.35">
      <c r="A4" s="186">
        <v>1</v>
      </c>
      <c r="B4" s="187" t="str">
        <f>Vendedor1!$B$2</f>
        <v>VENTANA</v>
      </c>
      <c r="C4" s="188">
        <v>19300</v>
      </c>
      <c r="D4" s="78">
        <f t="shared" ref="D4:J27" si="0">IF(C4="","",0)</f>
        <v>0</v>
      </c>
      <c r="E4" s="205">
        <v>13750</v>
      </c>
      <c r="F4" s="78">
        <f t="shared" si="0"/>
        <v>0</v>
      </c>
      <c r="G4" s="188"/>
      <c r="H4" s="78" t="str">
        <f t="shared" ref="H4:H27" si="1">IF(G4="","",0)</f>
        <v/>
      </c>
      <c r="I4" s="188"/>
      <c r="J4" s="78" t="str">
        <f t="shared" si="0"/>
        <v/>
      </c>
      <c r="L4" s="42">
        <f t="shared" ref="L4:L8" si="2">+C4+E4+G4+I4</f>
        <v>33050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7" t="str">
        <f>Vendedor2!$B$2</f>
        <v>PUESTO 2</v>
      </c>
      <c r="C5" s="179">
        <v>14600</v>
      </c>
      <c r="D5" s="30">
        <f t="shared" si="0"/>
        <v>0</v>
      </c>
      <c r="E5" s="206">
        <v>20700</v>
      </c>
      <c r="F5" s="30">
        <v>500</v>
      </c>
      <c r="G5" s="179"/>
      <c r="H5" s="30" t="str">
        <f t="shared" si="1"/>
        <v/>
      </c>
      <c r="I5" s="179"/>
      <c r="J5" s="30" t="str">
        <f t="shared" ref="J5:J27" si="3">IF(I5="","",0)</f>
        <v/>
      </c>
      <c r="L5" s="42">
        <f t="shared" si="2"/>
        <v>35300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206"/>
      <c r="F6" s="30" t="str">
        <f t="shared" si="0"/>
        <v/>
      </c>
      <c r="G6" s="179"/>
      <c r="H6" s="30" t="str">
        <f t="shared" si="1"/>
        <v/>
      </c>
      <c r="I6" s="179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206"/>
      <c r="F7" s="30" t="str">
        <f t="shared" si="0"/>
        <v/>
      </c>
      <c r="G7" s="179"/>
      <c r="H7" s="30" t="str">
        <f t="shared" si="1"/>
        <v/>
      </c>
      <c r="I7" s="179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7" t="str">
        <f>Vendedor5!$B$2</f>
        <v>YOYO</v>
      </c>
      <c r="C8" s="179">
        <v>34050</v>
      </c>
      <c r="D8" s="30">
        <v>150</v>
      </c>
      <c r="E8" s="206">
        <v>34800</v>
      </c>
      <c r="F8" s="30">
        <f t="shared" si="0"/>
        <v>0</v>
      </c>
      <c r="G8" s="179"/>
      <c r="H8" s="30" t="str">
        <f t="shared" si="1"/>
        <v/>
      </c>
      <c r="I8" s="179"/>
      <c r="J8" s="30" t="str">
        <f t="shared" si="0"/>
        <v/>
      </c>
      <c r="L8" s="42">
        <f t="shared" si="2"/>
        <v>68850</v>
      </c>
      <c r="M8" s="42">
        <f t="shared" si="4"/>
        <v>150</v>
      </c>
    </row>
    <row r="9" spans="1:13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206"/>
      <c r="F9" s="30" t="str">
        <f t="shared" si="0"/>
        <v/>
      </c>
      <c r="G9" s="179"/>
      <c r="H9" s="30" t="str">
        <f t="shared" si="1"/>
        <v/>
      </c>
      <c r="I9" s="179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7" t="str">
        <f>Vendedor7!$B$2</f>
        <v>PIKIS</v>
      </c>
      <c r="C10" s="179">
        <f>10200+34650</f>
        <v>44850</v>
      </c>
      <c r="D10" s="30">
        <v>600</v>
      </c>
      <c r="E10" s="206">
        <f>100700+45200</f>
        <v>145900</v>
      </c>
      <c r="F10" s="30">
        <v>100</v>
      </c>
      <c r="G10" s="179"/>
      <c r="H10" s="30" t="str">
        <f t="shared" si="0"/>
        <v/>
      </c>
      <c r="I10" s="179"/>
      <c r="J10" s="30" t="str">
        <f t="shared" si="0"/>
        <v/>
      </c>
      <c r="L10" s="42">
        <f t="shared" si="5"/>
        <v>190750</v>
      </c>
      <c r="M10" s="42">
        <f t="shared" si="4"/>
        <v>700</v>
      </c>
    </row>
    <row r="11" spans="1:13" x14ac:dyDescent="0.35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206"/>
      <c r="F11" s="30" t="str">
        <f t="shared" si="0"/>
        <v/>
      </c>
      <c r="G11" s="179"/>
      <c r="H11" s="30" t="str">
        <f t="shared" si="0"/>
        <v/>
      </c>
      <c r="I11" s="179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7" t="str">
        <f>Vendedor9!$B$2</f>
        <v>JUAN FELIX</v>
      </c>
      <c r="C12" s="179">
        <v>28800</v>
      </c>
      <c r="D12" s="30">
        <v>250</v>
      </c>
      <c r="E12" s="206">
        <v>20100</v>
      </c>
      <c r="F12" s="30">
        <v>250</v>
      </c>
      <c r="G12" s="179"/>
      <c r="H12" s="30" t="str">
        <f t="shared" si="0"/>
        <v/>
      </c>
      <c r="I12" s="179"/>
      <c r="J12" s="30" t="str">
        <f t="shared" si="0"/>
        <v/>
      </c>
      <c r="L12" s="42">
        <f t="shared" si="5"/>
        <v>48900</v>
      </c>
      <c r="M12" s="42">
        <f t="shared" si="4"/>
        <v>500</v>
      </c>
    </row>
    <row r="13" spans="1:13" x14ac:dyDescent="0.35">
      <c r="A13" s="47">
        <v>10</v>
      </c>
      <c r="B13" s="177" t="str">
        <f>Vendedor10!$B$2</f>
        <v>MARIALIZ</v>
      </c>
      <c r="C13" s="179">
        <v>24600</v>
      </c>
      <c r="D13" s="30">
        <f t="shared" si="0"/>
        <v>0</v>
      </c>
      <c r="E13" s="206">
        <v>5400</v>
      </c>
      <c r="F13" s="30">
        <f t="shared" si="0"/>
        <v>0</v>
      </c>
      <c r="G13" s="179"/>
      <c r="H13" s="30" t="str">
        <f t="shared" si="0"/>
        <v/>
      </c>
      <c r="I13" s="179"/>
      <c r="J13" s="30" t="str">
        <f t="shared" si="0"/>
        <v/>
      </c>
      <c r="L13" s="42">
        <f t="shared" si="5"/>
        <v>30000</v>
      </c>
      <c r="M13" s="42">
        <f t="shared" si="4"/>
        <v>0</v>
      </c>
    </row>
    <row r="14" spans="1:13" x14ac:dyDescent="0.35">
      <c r="A14" s="189">
        <v>11</v>
      </c>
      <c r="B14" s="182" t="str">
        <f>Vendedor11!$B$2</f>
        <v>CHARLY</v>
      </c>
      <c r="C14" s="183"/>
      <c r="D14" s="184" t="str">
        <f t="shared" si="0"/>
        <v/>
      </c>
      <c r="E14" s="207"/>
      <c r="F14" s="184" t="str">
        <f t="shared" si="0"/>
        <v/>
      </c>
      <c r="G14" s="183"/>
      <c r="H14" s="184" t="str">
        <f t="shared" si="0"/>
        <v/>
      </c>
      <c r="I14" s="183"/>
      <c r="J14" s="184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206"/>
      <c r="F15" s="30" t="str">
        <f t="shared" si="0"/>
        <v/>
      </c>
      <c r="G15" s="179"/>
      <c r="H15" s="30" t="str">
        <f t="shared" si="0"/>
        <v/>
      </c>
      <c r="I15" s="179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7" t="str">
        <f>Vendedor13!$B$2</f>
        <v>MINERO</v>
      </c>
      <c r="C16" s="179">
        <v>10700</v>
      </c>
      <c r="D16" s="30">
        <v>250</v>
      </c>
      <c r="E16" s="206">
        <v>20500</v>
      </c>
      <c r="F16" s="30">
        <f t="shared" si="0"/>
        <v>0</v>
      </c>
      <c r="G16" s="179"/>
      <c r="H16" s="30" t="str">
        <f t="shared" si="0"/>
        <v/>
      </c>
      <c r="I16" s="179"/>
      <c r="J16" s="30" t="str">
        <f t="shared" si="0"/>
        <v/>
      </c>
      <c r="L16" s="42">
        <f t="shared" si="5"/>
        <v>31200</v>
      </c>
      <c r="M16" s="42">
        <f t="shared" si="4"/>
        <v>250</v>
      </c>
    </row>
    <row r="17" spans="1:13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206"/>
      <c r="F17" s="30" t="str">
        <f t="shared" si="0"/>
        <v/>
      </c>
      <c r="G17" s="179"/>
      <c r="H17" s="30" t="str">
        <f t="shared" si="0"/>
        <v/>
      </c>
      <c r="I17" s="179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206"/>
      <c r="F18" s="30" t="str">
        <f t="shared" si="0"/>
        <v/>
      </c>
      <c r="G18" s="179"/>
      <c r="H18" s="30" t="str">
        <f t="shared" si="0"/>
        <v/>
      </c>
      <c r="I18" s="179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206"/>
      <c r="F19" s="30" t="str">
        <f t="shared" si="0"/>
        <v/>
      </c>
      <c r="G19" s="179"/>
      <c r="H19" s="30" t="str">
        <f t="shared" si="1"/>
        <v/>
      </c>
      <c r="I19" s="179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206"/>
      <c r="F20" s="30" t="str">
        <f t="shared" si="0"/>
        <v/>
      </c>
      <c r="G20" s="179"/>
      <c r="H20" s="30" t="str">
        <f t="shared" si="1"/>
        <v/>
      </c>
      <c r="I20" s="179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206"/>
      <c r="F21" s="30" t="str">
        <f t="shared" si="0"/>
        <v/>
      </c>
      <c r="G21" s="179"/>
      <c r="H21" s="30" t="str">
        <f t="shared" si="1"/>
        <v/>
      </c>
      <c r="I21" s="179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206"/>
      <c r="F22" s="30" t="str">
        <f t="shared" si="0"/>
        <v/>
      </c>
      <c r="G22" s="179"/>
      <c r="H22" s="30" t="str">
        <f t="shared" si="1"/>
        <v/>
      </c>
      <c r="I22" s="179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206"/>
      <c r="F23" s="30" t="str">
        <f t="shared" si="0"/>
        <v/>
      </c>
      <c r="G23" s="179"/>
      <c r="H23" s="30" t="str">
        <f t="shared" si="1"/>
        <v/>
      </c>
      <c r="I23" s="179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206"/>
      <c r="F24" s="30" t="str">
        <f t="shared" si="0"/>
        <v/>
      </c>
      <c r="G24" s="179"/>
      <c r="H24" s="30" t="str">
        <f t="shared" si="1"/>
        <v/>
      </c>
      <c r="I24" s="179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206"/>
      <c r="F25" s="30" t="str">
        <f t="shared" si="0"/>
        <v/>
      </c>
      <c r="G25" s="179"/>
      <c r="H25" s="30" t="str">
        <f t="shared" si="1"/>
        <v/>
      </c>
      <c r="I25" s="179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206"/>
      <c r="F26" s="30" t="str">
        <f t="shared" si="0"/>
        <v/>
      </c>
      <c r="G26" s="179"/>
      <c r="H26" s="30" t="str">
        <f t="shared" si="1"/>
        <v/>
      </c>
      <c r="I26" s="179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208"/>
      <c r="F27" s="50"/>
      <c r="G27" s="180"/>
      <c r="H27" s="50" t="str">
        <f t="shared" si="1"/>
        <v/>
      </c>
      <c r="I27" s="180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176900</v>
      </c>
      <c r="D32" s="44">
        <f t="shared" si="7"/>
        <v>1250</v>
      </c>
      <c r="E32" s="43">
        <f t="shared" si="7"/>
        <v>261150</v>
      </c>
      <c r="F32" s="44">
        <f t="shared" si="7"/>
        <v>850</v>
      </c>
      <c r="G32" s="43">
        <f t="shared" si="7"/>
        <v>0</v>
      </c>
      <c r="H32" s="44">
        <f t="shared" si="7"/>
        <v>0</v>
      </c>
      <c r="I32" s="43">
        <f t="shared" si="7"/>
        <v>0</v>
      </c>
      <c r="J32" s="44">
        <f t="shared" si="7"/>
        <v>0</v>
      </c>
      <c r="L32" s="95">
        <f>SUM(L9:L31)</f>
        <v>300850</v>
      </c>
      <c r="M32" s="95">
        <f>SUM(M9:M31)</f>
        <v>1450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0" sqref="G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 t="str">
        <f>IF(C33=0,"",CONCATENATE(PREMIOS!$B7," ",PREMIOS!$B8))</f>
        <v>77 Roja</v>
      </c>
      <c r="D2" s="267"/>
      <c r="E2" s="266" t="str">
        <f>IF(E33=0,"",CONCATENATE(PREMIOS!$B11," ",PREMIOS!$B12))</f>
        <v>20 Blanca</v>
      </c>
      <c r="F2" s="267"/>
      <c r="G2" s="266" t="str">
        <f>IF(G33=0,"",CONCATENATE(PREMIOS!$B15," ",PREMIOS!$B16))</f>
        <v/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209"/>
      <c r="D4" s="210" t="str">
        <f t="shared" ref="D4:H26" si="0">IF(C4="","",0)</f>
        <v/>
      </c>
      <c r="E4" s="209"/>
      <c r="F4" s="210" t="str">
        <f t="shared" ref="F4:F27" si="1">IF(E4="","",0)</f>
        <v/>
      </c>
      <c r="G4" s="209"/>
      <c r="H4" s="210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211"/>
      <c r="D5" s="212" t="str">
        <f t="shared" si="0"/>
        <v/>
      </c>
      <c r="E5" s="211"/>
      <c r="F5" s="212" t="str">
        <f t="shared" si="1"/>
        <v/>
      </c>
      <c r="G5" s="211"/>
      <c r="H5" s="212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211"/>
      <c r="D6" s="212" t="str">
        <f t="shared" si="0"/>
        <v/>
      </c>
      <c r="E6" s="211"/>
      <c r="F6" s="212" t="str">
        <f t="shared" si="1"/>
        <v/>
      </c>
      <c r="G6" s="211"/>
      <c r="H6" s="212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211"/>
      <c r="D7" s="212" t="str">
        <f t="shared" si="0"/>
        <v/>
      </c>
      <c r="E7" s="211"/>
      <c r="F7" s="212" t="str">
        <f t="shared" si="1"/>
        <v/>
      </c>
      <c r="G7" s="211"/>
      <c r="H7" s="212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211"/>
      <c r="D8" s="212" t="str">
        <f t="shared" si="0"/>
        <v/>
      </c>
      <c r="E8" s="211"/>
      <c r="F8" s="212" t="str">
        <f t="shared" si="1"/>
        <v/>
      </c>
      <c r="G8" s="211"/>
      <c r="H8" s="212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179"/>
      <c r="F9" s="30" t="str">
        <f t="shared" si="1"/>
        <v/>
      </c>
      <c r="G9" s="179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1500+4250</f>
        <v>5750</v>
      </c>
      <c r="D10" s="30">
        <v>500</v>
      </c>
      <c r="E10" s="179">
        <f>1000+6950</f>
        <v>7950</v>
      </c>
      <c r="F10" s="30">
        <f t="shared" si="0"/>
        <v>0</v>
      </c>
      <c r="G10" s="179"/>
      <c r="H10" s="30" t="str">
        <f t="shared" si="0"/>
        <v/>
      </c>
      <c r="J10" s="42">
        <f t="shared" si="3"/>
        <v>13700</v>
      </c>
      <c r="K10" s="42">
        <f t="shared" si="4"/>
        <v>500</v>
      </c>
    </row>
    <row r="11" spans="1:11" x14ac:dyDescent="0.35">
      <c r="A11" s="47">
        <v>8</v>
      </c>
      <c r="B11" s="177" t="str">
        <f>Vendedor8!$B$2</f>
        <v>ISA</v>
      </c>
      <c r="C11" s="211"/>
      <c r="D11" s="212" t="str">
        <f t="shared" si="0"/>
        <v/>
      </c>
      <c r="E11" s="211"/>
      <c r="F11" s="212" t="str">
        <f t="shared" si="1"/>
        <v/>
      </c>
      <c r="G11" s="211"/>
      <c r="H11" s="212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3000</v>
      </c>
      <c r="D12" s="30">
        <f t="shared" si="0"/>
        <v>0</v>
      </c>
      <c r="E12" s="179"/>
      <c r="F12" s="30" t="str">
        <f t="shared" si="1"/>
        <v/>
      </c>
      <c r="G12" s="179"/>
      <c r="H12" s="30" t="str">
        <f t="shared" si="0"/>
        <v/>
      </c>
      <c r="J12" s="42">
        <f t="shared" si="3"/>
        <v>3000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211"/>
      <c r="D13" s="212" t="str">
        <f t="shared" si="0"/>
        <v/>
      </c>
      <c r="E13" s="211"/>
      <c r="F13" s="212" t="str">
        <f t="shared" si="1"/>
        <v/>
      </c>
      <c r="G13" s="211"/>
      <c r="H13" s="212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211"/>
      <c r="D14" s="212" t="str">
        <f t="shared" si="0"/>
        <v/>
      </c>
      <c r="E14" s="211"/>
      <c r="F14" s="212" t="str">
        <f t="shared" si="1"/>
        <v/>
      </c>
      <c r="G14" s="211"/>
      <c r="H14" s="212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211"/>
      <c r="D15" s="212" t="str">
        <f t="shared" si="0"/>
        <v/>
      </c>
      <c r="E15" s="211"/>
      <c r="F15" s="212" t="str">
        <f t="shared" si="1"/>
        <v/>
      </c>
      <c r="G15" s="211"/>
      <c r="H15" s="212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>
        <v>2000</v>
      </c>
      <c r="D16" s="194">
        <f t="shared" si="0"/>
        <v>0</v>
      </c>
      <c r="E16" s="193">
        <v>4000</v>
      </c>
      <c r="F16" s="194">
        <f t="shared" si="1"/>
        <v>0</v>
      </c>
      <c r="G16" s="193"/>
      <c r="H16" s="194" t="str">
        <f t="shared" si="0"/>
        <v/>
      </c>
      <c r="J16" s="42">
        <f t="shared" si="3"/>
        <v>6000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ref="D27" si="5">IF(C27="","",0)</f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10750</v>
      </c>
      <c r="D33" s="44">
        <f t="shared" si="7"/>
        <v>500</v>
      </c>
      <c r="E33" s="43">
        <f t="shared" si="7"/>
        <v>11950</v>
      </c>
      <c r="F33" s="44">
        <f t="shared" si="7"/>
        <v>0</v>
      </c>
      <c r="G33" s="43">
        <f t="shared" si="7"/>
        <v>0</v>
      </c>
      <c r="H33" s="44">
        <f t="shared" si="7"/>
        <v>0</v>
      </c>
      <c r="J33" s="45">
        <f>SUM(J4:J32)</f>
        <v>22700</v>
      </c>
      <c r="K33" s="95">
        <f>SUM(K4:K32)</f>
        <v>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0" t="s">
        <v>97</v>
      </c>
      <c r="D1" s="271"/>
      <c r="E1" s="270" t="s">
        <v>98</v>
      </c>
      <c r="F1" s="271"/>
    </row>
    <row r="2" spans="1:9" ht="21" customHeight="1" x14ac:dyDescent="0.35">
      <c r="C2" s="266">
        <f>IF(PREMIOS!$B19="","",PREMIOS!$B19)</f>
        <v>16</v>
      </c>
      <c r="D2" s="267"/>
      <c r="E2" s="266">
        <f>IF(PREMIOS!$C19="","",PREMIOS!$C19)</f>
        <v>66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88">
        <v>700</v>
      </c>
      <c r="D4" s="78">
        <f t="shared" ref="D4:F27" si="0">IF(C4="","",0)</f>
        <v>0</v>
      </c>
      <c r="E4" s="188">
        <v>1000</v>
      </c>
      <c r="F4" s="78">
        <f t="shared" si="0"/>
        <v>0</v>
      </c>
      <c r="H4" s="42">
        <f>+C4+E4</f>
        <v>1700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79">
        <v>10700</v>
      </c>
      <c r="D5" s="30">
        <v>1000</v>
      </c>
      <c r="E5" s="179"/>
      <c r="F5" s="30" t="str">
        <f t="shared" ref="F5:F27" si="1">IF(E5="","",0)</f>
        <v/>
      </c>
      <c r="H5" s="42">
        <f t="shared" ref="H5:H32" si="2">+C5+E5</f>
        <v>10700</v>
      </c>
      <c r="I5" s="42">
        <f t="shared" ref="I5:I27" si="3">IF(D5="",0,IF(F5="",D5,D5+F5))</f>
        <v>1000</v>
      </c>
    </row>
    <row r="6" spans="1:9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3">
        <v>26500</v>
      </c>
      <c r="D8" s="30">
        <f t="shared" si="0"/>
        <v>0</v>
      </c>
      <c r="E8" s="193">
        <v>3400</v>
      </c>
      <c r="F8" s="194">
        <f t="shared" si="1"/>
        <v>0</v>
      </c>
      <c r="H8" s="42">
        <f t="shared" si="2"/>
        <v>29900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Vendedor 06</v>
      </c>
      <c r="C9" s="193"/>
      <c r="D9" s="30" t="str">
        <f t="shared" si="0"/>
        <v/>
      </c>
      <c r="E9" s="193"/>
      <c r="F9" s="19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19100</v>
      </c>
      <c r="D10" s="30">
        <f t="shared" si="0"/>
        <v>0</v>
      </c>
      <c r="E10" s="179">
        <v>10750</v>
      </c>
      <c r="F10" s="194">
        <f t="shared" si="1"/>
        <v>0</v>
      </c>
      <c r="H10" s="42">
        <f t="shared" si="2"/>
        <v>29850</v>
      </c>
      <c r="I10" s="42">
        <f t="shared" si="3"/>
        <v>0</v>
      </c>
    </row>
    <row r="11" spans="1:9" x14ac:dyDescent="0.35">
      <c r="A11" s="47">
        <v>8</v>
      </c>
      <c r="B11" s="177" t="str">
        <f>Vendedor8!$B$2</f>
        <v>ISA</v>
      </c>
      <c r="C11" s="193"/>
      <c r="D11" s="30" t="str">
        <f t="shared" si="0"/>
        <v/>
      </c>
      <c r="E11" s="193"/>
      <c r="F11" s="19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3">
        <v>28450</v>
      </c>
      <c r="D12" s="30">
        <v>250</v>
      </c>
      <c r="E12" s="193"/>
      <c r="F12" s="30" t="str">
        <f t="shared" si="0"/>
        <v/>
      </c>
      <c r="H12" s="42">
        <f t="shared" si="2"/>
        <v>28450</v>
      </c>
      <c r="I12" s="42">
        <f t="shared" si="3"/>
        <v>250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3">
        <v>2700</v>
      </c>
      <c r="D16" s="194">
        <f t="shared" si="0"/>
        <v>0</v>
      </c>
      <c r="E16" s="193"/>
      <c r="F16" s="194" t="str">
        <f t="shared" si="0"/>
        <v/>
      </c>
      <c r="H16" s="42">
        <f t="shared" si="2"/>
        <v>2700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194" t="str">
        <f t="shared" si="0"/>
        <v/>
      </c>
      <c r="E17" s="179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88150</v>
      </c>
      <c r="D33" s="44">
        <f>SUM(D4:D32)</f>
        <v>1250</v>
      </c>
      <c r="E33" s="43">
        <f>SUM(E4:E32)</f>
        <v>15150</v>
      </c>
      <c r="F33" s="44">
        <f>SUM(F4:F32)</f>
        <v>0</v>
      </c>
      <c r="H33" s="95">
        <f>SUM(H4:H32)</f>
        <v>103300</v>
      </c>
      <c r="I33" s="95">
        <f>SUM(I4:I32)</f>
        <v>1250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0" sqref="G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0" t="s">
        <v>99</v>
      </c>
      <c r="D1" s="271"/>
      <c r="E1" s="270" t="s">
        <v>100</v>
      </c>
      <c r="F1" s="271"/>
      <c r="G1" s="270" t="s">
        <v>101</v>
      </c>
      <c r="H1" s="271"/>
    </row>
    <row r="2" spans="1:11" ht="21" customHeight="1" x14ac:dyDescent="0.35">
      <c r="C2" s="266">
        <f>IF(PREMIOS!$B20="","",PREMIOS!$B20)</f>
        <v>21</v>
      </c>
      <c r="D2" s="267"/>
      <c r="E2" s="266">
        <f>IF(PREMIOS!$C20="","",PREMIOS!$C20)</f>
        <v>55</v>
      </c>
      <c r="F2" s="267"/>
      <c r="G2" s="266" t="str">
        <f>IF(PREMIOS!$D20="","",PREMIOS!$D20)</f>
        <v/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196"/>
      <c r="D4" s="197" t="str">
        <f t="shared" ref="D4:H27" si="0">IF(C4="","",0)</f>
        <v/>
      </c>
      <c r="E4" s="196"/>
      <c r="F4" s="197" t="str">
        <f t="shared" ref="F4:F27" si="1">IF(E4="","",0)</f>
        <v/>
      </c>
      <c r="G4" s="196"/>
      <c r="H4" s="197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G5" s="192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G6" s="192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G7" s="192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G8" s="192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G9" s="192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v>29500</v>
      </c>
      <c r="D10" s="194">
        <f t="shared" si="0"/>
        <v>0</v>
      </c>
      <c r="E10" s="179">
        <v>6200</v>
      </c>
      <c r="F10" s="30">
        <f t="shared" si="0"/>
        <v>0</v>
      </c>
      <c r="G10" s="179"/>
      <c r="H10" s="194" t="str">
        <f t="shared" si="0"/>
        <v/>
      </c>
      <c r="J10" s="42">
        <f t="shared" si="3"/>
        <v>35700</v>
      </c>
      <c r="K10" s="42">
        <f t="shared" si="4"/>
        <v>0</v>
      </c>
    </row>
    <row r="11" spans="1:11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G11" s="192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93"/>
      <c r="D12" s="194" t="str">
        <f t="shared" si="0"/>
        <v/>
      </c>
      <c r="E12" s="193"/>
      <c r="F12" s="194" t="str">
        <f t="shared" si="1"/>
        <v/>
      </c>
      <c r="G12" s="193"/>
      <c r="H12" s="194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G13" s="192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G14" s="192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G15" s="192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1"/>
        <v/>
      </c>
      <c r="G16" s="193"/>
      <c r="H16" s="194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93"/>
      <c r="D17" s="194" t="str">
        <f t="shared" si="0"/>
        <v/>
      </c>
      <c r="E17" s="193"/>
      <c r="F17" s="194" t="str">
        <f t="shared" si="0"/>
        <v/>
      </c>
      <c r="G17" s="193"/>
      <c r="H17" s="194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1"/>
        <v/>
      </c>
      <c r="G18" s="179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29500</v>
      </c>
      <c r="D33" s="44">
        <f t="shared" si="6"/>
        <v>0</v>
      </c>
      <c r="E33" s="43">
        <f t="shared" si="6"/>
        <v>6200</v>
      </c>
      <c r="F33" s="44">
        <f t="shared" si="6"/>
        <v>0</v>
      </c>
      <c r="G33" s="43">
        <f t="shared" si="6"/>
        <v>0</v>
      </c>
      <c r="H33" s="44">
        <f t="shared" si="6"/>
        <v>0</v>
      </c>
      <c r="J33" s="45">
        <f>SUM(J4:J32)</f>
        <v>35700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0" t="s">
        <v>110</v>
      </c>
      <c r="D1" s="271"/>
      <c r="E1" s="270" t="s">
        <v>111</v>
      </c>
      <c r="F1" s="271"/>
    </row>
    <row r="2" spans="1:9" ht="21" customHeight="1" x14ac:dyDescent="0.35">
      <c r="C2" s="266" t="str">
        <f>IF(PREMIOS!$B21="","",PREMIOS!$B21)</f>
        <v>03</v>
      </c>
      <c r="D2" s="267"/>
      <c r="E2" s="266">
        <f>IF(PREMIOS!$C21="","",PREMIOS!$C21)</f>
        <v>39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96"/>
      <c r="D4" s="197" t="str">
        <f t="shared" ref="D4:F27" si="0">IF(C4="","",0)</f>
        <v/>
      </c>
      <c r="E4" s="196"/>
      <c r="F4" s="197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66500</v>
      </c>
      <c r="D10" s="30">
        <f t="shared" si="0"/>
        <v>0</v>
      </c>
      <c r="E10" s="179">
        <v>64500</v>
      </c>
      <c r="F10" s="30">
        <v>750</v>
      </c>
      <c r="H10" s="42">
        <f t="shared" si="2"/>
        <v>131000</v>
      </c>
      <c r="I10" s="42">
        <f t="shared" si="3"/>
        <v>750</v>
      </c>
    </row>
    <row r="11" spans="1:9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  <c r="E12" s="192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  <c r="E16" s="192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66500</v>
      </c>
      <c r="D33" s="44">
        <f>SUM(D4:D32)</f>
        <v>0</v>
      </c>
      <c r="E33" s="43">
        <f>SUM(E4:E32)</f>
        <v>64500</v>
      </c>
      <c r="F33" s="44">
        <f>SUM(F4:F32)</f>
        <v>750</v>
      </c>
      <c r="H33" s="45">
        <f>SUM(H4:H32)</f>
        <v>131000</v>
      </c>
      <c r="I33" s="95">
        <f>SUM(I4:I32)</f>
        <v>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2" sqref="C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0" t="s">
        <v>109</v>
      </c>
      <c r="D1" s="271"/>
    </row>
    <row r="2" spans="1:4" ht="21" customHeight="1" x14ac:dyDescent="0.35">
      <c r="C2" s="266">
        <f>IF(PREMIOS!$B22="","",PREMIOS!$B22)</f>
        <v>11</v>
      </c>
      <c r="D2" s="267"/>
    </row>
    <row r="3" spans="1:4" ht="21" customHeight="1" thickBot="1" x14ac:dyDescent="0.4">
      <c r="C3" s="266"/>
      <c r="D3" s="267"/>
    </row>
    <row r="4" spans="1:4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</row>
    <row r="5" spans="1:4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</row>
    <row r="6" spans="1:4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</row>
    <row r="7" spans="1:4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</row>
    <row r="8" spans="1:4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</row>
    <row r="9" spans="1:4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</row>
    <row r="10" spans="1:4" x14ac:dyDescent="0.35">
      <c r="A10" s="47">
        <v>7</v>
      </c>
      <c r="B10" s="177" t="str">
        <f>Vendedor7!$B$2</f>
        <v>PIKIS</v>
      </c>
      <c r="C10" s="179">
        <v>2000</v>
      </c>
      <c r="D10" s="30">
        <f t="shared" si="0"/>
        <v>0</v>
      </c>
    </row>
    <row r="11" spans="1:4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</row>
    <row r="12" spans="1:4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</row>
    <row r="13" spans="1:4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</row>
    <row r="14" spans="1:4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</row>
    <row r="15" spans="1:4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</row>
    <row r="16" spans="1:4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</row>
    <row r="17" spans="1:4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</row>
    <row r="18" spans="1:4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</row>
    <row r="19" spans="1:4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</row>
    <row r="20" spans="1:4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</row>
    <row r="21" spans="1:4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</row>
    <row r="22" spans="1:4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</row>
    <row r="23" spans="1:4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</row>
    <row r="24" spans="1:4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</row>
    <row r="25" spans="1:4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</row>
    <row r="26" spans="1:4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</row>
    <row r="27" spans="1:4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</row>
    <row r="28" spans="1:4" hidden="1" x14ac:dyDescent="0.35">
      <c r="A28" s="185">
        <v>25</v>
      </c>
      <c r="B28" s="178" t="str">
        <f>Vendedor25!$B$2</f>
        <v>Vendedor 25</v>
      </c>
      <c r="C28" s="178"/>
      <c r="D28" s="178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2000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2026-08-09T23:38:25Z</dcterms:modified>
  <dc:language>es-CR</dc:language>
</cp:coreProperties>
</file>
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72" documentId="13_ncr:1_{EB1C27A7-1EBD-4619-B18B-0BCA469E8746}" xr6:coauthVersionLast="47" xr6:coauthVersionMax="47" xr10:uidLastSave="{0C5CB99E-254B-466C-9E23-FED2F83C8AD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E10" i="61"/>
  <c r="E39" i="61"/>
  <c r="I10" i="61"/>
  <c r="G10" i="60"/>
  <c r="G11" i="60"/>
  <c r="F4" i="65"/>
  <c r="E10" i="62"/>
  <c r="E10" i="60"/>
  <c r="C10" i="62"/>
  <c r="C10" i="61"/>
  <c r="C10" i="60"/>
  <c r="C11" i="60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F5" i="60"/>
  <c r="H17" i="60"/>
  <c r="H15" i="60"/>
  <c r="H14" i="60"/>
  <c r="H13" i="60"/>
  <c r="H11" i="60"/>
  <c r="H9" i="60"/>
  <c r="H8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<sst xmlns="http://schemas.openxmlformats.org/spreadsheetml/2006/main" count="1291" uniqueCount="158">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</sst>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262100</v>
      </c>
      <c r="C3" s="9">
        <f>+HojaTICA!K4+HojaNICA!M4+HojaREVENTADO!K4+HojaPrimera!I4+HojaHonduras!K4+HojaDominicana!I4+HojaPANA!G4</f>
        <v>34050</v>
      </c>
      <c r="D3" s="9">
        <f>+HojaTICA!N4+HojaNICA!P4+HojaREVENTADO!O4+HojaPrimera!L4+HojaHonduras!N4+HojaDominicana!L4+HojaPANA!J4</f>
        <v>308750</v>
      </c>
      <c r="F3" s="10">
        <f t="shared" ref="F3:F27" si="0">+B3-C3-D3</f>
        <v>-80700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163650</v>
      </c>
      <c r="C4" s="9">
        <f>+HojaTICA!K5+HojaNICA!M5+HojaREVENTADO!K5+HojaPrimera!I5+HojaHonduras!K5+HojaDominicana!I5+HojaPANA!G5</f>
        <v>21300</v>
      </c>
      <c r="D4" s="9">
        <f>+HojaTICA!N5+HojaNICA!P5+HojaREVENTADO!O5+HojaPrimera!L5+HojaHonduras!N5+HojaDominicana!L5+HojaPANA!J5</f>
        <v>162500</v>
      </c>
      <c r="F4" s="14">
        <f t="shared" si="0"/>
        <v>-20150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278450</v>
      </c>
      <c r="C7" s="9">
        <f>+HojaTICA!K8+HojaNICA!M8+HojaREVENTADO!K8+HojaPrimera!I8+HojaHonduras!K8+HojaDominicana!I8+HojaPANA!G8</f>
        <v>33400</v>
      </c>
      <c r="D7" s="9">
        <f>+HojaTICA!N8+HojaNICA!P8+HojaREVENTADO!O8+HojaPrimera!L8+HojaHonduras!N8+HojaDominicana!L8+HojaPANA!J8</f>
        <v>84250</v>
      </c>
      <c r="F7" s="14">
        <f t="shared" si="0"/>
        <v>160800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753400</v>
      </c>
      <c r="C9" s="9">
        <f>+HojaTICA!K10+HojaNICA!M10+HojaREVENTADO!K10+HojaPrimera!I10+HojaHonduras!K10+HojaDominicana!I10+HojaPANA!G10</f>
        <v>89855</v>
      </c>
      <c r="D9" s="9">
        <f>+HojaTICA!N10+HojaNICA!P10+HojaREVENTADO!O10+HojaPrimera!L10+HojaHonduras!N10+HojaDominicana!L10+HojaPANA!J10</f>
        <v>491000</v>
      </c>
      <c r="F9" s="14">
        <f t="shared" si="0"/>
        <v>172545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11000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198000</v>
      </c>
      <c r="C11" s="9">
        <f>+HojaTICA!K12+HojaNICA!M12+HojaREVENTADO!K12+HojaPrimera!I12+HojaHonduras!K12+HojaDominicana!I12+HojaPANA!G12</f>
        <v>23650</v>
      </c>
      <c r="D11" s="9">
        <f>+HojaTICA!N12+HojaNICA!P12+HojaREVENTADO!O12+HojaPrimera!L12+HojaHonduras!N12+HojaDominicana!L12+HojaPANA!J12</f>
        <v>165750</v>
      </c>
      <c r="F11" s="14">
        <f t="shared" si="0"/>
        <v>8600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118450</v>
      </c>
      <c r="C12" s="9">
        <f>+HojaTICA!K13+HojaNICA!M13+HojaREVENTADO!K13+HojaPrimera!I13+HojaHonduras!K13+HojaDominicana!I13+HojaPANA!G13</f>
        <v>14200</v>
      </c>
      <c r="D12" s="9">
        <f>+HojaTICA!N13+HojaNICA!P13+HojaREVENTADO!O13+HojaPrimera!L13+HojaHonduras!N13+HojaDominicana!L13+HojaPANA!J13</f>
        <v>38250</v>
      </c>
      <c r="F12" s="14">
        <f t="shared" si="0"/>
        <v>66000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59300</v>
      </c>
      <c r="C13" s="9">
        <f>+HojaTICA!K14+HojaNICA!M14+HojaREVENTADO!K14+HojaPrimera!I14+HojaHonduras!K14+HojaDominicana!I14+HojaPANA!G14</f>
        <v>8900</v>
      </c>
      <c r="D13" s="9">
        <f>+HojaTICA!N14+HojaNICA!P14+HojaREVENTADO!O14+HojaPrimera!L14+HojaHonduras!N14+HojaDominicana!L14+HojaPANA!J14</f>
        <v>0</v>
      </c>
      <c r="F13" s="14">
        <f t="shared" si="0"/>
        <v>50400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149450</v>
      </c>
      <c r="C15" s="9">
        <f>+HojaTICA!K16+HojaNICA!M16+HojaREVENTADO!K16+HojaPrimera!I16+HojaHonduras!K16+HojaDominicana!I16+HojaPANA!G16</f>
        <v>17700</v>
      </c>
      <c r="D15" s="9">
        <f>+HojaTICA!N16+HojaNICA!P16+HojaREVENTADO!O16+HojaPrimera!L16+HojaHonduras!N16+HojaDominicana!L16+HojaPANA!J16</f>
        <v>62500</v>
      </c>
      <c r="F15" s="14">
        <f t="shared" si="0"/>
        <v>69250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1993800</v>
      </c>
      <c r="C28" s="17">
        <f t="shared" si="1"/>
        <v>244355</v>
      </c>
      <c r="D28" s="18">
        <f t="shared" si="1"/>
        <v>1313000</v>
      </c>
      <c r="F28" s="20">
        <f>SUM(F3:F27)</f>
        <v>436445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 t="s">
        <v>157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77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40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20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89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>
        <v>16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68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16</v>
      </c>
      <c r="C19" s="132">
        <v>66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21</v>
      </c>
      <c r="C20" s="162">
        <v>55</v>
      </c>
      <c r="D20" s="165">
        <v>14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156</v>
      </c>
      <c r="C21" s="163">
        <v>39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11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77</v>
      </c>
      <c r="D2" s="267"/>
      <c r="E2" s="266">
        <f>DigitaTICA!E2</f>
        <v>20</v>
      </c>
      <c r="F2" s="267"/>
      <c r="G2" s="266">
        <f>DigitaTICA!G2</f>
        <v>16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57500</v>
      </c>
      <c r="D4" s="30">
        <f>IF(Vendedor1!$E$7="",0,Vendedor1!$E$7)</f>
        <v>350</v>
      </c>
      <c r="E4" s="179">
        <f>IF(Vendedor1!$C$11="",0,Vendedor1!$C$11)</f>
        <v>30000</v>
      </c>
      <c r="F4" s="30">
        <f>IF(Vendedor1!$E$11="",0,Vendedor1!$E$11)</f>
        <v>700</v>
      </c>
      <c r="G4" s="179">
        <f>IF(Vendedor1!$C$15="",0,Vendedor1!$C$15)</f>
        <v>117750</v>
      </c>
      <c r="H4" s="30">
        <f>IF(Vendedor1!$E$15="",0,Vendedor1!$E$15)</f>
        <v>700</v>
      </c>
      <c r="J4" s="42">
        <f t="shared" ref="J4:J7" si="0">+C4+E4+G4</f>
        <v>205250</v>
      </c>
      <c r="K4" s="41">
        <f>MROUND(J4*Vendedor1!J$9,50)</f>
        <v>26700</v>
      </c>
      <c r="L4" s="42">
        <f t="shared" ref="L4:L7" si="1">+D4+F4+H4</f>
        <v>1750</v>
      </c>
      <c r="M4" s="42">
        <f t="shared" ref="M4:M7" si="2">+L4*85</f>
        <v>148750</v>
      </c>
      <c r="N4" s="42">
        <f>Vendedor1!$F$7+Vendedor1!$F$11+Vendedor1!$F$15</f>
        <v>148750</v>
      </c>
      <c r="P4" s="42">
        <f t="shared" ref="P4:P7" si="3">+J4-K4-N4</f>
        <v>29800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51400</v>
      </c>
      <c r="D5" s="30">
        <f>IF(Vendedor2!$E$7="",0,Vendedor2!$E$7)</f>
        <v>0</v>
      </c>
      <c r="E5" s="179">
        <f>IF(Vendedor2!$C$11="",0,Vendedor2!$C$11)</f>
        <v>7600</v>
      </c>
      <c r="F5" s="30">
        <f>IF(Vendedor2!$E$11="",0,Vendedor2!$E$11)</f>
        <v>0</v>
      </c>
      <c r="G5" s="179">
        <f>IF(Vendedor2!$C$15="",0,Vendedor2!$C$15)</f>
        <v>56400</v>
      </c>
      <c r="H5" s="30">
        <f>IF(Vendedor2!$E$15="",0,Vendedor2!$E$15)</f>
        <v>500</v>
      </c>
      <c r="J5" s="42">
        <f t="shared" si="0"/>
        <v>115400</v>
      </c>
      <c r="K5" s="41">
        <f>MROUND(J5*Vendedor2!J$9,50)</f>
        <v>15000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57900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50250</v>
      </c>
      <c r="D8" s="30">
        <f>IF(Vendedor5!$E$7="",0,Vendedor5!$E$7)</f>
        <v>0</v>
      </c>
      <c r="E8" s="179">
        <f>IF(Vendedor5!$C$11="",0,Vendedor5!$C$11)</f>
        <v>41600</v>
      </c>
      <c r="F8" s="30">
        <f>IF(Vendedor5!$E$11="",0,Vendedor5!$E$11)</f>
        <v>850</v>
      </c>
      <c r="G8" s="179">
        <f>IF(Vendedor5!$C$15="",0,Vendedor5!$C$15)</f>
        <v>72500</v>
      </c>
      <c r="H8" s="30">
        <f>IF(Vendedor5!$E$15="",0,Vendedor5!$E$15)</f>
        <v>0</v>
      </c>
      <c r="J8" s="42">
        <f t="shared" ref="J8" si="4">+C8+E8+G8</f>
        <v>164350</v>
      </c>
      <c r="K8" s="41">
        <f>MROUND(J8*Vendedor5!J$11,50)</f>
        <v>19700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72400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143500</v>
      </c>
      <c r="D10" s="30">
        <f>IF(Vendedor7!$E$7="",0,Vendedor7!$E$7)</f>
        <v>1200</v>
      </c>
      <c r="E10" s="179">
        <f>IF(Vendedor7!$C$11="",0,Vendedor7!$C$11)</f>
        <v>87850</v>
      </c>
      <c r="F10" s="30">
        <f>IF(Vendedor7!$E$11="",0,Vendedor7!$E$11)</f>
        <v>700</v>
      </c>
      <c r="G10" s="179">
        <f>IF(Vendedor7!$C$15="",0,Vendedor7!$C$15)</f>
        <v>107250</v>
      </c>
      <c r="H10" s="30">
        <f>IF(Vendedor7!$E$15="",0,Vendedor7!$E$15)</f>
        <v>1250</v>
      </c>
      <c r="J10" s="42">
        <f t="shared" si="8"/>
        <v>338600</v>
      </c>
      <c r="K10" s="41">
        <f>MROUND(J10*Vendedor7!J$14,50)</f>
        <v>40650</v>
      </c>
      <c r="L10" s="42">
        <f t="shared" si="9"/>
        <v>3150</v>
      </c>
      <c r="M10" s="42">
        <f t="shared" si="10"/>
        <v>267750</v>
      </c>
      <c r="N10" s="42">
        <f>Vendedor7!$F$7+Vendedor7!$F$11+Vendedor7!$F$15</f>
        <v>267750</v>
      </c>
      <c r="P10" s="42">
        <f t="shared" si="11"/>
        <v>30200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8500</v>
      </c>
      <c r="H11" s="30">
        <f>IF(Vendedor8!$E$15="",0,Vendedor8!$E$15)</f>
        <v>0</v>
      </c>
      <c r="J11" s="42">
        <f t="shared" si="8"/>
        <v>11000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9700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41300</v>
      </c>
      <c r="D12" s="30">
        <f>IF(Vendedor9!$E$7="",0,Vendedor9!$E$7)</f>
        <v>250</v>
      </c>
      <c r="E12" s="179">
        <f>IF(Vendedor9!$C$11="",0,Vendedor9!$C$11)</f>
        <v>22600</v>
      </c>
      <c r="F12" s="30">
        <f>IF(Vendedor9!$E$11="",0,Vendedor9!$E$11)</f>
        <v>450</v>
      </c>
      <c r="G12" s="179">
        <f>IF(Vendedor9!$C$15="",0,Vendedor9!$C$15)</f>
        <v>45750</v>
      </c>
      <c r="H12" s="30">
        <f>IF(Vendedor9!$E$15="",0,Vendedor9!$E$15)</f>
        <v>250</v>
      </c>
      <c r="J12" s="42">
        <f t="shared" si="8"/>
        <v>109650</v>
      </c>
      <c r="K12" s="41">
        <f>MROUND(J12*Vendedor9!J$11,50)</f>
        <v>13150</v>
      </c>
      <c r="L12" s="42">
        <f t="shared" si="9"/>
        <v>950</v>
      </c>
      <c r="M12" s="42">
        <f t="shared" si="10"/>
        <v>80750</v>
      </c>
      <c r="N12" s="42">
        <f>Vendedor9!$F$7+Vendedor9!$F$11+Vendedor9!$F$15</f>
        <v>80750</v>
      </c>
      <c r="P12" s="42">
        <f t="shared" si="11"/>
        <v>15750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20400</v>
      </c>
      <c r="D13" s="30">
        <f>IF(Vendedor10!$E$7="",0,Vendedor10!$E$7)</f>
        <v>100</v>
      </c>
      <c r="E13" s="179">
        <f>IF(Vendedor10!$C$11="",0,Vendedor10!$C$11)</f>
        <v>10900</v>
      </c>
      <c r="F13" s="30">
        <f>IF(Vendedor10!$E$11="",0,Vendedor10!$E$11)</f>
        <v>350</v>
      </c>
      <c r="G13" s="179">
        <f>IF(Vendedor10!$C$15="",0,Vendedor10!$C$15)</f>
        <v>54950</v>
      </c>
      <c r="H13" s="30">
        <f>IF(Vendedor10!$E$15="",0,Vendedor10!$E$15)</f>
        <v>0</v>
      </c>
      <c r="J13" s="42">
        <f t="shared" si="8"/>
        <v>86250</v>
      </c>
      <c r="K13" s="41">
        <f>MROUND(J13*Vendedor10!J$9,50)</f>
        <v>10350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37650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30300</v>
      </c>
      <c r="D14" s="30">
        <f>IF(Vendedor11!$E$7="",0,Vendedor11!$E$7)</f>
        <v>0</v>
      </c>
      <c r="E14" s="179">
        <f>IF(Vendedor11!$C$11="",0,Vendedor11!$C$11)</f>
        <v>13200</v>
      </c>
      <c r="F14" s="30">
        <f>IF(Vendedor11!$E$11="",0,Vendedor11!$E$11)</f>
        <v>0</v>
      </c>
      <c r="G14" s="179">
        <f>IF(Vendedor11!$C$15="",0,Vendedor11!$C$15)</f>
        <v>15800</v>
      </c>
      <c r="H14" s="30">
        <f>IF(Vendedor11!$E$15="",0,Vendedor11!$E$15)</f>
        <v>0</v>
      </c>
      <c r="J14" s="42">
        <f t="shared" si="8"/>
        <v>59300</v>
      </c>
      <c r="K14" s="41">
        <f>MROUND(J14*Vendedor11!J$9,50)</f>
        <v>8900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50400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31050</v>
      </c>
      <c r="D16" s="30">
        <f>IF(Vendedor13!$E$7="",0,Vendedor13!$E$7)</f>
        <v>0</v>
      </c>
      <c r="E16" s="179">
        <f>IF(Vendedor13!$C$11="",0,Vendedor13!$C$11)</f>
        <v>20150</v>
      </c>
      <c r="F16" s="30">
        <f>IF(Vendedor13!$E$11="",0,Vendedor13!$E$11)</f>
        <v>250</v>
      </c>
      <c r="G16" s="179">
        <f>IF(Vendedor13!$C$15="",0,Vendedor13!$C$15)</f>
        <v>48850</v>
      </c>
      <c r="H16" s="30">
        <f>IF(Vendedor13!$E$15="",0,Vendedor13!$E$15)</f>
        <v>250</v>
      </c>
      <c r="J16" s="42">
        <f t="shared" si="8"/>
        <v>100050</v>
      </c>
      <c r="K16" s="41">
        <f>MROUND(J16*Vendedor13!J$11,50)</f>
        <v>12000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45550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428200</v>
      </c>
      <c r="D32" s="44">
        <f t="shared" si="16"/>
        <v>1900</v>
      </c>
      <c r="E32" s="43">
        <f t="shared" si="16"/>
        <v>233900</v>
      </c>
      <c r="F32" s="44">
        <f t="shared" si="16"/>
        <v>3300</v>
      </c>
      <c r="G32" s="43">
        <f t="shared" si="16"/>
        <v>527750</v>
      </c>
      <c r="H32" s="44">
        <f t="shared" si="16"/>
        <v>2950</v>
      </c>
      <c r="J32" s="95">
        <f>SUM(J4:J31)</f>
        <v>1189850</v>
      </c>
      <c r="K32" s="45">
        <f>SUM(K7:K31)</f>
        <v>106050</v>
      </c>
      <c r="L32" s="95">
        <f>SUM(L4:L31)</f>
        <v>8150</v>
      </c>
      <c r="M32" s="95">
        <f>SUM(M4:M31)</f>
        <v>692750</v>
      </c>
      <c r="N32" s="95">
        <f>SUM(N4:N31)</f>
        <v>692750</v>
      </c>
      <c r="P32" s="79">
        <f>SUM(P4:P31)</f>
        <v>349350</v>
      </c>
    </row>
    <row r="33" spans="3:13" x14ac:dyDescent="0.35">
      <c r="D33" s="99">
        <f>+D32*85</f>
        <v>161500</v>
      </c>
      <c r="F33" s="99">
        <f>+F32*85</f>
        <v>280500</v>
      </c>
      <c r="H33" s="99">
        <f>+H32*85</f>
        <v>250750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1189850</v>
      </c>
      <c r="E36" s="43">
        <f>+D36-J4-J5-J6</f>
        <v>869200</v>
      </c>
      <c r="G36" s="101"/>
    </row>
    <row r="37" spans="3:13" x14ac:dyDescent="0.35">
      <c r="C37" s="47" t="s">
        <v>33</v>
      </c>
      <c r="D37" s="48">
        <f>D36*13%</f>
        <v>154680.5</v>
      </c>
      <c r="E37">
        <f>+D37-K4-K5-K6</f>
        <v>112980.5</v>
      </c>
      <c r="G37" s="100"/>
      <c r="H37" s="100"/>
    </row>
    <row r="38" spans="3:13" ht="15" thickBot="1" x14ac:dyDescent="0.4">
      <c r="C38" s="47" t="s">
        <v>30</v>
      </c>
      <c r="D38" s="30">
        <f>M32</f>
        <v>692750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342419.5</v>
      </c>
      <c r="F39" s="98">
        <f>+P32-D39</f>
        <v>6930.5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342419.5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06</v>
      </c>
      <c r="D2" s="267"/>
      <c r="E2" s="266">
        <f>DigitaNICA!E2</f>
        <v>40</v>
      </c>
      <c r="F2" s="267"/>
      <c r="G2" s="266">
        <f>DigitaNICA!G2</f>
        <v>89</v>
      </c>
      <c r="H2" s="267"/>
      <c r="I2" s="266">
        <f>DigitaNICA!I2</f>
        <v>68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19300</v>
      </c>
      <c r="D4" s="78">
        <f>IF(Vendedor1!$E$5="",0,Vendedor1!$E$5)</f>
        <v>0</v>
      </c>
      <c r="E4" s="188">
        <f>IF(Vendedor1!$C$9="",0,Vendedor1!$C$9)</f>
        <v>13750</v>
      </c>
      <c r="F4" s="78">
        <f>IF(Vendedor1!$E$9="",0,Vendedor1!$E$9)</f>
        <v>0</v>
      </c>
      <c r="G4" s="188">
        <f>IF(Vendedor1!$C$13="",0,Vendedor1!$C$13)</f>
        <v>8700</v>
      </c>
      <c r="H4" s="78">
        <f>IF(Vendedor1!$E$13="",0,Vendedor1!$E$13)</f>
        <v>0</v>
      </c>
      <c r="I4" s="188">
        <f>IF(Vendedor1!$C$17="",0,Vendedor1!$C$17)</f>
        <v>13400</v>
      </c>
      <c r="J4" s="78">
        <f>IF(Vendedor1!$E$17="",0,Vendedor1!$E$17)</f>
        <v>2000</v>
      </c>
      <c r="L4" s="42">
        <f t="shared" ref="L4:L7" si="0">C4+E4+G4+I4</f>
        <v>55150</v>
      </c>
      <c r="M4" s="41">
        <f>MROUND(L4*Vendedor1!J$10,50)</f>
        <v>7150</v>
      </c>
      <c r="N4" s="42">
        <f t="shared" ref="N4:N7" si="1">D4+F4+H4+J4</f>
        <v>2000</v>
      </c>
      <c r="O4" s="41">
        <f>IFERROR(N4*85,0)</f>
        <v>170000</v>
      </c>
      <c r="P4" s="42">
        <f>Vendedor1!$F$5+Vendedor1!$F$9+Vendedor1!$F$13+Vendedor1!$F$17</f>
        <v>160000</v>
      </c>
      <c r="R4" s="41">
        <f t="shared" ref="R4:R7" si="2">+L4-M4-O4</f>
        <v>-122000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14600</v>
      </c>
      <c r="D5" s="30">
        <f>IF(Vendedor2!$E$5="",0,Vendedor2!$E$5)</f>
        <v>0</v>
      </c>
      <c r="E5" s="179">
        <f>IF(Vendedor2!$C$9="",0,Vendedor2!$C$9)</f>
        <v>20700</v>
      </c>
      <c r="F5" s="30">
        <f>IF(Vendedor2!$E$9="",0,Vendedor2!$E$9)</f>
        <v>500</v>
      </c>
      <c r="G5" s="179">
        <f>IF(Vendedor2!$C$13="",0,Vendedor2!$C$13)</f>
        <v>1250</v>
      </c>
      <c r="H5" s="30">
        <f>IF(Vendedor2!$E$13="",0,Vendedor2!$E$13)</f>
        <v>0</v>
      </c>
      <c r="I5" s="179">
        <f>IF(Vendedor2!$C$17="",0,Vendedor2!$C$17)</f>
        <v>1000</v>
      </c>
      <c r="J5" s="30">
        <f>IF(Vendedor2!$E$17="",0,Vendedor2!$E$17)</f>
        <v>0</v>
      </c>
      <c r="L5" s="42">
        <f t="shared" si="0"/>
        <v>37550</v>
      </c>
      <c r="M5" s="41">
        <f>MROUND(L5*Vendedor2!J$10,50)</f>
        <v>4900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-9850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34050</v>
      </c>
      <c r="D8" s="30">
        <f>IF(Vendedor5!$E$5="",0,Vendedor5!$E$5)</f>
        <v>150</v>
      </c>
      <c r="E8" s="179">
        <f>IF(Vendedor5!$C$9="",0,Vendedor5!$C$9)</f>
        <v>34800</v>
      </c>
      <c r="F8" s="30">
        <f>IF(Vendedor5!$E$9="",0,Vendedor5!$E$9)</f>
        <v>0</v>
      </c>
      <c r="G8" s="179">
        <f>IF(Vendedor5!$C$13="",0,Vendedor5!$C$13)</f>
        <v>8800</v>
      </c>
      <c r="H8" s="30">
        <f>IF(Vendedor5!$E$13="",0,Vendedor5!$E$13)</f>
        <v>0</v>
      </c>
      <c r="I8" s="179">
        <f>IF(Vendedor5!$C$17="",0,Vendedor5!$C$17)</f>
        <v>6550</v>
      </c>
      <c r="J8" s="30">
        <f>IF(Vendedor5!$E$17="",0,Vendedor5!$E$17)</f>
        <v>0</v>
      </c>
      <c r="L8" s="42">
        <f t="shared" ref="L8" si="4">C8+E8+G8+I8</f>
        <v>84200</v>
      </c>
      <c r="M8" s="41">
        <f>MROUND(L8*Vendedor5!J$12,50)</f>
        <v>10100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61350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44850</v>
      </c>
      <c r="D10" s="30">
        <f>IF(Vendedor7!$E$5="",0,Vendedor7!$E$5)</f>
        <v>600</v>
      </c>
      <c r="E10" s="179">
        <f>IF(Vendedor7!$C$9="",0,Vendedor7!$C$9)</f>
        <v>55900</v>
      </c>
      <c r="F10" s="30">
        <f>IF(Vendedor7!$E$9="",0,Vendedor7!$E$9)</f>
        <v>100</v>
      </c>
      <c r="G10" s="179">
        <f>IF(Vendedor7!$C$13="",0,Vendedor7!$C$13)</f>
        <v>37500</v>
      </c>
      <c r="H10" s="30">
        <f>IF(Vendedor7!$E$13="",0,Vendedor7!$E$13)</f>
        <v>0</v>
      </c>
      <c r="I10" s="179">
        <f>IF(Vendedor7!$C$17="",0,Vendedor7!$C$17)</f>
        <v>33650</v>
      </c>
      <c r="J10" s="30">
        <f>IF(Vendedor7!$E$17="",0,Vendedor7!$E$17)</f>
        <v>0</v>
      </c>
      <c r="L10" s="42">
        <f t="shared" si="7"/>
        <v>171900</v>
      </c>
      <c r="M10" s="41">
        <f>MROUND(L10*Vendedor7!J$15,50)</f>
        <v>20650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91750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28800</v>
      </c>
      <c r="D12" s="30">
        <f>IF(Vendedor9!$E$5="",0,Vendedor9!$E$5)</f>
        <v>250</v>
      </c>
      <c r="E12" s="179">
        <f>IF(Vendedor9!$C$9="",0,Vendedor9!$C$9)</f>
        <v>20100</v>
      </c>
      <c r="F12" s="30">
        <f>IF(Vendedor9!$E$9="",0,Vendedor9!$E$9)</f>
        <v>250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7000</v>
      </c>
      <c r="J12" s="30">
        <f>IF(Vendedor9!$E$17="",0,Vendedor9!$E$17)</f>
        <v>250</v>
      </c>
      <c r="L12" s="42">
        <f t="shared" si="7"/>
        <v>55900</v>
      </c>
      <c r="M12" s="41">
        <f>MROUND(L12*Vendedor9!J$12,50)</f>
        <v>6700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-14550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24600</v>
      </c>
      <c r="D13" s="30">
        <f>IF(Vendedor10!$E$5="",0,Vendedor10!$E$5)</f>
        <v>0</v>
      </c>
      <c r="E13" s="179">
        <f>IF(Vendedor10!$C$9="",0,Vendedor10!$C$9)</f>
        <v>5400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2200</v>
      </c>
      <c r="J13" s="30">
        <f>IF(Vendedor10!$E$17="",0,Vendedor10!$E$17)</f>
        <v>0</v>
      </c>
      <c r="L13" s="42">
        <f t="shared" si="7"/>
        <v>32200</v>
      </c>
      <c r="M13" s="41">
        <f>MROUND(L13*Vendedor10!J$10,50)</f>
        <v>3850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28350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10700</v>
      </c>
      <c r="D16" s="30">
        <f>IF(Vendedor13!$E$5="",0,Vendedor13!$E$5)</f>
        <v>250</v>
      </c>
      <c r="E16" s="179">
        <f>IF(Vendedor13!$C$9="",0,Vendedor13!$C$9)</f>
        <v>20500</v>
      </c>
      <c r="F16" s="30">
        <f>IF(Vendedor13!$E$9="",0,Vendedor13!$E$9)</f>
        <v>0</v>
      </c>
      <c r="G16" s="179">
        <f>IF(Vendedor13!$C$13="",0,Vendedor13!$C$13)</f>
        <v>5500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36700</v>
      </c>
      <c r="M16" s="41">
        <f>MROUND(L16*Vendedor13!J$12,50)</f>
        <v>4400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11050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176900</v>
      </c>
      <c r="D32" s="44">
        <f t="shared" si="14"/>
        <v>1250</v>
      </c>
      <c r="E32" s="43">
        <f t="shared" si="14"/>
        <v>171150</v>
      </c>
      <c r="F32" s="44">
        <f t="shared" si="14"/>
        <v>850</v>
      </c>
      <c r="G32" s="43">
        <f t="shared" si="14"/>
        <v>61750</v>
      </c>
      <c r="H32" s="44">
        <f t="shared" si="14"/>
        <v>0</v>
      </c>
      <c r="I32" s="43">
        <f t="shared" si="14"/>
        <v>63800</v>
      </c>
      <c r="J32" s="44">
        <f t="shared" si="14"/>
        <v>2250</v>
      </c>
      <c r="L32" s="45">
        <f>SUM(L4:L31)</f>
        <v>473600</v>
      </c>
      <c r="M32" s="45">
        <f>SUM(M7:M31)</f>
        <v>45700</v>
      </c>
      <c r="N32" s="95">
        <f>SUM(N4:N31)</f>
        <v>4350</v>
      </c>
      <c r="O32" s="46">
        <f>SUM(O4:O31)</f>
        <v>369750</v>
      </c>
      <c r="P32" s="139">
        <f>SUM(P4:P31)</f>
        <v>355250</v>
      </c>
      <c r="R32" s="79">
        <f>SUM(R4:R31)</f>
        <v>46100</v>
      </c>
    </row>
    <row r="33" spans="3:15" x14ac:dyDescent="0.35">
      <c r="D33" s="120">
        <f>+D32*85</f>
        <v>106250</v>
      </c>
      <c r="F33" s="120">
        <f>+F32*85</f>
        <v>72250</v>
      </c>
      <c r="H33" s="120">
        <f>+H32*85</f>
        <v>0</v>
      </c>
      <c r="J33" s="120">
        <f>+J32*85</f>
        <v>191250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473600</v>
      </c>
      <c r="E36" s="43">
        <f>+D36-L4-L5-L6</f>
        <v>380900</v>
      </c>
    </row>
    <row r="37" spans="3:15" x14ac:dyDescent="0.35">
      <c r="C37" s="47" t="s">
        <v>33</v>
      </c>
      <c r="D37" s="48">
        <f>D36*13%</f>
        <v>61568</v>
      </c>
      <c r="E37">
        <f>+D37-M4-M5-M6</f>
        <v>49518</v>
      </c>
    </row>
    <row r="38" spans="3:15" x14ac:dyDescent="0.35">
      <c r="C38" s="47" t="s">
        <v>30</v>
      </c>
      <c r="D38" s="30">
        <f>SUM(O4:O27)</f>
        <v>369750</v>
      </c>
      <c r="G38" s="100"/>
    </row>
    <row r="39" spans="3:15" ht="15" thickBot="1" x14ac:dyDescent="0.4">
      <c r="C39" s="49" t="s">
        <v>4</v>
      </c>
      <c r="D39" s="80">
        <f>+D36-D37-D38</f>
        <v>42282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42282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>16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5750</v>
      </c>
      <c r="D10" s="30">
        <f>IF(Vendedor7!$E$8="",0,Vendedor7!$E$8)</f>
        <v>500</v>
      </c>
      <c r="E10" s="179">
        <f>IF(Vendedor7!$C$12="",0,Vendedor7!$C$12)</f>
        <v>7950</v>
      </c>
      <c r="F10" s="30">
        <f>IF(Vendedor7!$E$12="",0,Vendedor7!$E$12)</f>
        <v>0</v>
      </c>
      <c r="G10" s="179">
        <f>IF(Vendedor7!$C$16="",0,Vendedor7!$C$16)</f>
        <v>16350</v>
      </c>
      <c r="H10" s="30">
        <f>IF(Vendedor7!$E$16="",0,Vendedor7!$E$16)</f>
        <v>200</v>
      </c>
      <c r="J10" s="42">
        <f t="shared" si="1"/>
        <v>30050</v>
      </c>
      <c r="K10" s="41">
        <f>J10*Vendedor7!J$16</f>
        <v>3005</v>
      </c>
      <c r="L10" s="42">
        <f t="shared" si="2"/>
        <v>500</v>
      </c>
      <c r="M10" s="42">
        <f t="shared" si="3"/>
        <v>700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-72955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3000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1000</v>
      </c>
      <c r="H12" s="30">
        <f>IF(Vendedor9!$E$16="",0,Vendedor9!$E$16)</f>
        <v>0</v>
      </c>
      <c r="J12" s="42">
        <f t="shared" si="1"/>
        <v>4000</v>
      </c>
      <c r="K12" s="41">
        <f>J12*Vendedor9!J$13</f>
        <v>400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3600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2000</v>
      </c>
      <c r="D16" s="30">
        <f>IF(Vendedor13!$E$8="",0,Vendedor13!$E$8)</f>
        <v>0</v>
      </c>
      <c r="E16" s="179">
        <f>IF(Vendedor13!$C$12="",0,Vendedor13!$C$12)</f>
        <v>4000</v>
      </c>
      <c r="F16" s="30">
        <f>IF(Vendedor13!$E$12="",0,Vendedor13!$E$12)</f>
        <v>0</v>
      </c>
      <c r="G16" s="179">
        <f>IF(Vendedor13!$C$16="",0,Vendedor13!$C$16)</f>
        <v>4000</v>
      </c>
      <c r="H16" s="30">
        <f>IF(Vendedor13!$E$16="",0,Vendedor13!$E$16)</f>
        <v>0</v>
      </c>
      <c r="J16" s="42">
        <f t="shared" si="1"/>
        <v>10000</v>
      </c>
      <c r="K16" s="41">
        <f>J16*Vendedor13!J$13</f>
        <v>1000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10750</v>
      </c>
      <c r="D33" s="44">
        <f>IF(PREMIOS!E8&lt;&gt;0,SUM(D4:D32),0)</f>
        <v>500</v>
      </c>
      <c r="E33" s="43">
        <f>SUM(E4:E32)</f>
        <v>11950</v>
      </c>
      <c r="F33" s="44">
        <f>IF(PREMIOS!E12&lt;&gt;0,SUM(F4:F32),0)</f>
        <v>0</v>
      </c>
      <c r="G33" s="43">
        <f>SUM(G4:G32)</f>
        <v>21350</v>
      </c>
      <c r="H33" s="44">
        <f>IF(PREMIOS!E16&lt;&gt;0,SUM(H4:H32),0)</f>
        <v>0</v>
      </c>
      <c r="J33" s="45">
        <f>SUM(J4:J32)</f>
        <v>44050</v>
      </c>
      <c r="K33" s="45">
        <f>SUM(K7:K32)</f>
        <v>4405</v>
      </c>
      <c r="L33" s="95">
        <f>SUM(L7:L32)</f>
        <v>500</v>
      </c>
      <c r="M33" s="95">
        <f>SUM(M7:M32)</f>
        <v>700</v>
      </c>
      <c r="N33" s="95">
        <f>SUM(N4:N27)</f>
        <v>110000</v>
      </c>
      <c r="O33" s="95">
        <f>SUM(O4:O27)</f>
        <v>100000</v>
      </c>
      <c r="Q33" s="79">
        <f>SUM(Q4:Q32)</f>
        <v>-60355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44050</v>
      </c>
      <c r="E37" s="43">
        <f>+D37-J4-J5-J6</f>
        <v>44050</v>
      </c>
      <c r="F37" s="274"/>
      <c r="G37" s="274"/>
    </row>
    <row r="38" spans="3:17" ht="15" thickBot="1" x14ac:dyDescent="0.4">
      <c r="C38" s="47" t="s">
        <v>33</v>
      </c>
      <c r="D38" s="30">
        <f>D37*10%</f>
        <v>4405</v>
      </c>
      <c r="E38" s="43">
        <f>+D38-K4-K5-K6</f>
        <v>4405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-70355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-70355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16</v>
      </c>
      <c r="D2" s="267"/>
      <c r="E2" s="266">
        <f>DigitaPRIMERA!E2</f>
        <v>66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700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1700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10700</v>
      </c>
      <c r="D5" s="30">
        <f>IF(Vendedor2!$E$19="",0,Vendedor2!$E$19)</f>
        <v>1000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10700</v>
      </c>
      <c r="I5" s="41">
        <f>MROUND(H5*Vendedor2!J$9,50)</f>
        <v>1400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-70700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26500</v>
      </c>
      <c r="D8" s="30">
        <f>IF(Vendedor5!$E$19="",0,Vendedor5!$E$19)</f>
        <v>0</v>
      </c>
      <c r="E8" s="179">
        <f>IF(Vendedor5!$C$20="",0,Vendedor5!$C$20)</f>
        <v>3400</v>
      </c>
      <c r="F8" s="30">
        <f>IF(Vendedor5!$E$20="",0,Vendedor5!$E$20)</f>
        <v>0</v>
      </c>
      <c r="H8" s="133">
        <f t="shared" si="1"/>
        <v>29900</v>
      </c>
      <c r="I8" s="147">
        <f>MROUND(H8*Vendedor5!J$11,50)</f>
        <v>3600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26300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19100</v>
      </c>
      <c r="D10" s="30">
        <f>IF(Vendedor7!$E$19="",0,Vendedor7!$E$19)</f>
        <v>0</v>
      </c>
      <c r="E10" s="179">
        <f>IF(Vendedor7!$C$20="",0,Vendedor7!$C$20)</f>
        <v>10750</v>
      </c>
      <c r="F10" s="30">
        <f>IF(Vendedor7!$E$20="",0,Vendedor7!$E$20)</f>
        <v>0</v>
      </c>
      <c r="H10" s="42">
        <f t="shared" si="1"/>
        <v>29850</v>
      </c>
      <c r="I10" s="41">
        <f>MROUND(H10*Vendedor7!J$14,50)</f>
        <v>3600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26250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28450</v>
      </c>
      <c r="D12" s="30">
        <f>IF(Vendedor9!$E$19="",0,Vendedor9!$E$19)</f>
        <v>250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28450</v>
      </c>
      <c r="I12" s="147">
        <f>MROUND(H12*Vendedor9!J$11,50)</f>
        <v>3400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4"/>
      <c r="N12" s="133">
        <f t="shared" si="0"/>
        <v>3800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2700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2700</v>
      </c>
      <c r="I16" s="147">
        <f>MROUND(H16*Vendedor13!J$11,50)</f>
        <v>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2400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88150</v>
      </c>
      <c r="D32" s="44">
        <f>SUM(D4:D31)</f>
        <v>1250</v>
      </c>
      <c r="E32" s="43">
        <f>SUM(E4:E31)</f>
        <v>15150</v>
      </c>
      <c r="F32" s="44">
        <f>SUM(F4:F31)</f>
        <v>0</v>
      </c>
      <c r="H32" s="95">
        <f>SUM(H4:H31)</f>
        <v>103300</v>
      </c>
      <c r="I32" s="45">
        <f>SUM(I7:I31)</f>
        <v>10900</v>
      </c>
      <c r="J32" s="95"/>
      <c r="K32" s="95">
        <f>SUM(K4:K31)</f>
        <v>106250</v>
      </c>
      <c r="L32" s="95">
        <f>SUM(L4:L31)</f>
        <v>101250</v>
      </c>
      <c r="N32" s="79">
        <f>SUM(N4:N31)</f>
        <v>-10450</v>
      </c>
    </row>
    <row r="33" spans="3:6" x14ac:dyDescent="0.35">
      <c r="D33" s="99">
        <f>+D32*85</f>
        <v>106250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103300</v>
      </c>
      <c r="E36" s="43">
        <f>+D36-H4-H5-H6</f>
        <v>90900</v>
      </c>
    </row>
    <row r="37" spans="3:6" x14ac:dyDescent="0.35">
      <c r="C37" s="47" t="s">
        <v>33</v>
      </c>
      <c r="D37" s="48">
        <f>D36*13%</f>
        <v>13429</v>
      </c>
      <c r="E37">
        <f>+D37-I4-I5-I6</f>
        <v>11829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-16379</v>
      </c>
      <c r="F39" s="98">
        <f>+N32-D39</f>
        <v>5929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-16379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21</v>
      </c>
      <c r="D2" s="267"/>
      <c r="E2" s="266">
        <f>DigitaHONDURAS!E2</f>
        <v>55</v>
      </c>
      <c r="F2" s="267"/>
      <c r="G2" s="266">
        <f>DigitaHONDURAS!G2</f>
        <v>14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29500</v>
      </c>
      <c r="D10" s="30">
        <f>IF(Vendedor7!$E$21="",0,Vendedor7!$E$21)</f>
        <v>0</v>
      </c>
      <c r="E10" s="179">
        <f>IF(Vendedor7!$C$22="",0,Vendedor7!$C$22)</f>
        <v>6200</v>
      </c>
      <c r="F10" s="30">
        <f>IF(Vendedor7!$E$22="",0,Vendedor7!$E$22)</f>
        <v>0</v>
      </c>
      <c r="G10" s="179">
        <f>IF(Vendedor7!$C$23="",0,Vendedor7!$C$23)</f>
        <v>14300</v>
      </c>
      <c r="H10" s="30">
        <f>IF(Vendedor7!$E$23="",0,Vendedor7!$E$23)</f>
        <v>0</v>
      </c>
      <c r="J10" s="42">
        <f t="shared" si="0"/>
        <v>50000</v>
      </c>
      <c r="K10" s="41">
        <f>MROUND(J10*Vendedor7!J$14,50)</f>
        <v>6000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44000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29500</v>
      </c>
      <c r="D32" s="44">
        <f t="shared" si="8"/>
        <v>0</v>
      </c>
      <c r="E32" s="43">
        <f t="shared" si="8"/>
        <v>6200</v>
      </c>
      <c r="F32" s="44">
        <f t="shared" si="8"/>
        <v>0</v>
      </c>
      <c r="G32" s="43">
        <f t="shared" si="8"/>
        <v>14300</v>
      </c>
      <c r="H32" s="44">
        <f t="shared" si="8"/>
        <v>0</v>
      </c>
      <c r="J32" s="95">
        <f>SUM(J4:J31)</f>
        <v>50000</v>
      </c>
      <c r="K32" s="45">
        <f>SUM(K7:K31)</f>
        <v>6000</v>
      </c>
      <c r="L32" s="95"/>
      <c r="M32" s="95">
        <f>SUM(M4:M31)</f>
        <v>0</v>
      </c>
      <c r="N32" s="95">
        <f>SUM(N4:N31)</f>
        <v>0</v>
      </c>
      <c r="P32" s="79">
        <f>SUM(P4:P31)</f>
        <v>44000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50000</v>
      </c>
      <c r="E36" s="43">
        <f>+D36-J4-J5-J6</f>
        <v>50000</v>
      </c>
    </row>
    <row r="37" spans="3:8" x14ac:dyDescent="0.35">
      <c r="C37" s="47" t="s">
        <v>33</v>
      </c>
      <c r="D37" s="48">
        <f>D36*13%</f>
        <v>6500</v>
      </c>
      <c r="E37">
        <f>+D37-K4-K5-K6</f>
        <v>6500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43500</v>
      </c>
      <c r="F39" s="98">
        <f>+P32-D39</f>
        <v>500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43500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39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66500</v>
      </c>
      <c r="D10" s="30">
        <f>IF(Vendedor7!$E$24="",0,Vendedor7!$E$24)</f>
        <v>0</v>
      </c>
      <c r="E10" s="179">
        <f>IF(Vendedor7!$C$25="",0,Vendedor7!$C$25)</f>
        <v>64500</v>
      </c>
      <c r="F10" s="30">
        <f>IF(Vendedor7!$E$25="",0,Vendedor7!$E$25)</f>
        <v>750</v>
      </c>
      <c r="H10" s="42">
        <f t="shared" si="1"/>
        <v>131000</v>
      </c>
      <c r="I10" s="41">
        <f>MROUND(H10*Vendedor7!J$14,50)</f>
        <v>15700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51550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66500</v>
      </c>
      <c r="D32" s="44">
        <f>SUM(D4:D31)</f>
        <v>0</v>
      </c>
      <c r="E32" s="43">
        <f>SUM(E4:E31)</f>
        <v>64500</v>
      </c>
      <c r="F32" s="44">
        <f>SUM(F4:F31)</f>
        <v>750</v>
      </c>
      <c r="H32" s="95">
        <f>SUM(H4:H31)</f>
        <v>131000</v>
      </c>
      <c r="I32" s="45">
        <f>SUM(I7:I31)</f>
        <v>15700</v>
      </c>
      <c r="J32" s="95"/>
      <c r="K32" s="95">
        <f>SUM(K4:K31)</f>
        <v>63750</v>
      </c>
      <c r="L32" s="95">
        <f>SUM(L4:L31)</f>
        <v>63750</v>
      </c>
      <c r="N32" s="79">
        <f>SUM(N4:N31)</f>
        <v>51550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131000</v>
      </c>
      <c r="E36" s="43">
        <f>+D36-H4-H5-H6</f>
        <v>131000</v>
      </c>
    </row>
    <row r="37" spans="3:6" x14ac:dyDescent="0.35">
      <c r="C37" s="47" t="s">
        <v>33</v>
      </c>
      <c r="D37" s="48">
        <f>D36*13%</f>
        <v>17030</v>
      </c>
      <c r="E37">
        <f>+D37-I4-I5-I6</f>
        <v>17030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50220</v>
      </c>
      <c r="F39" s="98">
        <f>+N32-D39</f>
        <v>1330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50220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11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2000</v>
      </c>
      <c r="D10" s="30">
        <f>IF(Vendedor7!$E$26="",0,Vendedor7!$E$26)</f>
        <v>0</v>
      </c>
      <c r="F10" s="42">
        <f t="shared" si="1"/>
        <v>2000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1750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2000</v>
      </c>
      <c r="D32" s="44">
        <f>SUM(D4:D31)</f>
        <v>0</v>
      </c>
      <c r="F32" s="95">
        <f>SUM(F4:F31)</f>
        <v>2000</v>
      </c>
      <c r="G32" s="95">
        <f>SUM(G7:G31)</f>
        <v>250</v>
      </c>
      <c r="H32" s="95"/>
      <c r="I32" s="95">
        <f>SUM(I4:I31)</f>
        <v>0</v>
      </c>
      <c r="J32" s="95">
        <f>SUM(J4:J31)</f>
        <v>0</v>
      </c>
      <c r="L32" s="91">
        <f>SUM(L4:L31)</f>
        <v>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2000</v>
      </c>
      <c r="F36" s="43">
        <f>+D36-F4-F5-F6</f>
        <v>2000</v>
      </c>
    </row>
    <row r="37" spans="3:6" x14ac:dyDescent="0.35">
      <c r="C37" s="47" t="s">
        <v>33</v>
      </c>
      <c r="D37" s="30">
        <f>D36*14%</f>
        <v>280</v>
      </c>
      <c r="E37" s="43"/>
      <c r="F37" s="43">
        <f>+D37-G4-G5-G6</f>
        <v>280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1720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1720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09-08-2026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380900</v>
      </c>
      <c r="C4" s="156">
        <f>HojaNICA!M32</f>
        <v>45700</v>
      </c>
      <c r="D4" s="149">
        <f>HojaNICA!E37</f>
        <v>49518</v>
      </c>
      <c r="E4" s="149">
        <f>HojaNICA!P32</f>
        <v>355250</v>
      </c>
      <c r="F4" s="149">
        <f>HojaNICA!O32</f>
        <v>369750</v>
      </c>
      <c r="G4" s="150">
        <f t="shared" ref="G4:G10" si="0">+D4-C4+F4-E4</f>
        <v>18318</v>
      </c>
      <c r="H4" s="21"/>
      <c r="I4" s="181"/>
    </row>
    <row r="5" spans="1:9" x14ac:dyDescent="0.35">
      <c r="A5" s="28" t="s">
        <v>19</v>
      </c>
      <c r="B5" s="155">
        <f>HojaTICA!$E$36</f>
        <v>869200</v>
      </c>
      <c r="C5" s="156">
        <f>HojaTICA!K32</f>
        <v>106050</v>
      </c>
      <c r="D5" s="149">
        <f>HojaTICA!E37</f>
        <v>112980.5</v>
      </c>
      <c r="E5" s="149">
        <f>HojaTICA!N32</f>
        <v>692750</v>
      </c>
      <c r="F5" s="149">
        <f>HojaTICA!D38</f>
        <v>692750</v>
      </c>
      <c r="G5" s="150">
        <f t="shared" si="0"/>
        <v>6930.5</v>
      </c>
      <c r="H5" s="21"/>
      <c r="I5" s="181"/>
    </row>
    <row r="6" spans="1:9" x14ac:dyDescent="0.35">
      <c r="A6" s="28" t="s">
        <v>125</v>
      </c>
      <c r="B6" s="155">
        <f>HojaREVENTADO!$E$37</f>
        <v>44050</v>
      </c>
      <c r="C6" s="156">
        <f>HojaREVENTADO!K33</f>
        <v>4405</v>
      </c>
      <c r="D6" s="149">
        <f>HojaREVENTADO!E38</f>
        <v>4405</v>
      </c>
      <c r="E6" s="149">
        <f>HojaREVENTADO!O33</f>
        <v>100000</v>
      </c>
      <c r="F6" s="149">
        <f>HojaREVENTADO!N33</f>
        <v>110000</v>
      </c>
      <c r="G6" s="150">
        <f t="shared" si="0"/>
        <v>10000</v>
      </c>
      <c r="H6" s="21"/>
      <c r="I6" s="181"/>
    </row>
    <row r="7" spans="1:9" x14ac:dyDescent="0.35">
      <c r="A7" s="28" t="s">
        <v>96</v>
      </c>
      <c r="B7" s="155">
        <f>HojaPrimera!$E$36</f>
        <v>90900</v>
      </c>
      <c r="C7" s="156">
        <f>HojaPrimera!I32</f>
        <v>10900</v>
      </c>
      <c r="D7" s="149">
        <f>HojaPrimera!E37</f>
        <v>11829</v>
      </c>
      <c r="E7" s="149">
        <f>HojaPrimera!L32</f>
        <v>101250</v>
      </c>
      <c r="F7" s="149">
        <f>HojaPrimera!K32</f>
        <v>106250</v>
      </c>
      <c r="G7" s="150">
        <f t="shared" si="0"/>
        <v>5929</v>
      </c>
      <c r="H7" s="21"/>
      <c r="I7" s="21"/>
    </row>
    <row r="8" spans="1:9" x14ac:dyDescent="0.35">
      <c r="A8" s="28" t="s">
        <v>104</v>
      </c>
      <c r="B8" s="155">
        <f>HojaHonduras!$E$36</f>
        <v>50000</v>
      </c>
      <c r="C8" s="156">
        <f>HojaHonduras!K32</f>
        <v>6000</v>
      </c>
      <c r="D8" s="149">
        <f>HojaHonduras!E37</f>
        <v>6500</v>
      </c>
      <c r="E8" s="149">
        <f>HojaHonduras!N32</f>
        <v>0</v>
      </c>
      <c r="F8" s="149">
        <f>HojaHonduras!M32</f>
        <v>0</v>
      </c>
      <c r="G8" s="150">
        <f t="shared" si="0"/>
        <v>500</v>
      </c>
      <c r="H8" s="21"/>
      <c r="I8" s="21"/>
    </row>
    <row r="9" spans="1:9" x14ac:dyDescent="0.35">
      <c r="A9" s="28" t="s">
        <v>20</v>
      </c>
      <c r="B9" s="155">
        <f>HojaDominicana!$E$36</f>
        <v>131000</v>
      </c>
      <c r="C9" s="156">
        <f>HojaDominicana!I32</f>
        <v>15700</v>
      </c>
      <c r="D9" s="149">
        <f>HojaDominicana!E37</f>
        <v>17030</v>
      </c>
      <c r="E9" s="149">
        <f>HojaDominicana!L32</f>
        <v>63750</v>
      </c>
      <c r="F9" s="149">
        <f>HojaDominicana!K32</f>
        <v>63750</v>
      </c>
      <c r="G9" s="150">
        <f t="shared" si="0"/>
        <v>1330</v>
      </c>
      <c r="H9" s="21"/>
      <c r="I9" s="21"/>
    </row>
    <row r="10" spans="1:9" ht="15" thickBot="1" x14ac:dyDescent="0.4">
      <c r="A10" s="166" t="s">
        <v>21</v>
      </c>
      <c r="B10" s="167">
        <f>HojaPANA!F36</f>
        <v>2000</v>
      </c>
      <c r="C10" s="168">
        <f>HojaPANA!G32</f>
        <v>250</v>
      </c>
      <c r="D10" s="169">
        <f>HojaPANA!F37</f>
        <v>280</v>
      </c>
      <c r="E10" s="169">
        <f>HojaPANA!J32</f>
        <v>0</v>
      </c>
      <c r="F10" s="169">
        <f>HojaPANA!I32</f>
        <v>0</v>
      </c>
      <c r="G10" s="170">
        <f t="shared" si="0"/>
        <v>30</v>
      </c>
      <c r="H10" s="21"/>
      <c r="I10" s="21"/>
    </row>
    <row r="11" spans="1:9" ht="19" thickBot="1" x14ac:dyDescent="0.5">
      <c r="A11" s="173" t="s">
        <v>32</v>
      </c>
      <c r="B11" s="174">
        <f>SUM(B4:B10)</f>
        <v>1568050</v>
      </c>
      <c r="C11" s="174">
        <f>SUM(C4:C10)</f>
        <v>189005</v>
      </c>
      <c r="D11" s="174">
        <f t="shared" ref="D11:F11" si="1">SUM(D4:D10)</f>
        <v>202542.5</v>
      </c>
      <c r="E11" s="174">
        <f t="shared" si="1"/>
        <v>1313000</v>
      </c>
      <c r="F11" s="174">
        <f t="shared" si="1"/>
        <v>1342500</v>
      </c>
      <c r="G11" s="175">
        <f>SUM(G4:G10)</f>
        <v>43037.5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v>20000</v>
      </c>
      <c r="H12" s="140">
        <f>+G11-G12</f>
        <v>23037.5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262100</v>
      </c>
      <c r="E16" s="156">
        <f>+Vendedor1!D21</f>
        <v>34073</v>
      </c>
      <c r="F16" s="157">
        <f>IF(D16&lt;&gt;0,15000,0)</f>
        <v>15000</v>
      </c>
      <c r="G16" s="150">
        <f>+E16-F16</f>
        <v>19073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163650</v>
      </c>
      <c r="E17" s="156">
        <f>+Vendedor2!D21</f>
        <v>21274.5</v>
      </c>
      <c r="F17" s="157">
        <f>IF(D17&lt;&gt;0,15000,0)</f>
        <v>15000</v>
      </c>
      <c r="G17" s="150">
        <f>+E17-F17</f>
        <v>6274.5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425750</v>
      </c>
      <c r="E19" s="158">
        <f>SUM(E16:E18)</f>
        <v>55347.5</v>
      </c>
      <c r="F19" s="159">
        <f>SUM(F16:F18)</f>
        <v>30000</v>
      </c>
      <c r="G19" s="160">
        <f>SUM(G16:G18)</f>
        <v>25347.5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48385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09-08-2026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473600</v>
      </c>
      <c r="C5" s="149">
        <f>HojaNICA!D37</f>
        <v>61568</v>
      </c>
      <c r="D5" s="149">
        <f>HojaNICA!D38</f>
        <v>369750</v>
      </c>
      <c r="E5" s="149"/>
      <c r="F5" s="150">
        <f>+B5-C5-D5+E5</f>
        <v>42282</v>
      </c>
      <c r="H5" s="248" t="s">
        <v>105</v>
      </c>
      <c r="I5" s="242">
        <f ca="1">TODAY()-1</f>
        <v>46243</v>
      </c>
      <c r="O5" s="119"/>
    </row>
    <row r="6" spans="1:15" ht="15" thickBot="1" x14ac:dyDescent="0.4">
      <c r="A6" s="47" t="s">
        <v>36</v>
      </c>
      <c r="B6" s="149">
        <f>HojaTICA!D36</f>
        <v>1189850</v>
      </c>
      <c r="C6" s="149">
        <f>HojaTICA!D37</f>
        <v>154680.5</v>
      </c>
      <c r="D6" s="149">
        <f>HojaTICA!D38</f>
        <v>692750</v>
      </c>
      <c r="E6" s="149"/>
      <c r="F6" s="150">
        <f t="shared" ref="F6:F11" si="0">+B6-C6-D6+E6</f>
        <v>342419.5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44050</v>
      </c>
      <c r="C7" s="149">
        <f>HojaREVENTADO!D38</f>
        <v>4405</v>
      </c>
      <c r="D7" s="149">
        <f>HojaREVENTADO!D39</f>
        <v>110000</v>
      </c>
      <c r="E7" s="149"/>
      <c r="F7" s="150">
        <f t="shared" si="0"/>
        <v>-70355</v>
      </c>
    </row>
    <row r="8" spans="1:15" x14ac:dyDescent="0.35">
      <c r="A8" s="47" t="s">
        <v>96</v>
      </c>
      <c r="B8" s="149">
        <f>HojaPrimera!$D36</f>
        <v>103300</v>
      </c>
      <c r="C8" s="149">
        <f>HojaPrimera!$D37</f>
        <v>13429</v>
      </c>
      <c r="D8" s="149">
        <f>HojaPrimera!$D38</f>
        <v>106250</v>
      </c>
      <c r="E8" s="149"/>
      <c r="F8" s="150">
        <f t="shared" si="0"/>
        <v>-16379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50000</v>
      </c>
      <c r="C9" s="149">
        <f>HojaHonduras!$D37</f>
        <v>6500</v>
      </c>
      <c r="D9" s="149">
        <f>HojaHonduras!$D38</f>
        <v>0</v>
      </c>
      <c r="E9" s="149"/>
      <c r="F9" s="150">
        <f t="shared" si="0"/>
        <v>43500</v>
      </c>
      <c r="H9" s="249">
        <f>+K12-K10-H6</f>
        <v>393407.5</v>
      </c>
    </row>
    <row r="10" spans="1:15" ht="15" thickBot="1" x14ac:dyDescent="0.4">
      <c r="A10" s="47" t="s">
        <v>20</v>
      </c>
      <c r="B10" s="149">
        <f>HojaDominicana!$D36</f>
        <v>131000</v>
      </c>
      <c r="C10" s="149">
        <f>HojaDominicana!$D37</f>
        <v>17030</v>
      </c>
      <c r="D10" s="149">
        <f>HojaDominicana!$D38</f>
        <v>63750</v>
      </c>
      <c r="E10" s="149"/>
      <c r="F10" s="150">
        <f t="shared" si="0"/>
        <v>50220</v>
      </c>
      <c r="H10" s="153"/>
      <c r="J10" t="s">
        <v>147</v>
      </c>
      <c r="K10" s="251">
        <v>5925158</v>
      </c>
    </row>
    <row r="11" spans="1:15" ht="15" thickBot="1" x14ac:dyDescent="0.4">
      <c r="A11" s="47" t="s">
        <v>21</v>
      </c>
      <c r="B11" s="149">
        <f>HojaPANA!$D36</f>
        <v>2000</v>
      </c>
      <c r="C11" s="149">
        <f>HojaPANA!$D37</f>
        <v>280</v>
      </c>
      <c r="D11" s="164">
        <f>HojaPANA!$D38</f>
        <v>0</v>
      </c>
      <c r="E11" s="149"/>
      <c r="F11" s="150">
        <f t="shared" si="0"/>
        <v>1720</v>
      </c>
      <c r="H11" s="213" t="s">
        <v>150</v>
      </c>
      <c r="J11" t="s">
        <v>154</v>
      </c>
      <c r="K11" s="252">
        <f>+K10+F12+H6</f>
        <v>6318565.5</v>
      </c>
    </row>
    <row r="12" spans="1:15" ht="16" thickBot="1" x14ac:dyDescent="0.4">
      <c r="A12" s="143" t="s">
        <v>5</v>
      </c>
      <c r="B12" s="151">
        <f>SUM(B5:B11)</f>
        <v>1993800</v>
      </c>
      <c r="C12" s="151">
        <f>SUM(C5:C11)</f>
        <v>257892.5</v>
      </c>
      <c r="D12" s="151">
        <f>SUM(D5:D11)</f>
        <v>1342500</v>
      </c>
      <c r="E12" s="151"/>
      <c r="F12" s="254">
        <f>SUM(F5:F11)</f>
        <v>393407.5</v>
      </c>
      <c r="H12" s="250">
        <f>K12</f>
        <v>6318565.5</v>
      </c>
      <c r="J12" t="s">
        <v>140</v>
      </c>
      <c r="K12" s="253">
        <f>-1058618.57+386044.09+3968169.5+3022970.48</f>
        <v>6318565.5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205250</v>
      </c>
      <c r="K4" s="230">
        <f t="shared" ref="K4" si="0">D7+D11+D15</f>
        <v>26682.5</v>
      </c>
      <c r="L4" s="219">
        <f>F7+F11+F15</f>
        <v>148750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19300</v>
      </c>
      <c r="D5" s="42">
        <f>IF(C5="",0,C5*J$10)</f>
        <v>2509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16791</v>
      </c>
      <c r="I5" s="240" t="s">
        <v>37</v>
      </c>
      <c r="J5" s="220">
        <f>SUM(IF(C5="",0,C5),IF(C9="",0,C9),IF(C13="",0,C13),IF(C17="",0,C17))</f>
        <v>55150</v>
      </c>
      <c r="K5" s="224">
        <f t="shared" ref="K5" si="2">D5+D9+D13+D17</f>
        <v>7169.5</v>
      </c>
      <c r="L5" s="221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1700</v>
      </c>
      <c r="K6" s="227">
        <f>D19+D20</f>
        <v>221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20275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IF(DigitaNICA!E4&lt;&gt;"",DigitaNICA!E4,"")</f>
        <v>13750</v>
      </c>
      <c r="D9" s="42">
        <f>IF(C9="",0,C9*J$10)</f>
        <v>1787.5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11962.5</v>
      </c>
      <c r="I9" s="76" t="s">
        <v>36</v>
      </c>
      <c r="J9" s="77">
        <v>0.13</v>
      </c>
      <c r="K9" s="78">
        <f>MROUND(D7+D11+D15,50)</f>
        <v>26700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7150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IF(DigitaTICA!E4&lt;&gt;"",DigitaTICA!E4,"")</f>
        <v>30000</v>
      </c>
      <c r="D11" s="42">
        <f>IF(C11="",0,C11*J$9)</f>
        <v>3900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-33400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IF(DigitaNICA!G4&lt;&gt;"",DigitaNICA!G4,"")</f>
        <v>8700</v>
      </c>
      <c r="D13" s="42">
        <f>IF(C13="",0,C13*J$10)</f>
        <v>1131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7569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IF(DigitaTICA!G4&lt;&gt;"",DigitaTICA!G4,"")</f>
        <v>117750</v>
      </c>
      <c r="D15" s="42">
        <f>IF(C15="",0,C15*J$9)</f>
        <v>15307.5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42942.5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IF(DigitaNICA!I4&lt;&gt;"",DigitaNICA!I4,"")</f>
        <v>13400</v>
      </c>
      <c r="D17" s="42">
        <f>IF(C17="",0,C17*J$10)</f>
        <v>1742</v>
      </c>
      <c r="E17" s="29">
        <f>IF(DigitaNICA!J4&lt;&gt;"",DigitaNICA!J4,"")</f>
        <v>2000</v>
      </c>
      <c r="F17" s="42">
        <f>IF(E17="",0,E17*PREMIOS!E17)</f>
        <v>160000</v>
      </c>
      <c r="G17" s="30">
        <f t="shared" si="3"/>
        <v>-148342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IF(DigitaPRIMERA!C4&lt;&gt;"",DigitaPRIMERA!C4,"")</f>
        <v>700</v>
      </c>
      <c r="D19" s="42">
        <f>IF(C19="",0,C19*J$12)</f>
        <v>91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609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262100</v>
      </c>
      <c r="D21" s="122">
        <f t="shared" ref="D21:G21" si="6">SUM(D5:D20)</f>
        <v>34073</v>
      </c>
      <c r="E21" s="122">
        <f t="shared" si="6"/>
        <v>3750</v>
      </c>
      <c r="F21" s="122">
        <f t="shared" si="6"/>
        <v>308750</v>
      </c>
      <c r="G21" s="123">
        <f t="shared" si="6"/>
        <v>-80723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115400</v>
      </c>
      <c r="K4" s="230">
        <f t="shared" ref="K4" si="0">D7+D11+D15</f>
        <v>15002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14600</v>
      </c>
      <c r="D5" s="42">
        <f>IF(C5="",0,C5*J$10)</f>
        <v>1898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12702</v>
      </c>
      <c r="I5" s="240" t="s">
        <v>37</v>
      </c>
      <c r="J5" s="220">
        <f>SUM(IF(C5="",0,C5),IF(C9="",0,C9),IF(C13="",0,C13),IF(C17="",0,C17))</f>
        <v>37550</v>
      </c>
      <c r="K5" s="224">
        <f t="shared" ref="K5" si="2">D5+D9+D13+D17</f>
        <v>4881.5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10700</v>
      </c>
      <c r="K6" s="227">
        <f>D19+D20</f>
        <v>1391</v>
      </c>
      <c r="L6" s="228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IF(DigitaTICA!C5&lt;&gt;"",DigitaTICA!C5,"")</f>
        <v>51400</v>
      </c>
      <c r="D7" s="42">
        <f>IF(C7="",0,C7*J$9)</f>
        <v>6682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44718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IF(DigitaNICA!E5&lt;&gt;"",DigitaNICA!E5,"")</f>
        <v>20700</v>
      </c>
      <c r="D9" s="42">
        <f>IF(C9="",0,C9*J$10)</f>
        <v>2691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-21991</v>
      </c>
      <c r="I9" s="60" t="s">
        <v>36</v>
      </c>
      <c r="J9" s="61">
        <v>0.13</v>
      </c>
      <c r="K9" s="62">
        <f>MROUND(D7+D11+D15,50)</f>
        <v>15000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IF(DigitaTICA!E5&lt;&gt;"",DigitaTICA!E5,"")</f>
        <v>7600</v>
      </c>
      <c r="D11" s="42">
        <f>IF(C11="",0,C11*J$9)</f>
        <v>988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6612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IF(DigitaTICA!G5&lt;&gt;"",DigitaTICA!G5,"")</f>
        <v>56400</v>
      </c>
      <c r="D15" s="42">
        <f>IF(C15="",0,C15*J$9)</f>
        <v>7332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6568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IF(DigitaPRIMERA!C5&lt;&gt;"",DigitaPRIMERA!C5,"")</f>
        <v>10700</v>
      </c>
      <c r="D19" s="42">
        <f>IF(C19="",0,C19*J$12)</f>
        <v>1391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-70691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163650</v>
      </c>
      <c r="D21" s="68">
        <f t="shared" ref="D21:G21" si="4">SUM(D5:D20)</f>
        <v>21274.5</v>
      </c>
      <c r="E21" s="68">
        <f t="shared" si="4"/>
        <v>2000</v>
      </c>
      <c r="F21" s="68">
        <f t="shared" si="4"/>
        <v>162500</v>
      </c>
      <c r="G21" s="88">
        <f t="shared" si="4"/>
        <v>-20124.5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164350</v>
      </c>
      <c r="K4" s="230">
        <f t="shared" ref="K4" si="0">D7+D11+D15</f>
        <v>19722</v>
      </c>
      <c r="L4" s="219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34050</v>
      </c>
      <c r="D5" s="42">
        <f>IF(C5="",0,C5*J$12)</f>
        <v>4086</v>
      </c>
      <c r="E5" s="29">
        <f>IF(DigitaNICA!D8&lt;&gt;"",DigitaNICA!D8,"")</f>
        <v>150</v>
      </c>
      <c r="F5" s="42">
        <f>IF(E5="",0,E5*PREMIOS!E5)</f>
        <v>12000</v>
      </c>
      <c r="G5" s="30">
        <f t="shared" ref="G5:G12" si="1">IF(OR(C5="",E5=""),0,C5-D5-F5)</f>
        <v>17964</v>
      </c>
      <c r="I5" s="240" t="s">
        <v>37</v>
      </c>
      <c r="J5" s="220">
        <f>SUM(IF(C5="",0,C5),IF(C9="",0,C9),IF(C13="",0,C13),IF(C17="",0,C17))</f>
        <v>84200</v>
      </c>
      <c r="K5" s="224">
        <f t="shared" ref="K5" si="2">D5+D9+D13+D17</f>
        <v>10104</v>
      </c>
      <c r="L5" s="221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IF(DigitaTICA!C8&lt;&gt;"",DigitaTICA!C8,"")</f>
        <v>50250</v>
      </c>
      <c r="D7" s="42">
        <f>IF(C7="",0,C7*J$11)</f>
        <v>6030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44220</v>
      </c>
      <c r="I7" s="241" t="s">
        <v>96</v>
      </c>
      <c r="J7" s="223">
        <f>SUM(IF(C19="",0,C19),IF(C20="",0,C20))</f>
        <v>29900</v>
      </c>
      <c r="K7" s="227">
        <f>+D19+D20</f>
        <v>3588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IF(DigitaNICA!E8&lt;&gt;"",DigitaNICA!E8,"")</f>
        <v>34800</v>
      </c>
      <c r="D9" s="42">
        <f>IF(C9="",0,C9*J$12)</f>
        <v>4176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30624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IF(DigitaTICA!E8&lt;&gt;"",DigitaTICA!E8,"")</f>
        <v>41600</v>
      </c>
      <c r="D11" s="42">
        <f>IF(C11="",0,C11*J$11)</f>
        <v>4992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-35642</v>
      </c>
      <c r="I11" s="60" t="s">
        <v>36</v>
      </c>
      <c r="J11" s="61">
        <v>0.12</v>
      </c>
      <c r="K11" s="62">
        <f>MROUND(D7+D11+D15,50)</f>
        <v>19700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10100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IF(DigitaNICA!G8&lt;&gt;"",DigitaNICA!G8,"")</f>
        <v>8800</v>
      </c>
      <c r="D13" s="42">
        <f>IF(C13="",0,C13*J$12)</f>
        <v>1056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7744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IF(DigitaTICA!G8&lt;&gt;"",DigitaTICA!G8,"")</f>
        <v>72500</v>
      </c>
      <c r="D15" s="42">
        <f>IF(C15="",0,C15*J$11)</f>
        <v>8700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63800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IF(DigitaNICA!I8&lt;&gt;"",DigitaNICA!I8,"")</f>
        <v>6550</v>
      </c>
      <c r="D17" s="42">
        <f>IF(C17="",0,C17*J$12)</f>
        <v>786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5764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IF(DigitaPRIMERA!E8&lt;&gt;"",DigitaPRIMERA!E8,"")</f>
        <v>3400</v>
      </c>
      <c r="D20" s="42">
        <f>IF(C20="",0,C20*J$14)</f>
        <v>408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2992</v>
      </c>
    </row>
    <row r="21" spans="1:7" ht="15" thickBot="1" x14ac:dyDescent="0.4">
      <c r="A21" s="121" t="s">
        <v>5</v>
      </c>
      <c r="B21" s="128"/>
      <c r="C21" s="122">
        <f>SUM(C5:C20)</f>
        <v>278450</v>
      </c>
      <c r="D21" s="122">
        <f t="shared" ref="D21:G21" si="5">SUM(D5:D20)</f>
        <v>33414</v>
      </c>
      <c r="E21" s="122">
        <f t="shared" si="5"/>
        <v>1000</v>
      </c>
      <c r="F21" s="122">
        <f t="shared" si="5"/>
        <v>84250</v>
      </c>
      <c r="G21" s="123">
        <f t="shared" si="5"/>
        <v>160786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338600</v>
      </c>
      <c r="K4" s="230">
        <f t="shared" ref="K4" si="0">D7+D11+D15</f>
        <v>40632</v>
      </c>
      <c r="L4" s="219">
        <f>F7+F11+F15</f>
        <v>267750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44850</v>
      </c>
      <c r="D5" s="42">
        <f>IF(C5="",0,C5*J$15)</f>
        <v>5382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-11532</v>
      </c>
      <c r="I5" s="216" t="s">
        <v>37</v>
      </c>
      <c r="J5" s="220">
        <f>SUM(IF(C5="",0,C5),IF(C9="",0,C9),IF(C13="",0,C13),IF(C17="",0,C17))</f>
        <v>171900</v>
      </c>
      <c r="K5" s="224">
        <f t="shared" ref="K5" si="2">D5+D9+D13+D17</f>
        <v>20628</v>
      </c>
      <c r="L5" s="221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30050</v>
      </c>
      <c r="K6" s="225">
        <f t="shared" ref="K6" si="3">+D8+D12+D16</f>
        <v>3005</v>
      </c>
      <c r="L6" s="226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IF(DigitaTICA!C10&lt;&gt;"",DigitaTICA!C10,"")</f>
        <v>143500</v>
      </c>
      <c r="D7" s="42">
        <f>IF(C7="",0,C7*J$14)</f>
        <v>17220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24280</v>
      </c>
      <c r="I7" s="216" t="s">
        <v>96</v>
      </c>
      <c r="J7" s="222">
        <f>SUM(IF(C19="",0,C19),IF(C20="",0,C20))</f>
        <v>29850</v>
      </c>
      <c r="K7" s="225">
        <f>+D19+D20</f>
        <v>3582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5750</v>
      </c>
      <c r="D8" s="42">
        <f>IF(C8="",0,C8*J$16)</f>
        <v>575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-94825</v>
      </c>
      <c r="I8" s="216" t="s">
        <v>104</v>
      </c>
      <c r="J8" s="222">
        <f>SUM(IF(C21="",0,C21),IF(C22="",0,C22),IF(C23="",0,C23))</f>
        <v>50000</v>
      </c>
      <c r="K8" s="225">
        <f t="shared" ref="K8" si="4">D21+D22+D23</f>
        <v>6000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IF(DigitaNICA!E10&lt;&gt;"",DigitaNICA!E10,"")</f>
        <v>55900</v>
      </c>
      <c r="D9" s="42">
        <f>IF(C9="",0,C9*J$15)</f>
        <v>6708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40692</v>
      </c>
      <c r="I9" s="216" t="s">
        <v>20</v>
      </c>
      <c r="J9" s="222">
        <f>SUM(IF(C24="",0,C24),IF(C25="",0,C25))</f>
        <v>131000</v>
      </c>
      <c r="K9" s="225">
        <f t="shared" ref="K9" si="5">+D24+D25</f>
        <v>15720</v>
      </c>
      <c r="L9" s="226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2000</v>
      </c>
      <c r="K10" s="227">
        <f>+D26</f>
        <v>240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IF(DigitaTICA!E10&lt;&gt;"",DigitaTICA!E10,"")</f>
        <v>87850</v>
      </c>
      <c r="D11" s="42">
        <f>IF(C11="",0,C11*J$14)</f>
        <v>10542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17808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7950</v>
      </c>
      <c r="D12" s="42">
        <f>IF(C12="",0,C12*J$16)</f>
        <v>795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7155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29">
        <f>IF(DigitaNICA!G10&lt;&gt;"",DigitaNICA!G10,"")</f>
        <v>37500</v>
      </c>
      <c r="D13" s="42">
        <f>IF(C13="",0,C13*J$15)</f>
        <v>4500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33000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40650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IF(DigitaTICA!G10&lt;&gt;"",DigitaTICA!G10,"")</f>
        <v>107250</v>
      </c>
      <c r="D15" s="42">
        <f>IF(C15="",0,C15*J$14)</f>
        <v>12870</v>
      </c>
      <c r="E15" s="29">
        <f>IF(DigitaTICA!H10&lt;&gt;"",DigitaTICA!H10,"")</f>
        <v>1250</v>
      </c>
      <c r="F15" s="42">
        <f>IF(E15="",0,E15*PREMIOS!F15)</f>
        <v>106250</v>
      </c>
      <c r="G15" s="30">
        <f t="shared" si="6"/>
        <v>-11870</v>
      </c>
      <c r="I15" s="63" t="s">
        <v>37</v>
      </c>
      <c r="J15" s="64">
        <v>0.12</v>
      </c>
      <c r="K15" s="30">
        <f>MROUND(D5+D9+D13+D17,50)</f>
        <v>20650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16350</v>
      </c>
      <c r="D16" s="42">
        <f>IF(C16="",0,C16*J$16)</f>
        <v>1635</v>
      </c>
      <c r="E16" s="29">
        <f>IF(DigitaREVENTADO!H10&lt;&gt;"",DigitaREVENTADO!H10,"")</f>
        <v>200</v>
      </c>
      <c r="F16" s="42">
        <f>IF(E16="",0,E16*PREMIOS!F16)</f>
        <v>0</v>
      </c>
      <c r="G16" s="30">
        <f t="shared" si="6"/>
        <v>14715</v>
      </c>
      <c r="I16" s="63" t="s">
        <v>38</v>
      </c>
      <c r="J16" s="64">
        <v>0.1</v>
      </c>
      <c r="K16" s="30">
        <f>MROUND(D6+D8+D10+D12+D14+D16+D18,50)</f>
        <v>3000</v>
      </c>
    </row>
    <row r="17" spans="1:11" x14ac:dyDescent="0.35">
      <c r="A17" s="28" t="s">
        <v>52</v>
      </c>
      <c r="B17" s="132">
        <f>IF(DigitaNICA!I2&lt;&gt;"",DigitaNICA!I2,"")</f>
        <v>68</v>
      </c>
      <c r="C17" s="29">
        <f>IF(DigitaNICA!I10&lt;&gt;"",DigitaNICA!I10,"")</f>
        <v>33650</v>
      </c>
      <c r="D17" s="42">
        <f>IF(C17="",0,C17*J$15)</f>
        <v>4038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29612</v>
      </c>
      <c r="I17" s="63" t="s">
        <v>96</v>
      </c>
      <c r="J17" s="64">
        <v>0.12</v>
      </c>
      <c r="K17" s="30">
        <f>MROUND(D19+D20,50)</f>
        <v>3600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15700</v>
      </c>
    </row>
    <row r="20" spans="1:11" ht="15" thickBot="1" x14ac:dyDescent="0.4">
      <c r="A20" s="28" t="s">
        <v>98</v>
      </c>
      <c r="B20" s="132">
        <f>IF(DigitaPRIMERA!E2&lt;&gt;"",DigitaPRIMERA!E2,"")</f>
        <v>66</v>
      </c>
      <c r="C20" s="29">
        <f>IF(DigitaPRIMERA!$E$10&lt;&gt;"",DigitaPRIMERA!$E$10,"")</f>
        <v>10750</v>
      </c>
      <c r="D20" s="42">
        <f>IF(C20="",0,C20*J$17)</f>
        <v>1290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9460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2">
        <f>IF(DigitaHONDURAS!C2&lt;&gt;"",DigitaHONDURAS!C2,"")</f>
        <v>21</v>
      </c>
      <c r="C21" s="29">
        <f>IF(DigitaHONDURAS!$C$10&lt;&gt;"",DigitaHONDURAS!$C$10,"")</f>
        <v>29500</v>
      </c>
      <c r="D21" s="42">
        <f>IF(C21="",0,C21*J$18)</f>
        <v>3540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25960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5456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>
        <f>IF(DigitaHONDURAS!$G$10&lt;&gt;"",DigitaHONDURAS!$G$10,"")</f>
        <v>14300</v>
      </c>
      <c r="D23" s="42">
        <f>IF(C23="",0,C23*J$18)</f>
        <v>1716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12584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>
        <f>IF(DigitaDOMINICANA!$C$10&lt;&gt;"",DigitaDOMINICANA!$C$10,"")</f>
        <v>66500</v>
      </c>
      <c r="D24" s="42">
        <f>IF(C24="",0,C24*J$19)</f>
        <v>7980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58520</v>
      </c>
    </row>
    <row r="25" spans="1:11" x14ac:dyDescent="0.35">
      <c r="A25" s="28" t="s">
        <v>108</v>
      </c>
      <c r="B25" s="132">
        <f>IF(DigitaDOMINICANA!E2&lt;&gt;"",DigitaDOMINICANA!E2,"")</f>
        <v>39</v>
      </c>
      <c r="C25" s="29">
        <f>IF(DigitaDOMINICANA!$E$10&lt;&gt;"",DigitaDOMINICANA!$E$10,"")</f>
        <v>64500</v>
      </c>
      <c r="D25" s="42">
        <f>IF(C25="",0,C25*J$19)</f>
        <v>7740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-6990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>
        <f>IF(DigitaPANAMENA!$C$10&lt;&gt;"",DigitaPANAMENA!$C$10,"")</f>
        <v>2000</v>
      </c>
      <c r="D26" s="42">
        <f>IF(C26="",0,C26*J$20)</f>
        <v>240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1760</v>
      </c>
    </row>
    <row r="27" spans="1:11" ht="15" thickBot="1" x14ac:dyDescent="0.4">
      <c r="A27" s="67" t="s">
        <v>5</v>
      </c>
      <c r="B27" s="127"/>
      <c r="C27" s="68">
        <f>SUM(C5:C26)</f>
        <v>753400</v>
      </c>
      <c r="D27" s="68">
        <f t="shared" ref="D27:F27" si="9">SUM(D5:D26)</f>
        <v>89807</v>
      </c>
      <c r="E27" s="68">
        <f t="shared" si="9"/>
        <v>5300</v>
      </c>
      <c r="F27" s="68">
        <f t="shared" si="9"/>
        <v>491000</v>
      </c>
      <c r="G27" s="88">
        <f>SUM(G5:G26)</f>
        <v>172593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11000</v>
      </c>
      <c r="K4" s="230">
        <f t="shared" ref="K4" si="0">D7+D11+D15</f>
        <v>1320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IF(DigitaTICA!G11&lt;&gt;"",DigitaTICA!G11,"")</f>
        <v>8500</v>
      </c>
      <c r="D15" s="42">
        <f>IF(C15="",0,C15*J$11)</f>
        <v>1020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7480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11000</v>
      </c>
      <c r="D21" s="122">
        <f t="shared" ref="D21:G21" si="5">SUM(D5:D20)</f>
        <v>1320</v>
      </c>
      <c r="E21" s="122">
        <f t="shared" si="5"/>
        <v>0</v>
      </c>
      <c r="F21" s="122">
        <f t="shared" si="5"/>
        <v>0</v>
      </c>
      <c r="G21" s="123">
        <f t="shared" si="5"/>
        <v>9680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109650</v>
      </c>
      <c r="K4" s="230">
        <f>D7+D11+D15</f>
        <v>13158</v>
      </c>
      <c r="L4" s="219">
        <f>F7+F11+F15</f>
        <v>80750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28800</v>
      </c>
      <c r="D5" s="42">
        <f>IF(C5="",0,C5*J$12)</f>
        <v>3456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4094</v>
      </c>
      <c r="I5" s="216" t="s">
        <v>37</v>
      </c>
      <c r="J5" s="220">
        <f>SUM(IF(C5="",0,C5),IF(C9="",0,C9),IF(C13="",0,C13),IF(C17="",0,C17))</f>
        <v>55900</v>
      </c>
      <c r="K5" s="224">
        <f t="shared" ref="K5" si="1">D5+D9+D13+D17</f>
        <v>6708</v>
      </c>
      <c r="L5" s="221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4000</v>
      </c>
      <c r="K6" s="225">
        <f t="shared" ref="K6" si="2">+D8+D12+D16</f>
        <v>400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IF(DigitaTICA!C12&lt;&gt;"",DigitaTICA!C12,"")</f>
        <v>41300</v>
      </c>
      <c r="D7" s="42">
        <f>IF(C7="",0,C7*J$11)</f>
        <v>4956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15094</v>
      </c>
      <c r="I7" s="216" t="s">
        <v>96</v>
      </c>
      <c r="J7" s="222">
        <f>SUM(IF(C19="",0,C19),IF(C20="",0,C20))</f>
        <v>28450</v>
      </c>
      <c r="K7" s="225">
        <f>+D19+D20</f>
        <v>3414</v>
      </c>
      <c r="L7" s="226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IF(DigitaNICA!E12&lt;&gt;"",DigitaNICA!E12,"")</f>
        <v>20100</v>
      </c>
      <c r="D9" s="42">
        <f>IF(C9="",0,C9*J$12)</f>
        <v>2412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-3562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IF(DigitaTICA!E12&lt;&gt;"",DigitaTICA!E12,"")</f>
        <v>22600</v>
      </c>
      <c r="D11" s="42">
        <f>IF(C11="",0,C11*J$11)</f>
        <v>2712</v>
      </c>
      <c r="E11" s="29">
        <f>IF(DigitaTICA!F12&lt;&gt;"",DigitaTICA!F12,"")</f>
        <v>450</v>
      </c>
      <c r="F11" s="42">
        <f>IF(E11="",0,E11*PREMIOS!F11)</f>
        <v>38250</v>
      </c>
      <c r="G11" s="30">
        <f t="shared" si="0"/>
        <v>-18362</v>
      </c>
      <c r="I11" s="60" t="s">
        <v>36</v>
      </c>
      <c r="J11" s="61">
        <v>0.12</v>
      </c>
      <c r="K11" s="62">
        <f>MROUND(D7+D11+D15,50)</f>
        <v>13150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6700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IF(DigitaTICA!G12&lt;&gt;"",DigitaTICA!G12,"")</f>
        <v>45750</v>
      </c>
      <c r="D15" s="42">
        <f>IF(C15="",0,C15*J$11)</f>
        <v>5490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19010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IF(DigitaNICA!I12&lt;&gt;"",DigitaNICA!I12,"")</f>
        <v>7000</v>
      </c>
      <c r="D17" s="42">
        <f>IF(C17="",0,C17*J$12)</f>
        <v>840</v>
      </c>
      <c r="E17" s="29">
        <f>IF(DigitaNICA!J12&lt;&gt;"",DigitaNICA!J12,"")</f>
        <v>250</v>
      </c>
      <c r="F17" s="42">
        <f>IF(E17="",0,E17*PREMIOS!F17)</f>
        <v>21250</v>
      </c>
      <c r="G17" s="30">
        <f t="shared" si="3"/>
        <v>-15090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IF(DigitaPRIMERA!$C$12&lt;&gt;"",DigitaPRIMERA!$C$12,"")</f>
        <v>28450</v>
      </c>
      <c r="D19" s="42">
        <f>IF(C19="",0,C19*J$14)</f>
        <v>3414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3786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198000</v>
      </c>
      <c r="D24" s="68">
        <f t="shared" ref="D24:G24" si="4">SUM(D5:D23)</f>
        <v>23680</v>
      </c>
      <c r="E24" s="68">
        <f t="shared" si="4"/>
        <v>1950</v>
      </c>
      <c r="F24" s="68">
        <f t="shared" si="4"/>
        <v>165750</v>
      </c>
      <c r="G24" s="88">
        <f t="shared" si="4"/>
        <v>8570</v>
      </c>
    </row>
    <row r="27" spans="1:7" x14ac:dyDescent="0.35">
      <c r="G27" s="21">
        <v>0</v>
      </c>
    </row>
    <row r="28" spans="1:7" x14ac:dyDescent="0.35">
      <c r="G28" s="140">
        <f>+G24+G27</f>
        <v>8570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86250</v>
      </c>
      <c r="K4" s="230">
        <f t="shared" ref="K4" si="0">D7+D11+D15</f>
        <v>10350</v>
      </c>
      <c r="L4" s="219">
        <f>F7+F11+F15</f>
        <v>38250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24600</v>
      </c>
      <c r="D5" s="42">
        <f>IF(C5="",0,C5*J$10)</f>
        <v>2952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21648</v>
      </c>
      <c r="I5" s="217" t="s">
        <v>37</v>
      </c>
      <c r="J5" s="231">
        <f>SUM(IF(C5="",0,C5),IF(C9="",0,C9),IF(C13="",0,C13),IF(C17="",0,C17))</f>
        <v>32200</v>
      </c>
      <c r="K5" s="232">
        <f t="shared" ref="K5" si="2">D5+D9+D13+D17</f>
        <v>3864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IF(DigitaTICA!C13&lt;&gt;"",DigitaTICA!C13,"")</f>
        <v>20400</v>
      </c>
      <c r="D7" s="42">
        <f>IF(C7="",0,C7*J$9)</f>
        <v>2448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9452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IF(DigitaNICA!E13&lt;&gt;"",DigitaNICA!E13,"")</f>
        <v>5400</v>
      </c>
      <c r="D9" s="42">
        <f>IF(C9="",0,C9*J$10)</f>
        <v>648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4752</v>
      </c>
      <c r="I9" s="60" t="s">
        <v>36</v>
      </c>
      <c r="J9" s="61">
        <v>0.12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3850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IF(DigitaTICA!E13&lt;&gt;"",DigitaTICA!E13,"")</f>
        <v>10900</v>
      </c>
      <c r="D11" s="42">
        <f>IF(C11="",0,C11*J$9)</f>
        <v>1308</v>
      </c>
      <c r="E11" s="29">
        <f>IF(DigitaTICA!F13&lt;&gt;"",DigitaTICA!F13,"")</f>
        <v>350</v>
      </c>
      <c r="F11" s="133">
        <f>IF(E11="",0,E11*PREMIOS!F11)</f>
        <v>29750</v>
      </c>
      <c r="G11" s="30">
        <f t="shared" si="1"/>
        <v>-20158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IF(DigitaTICA!G13&lt;&gt;"",DigitaTICA!G13,"")</f>
        <v>54950</v>
      </c>
      <c r="D15" s="42">
        <f>IF(C15="",0,C15*J$9)</f>
        <v>6594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48356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IF(DigitaNICA!I13&lt;&gt;"",DigitaNICA!I13,"")</f>
        <v>2200</v>
      </c>
      <c r="D17" s="42">
        <f>IF(C17="",0,C17*J$10)</f>
        <v>264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1936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118450</v>
      </c>
      <c r="D19" s="68">
        <f>MROUND(SUM(D5:D18),50)</f>
        <v>14200</v>
      </c>
      <c r="E19" s="68">
        <f>SUM(E5:E18)</f>
        <v>450</v>
      </c>
      <c r="F19" s="68">
        <f>SUM(F5:F18)</f>
        <v>38250</v>
      </c>
      <c r="G19" s="88">
        <f>SUM(G5:G18)</f>
        <v>65986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59300</v>
      </c>
      <c r="K4" s="235">
        <f t="shared" ref="K4" si="0">D7+D11+D15</f>
        <v>8895</v>
      </c>
      <c r="L4" s="236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IF(DigitaTICA!C14&lt;&gt;"",DigitaTICA!C14,"")</f>
        <v>30300</v>
      </c>
      <c r="D7" s="42">
        <f>IF(C7="",0,C7*J$9)</f>
        <v>4545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25755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8900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IF(DigitaTICA!E14&lt;&gt;"",DigitaTICA!E14,"")</f>
        <v>13200</v>
      </c>
      <c r="D11" s="42">
        <f>IF(C11="",0,C11*J$9)</f>
        <v>1980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11220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IF(DigitaTICA!G14&lt;&gt;"",DigitaTICA!G14,"")</f>
        <v>15800</v>
      </c>
      <c r="D15" s="42">
        <f>IF(C15="",0,C15*J$9)</f>
        <v>2370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13430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59300</v>
      </c>
      <c r="D19" s="68">
        <f>MROUND(SUM(D5:D18),50)</f>
        <v>8900</v>
      </c>
      <c r="E19" s="68">
        <f>SUM(E5:E18)</f>
        <v>0</v>
      </c>
      <c r="F19" s="68">
        <f>SUM(F5:F18)</f>
        <v>0</v>
      </c>
      <c r="G19" s="88">
        <f>SUM(G5:G18)</f>
        <v>50405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100050</v>
      </c>
      <c r="K4" s="230">
        <f>D7+D11+D15</f>
        <v>12006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10700</v>
      </c>
      <c r="D5" s="42">
        <f>IF(C5="",0,C5*J$12)</f>
        <v>1284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-10584</v>
      </c>
      <c r="I5" s="63" t="s">
        <v>37</v>
      </c>
      <c r="J5" s="224">
        <f>SUM(IF(C5="",0,C5),IF(C9="",0,C9),IF(C13="",0,C13),IF(C17="",0,C17))</f>
        <v>36700</v>
      </c>
      <c r="K5" s="224">
        <f t="shared" ref="K5" si="1">D5+D9+D13+D17</f>
        <v>4404</v>
      </c>
      <c r="L5" s="221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10000</v>
      </c>
      <c r="K6" s="225">
        <f t="shared" ref="K6" si="2">+D8+D12+D16</f>
        <v>1000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IF(DigitaTICA!C16&lt;&gt;"",DigitaTICA!C16,"")</f>
        <v>31050</v>
      </c>
      <c r="D7" s="42">
        <f>IF(C7="",0,C7*J$11)</f>
        <v>3726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27324</v>
      </c>
      <c r="I7" s="63" t="s">
        <v>96</v>
      </c>
      <c r="J7" s="225">
        <f>SUM(IF(C19="",0,C19),IF(C20="",0,C20))</f>
        <v>2700</v>
      </c>
      <c r="K7" s="225">
        <f>+D19+D20</f>
        <v>324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IF(DigitaNICA!E16&lt;&gt;"",DigitaNICA!E16,"")</f>
        <v>20500</v>
      </c>
      <c r="D9" s="42">
        <f>IF(C9="",0,C9*J$12)</f>
        <v>2460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IF(DigitaTICA!E16&lt;&gt;"",DigitaTICA!E16,"")</f>
        <v>20150</v>
      </c>
      <c r="D11" s="42">
        <f>IF(C11="",0,C11*J$11)</f>
        <v>2418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-3518</v>
      </c>
      <c r="I11" s="76" t="s">
        <v>36</v>
      </c>
      <c r="J11" s="77">
        <v>0.12</v>
      </c>
      <c r="K11" s="78">
        <f>MROUND(D7+D11+D15,50)</f>
        <v>12000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IF(DigitaNICA!G16&lt;&gt;"",DigitaNICA!G16,"")</f>
        <v>5500</v>
      </c>
      <c r="D13" s="42">
        <f>IF(C13="",0,C13*J$12)</f>
        <v>660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IF(DigitaTICA!G16&lt;&gt;"",DigitaTICA!G16,"")</f>
        <v>48850</v>
      </c>
      <c r="D15" s="42">
        <f>IF(C15="",0,C15*J$11)</f>
        <v>5862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21738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IF(DigitaPRIMERA!C16&lt;&gt;"",DigitaPRIMERA!C16,"")</f>
        <v>2700</v>
      </c>
      <c r="D19" s="42">
        <f>IF(C19="",0,C19*J$14)</f>
        <v>324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2376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149450</v>
      </c>
      <c r="D24" s="122">
        <f t="shared" ref="D24:G24" si="5">SUM(D5:D23)</f>
        <v>17734</v>
      </c>
      <c r="E24" s="122">
        <f t="shared" si="5"/>
        <v>750</v>
      </c>
      <c r="F24" s="122">
        <f t="shared" si="5"/>
        <v>62500</v>
      </c>
      <c r="G24" s="123">
        <f t="shared" si="5"/>
        <v>69216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16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16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77</v>
      </c>
      <c r="D2" s="267"/>
      <c r="E2" s="266">
        <f>IF(PREMIOS!$B11="","",PREMIOS!$B11)</f>
        <v>20</v>
      </c>
      <c r="F2" s="267"/>
      <c r="G2" s="266">
        <f>IF(PREMIOS!$B15="","",PREMIOS!$B15)</f>
        <v>16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57500</v>
      </c>
      <c r="D4" s="78">
        <v>350</v>
      </c>
      <c r="E4" s="188">
        <v>30000</v>
      </c>
      <c r="F4" s="78">
        <v>700</v>
      </c>
      <c r="G4" s="188">
        <v>117750</v>
      </c>
      <c r="H4" s="78">
        <v>700</v>
      </c>
      <c r="J4" s="42">
        <f t="shared" ref="J4:J8" si="0">+C4+E4+G4</f>
        <v>205250</v>
      </c>
      <c r="K4" s="42">
        <f>IF(D4="",0,IF(F4="",D4,IF(H4="",D4+F4,D4+F4+H4)))</f>
        <v>1750</v>
      </c>
    </row>
    <row r="5" spans="1:11" x14ac:dyDescent="0.35">
      <c r="A5" s="47">
        <v>2</v>
      </c>
      <c r="B5" s="177" t="str">
        <f>Vendedor2!$B$2</f>
        <v>PUESTO 2</v>
      </c>
      <c r="C5" s="179">
        <v>51400</v>
      </c>
      <c r="D5" s="30">
        <f t="shared" ref="D4:H27" si="1">IF(C5="","",0)</f>
        <v>0</v>
      </c>
      <c r="E5" s="179">
        <v>7600</v>
      </c>
      <c r="F5" s="30">
        <f t="shared" si="1"/>
        <v>0</v>
      </c>
      <c r="G5" s="179">
        <v>56400</v>
      </c>
      <c r="H5" s="30">
        <v>500</v>
      </c>
      <c r="J5" s="42">
        <f t="shared" si="0"/>
        <v>115400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50250</v>
      </c>
      <c r="D8" s="30">
        <f t="shared" si="1"/>
        <v>0</v>
      </c>
      <c r="E8" s="179">
        <v>41600</v>
      </c>
      <c r="F8" s="30">
        <v>850</v>
      </c>
      <c r="G8" s="179">
        <v>72500</v>
      </c>
      <c r="H8" s="30">
        <f t="shared" si="1"/>
        <v>0</v>
      </c>
      <c r="J8" s="42">
        <f t="shared" si="0"/>
        <v>164350</v>
      </c>
      <c r="K8" s="42">
        <f t="shared" si="2"/>
        <v>850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13900+129600</f>
        <v>143500</v>
      </c>
      <c r="D10" s="30">
        <v>1200</v>
      </c>
      <c r="E10" s="179">
        <f>3500+84350</f>
        <v>87850</v>
      </c>
      <c r="F10" s="30">
        <v>700</v>
      </c>
      <c r="G10" s="179">
        <f>20500+86750</f>
        <v>107250</v>
      </c>
      <c r="H10" s="30">
        <v>1250</v>
      </c>
      <c r="J10" s="42">
        <f t="shared" si="3"/>
        <v>338600</v>
      </c>
      <c r="K10" s="42">
        <f t="shared" si="2"/>
        <v>3150</v>
      </c>
    </row>
    <row r="11" spans="1:11" x14ac:dyDescent="0.35">
      <c r="A11" s="47">
        <v>8</v>
      </c>
      <c r="B11" s="177" t="str">
        <f>Vendedor8!$B$2</f>
        <v>ISA</v>
      </c>
      <c r="C11" s="179">
        <f>1000+1500</f>
        <v>2500</v>
      </c>
      <c r="D11" s="30">
        <f t="shared" si="1"/>
        <v>0</v>
      </c>
      <c r="E11" s="179"/>
      <c r="F11" s="30" t="str">
        <f t="shared" si="1"/>
        <v/>
      </c>
      <c r="G11" s="179">
        <f>3000+3000+2500</f>
        <v>8500</v>
      </c>
      <c r="H11" s="30">
        <f t="shared" si="1"/>
        <v>0</v>
      </c>
      <c r="J11" s="42">
        <f t="shared" si="3"/>
        <v>11000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41300</v>
      </c>
      <c r="D12" s="30">
        <v>250</v>
      </c>
      <c r="E12" s="179">
        <v>22600</v>
      </c>
      <c r="F12" s="30">
        <v>450</v>
      </c>
      <c r="G12" s="179">
        <v>45750</v>
      </c>
      <c r="H12" s="30">
        <v>250</v>
      </c>
      <c r="J12" s="42">
        <f t="shared" si="3"/>
        <v>109650</v>
      </c>
      <c r="K12" s="42">
        <f t="shared" si="2"/>
        <v>950</v>
      </c>
    </row>
    <row r="13" spans="1:11" x14ac:dyDescent="0.35">
      <c r="A13" s="47">
        <v>10</v>
      </c>
      <c r="B13" s="177" t="str">
        <f>Vendedor10!$B$2</f>
        <v>MARIALIZ</v>
      </c>
      <c r="C13" s="179">
        <v>20400</v>
      </c>
      <c r="D13" s="30">
        <v>100</v>
      </c>
      <c r="E13" s="179">
        <v>10900</v>
      </c>
      <c r="F13" s="30">
        <v>350</v>
      </c>
      <c r="G13" s="179">
        <v>54950</v>
      </c>
      <c r="H13" s="30">
        <f t="shared" si="1"/>
        <v>0</v>
      </c>
      <c r="J13" s="42">
        <f t="shared" si="3"/>
        <v>86250</v>
      </c>
      <c r="K13" s="42">
        <f t="shared" si="2"/>
        <v>450</v>
      </c>
    </row>
    <row r="14" spans="1:11" x14ac:dyDescent="0.35">
      <c r="A14" s="47">
        <v>11</v>
      </c>
      <c r="B14" s="177" t="str">
        <f>Vendedor11!$B$2</f>
        <v>CHARLY</v>
      </c>
      <c r="C14" s="179">
        <v>30300</v>
      </c>
      <c r="D14" s="30">
        <f t="shared" si="1"/>
        <v>0</v>
      </c>
      <c r="E14" s="179">
        <v>13200</v>
      </c>
      <c r="F14" s="30">
        <f t="shared" si="1"/>
        <v>0</v>
      </c>
      <c r="G14" s="179">
        <v>15800</v>
      </c>
      <c r="H14" s="30">
        <f t="shared" si="1"/>
        <v>0</v>
      </c>
      <c r="J14" s="42">
        <f t="shared" si="3"/>
        <v>59300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31050</v>
      </c>
      <c r="D16" s="30">
        <f t="shared" si="1"/>
        <v>0</v>
      </c>
      <c r="E16" s="179">
        <v>20150</v>
      </c>
      <c r="F16" s="30">
        <v>250</v>
      </c>
      <c r="G16" s="179">
        <v>48850</v>
      </c>
      <c r="H16" s="30">
        <v>250</v>
      </c>
      <c r="J16" s="42">
        <f t="shared" si="3"/>
        <v>100050</v>
      </c>
      <c r="K16" s="42">
        <f t="shared" si="2"/>
        <v>500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179"/>
      <c r="F17" s="30" t="str">
        <f t="shared" si="1"/>
        <v/>
      </c>
      <c r="G17" s="179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179"/>
      <c r="F18" s="30" t="str">
        <f t="shared" si="1"/>
        <v/>
      </c>
      <c r="G18" s="179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428200</v>
      </c>
      <c r="D32" s="44">
        <f t="shared" si="6"/>
        <v>1900</v>
      </c>
      <c r="E32" s="43">
        <f t="shared" si="6"/>
        <v>233900</v>
      </c>
      <c r="F32" s="44">
        <f t="shared" si="6"/>
        <v>3300</v>
      </c>
      <c r="G32" s="43">
        <f t="shared" si="6"/>
        <v>527750</v>
      </c>
      <c r="H32" s="44">
        <f t="shared" si="6"/>
        <v>2950</v>
      </c>
      <c r="J32" s="95">
        <f>SUM(J4:J31)</f>
        <v>1189850</v>
      </c>
      <c r="K32" s="95"/>
    </row>
    <row r="33" spans="2:8" x14ac:dyDescent="0.35">
      <c r="D33" s="99">
        <f>+D32*85</f>
        <v>161500</v>
      </c>
      <c r="F33" s="99">
        <f>+F32*85</f>
        <v>280500</v>
      </c>
      <c r="H33" s="99">
        <f>+H32*85</f>
        <v>250750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40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06</v>
      </c>
      <c r="D2" s="267"/>
      <c r="E2" s="266">
        <f>IF(PREMIOS!$B9="","",PREMIOS!$B9)</f>
        <v>40</v>
      </c>
      <c r="F2" s="267"/>
      <c r="G2" s="266">
        <f>IF(PREMIOS!$B13="","",PREMIOS!$B13)</f>
        <v>89</v>
      </c>
      <c r="H2" s="267"/>
      <c r="I2" s="266">
        <f>IF(PREMIOS!$B17="","",PREMIOS!$B17)</f>
        <v>68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19300</v>
      </c>
      <c r="D4" s="78">
        <f t="shared" ref="D4:J27" si="0">IF(C4="","",0)</f>
        <v>0</v>
      </c>
      <c r="E4" s="205">
        <v>13750</v>
      </c>
      <c r="F4" s="78">
        <f t="shared" si="0"/>
        <v>0</v>
      </c>
      <c r="G4" s="188">
        <v>8700</v>
      </c>
      <c r="H4" s="78">
        <f t="shared" ref="H4:H27" si="1">IF(G4="","",0)</f>
        <v>0</v>
      </c>
      <c r="I4" s="188">
        <v>13400</v>
      </c>
      <c r="J4" s="78">
        <v>2000</v>
      </c>
      <c r="L4" s="42">
        <f t="shared" ref="L4:L8" si="2">+C4+E4+G4+I4</f>
        <v>55150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14600</v>
      </c>
      <c r="D5" s="30">
        <f t="shared" si="0"/>
        <v>0</v>
      </c>
      <c r="E5" s="206">
        <v>20700</v>
      </c>
      <c r="F5" s="30">
        <v>500</v>
      </c>
      <c r="G5" s="179">
        <v>1250</v>
      </c>
      <c r="H5" s="30">
        <f t="shared" si="1"/>
        <v>0</v>
      </c>
      <c r="I5" s="179">
        <v>1000</v>
      </c>
      <c r="J5" s="30">
        <f t="shared" ref="J5:J27" si="3">IF(I5="","",0)</f>
        <v>0</v>
      </c>
      <c r="L5" s="42">
        <f t="shared" si="2"/>
        <v>37550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34050</v>
      </c>
      <c r="D8" s="30">
        <v>150</v>
      </c>
      <c r="E8" s="206">
        <v>34800</v>
      </c>
      <c r="F8" s="30">
        <f t="shared" si="0"/>
        <v>0</v>
      </c>
      <c r="G8" s="179">
        <v>8800</v>
      </c>
      <c r="H8" s="30">
        <f t="shared" si="1"/>
        <v>0</v>
      </c>
      <c r="I8" s="179">
        <v>6550</v>
      </c>
      <c r="J8" s="30">
        <f t="shared" si="0"/>
        <v>0</v>
      </c>
      <c r="L8" s="42">
        <f t="shared" si="2"/>
        <v>84200</v>
      </c>
      <c r="M8" s="42">
        <f t="shared" si="4"/>
        <v>150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10200+34650</f>
        <v>44850</v>
      </c>
      <c r="D10" s="30">
        <v>600</v>
      </c>
      <c r="E10" s="206">
        <f>10700+45200</f>
        <v>55900</v>
      </c>
      <c r="F10" s="30">
        <v>100</v>
      </c>
      <c r="G10" s="179">
        <v>37500</v>
      </c>
      <c r="H10" s="30">
        <f t="shared" si="0"/>
        <v>0</v>
      </c>
      <c r="I10" s="179">
        <f>10500+23150</f>
        <v>33650</v>
      </c>
      <c r="J10" s="30">
        <f t="shared" si="0"/>
        <v>0</v>
      </c>
      <c r="L10" s="42">
        <f t="shared" si="5"/>
        <v>171900</v>
      </c>
      <c r="M10" s="42">
        <f t="shared" si="4"/>
        <v>700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28800</v>
      </c>
      <c r="D12" s="30">
        <v>250</v>
      </c>
      <c r="E12" s="206">
        <v>20100</v>
      </c>
      <c r="F12" s="30">
        <v>250</v>
      </c>
      <c r="G12" s="179"/>
      <c r="H12" s="30" t="str">
        <f t="shared" si="0"/>
        <v/>
      </c>
      <c r="I12" s="179">
        <v>7000</v>
      </c>
      <c r="J12" s="30">
        <v>250</v>
      </c>
      <c r="L12" s="42">
        <f t="shared" si="5"/>
        <v>55900</v>
      </c>
      <c r="M12" s="42">
        <f t="shared" si="4"/>
        <v>500</v>
      </c>
    </row>
    <row r="13" spans="1:13" x14ac:dyDescent="0.35">
      <c r="A13" s="47">
        <v>10</v>
      </c>
      <c r="B13" s="177" t="str">
        <f>Vendedor10!$B$2</f>
        <v>MARIALIZ</v>
      </c>
      <c r="C13" s="179">
        <v>24600</v>
      </c>
      <c r="D13" s="30">
        <f t="shared" si="0"/>
        <v>0</v>
      </c>
      <c r="E13" s="206">
        <v>5400</v>
      </c>
      <c r="F13" s="30">
        <f t="shared" si="0"/>
        <v>0</v>
      </c>
      <c r="G13" s="179"/>
      <c r="H13" s="30" t="str">
        <f t="shared" si="0"/>
        <v/>
      </c>
      <c r="I13" s="179">
        <v>2200</v>
      </c>
      <c r="J13" s="30">
        <f t="shared" si="0"/>
        <v>0</v>
      </c>
      <c r="L13" s="42">
        <f t="shared" si="5"/>
        <v>32200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10700</v>
      </c>
      <c r="D16" s="30">
        <v>250</v>
      </c>
      <c r="E16" s="206">
        <v>20500</v>
      </c>
      <c r="F16" s="30">
        <f t="shared" si="0"/>
        <v>0</v>
      </c>
      <c r="G16" s="179">
        <v>5500</v>
      </c>
      <c r="H16" s="30">
        <f t="shared" si="0"/>
        <v>0</v>
      </c>
      <c r="I16" s="179"/>
      <c r="J16" s="30" t="str">
        <f t="shared" si="0"/>
        <v/>
      </c>
      <c r="L16" s="42">
        <f t="shared" si="5"/>
        <v>36700</v>
      </c>
      <c r="M16" s="42">
        <f t="shared" si="4"/>
        <v>250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176900</v>
      </c>
      <c r="D32" s="44">
        <f t="shared" si="7"/>
        <v>1250</v>
      </c>
      <c r="E32" s="43">
        <f t="shared" si="7"/>
        <v>171150</v>
      </c>
      <c r="F32" s="44">
        <f t="shared" si="7"/>
        <v>850</v>
      </c>
      <c r="G32" s="43">
        <f t="shared" si="7"/>
        <v>61750</v>
      </c>
      <c r="H32" s="44">
        <f t="shared" si="7"/>
        <v>0</v>
      </c>
      <c r="I32" s="43">
        <f t="shared" si="7"/>
        <v>63800</v>
      </c>
      <c r="J32" s="44">
        <f t="shared" si="7"/>
        <v>2250</v>
      </c>
      <c r="L32" s="95">
        <f>SUM(L9:L31)</f>
        <v>296700</v>
      </c>
      <c r="M32" s="95">
        <f>SUM(M9:M31)</f>
        <v>1450</v>
      </c>
    </row>
    <row r="34" spans="5:5" x14ac:dyDescent="0.35">
      <c r="E34">
        <v>5400</v>
      </c>
    </row>
    <row r="35" spans="5:5" x14ac:dyDescent="0.35">
      <c r="E35">
        <v>34800</v>
      </c>
    </row>
    <row r="36" spans="5:5" x14ac:dyDescent="0.35">
      <c r="E36">
        <v>20700</v>
      </c>
    </row>
    <row r="37" spans="5:5" x14ac:dyDescent="0.35">
      <c r="E37">
        <v>20100</v>
      </c>
    </row>
    <row r="38" spans="5:5" x14ac:dyDescent="0.35">
      <c r="E38">
        <v>20500</v>
      </c>
    </row>
    <row r="39" spans="5:5" x14ac:dyDescent="0.35">
      <c r="E39">
        <f>10700+45200</f>
        <v>55900</v>
      </c>
    </row>
    <row r="40" spans="5:5" x14ac:dyDescent="0.35">
      <c r="E40">
        <v>13750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>16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1500+4250</f>
        <v>5750</v>
      </c>
      <c r="D10" s="30">
        <v>500</v>
      </c>
      <c r="E10" s="179">
        <f>1000+6950</f>
        <v>7950</v>
      </c>
      <c r="F10" s="30">
        <f t="shared" si="0"/>
        <v>0</v>
      </c>
      <c r="G10" s="179">
        <f>3500+12850</f>
        <v>16350</v>
      </c>
      <c r="H10" s="30">
        <v>200</v>
      </c>
      <c r="J10" s="42">
        <f t="shared" si="3"/>
        <v>30050</v>
      </c>
      <c r="K10" s="42">
        <f t="shared" si="4"/>
        <v>700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3000</v>
      </c>
      <c r="D12" s="30">
        <f t="shared" si="0"/>
        <v>0</v>
      </c>
      <c r="E12" s="179"/>
      <c r="F12" s="30" t="str">
        <f t="shared" si="1"/>
        <v/>
      </c>
      <c r="G12" s="179">
        <v>1000</v>
      </c>
      <c r="H12" s="30">
        <f t="shared" si="0"/>
        <v>0</v>
      </c>
      <c r="J12" s="42">
        <f t="shared" si="3"/>
        <v>4000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>
        <v>4000</v>
      </c>
      <c r="F16" s="194">
        <f t="shared" si="1"/>
        <v>0</v>
      </c>
      <c r="G16" s="193">
        <v>4000</v>
      </c>
      <c r="H16" s="194">
        <f t="shared" si="0"/>
        <v>0</v>
      </c>
      <c r="J16" s="42">
        <f t="shared" si="3"/>
        <v>10000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10750</v>
      </c>
      <c r="D33" s="44">
        <f t="shared" si="7"/>
        <v>500</v>
      </c>
      <c r="E33" s="43">
        <f t="shared" si="7"/>
        <v>11950</v>
      </c>
      <c r="F33" s="44">
        <f t="shared" si="7"/>
        <v>0</v>
      </c>
      <c r="G33" s="43">
        <f t="shared" si="7"/>
        <v>21350</v>
      </c>
      <c r="H33" s="44">
        <f t="shared" si="7"/>
        <v>200</v>
      </c>
      <c r="J33" s="45">
        <f>SUM(J4:J32)</f>
        <v>44050</v>
      </c>
      <c r="K33" s="95">
        <f>SUM(K4:K32)</f>
        <v>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16</v>
      </c>
      <c r="D2" s="267"/>
      <c r="E2" s="266">
        <f>IF(PREMIOS!$C19="","",PREMIOS!$C19)</f>
        <v>66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700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1700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10700</v>
      </c>
      <c r="D5" s="30">
        <v>1000</v>
      </c>
      <c r="E5" s="179"/>
      <c r="F5" s="30" t="str">
        <f t="shared" ref="F5:F27" si="1">IF(E5="","",0)</f>
        <v/>
      </c>
      <c r="H5" s="42">
        <f t="shared" ref="H5:H32" si="2">+C5+E5</f>
        <v>10700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26500</v>
      </c>
      <c r="D8" s="30">
        <f t="shared" si="0"/>
        <v>0</v>
      </c>
      <c r="E8" s="193">
        <v>3400</v>
      </c>
      <c r="F8" s="194">
        <f t="shared" si="1"/>
        <v>0</v>
      </c>
      <c r="H8" s="42">
        <f t="shared" si="2"/>
        <v>29900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19100</v>
      </c>
      <c r="D10" s="30">
        <f t="shared" si="0"/>
        <v>0</v>
      </c>
      <c r="E10" s="179">
        <v>10750</v>
      </c>
      <c r="F10" s="194">
        <f t="shared" si="1"/>
        <v>0</v>
      </c>
      <c r="H10" s="42">
        <f t="shared" si="2"/>
        <v>29850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28450</v>
      </c>
      <c r="D12" s="30">
        <v>250</v>
      </c>
      <c r="E12" s="193"/>
      <c r="F12" s="30" t="str">
        <f t="shared" si="0"/>
        <v/>
      </c>
      <c r="H12" s="42">
        <f t="shared" si="2"/>
        <v>28450</v>
      </c>
      <c r="I12" s="42">
        <f t="shared" si="3"/>
        <v>250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2700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2700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88150</v>
      </c>
      <c r="D33" s="44">
        <f>SUM(D4:D32)</f>
        <v>1250</v>
      </c>
      <c r="E33" s="43">
        <f>SUM(E4:E32)</f>
        <v>15150</v>
      </c>
      <c r="F33" s="44">
        <f>SUM(F4:F32)</f>
        <v>0</v>
      </c>
      <c r="H33" s="95">
        <f>SUM(H4:H32)</f>
        <v>103300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21</v>
      </c>
      <c r="D2" s="267"/>
      <c r="E2" s="266">
        <f>IF(PREMIOS!$C20="","",PREMIOS!$C20)</f>
        <v>55</v>
      </c>
      <c r="F2" s="267"/>
      <c r="G2" s="266">
        <f>IF(PREMIOS!$D20="","",PREMIOS!$D20)</f>
        <v>14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29500</v>
      </c>
      <c r="D10" s="194">
        <f t="shared" si="0"/>
        <v>0</v>
      </c>
      <c r="E10" s="179">
        <v>6200</v>
      </c>
      <c r="F10" s="30">
        <f t="shared" si="0"/>
        <v>0</v>
      </c>
      <c r="G10" s="179">
        <v>14300</v>
      </c>
      <c r="H10" s="194">
        <f t="shared" si="0"/>
        <v>0</v>
      </c>
      <c r="J10" s="42">
        <f t="shared" si="3"/>
        <v>50000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29500</v>
      </c>
      <c r="D33" s="44">
        <f t="shared" si="6"/>
        <v>0</v>
      </c>
      <c r="E33" s="43">
        <f t="shared" si="6"/>
        <v>6200</v>
      </c>
      <c r="F33" s="44">
        <f t="shared" si="6"/>
        <v>0</v>
      </c>
      <c r="G33" s="43">
        <f t="shared" si="6"/>
        <v>14300</v>
      </c>
      <c r="H33" s="44">
        <f t="shared" si="6"/>
        <v>0</v>
      </c>
      <c r="J33" s="45">
        <f>SUM(J4:J32)</f>
        <v>50000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39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66500</v>
      </c>
      <c r="D10" s="30">
        <f t="shared" si="0"/>
        <v>0</v>
      </c>
      <c r="E10" s="179">
        <v>64500</v>
      </c>
      <c r="F10" s="30">
        <v>750</v>
      </c>
      <c r="H10" s="42">
        <f t="shared" si="2"/>
        <v>131000</v>
      </c>
      <c r="I10" s="42">
        <f t="shared" si="3"/>
        <v>750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66500</v>
      </c>
      <c r="D33" s="44">
        <f>SUM(D4:D32)</f>
        <v>0</v>
      </c>
      <c r="E33" s="43">
        <f>SUM(E4:E32)</f>
        <v>64500</v>
      </c>
      <c r="F33" s="44">
        <f>SUM(F4:F32)</f>
        <v>750</v>
      </c>
      <c r="H33" s="45">
        <f>SUM(H4:H32)</f>
        <v>131000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11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>
        <v>2000</v>
      </c>
      <c r="D10" s="30">
        <f t="shared" si="0"/>
        <v>0</v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2026-08-10T16:20:45Z</dcterms:modified>
  <dc:language>es-CR</dc:language>
</cp:coreProperties>
</file>
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8- CUENTAS DIARIAS AGOSTO/"/>
    </mc:Choice>
  </mc:AlternateContent>
  <xr:revisionPtr revIDLastSave="1" documentId="11_D20E6148FFB9A7D2B009F3561CCD00F7B96288D2" xr6:coauthVersionLast="47" xr6:coauthVersionMax="47" xr10:uidLastSave="{FD167B7F-045C-46CC-9A1F-EF4B51A0C3AD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15" l="1"/>
  <c r="B2" i="14"/>
  <c r="B2" i="16"/>
  <c r="B2" i="21"/>
  <c r="B2" i="22"/>
  <c r="I5" i="69"/>
  <c r="K12" i="69" l="1"/>
  <c r="C34" i="60"/>
  <c r="D34" i="60" s="1"/>
  <c r="G10" i="62"/>
  <c r="N5" i="69"/>
  <c r="K3" i="69"/>
  <c r="K2" i="69"/>
  <c r="I10" i="61"/>
  <c r="H10" i="60"/>
  <c r="G10" i="60"/>
  <c r="G11" i="60"/>
  <c r="E10" i="62"/>
  <c r="C10" i="62"/>
  <c r="E10" i="61"/>
  <c r="E10" i="60"/>
  <c r="D10" i="60"/>
  <c r="C10" i="60"/>
  <c r="C11" i="60"/>
  <c r="C10" i="61"/>
  <c r="D18" i="64" l="1"/>
  <c r="D18" i="65"/>
  <c r="D11" i="65"/>
  <c r="D10" i="65"/>
  <c r="D18" i="61"/>
  <c r="D17" i="61"/>
  <c r="D10" i="61"/>
  <c r="D9" i="61"/>
  <c r="E23" i="15"/>
  <c r="H16" i="71" s="1"/>
  <c r="C23" i="15"/>
  <c r="D23" i="15" s="1"/>
  <c r="C22" i="15"/>
  <c r="D22" i="15" s="1"/>
  <c r="C21" i="15"/>
  <c r="C16" i="71" s="1"/>
  <c r="H16" i="64"/>
  <c r="D16" i="64"/>
  <c r="E21" i="15" s="1"/>
  <c r="B2" i="7"/>
  <c r="B2" i="6"/>
  <c r="B2" i="23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7" i="65"/>
  <c r="D6" i="65"/>
  <c r="D5" i="65"/>
  <c r="F14" i="19"/>
  <c r="F10" i="19"/>
  <c r="F6" i="19"/>
  <c r="F14" i="8"/>
  <c r="F10" i="8"/>
  <c r="F6" i="8"/>
  <c r="H9" i="69"/>
  <c r="F23" i="15" l="1"/>
  <c r="E16" i="71"/>
  <c r="G16" i="71"/>
  <c r="F21" i="15"/>
  <c r="D16" i="71"/>
  <c r="D21" i="15"/>
  <c r="K8" i="15" s="1"/>
  <c r="G23" i="15"/>
  <c r="K15" i="15"/>
  <c r="J8" i="15"/>
  <c r="D27" i="62" l="1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1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8" i="60"/>
  <c r="D17" i="60"/>
  <c r="D15" i="60"/>
  <c r="E7" i="16"/>
  <c r="D9" i="60"/>
  <c r="D7" i="60"/>
  <c r="F18" i="23"/>
  <c r="F14" i="23"/>
  <c r="F10" i="23"/>
  <c r="F6" i="23"/>
  <c r="F6" i="14"/>
  <c r="F10" i="14"/>
  <c r="F14" i="14"/>
  <c r="F18" i="14"/>
  <c r="H10" i="64"/>
  <c r="D10" i="64"/>
  <c r="F17" i="64"/>
  <c r="F17" i="65"/>
  <c r="F8" i="65"/>
  <c r="F18" i="62"/>
  <c r="F10" i="62"/>
  <c r="D5" i="61"/>
  <c r="F17" i="61"/>
  <c r="F18" i="61"/>
  <c r="F16" i="61"/>
  <c r="J17" i="61"/>
  <c r="D6" i="60"/>
  <c r="F18" i="60"/>
  <c r="F17" i="60"/>
  <c r="F16" i="60"/>
  <c r="F15" i="60"/>
  <c r="F14" i="60"/>
  <c r="F12" i="60"/>
  <c r="F11" i="60"/>
  <c r="F9" i="60"/>
  <c r="F7" i="60"/>
  <c r="F6" i="60"/>
  <c r="F5" i="60"/>
  <c r="F4" i="60"/>
  <c r="H17" i="60"/>
  <c r="H15" i="60"/>
  <c r="H9" i="60"/>
  <c r="H7" i="60"/>
  <c r="H6" i="60"/>
  <c r="F18" i="21"/>
  <c r="F14" i="21"/>
  <c r="F10" i="21"/>
  <c r="F6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9" i="61"/>
  <c r="J8" i="61"/>
  <c r="J7" i="61"/>
  <c r="F15" i="61"/>
  <c r="F14" i="61"/>
  <c r="F13" i="61"/>
  <c r="F11" i="61"/>
  <c r="E9" i="16" s="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F4" i="61"/>
  <c r="E5" i="16"/>
  <c r="J8" i="14" l="1"/>
  <c r="D21" i="14"/>
  <c r="C12" i="71"/>
  <c r="D22" i="14"/>
  <c r="K15" i="14" s="1"/>
  <c r="G12" i="71"/>
  <c r="E19" i="16"/>
  <c r="D20" i="16"/>
  <c r="F18" i="64"/>
  <c r="F17" i="62"/>
  <c r="E11" i="16"/>
  <c r="H17" i="64"/>
  <c r="F10" i="65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8" i="61"/>
  <c r="H17" i="61"/>
  <c r="H16" i="61"/>
  <c r="H15" i="61"/>
  <c r="H14" i="61"/>
  <c r="H13" i="61"/>
  <c r="H12" i="61"/>
  <c r="H11" i="61"/>
  <c r="E13" i="16" s="1"/>
  <c r="H10" i="61"/>
  <c r="H18" i="60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H27" i="60" l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F30" i="73"/>
  <c r="H29" i="73"/>
  <c r="I29" i="73" s="1"/>
  <c r="F29" i="73"/>
  <c r="F28" i="73"/>
  <c r="H22" i="73"/>
  <c r="I22" i="73" s="1"/>
  <c r="H20" i="73"/>
  <c r="I20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5" i="73"/>
  <c r="F24" i="73"/>
  <c r="F23" i="73"/>
  <c r="F16" i="73"/>
  <c r="F15" i="73"/>
  <c r="F14" i="73"/>
  <c r="G14" i="73" s="1"/>
  <c r="L14" i="73" s="1"/>
  <c r="F13" i="73"/>
  <c r="F12" i="73"/>
  <c r="F11" i="73"/>
  <c r="G11" i="73" s="1"/>
  <c r="L11" i="73" s="1"/>
  <c r="F9" i="73"/>
  <c r="F8" i="73"/>
  <c r="G8" i="73" s="1"/>
  <c r="L8" i="73" s="1"/>
  <c r="F7" i="73"/>
  <c r="F6" i="73"/>
  <c r="F5" i="73"/>
  <c r="F4" i="73"/>
  <c r="D31" i="73"/>
  <c r="H31" i="73" s="1"/>
  <c r="I31" i="73" s="1"/>
  <c r="C31" i="73"/>
  <c r="F31" i="73" s="1"/>
  <c r="B31" i="73"/>
  <c r="D30" i="73"/>
  <c r="H30" i="73" s="1"/>
  <c r="I30" i="73" s="1"/>
  <c r="C30" i="73"/>
  <c r="B30" i="73"/>
  <c r="D29" i="73"/>
  <c r="C29" i="73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B25" i="73"/>
  <c r="D24" i="73"/>
  <c r="H24" i="73" s="1"/>
  <c r="I24" i="73" s="1"/>
  <c r="C24" i="73"/>
  <c r="B24" i="73"/>
  <c r="D23" i="73"/>
  <c r="H23" i="73" s="1"/>
  <c r="I23" i="73" s="1"/>
  <c r="C23" i="73"/>
  <c r="B23" i="73"/>
  <c r="D22" i="73"/>
  <c r="C22" i="73"/>
  <c r="F22" i="73" s="1"/>
  <c r="B22" i="73"/>
  <c r="D21" i="73"/>
  <c r="H21" i="73" s="1"/>
  <c r="I21" i="73" s="1"/>
  <c r="C21" i="73"/>
  <c r="F21" i="73" s="1"/>
  <c r="B21" i="73"/>
  <c r="D20" i="73"/>
  <c r="C20" i="73"/>
  <c r="F20" i="73" s="1"/>
  <c r="B20" i="73"/>
  <c r="B19" i="73"/>
  <c r="B18" i="73"/>
  <c r="B17" i="73"/>
  <c r="B16" i="73"/>
  <c r="G15" i="73"/>
  <c r="L15" i="73" s="1"/>
  <c r="B15" i="73"/>
  <c r="B14" i="73"/>
  <c r="B13" i="73"/>
  <c r="B12" i="73"/>
  <c r="B10" i="73"/>
  <c r="G7" i="73"/>
  <c r="L7" i="73" s="1"/>
  <c r="B7" i="73"/>
  <c r="B6" i="73"/>
  <c r="B5" i="73"/>
  <c r="G4" i="73"/>
  <c r="B4" i="73"/>
  <c r="H18" i="72"/>
  <c r="D17" i="72"/>
  <c r="H17" i="72"/>
  <c r="F31" i="72"/>
  <c r="E31" i="72"/>
  <c r="D31" i="72"/>
  <c r="C31" i="72"/>
  <c r="H31" i="72" s="1"/>
  <c r="B31" i="72"/>
  <c r="H30" i="72"/>
  <c r="F30" i="72"/>
  <c r="E30" i="72"/>
  <c r="D30" i="72"/>
  <c r="C30" i="72"/>
  <c r="B30" i="72"/>
  <c r="F29" i="72"/>
  <c r="E29" i="72"/>
  <c r="D29" i="72"/>
  <c r="J29" i="72" s="1"/>
  <c r="K29" i="72" s="1"/>
  <c r="C29" i="72"/>
  <c r="H29" i="72" s="1"/>
  <c r="I29" i="72" s="1"/>
  <c r="B29" i="72"/>
  <c r="F28" i="72"/>
  <c r="E28" i="72"/>
  <c r="D28" i="72"/>
  <c r="J28" i="72" s="1"/>
  <c r="K28" i="72" s="1"/>
  <c r="C28" i="72"/>
  <c r="H28" i="72" s="1"/>
  <c r="B28" i="72"/>
  <c r="B27" i="72"/>
  <c r="F26" i="72"/>
  <c r="E26" i="72"/>
  <c r="D26" i="72"/>
  <c r="J26" i="72" s="1"/>
  <c r="K26" i="72" s="1"/>
  <c r="C26" i="72"/>
  <c r="H26" i="72" s="1"/>
  <c r="N26" i="72" s="1"/>
  <c r="B26" i="72"/>
  <c r="F25" i="72"/>
  <c r="E25" i="72"/>
  <c r="D25" i="72"/>
  <c r="J25" i="72" s="1"/>
  <c r="K25" i="72" s="1"/>
  <c r="C25" i="72"/>
  <c r="H25" i="72" s="1"/>
  <c r="B25" i="72"/>
  <c r="F24" i="72"/>
  <c r="E24" i="72"/>
  <c r="D24" i="72"/>
  <c r="J24" i="72" s="1"/>
  <c r="K24" i="72" s="1"/>
  <c r="C24" i="72"/>
  <c r="H24" i="72" s="1"/>
  <c r="B24" i="72"/>
  <c r="F23" i="72"/>
  <c r="E23" i="72"/>
  <c r="D23" i="72"/>
  <c r="C23" i="72"/>
  <c r="B23" i="72"/>
  <c r="F22" i="72"/>
  <c r="E22" i="72"/>
  <c r="D22" i="72"/>
  <c r="J22" i="72" s="1"/>
  <c r="K22" i="72" s="1"/>
  <c r="C22" i="72"/>
  <c r="H22" i="72" s="1"/>
  <c r="B22" i="72"/>
  <c r="F21" i="72"/>
  <c r="E21" i="72"/>
  <c r="D21" i="72"/>
  <c r="C21" i="72"/>
  <c r="B21" i="72"/>
  <c r="F20" i="72"/>
  <c r="E20" i="72"/>
  <c r="D20" i="72"/>
  <c r="J20" i="72" s="1"/>
  <c r="K20" i="72" s="1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I12" i="72"/>
  <c r="N12" i="72" s="1"/>
  <c r="H12" i="72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I8" i="72"/>
  <c r="H8" i="72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D22" i="71"/>
  <c r="L22" i="71" s="1"/>
  <c r="M22" i="71" s="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H28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E26" i="21" s="1"/>
  <c r="F26" i="21" s="1"/>
  <c r="L10" i="21" s="1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I23" i="66" s="1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D15" i="66"/>
  <c r="I15" i="66" s="1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9" i="64" s="1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2" i="66"/>
  <c r="I21" i="66"/>
  <c r="I19" i="66"/>
  <c r="I16" i="66"/>
  <c r="I14" i="66"/>
  <c r="I13" i="66"/>
  <c r="I12" i="66"/>
  <c r="I11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D30" i="70"/>
  <c r="J30" i="70" s="1"/>
  <c r="C30" i="70"/>
  <c r="H30" i="70" s="1"/>
  <c r="B30" i="70"/>
  <c r="F29" i="70"/>
  <c r="E29" i="70"/>
  <c r="D29" i="70"/>
  <c r="J29" i="70" s="1"/>
  <c r="C29" i="70"/>
  <c r="H29" i="70" s="1"/>
  <c r="B29" i="70"/>
  <c r="F28" i="70"/>
  <c r="E28" i="70"/>
  <c r="D28" i="70"/>
  <c r="J28" i="70" s="1"/>
  <c r="C28" i="70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C24" i="70"/>
  <c r="B24" i="70"/>
  <c r="F23" i="70"/>
  <c r="E23" i="70"/>
  <c r="D23" i="70"/>
  <c r="C23" i="70"/>
  <c r="H23" i="70" s="1"/>
  <c r="B23" i="70"/>
  <c r="F22" i="70"/>
  <c r="E22" i="70"/>
  <c r="D22" i="70"/>
  <c r="C22" i="70"/>
  <c r="H22" i="70" s="1"/>
  <c r="B22" i="70"/>
  <c r="F21" i="70"/>
  <c r="E21" i="70"/>
  <c r="D21" i="70"/>
  <c r="J21" i="70" s="1"/>
  <c r="K21" i="70" s="1"/>
  <c r="C21" i="70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B30" i="66"/>
  <c r="F29" i="66"/>
  <c r="E29" i="66"/>
  <c r="D29" i="66"/>
  <c r="C29" i="66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G33" i="64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B29" i="64"/>
  <c r="K28" i="64"/>
  <c r="J28" i="64"/>
  <c r="B28" i="64"/>
  <c r="J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I25" i="72" l="1"/>
  <c r="N25" i="72" s="1"/>
  <c r="F25" i="29"/>
  <c r="F27" i="72"/>
  <c r="H29" i="66"/>
  <c r="J23" i="70"/>
  <c r="K23" i="70" s="1"/>
  <c r="J32" i="64"/>
  <c r="L6" i="6"/>
  <c r="K20" i="19"/>
  <c r="K9" i="19"/>
  <c r="L21" i="71"/>
  <c r="M21" i="71" s="1"/>
  <c r="J22" i="71"/>
  <c r="J31" i="71"/>
  <c r="D18" i="72"/>
  <c r="J31" i="64"/>
  <c r="E33" i="66"/>
  <c r="L20" i="71"/>
  <c r="M20" i="71" s="1"/>
  <c r="J30" i="71"/>
  <c r="K30" i="71" s="1"/>
  <c r="I15" i="72"/>
  <c r="N15" i="72" s="1"/>
  <c r="E27" i="72"/>
  <c r="J22" i="70"/>
  <c r="K22" i="70" s="1"/>
  <c r="D26" i="21"/>
  <c r="J10" i="21"/>
  <c r="C17" i="73"/>
  <c r="F17" i="73" s="1"/>
  <c r="J10" i="8"/>
  <c r="D26" i="19"/>
  <c r="J10" i="19"/>
  <c r="J29" i="71"/>
  <c r="J21" i="72"/>
  <c r="K21" i="72" s="1"/>
  <c r="J31" i="72"/>
  <c r="K31" i="72" s="1"/>
  <c r="J29" i="64"/>
  <c r="H24" i="70"/>
  <c r="J7" i="19"/>
  <c r="F25" i="19"/>
  <c r="L9" i="19" s="1"/>
  <c r="F18" i="72"/>
  <c r="J26" i="71"/>
  <c r="L29" i="71"/>
  <c r="M29" i="71" s="1"/>
  <c r="H21" i="72"/>
  <c r="I21" i="72" s="1"/>
  <c r="N21" i="72" s="1"/>
  <c r="H30" i="66"/>
  <c r="H21" i="70"/>
  <c r="J24" i="70"/>
  <c r="K24" i="70" s="1"/>
  <c r="L28" i="71"/>
  <c r="M28" i="71" s="1"/>
  <c r="H23" i="72"/>
  <c r="J30" i="72"/>
  <c r="K30" i="72" s="1"/>
  <c r="K28" i="70"/>
  <c r="K27" i="64"/>
  <c r="F22" i="15"/>
  <c r="L8" i="15" s="1"/>
  <c r="F16" i="71"/>
  <c r="L16" i="71" s="1"/>
  <c r="M16" i="71" s="1"/>
  <c r="G22" i="15"/>
  <c r="L25" i="71"/>
  <c r="M25" i="71" s="1"/>
  <c r="J23" i="72"/>
  <c r="K23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L27" i="71" s="1"/>
  <c r="M27" i="71" s="1"/>
  <c r="E27" i="7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K23" i="71" s="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0" i="21" l="1"/>
  <c r="K10" i="21"/>
  <c r="N27" i="71"/>
  <c r="N27" i="72"/>
  <c r="K21" i="19"/>
  <c r="K10" i="19"/>
  <c r="K21" i="8"/>
  <c r="K10" i="8"/>
  <c r="K12" i="17"/>
  <c r="L27" i="70"/>
  <c r="I33" i="66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M24" i="52" s="1"/>
  <c r="C24" i="52"/>
  <c r="G23" i="52"/>
  <c r="F23" i="52"/>
  <c r="E23" i="52"/>
  <c r="D23" i="52"/>
  <c r="M23" i="52" s="1"/>
  <c r="C23" i="52"/>
  <c r="G22" i="52"/>
  <c r="F22" i="52"/>
  <c r="E22" i="52"/>
  <c r="D22" i="52"/>
  <c r="M22" i="52" s="1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L4" i="23" s="1"/>
  <c r="E5" i="23"/>
  <c r="F5" i="23" s="1"/>
  <c r="C17" i="23"/>
  <c r="C16" i="23"/>
  <c r="C15" i="23"/>
  <c r="C13" i="23"/>
  <c r="G9" i="59" s="1"/>
  <c r="C12" i="23"/>
  <c r="C11" i="23"/>
  <c r="C9" i="23"/>
  <c r="C8" i="23"/>
  <c r="J6" i="23" s="1"/>
  <c r="C7" i="23"/>
  <c r="C5" i="23"/>
  <c r="F17" i="52" l="1"/>
  <c r="F12" i="8"/>
  <c r="L6" i="23"/>
  <c r="M26" i="52"/>
  <c r="J5" i="23"/>
  <c r="J4" i="23"/>
  <c r="J5" i="19"/>
  <c r="M20" i="52"/>
  <c r="L5" i="23"/>
  <c r="M25" i="52"/>
  <c r="C24" i="15"/>
  <c r="M21" i="52"/>
  <c r="N17" i="71"/>
  <c r="F5" i="15"/>
  <c r="L5" i="15" s="1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K4" i="23" s="1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D29" i="61"/>
  <c r="C29" i="61"/>
  <c r="B29" i="61"/>
  <c r="J28" i="61"/>
  <c r="I28" i="61"/>
  <c r="H28" i="61"/>
  <c r="G28" i="61"/>
  <c r="G32" i="61" s="1"/>
  <c r="F28" i="61"/>
  <c r="E28" i="61"/>
  <c r="E32" i="61" s="1"/>
  <c r="D28" i="6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G28" i="60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F32" i="60" l="1"/>
  <c r="D32" i="61"/>
  <c r="G32" i="60"/>
  <c r="H32" i="60"/>
  <c r="L6" i="22"/>
  <c r="K5" i="23"/>
  <c r="F32" i="61"/>
  <c r="H32" i="61"/>
  <c r="K6" i="23"/>
  <c r="K5" i="19"/>
  <c r="E32" i="60"/>
  <c r="J32" i="61"/>
  <c r="L6" i="25"/>
  <c r="M27" i="52"/>
  <c r="F24" i="15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D13" i="22"/>
  <c r="G13" i="22" s="1"/>
  <c r="D9" i="7"/>
  <c r="D9" i="25"/>
  <c r="G9" i="25"/>
  <c r="D5" i="7"/>
  <c r="D5" i="6"/>
  <c r="D9" i="17"/>
  <c r="G9" i="17" s="1"/>
  <c r="D9" i="6"/>
  <c r="D17" i="17"/>
  <c r="G17" i="17"/>
  <c r="D13" i="7"/>
  <c r="G13" i="7" s="1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K6" i="25" l="1"/>
  <c r="K6" i="22"/>
  <c r="M5" i="52"/>
  <c r="M4" i="52"/>
  <c r="R29" i="59"/>
  <c r="M6" i="5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4" i="58" l="1"/>
  <c r="P20" i="58"/>
  <c r="P23" i="58"/>
  <c r="P25" i="58"/>
  <c r="P22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4" i="52" l="1"/>
  <c r="C23" i="1" s="1"/>
  <c r="B23" i="1"/>
  <c r="K26" i="52"/>
  <c r="C25" i="1" s="1"/>
  <c r="B25" i="1"/>
  <c r="K22" i="52"/>
  <c r="C21" i="1" s="1"/>
  <c r="B21" i="1"/>
  <c r="K25" i="52"/>
  <c r="C24" i="1" s="1"/>
  <c r="B24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6" i="52" l="1"/>
  <c r="C5" i="1" s="1"/>
  <c r="B5" i="1"/>
  <c r="K23" i="52"/>
  <c r="C22" i="1" s="1"/>
  <c r="B22" i="1"/>
  <c r="K4" i="52"/>
  <c r="C3" i="1" s="1"/>
  <c r="B3" i="1"/>
  <c r="K20" i="52"/>
  <c r="C19" i="1" s="1"/>
  <c r="B19" i="1"/>
  <c r="K5" i="52"/>
  <c r="C4" i="1" s="1"/>
  <c r="B4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24" i="15" s="1"/>
  <c r="G12" i="19"/>
  <c r="G8" i="17"/>
  <c r="F12" i="21"/>
  <c r="G12" i="21" s="1"/>
  <c r="G8" i="23"/>
  <c r="G8" i="15"/>
  <c r="F8" i="21"/>
  <c r="F24" i="14" l="1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0" i="52" l="1"/>
  <c r="D19" i="1"/>
  <c r="Q22" i="52"/>
  <c r="D21" i="1"/>
  <c r="Q23" i="52"/>
  <c r="D22" i="1"/>
  <c r="I32" i="70"/>
  <c r="C7" i="74" s="1"/>
  <c r="C26" i="1"/>
  <c r="G16" i="22"/>
  <c r="F21" i="2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 s="1"/>
  <c r="F11" i="52"/>
  <c r="F33" i="52" s="1"/>
  <c r="F34" i="52" s="1"/>
  <c r="D39" i="52" s="1"/>
  <c r="D7" i="69" s="1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H12" i="69" l="1"/>
  <c r="K14" i="69"/>
  <c r="G11" i="74"/>
  <c r="G24" i="74" s="1"/>
  <c r="H12" i="74" l="1"/>
</calcChain>
</file>

<file path=xl/sharedStrings.xml><?xml version="1.0" encoding="utf-8"?>
<sst xmlns="http://schemas.openxmlformats.org/spreadsheetml/2006/main" count="1291" uniqueCount="157">
  <si>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</si>
  <si>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</si>
  <si>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</si>
  <si>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</si>
  <si>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</si>
  <si>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</si>
  <si>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</si>
  <si>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</si>
  <si>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</si>
  <si>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</si>
  <si>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</si>
  <si>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</si>
  <si>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</si>
  <si>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</si>
  <si>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</si>
  <si>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</si>
  <si>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</si>
  <si>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</si>
  <si>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</si>
  <si>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</si>
  <si>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</si>
  <si>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</si>
  <si>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</si>
  <si>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</si>
  <si>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</si>
  <si>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</si>
  <si>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</si>
  <si>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</si>
  <si>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</si>
  <si>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</si>
  <si>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</si>
  <si>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</si>
  <si>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</si>
  <si>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</si>
  <si>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</si>
  <si>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</si>
  <si>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</si>
  <si>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</si>
  <si>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</si>
  <si>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</si>
  <si>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</si>
  <si>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</si>
  <si>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</si>
  <si>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</si>
  <si>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</si>
  <si>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</si>
  <si>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</si>
  <si>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</si>
  <si>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</si>
  <si>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</si>
  <si>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</si>
  <si>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</si>
  <si>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</si>
  <si>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</si>
  <si>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</si>
  <si>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</si>
  <si>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</si>
  <si>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</si>
  <si>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</si>
  <si>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</si>
  <si>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</si>
  <si>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</si>
  <si>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</si>
  <si>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</si>
  <si>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</si>
  <si>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</si>
  <si>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</si>
  <si>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</si>
  <si>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</si>
  <si>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</si>
  <si>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</si>
  <si>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</si>
  <si>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</si>
  <si>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</si>
  <si>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</si>
  <si>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</si>
  <si>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</si>
  <si>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</si>
  <si>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</si>
  <si>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</si>
  <si>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</si>
  <si>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</si>
  <si>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</si>
  <si>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</si>
  <si>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</si>
  <si>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</si>
  <si>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</si>
  <si>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</si>
  <si>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</si>
  <si>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</si>
  <si>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</si>
  <si>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</si>
  <si>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</si>
  <si>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</si>
  <si>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</si>
  <si>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</si>
  <si>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</si>
  <si>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</si>
  <si>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</si>
  <si>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</si>
  <si>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</si>
  <si>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</si>
  <si>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</si>
  <si>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</si>
  <si>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</si>
  <si>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</si>
  <si>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</si>
  <si>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</si>
  <si>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</si>
  <si>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</si>
  <si>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</si>
  <si>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</si>
  <si>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</si>
  <si>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</si>
  <si>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</si>
  <si>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</si>
  <si>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</si>
  <si>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</si>
  <si>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</si>
  <si>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</si>
  <si>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</si>
  <si>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</si>
  <si>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</si>
  <si>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</si>
  <si>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</si>
  <si>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</si>
  <si>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</si>
  <si>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</si>
  <si>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</si>
  <si>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</si>
  <si>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</si>
  <si>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</si>
  <si>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</si>
  <si>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</si>
  <si>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</si>
  <si>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</si>
  <si>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</si>
  <si>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</si>
  <si>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</si>
  <si>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</si>
  <si>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</si>
  <si>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</si>
  <si>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</si>
  <si>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</si>
  <si>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</si>
  <si>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</si>
  <si>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</si>
  <si>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Antes</t>
  </si>
  <si>
    <t>TABLET</t>
  </si>
  <si>
    <t>Cta Banca</t>
  </si>
  <si>
    <t>Saldo</t>
  </si>
  <si>
    <t>Tica 7pm</t>
  </si>
  <si>
    <t>Reventado 7pm</t>
  </si>
  <si>
    <t>Nica 12 md</t>
  </si>
  <si>
    <t>Acá</t>
  </si>
  <si>
    <t>Vendedor 06</t>
  </si>
  <si>
    <t>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</si>
</sst>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261850</v>
      </c>
      <c r="C3" s="9">
        <f>+HojaTICA!K4+HojaNICA!M4+HojaREVENTADO!K4+HojaPrimera!I4+HojaHonduras!K4+HojaDominicana!I4+HojaPANA!G4</f>
        <v>34000</v>
      </c>
      <c r="D3" s="9">
        <f>+HojaTICA!N4+HojaNICA!P4+HojaREVENTADO!O4+HojaPrimera!L4+HojaHonduras!N4+HojaDominicana!L4+HojaPANA!J4</f>
        <v>335250</v>
      </c>
      <c r="F3" s="10">
        <f t="shared" ref="F3:F27" si="0">+B3-C3-D3</f>
        <v>-107400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181700</v>
      </c>
      <c r="C4" s="9">
        <f>+HojaTICA!K5+HojaNICA!M5+HojaREVENTADO!K5+HojaPrimera!I5+HojaHonduras!K5+HojaDominicana!I5+HojaPANA!G5</f>
        <v>23650</v>
      </c>
      <c r="D4" s="9">
        <f>+HojaTICA!N5+HojaNICA!P5+HojaREVENTADO!O5+HojaPrimera!L5+HojaHonduras!N5+HojaDominicana!L5+HojaPANA!J5</f>
        <v>399500</v>
      </c>
      <c r="F4" s="14">
        <f t="shared" si="0"/>
        <v>-241450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272550</v>
      </c>
      <c r="C7" s="9">
        <f>+HojaTICA!K8+HojaNICA!M8+HojaREVENTADO!K8+HojaPrimera!I8+HojaHonduras!K8+HojaDominicana!I8+HojaPANA!G8</f>
        <v>32700</v>
      </c>
      <c r="D7" s="9">
        <f>+HojaTICA!N8+HojaNICA!P8+HojaREVENTADO!O8+HojaPrimera!L8+HojaHonduras!N8+HojaDominicana!L8+HojaPANA!J8</f>
        <v>253000</v>
      </c>
      <c r="F7" s="14">
        <f t="shared" si="0"/>
        <v>-13150</v>
      </c>
    </row>
    <row r="8" spans="1:7" ht="15.5" x14ac:dyDescent="0.35">
      <c r="A8" s="15" t="str">
        <f>Vendedor6!B$2</f>
        <v>Vendedor 06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817400</v>
      </c>
      <c r="C9" s="9">
        <f>+HojaTICA!K10+HojaNICA!M10+HojaREVENTADO!K10+HojaPrimera!I10+HojaHonduras!K10+HojaDominicana!I10+HojaPANA!G10</f>
        <v>97100</v>
      </c>
      <c r="D9" s="9">
        <f>+HojaTICA!N10+HojaNICA!P10+HojaREVENTADO!O10+HojaPrimera!L10+HojaHonduras!N10+HojaDominicana!L10+HojaPANA!J10</f>
        <v>807500</v>
      </c>
      <c r="F9" s="14">
        <f t="shared" si="0"/>
        <v>-87200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6100</v>
      </c>
      <c r="C10" s="9">
        <f>+HojaTICA!K11+HojaNICA!M11+HojaREVENTADO!K11+HojaPrimera!I11+HojaHonduras!K11+HojaDominicana!I11+HojaPANA!G11</f>
        <v>750</v>
      </c>
      <c r="D10" s="9">
        <f>+HojaTICA!N11+HojaNICA!P11+HojaREVENTADO!O11+HojaPrimera!L11+HojaHonduras!N11+HojaDominicana!L11+HojaPANA!J11</f>
        <v>68000</v>
      </c>
      <c r="F10" s="14">
        <f t="shared" si="0"/>
        <v>-62650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194550</v>
      </c>
      <c r="C11" s="9">
        <f>+HojaTICA!K12+HojaNICA!M12+HojaREVENTADO!K12+HojaPrimera!I12+HojaHonduras!K12+HojaDominicana!I12+HojaPANA!G12</f>
        <v>23265</v>
      </c>
      <c r="D11" s="9">
        <f>+HojaTICA!N12+HojaNICA!P12+HojaREVENTADO!O12+HojaPrimera!L12+HojaHonduras!N12+HojaDominicana!L12+HojaPANA!J12</f>
        <v>238000</v>
      </c>
      <c r="F11" s="14">
        <f t="shared" si="0"/>
        <v>-66715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136650</v>
      </c>
      <c r="C12" s="9">
        <f>+HojaTICA!K13+HojaNICA!M13+HojaREVENTADO!K13+HojaPrimera!I13+HojaHonduras!K13+HojaDominicana!I13+HojaPANA!G13</f>
        <v>16400</v>
      </c>
      <c r="D12" s="9">
        <f>+HojaTICA!N13+HojaNICA!P13+HojaREVENTADO!O13+HojaPrimera!L13+HojaHonduras!N13+HojaDominicana!L13+HojaPANA!J13</f>
        <v>178500</v>
      </c>
      <c r="F12" s="14">
        <f t="shared" si="0"/>
        <v>-58250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96300</v>
      </c>
      <c r="C13" s="9">
        <f>+HojaTICA!K14+HojaNICA!M14+HojaREVENTADO!K14+HojaPrimera!I14+HojaHonduras!K14+HojaDominicana!I14+HojaPANA!G14</f>
        <v>14450</v>
      </c>
      <c r="D13" s="9">
        <f>+HojaTICA!N14+HojaNICA!P14+HojaREVENTADO!O14+HojaPrimera!L14+HojaHonduras!N14+HojaDominicana!L14+HojaPANA!J14</f>
        <v>284000</v>
      </c>
      <c r="F13" s="14">
        <f t="shared" si="0"/>
        <v>-202150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79150</v>
      </c>
      <c r="C15" s="9">
        <f>+HojaTICA!K16+HojaNICA!M16+HojaREVENTADO!K16+HojaPrimera!I16+HojaHonduras!K16+HojaDominicana!I16+HojaPANA!G16</f>
        <v>9500</v>
      </c>
      <c r="D15" s="9">
        <f>+HojaTICA!N16+HojaNICA!P16+HojaREVENTADO!O16+HojaPrimera!L16+HojaHonduras!N16+HojaDominicana!L16+HojaPANA!J16</f>
        <v>42500</v>
      </c>
      <c r="F15" s="14">
        <f t="shared" si="0"/>
        <v>27150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2046250</v>
      </c>
      <c r="C28" s="17">
        <f t="shared" si="1"/>
        <v>251815</v>
      </c>
      <c r="D28" s="18">
        <f t="shared" si="1"/>
        <v>2606250</v>
      </c>
      <c r="F28" s="20">
        <f>SUM(F3:F27)</f>
        <v>-811815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6" sqref="C16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153</v>
      </c>
      <c r="B5" s="163">
        <v>56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 t="s">
        <v>156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34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63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Roja</v>
      </c>
      <c r="C12" s="136"/>
      <c r="D12" s="137" t="s">
        <v>65</v>
      </c>
      <c r="E12" s="30">
        <f>IF(D12=J$10,K$10,IF(D12=J$11,K$11,IF(D12=J$12,K$12,"")))</f>
        <v>200</v>
      </c>
      <c r="F12" s="30">
        <f>IF(D12=J$10,L$10,IF(D12=J$11,L$11,IF(D12=J$12,L$12,"")))</f>
        <v>200</v>
      </c>
      <c r="G12" s="30">
        <f>IF($D12=$J$10,$M$10,IF($D12=$J$11,$M$11,IF($D12=$J$12,$M$12,"")))</f>
        <v>200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84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151</v>
      </c>
      <c r="B15" s="163">
        <v>11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152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>
        <v>79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 t="s">
        <v>156</v>
      </c>
      <c r="C19" s="132">
        <v>47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27</v>
      </c>
      <c r="C20" s="163">
        <v>69</v>
      </c>
      <c r="D20" s="166">
        <v>54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69</v>
      </c>
      <c r="C21" s="164">
        <v>91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 t="str">
        <f>DigitaTICA!C2</f>
        <v>09</v>
      </c>
      <c r="D2" s="268"/>
      <c r="E2" s="267">
        <f>DigitaTICA!E2</f>
        <v>63</v>
      </c>
      <c r="F2" s="268"/>
      <c r="G2" s="267">
        <f>DigitaTICA!G2</f>
        <v>11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73400</v>
      </c>
      <c r="D4" s="30">
        <f>IF(Vendedor1!$E$7="",0,Vendedor1!$E$7)</f>
        <v>2100</v>
      </c>
      <c r="E4" s="180">
        <f>IF(Vendedor1!$C$11="",0,Vendedor1!$C$11)</f>
        <v>35450</v>
      </c>
      <c r="F4" s="30">
        <f>IF(Vendedor1!$E$11="",0,Vendedor1!$E$11)</f>
        <v>0</v>
      </c>
      <c r="G4" s="180">
        <f>IF(Vendedor1!$C$15="",0,Vendedor1!$C$15)</f>
        <v>87750</v>
      </c>
      <c r="H4" s="30">
        <f>IF(Vendedor1!$E$15="",0,Vendedor1!$E$15)</f>
        <v>1750</v>
      </c>
      <c r="J4" s="42">
        <f t="shared" ref="J4:J7" si="0">+C4+E4+G4</f>
        <v>196600</v>
      </c>
      <c r="K4" s="41">
        <f>MROUND(J4*Vendedor1!J$9,50)</f>
        <v>25550</v>
      </c>
      <c r="L4" s="42">
        <f t="shared" ref="L4:L7" si="1">+D4+F4+H4</f>
        <v>3850</v>
      </c>
      <c r="M4" s="42">
        <f t="shared" ref="M4:M7" si="2">+L4*85</f>
        <v>327250</v>
      </c>
      <c r="N4" s="42">
        <f>Vendedor1!$F$7+Vendedor1!$F$11+Vendedor1!$F$15</f>
        <v>327250</v>
      </c>
      <c r="P4" s="42">
        <f t="shared" ref="P4:P7" si="3">+J4-K4-N4</f>
        <v>-156200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52100</v>
      </c>
      <c r="D5" s="30">
        <f>IF(Vendedor2!$E$7="",0,Vendedor2!$E$7)</f>
        <v>3150</v>
      </c>
      <c r="E5" s="180">
        <f>IF(Vendedor2!$C$11="",0,Vendedor2!$C$11)</f>
        <v>37000</v>
      </c>
      <c r="F5" s="30">
        <f>IF(Vendedor2!$E$11="",0,Vendedor2!$E$11)</f>
        <v>0</v>
      </c>
      <c r="G5" s="180">
        <f>IF(Vendedor2!$C$15="",0,Vendedor2!$C$15)</f>
        <v>72000</v>
      </c>
      <c r="H5" s="30">
        <f>IF(Vendedor2!$E$15="",0,Vendedor2!$E$15)</f>
        <v>1550</v>
      </c>
      <c r="J5" s="42">
        <f t="shared" si="0"/>
        <v>161100</v>
      </c>
      <c r="K5" s="41">
        <f>MROUND(J5*Vendedor2!J$9,50)</f>
        <v>20950</v>
      </c>
      <c r="L5" s="42">
        <f t="shared" si="1"/>
        <v>4700</v>
      </c>
      <c r="M5" s="42">
        <f t="shared" si="2"/>
        <v>399500</v>
      </c>
      <c r="N5" s="42">
        <f>Vendedor2!$F$7+Vendedor2!$F$11+Vendedor2!$F$15</f>
        <v>399500</v>
      </c>
      <c r="P5" s="42">
        <f t="shared" si="3"/>
        <v>-259350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54100</v>
      </c>
      <c r="D8" s="30">
        <f>IF(Vendedor5!$E$7="",0,Vendedor5!$E$7)</f>
        <v>1300</v>
      </c>
      <c r="E8" s="180">
        <f>IF(Vendedor5!$C$11="",0,Vendedor5!$C$11)</f>
        <v>25900</v>
      </c>
      <c r="F8" s="30">
        <f>IF(Vendedor5!$E$11="",0,Vendedor5!$E$11)</f>
        <v>500</v>
      </c>
      <c r="G8" s="180">
        <f>IF(Vendedor5!$C$15="",0,Vendedor5!$C$15)</f>
        <v>42200</v>
      </c>
      <c r="H8" s="30">
        <f>IF(Vendedor5!$E$15="",0,Vendedor5!$E$15)</f>
        <v>800</v>
      </c>
      <c r="J8" s="42">
        <f t="shared" ref="J8" si="4">+C8+E8+G8</f>
        <v>122200</v>
      </c>
      <c r="K8" s="41">
        <f>MROUND(J8*Vendedor5!J$11,50)</f>
        <v>14650</v>
      </c>
      <c r="L8" s="42">
        <f t="shared" ref="L8" si="5">+D8+F8+H8</f>
        <v>2600</v>
      </c>
      <c r="M8" s="42">
        <f t="shared" ref="M8" si="6">+L8*85</f>
        <v>221000</v>
      </c>
      <c r="N8" s="42">
        <f>Vendedor5!$F$7+Vendedor5!$F$11+Vendedor5!$F$15</f>
        <v>221000</v>
      </c>
      <c r="P8" s="42">
        <f t="shared" ref="P8" si="7">+J8-K8-N8</f>
        <v>-113450</v>
      </c>
    </row>
    <row r="9" spans="1:16" x14ac:dyDescent="0.35">
      <c r="A9" s="41">
        <v>6</v>
      </c>
      <c r="B9" s="178" t="str">
        <f>Vendedor6!$B$2</f>
        <v>Vendedor 06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128500</v>
      </c>
      <c r="D10" s="30">
        <f>IF(Vendedor7!$E$7="",0,Vendedor7!$E$7)</f>
        <v>3550</v>
      </c>
      <c r="E10" s="180">
        <f>IF(Vendedor7!$C$11="",0,Vendedor7!$C$11)</f>
        <v>93050</v>
      </c>
      <c r="F10" s="30">
        <f>IF(Vendedor7!$E$11="",0,Vendedor7!$E$11)</f>
        <v>600</v>
      </c>
      <c r="G10" s="180">
        <f>IF(Vendedor7!$C$15="",0,Vendedor7!$C$15)</f>
        <v>115650</v>
      </c>
      <c r="H10" s="30">
        <f>IF(Vendedor7!$E$15="",0,Vendedor7!$E$15)</f>
        <v>3050</v>
      </c>
      <c r="J10" s="42">
        <f t="shared" si="8"/>
        <v>337200</v>
      </c>
      <c r="K10" s="41">
        <f>MROUND(J10*Vendedor7!J$14,50)</f>
        <v>40450</v>
      </c>
      <c r="L10" s="42">
        <f t="shared" si="9"/>
        <v>7200</v>
      </c>
      <c r="M10" s="42">
        <f t="shared" si="10"/>
        <v>612000</v>
      </c>
      <c r="N10" s="42">
        <f>Vendedor7!$F$7+Vendedor7!$F$11+Vendedor7!$F$15</f>
        <v>612000</v>
      </c>
      <c r="P10" s="42">
        <f t="shared" si="11"/>
        <v>-315250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3100</v>
      </c>
      <c r="D11" s="30">
        <f>IF(Vendedor8!$E$7="",0,Vendedor8!$E$7)</f>
        <v>300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3000</v>
      </c>
      <c r="H11" s="30">
        <f>IF(Vendedor8!$E$15="",0,Vendedor8!$E$15)</f>
        <v>500</v>
      </c>
      <c r="J11" s="42">
        <f t="shared" si="8"/>
        <v>6100</v>
      </c>
      <c r="K11" s="41">
        <f>MROUND(J11*Vendedor8!J$11,50)</f>
        <v>750</v>
      </c>
      <c r="L11" s="42">
        <f t="shared" si="9"/>
        <v>800</v>
      </c>
      <c r="M11" s="42">
        <f t="shared" si="10"/>
        <v>68000</v>
      </c>
      <c r="N11" s="42">
        <f>Vendedor8!$F$7+Vendedor8!$F$11+Vendedor8!$F$15</f>
        <v>68000</v>
      </c>
      <c r="P11" s="42">
        <f t="shared" si="11"/>
        <v>-62650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51500</v>
      </c>
      <c r="D12" s="30">
        <f>IF(Vendedor9!$E$7="",0,Vendedor9!$E$7)</f>
        <v>1150</v>
      </c>
      <c r="E12" s="180">
        <f>IF(Vendedor9!$C$11="",0,Vendedor9!$C$11)</f>
        <v>19050</v>
      </c>
      <c r="F12" s="30">
        <f>IF(Vendedor9!$E$11="",0,Vendedor9!$E$11)</f>
        <v>0</v>
      </c>
      <c r="G12" s="180">
        <f>IF(Vendedor9!$C$15="",0,Vendedor9!$C$15)</f>
        <v>9300</v>
      </c>
      <c r="H12" s="30">
        <f>IF(Vendedor9!$E$15="",0,Vendedor9!$E$15)</f>
        <v>300</v>
      </c>
      <c r="J12" s="42">
        <f t="shared" si="8"/>
        <v>79850</v>
      </c>
      <c r="K12" s="41">
        <f>MROUND(J12*Vendedor9!J$11,50)</f>
        <v>9600</v>
      </c>
      <c r="L12" s="42">
        <f t="shared" si="9"/>
        <v>1450</v>
      </c>
      <c r="M12" s="42">
        <f t="shared" si="10"/>
        <v>123250</v>
      </c>
      <c r="N12" s="42">
        <f>Vendedor9!$F$7+Vendedor9!$F$11+Vendedor9!$F$15</f>
        <v>123250</v>
      </c>
      <c r="P12" s="42">
        <f t="shared" si="11"/>
        <v>-53000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40850</v>
      </c>
      <c r="D13" s="30">
        <f>IF(Vendedor10!$E$7="",0,Vendedor10!$E$7)</f>
        <v>700</v>
      </c>
      <c r="E13" s="180">
        <f>IF(Vendedor10!$C$11="",0,Vendedor10!$C$11)</f>
        <v>20850</v>
      </c>
      <c r="F13" s="30">
        <f>IF(Vendedor10!$E$11="",0,Vendedor10!$E$11)</f>
        <v>900</v>
      </c>
      <c r="G13" s="180">
        <f>IF(Vendedor10!$C$15="",0,Vendedor10!$C$15)</f>
        <v>18550</v>
      </c>
      <c r="H13" s="30">
        <f>IF(Vendedor10!$E$15="",0,Vendedor10!$E$15)</f>
        <v>500</v>
      </c>
      <c r="J13" s="42">
        <f t="shared" si="8"/>
        <v>80250</v>
      </c>
      <c r="K13" s="41">
        <f>MROUND(J13*Vendedor10!J$9,50)</f>
        <v>9650</v>
      </c>
      <c r="L13" s="42">
        <f t="shared" si="9"/>
        <v>2100</v>
      </c>
      <c r="M13" s="42">
        <f t="shared" si="10"/>
        <v>178500</v>
      </c>
      <c r="N13" s="42">
        <f>Vendedor10!$F$7+Vendedor10!$F$11+Vendedor10!$F$15</f>
        <v>178500</v>
      </c>
      <c r="P13" s="42">
        <f t="shared" si="11"/>
        <v>-107900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31400</v>
      </c>
      <c r="D14" s="30">
        <f>IF(Vendedor11!$E$7="",0,Vendedor11!$E$7)</f>
        <v>3400</v>
      </c>
      <c r="E14" s="180">
        <f>IF(Vendedor11!$C$11="",0,Vendedor11!$C$11)</f>
        <v>17900</v>
      </c>
      <c r="F14" s="30">
        <f>IF(Vendedor11!$E$11="",0,Vendedor11!$E$11)</f>
        <v>0</v>
      </c>
      <c r="G14" s="180">
        <f>IF(Vendedor11!$C$15="",0,Vendedor11!$C$15)</f>
        <v>47000</v>
      </c>
      <c r="H14" s="30">
        <f>IF(Vendedor11!$E$15="",0,Vendedor11!$E$15)</f>
        <v>150</v>
      </c>
      <c r="J14" s="42">
        <f t="shared" si="8"/>
        <v>96300</v>
      </c>
      <c r="K14" s="41">
        <f>MROUND(J14*Vendedor11!J$9,50)</f>
        <v>14450</v>
      </c>
      <c r="L14" s="42">
        <f t="shared" si="9"/>
        <v>3550</v>
      </c>
      <c r="M14" s="42">
        <f t="shared" si="10"/>
        <v>301750</v>
      </c>
      <c r="N14" s="42">
        <f>Vendedor11!$F$7+Vendedor11!$F$11+Vendedor11!$F$15</f>
        <v>284000</v>
      </c>
      <c r="P14" s="42">
        <f t="shared" si="11"/>
        <v>-202150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17800</v>
      </c>
      <c r="D16" s="30">
        <f>IF(Vendedor13!$E$7="",0,Vendedor13!$E$7)</f>
        <v>250</v>
      </c>
      <c r="E16" s="180">
        <f>IF(Vendedor13!$C$11="",0,Vendedor13!$C$11)</f>
        <v>17800</v>
      </c>
      <c r="F16" s="30">
        <f>IF(Vendedor13!$E$11="",0,Vendedor13!$E$11)</f>
        <v>0</v>
      </c>
      <c r="G16" s="180">
        <f>IF(Vendedor13!$C$15="",0,Vendedor13!$C$15)</f>
        <v>20500</v>
      </c>
      <c r="H16" s="30">
        <f>IF(Vendedor13!$E$15="",0,Vendedor13!$E$15)</f>
        <v>250</v>
      </c>
      <c r="J16" s="42">
        <f t="shared" si="8"/>
        <v>56100</v>
      </c>
      <c r="K16" s="41">
        <f>MROUND(J16*Vendedor13!J$11,50)</f>
        <v>6750</v>
      </c>
      <c r="L16" s="42">
        <f t="shared" si="9"/>
        <v>500</v>
      </c>
      <c r="M16" s="42">
        <f t="shared" si="10"/>
        <v>42500</v>
      </c>
      <c r="N16" s="42">
        <f>Vendedor13!$F$7+Vendedor13!$F$11+Vendedor13!$F$15</f>
        <v>42500</v>
      </c>
      <c r="P16" s="42">
        <f t="shared" si="11"/>
        <v>6850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0</v>
      </c>
      <c r="D17" s="30">
        <f>IF(Vendedor14!$E$7="",0,Vendedor14!$E$7)</f>
        <v>0</v>
      </c>
      <c r="E17" s="180">
        <f>IF(Vendedor14!$C$11="",0,Vendedor14!$C$11)</f>
        <v>0</v>
      </c>
      <c r="F17" s="30">
        <f>IF(Vendedor14!$E$11="",0,Vendedor14!$E$11)</f>
        <v>0</v>
      </c>
      <c r="G17" s="180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0</v>
      </c>
      <c r="D18" s="30">
        <f>IF(Vendedor15!$E$7="",0,Vendedor15!$E$7)</f>
        <v>0</v>
      </c>
      <c r="E18" s="180">
        <f>IF(Vendedor15!$C$11="",0,Vendedor15!$C$11)</f>
        <v>0</v>
      </c>
      <c r="F18" s="30">
        <f>IF(Vendedor15!$E$11="",0,Vendedor15!$E$11)</f>
        <v>0</v>
      </c>
      <c r="G18" s="180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452750</v>
      </c>
      <c r="D32" s="44">
        <f t="shared" si="16"/>
        <v>15900</v>
      </c>
      <c r="E32" s="43">
        <f t="shared" si="16"/>
        <v>267000</v>
      </c>
      <c r="F32" s="44">
        <f t="shared" si="16"/>
        <v>2000</v>
      </c>
      <c r="G32" s="43">
        <f t="shared" si="16"/>
        <v>415950</v>
      </c>
      <c r="H32" s="44">
        <f t="shared" si="16"/>
        <v>8850</v>
      </c>
      <c r="J32" s="95">
        <f>SUM(J4:J31)</f>
        <v>1135700</v>
      </c>
      <c r="K32" s="45">
        <f>SUM(K7:K31)</f>
        <v>96300</v>
      </c>
      <c r="L32" s="95">
        <f>SUM(L4:L31)</f>
        <v>26750</v>
      </c>
      <c r="M32" s="95">
        <f>SUM(M4:M31)</f>
        <v>2273750</v>
      </c>
      <c r="N32" s="95">
        <f>SUM(N4:N31)</f>
        <v>2256000</v>
      </c>
      <c r="P32" s="79">
        <f>SUM(P4:P31)</f>
        <v>-1263100</v>
      </c>
    </row>
    <row r="33" spans="3:13" x14ac:dyDescent="0.35">
      <c r="D33" s="99">
        <f>+D32*85</f>
        <v>1351500</v>
      </c>
      <c r="F33" s="99">
        <f>+F32*85</f>
        <v>170000</v>
      </c>
      <c r="H33" s="99">
        <f>+H32*85</f>
        <v>752250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1135700</v>
      </c>
      <c r="E36" s="43">
        <f>+D36-J4-J5-J6</f>
        <v>778000</v>
      </c>
      <c r="G36" s="101"/>
    </row>
    <row r="37" spans="3:13" x14ac:dyDescent="0.35">
      <c r="C37" s="47" t="s">
        <v>33</v>
      </c>
      <c r="D37" s="48">
        <f>D36*13%</f>
        <v>147641</v>
      </c>
      <c r="E37">
        <f>+D37-K4-K5-K6</f>
        <v>101141</v>
      </c>
      <c r="G37" s="100"/>
      <c r="H37" s="100"/>
    </row>
    <row r="38" spans="3:13" ht="15" thickBot="1" x14ac:dyDescent="0.4">
      <c r="C38" s="47" t="s">
        <v>30</v>
      </c>
      <c r="D38" s="30">
        <f>M32</f>
        <v>2273750</v>
      </c>
      <c r="G38" s="100"/>
      <c r="H38" s="100"/>
    </row>
    <row r="39" spans="3:13" ht="15" thickBot="1" x14ac:dyDescent="0.4">
      <c r="C39" s="49" t="s">
        <v>4</v>
      </c>
      <c r="D39" s="80">
        <f>+D36-D37-D38</f>
        <v>-1285691</v>
      </c>
      <c r="F39" s="98">
        <f>+P32-D39</f>
        <v>22591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-1285691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56</v>
      </c>
      <c r="D2" s="268"/>
      <c r="E2" s="267">
        <f>DigitaNICA!E2</f>
        <v>34</v>
      </c>
      <c r="F2" s="268"/>
      <c r="G2" s="267">
        <f>DigitaNICA!G2</f>
        <v>84</v>
      </c>
      <c r="H2" s="268"/>
      <c r="I2" s="267">
        <f>DigitaNICA!I2</f>
        <v>79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18300</v>
      </c>
      <c r="D4" s="78">
        <f>IF(Vendedor1!$E$5="",0,Vendedor1!$E$5)</f>
        <v>0</v>
      </c>
      <c r="E4" s="189">
        <f>IF(Vendedor1!$C$9="",0,Vendedor1!$C$9)</f>
        <v>19700</v>
      </c>
      <c r="F4" s="78">
        <f>IF(Vendedor1!$E$9="",0,Vendedor1!$E$9)</f>
        <v>0</v>
      </c>
      <c r="G4" s="189">
        <f>IF(Vendedor1!$C$13="",0,Vendedor1!$C$13)</f>
        <v>4500</v>
      </c>
      <c r="H4" s="78">
        <f>IF(Vendedor1!$E$13="",0,Vendedor1!$E$13)</f>
        <v>0</v>
      </c>
      <c r="I4" s="189">
        <f>IF(Vendedor1!$C$17="",0,Vendedor1!$C$17)</f>
        <v>2950</v>
      </c>
      <c r="J4" s="78">
        <f>IF(Vendedor1!$E$17="",0,Vendedor1!$E$17)</f>
        <v>0</v>
      </c>
      <c r="L4" s="42">
        <f t="shared" ref="L4:L7" si="0">C4+E4+G4+I4</f>
        <v>45450</v>
      </c>
      <c r="M4" s="41">
        <f>MROUND(L4*Vendedor1!J$10,50)</f>
        <v>5900</v>
      </c>
      <c r="N4" s="42">
        <f t="shared" ref="N4:N7" si="1">D4+F4+H4+J4</f>
        <v>0</v>
      </c>
      <c r="O4" s="41">
        <f>IFERROR(N4*85,0)</f>
        <v>0</v>
      </c>
      <c r="P4" s="42">
        <f>Vendedor1!$F$5+Vendedor1!$F$9+Vendedor1!$F$13+Vendedor1!$F$17</f>
        <v>0</v>
      </c>
      <c r="R4" s="41">
        <f t="shared" ref="R4:R7" si="2">+L4-M4-O4</f>
        <v>39550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8800</v>
      </c>
      <c r="D5" s="30">
        <f>IF(Vendedor2!$E$5="",0,Vendedor2!$E$5)</f>
        <v>0</v>
      </c>
      <c r="E5" s="180">
        <f>IF(Vendedor2!$C$9="",0,Vendedor2!$C$9)</f>
        <v>4400</v>
      </c>
      <c r="F5" s="30">
        <f>IF(Vendedor2!$E$9="",0,Vendedor2!$E$9)</f>
        <v>0</v>
      </c>
      <c r="G5" s="180">
        <f>IF(Vendedor2!$C$13="",0,Vendedor2!$C$13)</f>
        <v>1400</v>
      </c>
      <c r="H5" s="30">
        <f>IF(Vendedor2!$E$13="",0,Vendedor2!$E$13)</f>
        <v>0</v>
      </c>
      <c r="I5" s="180">
        <f>IF(Vendedor2!$C$17="",0,Vendedor2!$C$17)</f>
        <v>0</v>
      </c>
      <c r="J5" s="30">
        <f>IF(Vendedor2!$E$17="",0,Vendedor2!$E$17)</f>
        <v>0</v>
      </c>
      <c r="L5" s="42">
        <f t="shared" si="0"/>
        <v>14600</v>
      </c>
      <c r="M5" s="41">
        <f>MROUND(L5*Vendedor2!J$10,50)</f>
        <v>1900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12700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48400</v>
      </c>
      <c r="D8" s="30">
        <f>IF(Vendedor5!$E$5="",0,Vendedor5!$E$5)</f>
        <v>150</v>
      </c>
      <c r="E8" s="180">
        <f>IF(Vendedor5!$C$9="",0,Vendedor5!$C$9)</f>
        <v>34100</v>
      </c>
      <c r="F8" s="30">
        <f>IF(Vendedor5!$E$9="",0,Vendedor5!$E$9)</f>
        <v>0</v>
      </c>
      <c r="G8" s="180">
        <f>IF(Vendedor5!$C$13="",0,Vendedor5!$C$13)</f>
        <v>3600</v>
      </c>
      <c r="H8" s="30">
        <f>IF(Vendedor5!$E$13="",0,Vendedor5!$E$13)</f>
        <v>0</v>
      </c>
      <c r="I8" s="180">
        <f>IF(Vendedor5!$C$17="",0,Vendedor5!$C$17)</f>
        <v>36700</v>
      </c>
      <c r="J8" s="30">
        <f>IF(Vendedor5!$E$17="",0,Vendedor5!$E$17)</f>
        <v>0</v>
      </c>
      <c r="L8" s="42">
        <f t="shared" ref="L8" si="4">C8+E8+G8+I8</f>
        <v>122800</v>
      </c>
      <c r="M8" s="41">
        <f>MROUND(L8*Vendedor5!J$12,50)</f>
        <v>14750</v>
      </c>
      <c r="N8" s="42">
        <f t="shared" ref="N8" si="5">D8+F8+H8+J8</f>
        <v>150</v>
      </c>
      <c r="O8" s="41">
        <f t="shared" si="3"/>
        <v>12750</v>
      </c>
      <c r="P8" s="42">
        <f>Vendedor5!$F$5+Vendedor5!$F$9+Vendedor5!$F$13+Vendedor5!$F$17</f>
        <v>12000</v>
      </c>
      <c r="Q8">
        <v>17</v>
      </c>
      <c r="R8" s="41">
        <f t="shared" ref="R8" si="6">+L8-M8-O8</f>
        <v>95300</v>
      </c>
    </row>
    <row r="9" spans="1:18" x14ac:dyDescent="0.35">
      <c r="A9" s="47">
        <v>6</v>
      </c>
      <c r="B9" s="178" t="str">
        <f>Vendedor6!$B$2</f>
        <v>Vendedor 06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70200</v>
      </c>
      <c r="D10" s="30">
        <f>IF(Vendedor7!$E$5="",0,Vendedor7!$E$5)</f>
        <v>0</v>
      </c>
      <c r="E10" s="180">
        <f>IF(Vendedor7!$C$9="",0,Vendedor7!$C$9)</f>
        <v>79950</v>
      </c>
      <c r="F10" s="30">
        <f>IF(Vendedor7!$E$9="",0,Vendedor7!$E$9)</f>
        <v>100</v>
      </c>
      <c r="G10" s="180">
        <f>IF(Vendedor7!$C$13="",0,Vendedor7!$C$13)</f>
        <v>6000</v>
      </c>
      <c r="H10" s="30">
        <f>IF(Vendedor7!$E$13="",0,Vendedor7!$E$13)</f>
        <v>0</v>
      </c>
      <c r="I10" s="180">
        <f>IF(Vendedor7!$C$17="",0,Vendedor7!$C$17)</f>
        <v>100650</v>
      </c>
      <c r="J10" s="30">
        <f>IF(Vendedor7!$E$17="",0,Vendedor7!$E$17)</f>
        <v>850</v>
      </c>
      <c r="L10" s="42">
        <f t="shared" si="7"/>
        <v>256800</v>
      </c>
      <c r="M10" s="41">
        <f>MROUND(L10*Vendedor7!J$15,50)</f>
        <v>30800</v>
      </c>
      <c r="N10" s="42">
        <f t="shared" ref="N10:N27" si="9">D10+F10+H10+J10</f>
        <v>950</v>
      </c>
      <c r="O10" s="41">
        <f t="shared" si="3"/>
        <v>80750</v>
      </c>
      <c r="P10" s="42">
        <f>Vendedor7!$F$5+Vendedor7!$F$9+Vendedor7!$F$13+Vendedor7!$F$17</f>
        <v>80750</v>
      </c>
      <c r="R10" s="41">
        <f t="shared" si="8"/>
        <v>145250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43050</v>
      </c>
      <c r="D12" s="30">
        <f>IF(Vendedor9!$E$5="",0,Vendedor9!$E$5)</f>
        <v>350</v>
      </c>
      <c r="E12" s="180">
        <f>IF(Vendedor9!$C$9="",0,Vendedor9!$C$9)</f>
        <v>26050</v>
      </c>
      <c r="F12" s="30">
        <f>IF(Vendedor9!$E$9="",0,Vendedor9!$E$9)</f>
        <v>250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69100</v>
      </c>
      <c r="M12" s="41">
        <f>MROUND(L12*Vendedor9!J$12,50)</f>
        <v>8300</v>
      </c>
      <c r="N12" s="42">
        <f t="shared" si="9"/>
        <v>600</v>
      </c>
      <c r="O12" s="41">
        <f t="shared" si="3"/>
        <v>51000</v>
      </c>
      <c r="P12" s="42">
        <f>Vendedor9!$F$5+Vendedor9!$F$9+Vendedor9!$F$13+Vendedor9!$F$17</f>
        <v>51000</v>
      </c>
      <c r="R12" s="41">
        <f t="shared" si="8"/>
        <v>9800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44300</v>
      </c>
      <c r="D13" s="30">
        <f>IF(Vendedor10!$E$5="",0,Vendedor10!$E$5)</f>
        <v>0</v>
      </c>
      <c r="E13" s="180">
        <f>IF(Vendedor10!$C$9="",0,Vendedor10!$C$9)</f>
        <v>9900</v>
      </c>
      <c r="F13" s="30">
        <f>IF(Vendedor10!$E$9="",0,Vendedor10!$E$9)</f>
        <v>0</v>
      </c>
      <c r="G13" s="180">
        <f>IF(Vendedor10!$C$13="",0,Vendedor10!$C$13)</f>
        <v>0</v>
      </c>
      <c r="H13" s="30">
        <f>IF(Vendedor10!$E$13="",0,Vendedor10!$E$13)</f>
        <v>0</v>
      </c>
      <c r="I13" s="180">
        <f>IF(Vendedor10!$C$17="",0,Vendedor10!$C$17)</f>
        <v>2200</v>
      </c>
      <c r="J13" s="30">
        <f>IF(Vendedor10!$E$17="",0,Vendedor10!$E$17)</f>
        <v>0</v>
      </c>
      <c r="L13" s="42">
        <f t="shared" si="7"/>
        <v>56400</v>
      </c>
      <c r="M13" s="41">
        <f>MROUND(L13*Vendedor10!J$10,50)</f>
        <v>6750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49650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5800</v>
      </c>
      <c r="D16" s="30">
        <f>IF(Vendedor13!$E$5="",0,Vendedor13!$E$5)</f>
        <v>0</v>
      </c>
      <c r="E16" s="180">
        <f>IF(Vendedor13!$C$9="",0,Vendedor13!$C$9)</f>
        <v>1000</v>
      </c>
      <c r="F16" s="30">
        <f>IF(Vendedor13!$E$9="",0,Vendedor13!$E$9)</f>
        <v>0</v>
      </c>
      <c r="G16" s="180">
        <f>IF(Vendedor13!$C$13="",0,Vendedor13!$C$13)</f>
        <v>5000</v>
      </c>
      <c r="H16" s="30">
        <f>IF(Vendedor13!$E$13="",0,Vendedor13!$E$13)</f>
        <v>0</v>
      </c>
      <c r="I16" s="180">
        <f>IF(Vendedor13!$C$17="",0,Vendedor13!$C$17)</f>
        <v>11250</v>
      </c>
      <c r="J16" s="30">
        <f>IF(Vendedor13!$E$17="",0,Vendedor13!$E$17)</f>
        <v>0</v>
      </c>
      <c r="L16" s="42">
        <f t="shared" si="7"/>
        <v>23050</v>
      </c>
      <c r="M16" s="41">
        <f>MROUND(L16*Vendedor13!J$12,50)</f>
        <v>2750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20300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0</v>
      </c>
      <c r="D17" s="30">
        <f>IF(Vendedor14!$E$5="",0,Vendedor14!$E$5)</f>
        <v>0</v>
      </c>
      <c r="E17" s="180">
        <f>IF(Vendedor14!$C$9="",0,Vendedor14!$C$9)</f>
        <v>0</v>
      </c>
      <c r="F17" s="30">
        <f>IF(Vendedor14!$E$9="",0,Vendedor14!$E$9)</f>
        <v>0</v>
      </c>
      <c r="G17" s="180">
        <f>IF(Vendedor14!$C$13="",0,Vendedor14!$C$13)</f>
        <v>0</v>
      </c>
      <c r="H17" s="30">
        <f>IF(Vendedor14!$E$13="",0,Vendedor14!$E$13)</f>
        <v>0</v>
      </c>
      <c r="I17" s="180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0</v>
      </c>
      <c r="D18" s="30">
        <f>IF(Vendedor15!$E$5="",0,Vendedor15!$E$5)</f>
        <v>0</v>
      </c>
      <c r="E18" s="180">
        <f>IF(Vendedor15!$C$9="",0,Vendedor15!$C$9)</f>
        <v>0</v>
      </c>
      <c r="F18" s="30">
        <f>IF(Vendedor15!$E$9="",0,Vendedor15!$E$9)</f>
        <v>0</v>
      </c>
      <c r="G18" s="180">
        <f>IF(Vendedor15!$C$13="",0,Vendedor15!$C$13)</f>
        <v>0</v>
      </c>
      <c r="H18" s="30">
        <f>IF(Vendedor15!$E$13="",0,Vendedor15!$E$13)</f>
        <v>0</v>
      </c>
      <c r="I18" s="180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238850</v>
      </c>
      <c r="D32" s="44">
        <f t="shared" si="14"/>
        <v>500</v>
      </c>
      <c r="E32" s="43">
        <f t="shared" si="14"/>
        <v>175100</v>
      </c>
      <c r="F32" s="44">
        <f t="shared" si="14"/>
        <v>350</v>
      </c>
      <c r="G32" s="43">
        <f t="shared" si="14"/>
        <v>20500</v>
      </c>
      <c r="H32" s="44">
        <f t="shared" si="14"/>
        <v>0</v>
      </c>
      <c r="I32" s="43">
        <f t="shared" si="14"/>
        <v>153750</v>
      </c>
      <c r="J32" s="44">
        <f t="shared" si="14"/>
        <v>850</v>
      </c>
      <c r="L32" s="45">
        <f>SUM(L4:L31)</f>
        <v>588200</v>
      </c>
      <c r="M32" s="45">
        <f>SUM(M7:M31)</f>
        <v>63350</v>
      </c>
      <c r="N32" s="95">
        <f>SUM(N4:N31)</f>
        <v>1700</v>
      </c>
      <c r="O32" s="46">
        <f>SUM(O4:O31)</f>
        <v>144500</v>
      </c>
      <c r="P32" s="140">
        <f>SUM(P4:P31)</f>
        <v>143750</v>
      </c>
      <c r="R32" s="79">
        <f>SUM(R4:R31)</f>
        <v>372550</v>
      </c>
    </row>
    <row r="33" spans="3:15" x14ac:dyDescent="0.35">
      <c r="D33" s="120">
        <f>+D32*85</f>
        <v>42500</v>
      </c>
      <c r="F33" s="120">
        <f>+F32*85</f>
        <v>29750</v>
      </c>
      <c r="H33" s="120">
        <f>+H32*85</f>
        <v>0</v>
      </c>
      <c r="J33" s="120">
        <f>+J32*85</f>
        <v>72250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588200</v>
      </c>
      <c r="E36" s="43">
        <f>+D36-L4-L5-L6</f>
        <v>528150</v>
      </c>
    </row>
    <row r="37" spans="3:15" x14ac:dyDescent="0.35">
      <c r="C37" s="47" t="s">
        <v>33</v>
      </c>
      <c r="D37" s="48">
        <f>D36*13%</f>
        <v>76466</v>
      </c>
      <c r="E37">
        <f>+D37-M4-M5-M6</f>
        <v>68666</v>
      </c>
    </row>
    <row r="38" spans="3:15" x14ac:dyDescent="0.35">
      <c r="C38" s="47" t="s">
        <v>30</v>
      </c>
      <c r="D38" s="30">
        <f>SUM(O4:O27)</f>
        <v>144500</v>
      </c>
      <c r="G38" s="100"/>
    </row>
    <row r="39" spans="3:15" ht="15" thickBot="1" x14ac:dyDescent="0.4">
      <c r="C39" s="49" t="s">
        <v>4</v>
      </c>
      <c r="D39" s="80">
        <f>+D36-D37-D38</f>
        <v>367234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367234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09 Blanca</v>
      </c>
      <c r="D2" s="268"/>
      <c r="E2" s="267" t="str">
        <f>IF(E33=0,"",CONCATENATE(PREMIOS!$B11," ",PREMIOS!$B12))</f>
        <v>63 Roja</v>
      </c>
      <c r="F2" s="268"/>
      <c r="G2" s="267" t="str">
        <f>IF(G33=0,"",CONCATENATE(PREMIOS!$B15," ",PREMIOS!$B16))</f>
        <v>11 Blanca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Vendedor 06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18050</v>
      </c>
      <c r="D10" s="30">
        <f>IF(Vendedor7!$E$8="",0,Vendedor7!$E$8)</f>
        <v>0</v>
      </c>
      <c r="E10" s="180">
        <f>IF(Vendedor7!$C$12="",0,Vendedor7!$C$12)</f>
        <v>11800</v>
      </c>
      <c r="F10" s="30">
        <f>IF(Vendedor7!$E$12="",0,Vendedor7!$E$12)</f>
        <v>0</v>
      </c>
      <c r="G10" s="180">
        <f>IF(Vendedor7!$C$16="",0,Vendedor7!$C$16)</f>
        <v>18650</v>
      </c>
      <c r="H10" s="30">
        <f>IF(Vendedor7!$E$16="",0,Vendedor7!$E$16)</f>
        <v>350</v>
      </c>
      <c r="J10" s="42">
        <f t="shared" si="1"/>
        <v>48500</v>
      </c>
      <c r="K10" s="41">
        <f>J10*Vendedor7!J$16</f>
        <v>4850</v>
      </c>
      <c r="L10" s="42">
        <f t="shared" si="2"/>
        <v>0</v>
      </c>
      <c r="M10" s="42">
        <f t="shared" si="3"/>
        <v>350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43650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4650</v>
      </c>
      <c r="D12" s="30">
        <f>IF(Vendedor9!$E$8="",0,Vendedor9!$E$8)</f>
        <v>0</v>
      </c>
      <c r="E12" s="180">
        <f>IF(Vendedor9!$C$12="",0,Vendedor9!$C$12)</f>
        <v>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4650</v>
      </c>
      <c r="K12" s="41">
        <f>J12*Vendedor9!J$13</f>
        <v>465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4185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0</v>
      </c>
      <c r="H16" s="30">
        <f>IF(Vendedor13!$E$16="",0,Vendedor13!$E$16)</f>
        <v>0</v>
      </c>
      <c r="J16" s="42">
        <f t="shared" si="1"/>
        <v>0</v>
      </c>
      <c r="K16" s="41">
        <f>J16*Vendedor13!J$13</f>
        <v>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0</v>
      </c>
      <c r="D17" s="30">
        <f>IF(Vendedor14!$E$8="",0,Vendedor14!$E$8)</f>
        <v>0</v>
      </c>
      <c r="E17" s="180">
        <f>IF(Vendedor14!$C$12="",0,Vendedor14!$C$12)</f>
        <v>0</v>
      </c>
      <c r="F17" s="30">
        <f>IF(Vendedor14!$E$12="",0,Vendedor14!$E$12)</f>
        <v>0</v>
      </c>
      <c r="G17" s="180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0</v>
      </c>
      <c r="D18" s="30">
        <f>IF(Vendedor15!$E$8="",0,Vendedor15!$E$8)</f>
        <v>0</v>
      </c>
      <c r="E18" s="180">
        <f>IF(Vendedor15!$C$12="",0,Vendedor15!$C$12)</f>
        <v>0</v>
      </c>
      <c r="F18" s="30">
        <f>IF(Vendedor15!$E$12="",0,Vendedor15!$E$12)</f>
        <v>0</v>
      </c>
      <c r="G18" s="180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22700</v>
      </c>
      <c r="D33" s="44">
        <f>IF(PREMIOS!E8&lt;&gt;0,SUM(D4:D32),0)</f>
        <v>0</v>
      </c>
      <c r="E33" s="43">
        <f>SUM(E4:E32)</f>
        <v>11800</v>
      </c>
      <c r="F33" s="44">
        <f>IF(PREMIOS!E12&lt;&gt;0,SUM(F4:F32),0)</f>
        <v>0</v>
      </c>
      <c r="G33" s="43">
        <f>SUM(G4:G32)</f>
        <v>18650</v>
      </c>
      <c r="H33" s="44">
        <f>IF(PREMIOS!E16&lt;&gt;0,SUM(H4:H32),0)</f>
        <v>0</v>
      </c>
      <c r="J33" s="45">
        <f>SUM(J4:J32)</f>
        <v>53150</v>
      </c>
      <c r="K33" s="45">
        <f>SUM(K7:K32)</f>
        <v>5315</v>
      </c>
      <c r="L33" s="95">
        <f>SUM(L7:L32)</f>
        <v>0</v>
      </c>
      <c r="M33" s="95">
        <f>SUM(M7:M32)</f>
        <v>350</v>
      </c>
      <c r="N33" s="95">
        <f>SUM(N4:N27)</f>
        <v>0</v>
      </c>
      <c r="O33" s="95">
        <f>SUM(O4:O27)</f>
        <v>0</v>
      </c>
      <c r="Q33" s="79">
        <f>SUM(Q4:Q32)</f>
        <v>47835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53150</v>
      </c>
      <c r="E37" s="43">
        <f>+D37-J4-J5-J6</f>
        <v>53150</v>
      </c>
      <c r="F37" s="275"/>
      <c r="G37" s="275"/>
    </row>
    <row r="38" spans="3:17" ht="15" thickBot="1" x14ac:dyDescent="0.4">
      <c r="C38" s="47" t="s">
        <v>33</v>
      </c>
      <c r="D38" s="30">
        <f>D37*10%</f>
        <v>5315</v>
      </c>
      <c r="E38" s="43">
        <f>+D38-K4-K5-K6</f>
        <v>5315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47835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47835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 t="str">
        <f>DigitaPRIMERA!C2</f>
        <v>09</v>
      </c>
      <c r="D2" s="268"/>
      <c r="E2" s="267">
        <f>DigitaPRIMERA!E2</f>
        <v>47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16100</v>
      </c>
      <c r="D4" s="78">
        <f>IF(Vendedor1!$E$19="",0,Vendedor1!$E$19)</f>
        <v>100</v>
      </c>
      <c r="E4" s="189">
        <f>IF(Vendedor1!$C$20="",0,Vendedor1!$C$20)</f>
        <v>3700</v>
      </c>
      <c r="F4" s="78">
        <f>IF(Vendedor1!$E$20="",0,Vendedor1!$E$20)</f>
        <v>0</v>
      </c>
      <c r="H4" s="42">
        <f>+C4+E4</f>
        <v>19800</v>
      </c>
      <c r="I4" s="41">
        <f>MROUND(H4*Vendedor1!J$9,50)</f>
        <v>2550</v>
      </c>
      <c r="J4" s="42">
        <f>+D4+F4</f>
        <v>100</v>
      </c>
      <c r="K4" s="42">
        <f>+J4*85</f>
        <v>8500</v>
      </c>
      <c r="L4" s="42">
        <f>Vendedor1!$F$19+Vendedor1!$F$20</f>
        <v>8000</v>
      </c>
      <c r="N4" s="42">
        <f t="shared" ref="N4:N31" si="0">+H4-I4-L4</f>
        <v>9250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6000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6000</v>
      </c>
      <c r="I5" s="41">
        <f>MROUND(H5*Vendedor2!J$9,50)</f>
        <v>800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5200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21850</v>
      </c>
      <c r="D8" s="30">
        <f>IF(Vendedor5!$E$19="",0,Vendedor5!$E$19)</f>
        <v>250</v>
      </c>
      <c r="E8" s="180">
        <f>IF(Vendedor5!$C$20="",0,Vendedor5!$C$20)</f>
        <v>5700</v>
      </c>
      <c r="F8" s="30">
        <f>IF(Vendedor5!$E$20="",0,Vendedor5!$E$20)</f>
        <v>0</v>
      </c>
      <c r="H8" s="133">
        <f t="shared" si="1"/>
        <v>27550</v>
      </c>
      <c r="I8" s="148">
        <f>MROUND(H8*Vendedor5!J$11,50)</f>
        <v>3300</v>
      </c>
      <c r="J8" s="133">
        <f t="shared" si="2"/>
        <v>250</v>
      </c>
      <c r="K8" s="133">
        <f t="shared" si="3"/>
        <v>21250</v>
      </c>
      <c r="L8" s="133">
        <f>Vendedor5!$F$19+Vendedor5!$F$20</f>
        <v>20000</v>
      </c>
      <c r="M8" s="155"/>
      <c r="N8" s="133">
        <f t="shared" si="0"/>
        <v>4250</v>
      </c>
    </row>
    <row r="9" spans="1:14" x14ac:dyDescent="0.35">
      <c r="A9" s="203">
        <v>6</v>
      </c>
      <c r="B9" s="196" t="str">
        <f>Vendedor6!$B$2</f>
        <v>Vendedor 06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21750</v>
      </c>
      <c r="D10" s="30">
        <f>IF(Vendedor7!$E$19="",0,Vendedor7!$E$19)</f>
        <v>0</v>
      </c>
      <c r="E10" s="180">
        <f>IF(Vendedor7!$C$20="",0,Vendedor7!$C$20)</f>
        <v>18150</v>
      </c>
      <c r="F10" s="30">
        <f>IF(Vendedor7!$E$20="",0,Vendedor7!$E$20)</f>
        <v>0</v>
      </c>
      <c r="H10" s="42">
        <f t="shared" si="1"/>
        <v>39900</v>
      </c>
      <c r="I10" s="41">
        <f>MROUND(H10*Vendedor7!J$14,50)</f>
        <v>4800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35100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40950</v>
      </c>
      <c r="D12" s="30">
        <f>IF(Vendedor9!$E$19="",0,Vendedor9!$E$19)</f>
        <v>750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40950</v>
      </c>
      <c r="I12" s="148">
        <f>MROUND(H12*Vendedor9!J$11,50)</f>
        <v>4900</v>
      </c>
      <c r="J12" s="133">
        <f t="shared" si="2"/>
        <v>750</v>
      </c>
      <c r="K12" s="133">
        <f t="shared" si="3"/>
        <v>63750</v>
      </c>
      <c r="L12" s="133">
        <f>Vendedor9!$F$19+Vendedor9!$F$20</f>
        <v>63750</v>
      </c>
      <c r="M12" s="155"/>
      <c r="N12" s="133">
        <f t="shared" si="0"/>
        <v>-27700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0</v>
      </c>
      <c r="I16" s="148">
        <f>MROUND(H16*Vendedor13!J$11,50)</f>
        <v>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0</v>
      </c>
      <c r="D17" s="30">
        <f>IF(Vendedor14!$E$19="",0,Vendedor14!$E$19)</f>
        <v>0</v>
      </c>
      <c r="E17" s="180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0</v>
      </c>
      <c r="D18" s="30">
        <f>IF(Vendedor15!$E$19="",0,Vendedor15!$E$19)</f>
        <v>0</v>
      </c>
      <c r="E18" s="180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106650</v>
      </c>
      <c r="D32" s="44">
        <f>SUM(D4:D31)</f>
        <v>1100</v>
      </c>
      <c r="E32" s="43">
        <f>SUM(E4:E31)</f>
        <v>27550</v>
      </c>
      <c r="F32" s="44">
        <f>SUM(F4:F31)</f>
        <v>0</v>
      </c>
      <c r="H32" s="95">
        <f>SUM(H4:H31)</f>
        <v>134200</v>
      </c>
      <c r="I32" s="45">
        <f>SUM(I7:I31)</f>
        <v>13000</v>
      </c>
      <c r="J32" s="95"/>
      <c r="K32" s="95">
        <f>SUM(K4:K31)</f>
        <v>93500</v>
      </c>
      <c r="L32" s="95">
        <f>SUM(L4:L31)</f>
        <v>91750</v>
      </c>
      <c r="N32" s="79">
        <f>SUM(N4:N31)</f>
        <v>26100</v>
      </c>
    </row>
    <row r="33" spans="3:6" x14ac:dyDescent="0.35">
      <c r="D33" s="99">
        <f>+D32*85</f>
        <v>93500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134200</v>
      </c>
      <c r="E36" s="43">
        <f>+D36-H4-H5-H6</f>
        <v>108400</v>
      </c>
    </row>
    <row r="37" spans="3:6" x14ac:dyDescent="0.35">
      <c r="C37" s="47" t="s">
        <v>33</v>
      </c>
      <c r="D37" s="48">
        <f>D36*13%</f>
        <v>17446</v>
      </c>
      <c r="E37">
        <f>+D37-I4-I5-I6</f>
        <v>14096</v>
      </c>
    </row>
    <row r="38" spans="3:6" ht="15" thickBot="1" x14ac:dyDescent="0.4">
      <c r="C38" s="47" t="s">
        <v>30</v>
      </c>
      <c r="D38" s="30">
        <f>SUM(K4:K27)</f>
        <v>93500</v>
      </c>
    </row>
    <row r="39" spans="3:6" ht="15" thickBot="1" x14ac:dyDescent="0.4">
      <c r="C39" s="49" t="s">
        <v>4</v>
      </c>
      <c r="D39" s="80">
        <f>+D36-D37-D38</f>
        <v>23254</v>
      </c>
      <c r="F39" s="98">
        <f>+N32-D39</f>
        <v>2846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23254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27</v>
      </c>
      <c r="D2" s="268"/>
      <c r="E2" s="267">
        <f>DigitaHONDURAS!E2</f>
        <v>69</v>
      </c>
      <c r="F2" s="268"/>
      <c r="G2" s="267">
        <f>DigitaHONDURAS!G2</f>
        <v>54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Vendedor 06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7100</v>
      </c>
      <c r="D10" s="30">
        <f>IF(Vendedor7!$E$21="",0,Vendedor7!$E$21)</f>
        <v>0</v>
      </c>
      <c r="E10" s="180">
        <f>IF(Vendedor7!$C$22="",0,Vendedor7!$C$22)</f>
        <v>7900</v>
      </c>
      <c r="F10" s="30">
        <f>IF(Vendedor7!$E$22="",0,Vendedor7!$E$22)</f>
        <v>600</v>
      </c>
      <c r="G10" s="180">
        <f>IF(Vendedor7!$C$23="",0,Vendedor7!$C$23)</f>
        <v>14000</v>
      </c>
      <c r="H10" s="30">
        <f>IF(Vendedor7!$E$23="",0,Vendedor7!$E$23)</f>
        <v>0</v>
      </c>
      <c r="J10" s="42">
        <f t="shared" si="0"/>
        <v>29000</v>
      </c>
      <c r="K10" s="41">
        <f>MROUND(J10*Vendedor7!J$14,50)</f>
        <v>3500</v>
      </c>
      <c r="L10" s="42">
        <f t="shared" si="1"/>
        <v>600</v>
      </c>
      <c r="M10" s="42">
        <f t="shared" si="3"/>
        <v>51000</v>
      </c>
      <c r="N10" s="42">
        <f>Vendedor7!$F$21+Vendedor7!$F$22+Vendedor7!$F$23</f>
        <v>51000</v>
      </c>
      <c r="P10" s="42">
        <f t="shared" si="2"/>
        <v>-25500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0</v>
      </c>
      <c r="D17" s="30">
        <f>IF(Vendedor14!$E$21="",0,Vendedor14!$E$21)</f>
        <v>0</v>
      </c>
      <c r="E17" s="180">
        <f>IF(Vendedor14!$C$22="",0,Vendedor14!$C$22)</f>
        <v>0</v>
      </c>
      <c r="F17" s="30">
        <f>IF(Vendedor14!$E$22="",0,Vendedor14!$E$22)</f>
        <v>0</v>
      </c>
      <c r="G17" s="180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0</v>
      </c>
      <c r="D18" s="30">
        <f>IF(Vendedor15!$E$21="",0,Vendedor15!$E$21)</f>
        <v>0</v>
      </c>
      <c r="E18" s="180">
        <f>IF(Vendedor15!$C$22="",0,Vendedor15!$C$22)</f>
        <v>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7100</v>
      </c>
      <c r="D32" s="44">
        <f t="shared" si="8"/>
        <v>0</v>
      </c>
      <c r="E32" s="43">
        <f t="shared" si="8"/>
        <v>7900</v>
      </c>
      <c r="F32" s="44">
        <f t="shared" si="8"/>
        <v>600</v>
      </c>
      <c r="G32" s="43">
        <f t="shared" si="8"/>
        <v>14000</v>
      </c>
      <c r="H32" s="44">
        <f t="shared" si="8"/>
        <v>0</v>
      </c>
      <c r="J32" s="95">
        <f>SUM(J4:J31)</f>
        <v>29000</v>
      </c>
      <c r="K32" s="45">
        <f>SUM(K7:K31)</f>
        <v>3500</v>
      </c>
      <c r="L32" s="95"/>
      <c r="M32" s="95">
        <f>SUM(M4:M31)</f>
        <v>51000</v>
      </c>
      <c r="N32" s="95">
        <f>SUM(N4:N31)</f>
        <v>51000</v>
      </c>
      <c r="P32" s="79">
        <f>SUM(P4:P31)</f>
        <v>-25500</v>
      </c>
    </row>
    <row r="33" spans="3:8" x14ac:dyDescent="0.35">
      <c r="D33" s="99">
        <f>+D32*85</f>
        <v>0</v>
      </c>
      <c r="F33" s="99">
        <f>+F32*85</f>
        <v>51000</v>
      </c>
      <c r="H33" s="99">
        <f>+H32*85</f>
        <v>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29000</v>
      </c>
      <c r="E36" s="43">
        <f>+D36-J4-J5-J6</f>
        <v>29000</v>
      </c>
    </row>
    <row r="37" spans="3:8" x14ac:dyDescent="0.35">
      <c r="C37" s="47" t="s">
        <v>33</v>
      </c>
      <c r="D37" s="48">
        <f>D36*13%</f>
        <v>3770</v>
      </c>
      <c r="E37">
        <f>+D37-K4-K5-K6</f>
        <v>3770</v>
      </c>
    </row>
    <row r="38" spans="3:8" ht="15" thickBot="1" x14ac:dyDescent="0.4">
      <c r="C38" s="47" t="s">
        <v>30</v>
      </c>
      <c r="D38" s="30">
        <f>SUM(M4:M27)</f>
        <v>51000</v>
      </c>
      <c r="G38" s="100"/>
    </row>
    <row r="39" spans="3:8" ht="15" thickBot="1" x14ac:dyDescent="0.4">
      <c r="C39" s="49" t="s">
        <v>4</v>
      </c>
      <c r="D39" s="80">
        <f>+D36-D37-D38</f>
        <v>-25770</v>
      </c>
      <c r="F39" s="98">
        <f>+P32-D39</f>
        <v>270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-25770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69</v>
      </c>
      <c r="D2" s="268"/>
      <c r="E2" s="267">
        <f>DigitaDOMINICANA!E2</f>
        <v>91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Vendedor 06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42000</v>
      </c>
      <c r="D10" s="30">
        <f>IF(Vendedor7!$E$24="",0,Vendedor7!$E$24)</f>
        <v>750</v>
      </c>
      <c r="E10" s="180">
        <f>IF(Vendedor7!$C$25="",0,Vendedor7!$C$25)</f>
        <v>64000</v>
      </c>
      <c r="F10" s="30">
        <f>IF(Vendedor7!$E$25="",0,Vendedor7!$E$25)</f>
        <v>0</v>
      </c>
      <c r="H10" s="42">
        <f t="shared" si="1"/>
        <v>106000</v>
      </c>
      <c r="I10" s="41">
        <f>MROUND(H10*Vendedor7!J$14,50)</f>
        <v>12700</v>
      </c>
      <c r="J10" s="42">
        <f t="shared" si="2"/>
        <v>750</v>
      </c>
      <c r="K10" s="42">
        <f t="shared" si="3"/>
        <v>63750</v>
      </c>
      <c r="L10" s="42">
        <f>Vendedor7!$F$24+Vendedor7!$F$25</f>
        <v>63750</v>
      </c>
      <c r="N10" s="42">
        <f t="shared" si="0"/>
        <v>29550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42000</v>
      </c>
      <c r="D32" s="44">
        <f>SUM(D4:D31)</f>
        <v>750</v>
      </c>
      <c r="E32" s="43">
        <f>SUM(E4:E31)</f>
        <v>64000</v>
      </c>
      <c r="F32" s="44">
        <f>SUM(F4:F31)</f>
        <v>0</v>
      </c>
      <c r="H32" s="95">
        <f>SUM(H4:H31)</f>
        <v>106000</v>
      </c>
      <c r="I32" s="45">
        <f>SUM(I7:I31)</f>
        <v>12700</v>
      </c>
      <c r="J32" s="95"/>
      <c r="K32" s="95">
        <f>SUM(K4:K31)</f>
        <v>63750</v>
      </c>
      <c r="L32" s="95">
        <f>SUM(L4:L31)</f>
        <v>63750</v>
      </c>
      <c r="N32" s="79">
        <f>SUM(N4:N31)</f>
        <v>29550</v>
      </c>
    </row>
    <row r="33" spans="3:6" x14ac:dyDescent="0.35">
      <c r="D33" s="99">
        <f>+D32*85</f>
        <v>63750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106000</v>
      </c>
      <c r="E36" s="43">
        <f>+D36-H4-H5-H6</f>
        <v>106000</v>
      </c>
    </row>
    <row r="37" spans="3:6" x14ac:dyDescent="0.35">
      <c r="C37" s="47" t="s">
        <v>33</v>
      </c>
      <c r="D37" s="48">
        <f>D36*13%</f>
        <v>13780</v>
      </c>
      <c r="E37">
        <f>+D37-I4-I5-I6</f>
        <v>13780</v>
      </c>
    </row>
    <row r="38" spans="3:6" ht="15" thickBot="1" x14ac:dyDescent="0.4">
      <c r="C38" s="47" t="s">
        <v>30</v>
      </c>
      <c r="D38" s="30">
        <f>SUM(K4:K27)</f>
        <v>63750</v>
      </c>
    </row>
    <row r="39" spans="3:6" ht="15" thickBot="1" x14ac:dyDescent="0.4">
      <c r="C39" s="49" t="s">
        <v>4</v>
      </c>
      <c r="D39" s="80">
        <f>+D36-D37-D38</f>
        <v>28470</v>
      </c>
      <c r="F39" s="98">
        <f>+N32-D39</f>
        <v>1080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28470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Vendedor 06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06-08-2026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528150</v>
      </c>
      <c r="C4" s="157">
        <f>HojaNICA!M32</f>
        <v>63350</v>
      </c>
      <c r="D4" s="150">
        <f>HojaNICA!E37</f>
        <v>68666</v>
      </c>
      <c r="E4" s="150">
        <f>HojaNICA!P32</f>
        <v>143750</v>
      </c>
      <c r="F4" s="150">
        <f>HojaNICA!O32</f>
        <v>144500</v>
      </c>
      <c r="G4" s="151">
        <f t="shared" ref="G4:G10" si="0">+D4-C4+F4-E4</f>
        <v>6066</v>
      </c>
      <c r="H4" s="21"/>
      <c r="I4" s="182"/>
    </row>
    <row r="5" spans="1:9" x14ac:dyDescent="0.35">
      <c r="A5" s="28" t="s">
        <v>19</v>
      </c>
      <c r="B5" s="156">
        <f>HojaTICA!$E$36</f>
        <v>778000</v>
      </c>
      <c r="C5" s="157">
        <f>HojaTICA!K32</f>
        <v>96300</v>
      </c>
      <c r="D5" s="150">
        <f>HojaTICA!E37</f>
        <v>101141</v>
      </c>
      <c r="E5" s="150">
        <f>HojaTICA!N32</f>
        <v>2256000</v>
      </c>
      <c r="F5" s="150">
        <f>HojaTICA!D38</f>
        <v>2273750</v>
      </c>
      <c r="G5" s="151">
        <f t="shared" si="0"/>
        <v>22591</v>
      </c>
      <c r="H5" s="21"/>
      <c r="I5" s="182"/>
    </row>
    <row r="6" spans="1:9" x14ac:dyDescent="0.35">
      <c r="A6" s="28" t="s">
        <v>125</v>
      </c>
      <c r="B6" s="156">
        <f>HojaREVENTADO!$E$37</f>
        <v>53150</v>
      </c>
      <c r="C6" s="157">
        <f>HojaREVENTADO!K33</f>
        <v>5315</v>
      </c>
      <c r="D6" s="150">
        <f>HojaREVENTADO!E38</f>
        <v>5315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108400</v>
      </c>
      <c r="C7" s="157">
        <f>HojaPrimera!I32</f>
        <v>13000</v>
      </c>
      <c r="D7" s="150">
        <f>HojaPrimera!E37</f>
        <v>14096</v>
      </c>
      <c r="E7" s="150">
        <f>HojaPrimera!L32</f>
        <v>91750</v>
      </c>
      <c r="F7" s="150">
        <f>HojaPrimera!K32</f>
        <v>93500</v>
      </c>
      <c r="G7" s="151">
        <f t="shared" si="0"/>
        <v>2846</v>
      </c>
      <c r="H7" s="21"/>
      <c r="I7" s="21"/>
    </row>
    <row r="8" spans="1:9" x14ac:dyDescent="0.35">
      <c r="A8" s="28" t="s">
        <v>104</v>
      </c>
      <c r="B8" s="156">
        <f>HojaHonduras!$E$36</f>
        <v>29000</v>
      </c>
      <c r="C8" s="157">
        <f>HojaHonduras!K32</f>
        <v>3500</v>
      </c>
      <c r="D8" s="150">
        <f>HojaHonduras!E37</f>
        <v>3770</v>
      </c>
      <c r="E8" s="150">
        <f>HojaHonduras!N32</f>
        <v>51000</v>
      </c>
      <c r="F8" s="150">
        <f>HojaHonduras!M32</f>
        <v>51000</v>
      </c>
      <c r="G8" s="151">
        <f t="shared" si="0"/>
        <v>270</v>
      </c>
      <c r="H8" s="21"/>
      <c r="I8" s="21"/>
    </row>
    <row r="9" spans="1:9" x14ac:dyDescent="0.35">
      <c r="A9" s="28" t="s">
        <v>20</v>
      </c>
      <c r="B9" s="156">
        <f>HojaDominicana!$E$36</f>
        <v>106000</v>
      </c>
      <c r="C9" s="157">
        <f>HojaDominicana!I32</f>
        <v>12700</v>
      </c>
      <c r="D9" s="150">
        <f>HojaDominicana!E37</f>
        <v>13780</v>
      </c>
      <c r="E9" s="150">
        <f>HojaDominicana!L32</f>
        <v>63750</v>
      </c>
      <c r="F9" s="150">
        <f>HojaDominicana!K32</f>
        <v>63750</v>
      </c>
      <c r="G9" s="151">
        <f t="shared" si="0"/>
        <v>1080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1602700</v>
      </c>
      <c r="C11" s="175">
        <f>SUM(C4:C10)</f>
        <v>194165</v>
      </c>
      <c r="D11" s="175">
        <f t="shared" ref="D11:F11" si="1">SUM(D4:D10)</f>
        <v>206768</v>
      </c>
      <c r="E11" s="175">
        <f t="shared" si="1"/>
        <v>2606250</v>
      </c>
      <c r="F11" s="175">
        <f t="shared" si="1"/>
        <v>2626500</v>
      </c>
      <c r="G11" s="176">
        <f>SUM(G4:G10)</f>
        <v>32853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v>20000</v>
      </c>
      <c r="H12" s="141">
        <f>+G11-G12</f>
        <v>12853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261850</v>
      </c>
      <c r="E16" s="157">
        <f>+Vendedor1!D21</f>
        <v>34040.5</v>
      </c>
      <c r="F16" s="158">
        <f>IF(D16&lt;&gt;0,15000,0)</f>
        <v>15000</v>
      </c>
      <c r="G16" s="151">
        <f>+E16-F16</f>
        <v>19040.5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181700</v>
      </c>
      <c r="E17" s="157">
        <f>+Vendedor2!D21</f>
        <v>23621</v>
      </c>
      <c r="F17" s="158">
        <f>IF(D17&lt;&gt;0,15000,0)</f>
        <v>15000</v>
      </c>
      <c r="G17" s="151">
        <f>+E17-F17</f>
        <v>8621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443550</v>
      </c>
      <c r="E19" s="159">
        <f>SUM(E16:E18)</f>
        <v>57661.5</v>
      </c>
      <c r="F19" s="160">
        <f>SUM(F16:F18)</f>
        <v>30000</v>
      </c>
      <c r="G19" s="161">
        <f>SUM(G16:G18)</f>
        <v>27661.5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40514.5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activeCell="K15" sqref="K15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06-08-2026</v>
      </c>
      <c r="B2" s="278"/>
      <c r="C2" s="278"/>
      <c r="D2" s="278"/>
      <c r="E2" s="278"/>
      <c r="F2" s="278"/>
      <c r="K2">
        <f>833082.5-108300.73-2017262.5</f>
        <v>-1292480.73</v>
      </c>
    </row>
    <row r="3" spans="1:15" ht="15" thickBot="1" x14ac:dyDescent="0.4">
      <c r="K3">
        <f>1135700-147641-2103750</f>
        <v>-1115691</v>
      </c>
    </row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588200</v>
      </c>
      <c r="C5" s="150">
        <f>HojaNICA!D37</f>
        <v>76466</v>
      </c>
      <c r="D5" s="150">
        <f>HojaNICA!D38</f>
        <v>144500</v>
      </c>
      <c r="E5" s="150"/>
      <c r="F5" s="151">
        <f>+B5-C5-D5+E5</f>
        <v>367234</v>
      </c>
      <c r="H5" s="249" t="s">
        <v>105</v>
      </c>
      <c r="I5" s="243">
        <f ca="1">TODAY()-2</f>
        <v>46240</v>
      </c>
      <c r="L5">
        <v>588200</v>
      </c>
      <c r="M5">
        <v>47056</v>
      </c>
      <c r="N5">
        <f>+M5/L5</f>
        <v>0.08</v>
      </c>
      <c r="O5" s="119"/>
    </row>
    <row r="6" spans="1:15" ht="15" thickBot="1" x14ac:dyDescent="0.4">
      <c r="A6" s="47" t="s">
        <v>36</v>
      </c>
      <c r="B6" s="150">
        <f>HojaTICA!D36</f>
        <v>1135700</v>
      </c>
      <c r="C6" s="150">
        <f>HojaTICA!D37</f>
        <v>147641</v>
      </c>
      <c r="D6" s="150">
        <f>HojaTICA!D38</f>
        <v>2273750</v>
      </c>
      <c r="E6" s="150"/>
      <c r="F6" s="151">
        <f t="shared" ref="F6:F11" si="0">+B6-C6-D6+E6</f>
        <v>-1285691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53150</v>
      </c>
      <c r="C7" s="150">
        <f>HojaREVENTADO!D38</f>
        <v>5315</v>
      </c>
      <c r="D7" s="150">
        <f>HojaREVENTADO!D39</f>
        <v>0</v>
      </c>
      <c r="E7" s="150"/>
      <c r="F7" s="151">
        <f t="shared" si="0"/>
        <v>47835</v>
      </c>
    </row>
    <row r="8" spans="1:15" x14ac:dyDescent="0.35">
      <c r="A8" s="47" t="s">
        <v>96</v>
      </c>
      <c r="B8" s="150">
        <f>HojaPrimera!$D36</f>
        <v>134200</v>
      </c>
      <c r="C8" s="150">
        <f>HojaPrimera!$D37</f>
        <v>17446</v>
      </c>
      <c r="D8" s="150">
        <f>HojaPrimera!$D38</f>
        <v>93500</v>
      </c>
      <c r="E8" s="150"/>
      <c r="F8" s="151">
        <f t="shared" si="0"/>
        <v>23254</v>
      </c>
      <c r="H8" s="249" t="s">
        <v>149</v>
      </c>
    </row>
    <row r="9" spans="1:15" ht="15" thickBot="1" x14ac:dyDescent="0.4">
      <c r="A9" s="47" t="s">
        <v>104</v>
      </c>
      <c r="B9" s="150">
        <f>HojaHonduras!$D36</f>
        <v>29000</v>
      </c>
      <c r="C9" s="150">
        <f>HojaHonduras!$D37</f>
        <v>3770</v>
      </c>
      <c r="D9" s="150">
        <f>HojaHonduras!$D38</f>
        <v>51000</v>
      </c>
      <c r="E9" s="150"/>
      <c r="F9" s="151">
        <f t="shared" si="0"/>
        <v>-25770</v>
      </c>
      <c r="H9" s="250">
        <f>+K12-K10-H6</f>
        <v>-649696.73000000045</v>
      </c>
    </row>
    <row r="10" spans="1:15" ht="15" thickBot="1" x14ac:dyDescent="0.4">
      <c r="A10" s="47" t="s">
        <v>20</v>
      </c>
      <c r="B10" s="150">
        <f>HojaDominicana!$D36</f>
        <v>106000</v>
      </c>
      <c r="C10" s="150">
        <f>HojaDominicana!$D37</f>
        <v>13780</v>
      </c>
      <c r="D10" s="150">
        <f>HojaDominicana!$D38</f>
        <v>63750</v>
      </c>
      <c r="E10" s="150"/>
      <c r="F10" s="151">
        <f t="shared" si="0"/>
        <v>28470</v>
      </c>
      <c r="H10" s="154"/>
      <c r="J10" t="s">
        <v>147</v>
      </c>
      <c r="K10" s="252">
        <v>5051367.7300000004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150</v>
      </c>
      <c r="J11" t="s">
        <v>154</v>
      </c>
      <c r="K11" s="253">
        <f>+K10+F12+H6</f>
        <v>4206699.7300000004</v>
      </c>
    </row>
    <row r="12" spans="1:15" ht="16" thickBot="1" x14ac:dyDescent="0.4">
      <c r="A12" s="144" t="s">
        <v>5</v>
      </c>
      <c r="B12" s="152">
        <f>SUM(B5:B11)</f>
        <v>2046250</v>
      </c>
      <c r="C12" s="152">
        <f>SUM(C5:C11)</f>
        <v>264418</v>
      </c>
      <c r="D12" s="152">
        <f>SUM(D5:D11)</f>
        <v>2626500</v>
      </c>
      <c r="E12" s="152"/>
      <c r="F12" s="255">
        <f>SUM(F5:F11)</f>
        <v>-844668</v>
      </c>
      <c r="H12" s="251">
        <f>K11</f>
        <v>4206699.7300000004</v>
      </c>
      <c r="J12" t="s">
        <v>140</v>
      </c>
      <c r="K12" s="254">
        <f>-1938413.07+70654.59+3968979.5+2300449.98</f>
        <v>4401671</v>
      </c>
    </row>
    <row r="13" spans="1:15" x14ac:dyDescent="0.35">
      <c r="K13" s="154"/>
      <c r="M13" s="154"/>
    </row>
    <row r="14" spans="1:15" x14ac:dyDescent="0.35">
      <c r="K14" s="154">
        <f>+K12-K11</f>
        <v>194971.26999999955</v>
      </c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196600</v>
      </c>
      <c r="K4" s="231">
        <f t="shared" ref="K4" si="0">D7+D11+D15</f>
        <v>25558</v>
      </c>
      <c r="L4" s="220">
        <f>F7+F11+F15</f>
        <v>327250</v>
      </c>
    </row>
    <row r="5" spans="1:12" x14ac:dyDescent="0.35">
      <c r="A5" s="28" t="s">
        <v>43</v>
      </c>
      <c r="B5" s="132">
        <f>IF(DigitaNICA!C2&lt;&gt;"",DigitaNICA!C2,"")</f>
        <v>56</v>
      </c>
      <c r="C5" s="29">
        <f>IF(DigitaNICA!C4&lt;&gt;"",DigitaNICA!C4,"")</f>
        <v>18300</v>
      </c>
      <c r="D5" s="42">
        <f>IF(C5="",0,C5*J$10)</f>
        <v>2379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15921</v>
      </c>
      <c r="I5" s="241" t="s">
        <v>37</v>
      </c>
      <c r="J5" s="221">
        <f>SUM(IF(C5="",0,C5),IF(C9="",0,C9),IF(C13="",0,C13),IF(C17="",0,C17))</f>
        <v>45450</v>
      </c>
      <c r="K5" s="225">
        <f t="shared" ref="K5" si="2">D5+D9+D13+D17</f>
        <v>5908.5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19800</v>
      </c>
      <c r="K6" s="228">
        <f>D19+D20</f>
        <v>2574</v>
      </c>
      <c r="L6" s="229">
        <f>F19+F20</f>
        <v>8000</v>
      </c>
    </row>
    <row r="7" spans="1:12" ht="15" thickBot="1" x14ac:dyDescent="0.4">
      <c r="A7" s="28" t="s">
        <v>46</v>
      </c>
      <c r="B7" s="132" t="str">
        <f>IF(DigitaTICA!C2&lt;&gt;"",DigitaTICA!C2,"")</f>
        <v>09</v>
      </c>
      <c r="C7" s="29">
        <f>IF(DigitaTICA!C4&lt;&gt;"",DigitaTICA!C4,"")</f>
        <v>73400</v>
      </c>
      <c r="D7" s="42">
        <f>IF(C7="",0,C7*J$9)</f>
        <v>9542</v>
      </c>
      <c r="E7" s="29">
        <f>IF(DigitaTICA!D4&lt;&gt;"",DigitaTICA!D4,"")</f>
        <v>2100</v>
      </c>
      <c r="F7" s="42">
        <f>IF(E7="",0,E7*PREMIOS!F7)</f>
        <v>178500</v>
      </c>
      <c r="G7" s="30">
        <f t="shared" si="1"/>
        <v>-114642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34</v>
      </c>
      <c r="C9" s="29">
        <f>IF(DigitaNICA!E4&lt;&gt;"",DigitaNICA!E4,"")</f>
        <v>19700</v>
      </c>
      <c r="D9" s="42">
        <f>IF(C9="",0,C9*J$10)</f>
        <v>2561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17139</v>
      </c>
      <c r="I9" s="76" t="s">
        <v>36</v>
      </c>
      <c r="J9" s="77">
        <v>0.13</v>
      </c>
      <c r="K9" s="78">
        <f>MROUND(D7+D11+D15,50)</f>
        <v>25550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5900</v>
      </c>
    </row>
    <row r="11" spans="1:12" x14ac:dyDescent="0.35">
      <c r="A11" s="28" t="s">
        <v>59</v>
      </c>
      <c r="B11" s="132">
        <f>IF(DigitaTICA!E2&lt;&gt;"",DigitaTICA!E2,"")</f>
        <v>63</v>
      </c>
      <c r="C11" s="29">
        <f>IF(DigitaTICA!E4&lt;&gt;"",DigitaTICA!E4,"")</f>
        <v>35450</v>
      </c>
      <c r="D11" s="42">
        <f>IF(C11="",0,C11*J$9)</f>
        <v>4608.5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30841.5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2550</v>
      </c>
    </row>
    <row r="13" spans="1:12" x14ac:dyDescent="0.35">
      <c r="A13" s="28" t="s">
        <v>50</v>
      </c>
      <c r="B13" s="132">
        <f>IF(DigitaNICA!G2&lt;&gt;"",DigitaNICA!G2,"")</f>
        <v>84</v>
      </c>
      <c r="C13" s="29">
        <f>IF(DigitaNICA!G4&lt;&gt;"",DigitaNICA!G4,"")</f>
        <v>4500</v>
      </c>
      <c r="D13" s="42">
        <f>IF(C13="",0,C13*J$10)</f>
        <v>585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3915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11</v>
      </c>
      <c r="C15" s="29">
        <f>IF(DigitaTICA!G4&lt;&gt;"",DigitaTICA!G4,"")</f>
        <v>87750</v>
      </c>
      <c r="D15" s="42">
        <f>IF(C15="",0,C15*J$9)</f>
        <v>11407.5</v>
      </c>
      <c r="E15" s="29">
        <f>IF(DigitaTICA!H4&lt;&gt;"",DigitaTICA!H4,"")</f>
        <v>1750</v>
      </c>
      <c r="F15" s="42">
        <f>IF(E15="",0,E15*PREMIOS!F15)</f>
        <v>148750</v>
      </c>
      <c r="G15" s="30">
        <f t="shared" si="3"/>
        <v>-72407.5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79</v>
      </c>
      <c r="C17" s="29">
        <f>IF(DigitaNICA!I4&lt;&gt;"",DigitaNICA!I4,"")</f>
        <v>2950</v>
      </c>
      <c r="D17" s="42">
        <f>IF(C17="",0,C17*J$10)</f>
        <v>383.5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2566.5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>09</v>
      </c>
      <c r="C19" s="29">
        <f>IF(DigitaPRIMERA!C4&lt;&gt;"",DigitaPRIMERA!C4,"")</f>
        <v>16100</v>
      </c>
      <c r="D19" s="42">
        <f>IF(C19="",0,C19*J$12)</f>
        <v>2093</v>
      </c>
      <c r="E19" s="29">
        <f>IF(DigitaPRIMERA!D4&lt;&gt;"",DigitaPRIMERA!D4,"")</f>
        <v>100</v>
      </c>
      <c r="F19" s="42">
        <f>IF(E19="",0,E19*PREMIOS!E19)</f>
        <v>8000</v>
      </c>
      <c r="G19" s="30">
        <f t="shared" ref="G19" si="4">IF(OR(C19="",E19=""),0,C19-D19-F19)</f>
        <v>6007</v>
      </c>
    </row>
    <row r="20" spans="1:7" x14ac:dyDescent="0.35">
      <c r="A20" s="28" t="s">
        <v>98</v>
      </c>
      <c r="B20" s="132">
        <f>IF(DigitaPRIMERA!E2&lt;&gt;"",DigitaPRIMERA!E2,"")</f>
        <v>47</v>
      </c>
      <c r="C20" s="29">
        <f>IF(DigitaPRIMERA!E4&lt;&gt;"",DigitaPRIMERA!E4,"")</f>
        <v>3700</v>
      </c>
      <c r="D20" s="42">
        <f>IF(C20="",0,C20*J$12)</f>
        <v>481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3219</v>
      </c>
    </row>
    <row r="21" spans="1:7" ht="15" thickBot="1" x14ac:dyDescent="0.4">
      <c r="A21" s="121" t="s">
        <v>5</v>
      </c>
      <c r="B21" s="128"/>
      <c r="C21" s="122">
        <f>SUM(C5:C20)</f>
        <v>261850</v>
      </c>
      <c r="D21" s="122">
        <f t="shared" ref="D21:G21" si="6">SUM(D5:D20)</f>
        <v>34040.5</v>
      </c>
      <c r="E21" s="122">
        <f t="shared" si="6"/>
        <v>3950</v>
      </c>
      <c r="F21" s="122">
        <f t="shared" si="6"/>
        <v>335250</v>
      </c>
      <c r="G21" s="123">
        <f t="shared" si="6"/>
        <v>-107440.5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161100</v>
      </c>
      <c r="K4" s="231">
        <f t="shared" ref="K4" si="0">D7+D11+D15</f>
        <v>20943</v>
      </c>
      <c r="L4" s="220">
        <f>F7+F11+F15</f>
        <v>399500</v>
      </c>
    </row>
    <row r="5" spans="1:12" x14ac:dyDescent="0.35">
      <c r="A5" s="28" t="s">
        <v>43</v>
      </c>
      <c r="B5" s="132">
        <f>IF(DigitaNICA!C2&lt;&gt;"",DigitaNICA!C2,"")</f>
        <v>56</v>
      </c>
      <c r="C5" s="29">
        <f>IF(DigitaNICA!C5&lt;&gt;"",DigitaNICA!C5,"")</f>
        <v>8800</v>
      </c>
      <c r="D5" s="42">
        <f>IF(C5="",0,C5*J$10)</f>
        <v>1144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7656</v>
      </c>
      <c r="I5" s="241" t="s">
        <v>37</v>
      </c>
      <c r="J5" s="221">
        <f>SUM(IF(C5="",0,C5),IF(C9="",0,C9),IF(C13="",0,C13),IF(C17="",0,C17))</f>
        <v>14600</v>
      </c>
      <c r="K5" s="225">
        <f t="shared" ref="K5" si="2">D5+D9+D13+D17</f>
        <v>1898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6000</v>
      </c>
      <c r="K6" s="228">
        <f>D19+D20</f>
        <v>780</v>
      </c>
      <c r="L6" s="229">
        <f>F19+F20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09</v>
      </c>
      <c r="C7" s="29">
        <f>IF(DigitaTICA!C5&lt;&gt;"",DigitaTICA!C5,"")</f>
        <v>52100</v>
      </c>
      <c r="D7" s="42">
        <f>IF(C7="",0,C7*J$9)</f>
        <v>6773</v>
      </c>
      <c r="E7" s="29">
        <f>IF(DigitaTICA!D5&lt;&gt;"",DigitaTICA!D5,"")</f>
        <v>3150</v>
      </c>
      <c r="F7" s="42">
        <f>IF(E7="",0,E7*PREMIOS!F7)</f>
        <v>267750</v>
      </c>
      <c r="G7" s="30">
        <f t="shared" si="1"/>
        <v>-222423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34</v>
      </c>
      <c r="C9" s="29">
        <f>IF(DigitaNICA!E5&lt;&gt;"",DigitaNICA!E5,"")</f>
        <v>4400</v>
      </c>
      <c r="D9" s="42">
        <f>IF(C9="",0,C9*J$10)</f>
        <v>572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3828</v>
      </c>
      <c r="I9" s="60" t="s">
        <v>36</v>
      </c>
      <c r="J9" s="61">
        <v>0.13</v>
      </c>
      <c r="K9" s="62">
        <f>MROUND(D7+D11+D15,50)</f>
        <v>20950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1900</v>
      </c>
    </row>
    <row r="11" spans="1:12" x14ac:dyDescent="0.35">
      <c r="A11" s="28" t="s">
        <v>59</v>
      </c>
      <c r="B11" s="132">
        <f>IF(DigitaTICA!E2&lt;&gt;"",DigitaTICA!E2,"")</f>
        <v>63</v>
      </c>
      <c r="C11" s="29">
        <f>IF(DigitaTICA!E5&lt;&gt;"",DigitaTICA!E5,"")</f>
        <v>37000</v>
      </c>
      <c r="D11" s="42">
        <f>IF(C11="",0,C11*J$9)</f>
        <v>4810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32190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800</v>
      </c>
    </row>
    <row r="13" spans="1:12" x14ac:dyDescent="0.35">
      <c r="A13" s="28" t="s">
        <v>50</v>
      </c>
      <c r="B13" s="132">
        <f>IF(DigitaNICA!G2&lt;&gt;"",DigitaNICA!G2,"")</f>
        <v>84</v>
      </c>
      <c r="C13" s="29">
        <f>IF(DigitaNICA!G5&lt;&gt;"",DigitaNICA!G5,"")</f>
        <v>1400</v>
      </c>
      <c r="D13" s="42">
        <f>IF(C13="",0,C13*J$10)</f>
        <v>182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1218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11</v>
      </c>
      <c r="C15" s="29">
        <f>IF(DigitaTICA!G5&lt;&gt;"",DigitaTICA!G5,"")</f>
        <v>72000</v>
      </c>
      <c r="D15" s="42">
        <f>IF(C15="",0,C15*J$9)</f>
        <v>9360</v>
      </c>
      <c r="E15" s="29">
        <f>IF(DigitaTICA!H5&lt;&gt;"",DigitaTICA!H5,"")</f>
        <v>1550</v>
      </c>
      <c r="F15" s="42">
        <f>IF(E15="",0,E15*PREMIOS!F15)</f>
        <v>131750</v>
      </c>
      <c r="G15" s="30">
        <f t="shared" si="3"/>
        <v>-69110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79</v>
      </c>
      <c r="C17" s="29" t="str">
        <f>IF(DigitaNICA!I5&lt;&gt;"",DigitaNICA!I5,"")</f>
        <v/>
      </c>
      <c r="D17" s="42">
        <f>IF(C17="",0,C17*J$10)</f>
        <v>0</v>
      </c>
      <c r="E17" s="29" t="str">
        <f>IF(DigitaNICA!J5&lt;&gt;"",DigitaNICA!J5,"")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>09</v>
      </c>
      <c r="C19" s="29">
        <f>IF(DigitaPRIMERA!C5&lt;&gt;"",DigitaPRIMERA!C5,"")</f>
        <v>6000</v>
      </c>
      <c r="D19" s="42">
        <f>IF(C19="",0,C19*J$12)</f>
        <v>780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5220</v>
      </c>
    </row>
    <row r="20" spans="1:7" x14ac:dyDescent="0.35">
      <c r="A20" s="28" t="s">
        <v>98</v>
      </c>
      <c r="B20" s="132">
        <f>IF(DigitaPRIMERA!E2&lt;&gt;"",DigitaPRIMERA!E2,"")</f>
        <v>47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181700</v>
      </c>
      <c r="D21" s="68">
        <f t="shared" ref="D21:G21" si="4">SUM(D5:D20)</f>
        <v>23621</v>
      </c>
      <c r="E21" s="68">
        <f t="shared" si="4"/>
        <v>4700</v>
      </c>
      <c r="F21" s="68">
        <f t="shared" si="4"/>
        <v>399500</v>
      </c>
      <c r="G21" s="88">
        <f t="shared" si="4"/>
        <v>-241421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148</v>
      </c>
      <c r="C2" s="280"/>
      <c r="D2" s="281"/>
      <c r="J2" s="21" t="s">
        <v>148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56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09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34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63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84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11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79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>09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47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56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09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34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63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84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11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79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122200</v>
      </c>
      <c r="K4" s="231">
        <f t="shared" ref="K4" si="0">D7+D11+D15</f>
        <v>14664</v>
      </c>
      <c r="L4" s="220">
        <f>F7+F11+F15</f>
        <v>221000</v>
      </c>
    </row>
    <row r="5" spans="1:12" x14ac:dyDescent="0.35">
      <c r="A5" s="28" t="s">
        <v>43</v>
      </c>
      <c r="B5" s="132">
        <f>IF(DigitaNICA!C2&lt;&gt;"",DigitaNICA!C2,"")</f>
        <v>56</v>
      </c>
      <c r="C5" s="29">
        <f>IF(DigitaNICA!C8&lt;&gt;"",DigitaNICA!C8,"")</f>
        <v>48400</v>
      </c>
      <c r="D5" s="42">
        <f>IF(C5="",0,C5*J$12)</f>
        <v>5808</v>
      </c>
      <c r="E5" s="29">
        <f>IF(DigitaNICA!D8&lt;&gt;"",DigitaNICA!D8,"")</f>
        <v>150</v>
      </c>
      <c r="F5" s="42">
        <f>IF(E5="",0,E5*PREMIOS!E5)</f>
        <v>12000</v>
      </c>
      <c r="G5" s="30">
        <f t="shared" ref="G5:G12" si="1">IF(OR(C5="",E5=""),0,C5-D5-F5)</f>
        <v>30592</v>
      </c>
      <c r="I5" s="241" t="s">
        <v>37</v>
      </c>
      <c r="J5" s="221">
        <f>SUM(IF(C5="",0,C5),IF(C9="",0,C9),IF(C13="",0,C13),IF(C17="",0,C17))</f>
        <v>122800</v>
      </c>
      <c r="K5" s="225">
        <f t="shared" ref="K5" si="2">D5+D9+D13+D17</f>
        <v>14736</v>
      </c>
      <c r="L5" s="222">
        <f>F5+F9+F13+F17</f>
        <v>12000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09</v>
      </c>
      <c r="C7" s="29">
        <f>IF(DigitaTICA!C8&lt;&gt;"",DigitaTICA!C8,"")</f>
        <v>54100</v>
      </c>
      <c r="D7" s="42">
        <f>IF(C7="",0,C7*J$11)</f>
        <v>6492</v>
      </c>
      <c r="E7" s="29">
        <f>IF(DigitaTICA!D8&lt;&gt;"",DigitaTICA!D8,"")</f>
        <v>1300</v>
      </c>
      <c r="F7" s="42">
        <f>IF(E7="",0,E7*PREMIOS!F7)</f>
        <v>110500</v>
      </c>
      <c r="G7" s="30">
        <f t="shared" si="1"/>
        <v>-62892</v>
      </c>
      <c r="I7" s="242" t="s">
        <v>96</v>
      </c>
      <c r="J7" s="224">
        <f>SUM(IF(C19="",0,C19),IF(C20="",0,C20))</f>
        <v>27550</v>
      </c>
      <c r="K7" s="228">
        <f>+D19+D20</f>
        <v>3306</v>
      </c>
      <c r="L7" s="229">
        <f>+F19+F20</f>
        <v>20000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34</v>
      </c>
      <c r="C9" s="29">
        <f>IF(DigitaNICA!E8&lt;&gt;"",DigitaNICA!E8,"")</f>
        <v>34100</v>
      </c>
      <c r="D9" s="42">
        <f>IF(C9="",0,C9*J$12)</f>
        <v>4092</v>
      </c>
      <c r="E9" s="29">
        <f>IF(DigitaNICA!F8&lt;&gt;"",DigitaNICA!F8,"")</f>
        <v>0</v>
      </c>
      <c r="F9" s="42">
        <f>IF(E9="",0,E9*PREMIOS!E9)</f>
        <v>0</v>
      </c>
      <c r="G9" s="30">
        <f t="shared" si="1"/>
        <v>30008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63</v>
      </c>
      <c r="C11" s="29">
        <f>IF(DigitaTICA!E8&lt;&gt;"",DigitaTICA!E8,"")</f>
        <v>25900</v>
      </c>
      <c r="D11" s="42">
        <f>IF(C11="",0,C11*J$11)</f>
        <v>3108</v>
      </c>
      <c r="E11" s="29">
        <f>IF(DigitaTICA!F8&lt;&gt;"",DigitaTICA!F8,"")</f>
        <v>500</v>
      </c>
      <c r="F11" s="42">
        <f>IF(E11="",0,E11*PREMIOS!F11)</f>
        <v>42500</v>
      </c>
      <c r="G11" s="30">
        <f t="shared" si="1"/>
        <v>-19708</v>
      </c>
      <c r="I11" s="60" t="s">
        <v>36</v>
      </c>
      <c r="J11" s="61">
        <v>0.12</v>
      </c>
      <c r="K11" s="62">
        <f>MROUND(D7+D11+D15,50)</f>
        <v>14650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14750</v>
      </c>
    </row>
    <row r="13" spans="1:12" x14ac:dyDescent="0.35">
      <c r="A13" s="28" t="s">
        <v>50</v>
      </c>
      <c r="B13" s="132">
        <f>IF(DigitaNICA!G2&lt;&gt;"",DigitaNICA!G2,"")</f>
        <v>84</v>
      </c>
      <c r="C13" s="29">
        <f>IF(DigitaNICA!G8&lt;&gt;"",DigitaNICA!G8,"")</f>
        <v>3600</v>
      </c>
      <c r="D13" s="42">
        <f>IF(C13="",0,C13*J$12)</f>
        <v>432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3168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3300</v>
      </c>
    </row>
    <row r="15" spans="1:12" x14ac:dyDescent="0.35">
      <c r="A15" s="28" t="s">
        <v>61</v>
      </c>
      <c r="B15" s="132">
        <f>IF(DigitaTICA!G2&lt;&gt;"",DigitaTICA!G2,"")</f>
        <v>11</v>
      </c>
      <c r="C15" s="29">
        <f>IF(DigitaTICA!G8&lt;&gt;"",DigitaTICA!G8,"")</f>
        <v>42200</v>
      </c>
      <c r="D15" s="42">
        <f>IF(C15="",0,C15*J$11)</f>
        <v>5064</v>
      </c>
      <c r="E15" s="29">
        <f>IF(DigitaTICA!H8&lt;&gt;"",DigitaTICA!H8,"")</f>
        <v>800</v>
      </c>
      <c r="F15" s="42">
        <f>IF(E15="",0,E15*PREMIOS!F15)</f>
        <v>68000</v>
      </c>
      <c r="G15" s="30">
        <f t="shared" si="4"/>
        <v>-30864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79</v>
      </c>
      <c r="C17" s="29">
        <f>IF(DigitaNICA!I8&lt;&gt;"",DigitaNICA!I8,"")</f>
        <v>36700</v>
      </c>
      <c r="D17" s="42">
        <f>IF(C17="",0,C17*J$12)</f>
        <v>4404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32296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 t="str">
        <f>IF(DigitaPRIMERA!C2&lt;&gt;"",DigitaPRIMERA!C2,"")</f>
        <v>09</v>
      </c>
      <c r="C19" s="29">
        <f>IF(DigitaPRIMERA!C8&lt;&gt;"",DigitaPRIMERA!C8,"")</f>
        <v>21850</v>
      </c>
      <c r="D19" s="42">
        <f>IF(C19="",0,C19*J$14)</f>
        <v>2622</v>
      </c>
      <c r="E19" s="29">
        <f>IF(DigitaPRIMERA!D8&lt;&gt;"",DigitaPRIMERA!D8,"")</f>
        <v>250</v>
      </c>
      <c r="F19" s="42">
        <f>IF(E19="",0,E19*PREMIOS!E19)</f>
        <v>20000</v>
      </c>
      <c r="G19" s="30">
        <f t="shared" si="4"/>
        <v>-772</v>
      </c>
    </row>
    <row r="20" spans="1:7" x14ac:dyDescent="0.35">
      <c r="A20" s="28" t="s">
        <v>98</v>
      </c>
      <c r="B20" s="132">
        <f>IF(DigitaPRIMERA!E2&lt;&gt;"",DigitaPRIMERA!E2,"")</f>
        <v>47</v>
      </c>
      <c r="C20" s="29">
        <f>IF(DigitaPRIMERA!E8&lt;&gt;"",DigitaPRIMERA!E8,"")</f>
        <v>5700</v>
      </c>
      <c r="D20" s="42">
        <f>IF(C20="",0,C20*J$14)</f>
        <v>684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5016</v>
      </c>
    </row>
    <row r="21" spans="1:7" ht="15" thickBot="1" x14ac:dyDescent="0.4">
      <c r="A21" s="121" t="s">
        <v>5</v>
      </c>
      <c r="B21" s="128"/>
      <c r="C21" s="122">
        <f>SUM(C5:C20)</f>
        <v>272550</v>
      </c>
      <c r="D21" s="122">
        <f t="shared" ref="D21:G21" si="5">SUM(D5:D20)</f>
        <v>32706</v>
      </c>
      <c r="E21" s="122">
        <f t="shared" si="5"/>
        <v>3000</v>
      </c>
      <c r="F21" s="122">
        <f t="shared" si="5"/>
        <v>253000</v>
      </c>
      <c r="G21" s="123">
        <f t="shared" si="5"/>
        <v>-13156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Vendedor 06</v>
      </c>
      <c r="C2" s="280"/>
      <c r="D2" s="281"/>
      <c r="J2" s="21" t="s">
        <v>155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56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09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34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63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84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11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79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>09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47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337200</v>
      </c>
      <c r="K4" s="231">
        <f t="shared" ref="K4" si="0">D7+D11+D15</f>
        <v>40464</v>
      </c>
      <c r="L4" s="220">
        <f>F7+F11+F15</f>
        <v>612000</v>
      </c>
    </row>
    <row r="5" spans="1:12" x14ac:dyDescent="0.35">
      <c r="A5" s="28" t="s">
        <v>43</v>
      </c>
      <c r="B5" s="132">
        <f>IF(DigitaNICA!C2&lt;&gt;"",DigitaNICA!C2,"")</f>
        <v>56</v>
      </c>
      <c r="C5" s="29">
        <f>IF(DigitaNICA!C10&lt;&gt;"",DigitaNICA!C10,"")</f>
        <v>70200</v>
      </c>
      <c r="D5" s="42">
        <f>IF(C5="",0,C5*J$15)</f>
        <v>8424</v>
      </c>
      <c r="E5" s="29">
        <f>IF(DigitaNICA!D10&lt;&gt;"",DigitaNICA!D10,"")</f>
        <v>0</v>
      </c>
      <c r="F5" s="42">
        <f>IF(E5="",0,E5*PREMIOS!F5)</f>
        <v>0</v>
      </c>
      <c r="G5" s="30">
        <f t="shared" ref="G5:G12" si="1">IF(OR(C5="",E5=""),0,C5-D5-F5)</f>
        <v>61776</v>
      </c>
      <c r="I5" s="217" t="s">
        <v>37</v>
      </c>
      <c r="J5" s="221">
        <f>SUM(IF(C5="",0,C5),IF(C9="",0,C9),IF(C13="",0,C13),IF(C17="",0,C17))</f>
        <v>256800</v>
      </c>
      <c r="K5" s="225">
        <f t="shared" ref="K5" si="2">D5+D9+D13+D17</f>
        <v>30816</v>
      </c>
      <c r="L5" s="222">
        <f>F5+F9+F13+F17</f>
        <v>80750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48500</v>
      </c>
      <c r="K6" s="226">
        <f t="shared" ref="K6" si="3">+D8+D12+D16</f>
        <v>4850</v>
      </c>
      <c r="L6" s="227">
        <f>F8+F12+F16</f>
        <v>0</v>
      </c>
    </row>
    <row r="7" spans="1:12" x14ac:dyDescent="0.35">
      <c r="A7" s="28" t="s">
        <v>46</v>
      </c>
      <c r="B7" s="132" t="str">
        <f>IF(DigitaTICA!C2&lt;&gt;"",DigitaTICA!C2,"")</f>
        <v>09</v>
      </c>
      <c r="C7" s="29">
        <f>IF(DigitaTICA!C10&lt;&gt;"",DigitaTICA!C10,"")</f>
        <v>128500</v>
      </c>
      <c r="D7" s="42">
        <f>IF(C7="",0,C7*J$14)</f>
        <v>15420</v>
      </c>
      <c r="E7" s="29">
        <f>IF(DigitaTICA!D10&lt;&gt;"",DigitaTICA!D10,"")</f>
        <v>3550</v>
      </c>
      <c r="F7" s="42">
        <f>IF(E7="",0,E7*PREMIOS!F7)</f>
        <v>301750</v>
      </c>
      <c r="G7" s="30">
        <f t="shared" si="1"/>
        <v>-188670</v>
      </c>
      <c r="I7" s="217" t="s">
        <v>96</v>
      </c>
      <c r="J7" s="223">
        <f>SUM(IF(C19="",0,C19),IF(C20="",0,C20))</f>
        <v>39900</v>
      </c>
      <c r="K7" s="226">
        <f>+D19+D20</f>
        <v>4788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18050</v>
      </c>
      <c r="D8" s="42">
        <f>IF(C8="",0,C8*J$16)</f>
        <v>1805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16245</v>
      </c>
      <c r="I8" s="217" t="s">
        <v>104</v>
      </c>
      <c r="J8" s="223">
        <f>SUM(IF(C21="",0,C21),IF(C22="",0,C22),IF(C23="",0,C23))</f>
        <v>29000</v>
      </c>
      <c r="K8" s="226">
        <f t="shared" ref="K8" si="4">D21+D22+D23</f>
        <v>3480</v>
      </c>
      <c r="L8" s="227">
        <f>F21+F22+F23</f>
        <v>51000</v>
      </c>
    </row>
    <row r="9" spans="1:12" x14ac:dyDescent="0.35">
      <c r="A9" s="28" t="s">
        <v>48</v>
      </c>
      <c r="B9" s="132">
        <f>IF(DigitaNICA!E2&lt;&gt;"",DigitaNICA!E2,"")</f>
        <v>34</v>
      </c>
      <c r="C9" s="29">
        <f>IF(DigitaNICA!E10&lt;&gt;"",DigitaNICA!E10,"")</f>
        <v>79950</v>
      </c>
      <c r="D9" s="42">
        <f>IF(C9="",0,C9*J$15)</f>
        <v>9594</v>
      </c>
      <c r="E9" s="29">
        <f>IF(DigitaNICA!F10&lt;&gt;"",DigitaNICA!F10,"")</f>
        <v>100</v>
      </c>
      <c r="F9" s="42">
        <f>IF(E9="",0,E9*PREMIOS!F9)</f>
        <v>8500</v>
      </c>
      <c r="G9" s="30">
        <f t="shared" si="1"/>
        <v>61856</v>
      </c>
      <c r="I9" s="217" t="s">
        <v>20</v>
      </c>
      <c r="J9" s="223">
        <f>SUM(IF(C24="",0,C24),IF(C25="",0,C25))</f>
        <v>106000</v>
      </c>
      <c r="K9" s="226">
        <f t="shared" ref="K9" si="5">+D24+D25</f>
        <v>12720</v>
      </c>
      <c r="L9" s="227">
        <f>F24+F25</f>
        <v>63750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63</v>
      </c>
      <c r="C11" s="29">
        <f>IF(DigitaTICA!E10&lt;&gt;"",DigitaTICA!E10,"")</f>
        <v>93050</v>
      </c>
      <c r="D11" s="42">
        <f>IF(C11="",0,C11*J$14)</f>
        <v>11166</v>
      </c>
      <c r="E11" s="29">
        <f>IF(DigitaTICA!F10&lt;&gt;"",DigitaTICA!F10,"")</f>
        <v>600</v>
      </c>
      <c r="F11" s="42">
        <f>IF(E11="",0,E11*PREMIOS!F11)</f>
        <v>51000</v>
      </c>
      <c r="G11" s="30">
        <f t="shared" si="1"/>
        <v>30884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>
        <f>IF(DigitaREVENTADO!E10&lt;&gt;"",DigitaREVENTADO!E10,"")</f>
        <v>11800</v>
      </c>
      <c r="D12" s="42">
        <f>IF(C12="",0,C12*J$16)</f>
        <v>1180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10620</v>
      </c>
    </row>
    <row r="13" spans="1:12" ht="15" thickBot="1" x14ac:dyDescent="0.4">
      <c r="A13" s="28" t="s">
        <v>50</v>
      </c>
      <c r="B13" s="132">
        <f>IF(DigitaNICA!G2&lt;&gt;"",DigitaNICA!G2,"")</f>
        <v>84</v>
      </c>
      <c r="C13" s="29">
        <f>IF(DigitaNICA!G10&lt;&gt;"",DigitaNICA!G10,"")</f>
        <v>6000</v>
      </c>
      <c r="D13" s="42">
        <f>IF(C13="",0,C13*J$15)</f>
        <v>720</v>
      </c>
      <c r="E13" s="29">
        <f>IF(DigitaNICA!H10&lt;&gt;"",DigitaNICA!H10,"")</f>
        <v>0</v>
      </c>
      <c r="F13" s="42">
        <f>IF(E13="",0,E13*PREMIOS!F13)</f>
        <v>0</v>
      </c>
      <c r="G13" s="30">
        <f>IF(OR(C13="",E13=""),0,C13-D13-F13)</f>
        <v>5280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40450</v>
      </c>
    </row>
    <row r="15" spans="1:12" x14ac:dyDescent="0.35">
      <c r="A15" s="28" t="s">
        <v>61</v>
      </c>
      <c r="B15" s="132">
        <f>IF(DigitaTICA!G2&lt;&gt;"",DigitaTICA!G2,"")</f>
        <v>11</v>
      </c>
      <c r="C15" s="29">
        <f>IF(DigitaTICA!G10&lt;&gt;"",DigitaTICA!G10,"")</f>
        <v>115650</v>
      </c>
      <c r="D15" s="42">
        <f>IF(C15="",0,C15*J$14)</f>
        <v>13878</v>
      </c>
      <c r="E15" s="29">
        <f>IF(DigitaTICA!H10&lt;&gt;"",DigitaTICA!H10,"")</f>
        <v>3050</v>
      </c>
      <c r="F15" s="42">
        <f>IF(E15="",0,E15*PREMIOS!F15)</f>
        <v>259250</v>
      </c>
      <c r="G15" s="30">
        <f t="shared" si="6"/>
        <v>-157478</v>
      </c>
      <c r="I15" s="63" t="s">
        <v>37</v>
      </c>
      <c r="J15" s="64">
        <v>0.12</v>
      </c>
      <c r="K15" s="30">
        <f>MROUND(D5+D9+D13+D17,50)</f>
        <v>30800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18650</v>
      </c>
      <c r="D16" s="42">
        <f>IF(C16="",0,C16*J$16)</f>
        <v>1865</v>
      </c>
      <c r="E16" s="29">
        <f>IF(DigitaREVENTADO!H10&lt;&gt;"",DigitaREVENTADO!H10,"")</f>
        <v>350</v>
      </c>
      <c r="F16" s="42">
        <f>IF(E16="",0,E16*PREMIOS!F16)</f>
        <v>0</v>
      </c>
      <c r="G16" s="30">
        <f t="shared" si="6"/>
        <v>16785</v>
      </c>
      <c r="I16" s="63" t="s">
        <v>38</v>
      </c>
      <c r="J16" s="64">
        <v>0.1</v>
      </c>
      <c r="K16" s="30">
        <f>MROUND(D6+D8+D10+D12+D14+D16+D18,50)</f>
        <v>4850</v>
      </c>
    </row>
    <row r="17" spans="1:11" x14ac:dyDescent="0.35">
      <c r="A17" s="28" t="s">
        <v>52</v>
      </c>
      <c r="B17" s="132">
        <f>IF(DigitaNICA!I2&lt;&gt;"",DigitaNICA!I2,"")</f>
        <v>79</v>
      </c>
      <c r="C17" s="29">
        <f>IF(DigitaNICA!I10&lt;&gt;"",DigitaNICA!I10,"")</f>
        <v>100650</v>
      </c>
      <c r="D17" s="42">
        <f>IF(C17="",0,C17*J$15)</f>
        <v>12078</v>
      </c>
      <c r="E17" s="29">
        <f>IF(DigitaNICA!J10&lt;&gt;"",DigitaNICA!J10,"")</f>
        <v>850</v>
      </c>
      <c r="F17" s="42">
        <f>IF(E17="",0,E17*PREMIOS!F17)</f>
        <v>72250</v>
      </c>
      <c r="G17" s="30">
        <f t="shared" si="6"/>
        <v>16322</v>
      </c>
      <c r="I17" s="63" t="s">
        <v>96</v>
      </c>
      <c r="J17" s="64">
        <v>0.12</v>
      </c>
      <c r="K17" s="30">
        <f>MROUND(D19+D20,50)</f>
        <v>4800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3500</v>
      </c>
    </row>
    <row r="19" spans="1:11" x14ac:dyDescent="0.35">
      <c r="A19" s="28" t="s">
        <v>97</v>
      </c>
      <c r="B19" s="132" t="str">
        <f>IF(DigitaPRIMERA!C2&lt;&gt;"",DigitaPRIMERA!C2,"")</f>
        <v>09</v>
      </c>
      <c r="C19" s="29">
        <f>IF(DigitaPRIMERA!$C$10&lt;&gt;"",DigitaPRIMERA!$C$10,"")</f>
        <v>21750</v>
      </c>
      <c r="D19" s="42">
        <f>IF(C19="",0,C19*J$17)</f>
        <v>2610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19140</v>
      </c>
      <c r="I19" s="63" t="s">
        <v>20</v>
      </c>
      <c r="J19" s="64">
        <v>0.12</v>
      </c>
      <c r="K19" s="30">
        <f>MROUND(D24+D25,50)</f>
        <v>12700</v>
      </c>
    </row>
    <row r="20" spans="1:11" ht="15" thickBot="1" x14ac:dyDescent="0.4">
      <c r="A20" s="28" t="s">
        <v>98</v>
      </c>
      <c r="B20" s="132">
        <f>IF(DigitaPRIMERA!E2&lt;&gt;"",DigitaPRIMERA!E2,"")</f>
        <v>47</v>
      </c>
      <c r="C20" s="29">
        <f>IF(DigitaPRIMERA!$E$10&lt;&gt;"",DigitaPRIMERA!$E$10,"")</f>
        <v>18150</v>
      </c>
      <c r="D20" s="42">
        <f>IF(C20="",0,C20*J$17)</f>
        <v>2178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15972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27</v>
      </c>
      <c r="C21" s="29">
        <f>IF(DigitaHONDURAS!$C$10&lt;&gt;"",DigitaHONDURAS!$C$10,"")</f>
        <v>7100</v>
      </c>
      <c r="D21" s="42">
        <f>IF(C21="",0,C21*J$18)</f>
        <v>852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6248</v>
      </c>
    </row>
    <row r="22" spans="1:11" x14ac:dyDescent="0.35">
      <c r="A22" s="28" t="s">
        <v>100</v>
      </c>
      <c r="B22" s="132">
        <f>IF(DigitaHONDURAS!E2&lt;&gt;"",DigitaHONDURAS!E2,"")</f>
        <v>69</v>
      </c>
      <c r="C22" s="29">
        <f>IF(DigitaHONDURAS!$E$10&lt;&gt;"",DigitaHONDURAS!$E$10,"")</f>
        <v>7900</v>
      </c>
      <c r="D22" s="42">
        <f>IF(C22="",0,C22*J$18)</f>
        <v>948</v>
      </c>
      <c r="E22" s="29">
        <f>IF(DigitaHONDURAS!$F$10&lt;&gt;"",DigitaHONDURAS!$F$10,"")</f>
        <v>600</v>
      </c>
      <c r="F22" s="42">
        <f>IF(E22="",0,E22*PREMIOS!F20)</f>
        <v>51000</v>
      </c>
      <c r="G22" s="30">
        <f t="shared" si="7"/>
        <v>-44048</v>
      </c>
    </row>
    <row r="23" spans="1:11" x14ac:dyDescent="0.35">
      <c r="A23" s="28" t="s">
        <v>101</v>
      </c>
      <c r="B23" s="132">
        <f>IF(DigitaHONDURAS!G2&lt;&gt;"",DigitaHONDURAS!G2,"")</f>
        <v>54</v>
      </c>
      <c r="C23" s="29">
        <f>IF(DigitaHONDURAS!$G$10&lt;&gt;"",DigitaHONDURAS!$G$10,"")</f>
        <v>14000</v>
      </c>
      <c r="D23" s="42">
        <f>IF(C23="",0,C23*J$18)</f>
        <v>1680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12320</v>
      </c>
    </row>
    <row r="24" spans="1:11" x14ac:dyDescent="0.35">
      <c r="A24" s="28" t="s">
        <v>107</v>
      </c>
      <c r="B24" s="132">
        <f>IF(DigitaDOMINICANA!C2&lt;&gt;"",DigitaDOMINICANA!C2,"")</f>
        <v>69</v>
      </c>
      <c r="C24" s="29">
        <f>IF(DigitaDOMINICANA!$C$10&lt;&gt;"",DigitaDOMINICANA!$C$10,"")</f>
        <v>42000</v>
      </c>
      <c r="D24" s="42">
        <f>IF(C24="",0,C24*J$19)</f>
        <v>5040</v>
      </c>
      <c r="E24" s="29">
        <f>IF(DigitaDOMINICANA!$D$10&lt;&gt;"",DigitaDOMINICANA!$D$10,"")</f>
        <v>750</v>
      </c>
      <c r="F24" s="42">
        <f>IF(E24="",0,E24*PREMIOS!F21)</f>
        <v>63750</v>
      </c>
      <c r="G24" s="30">
        <f t="shared" si="8"/>
        <v>-26790</v>
      </c>
    </row>
    <row r="25" spans="1:11" x14ac:dyDescent="0.35">
      <c r="A25" s="28" t="s">
        <v>108</v>
      </c>
      <c r="B25" s="132">
        <f>IF(DigitaDOMINICANA!E2&lt;&gt;"",DigitaDOMINICANA!E2,"")</f>
        <v>91</v>
      </c>
      <c r="C25" s="29">
        <f>IF(DigitaDOMINICANA!$E$10&lt;&gt;"",DigitaDOMINICANA!$E$10,"")</f>
        <v>64000</v>
      </c>
      <c r="D25" s="42">
        <f>IF(C25="",0,C25*J$19)</f>
        <v>7680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56320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817400</v>
      </c>
      <c r="D27" s="68">
        <f t="shared" ref="D27:F27" si="9">SUM(D5:D26)</f>
        <v>97118</v>
      </c>
      <c r="E27" s="68">
        <f t="shared" si="9"/>
        <v>9850</v>
      </c>
      <c r="F27" s="68">
        <f t="shared" si="9"/>
        <v>807500</v>
      </c>
      <c r="G27" s="88">
        <f>SUM(G5:G26)</f>
        <v>-87218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6100</v>
      </c>
      <c r="K4" s="231">
        <f t="shared" ref="K4" si="0">D7+D11+D15</f>
        <v>732</v>
      </c>
      <c r="L4" s="220">
        <f>F7+F11+F15</f>
        <v>68000</v>
      </c>
    </row>
    <row r="5" spans="1:12" x14ac:dyDescent="0.35">
      <c r="A5" s="28" t="s">
        <v>43</v>
      </c>
      <c r="B5" s="132">
        <f>IF(DigitaNICA!C2&lt;&gt;"",DigitaNICA!C2,"")</f>
        <v>56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09</v>
      </c>
      <c r="C7" s="29">
        <f>IF(DigitaTICA!C11&lt;&gt;"",DigitaTICA!C11,"")</f>
        <v>3100</v>
      </c>
      <c r="D7" s="42">
        <f>IF(C7="",0,C7*J$11)</f>
        <v>372</v>
      </c>
      <c r="E7" s="29">
        <f>IF(DigitaTICA!D11&lt;&gt;"",DigitaTICA!D11,"")</f>
        <v>300</v>
      </c>
      <c r="F7" s="133">
        <f>IF(E7="",0,E7*PREMIOS!F7)</f>
        <v>25500</v>
      </c>
      <c r="G7" s="30">
        <f t="shared" si="1"/>
        <v>-22772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34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63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750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84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11</v>
      </c>
      <c r="C15" s="29">
        <f>IF(DigitaTICA!G11&lt;&gt;"",DigitaTICA!G11,"")</f>
        <v>3000</v>
      </c>
      <c r="D15" s="42">
        <f>IF(C15="",0,C15*J$11)</f>
        <v>360</v>
      </c>
      <c r="E15" s="29">
        <f>IF(DigitaTICA!H11&lt;&gt;"",DigitaTICA!H11,"")</f>
        <v>500</v>
      </c>
      <c r="F15" s="133">
        <f>IF(E15="",0,E15*PREMIOS!F15)</f>
        <v>42500</v>
      </c>
      <c r="G15" s="30">
        <f t="shared" si="4"/>
        <v>-39860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79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 t="str">
        <f>IF(DigitaPRIMERA!C2&lt;&gt;"",DigitaPRIMERA!C2,"")</f>
        <v>09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47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6100</v>
      </c>
      <c r="D21" s="122">
        <f t="shared" ref="D21:G21" si="5">SUM(D5:D20)</f>
        <v>732</v>
      </c>
      <c r="E21" s="122">
        <f t="shared" si="5"/>
        <v>800</v>
      </c>
      <c r="F21" s="122">
        <f t="shared" si="5"/>
        <v>68000</v>
      </c>
      <c r="G21" s="123">
        <f t="shared" si="5"/>
        <v>-62632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13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79850</v>
      </c>
      <c r="K4" s="231">
        <f>D7+D11+D15</f>
        <v>9582</v>
      </c>
      <c r="L4" s="220">
        <f>F7+F11+F15</f>
        <v>123250</v>
      </c>
    </row>
    <row r="5" spans="1:12" x14ac:dyDescent="0.35">
      <c r="A5" s="28" t="s">
        <v>43</v>
      </c>
      <c r="B5" s="132">
        <f>IF(DigitaNICA!C2&lt;&gt;"",DigitaNICA!C2,"")</f>
        <v>56</v>
      </c>
      <c r="C5" s="29">
        <f>IF(DigitaNICA!C12&lt;&gt;"",DigitaNICA!C12,"")</f>
        <v>43050</v>
      </c>
      <c r="D5" s="42">
        <f>IF(C5="",0,C5*J$12)</f>
        <v>5166</v>
      </c>
      <c r="E5" s="29">
        <f>IF(DigitaNICA!D12&lt;&gt;"",DigitaNICA!D12,"")</f>
        <v>350</v>
      </c>
      <c r="F5" s="42">
        <f>IF(E5="",0,E5*PREMIOS!F5)</f>
        <v>29750</v>
      </c>
      <c r="G5" s="30">
        <f t="shared" ref="G5:G12" si="0">IF(OR(C5="",E5=""),0,C5-D5-F5)</f>
        <v>8134</v>
      </c>
      <c r="I5" s="217" t="s">
        <v>37</v>
      </c>
      <c r="J5" s="221">
        <f>SUM(IF(C5="",0,C5),IF(C9="",0,C9),IF(C13="",0,C13),IF(C17="",0,C17))</f>
        <v>69100</v>
      </c>
      <c r="K5" s="225">
        <f t="shared" ref="K5" si="1">D5+D9+D13+D17</f>
        <v>8292</v>
      </c>
      <c r="L5" s="222">
        <f>F5+F9+F13+F17</f>
        <v>51000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4650</v>
      </c>
      <c r="K6" s="226">
        <f t="shared" ref="K6" si="2">+D8+D12+D16</f>
        <v>465</v>
      </c>
      <c r="L6" s="227">
        <f>+F8+F12+F16</f>
        <v>0</v>
      </c>
    </row>
    <row r="7" spans="1:12" x14ac:dyDescent="0.35">
      <c r="A7" s="28" t="s">
        <v>46</v>
      </c>
      <c r="B7" s="132" t="str">
        <f>IF(DigitaTICA!C2&lt;&gt;"",DigitaTICA!C2,"")</f>
        <v>09</v>
      </c>
      <c r="C7" s="29">
        <f>IF(DigitaTICA!C12&lt;&gt;"",DigitaTICA!C12,"")</f>
        <v>51500</v>
      </c>
      <c r="D7" s="42">
        <f>IF(C7="",0,C7*J$11)</f>
        <v>6180</v>
      </c>
      <c r="E7" s="29">
        <f>IF(DigitaTICA!D12&lt;&gt;"",DigitaTICA!D12,"")</f>
        <v>1150</v>
      </c>
      <c r="F7" s="42">
        <f>IF(E7="",0,E7*PREMIOS!F7)</f>
        <v>97750</v>
      </c>
      <c r="G7" s="30">
        <f t="shared" si="0"/>
        <v>-52430</v>
      </c>
      <c r="I7" s="217" t="s">
        <v>96</v>
      </c>
      <c r="J7" s="223">
        <f>SUM(IF(C19="",0,C19),IF(C20="",0,C20))</f>
        <v>40950</v>
      </c>
      <c r="K7" s="226">
        <f>+D19+D20</f>
        <v>4914</v>
      </c>
      <c r="L7" s="227">
        <f>+F19+F20</f>
        <v>63750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4650</v>
      </c>
      <c r="D8" s="42">
        <f>IF(C8="",0,C8*J$13)</f>
        <v>465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4185</v>
      </c>
      <c r="I8" s="218" t="s">
        <v>104</v>
      </c>
      <c r="J8" s="224">
        <f>SUM(IF(C21="",0,C21),IF(C22="",0,C22),IF(C23="",0,C23))</f>
        <v>0</v>
      </c>
      <c r="K8" s="228">
        <f>+D21+D22+D23</f>
        <v>0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34</v>
      </c>
      <c r="C9" s="29">
        <f>IF(DigitaNICA!E12&lt;&gt;"",DigitaNICA!E12,"")</f>
        <v>26050</v>
      </c>
      <c r="D9" s="42">
        <f>IF(C9="",0,C9*J$12)</f>
        <v>3126</v>
      </c>
      <c r="E9" s="29">
        <f>IF(DigitaNICA!F12&lt;&gt;"",DigitaNICA!F12,"")</f>
        <v>250</v>
      </c>
      <c r="F9" s="42">
        <f>IF(E9="",0,E9*PREMIOS!F9)</f>
        <v>21250</v>
      </c>
      <c r="G9" s="30">
        <f t="shared" si="0"/>
        <v>1674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63</v>
      </c>
      <c r="C11" s="29">
        <f>IF(DigitaTICA!E12&lt;&gt;"",DigitaTICA!E12,"")</f>
        <v>19050</v>
      </c>
      <c r="D11" s="42">
        <f>IF(C11="",0,C11*J$11)</f>
        <v>2286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16764</v>
      </c>
      <c r="I11" s="60" t="s">
        <v>36</v>
      </c>
      <c r="J11" s="61">
        <v>0.12</v>
      </c>
      <c r="K11" s="62">
        <f>MROUND(D7+D11+D15,50)</f>
        <v>9600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8300</v>
      </c>
    </row>
    <row r="13" spans="1:12" x14ac:dyDescent="0.35">
      <c r="A13" s="28" t="s">
        <v>50</v>
      </c>
      <c r="B13" s="132">
        <f>IF(DigitaNICA!G2&lt;&gt;"",DigitaNICA!G2,"")</f>
        <v>84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450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4900</v>
      </c>
    </row>
    <row r="15" spans="1:12" ht="15" thickBot="1" x14ac:dyDescent="0.4">
      <c r="A15" s="28" t="s">
        <v>61</v>
      </c>
      <c r="B15" s="132">
        <f>IF(DigitaTICA!G2&lt;&gt;"",DigitaTICA!G2,"")</f>
        <v>11</v>
      </c>
      <c r="C15" s="29">
        <f>IF(DigitaTICA!G12&lt;&gt;"",DigitaTICA!G12,"")</f>
        <v>9300</v>
      </c>
      <c r="D15" s="42">
        <f>IF(C15="",0,C15*J$11)</f>
        <v>1116</v>
      </c>
      <c r="E15" s="29">
        <f>IF(DigitaTICA!H12&lt;&gt;"",DigitaTICA!H12,"")</f>
        <v>300</v>
      </c>
      <c r="F15" s="42">
        <f>IF(E15="",0,E15*PREMIOS!F15)</f>
        <v>25500</v>
      </c>
      <c r="G15" s="30">
        <f t="shared" si="3"/>
        <v>-17316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79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>09</v>
      </c>
      <c r="C19" s="29">
        <f>IF(DigitaPRIMERA!$C$12&lt;&gt;"",DigitaPRIMERA!$C$12,"")</f>
        <v>40950</v>
      </c>
      <c r="D19" s="42">
        <f>IF(C19="",0,C19*J$14)</f>
        <v>4914</v>
      </c>
      <c r="E19" s="29">
        <f>IF(DigitaPRIMERA!$D$12&lt;&gt;"",DigitaPRIMERA!$D$12,"")</f>
        <v>750</v>
      </c>
      <c r="F19" s="42">
        <f>IF(E19="",0,E19*PREMIOS!F19)</f>
        <v>63750</v>
      </c>
      <c r="G19" s="30">
        <f t="shared" si="3"/>
        <v>-27714</v>
      </c>
    </row>
    <row r="20" spans="1:7" x14ac:dyDescent="0.35">
      <c r="A20" s="28" t="s">
        <v>98</v>
      </c>
      <c r="B20" s="132">
        <f>IF(DigitaPRIMERA!E2&lt;&gt;"",DigitaPRIMERA!E2,"")</f>
        <v>47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27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69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54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194550</v>
      </c>
      <c r="D24" s="68">
        <f t="shared" ref="D24:G24" si="4">SUM(D5:D23)</f>
        <v>23253</v>
      </c>
      <c r="E24" s="68">
        <f t="shared" si="4"/>
        <v>2800</v>
      </c>
      <c r="F24" s="68">
        <f t="shared" si="4"/>
        <v>238000</v>
      </c>
      <c r="G24" s="88">
        <f t="shared" si="4"/>
        <v>-66703</v>
      </c>
    </row>
    <row r="27" spans="1:7" x14ac:dyDescent="0.35">
      <c r="G27" s="21">
        <v>139353</v>
      </c>
    </row>
    <row r="28" spans="1:7" x14ac:dyDescent="0.35">
      <c r="G28" s="141">
        <f>+G24+G27</f>
        <v>72650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80250</v>
      </c>
      <c r="K4" s="231">
        <f t="shared" ref="K4" si="0">D7+D11+D15</f>
        <v>9630</v>
      </c>
      <c r="L4" s="220">
        <f>F7+F11+F15</f>
        <v>178500</v>
      </c>
    </row>
    <row r="5" spans="1:12" ht="15" thickBot="1" x14ac:dyDescent="0.4">
      <c r="A5" s="28" t="s">
        <v>43</v>
      </c>
      <c r="B5" s="132">
        <f>IF(DigitaNICA!C2&lt;&gt;"",DigitaNICA!C2,"")</f>
        <v>56</v>
      </c>
      <c r="C5" s="29">
        <f>IF(DigitaNICA!C13&lt;&gt;"",DigitaNICA!C13,"")</f>
        <v>44300</v>
      </c>
      <c r="D5" s="42">
        <f>IF(C5="",0,C5*J$10)</f>
        <v>5316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38984</v>
      </c>
      <c r="I5" s="218" t="s">
        <v>37</v>
      </c>
      <c r="J5" s="232">
        <f>SUM(IF(C5="",0,C5),IF(C9="",0,C9),IF(C13="",0,C13),IF(C17="",0,C17))</f>
        <v>56400</v>
      </c>
      <c r="K5" s="233">
        <f t="shared" ref="K5" si="2">D5+D9+D13+D17</f>
        <v>6768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 t="str">
        <f>IF(DigitaTICA!C2&lt;&gt;"",DigitaTICA!C2,"")</f>
        <v>09</v>
      </c>
      <c r="C7" s="29">
        <f>IF(DigitaTICA!C13&lt;&gt;"",DigitaTICA!C13,"")</f>
        <v>40850</v>
      </c>
      <c r="D7" s="42">
        <f>IF(C7="",0,C7*J$9)</f>
        <v>4902</v>
      </c>
      <c r="E7" s="29">
        <f>IF(DigitaTICA!D13&lt;&gt;"",DigitaTICA!D13,"")</f>
        <v>700</v>
      </c>
      <c r="F7" s="133">
        <f>IF(E7="",0,E7*PREMIOS!F7)</f>
        <v>59500</v>
      </c>
      <c r="G7" s="30">
        <f t="shared" si="1"/>
        <v>-23552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34</v>
      </c>
      <c r="C9" s="29">
        <f>IF(DigitaNICA!E13&lt;&gt;"",DigitaNICA!E13,"")</f>
        <v>9900</v>
      </c>
      <c r="D9" s="42">
        <f>IF(C9="",0,C9*J$10)</f>
        <v>1188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8712</v>
      </c>
      <c r="I9" s="60" t="s">
        <v>36</v>
      </c>
      <c r="J9" s="61">
        <v>0.12</v>
      </c>
      <c r="K9" s="62">
        <f>MROUND(D7+D11+D15,50)</f>
        <v>9650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6750</v>
      </c>
    </row>
    <row r="11" spans="1:12" ht="15" thickBot="1" x14ac:dyDescent="0.4">
      <c r="A11" s="28" t="s">
        <v>59</v>
      </c>
      <c r="B11" s="132">
        <f>IF(DigitaTICA!E2&lt;&gt;"",DigitaTICA!E2,"")</f>
        <v>63</v>
      </c>
      <c r="C11" s="29">
        <f>IF(DigitaTICA!E13&lt;&gt;"",DigitaTICA!E13,"")</f>
        <v>20850</v>
      </c>
      <c r="D11" s="42">
        <f>IF(C11="",0,C11*J$9)</f>
        <v>2502</v>
      </c>
      <c r="E11" s="29">
        <f>IF(DigitaTICA!F13&lt;&gt;"",DigitaTICA!F13,"")</f>
        <v>900</v>
      </c>
      <c r="F11" s="133">
        <f>IF(E11="",0,E11*PREMIOS!F11)</f>
        <v>76500</v>
      </c>
      <c r="G11" s="30">
        <f t="shared" si="1"/>
        <v>-58152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84</v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11</v>
      </c>
      <c r="C15" s="29">
        <f>IF(DigitaTICA!G13&lt;&gt;"",DigitaTICA!G13,"")</f>
        <v>18550</v>
      </c>
      <c r="D15" s="42">
        <f>IF(C15="",0,C15*J$9)</f>
        <v>2226</v>
      </c>
      <c r="E15" s="29">
        <f>IF(DigitaTICA!H13&lt;&gt;"",DigitaTICA!H13,"")</f>
        <v>500</v>
      </c>
      <c r="F15" s="133">
        <f>IF(E15="",0,E15*PREMIOS!F15)</f>
        <v>42500</v>
      </c>
      <c r="G15" s="30">
        <f t="shared" si="3"/>
        <v>-26176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79</v>
      </c>
      <c r="C17" s="29">
        <f>IF(DigitaNICA!I13&lt;&gt;"",DigitaNICA!I13,"")</f>
        <v>2200</v>
      </c>
      <c r="D17" s="42">
        <f>IF(C17="",0,C17*J$10)</f>
        <v>264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1936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136650</v>
      </c>
      <c r="D19" s="68">
        <f>MROUND(SUM(D5:D18),50)</f>
        <v>16400</v>
      </c>
      <c r="E19" s="68">
        <f>SUM(E5:E18)</f>
        <v>2100</v>
      </c>
      <c r="F19" s="68">
        <f>SUM(F5:F18)</f>
        <v>178500</v>
      </c>
      <c r="G19" s="88">
        <f>SUM(G5:G18)</f>
        <v>-58248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96300</v>
      </c>
      <c r="K4" s="236">
        <f t="shared" ref="K4" si="0">D7+D11+D15</f>
        <v>14445</v>
      </c>
      <c r="L4" s="237">
        <f>F7+F11+F15</f>
        <v>284000</v>
      </c>
    </row>
    <row r="5" spans="1:12" x14ac:dyDescent="0.35">
      <c r="A5" s="28" t="s">
        <v>43</v>
      </c>
      <c r="B5" s="132">
        <f>IF(DigitaNICA!C2&lt;&gt;"",DigitaNICA!C2,"")</f>
        <v>56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 t="str">
        <f>IF(DigitaTICA!C2&lt;&gt;"",DigitaTICA!C2,"")</f>
        <v>09</v>
      </c>
      <c r="C7" s="29">
        <f>IF(DigitaTICA!C14&lt;&gt;"",DigitaTICA!C14,"")</f>
        <v>31400</v>
      </c>
      <c r="D7" s="42">
        <f>IF(C7="",0,C7*J$9)</f>
        <v>4710</v>
      </c>
      <c r="E7" s="29">
        <f>IF(DigitaTICA!D14&lt;&gt;"",DigitaTICA!D14,"")</f>
        <v>3400</v>
      </c>
      <c r="F7" s="42">
        <f>IF(E7="",0,E7*PREMIOS!E7)</f>
        <v>272000</v>
      </c>
      <c r="G7" s="30">
        <f t="shared" si="1"/>
        <v>-245310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34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14450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63</v>
      </c>
      <c r="C11" s="29">
        <f>IF(DigitaTICA!E14&lt;&gt;"",DigitaTICA!E14,"")</f>
        <v>17900</v>
      </c>
      <c r="D11" s="42">
        <f>IF(C11="",0,C11*J$9)</f>
        <v>2685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15215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84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11</v>
      </c>
      <c r="C15" s="29">
        <f>IF(DigitaTICA!G14&lt;&gt;"",DigitaTICA!G14,"")</f>
        <v>47000</v>
      </c>
      <c r="D15" s="42">
        <f>IF(C15="",0,C15*J$9)</f>
        <v>7050</v>
      </c>
      <c r="E15" s="29">
        <f>IF(DigitaTICA!H14&lt;&gt;"",DigitaTICA!H14,"")</f>
        <v>150</v>
      </c>
      <c r="F15" s="42">
        <f>IF(E15="",0,E15*PREMIOS!E15)</f>
        <v>12000</v>
      </c>
      <c r="G15" s="30">
        <f t="shared" si="2"/>
        <v>27950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79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96300</v>
      </c>
      <c r="D19" s="68">
        <f>MROUND(SUM(D5:D18),50)</f>
        <v>14450</v>
      </c>
      <c r="E19" s="68">
        <f>SUM(E5:E18)</f>
        <v>3550</v>
      </c>
      <c r="F19" s="68">
        <f>SUM(F5:F18)</f>
        <v>284000</v>
      </c>
      <c r="G19" s="88">
        <f>SUM(G5:G18)</f>
        <v>-202145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56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 t="str">
        <f>IF(DigitaTICA!C2&lt;&gt;"",DigitaTICA!C2,"")</f>
        <v>09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34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63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84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11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79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56100</v>
      </c>
      <c r="K4" s="231">
        <f>D7+D11+D15</f>
        <v>6732</v>
      </c>
      <c r="L4" s="220">
        <f>F7+F11+F15</f>
        <v>42500</v>
      </c>
    </row>
    <row r="5" spans="1:12" x14ac:dyDescent="0.35">
      <c r="A5" s="28" t="s">
        <v>43</v>
      </c>
      <c r="B5" s="132">
        <f>IF(DigitaNICA!C2&lt;&gt;"",DigitaNICA!C2,"")</f>
        <v>56</v>
      </c>
      <c r="C5" s="29">
        <f>IF(DigitaNICA!C16&lt;&gt;"",DigitaNICA!C16,"")</f>
        <v>5800</v>
      </c>
      <c r="D5" s="42">
        <f>IF(C5="",0,C5*J$12)</f>
        <v>696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5104</v>
      </c>
      <c r="I5" s="63" t="s">
        <v>37</v>
      </c>
      <c r="J5" s="225">
        <f>SUM(IF(C5="",0,C5),IF(C9="",0,C9),IF(C13="",0,C13),IF(C17="",0,C17))</f>
        <v>23050</v>
      </c>
      <c r="K5" s="225">
        <f t="shared" ref="K5" si="1">D5+D9+D13+D17</f>
        <v>2766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0</v>
      </c>
      <c r="K6" s="226">
        <f t="shared" ref="K6" si="2">+D8+D12+D16</f>
        <v>0</v>
      </c>
      <c r="L6" s="227">
        <f>F8+F12+F16</f>
        <v>0</v>
      </c>
    </row>
    <row r="7" spans="1:12" x14ac:dyDescent="0.35">
      <c r="A7" s="28" t="s">
        <v>46</v>
      </c>
      <c r="B7" s="132" t="str">
        <f>IF(DigitaTICA!C2&lt;&gt;"",DigitaTICA!C2,"")</f>
        <v>09</v>
      </c>
      <c r="C7" s="29">
        <f>IF(DigitaTICA!C16&lt;&gt;"",DigitaTICA!C16,"")</f>
        <v>17800</v>
      </c>
      <c r="D7" s="42">
        <f>IF(C7="",0,C7*J$11)</f>
        <v>2136</v>
      </c>
      <c r="E7" s="29">
        <f>IF(DigitaTICA!D16&lt;&gt;"",DigitaTICA!D16,"")</f>
        <v>250</v>
      </c>
      <c r="F7" s="133">
        <f>IF(E7="",0,E7*PREMIOS!F7)</f>
        <v>21250</v>
      </c>
      <c r="G7" s="30">
        <f t="shared" si="0"/>
        <v>-5586</v>
      </c>
      <c r="I7" s="63" t="s">
        <v>96</v>
      </c>
      <c r="J7" s="226">
        <f>SUM(IF(C19="",0,C19),IF(C20="",0,C20))</f>
        <v>0</v>
      </c>
      <c r="K7" s="226">
        <f>+D19+D20</f>
        <v>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IF(DigitaREVENTADO!C16&lt;&gt;"",DigitaREVENTADO!C16,"")</f>
        <v/>
      </c>
      <c r="D8" s="42">
        <f>IF(C8="",0,C8*J$13)</f>
        <v>0</v>
      </c>
      <c r="E8" s="29" t="str">
        <f>IF(DigitaREVENTADO!D16&lt;&gt;"",DigitaREVENTADO!D16,"")</f>
        <v/>
      </c>
      <c r="F8" s="133">
        <f>IF(E8="",0,E8*PREMIOS!F8)</f>
        <v>0</v>
      </c>
      <c r="G8" s="30">
        <f t="shared" si="0"/>
        <v>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34</v>
      </c>
      <c r="C9" s="29">
        <f>IF(DigitaNICA!E16&lt;&gt;"",DigitaNICA!E16,"")</f>
        <v>1000</v>
      </c>
      <c r="D9" s="42">
        <f>IF(C9="",0,C9*J$12)</f>
        <v>120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880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63</v>
      </c>
      <c r="C11" s="29">
        <f>IF(DigitaTICA!E16&lt;&gt;"",DigitaTICA!E16,"")</f>
        <v>17800</v>
      </c>
      <c r="D11" s="42">
        <f>IF(C11="",0,C11*J$11)</f>
        <v>2136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15664</v>
      </c>
      <c r="I11" s="76" t="s">
        <v>36</v>
      </c>
      <c r="J11" s="77">
        <v>0.12</v>
      </c>
      <c r="K11" s="78">
        <f>MROUND(D7+D11+D15,50)</f>
        <v>6750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IF(DigitaREVENTADO!E16&lt;&gt;"",DigitaREVENTADO!E16,"")</f>
        <v/>
      </c>
      <c r="D12" s="42">
        <f>IF(C12="",0,C12*J$13)</f>
        <v>0</v>
      </c>
      <c r="E12" s="29" t="str">
        <f>IF(DigitaREVENTADO!F16&lt;&gt;"",DigitaREVENTADO!F16,"")</f>
        <v/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2750</v>
      </c>
    </row>
    <row r="13" spans="1:12" x14ac:dyDescent="0.35">
      <c r="A13" s="28" t="s">
        <v>50</v>
      </c>
      <c r="B13" s="132">
        <f>IF(DigitaNICA!G2&lt;&gt;"",DigitaNICA!G2,"")</f>
        <v>84</v>
      </c>
      <c r="C13" s="29">
        <f>IF(DigitaNICA!G16&lt;&gt;"",DigitaNICA!G16,"")</f>
        <v>5000</v>
      </c>
      <c r="D13" s="42">
        <f>IF(C13="",0,C13*J$12)</f>
        <v>600</v>
      </c>
      <c r="E13" s="29">
        <f>IF(DigitaNICA!H16&lt;&gt;"",DigitaNICA!H16,"")</f>
        <v>0</v>
      </c>
      <c r="F13" s="133">
        <f>IF(E13="",0,E13*PREMIOS!E13)</f>
        <v>0</v>
      </c>
      <c r="G13" s="30">
        <f>IF(OR(C13="",E13=""),0,C13-D13-F13)</f>
        <v>4400</v>
      </c>
      <c r="I13" s="63" t="s">
        <v>38</v>
      </c>
      <c r="J13" s="64">
        <v>0.1</v>
      </c>
      <c r="K13" s="30">
        <f>MROUND(D6+D8+D10+D12+D14+D16+D18,50)</f>
        <v>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" thickBot="1" x14ac:dyDescent="0.4">
      <c r="A15" s="28" t="s">
        <v>61</v>
      </c>
      <c r="B15" s="132">
        <f>IF(DigitaTICA!G2&lt;&gt;"",DigitaTICA!G2,"")</f>
        <v>11</v>
      </c>
      <c r="C15" s="29">
        <f>IF(DigitaTICA!G16&lt;&gt;"",DigitaTICA!G16,"")</f>
        <v>20500</v>
      </c>
      <c r="D15" s="42">
        <f>IF(C15="",0,C15*J$11)</f>
        <v>2460</v>
      </c>
      <c r="E15" s="29">
        <f>IF(DigitaTICA!H16&lt;&gt;"",DigitaTICA!H16,"")</f>
        <v>250</v>
      </c>
      <c r="F15" s="133">
        <f>IF(E15="",0,E15*PREMIOS!F15)</f>
        <v>21250</v>
      </c>
      <c r="G15" s="30">
        <f t="shared" si="3"/>
        <v>-3210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IF(DigitaREVENTADO!G16&lt;&gt;"",DigitaREVENTADO!G16,"")</f>
        <v/>
      </c>
      <c r="D16" s="42">
        <f>IF(C16="",0,C16*J$13)</f>
        <v>0</v>
      </c>
      <c r="E16" s="29" t="str">
        <f>IF(DigitaREVENTADO!H16&lt;&gt;"",DigitaREVENTADO!H16,"")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79</v>
      </c>
      <c r="C17" s="29">
        <f>IF(DigitaNICA!I16&lt;&gt;"",DigitaNICA!I16,"")</f>
        <v>11250</v>
      </c>
      <c r="D17" s="42">
        <f>IF(C17="",0,C17*J$12)</f>
        <v>1350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9900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>09</v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47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27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69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54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79150</v>
      </c>
      <c r="D24" s="122">
        <f t="shared" ref="D24:G24" si="5">SUM(D5:D23)</f>
        <v>9498</v>
      </c>
      <c r="E24" s="122">
        <f t="shared" si="5"/>
        <v>500</v>
      </c>
      <c r="F24" s="122">
        <f t="shared" si="5"/>
        <v>42500</v>
      </c>
      <c r="G24" s="123">
        <f t="shared" si="5"/>
        <v>27152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56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">
        <v>46</v>
      </c>
      <c r="B7" s="132" t="str">
        <f>IF(DigitaTICA!C2&lt;&gt;"",DigitaTICA!C2,"")</f>
        <v>09</v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34</v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63</v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>
        <f>IF(DigitaNICA!G2&lt;&gt;"",DigitaNICA!G2,"")</f>
        <v>84</v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11</v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2">
        <f>IF(DigitaNICA!I2&lt;&gt;"",DigitaNICA!I2,"")</f>
        <v>79</v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 t="str">
        <f>IF(DigitaPRIMERA!C2&lt;&gt;"",DigitaPRIMERA!C2,"")</f>
        <v>09</v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47</v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27</v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69</v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54</v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69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91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tr">
        <f>+Vendedor1!A5</f>
        <v>Nica 11am</v>
      </c>
      <c r="B5" s="132">
        <f>IF(DigitaNICA!C2&lt;&gt;"",DigitaNICA!C2,"")</f>
        <v>56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tr">
        <f>+Vendedor1!A7</f>
        <v>Tica 1pm</v>
      </c>
      <c r="B7" s="132" t="str">
        <f>IF(DigitaTICA!C2&lt;&gt;"",DigitaTICA!C2,"")</f>
        <v>09</v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34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63</v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84</v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11</v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2">
        <f>IF(DigitaNICA!I2&lt;&gt;"",DigitaNICA!I2,"")</f>
        <v>79</v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 t="str">
        <f>IF(DigitaPRIMERA!C2&lt;&gt;"",DigitaPRIMERA!C2,"")</f>
        <v>09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47</v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27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69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54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69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91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56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 t="str">
        <f>IF(DigitaTICA!C2&lt;&gt;"",DigitaTICA!C2,"")</f>
        <v>09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34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63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84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11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79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56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>09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34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84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79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56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>09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34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84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79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56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>09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34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84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79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56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>09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34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84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79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IF(PREMIOS!$B7="","",PREMIOS!$B7)</f>
        <v>09</v>
      </c>
      <c r="D2" s="268"/>
      <c r="E2" s="267">
        <f>IF(PREMIOS!$B11="","",PREMIOS!$B11)</f>
        <v>63</v>
      </c>
      <c r="F2" s="268"/>
      <c r="G2" s="267">
        <f>IF(PREMIOS!$B15="","",PREMIOS!$B15)</f>
        <v>11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73400</v>
      </c>
      <c r="D4" s="78">
        <v>2100</v>
      </c>
      <c r="E4" s="189">
        <v>35450</v>
      </c>
      <c r="F4" s="78">
        <f t="shared" ref="D4:H27" si="0">IF(E4="","",0)</f>
        <v>0</v>
      </c>
      <c r="G4" s="189">
        <v>87750</v>
      </c>
      <c r="H4" s="78">
        <v>1750</v>
      </c>
      <c r="J4" s="42">
        <f t="shared" ref="J4:J8" si="1">+C4+E4+G4</f>
        <v>196600</v>
      </c>
      <c r="K4" s="42">
        <f>IF(D4="",0,IF(F4="",D4,IF(H4="",D4+F4,D4+F4+H4)))</f>
        <v>3850</v>
      </c>
    </row>
    <row r="5" spans="1:11" x14ac:dyDescent="0.35">
      <c r="A5" s="47">
        <v>2</v>
      </c>
      <c r="B5" s="178" t="str">
        <f>Vendedor2!$B$2</f>
        <v>PUESTO 2</v>
      </c>
      <c r="C5" s="180">
        <v>52100</v>
      </c>
      <c r="D5" s="30">
        <v>3150</v>
      </c>
      <c r="E5" s="180">
        <v>37000</v>
      </c>
      <c r="F5" s="30">
        <f t="shared" si="0"/>
        <v>0</v>
      </c>
      <c r="G5" s="180">
        <v>72000</v>
      </c>
      <c r="H5" s="30">
        <v>1550</v>
      </c>
      <c r="J5" s="42">
        <f t="shared" si="1"/>
        <v>161100</v>
      </c>
      <c r="K5" s="42">
        <f t="shared" ref="K5:K27" si="2">IF(D5="",0,IF(F5="",D5,IF(H5="",D5+F5,D5+F5+H5)))</f>
        <v>4700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54100</v>
      </c>
      <c r="D8" s="30">
        <v>1300</v>
      </c>
      <c r="E8" s="180">
        <v>25900</v>
      </c>
      <c r="F8" s="30">
        <v>500</v>
      </c>
      <c r="G8" s="180">
        <v>42200</v>
      </c>
      <c r="H8" s="30">
        <v>800</v>
      </c>
      <c r="J8" s="42">
        <f t="shared" si="1"/>
        <v>122200</v>
      </c>
      <c r="K8" s="42">
        <f t="shared" si="2"/>
        <v>2600</v>
      </c>
    </row>
    <row r="9" spans="1:11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101350+27150</f>
        <v>128500</v>
      </c>
      <c r="D10" s="30">
        <f>2500+1050</f>
        <v>3550</v>
      </c>
      <c r="E10" s="180">
        <f>18200+74850</f>
        <v>93050</v>
      </c>
      <c r="F10" s="30">
        <v>600</v>
      </c>
      <c r="G10" s="180">
        <f>23700+91950</f>
        <v>115650</v>
      </c>
      <c r="H10" s="30">
        <f>700+2350</f>
        <v>3050</v>
      </c>
      <c r="J10" s="42">
        <f t="shared" si="3"/>
        <v>337200</v>
      </c>
      <c r="K10" s="42">
        <f t="shared" si="2"/>
        <v>7200</v>
      </c>
    </row>
    <row r="11" spans="1:11" x14ac:dyDescent="0.35">
      <c r="A11" s="47">
        <v>8</v>
      </c>
      <c r="B11" s="178" t="str">
        <f>Vendedor8!$B$2</f>
        <v>ISA</v>
      </c>
      <c r="C11" s="180">
        <f>900+1300+900</f>
        <v>3100</v>
      </c>
      <c r="D11" s="30">
        <v>300</v>
      </c>
      <c r="E11" s="180"/>
      <c r="F11" s="30" t="str">
        <f t="shared" si="0"/>
        <v/>
      </c>
      <c r="G11" s="180">
        <f>900+1500+600</f>
        <v>3000</v>
      </c>
      <c r="H11" s="30">
        <v>500</v>
      </c>
      <c r="J11" s="42">
        <f t="shared" si="3"/>
        <v>6100</v>
      </c>
      <c r="K11" s="42">
        <f t="shared" si="2"/>
        <v>300</v>
      </c>
    </row>
    <row r="12" spans="1:11" x14ac:dyDescent="0.35">
      <c r="A12" s="47">
        <v>9</v>
      </c>
      <c r="B12" s="178" t="str">
        <f>Vendedor9!$B$2</f>
        <v>JUAN FELIX</v>
      </c>
      <c r="C12" s="180">
        <v>51500</v>
      </c>
      <c r="D12" s="30">
        <v>1150</v>
      </c>
      <c r="E12" s="180">
        <v>19050</v>
      </c>
      <c r="F12" s="30">
        <f t="shared" si="0"/>
        <v>0</v>
      </c>
      <c r="G12" s="180">
        <v>9300</v>
      </c>
      <c r="H12" s="30">
        <v>300</v>
      </c>
      <c r="J12" s="42">
        <f t="shared" si="3"/>
        <v>79850</v>
      </c>
      <c r="K12" s="42">
        <f t="shared" si="2"/>
        <v>1450</v>
      </c>
    </row>
    <row r="13" spans="1:11" x14ac:dyDescent="0.35">
      <c r="A13" s="47">
        <v>10</v>
      </c>
      <c r="B13" s="178" t="str">
        <f>Vendedor10!$B$2</f>
        <v>MARIALIZ</v>
      </c>
      <c r="C13" s="180">
        <v>40850</v>
      </c>
      <c r="D13" s="30">
        <v>700</v>
      </c>
      <c r="E13" s="180">
        <v>20850</v>
      </c>
      <c r="F13" s="30">
        <v>900</v>
      </c>
      <c r="G13" s="180">
        <v>18550</v>
      </c>
      <c r="H13" s="30">
        <v>500</v>
      </c>
      <c r="J13" s="42">
        <f t="shared" si="3"/>
        <v>80250</v>
      </c>
      <c r="K13" s="42">
        <f t="shared" si="2"/>
        <v>2100</v>
      </c>
    </row>
    <row r="14" spans="1:11" x14ac:dyDescent="0.35">
      <c r="A14" s="47">
        <v>11</v>
      </c>
      <c r="B14" s="178" t="str">
        <f>Vendedor11!$B$2</f>
        <v>CHARLY</v>
      </c>
      <c r="C14" s="180">
        <v>31400</v>
      </c>
      <c r="D14" s="30">
        <v>3400</v>
      </c>
      <c r="E14" s="180">
        <v>17900</v>
      </c>
      <c r="F14" s="30">
        <f t="shared" si="0"/>
        <v>0</v>
      </c>
      <c r="G14" s="180">
        <v>47000</v>
      </c>
      <c r="H14" s="30">
        <v>150</v>
      </c>
      <c r="J14" s="42">
        <f t="shared" si="3"/>
        <v>96300</v>
      </c>
      <c r="K14" s="42">
        <f t="shared" si="2"/>
        <v>3550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17800</v>
      </c>
      <c r="D16" s="30">
        <v>250</v>
      </c>
      <c r="E16" s="180">
        <v>17800</v>
      </c>
      <c r="F16" s="30">
        <f t="shared" si="0"/>
        <v>0</v>
      </c>
      <c r="G16" s="180">
        <v>20500</v>
      </c>
      <c r="H16" s="30">
        <v>250</v>
      </c>
      <c r="J16" s="42">
        <f t="shared" si="3"/>
        <v>56100</v>
      </c>
      <c r="K16" s="42">
        <f t="shared" si="2"/>
        <v>500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2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2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452750</v>
      </c>
      <c r="D32" s="44">
        <f t="shared" si="6"/>
        <v>15900</v>
      </c>
      <c r="E32" s="43">
        <f t="shared" si="6"/>
        <v>267000</v>
      </c>
      <c r="F32" s="44">
        <f t="shared" si="6"/>
        <v>2000</v>
      </c>
      <c r="G32" s="43">
        <f t="shared" si="6"/>
        <v>415950</v>
      </c>
      <c r="H32" s="44">
        <f t="shared" si="6"/>
        <v>8850</v>
      </c>
      <c r="J32" s="95">
        <f>SUM(J4:J31)</f>
        <v>1135700</v>
      </c>
      <c r="K32" s="95"/>
    </row>
    <row r="33" spans="2:8" x14ac:dyDescent="0.35">
      <c r="D33" s="99">
        <f>+D32*85</f>
        <v>1351500</v>
      </c>
      <c r="F33" s="99">
        <f>+F32*85</f>
        <v>170000</v>
      </c>
      <c r="H33" s="99">
        <f>+H32*85</f>
        <v>752250</v>
      </c>
    </row>
    <row r="34" spans="2:8" x14ac:dyDescent="0.35">
      <c r="B34" s="247"/>
      <c r="C34" s="43">
        <f>3100+40850+73400+52100+54100+31400+51500+17800+101350+27150</f>
        <v>452750</v>
      </c>
      <c r="D34" s="43">
        <f>+C34*3.5%</f>
        <v>15846.250000000002</v>
      </c>
      <c r="E34" s="43"/>
      <c r="F34" s="43"/>
      <c r="G34" s="43"/>
      <c r="H34" s="43"/>
    </row>
    <row r="35" spans="2:8" x14ac:dyDescent="0.35">
      <c r="B35" s="247"/>
      <c r="C35" s="43"/>
      <c r="D35" s="43"/>
      <c r="E35" s="43"/>
      <c r="F35" s="43"/>
      <c r="G35" s="43"/>
      <c r="H35" s="43"/>
    </row>
    <row r="36" spans="2:8" x14ac:dyDescent="0.35">
      <c r="B36" s="247"/>
      <c r="C36" s="43"/>
      <c r="D36" s="43"/>
      <c r="E36" s="43"/>
      <c r="F36" s="43"/>
      <c r="G36" s="43"/>
      <c r="H36" s="43"/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1" sqref="I11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56</v>
      </c>
      <c r="D2" s="268"/>
      <c r="E2" s="267">
        <f>IF(PREMIOS!$B9="","",PREMIOS!$B9)</f>
        <v>34</v>
      </c>
      <c r="F2" s="268"/>
      <c r="G2" s="267">
        <f>IF(PREMIOS!$B13="","",PREMIOS!$B13)</f>
        <v>84</v>
      </c>
      <c r="H2" s="268"/>
      <c r="I2" s="267">
        <f>IF(PREMIOS!$B17="","",PREMIOS!$B17)</f>
        <v>79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18300</v>
      </c>
      <c r="D4" s="78">
        <f t="shared" ref="D4:J27" si="0">IF(C4="","",0)</f>
        <v>0</v>
      </c>
      <c r="E4" s="206">
        <v>19700</v>
      </c>
      <c r="F4" s="78">
        <f t="shared" si="0"/>
        <v>0</v>
      </c>
      <c r="G4" s="189">
        <v>4500</v>
      </c>
      <c r="H4" s="78">
        <f t="shared" ref="H4:H27" si="1">IF(G4="","",0)</f>
        <v>0</v>
      </c>
      <c r="I4" s="189">
        <v>2950</v>
      </c>
      <c r="J4" s="78">
        <f t="shared" si="0"/>
        <v>0</v>
      </c>
      <c r="L4" s="42">
        <f t="shared" ref="L4:L8" si="2">+C4+E4+G4+I4</f>
        <v>45450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8" t="str">
        <f>Vendedor2!$B$2</f>
        <v>PUESTO 2</v>
      </c>
      <c r="C5" s="180">
        <v>8800</v>
      </c>
      <c r="D5" s="30">
        <f t="shared" si="0"/>
        <v>0</v>
      </c>
      <c r="E5" s="207">
        <v>4400</v>
      </c>
      <c r="F5" s="30">
        <f t="shared" si="0"/>
        <v>0</v>
      </c>
      <c r="G5" s="180">
        <v>1400</v>
      </c>
      <c r="H5" s="30">
        <f t="shared" si="1"/>
        <v>0</v>
      </c>
      <c r="I5" s="180"/>
      <c r="J5" s="30" t="str">
        <f t="shared" ref="J5:J27" si="3">IF(I5="","",0)</f>
        <v/>
      </c>
      <c r="L5" s="42">
        <f t="shared" si="2"/>
        <v>14600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48400</v>
      </c>
      <c r="D8" s="30">
        <v>150</v>
      </c>
      <c r="E8" s="207">
        <v>34100</v>
      </c>
      <c r="F8" s="30">
        <f t="shared" si="0"/>
        <v>0</v>
      </c>
      <c r="G8" s="180">
        <v>3600</v>
      </c>
      <c r="H8" s="30">
        <f t="shared" si="1"/>
        <v>0</v>
      </c>
      <c r="I8" s="180">
        <v>36700</v>
      </c>
      <c r="J8" s="30">
        <f t="shared" si="0"/>
        <v>0</v>
      </c>
      <c r="L8" s="42">
        <f t="shared" si="2"/>
        <v>122800</v>
      </c>
      <c r="M8" s="42">
        <f t="shared" si="4"/>
        <v>150</v>
      </c>
    </row>
    <row r="9" spans="1:13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21500+48700</f>
        <v>70200</v>
      </c>
      <c r="D10" s="30">
        <f t="shared" si="0"/>
        <v>0</v>
      </c>
      <c r="E10" s="207">
        <f>20100+59850</f>
        <v>79950</v>
      </c>
      <c r="F10" s="30">
        <v>100</v>
      </c>
      <c r="G10" s="180">
        <v>6000</v>
      </c>
      <c r="H10" s="30">
        <f t="shared" si="0"/>
        <v>0</v>
      </c>
      <c r="I10" s="180">
        <f>26650+74000</f>
        <v>100650</v>
      </c>
      <c r="J10" s="30">
        <v>850</v>
      </c>
      <c r="L10" s="42">
        <f t="shared" si="5"/>
        <v>256800</v>
      </c>
      <c r="M10" s="42">
        <f t="shared" si="4"/>
        <v>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43050</v>
      </c>
      <c r="D12" s="30">
        <v>350</v>
      </c>
      <c r="E12" s="207">
        <v>26050</v>
      </c>
      <c r="F12" s="30">
        <v>250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69100</v>
      </c>
      <c r="M12" s="42">
        <f t="shared" si="4"/>
        <v>600</v>
      </c>
    </row>
    <row r="13" spans="1:13" x14ac:dyDescent="0.35">
      <c r="A13" s="47">
        <v>10</v>
      </c>
      <c r="B13" s="178" t="str">
        <f>Vendedor10!$B$2</f>
        <v>MARIALIZ</v>
      </c>
      <c r="C13" s="180">
        <v>44300</v>
      </c>
      <c r="D13" s="30">
        <f t="shared" si="0"/>
        <v>0</v>
      </c>
      <c r="E13" s="207">
        <v>9900</v>
      </c>
      <c r="F13" s="30">
        <f t="shared" si="0"/>
        <v>0</v>
      </c>
      <c r="G13" s="180"/>
      <c r="H13" s="30" t="str">
        <f t="shared" si="0"/>
        <v/>
      </c>
      <c r="I13" s="180">
        <v>2200</v>
      </c>
      <c r="J13" s="30">
        <f t="shared" si="0"/>
        <v>0</v>
      </c>
      <c r="L13" s="42">
        <f t="shared" si="5"/>
        <v>56400</v>
      </c>
      <c r="M13" s="42">
        <f t="shared" si="4"/>
        <v>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5800</v>
      </c>
      <c r="D16" s="30">
        <f t="shared" si="0"/>
        <v>0</v>
      </c>
      <c r="E16" s="207">
        <v>1000</v>
      </c>
      <c r="F16" s="30">
        <f t="shared" si="0"/>
        <v>0</v>
      </c>
      <c r="G16" s="180">
        <v>5000</v>
      </c>
      <c r="H16" s="30">
        <f t="shared" si="0"/>
        <v>0</v>
      </c>
      <c r="I16" s="180">
        <v>11250</v>
      </c>
      <c r="J16" s="30">
        <f t="shared" si="0"/>
        <v>0</v>
      </c>
      <c r="L16" s="42">
        <f t="shared" si="5"/>
        <v>23050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207"/>
      <c r="F17" s="30" t="str">
        <f t="shared" si="0"/>
        <v/>
      </c>
      <c r="G17" s="180"/>
      <c r="H17" s="30" t="str">
        <f t="shared" si="0"/>
        <v/>
      </c>
      <c r="I17" s="180"/>
      <c r="J17" s="30" t="str">
        <f t="shared" si="0"/>
        <v/>
      </c>
      <c r="L17" s="42">
        <f t="shared" si="5"/>
        <v>0</v>
      </c>
      <c r="M17" s="42" t="str">
        <f t="shared" si="4"/>
        <v/>
      </c>
    </row>
    <row r="18" spans="1:13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207"/>
      <c r="F18" s="30" t="str">
        <f t="shared" si="0"/>
        <v/>
      </c>
      <c r="G18" s="180"/>
      <c r="H18" s="30" t="str">
        <f t="shared" si="0"/>
        <v/>
      </c>
      <c r="I18" s="180"/>
      <c r="J18" s="30" t="str">
        <f t="shared" si="3"/>
        <v/>
      </c>
      <c r="L18" s="42">
        <f t="shared" si="5"/>
        <v>0</v>
      </c>
      <c r="M18" s="42" t="str">
        <f t="shared" si="4"/>
        <v/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238850</v>
      </c>
      <c r="D32" s="44">
        <f t="shared" si="7"/>
        <v>500</v>
      </c>
      <c r="E32" s="43">
        <f t="shared" si="7"/>
        <v>175100</v>
      </c>
      <c r="F32" s="44">
        <f t="shared" si="7"/>
        <v>350</v>
      </c>
      <c r="G32" s="43">
        <f t="shared" si="7"/>
        <v>20500</v>
      </c>
      <c r="H32" s="44">
        <f t="shared" si="7"/>
        <v>0</v>
      </c>
      <c r="I32" s="43">
        <f t="shared" si="7"/>
        <v>153750</v>
      </c>
      <c r="J32" s="44">
        <f t="shared" si="7"/>
        <v>850</v>
      </c>
      <c r="L32" s="95">
        <f>SUM(L9:L31)</f>
        <v>405350</v>
      </c>
      <c r="M32" s="95">
        <f>SUM(M9:M31)</f>
        <v>600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09 Blanca</v>
      </c>
      <c r="D2" s="268"/>
      <c r="E2" s="267" t="str">
        <f>IF(E33=0,"",CONCATENATE(PREMIOS!$B11," ",PREMIOS!$B12))</f>
        <v>63 Roja</v>
      </c>
      <c r="F2" s="268"/>
      <c r="G2" s="267" t="str">
        <f>IF(G33=0,"",CONCATENATE(PREMIOS!$B15," ",PREMIOS!$B16))</f>
        <v>11 Blanca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6200+11850</f>
        <v>18050</v>
      </c>
      <c r="D10" s="30">
        <f t="shared" si="0"/>
        <v>0</v>
      </c>
      <c r="E10" s="180">
        <f>6600+5200</f>
        <v>11800</v>
      </c>
      <c r="F10" s="30">
        <f t="shared" si="0"/>
        <v>0</v>
      </c>
      <c r="G10" s="180">
        <f>10900+7750</f>
        <v>18650</v>
      </c>
      <c r="H10" s="30">
        <v>350</v>
      </c>
      <c r="J10" s="42">
        <f t="shared" si="3"/>
        <v>48500</v>
      </c>
      <c r="K10" s="42">
        <f t="shared" si="4"/>
        <v>350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4650</v>
      </c>
      <c r="D12" s="30">
        <f t="shared" si="0"/>
        <v>0</v>
      </c>
      <c r="E12" s="180"/>
      <c r="F12" s="30" t="str">
        <f t="shared" si="1"/>
        <v/>
      </c>
      <c r="G12" s="180"/>
      <c r="H12" s="30" t="str">
        <f t="shared" si="0"/>
        <v/>
      </c>
      <c r="J12" s="42">
        <f t="shared" si="3"/>
        <v>4650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 t="shared" si="0"/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22700</v>
      </c>
      <c r="D33" s="44">
        <f t="shared" si="7"/>
        <v>0</v>
      </c>
      <c r="E33" s="43">
        <f t="shared" si="7"/>
        <v>11800</v>
      </c>
      <c r="F33" s="44">
        <f t="shared" si="7"/>
        <v>0</v>
      </c>
      <c r="G33" s="43">
        <f t="shared" si="7"/>
        <v>18650</v>
      </c>
      <c r="H33" s="44">
        <f t="shared" si="7"/>
        <v>350</v>
      </c>
      <c r="J33" s="45">
        <f>SUM(J4:J32)</f>
        <v>53150</v>
      </c>
      <c r="K33" s="95">
        <f>SUM(K4:K32)</f>
        <v>350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 t="str">
        <f>IF(PREMIOS!$B19="","",PREMIOS!$B19)</f>
        <v>09</v>
      </c>
      <c r="D2" s="268"/>
      <c r="E2" s="267">
        <f>IF(PREMIOS!$C19="","",PREMIOS!$C19)</f>
        <v>47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16100</v>
      </c>
      <c r="D4" s="78">
        <v>100</v>
      </c>
      <c r="E4" s="189">
        <v>3700</v>
      </c>
      <c r="F4" s="78">
        <f t="shared" ref="D4:F27" si="0">IF(E4="","",0)</f>
        <v>0</v>
      </c>
      <c r="H4" s="42">
        <f>+C4+E4</f>
        <v>19800</v>
      </c>
      <c r="I4" s="42">
        <f>IF(D4="",0,IF(F4="",D4,D4+F4))</f>
        <v>100</v>
      </c>
    </row>
    <row r="5" spans="1:9" x14ac:dyDescent="0.35">
      <c r="A5" s="47">
        <v>2</v>
      </c>
      <c r="B5" s="178" t="str">
        <f>Vendedor2!$B$2</f>
        <v>PUESTO 2</v>
      </c>
      <c r="C5" s="180">
        <v>6000</v>
      </c>
      <c r="D5" s="30">
        <f t="shared" si="0"/>
        <v>0</v>
      </c>
      <c r="E5" s="180"/>
      <c r="F5" s="30" t="str">
        <f t="shared" ref="F5:F27" si="1">IF(E5="","",0)</f>
        <v/>
      </c>
      <c r="H5" s="42">
        <f t="shared" ref="H5:H32" si="2">+C5+E5</f>
        <v>6000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21850</v>
      </c>
      <c r="D8" s="30">
        <v>250</v>
      </c>
      <c r="E8" s="194">
        <v>5700</v>
      </c>
      <c r="F8" s="195">
        <f t="shared" si="1"/>
        <v>0</v>
      </c>
      <c r="H8" s="42">
        <f t="shared" si="2"/>
        <v>27550</v>
      </c>
      <c r="I8" s="42">
        <f t="shared" si="3"/>
        <v>250</v>
      </c>
    </row>
    <row r="9" spans="1:9" x14ac:dyDescent="0.35">
      <c r="A9" s="47">
        <v>6</v>
      </c>
      <c r="B9" s="178" t="str">
        <f>Vendedor6!$B$2</f>
        <v>Vendedor 06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21750</v>
      </c>
      <c r="D10" s="30">
        <f t="shared" si="0"/>
        <v>0</v>
      </c>
      <c r="E10" s="180">
        <v>18150</v>
      </c>
      <c r="F10" s="195">
        <f t="shared" si="1"/>
        <v>0</v>
      </c>
      <c r="H10" s="42">
        <f t="shared" si="2"/>
        <v>39900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40950</v>
      </c>
      <c r="D12" s="30">
        <v>750</v>
      </c>
      <c r="E12" s="194"/>
      <c r="F12" s="30" t="str">
        <f t="shared" si="0"/>
        <v/>
      </c>
      <c r="H12" s="42">
        <f t="shared" si="2"/>
        <v>40950</v>
      </c>
      <c r="I12" s="42">
        <f t="shared" si="3"/>
        <v>750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0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195" t="str">
        <f t="shared" si="0"/>
        <v/>
      </c>
      <c r="E17" s="180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106650</v>
      </c>
      <c r="D33" s="44">
        <f>SUM(D4:D32)</f>
        <v>1100</v>
      </c>
      <c r="E33" s="43">
        <f>SUM(E4:E32)</f>
        <v>27550</v>
      </c>
      <c r="F33" s="44">
        <f>SUM(F4:F32)</f>
        <v>0</v>
      </c>
      <c r="H33" s="95">
        <f>SUM(H4:H32)</f>
        <v>134200</v>
      </c>
      <c r="I33" s="95">
        <f>SUM(I4:I32)</f>
        <v>1100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27</v>
      </c>
      <c r="D2" s="268"/>
      <c r="E2" s="267">
        <f>IF(PREMIOS!$C20="","",PREMIOS!$C20)</f>
        <v>69</v>
      </c>
      <c r="F2" s="268"/>
      <c r="G2" s="267">
        <f>IF(PREMIOS!$D20="","",PREMIOS!$D20)</f>
        <v>54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7100</v>
      </c>
      <c r="D10" s="195">
        <f t="shared" si="0"/>
        <v>0</v>
      </c>
      <c r="E10" s="180">
        <v>7900</v>
      </c>
      <c r="F10" s="30">
        <v>600</v>
      </c>
      <c r="G10" s="180">
        <v>14000</v>
      </c>
      <c r="H10" s="195">
        <f t="shared" si="0"/>
        <v>0</v>
      </c>
      <c r="J10" s="42">
        <f t="shared" si="3"/>
        <v>29000</v>
      </c>
      <c r="K10" s="42">
        <f t="shared" si="4"/>
        <v>600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/>
      <c r="D12" s="195" t="str">
        <f t="shared" si="0"/>
        <v/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/>
      <c r="D17" s="195" t="str">
        <f t="shared" si="0"/>
        <v/>
      </c>
      <c r="E17" s="194"/>
      <c r="F17" s="195" t="str">
        <f t="shared" si="0"/>
        <v/>
      </c>
      <c r="G17" s="194"/>
      <c r="H17" s="195" t="str">
        <f t="shared" si="2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1"/>
        <v/>
      </c>
      <c r="G18" s="180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7100</v>
      </c>
      <c r="D33" s="44">
        <f t="shared" si="6"/>
        <v>0</v>
      </c>
      <c r="E33" s="43">
        <f t="shared" si="6"/>
        <v>7900</v>
      </c>
      <c r="F33" s="44">
        <f t="shared" si="6"/>
        <v>600</v>
      </c>
      <c r="G33" s="43">
        <f t="shared" si="6"/>
        <v>14000</v>
      </c>
      <c r="H33" s="44">
        <f t="shared" si="6"/>
        <v>0</v>
      </c>
      <c r="J33" s="45">
        <f>SUM(J4:J32)</f>
        <v>29000</v>
      </c>
      <c r="K33" s="95">
        <f>SUM(K4:K32)</f>
        <v>600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69</v>
      </c>
      <c r="D2" s="268"/>
      <c r="E2" s="267">
        <f>IF(PREMIOS!$C21="","",PREMIOS!$C21)</f>
        <v>91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42000</v>
      </c>
      <c r="D10" s="30">
        <v>750</v>
      </c>
      <c r="E10" s="180">
        <v>64000</v>
      </c>
      <c r="F10" s="30">
        <f t="shared" si="0"/>
        <v>0</v>
      </c>
      <c r="H10" s="42">
        <f t="shared" si="2"/>
        <v>106000</v>
      </c>
      <c r="I10" s="42">
        <f t="shared" si="3"/>
        <v>750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42000</v>
      </c>
      <c r="D33" s="44">
        <f>SUM(D4:D32)</f>
        <v>750</v>
      </c>
      <c r="E33" s="43">
        <f>SUM(E4:E32)</f>
        <v>64000</v>
      </c>
      <c r="F33" s="44">
        <f>SUM(F4:F32)</f>
        <v>0</v>
      </c>
      <c r="H33" s="45">
        <f>SUM(H4:H32)</f>
        <v>106000</v>
      </c>
      <c r="I33" s="95">
        <f>SUM(I4:I32)</f>
        <v>750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2026-08-08T20:57:08Z</dcterms:modified>
  <dc:language>es-CR</dc:language>
</cp:coreProperties>
</file>
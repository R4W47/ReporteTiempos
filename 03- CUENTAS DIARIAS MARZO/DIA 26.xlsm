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3- CUENTAS DIARIAS MARZO/"/>
    </mc:Choice>
  </mc:AlternateContent>
  <xr:revisionPtr revIDLastSave="34" documentId="11_35916F6BF3A65CBAB18F395CDC8B4BC2E7F3C7AF" xr6:coauthVersionLast="47" xr6:coauthVersionMax="47" xr10:uidLastSave="{E0487025-2150-4CCD-86C7-90BB6153C67B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H17" i="60"/>
  <c r="G17" i="60"/>
  <c r="G18" i="60"/>
  <c r="F17" i="60"/>
  <c r="E17" i="60"/>
  <c r="F18" i="60"/>
  <c r="E18" i="60"/>
  <c r="D17" i="60" l="1"/>
  <c r="C17" i="60"/>
  <c r="D18" i="60"/>
  <c r="C18" i="60"/>
  <c r="D18" i="64" l="1"/>
  <c r="D12" i="65"/>
  <c r="D11" i="65"/>
  <c r="D10" i="65"/>
  <c r="D18" i="61"/>
  <c r="D10" i="61"/>
  <c r="D9" i="61"/>
  <c r="D23" i="15"/>
  <c r="C23" i="15"/>
  <c r="G16" i="71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7" i="65"/>
  <c r="D6" i="65"/>
  <c r="F14" i="19"/>
  <c r="F10" i="19"/>
  <c r="F6" i="19"/>
  <c r="F14" i="8"/>
  <c r="F10" i="8"/>
  <c r="F6" i="8"/>
  <c r="H12" i="69"/>
  <c r="H9" i="69"/>
  <c r="H16" i="71" l="1"/>
  <c r="F23" i="15"/>
  <c r="E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6" i="60"/>
  <c r="D15" i="60"/>
  <c r="D11" i="60"/>
  <c r="D35" i="60" s="1"/>
  <c r="D36" i="60"/>
  <c r="D9" i="60"/>
  <c r="D7" i="60"/>
  <c r="D4" i="60"/>
  <c r="F18" i="23"/>
  <c r="F14" i="23"/>
  <c r="F10" i="23"/>
  <c r="F6" i="23"/>
  <c r="F6" i="14"/>
  <c r="F10" i="14"/>
  <c r="F14" i="14"/>
  <c r="F18" i="14"/>
  <c r="H10" i="64"/>
  <c r="F17" i="64"/>
  <c r="F17" i="65"/>
  <c r="F18" i="62"/>
  <c r="F10" i="62"/>
  <c r="D5" i="61"/>
  <c r="F16" i="61"/>
  <c r="D6" i="60"/>
  <c r="F16" i="60"/>
  <c r="F15" i="60"/>
  <c r="F14" i="60"/>
  <c r="F13" i="60"/>
  <c r="F12" i="60"/>
  <c r="F11" i="60"/>
  <c r="F35" i="60" s="1"/>
  <c r="F9" i="60"/>
  <c r="F7" i="60"/>
  <c r="F6" i="60"/>
  <c r="F4" i="60"/>
  <c r="H15" i="60"/>
  <c r="H11" i="60"/>
  <c r="H9" i="60"/>
  <c r="H7" i="60"/>
  <c r="H6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1" i="62"/>
  <c r="J16" i="61"/>
  <c r="J15" i="61"/>
  <c r="J14" i="61"/>
  <c r="J13" i="61"/>
  <c r="J12" i="61"/>
  <c r="J11" i="61"/>
  <c r="J10" i="61"/>
  <c r="J9" i="61"/>
  <c r="J8" i="61"/>
  <c r="J7" i="61"/>
  <c r="F15" i="61"/>
  <c r="F14" i="61"/>
  <c r="F13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H34" i="60" l="1"/>
  <c r="F34" i="60"/>
  <c r="D34" i="60"/>
  <c r="J8" i="14"/>
  <c r="D21" i="14"/>
  <c r="C12" i="71"/>
  <c r="D22" i="14"/>
  <c r="G12" i="71"/>
  <c r="E19" i="16"/>
  <c r="D4" i="65"/>
  <c r="D20" i="16"/>
  <c r="F18" i="64"/>
  <c r="E11" i="16"/>
  <c r="H17" i="64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6" i="61"/>
  <c r="H15" i="61"/>
  <c r="H14" i="61"/>
  <c r="H13" i="61"/>
  <c r="H12" i="61"/>
  <c r="H11" i="61"/>
  <c r="E13" i="16" s="1"/>
  <c r="H10" i="61"/>
  <c r="H35" i="60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H27" i="60" l="1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0" i="73"/>
  <c r="F28" i="73"/>
  <c r="H22" i="73"/>
  <c r="I22" i="73" s="1"/>
  <c r="H21" i="73"/>
  <c r="I21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4" i="73"/>
  <c r="F22" i="73"/>
  <c r="F16" i="73"/>
  <c r="F15" i="73"/>
  <c r="F14" i="73"/>
  <c r="G14" i="73" s="1"/>
  <c r="L14" i="73" s="1"/>
  <c r="F13" i="73"/>
  <c r="F12" i="73"/>
  <c r="F11" i="73"/>
  <c r="G11" i="73" s="1"/>
  <c r="L11" i="73" s="1"/>
  <c r="F9" i="73"/>
  <c r="F8" i="73"/>
  <c r="F7" i="73"/>
  <c r="F6" i="73"/>
  <c r="F5" i="73"/>
  <c r="F4" i="73"/>
  <c r="G4" i="73" s="1"/>
  <c r="D31" i="73"/>
  <c r="H31" i="73" s="1"/>
  <c r="I31" i="73" s="1"/>
  <c r="C31" i="73"/>
  <c r="F31" i="73" s="1"/>
  <c r="B31" i="73"/>
  <c r="D30" i="73"/>
  <c r="H30" i="73" s="1"/>
  <c r="I30" i="73" s="1"/>
  <c r="C30" i="73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B22" i="73"/>
  <c r="D21" i="73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G15" i="73"/>
  <c r="L15" i="73" s="1"/>
  <c r="B15" i="73"/>
  <c r="B14" i="73"/>
  <c r="B13" i="73"/>
  <c r="B12" i="73"/>
  <c r="B10" i="73"/>
  <c r="G8" i="73"/>
  <c r="L8" i="73" s="1"/>
  <c r="G7" i="73"/>
  <c r="L7" i="73" s="1"/>
  <c r="B7" i="73"/>
  <c r="B6" i="73"/>
  <c r="B5" i="73"/>
  <c r="B4" i="73"/>
  <c r="D18" i="72"/>
  <c r="H18" i="72"/>
  <c r="H17" i="72"/>
  <c r="F31" i="72"/>
  <c r="E31" i="72"/>
  <c r="D31" i="72"/>
  <c r="J31" i="72" s="1"/>
  <c r="K31" i="72" s="1"/>
  <c r="C31" i="72"/>
  <c r="H31" i="72" s="1"/>
  <c r="B31" i="72"/>
  <c r="F30" i="72"/>
  <c r="E30" i="72"/>
  <c r="D30" i="72"/>
  <c r="C30" i="72"/>
  <c r="H30" i="72" s="1"/>
  <c r="B30" i="72"/>
  <c r="J29" i="72"/>
  <c r="K29" i="72" s="1"/>
  <c r="H29" i="72"/>
  <c r="I29" i="72" s="1"/>
  <c r="F29" i="72"/>
  <c r="E29" i="72"/>
  <c r="D29" i="72"/>
  <c r="C29" i="72"/>
  <c r="B29" i="72"/>
  <c r="F28" i="72"/>
  <c r="J28" i="72" s="1"/>
  <c r="K28" i="72" s="1"/>
  <c r="E28" i="72"/>
  <c r="D28" i="72"/>
  <c r="C28" i="72"/>
  <c r="B28" i="72"/>
  <c r="B27" i="72"/>
  <c r="F26" i="72"/>
  <c r="E26" i="72"/>
  <c r="H26" i="72" s="1"/>
  <c r="N26" i="72" s="1"/>
  <c r="D26" i="72"/>
  <c r="J26" i="72" s="1"/>
  <c r="K26" i="72" s="1"/>
  <c r="C26" i="72"/>
  <c r="B26" i="72"/>
  <c r="F25" i="72"/>
  <c r="E25" i="72"/>
  <c r="H25" i="72" s="1"/>
  <c r="D25" i="72"/>
  <c r="J25" i="72" s="1"/>
  <c r="K25" i="72" s="1"/>
  <c r="C25" i="72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B23" i="72"/>
  <c r="F22" i="72"/>
  <c r="E22" i="72"/>
  <c r="D22" i="72"/>
  <c r="C22" i="72"/>
  <c r="H22" i="72" s="1"/>
  <c r="B22" i="72"/>
  <c r="F21" i="72"/>
  <c r="J21" i="72" s="1"/>
  <c r="K21" i="72" s="1"/>
  <c r="E21" i="72"/>
  <c r="D21" i="72"/>
  <c r="C21" i="72"/>
  <c r="H21" i="72" s="1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N15" i="72"/>
  <c r="J15" i="72"/>
  <c r="K15" i="72" s="1"/>
  <c r="I15" i="72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L29" i="71" s="1"/>
  <c r="M29" i="71" s="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D13" i="66"/>
  <c r="I13" i="66" s="1"/>
  <c r="D12" i="66"/>
  <c r="I12" i="66" s="1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K24" i="64" s="1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1" i="66"/>
  <c r="I8" i="66"/>
  <c r="I6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J29" i="70" s="1"/>
  <c r="E29" i="70"/>
  <c r="D29" i="70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C23" i="70"/>
  <c r="H23" i="70" s="1"/>
  <c r="B23" i="70"/>
  <c r="F22" i="70"/>
  <c r="E22" i="70"/>
  <c r="D22" i="70"/>
  <c r="C22" i="70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F7" i="66"/>
  <c r="D7" i="66"/>
  <c r="I7" i="66" s="1"/>
  <c r="F6" i="66"/>
  <c r="D6" i="66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5" i="72"/>
  <c r="N25" i="72" s="1"/>
  <c r="I21" i="72"/>
  <c r="N21" i="72" s="1"/>
  <c r="E27" i="72"/>
  <c r="F16" i="71"/>
  <c r="L16" i="71" s="1"/>
  <c r="M16" i="71" s="1"/>
  <c r="F22" i="15"/>
  <c r="L8" i="15" s="1"/>
  <c r="G22" i="15"/>
  <c r="L25" i="71"/>
  <c r="M25" i="71" s="1"/>
  <c r="K28" i="70"/>
  <c r="H29" i="66"/>
  <c r="J23" i="70"/>
  <c r="K23" i="70" s="1"/>
  <c r="L22" i="71"/>
  <c r="M22" i="71" s="1"/>
  <c r="H23" i="72"/>
  <c r="J30" i="72"/>
  <c r="K30" i="72" s="1"/>
  <c r="F25" i="19"/>
  <c r="L9" i="19" s="1"/>
  <c r="F18" i="72"/>
  <c r="J32" i="64"/>
  <c r="L6" i="6"/>
  <c r="K20" i="19"/>
  <c r="K9" i="19"/>
  <c r="L21" i="71"/>
  <c r="M21" i="71" s="1"/>
  <c r="J22" i="71"/>
  <c r="J31" i="71"/>
  <c r="J23" i="72"/>
  <c r="K23" i="72" s="1"/>
  <c r="J31" i="64"/>
  <c r="E33" i="66"/>
  <c r="H22" i="70"/>
  <c r="I22" i="70" s="1"/>
  <c r="J25" i="70"/>
  <c r="K25" i="70" s="1"/>
  <c r="L20" i="71"/>
  <c r="M20" i="71" s="1"/>
  <c r="J30" i="71"/>
  <c r="K30" i="71" s="1"/>
  <c r="H28" i="72"/>
  <c r="D17" i="72"/>
  <c r="L7" i="23"/>
  <c r="J22" i="70"/>
  <c r="K22" i="70" s="1"/>
  <c r="D26" i="21"/>
  <c r="J10" i="21"/>
  <c r="C17" i="73"/>
  <c r="F17" i="73" s="1"/>
  <c r="J10" i="8"/>
  <c r="D26" i="19"/>
  <c r="J10" i="19"/>
  <c r="J29" i="71"/>
  <c r="J22" i="72"/>
  <c r="K22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H27" i="72" l="1"/>
  <c r="I27" i="72" s="1"/>
  <c r="N27" i="72" s="1"/>
  <c r="K12" i="17"/>
  <c r="K21" i="19"/>
  <c r="K10" i="19"/>
  <c r="K20" i="21"/>
  <c r="K10" i="21"/>
  <c r="N27" i="71"/>
  <c r="K21" i="8"/>
  <c r="K10" i="8"/>
  <c r="L27" i="71"/>
  <c r="M27" i="71" s="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M21" i="52" s="1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M22" i="52" l="1"/>
  <c r="J5" i="23"/>
  <c r="M23" i="52"/>
  <c r="J4" i="23"/>
  <c r="M20" i="52"/>
  <c r="F17" i="52"/>
  <c r="C24" i="15"/>
  <c r="L6" i="23"/>
  <c r="J5" i="19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E32" i="61" s="1"/>
  <c r="D29" i="61"/>
  <c r="C29" i="61"/>
  <c r="B29" i="61"/>
  <c r="J28" i="61"/>
  <c r="I28" i="61"/>
  <c r="H28" i="61"/>
  <c r="H32" i="61" s="1"/>
  <c r="G28" i="61"/>
  <c r="G32" i="61" s="1"/>
  <c r="F28" i="61"/>
  <c r="E28" i="61"/>
  <c r="D28" i="6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H32" i="60" s="1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D32" i="61" l="1"/>
  <c r="K4" i="23"/>
  <c r="G32" i="60"/>
  <c r="K5" i="8"/>
  <c r="F32" i="61"/>
  <c r="K6" i="23"/>
  <c r="E32" i="60"/>
  <c r="J32" i="61"/>
  <c r="M19" i="52"/>
  <c r="C32" i="61"/>
  <c r="I32" i="61"/>
  <c r="L19" i="71"/>
  <c r="M19" i="71" s="1"/>
  <c r="M32" i="71" s="1"/>
  <c r="F8" i="74" s="1"/>
  <c r="L6" i="25"/>
  <c r="L6" i="22"/>
  <c r="D24" i="15"/>
  <c r="K5" i="19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D15" i="25"/>
  <c r="G15" i="25" s="1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4" i="52" l="1"/>
  <c r="K6" i="22"/>
  <c r="R29" i="59"/>
  <c r="M6" i="52"/>
  <c r="M5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5" i="58"/>
  <c r="P23" i="58"/>
  <c r="P20" i="58"/>
  <c r="P21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2" i="52" l="1"/>
  <c r="C21" i="1" s="1"/>
  <c r="B21" i="1"/>
  <c r="K25" i="52"/>
  <c r="C24" i="1" s="1"/>
  <c r="B24" i="1"/>
  <c r="K24" i="52"/>
  <c r="C23" i="1" s="1"/>
  <c r="B23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6" i="52"/>
  <c r="C5" i="1" s="1"/>
  <c r="B5" i="1"/>
  <c r="K23" i="52"/>
  <c r="C22" i="1" s="1"/>
  <c r="B22" i="1"/>
  <c r="F16" i="19"/>
  <c r="F16" i="15"/>
  <c r="F16" i="8"/>
  <c r="K4" i="52"/>
  <c r="C3" i="1" s="1"/>
  <c r="B3" i="1"/>
  <c r="K21" i="52"/>
  <c r="C20" i="1" s="1"/>
  <c r="B20" i="1"/>
  <c r="F12" i="14"/>
  <c r="G12" i="14" s="1"/>
  <c r="F12" i="15"/>
  <c r="F12" i="8"/>
  <c r="F12" i="19"/>
  <c r="K20" i="52"/>
  <c r="C19" i="1" s="1"/>
  <c r="B19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L6" i="15" l="1"/>
  <c r="F24" i="15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G16" i="24"/>
  <c r="F16" i="10"/>
  <c r="G16" i="10" s="1"/>
  <c r="G12" i="24"/>
  <c r="G12" i="22"/>
  <c r="G12" i="10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2" i="52" l="1"/>
  <c r="D21" i="1"/>
  <c r="Q23" i="52"/>
  <c r="D22" i="1"/>
  <c r="Q20" i="52"/>
  <c r="D19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33" i="52" s="1"/>
  <c r="F34" i="52" s="1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H33" i="52" s="1"/>
  <c r="H34" i="52" s="1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D39" i="52" l="1"/>
  <c r="D7" i="69" s="1"/>
  <c r="K6" i="16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<sst xmlns="http://schemas.openxmlformats.org/spreadsheetml/2006/main" count="1295" uniqueCount="161">
  <si>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</si>
  <si>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</si>
  <si>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</si>
  <si>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</si>
  <si>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</si>
  <si>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</si>
  <si>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</si>
  <si>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</si>
  <si>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</si>
  <si>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</si>
  <si>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</si>
  <si>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</si>
  <si>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</si>
  <si>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</si>
  <si>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</si>
  <si>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</si>
  <si>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</si>
  <si>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</si>
  <si>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</si>
  <si>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</si>
  <si>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</si>
  <si>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</si>
  <si>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</si>
  <si>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</si>
  <si>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</si>
  <si>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</si>
  <si>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</si>
  <si>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</si>
  <si>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</si>
  <si>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</si>
  <si>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</si>
  <si>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</si>
  <si>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</si>
  <si>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</si>
  <si>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</si>
  <si>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</si>
  <si>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</si>
  <si>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</si>
  <si>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</si>
  <si>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</si>
  <si>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</si>
  <si>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</si>
  <si>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</si>
  <si>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</si>
  <si>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</si>
  <si>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</si>
  <si>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</si>
  <si>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</si>
  <si>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</si>
  <si>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</si>
  <si>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</si>
  <si>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</si>
  <si>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</si>
  <si>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</si>
  <si>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</si>
  <si>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</si>
  <si>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</si>
  <si>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</si>
  <si>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</si>
  <si>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</si>
  <si>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</si>
  <si>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</si>
  <si>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</si>
  <si>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</si>
  <si>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</si>
  <si>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</si>
  <si>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</si>
  <si>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</si>
  <si>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</si>
  <si>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</si>
  <si>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</si>
  <si>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</si>
  <si>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</si>
  <si>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</si>
  <si>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</si>
  <si>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</si>
  <si>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</si>
  <si>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</si>
  <si>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</si>
  <si>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</si>
  <si>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</si>
  <si>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</si>
  <si>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</si>
  <si>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</si>
  <si>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</si>
  <si>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</si>
  <si>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</si>
  <si>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</si>
  <si>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</si>
  <si>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</si>
  <si>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</si>
  <si>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</si>
  <si>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</si>
  <si>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</si>
  <si>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</si>
  <si>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</si>
  <si>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</si>
  <si>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</si>
  <si>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</si>
  <si>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</si>
  <si>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</si>
  <si>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</si>
  <si>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</si>
  <si>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</si>
  <si>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</si>
  <si>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</si>
  <si>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</si>
  <si>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</si>
  <si>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</si>
  <si>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</si>
  <si>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</si>
  <si>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</si>
  <si>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</si>
  <si>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</si>
  <si>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</si>
  <si>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</si>
  <si>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</si>
  <si>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</si>
  <si>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</si>
  <si>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</si>
  <si>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</si>
  <si>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</si>
  <si>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</si>
  <si>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</si>
  <si>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</si>
  <si>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</si>
  <si>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</si>
  <si>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</si>
  <si>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</si>
  <si>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</si>
  <si>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</si>
  <si>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</si>
  <si>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</si>
  <si>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</si>
  <si>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</si>
  <si>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</si>
  <si>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</si>
  <si>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</si>
  <si>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</si>
  <si>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</si>
  <si>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</si>
  <si>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</si>
  <si>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</si>
  <si>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</si>
  <si>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</si>
  <si>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</si>
  <si>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</si>
  <si>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</si>
  <si>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</si>
  <si>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</si>
  <si>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</si>
  <si>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</si>
  <si>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</si>
  <si>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</si>
  <si>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</si>
  <si>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</si>
  <si>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</si>
  <si>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</si>
  <si>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</si>
  <si>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06</t>
  </si>
  <si>
    <t>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</si>
</sst>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5"/>
      <c r="AMC1" s="215"/>
      <c r="AMD1" s="215"/>
      <c r="AME1" s="215"/>
      <c r="AMF1" s="215"/>
      <c r="AMG1" s="215"/>
      <c r="AMH1" s="215"/>
      <c r="AMI1" s="215"/>
      <c r="AMJ1" s="215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6"/>
      <c r="AMC2" s="216"/>
      <c r="AMD2" s="216"/>
      <c r="AME2" s="216"/>
      <c r="AMF2" s="216"/>
      <c r="AMG2" s="216"/>
      <c r="AMH2" s="216"/>
      <c r="AMI2" s="216"/>
      <c r="AMJ2" s="216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177950</v>
      </c>
      <c r="C3" s="9">
        <f>+HojaTICA!K4+HojaNICA!M4+HojaREVENTADO!K4+HojaPrimera!I4+HojaHonduras!K4+HojaDominicana!I4+HojaPANA!G4</f>
        <v>23100</v>
      </c>
      <c r="D3" s="9">
        <f>+HojaTICA!N4+HojaNICA!P4+HojaREVENTADO!O4+HojaPrimera!L4+HojaHonduras!N4+HojaDominicana!L4+HojaPANA!J4</f>
        <v>94500</v>
      </c>
      <c r="F3" s="10">
        <f t="shared" ref="F3:F27" si="0">+B3-C3-D3</f>
        <v>60350</v>
      </c>
      <c r="AMB3" s="215"/>
      <c r="AMC3" s="215"/>
      <c r="AMD3" s="215"/>
      <c r="AME3" s="215"/>
      <c r="AMF3" s="215"/>
      <c r="AMG3" s="215"/>
      <c r="AMH3" s="215"/>
      <c r="AMI3" s="215"/>
      <c r="AMJ3" s="215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193050</v>
      </c>
      <c r="C4" s="9">
        <f>+HojaTICA!K5+HojaNICA!M5+HojaREVENTADO!K5+HojaPrimera!I5+HojaHonduras!K5+HojaDominicana!I5+HojaPANA!G5</f>
        <v>25050</v>
      </c>
      <c r="D4" s="9">
        <f>+HojaTICA!N5+HojaNICA!P5+HojaREVENTADO!O5+HojaPrimera!L5+HojaHonduras!N5+HojaDominicana!L5+HojaPANA!J5</f>
        <v>105250</v>
      </c>
      <c r="F4" s="14">
        <f t="shared" si="0"/>
        <v>62750</v>
      </c>
      <c r="AMB4" s="215"/>
      <c r="AMC4" s="215"/>
      <c r="AMD4" s="215"/>
      <c r="AME4" s="215"/>
      <c r="AMF4" s="215"/>
      <c r="AMG4" s="215"/>
      <c r="AMH4" s="215"/>
      <c r="AMI4" s="215"/>
      <c r="AMJ4" s="215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5"/>
      <c r="AMC5" s="215"/>
      <c r="AMD5" s="215"/>
      <c r="AME5" s="215"/>
      <c r="AMF5" s="215"/>
      <c r="AMG5" s="215"/>
      <c r="AMH5" s="215"/>
      <c r="AMI5" s="215"/>
      <c r="AMJ5" s="215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8000</v>
      </c>
      <c r="C6" s="9">
        <f>+HojaTICA!K7+HojaNICA!M7+HojaREVENTADO!K7+HojaPrimera!I7+HojaHonduras!K7+HojaDominicana!I7+HojaPANA!G7</f>
        <v>950</v>
      </c>
      <c r="D6" s="9">
        <f>+HojaTICA!N7+HojaNICA!P7+HojaREVENTADO!O7+HojaPrimera!L7+HojaHonduras!N7+HojaDominicana!L7+HojaPANA!J7</f>
        <v>0</v>
      </c>
      <c r="F6" s="14">
        <f t="shared" si="0"/>
        <v>7050</v>
      </c>
      <c r="AMB6" s="215"/>
      <c r="AMC6" s="215"/>
      <c r="AMD6" s="215"/>
      <c r="AME6" s="215"/>
      <c r="AMF6" s="215"/>
      <c r="AMG6" s="215"/>
      <c r="AMH6" s="215"/>
      <c r="AMI6" s="215"/>
      <c r="AMJ6" s="215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412150</v>
      </c>
      <c r="C7" s="9">
        <f>+HojaTICA!K8+HojaNICA!M8+HojaREVENTADO!K8+HojaPrimera!I8+HojaHonduras!K8+HojaDominicana!I8+HojaPANA!G8</f>
        <v>49450</v>
      </c>
      <c r="D7" s="9">
        <f>+HojaTICA!N8+HojaNICA!P8+HojaREVENTADO!O8+HojaPrimera!L8+HojaHonduras!N8+HojaDominicana!L8+HojaPANA!J8</f>
        <v>394000</v>
      </c>
      <c r="F7" s="14">
        <f t="shared" si="0"/>
        <v>-31300</v>
      </c>
      <c r="AMB7" s="215"/>
      <c r="AMC7" s="215"/>
      <c r="AMD7" s="215"/>
      <c r="AME7" s="215"/>
      <c r="AMF7" s="215"/>
      <c r="AMG7" s="215"/>
      <c r="AMH7" s="215"/>
      <c r="AMI7" s="215"/>
      <c r="AMJ7" s="215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5"/>
      <c r="AMC8" s="215"/>
      <c r="AMD8" s="215"/>
      <c r="AME8" s="215"/>
      <c r="AMF8" s="215"/>
      <c r="AMG8" s="215"/>
      <c r="AMH8" s="215"/>
      <c r="AMI8" s="215"/>
      <c r="AMJ8" s="215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1281700</v>
      </c>
      <c r="C9" s="9">
        <f>+HojaTICA!K10+HojaNICA!M10+HojaREVENTADO!K10+HojaPrimera!I10+HojaHonduras!K10+HojaDominicana!I10+HojaPANA!G10</f>
        <v>152130</v>
      </c>
      <c r="D9" s="9">
        <f>+HojaTICA!N10+HojaNICA!P10+HojaREVENTADO!O10+HojaPrimera!L10+HojaHonduras!N10+HojaDominicana!L10+HojaPANA!J10</f>
        <v>1415000</v>
      </c>
      <c r="F9" s="14">
        <f t="shared" si="0"/>
        <v>-285430</v>
      </c>
      <c r="AMB9" s="215"/>
      <c r="AMC9" s="215"/>
      <c r="AMD9" s="215"/>
      <c r="AME9" s="215"/>
      <c r="AMF9" s="215"/>
      <c r="AMG9" s="215"/>
      <c r="AMH9" s="215"/>
      <c r="AMI9" s="215"/>
      <c r="AMJ9" s="215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27100</v>
      </c>
      <c r="C10" s="9">
        <f>+HojaTICA!K11+HojaNICA!M11+HojaREVENTADO!K11+HojaPrimera!I11+HojaHonduras!K11+HojaDominicana!I11+HojaPANA!G11</f>
        <v>3250</v>
      </c>
      <c r="D10" s="9">
        <f>+HojaTICA!N11+HojaNICA!P11+HojaREVENTADO!O11+HojaPrimera!L11+HojaHonduras!N11+HojaDominicana!L11+HojaPANA!J11</f>
        <v>0</v>
      </c>
      <c r="F10" s="14">
        <f t="shared" si="0"/>
        <v>23850</v>
      </c>
      <c r="AMB10" s="215"/>
      <c r="AMC10" s="215"/>
      <c r="AMD10" s="215"/>
      <c r="AME10" s="215"/>
      <c r="AMF10" s="215"/>
      <c r="AMG10" s="215"/>
      <c r="AMH10" s="215"/>
      <c r="AMI10" s="215"/>
      <c r="AMJ10" s="215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241450</v>
      </c>
      <c r="C11" s="9">
        <f>+HojaTICA!K12+HojaNICA!M12+HojaREVENTADO!K12+HojaPrimera!I12+HojaHonduras!K12+HojaDominicana!I12+HojaPANA!G12</f>
        <v>28720</v>
      </c>
      <c r="D11" s="9">
        <f>+HojaTICA!N12+HojaNICA!P12+HojaREVENTADO!O12+HojaPrimera!L12+HojaHonduras!N12+HojaDominicana!L12+HojaPANA!J12</f>
        <v>278500</v>
      </c>
      <c r="F11" s="14">
        <f t="shared" si="0"/>
        <v>-65770</v>
      </c>
      <c r="AMB11" s="215"/>
      <c r="AMC11" s="215"/>
      <c r="AMD11" s="215"/>
      <c r="AME11" s="215"/>
      <c r="AMF11" s="215"/>
      <c r="AMG11" s="215"/>
      <c r="AMH11" s="215"/>
      <c r="AMI11" s="215"/>
      <c r="AMJ11" s="215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141850</v>
      </c>
      <c r="C12" s="9">
        <f>+HojaTICA!K13+HojaNICA!M13+HojaREVENTADO!K13+HojaPrimera!I13+HojaHonduras!K13+HojaDominicana!I13+HojaPANA!G13</f>
        <v>17050</v>
      </c>
      <c r="D12" s="9">
        <f>+HojaTICA!N13+HojaNICA!P13+HojaREVENTADO!O13+HojaPrimera!L13+HojaHonduras!N13+HojaDominicana!L13+HojaPANA!J13</f>
        <v>114750</v>
      </c>
      <c r="F12" s="14">
        <f t="shared" si="0"/>
        <v>10050</v>
      </c>
      <c r="AMB12" s="215"/>
      <c r="AMC12" s="215"/>
      <c r="AMD12" s="215"/>
      <c r="AME12" s="215"/>
      <c r="AMF12" s="215"/>
      <c r="AMG12" s="215"/>
      <c r="AMH12" s="215"/>
      <c r="AMI12" s="215"/>
      <c r="AMJ12" s="215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104250</v>
      </c>
      <c r="C13" s="9">
        <f>+HojaTICA!K14+HojaNICA!M14+HojaREVENTADO!K14+HojaPrimera!I14+HojaHonduras!K14+HojaDominicana!I14+HojaPANA!G14</f>
        <v>15650</v>
      </c>
      <c r="D13" s="9">
        <f>+HojaTICA!N14+HojaNICA!P14+HojaREVENTADO!O14+HojaPrimera!L14+HojaHonduras!N14+HojaDominicana!L14+HojaPANA!J14</f>
        <v>112000</v>
      </c>
      <c r="F13" s="14">
        <f t="shared" si="0"/>
        <v>-23400</v>
      </c>
      <c r="AMB13" s="215"/>
      <c r="AMC13" s="215"/>
      <c r="AMD13" s="215"/>
      <c r="AME13" s="215"/>
      <c r="AMF13" s="215"/>
      <c r="AMG13" s="215"/>
      <c r="AMH13" s="215"/>
      <c r="AMI13" s="215"/>
      <c r="AMJ13" s="215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5"/>
      <c r="AMC14" s="215"/>
      <c r="AMD14" s="215"/>
      <c r="AME14" s="215"/>
      <c r="AMF14" s="215"/>
      <c r="AMG14" s="215"/>
      <c r="AMH14" s="215"/>
      <c r="AMI14" s="215"/>
      <c r="AMJ14" s="215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48100</v>
      </c>
      <c r="C15" s="9">
        <f>+HojaTICA!K16+HojaNICA!M16+HojaREVENTADO!K16+HojaPrimera!I16+HojaHonduras!K16+HojaDominicana!I16+HojaPANA!G16</f>
        <v>5800</v>
      </c>
      <c r="D15" s="9">
        <f>+HojaTICA!N16+HojaNICA!P16+HojaREVENTADO!O16+HojaPrimera!L16+HojaHonduras!N16+HojaDominicana!L16+HojaPANA!J16</f>
        <v>42500</v>
      </c>
      <c r="F15" s="14">
        <f t="shared" si="0"/>
        <v>-200</v>
      </c>
      <c r="AMB15" s="215"/>
      <c r="AMC15" s="215"/>
      <c r="AMD15" s="215"/>
      <c r="AME15" s="215"/>
      <c r="AMF15" s="215"/>
      <c r="AMG15" s="215"/>
      <c r="AMH15" s="215"/>
      <c r="AMI15" s="215"/>
      <c r="AMJ15" s="215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1451950</v>
      </c>
      <c r="C16" s="9">
        <f>+HojaTICA!K17+HojaNICA!M17+HojaREVENTADO!K17+HojaPrimera!I17+HojaHonduras!K17+HojaDominicana!I17+HojaPANA!G17</f>
        <v>171035</v>
      </c>
      <c r="D16" s="9">
        <f>+HojaTICA!N17+HojaNICA!P17+HojaREVENTADO!O17+HojaPrimera!L17+HojaHonduras!N17+HojaDominicana!L17+HojaPANA!J17</f>
        <v>1757500</v>
      </c>
      <c r="F16" s="14">
        <f t="shared" si="0"/>
        <v>-476585</v>
      </c>
      <c r="AMB16" s="215"/>
      <c r="AMC16" s="215"/>
      <c r="AMD16" s="215"/>
      <c r="AME16" s="215"/>
      <c r="AMF16" s="215"/>
      <c r="AMG16" s="215"/>
      <c r="AMH16" s="215"/>
      <c r="AMI16" s="215"/>
      <c r="AMJ16" s="215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522950</v>
      </c>
      <c r="C17" s="9">
        <f>+HojaTICA!K18+HojaNICA!M18+HojaREVENTADO!K18+HojaPrimera!I18+HojaHonduras!K18+HojaDominicana!I18+HojaPANA!G18</f>
        <v>61150</v>
      </c>
      <c r="D17" s="9">
        <f>+HojaTICA!N18+HojaNICA!P18+HojaREVENTADO!O18+HojaPrimera!L18+HojaHonduras!N18+HojaDominicana!L18+HojaPANA!J18</f>
        <v>823500</v>
      </c>
      <c r="F17" s="14">
        <f t="shared" si="0"/>
        <v>-361700</v>
      </c>
      <c r="AMB17" s="215"/>
      <c r="AMC17" s="215"/>
      <c r="AMD17" s="215"/>
      <c r="AME17" s="215"/>
      <c r="AMF17" s="215"/>
      <c r="AMG17" s="215"/>
      <c r="AMH17" s="215"/>
      <c r="AMI17" s="215"/>
      <c r="AMJ17" s="215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5"/>
      <c r="AMC18" s="215"/>
      <c r="AMD18" s="215"/>
      <c r="AME18" s="215"/>
      <c r="AMF18" s="215"/>
      <c r="AMG18" s="215"/>
      <c r="AMH18" s="215"/>
      <c r="AMI18" s="215"/>
      <c r="AMJ18" s="215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5"/>
      <c r="AMC19" s="215"/>
      <c r="AMD19" s="215"/>
      <c r="AME19" s="215"/>
      <c r="AMF19" s="215"/>
      <c r="AMG19" s="215"/>
      <c r="AMH19" s="215"/>
      <c r="AMI19" s="215"/>
      <c r="AMJ19" s="215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5"/>
      <c r="AMC20" s="215"/>
      <c r="AMD20" s="215"/>
      <c r="AME20" s="215"/>
      <c r="AMF20" s="215"/>
      <c r="AMG20" s="215"/>
      <c r="AMH20" s="215"/>
      <c r="AMI20" s="215"/>
      <c r="AMJ20" s="215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5"/>
      <c r="AMC21" s="215"/>
      <c r="AMD21" s="215"/>
      <c r="AME21" s="215"/>
      <c r="AMF21" s="215"/>
      <c r="AMG21" s="215"/>
      <c r="AMH21" s="215"/>
      <c r="AMI21" s="215"/>
      <c r="AMJ21" s="215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5"/>
      <c r="AMC22" s="215"/>
      <c r="AMD22" s="215"/>
      <c r="AME22" s="215"/>
      <c r="AMF22" s="215"/>
      <c r="AMG22" s="215"/>
      <c r="AMH22" s="215"/>
      <c r="AMI22" s="215"/>
      <c r="AMJ22" s="215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5"/>
      <c r="AMC23" s="215"/>
      <c r="AMD23" s="215"/>
      <c r="AME23" s="215"/>
      <c r="AMF23" s="215"/>
      <c r="AMG23" s="215"/>
      <c r="AMH23" s="215"/>
      <c r="AMI23" s="215"/>
      <c r="AMJ23" s="215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5"/>
      <c r="AMC24" s="215"/>
      <c r="AMD24" s="215"/>
      <c r="AME24" s="215"/>
      <c r="AMF24" s="215"/>
      <c r="AMG24" s="215"/>
      <c r="AMH24" s="215"/>
      <c r="AMI24" s="215"/>
      <c r="AMJ24" s="215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5"/>
      <c r="AMC25" s="215"/>
      <c r="AMD25" s="215"/>
      <c r="AME25" s="215"/>
      <c r="AMF25" s="215"/>
      <c r="AMG25" s="215"/>
      <c r="AMH25" s="215"/>
      <c r="AMI25" s="215"/>
      <c r="AMJ25" s="215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-13150</v>
      </c>
      <c r="C26" s="9">
        <f>+HojaTICA!K27+HojaNICA!M27+HojaREVENTADO!K27+HojaPrimera!I27+HojaHonduras!K27+HojaDominicana!I27+HojaPANA!G27</f>
        <v>-1315</v>
      </c>
      <c r="D26" s="9">
        <f>+HojaTICA!N27+HojaNICA!P27+HojaREVENTADO!O27+HojaPrimera!L27+HojaHonduras!N27+HojaDominicana!L27+HojaPANA!J27</f>
        <v>0</v>
      </c>
      <c r="F26" s="14">
        <f t="shared" si="0"/>
        <v>-11835</v>
      </c>
      <c r="AMB26" s="215"/>
      <c r="AMC26" s="215"/>
      <c r="AMD26" s="215"/>
      <c r="AME26" s="215"/>
      <c r="AMF26" s="215"/>
      <c r="AMG26" s="215"/>
      <c r="AMH26" s="215"/>
      <c r="AMI26" s="215"/>
      <c r="AMJ26" s="215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5"/>
      <c r="AMC27" s="215"/>
      <c r="AMD27" s="215"/>
      <c r="AME27" s="215"/>
      <c r="AMF27" s="215"/>
      <c r="AMG27" s="215"/>
      <c r="AMH27" s="215"/>
      <c r="AMI27" s="215"/>
      <c r="AMJ27" s="215"/>
    </row>
    <row r="28" spans="1:1024" ht="16.5" customHeight="1" thickBot="1" x14ac:dyDescent="0.4">
      <c r="A28" s="16" t="s">
        <v>5</v>
      </c>
      <c r="B28" s="19">
        <f t="shared" ref="B28:D28" si="1">SUM(B3:B27)</f>
        <v>4597350</v>
      </c>
      <c r="C28" s="17">
        <f t="shared" si="1"/>
        <v>552020</v>
      </c>
      <c r="D28" s="18">
        <f t="shared" si="1"/>
        <v>5137500</v>
      </c>
      <c r="F28" s="20">
        <f>SUM(F3:F27)</f>
        <v>-1092170</v>
      </c>
      <c r="AMB28" s="215"/>
      <c r="AMC28" s="215"/>
      <c r="AMD28" s="215"/>
      <c r="AME28" s="215"/>
      <c r="AMF28" s="215"/>
      <c r="AMG28" s="215"/>
      <c r="AMH28" s="215"/>
      <c r="AMI28" s="215"/>
      <c r="AMJ28" s="215"/>
    </row>
    <row r="29" spans="1:1024" x14ac:dyDescent="0.35">
      <c r="AMB29" s="215"/>
      <c r="AMC29" s="215"/>
      <c r="AMD29" s="215"/>
      <c r="AME29" s="215"/>
      <c r="AMF29" s="215"/>
      <c r="AMG29" s="215"/>
      <c r="AMH29" s="215"/>
      <c r="AMI29" s="215"/>
      <c r="AMJ29" s="215"/>
    </row>
    <row r="30" spans="1:1024" x14ac:dyDescent="0.35">
      <c r="AMB30" s="215"/>
      <c r="AMC30" s="215"/>
      <c r="AMD30" s="215"/>
      <c r="AME30" s="215"/>
      <c r="AMF30" s="215"/>
      <c r="AMG30" s="215"/>
      <c r="AMH30" s="215"/>
      <c r="AMI30" s="215"/>
      <c r="AMJ30" s="215"/>
    </row>
    <row r="31" spans="1:1024" x14ac:dyDescent="0.35">
      <c r="AMB31" s="215"/>
      <c r="AMC31" s="215"/>
      <c r="AMD31" s="215"/>
      <c r="AME31" s="215"/>
      <c r="AMF31" s="215"/>
      <c r="AMG31" s="215"/>
      <c r="AMH31" s="215"/>
      <c r="AMI31" s="215"/>
      <c r="AMJ31" s="215"/>
    </row>
    <row r="32" spans="1:1024" ht="18" x14ac:dyDescent="0.4">
      <c r="B32" s="98"/>
      <c r="C32" s="98"/>
      <c r="D32" s="98"/>
      <c r="E32" s="98"/>
      <c r="F32" s="97"/>
      <c r="AMB32" s="215"/>
      <c r="AMC32" s="215"/>
      <c r="AMD32" s="215"/>
      <c r="AME32" s="215"/>
      <c r="AMF32" s="215"/>
      <c r="AMG32" s="215"/>
      <c r="AMH32" s="215"/>
      <c r="AMI32" s="215"/>
      <c r="AMJ32" s="215"/>
    </row>
    <row r="33" spans="1016:1024" x14ac:dyDescent="0.35">
      <c r="AMB33" s="215"/>
      <c r="AMC33" s="215"/>
      <c r="AMD33" s="215"/>
      <c r="AME33" s="215"/>
      <c r="AMF33" s="215"/>
      <c r="AMG33" s="215"/>
      <c r="AMH33" s="215"/>
      <c r="AMI33" s="215"/>
      <c r="AMJ33" s="215"/>
    </row>
    <row r="34" spans="1016:1024" x14ac:dyDescent="0.35">
      <c r="AMB34" s="215"/>
      <c r="AMC34" s="215"/>
      <c r="AMD34" s="215"/>
      <c r="AME34" s="215"/>
      <c r="AMF34" s="215"/>
      <c r="AMG34" s="215"/>
      <c r="AMH34" s="215"/>
      <c r="AMI34" s="215"/>
      <c r="AMJ34" s="215"/>
    </row>
    <row r="35" spans="1016:1024" x14ac:dyDescent="0.35">
      <c r="AMB35" s="215"/>
      <c r="AMC35" s="215"/>
      <c r="AMD35" s="215"/>
      <c r="AME35" s="215"/>
      <c r="AMF35" s="215"/>
      <c r="AMG35" s="215"/>
      <c r="AMH35" s="215"/>
      <c r="AMI35" s="215"/>
      <c r="AMJ35" s="215"/>
    </row>
    <row r="36" spans="1016:1024" x14ac:dyDescent="0.35">
      <c r="AMB36" s="215"/>
      <c r="AMC36" s="215"/>
      <c r="AMD36" s="215"/>
      <c r="AME36" s="215"/>
      <c r="AMF36" s="215"/>
      <c r="AMG36" s="215"/>
      <c r="AMH36" s="215"/>
      <c r="AMI36" s="215"/>
      <c r="AMJ36" s="215"/>
    </row>
    <row r="37" spans="1016:1024" x14ac:dyDescent="0.35">
      <c r="AMB37" s="215"/>
      <c r="AMC37" s="215"/>
      <c r="AMD37" s="215"/>
      <c r="AME37" s="215"/>
      <c r="AMF37" s="215"/>
      <c r="AMG37" s="215"/>
      <c r="AMH37" s="215"/>
      <c r="AMI37" s="215"/>
      <c r="AMJ37" s="215"/>
    </row>
    <row r="38" spans="1016:1024" x14ac:dyDescent="0.35">
      <c r="AMB38" s="215"/>
      <c r="AMC38" s="215"/>
      <c r="AMD38" s="215"/>
      <c r="AME38" s="215"/>
      <c r="AMF38" s="215"/>
      <c r="AMG38" s="215"/>
      <c r="AMH38" s="215"/>
      <c r="AMI38" s="215"/>
      <c r="AMJ38" s="215"/>
    </row>
    <row r="39" spans="1016:1024" x14ac:dyDescent="0.35">
      <c r="AMB39" s="215"/>
      <c r="AMC39" s="215"/>
      <c r="AMD39" s="215"/>
      <c r="AME39" s="215"/>
      <c r="AMF39" s="215"/>
      <c r="AMG39" s="215"/>
      <c r="AMH39" s="215"/>
      <c r="AMI39" s="215"/>
      <c r="AMJ39" s="215"/>
    </row>
    <row r="40" spans="1016:1024" x14ac:dyDescent="0.35">
      <c r="AMB40" s="215"/>
      <c r="AMC40" s="215"/>
      <c r="AMD40" s="215"/>
      <c r="AME40" s="215"/>
      <c r="AMF40" s="215"/>
      <c r="AMG40" s="215"/>
      <c r="AMH40" s="215"/>
      <c r="AMI40" s="215"/>
      <c r="AMJ40" s="215"/>
    </row>
    <row r="41" spans="1016:1024" x14ac:dyDescent="0.35">
      <c r="AMB41" s="215"/>
      <c r="AMC41" s="215"/>
      <c r="AMD41" s="215"/>
      <c r="AME41" s="215"/>
      <c r="AMF41" s="215"/>
      <c r="AMG41" s="215"/>
      <c r="AMH41" s="215"/>
      <c r="AMI41" s="215"/>
      <c r="AMJ41" s="215"/>
    </row>
    <row r="42" spans="1016:1024" x14ac:dyDescent="0.35">
      <c r="AMB42" s="215"/>
      <c r="AMC42" s="215"/>
      <c r="AMD42" s="215"/>
      <c r="AME42" s="215"/>
      <c r="AMF42" s="215"/>
      <c r="AMG42" s="215"/>
      <c r="AMH42" s="215"/>
      <c r="AMI42" s="215"/>
      <c r="AMJ42" s="215"/>
    </row>
    <row r="43" spans="1016:1024" x14ac:dyDescent="0.35">
      <c r="AMB43" s="215"/>
      <c r="AMC43" s="215"/>
      <c r="AMD43" s="215"/>
      <c r="AME43" s="215"/>
      <c r="AMF43" s="215"/>
      <c r="AMG43" s="215"/>
      <c r="AMH43" s="215"/>
      <c r="AMI43" s="215"/>
      <c r="AMJ43" s="215"/>
    </row>
    <row r="44" spans="1016:1024" x14ac:dyDescent="0.35">
      <c r="AMB44" s="215"/>
      <c r="AMC44" s="215"/>
      <c r="AMD44" s="215"/>
      <c r="AME44" s="215"/>
      <c r="AMF44" s="215"/>
      <c r="AMG44" s="215"/>
      <c r="AMH44" s="215"/>
      <c r="AMI44" s="215"/>
      <c r="AMJ44" s="215"/>
    </row>
    <row r="45" spans="1016:1024" x14ac:dyDescent="0.35">
      <c r="AMB45" s="215"/>
      <c r="AMC45" s="215"/>
      <c r="AMD45" s="215"/>
      <c r="AME45" s="215"/>
      <c r="AMF45" s="215"/>
      <c r="AMG45" s="215"/>
      <c r="AMH45" s="215"/>
      <c r="AMI45" s="215"/>
      <c r="AMJ45" s="215"/>
    </row>
    <row r="46" spans="1016:1024" x14ac:dyDescent="0.35">
      <c r="AMB46" s="215"/>
      <c r="AMC46" s="215"/>
      <c r="AMD46" s="215"/>
      <c r="AME46" s="215"/>
      <c r="AMF46" s="215"/>
      <c r="AMG46" s="215"/>
      <c r="AMH46" s="215"/>
      <c r="AMI46" s="215"/>
      <c r="AMJ46" s="215"/>
    </row>
    <row r="47" spans="1016:1024" x14ac:dyDescent="0.35">
      <c r="AMB47" s="215"/>
      <c r="AMC47" s="215"/>
      <c r="AMD47" s="215"/>
      <c r="AME47" s="215"/>
      <c r="AMF47" s="215"/>
      <c r="AMG47" s="215"/>
      <c r="AMH47" s="215"/>
      <c r="AMI47" s="215"/>
      <c r="AMJ47" s="215"/>
    </row>
    <row r="48" spans="1016:1024" x14ac:dyDescent="0.35">
      <c r="AMB48" s="215"/>
      <c r="AMC48" s="215"/>
      <c r="AMD48" s="215"/>
      <c r="AME48" s="215"/>
      <c r="AMF48" s="215"/>
      <c r="AMG48" s="215"/>
      <c r="AMH48" s="215"/>
      <c r="AMI48" s="215"/>
      <c r="AMJ48" s="215"/>
    </row>
    <row r="49" spans="1016:1024" x14ac:dyDescent="0.35">
      <c r="AMB49" s="215"/>
      <c r="AMC49" s="215"/>
      <c r="AMD49" s="215"/>
      <c r="AME49" s="215"/>
      <c r="AMF49" s="215"/>
      <c r="AMG49" s="215"/>
      <c r="AMH49" s="215"/>
      <c r="AMI49" s="215"/>
      <c r="AMJ49" s="215"/>
    </row>
    <row r="50" spans="1016:1024" x14ac:dyDescent="0.35">
      <c r="AMB50" s="215"/>
      <c r="AMC50" s="215"/>
      <c r="AMD50" s="215"/>
      <c r="AME50" s="215"/>
      <c r="AMF50" s="215"/>
      <c r="AMG50" s="215"/>
      <c r="AMH50" s="215"/>
      <c r="AMI50" s="215"/>
      <c r="AMJ50" s="215"/>
    </row>
    <row r="51" spans="1016:1024" x14ac:dyDescent="0.35">
      <c r="AMB51" s="215"/>
      <c r="AMC51" s="215"/>
      <c r="AMD51" s="215"/>
      <c r="AME51" s="215"/>
      <c r="AMF51" s="215"/>
      <c r="AMG51" s="215"/>
      <c r="AMH51" s="215"/>
      <c r="AMI51" s="215"/>
      <c r="AMJ51" s="215"/>
    </row>
    <row r="52" spans="1016:1024" x14ac:dyDescent="0.35">
      <c r="AMB52" s="215"/>
      <c r="AMC52" s="215"/>
      <c r="AMD52" s="215"/>
      <c r="AME52" s="215"/>
      <c r="AMF52" s="215"/>
      <c r="AMG52" s="215"/>
      <c r="AMH52" s="215"/>
      <c r="AMI52" s="215"/>
      <c r="AMJ52" s="215"/>
    </row>
    <row r="53" spans="1016:1024" x14ac:dyDescent="0.35">
      <c r="AMB53" s="215"/>
      <c r="AMC53" s="215"/>
      <c r="AMD53" s="215"/>
      <c r="AME53" s="215"/>
      <c r="AMF53" s="215"/>
      <c r="AMG53" s="215"/>
      <c r="AMH53" s="215"/>
      <c r="AMI53" s="215"/>
      <c r="AMJ53" s="215"/>
    </row>
    <row r="54" spans="1016:1024" x14ac:dyDescent="0.35">
      <c r="AMB54" s="215"/>
      <c r="AMC54" s="215"/>
      <c r="AMD54" s="215"/>
      <c r="AME54" s="215"/>
      <c r="AMF54" s="215"/>
      <c r="AMG54" s="215"/>
      <c r="AMH54" s="215"/>
      <c r="AMI54" s="215"/>
      <c r="AMJ54" s="215"/>
    </row>
    <row r="55" spans="1016:1024" x14ac:dyDescent="0.35">
      <c r="AMB55" s="215"/>
      <c r="AMC55" s="215"/>
      <c r="AMD55" s="215"/>
      <c r="AME55" s="215"/>
      <c r="AMF55" s="215"/>
      <c r="AMG55" s="215"/>
      <c r="AMH55" s="215"/>
      <c r="AMI55" s="215"/>
      <c r="AMJ55" s="215"/>
    </row>
    <row r="56" spans="1016:1024" x14ac:dyDescent="0.35">
      <c r="AMB56" s="215"/>
      <c r="AMC56" s="215"/>
      <c r="AMD56" s="215"/>
      <c r="AME56" s="215"/>
      <c r="AMF56" s="215"/>
      <c r="AMG56" s="215"/>
      <c r="AMH56" s="215"/>
      <c r="AMI56" s="215"/>
      <c r="AMJ56" s="215"/>
    </row>
    <row r="57" spans="1016:1024" x14ac:dyDescent="0.35">
      <c r="AMB57" s="215"/>
      <c r="AMC57" s="215"/>
      <c r="AMD57" s="215"/>
      <c r="AME57" s="215"/>
      <c r="AMF57" s="215"/>
      <c r="AMG57" s="215"/>
      <c r="AMH57" s="215"/>
      <c r="AMI57" s="215"/>
      <c r="AMJ57" s="215"/>
    </row>
    <row r="58" spans="1016:1024" x14ac:dyDescent="0.35">
      <c r="AMB58" s="215"/>
      <c r="AMC58" s="215"/>
      <c r="AMD58" s="215"/>
      <c r="AME58" s="215"/>
      <c r="AMF58" s="215"/>
      <c r="AMG58" s="215"/>
      <c r="AMH58" s="215"/>
      <c r="AMI58" s="215"/>
      <c r="AMJ58" s="215"/>
    </row>
    <row r="59" spans="1016:1024" x14ac:dyDescent="0.35">
      <c r="AMB59" s="215"/>
      <c r="AMC59" s="215"/>
      <c r="AMD59" s="215"/>
      <c r="AME59" s="215"/>
      <c r="AMF59" s="215"/>
      <c r="AMG59" s="215"/>
      <c r="AMH59" s="215"/>
      <c r="AMI59" s="215"/>
      <c r="AMJ59" s="215"/>
    </row>
    <row r="60" spans="1016:1024" x14ac:dyDescent="0.35">
      <c r="AMB60" s="215"/>
      <c r="AMC60" s="215"/>
      <c r="AMD60" s="215"/>
      <c r="AME60" s="215"/>
      <c r="AMF60" s="215"/>
      <c r="AMG60" s="215"/>
      <c r="AMH60" s="215"/>
      <c r="AMI60" s="215"/>
      <c r="AMJ60" s="215"/>
    </row>
    <row r="61" spans="1016:1024" x14ac:dyDescent="0.35">
      <c r="AMB61" s="215"/>
      <c r="AMC61" s="215"/>
      <c r="AMD61" s="215"/>
      <c r="AME61" s="215"/>
      <c r="AMF61" s="215"/>
      <c r="AMG61" s="215"/>
      <c r="AMH61" s="215"/>
      <c r="AMI61" s="215"/>
      <c r="AMJ61" s="215"/>
    </row>
    <row r="62" spans="1016:1024" x14ac:dyDescent="0.35">
      <c r="AMB62" s="215"/>
      <c r="AMC62" s="215"/>
      <c r="AMD62" s="215"/>
      <c r="AME62" s="215"/>
      <c r="AMF62" s="215"/>
      <c r="AMG62" s="215"/>
      <c r="AMH62" s="215"/>
      <c r="AMI62" s="215"/>
      <c r="AMJ62" s="215"/>
    </row>
    <row r="63" spans="1016:1024" x14ac:dyDescent="0.35">
      <c r="AMB63" s="215"/>
      <c r="AMC63" s="215"/>
      <c r="AMD63" s="215"/>
      <c r="AME63" s="215"/>
      <c r="AMF63" s="215"/>
      <c r="AMG63" s="215"/>
      <c r="AMH63" s="215"/>
      <c r="AMI63" s="215"/>
      <c r="AMJ63" s="215"/>
    </row>
    <row r="64" spans="1016:1024" x14ac:dyDescent="0.35">
      <c r="AMB64" s="215"/>
      <c r="AMC64" s="215"/>
      <c r="AMD64" s="215"/>
      <c r="AME64" s="215"/>
      <c r="AMF64" s="215"/>
      <c r="AMG64" s="215"/>
      <c r="AMH64" s="215"/>
      <c r="AMI64" s="215"/>
      <c r="AMJ64" s="215"/>
    </row>
    <row r="65" spans="1016:1024" x14ac:dyDescent="0.35">
      <c r="AMB65" s="215"/>
      <c r="AMC65" s="215"/>
      <c r="AMD65" s="215"/>
      <c r="AME65" s="215"/>
      <c r="AMF65" s="215"/>
      <c r="AMG65" s="215"/>
      <c r="AMH65" s="215"/>
      <c r="AMI65" s="215"/>
      <c r="AMJ65" s="215"/>
    </row>
    <row r="66" spans="1016:1024" x14ac:dyDescent="0.35">
      <c r="AMB66" s="215"/>
      <c r="AMC66" s="215"/>
      <c r="AMD66" s="215"/>
      <c r="AME66" s="215"/>
      <c r="AMF66" s="215"/>
      <c r="AMG66" s="215"/>
      <c r="AMH66" s="215"/>
      <c r="AMI66" s="215"/>
      <c r="AMJ66" s="215"/>
    </row>
    <row r="67" spans="1016:1024" x14ac:dyDescent="0.35">
      <c r="AMB67" s="215"/>
      <c r="AMC67" s="215"/>
      <c r="AMD67" s="215"/>
      <c r="AME67" s="215"/>
      <c r="AMF67" s="215"/>
      <c r="AMG67" s="215"/>
      <c r="AMH67" s="215"/>
      <c r="AMI67" s="215"/>
      <c r="AMJ67" s="215"/>
    </row>
    <row r="68" spans="1016:1024" x14ac:dyDescent="0.35">
      <c r="AMB68" s="215"/>
      <c r="AMC68" s="215"/>
      <c r="AMD68" s="215"/>
      <c r="AME68" s="215"/>
      <c r="AMF68" s="215"/>
      <c r="AMG68" s="215"/>
      <c r="AMH68" s="215"/>
      <c r="AMI68" s="215"/>
      <c r="AMJ68" s="215"/>
    </row>
    <row r="69" spans="1016:1024" x14ac:dyDescent="0.35">
      <c r="AMB69" s="215"/>
      <c r="AMC69" s="215"/>
      <c r="AMD69" s="215"/>
      <c r="AME69" s="215"/>
      <c r="AMF69" s="215"/>
      <c r="AMG69" s="215"/>
      <c r="AMH69" s="215"/>
      <c r="AMI69" s="215"/>
      <c r="AMJ69" s="215"/>
    </row>
    <row r="70" spans="1016:1024" x14ac:dyDescent="0.35">
      <c r="AMB70" s="215"/>
      <c r="AMC70" s="215"/>
      <c r="AMD70" s="215"/>
      <c r="AME70" s="215"/>
      <c r="AMF70" s="215"/>
      <c r="AMG70" s="215"/>
      <c r="AMH70" s="215"/>
      <c r="AMI70" s="215"/>
      <c r="AMJ70" s="215"/>
    </row>
    <row r="71" spans="1016:1024" x14ac:dyDescent="0.35">
      <c r="AMB71" s="215"/>
      <c r="AMC71" s="215"/>
      <c r="AMD71" s="215"/>
      <c r="AME71" s="215"/>
      <c r="AMF71" s="215"/>
      <c r="AMG71" s="215"/>
      <c r="AMH71" s="215"/>
      <c r="AMI71" s="215"/>
      <c r="AMJ71" s="215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8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64</v>
      </c>
      <c r="C5" s="133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 t="s">
        <v>159</v>
      </c>
      <c r="C7" s="133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20</v>
      </c>
      <c r="C9" s="133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58</v>
      </c>
      <c r="C11" s="133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60</v>
      </c>
      <c r="C13" s="133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 t="s">
        <v>160</v>
      </c>
      <c r="C15" s="133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Roja</v>
      </c>
      <c r="C16" s="136"/>
      <c r="D16" s="137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3">
        <v>63</v>
      </c>
      <c r="C17" s="133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24</v>
      </c>
      <c r="C19" s="133">
        <v>20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72</v>
      </c>
      <c r="C20" s="163">
        <v>64</v>
      </c>
      <c r="D20" s="166">
        <v>73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64" t="s">
        <v>160</v>
      </c>
      <c r="C21" s="164">
        <v>68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 t="str">
        <f>DigitaTICA!C2</f>
        <v>06</v>
      </c>
      <c r="D2" s="268"/>
      <c r="E2" s="267">
        <f>DigitaTICA!E2</f>
        <v>58</v>
      </c>
      <c r="F2" s="268"/>
      <c r="G2" s="267" t="str">
        <f>DigitaTICA!G2</f>
        <v>01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50350</v>
      </c>
      <c r="D4" s="30">
        <f>IF(Vendedor1!$E$7="",0,Vendedor1!$E$7)</f>
        <v>0</v>
      </c>
      <c r="E4" s="180">
        <f>IF(Vendedor1!$C$11="",0,Vendedor1!$C$11)</f>
        <v>23350</v>
      </c>
      <c r="F4" s="30">
        <f>IF(Vendedor1!$E$11="",0,Vendedor1!$E$11)</f>
        <v>0</v>
      </c>
      <c r="G4" s="180">
        <f>IF(Vendedor1!$C$15="",0,Vendedor1!$C$15)</f>
        <v>56350</v>
      </c>
      <c r="H4" s="30">
        <f>IF(Vendedor1!$E$15="",0,Vendedor1!$E$15)</f>
        <v>500</v>
      </c>
      <c r="J4" s="42">
        <f t="shared" ref="J4:J7" si="0">+C4+E4+G4</f>
        <v>130050</v>
      </c>
      <c r="K4" s="41">
        <f>MROUND(J4*Vendedor1!J$9,50)</f>
        <v>16900</v>
      </c>
      <c r="L4" s="42">
        <f t="shared" ref="L4:L7" si="1">+D4+F4+H4</f>
        <v>500</v>
      </c>
      <c r="M4" s="42">
        <f t="shared" ref="M4:M7" si="2">+L4*85</f>
        <v>42500</v>
      </c>
      <c r="N4" s="42">
        <f>Vendedor1!$F$7+Vendedor1!$F$11+Vendedor1!$F$15</f>
        <v>42500</v>
      </c>
      <c r="P4" s="42">
        <f t="shared" ref="P4:P7" si="3">+J4-K4-N4</f>
        <v>70650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51600</v>
      </c>
      <c r="D5" s="30">
        <f>IF(Vendedor2!$E$7="",0,Vendedor2!$E$7)</f>
        <v>300</v>
      </c>
      <c r="E5" s="180">
        <f>IF(Vendedor2!$C$11="",0,Vendedor2!$C$11)</f>
        <v>35300</v>
      </c>
      <c r="F5" s="30">
        <f>IF(Vendedor2!$E$11="",0,Vendedor2!$E$11)</f>
        <v>500</v>
      </c>
      <c r="G5" s="180">
        <f>IF(Vendedor2!$C$15="",0,Vendedor2!$C$15)</f>
        <v>60850</v>
      </c>
      <c r="H5" s="30">
        <f>IF(Vendedor2!$E$15="",0,Vendedor2!$E$15)</f>
        <v>250</v>
      </c>
      <c r="J5" s="42">
        <f t="shared" si="0"/>
        <v>147750</v>
      </c>
      <c r="K5" s="41">
        <f>MROUND(J5*Vendedor2!J$9,50)</f>
        <v>19200</v>
      </c>
      <c r="L5" s="42">
        <f t="shared" si="1"/>
        <v>1050</v>
      </c>
      <c r="M5" s="42">
        <f t="shared" si="2"/>
        <v>89250</v>
      </c>
      <c r="N5" s="42">
        <f>Vendedor2!$F$7+Vendedor2!$F$11+Vendedor2!$F$15</f>
        <v>89250</v>
      </c>
      <c r="P5" s="42">
        <f t="shared" si="3"/>
        <v>39300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8000</v>
      </c>
      <c r="H7" s="30">
        <f>IF(Vendedor4!$E$15="",0,Vendedor4!$E$15)</f>
        <v>0</v>
      </c>
      <c r="J7" s="42">
        <f t="shared" si="0"/>
        <v>8000</v>
      </c>
      <c r="K7" s="41">
        <f>MROUND(J7*Vendedor4!J$9,50)</f>
        <v>950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7050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69650</v>
      </c>
      <c r="D8" s="30">
        <f>IF(Vendedor5!$E$7="",0,Vendedor5!$E$7)</f>
        <v>700</v>
      </c>
      <c r="E8" s="180">
        <f>IF(Vendedor5!$C$11="",0,Vendedor5!$C$11)</f>
        <v>58750</v>
      </c>
      <c r="F8" s="30">
        <f>IF(Vendedor5!$E$11="",0,Vendedor5!$E$11)</f>
        <v>150</v>
      </c>
      <c r="G8" s="180">
        <f>IF(Vendedor5!$C$15="",0,Vendedor5!$C$15)</f>
        <v>82150</v>
      </c>
      <c r="H8" s="30">
        <f>IF(Vendedor5!$E$15="",0,Vendedor5!$E$15)</f>
        <v>350</v>
      </c>
      <c r="J8" s="42">
        <f t="shared" ref="J8" si="4">+C8+E8+G8</f>
        <v>210550</v>
      </c>
      <c r="K8" s="41">
        <f>MROUND(J8*Vendedor5!J$11,50)</f>
        <v>25250</v>
      </c>
      <c r="L8" s="42">
        <f t="shared" ref="L8" si="5">+D8+F8+H8</f>
        <v>1200</v>
      </c>
      <c r="M8" s="42">
        <f t="shared" ref="M8" si="6">+L8*85</f>
        <v>102000</v>
      </c>
      <c r="N8" s="42">
        <f>Vendedor5!$F$7+Vendedor5!$F$11+Vendedor5!$F$15</f>
        <v>102000</v>
      </c>
      <c r="P8" s="42">
        <f t="shared" ref="P8" si="7">+J8-K8-N8</f>
        <v>83300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157150</v>
      </c>
      <c r="D10" s="30">
        <f>IF(Vendedor7!$E$7="",0,Vendedor7!$E$7)</f>
        <v>3150</v>
      </c>
      <c r="E10" s="180">
        <f>IF(Vendedor7!$C$11="",0,Vendedor7!$C$11)</f>
        <v>156700</v>
      </c>
      <c r="F10" s="30">
        <f>IF(Vendedor7!$E$11="",0,Vendedor7!$E$11)</f>
        <v>850</v>
      </c>
      <c r="G10" s="180">
        <f>IF(Vendedor7!$C$15="",0,Vendedor7!$C$15)</f>
        <v>190450</v>
      </c>
      <c r="H10" s="30">
        <f>IF(Vendedor7!$E$15="",0,Vendedor7!$E$15)</f>
        <v>3100</v>
      </c>
      <c r="J10" s="42">
        <f t="shared" si="8"/>
        <v>504300</v>
      </c>
      <c r="K10" s="41">
        <f>MROUND(J10*Vendedor7!J$14,50)</f>
        <v>60500</v>
      </c>
      <c r="L10" s="42">
        <f t="shared" si="9"/>
        <v>7100</v>
      </c>
      <c r="M10" s="42">
        <f t="shared" si="10"/>
        <v>603500</v>
      </c>
      <c r="N10" s="42">
        <f>Vendedor7!$F$7+Vendedor7!$F$11+Vendedor7!$F$15</f>
        <v>603500</v>
      </c>
      <c r="P10" s="42">
        <f t="shared" si="11"/>
        <v>-159700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15500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11600</v>
      </c>
      <c r="H11" s="30">
        <f>IF(Vendedor8!$E$15="",0,Vendedor8!$E$15)</f>
        <v>0</v>
      </c>
      <c r="J11" s="42">
        <f t="shared" si="8"/>
        <v>27100</v>
      </c>
      <c r="K11" s="41">
        <f>MROUND(J11*Vendedor8!J$11,50)</f>
        <v>3250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23850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31900</v>
      </c>
      <c r="D12" s="30">
        <f>IF(Vendedor9!$E$7="",0,Vendedor9!$E$7)</f>
        <v>500</v>
      </c>
      <c r="E12" s="180">
        <f>IF(Vendedor9!$C$11="",0,Vendedor9!$C$11)</f>
        <v>36100</v>
      </c>
      <c r="F12" s="30">
        <f>IF(Vendedor9!$E$11="",0,Vendedor9!$E$11)</f>
        <v>0</v>
      </c>
      <c r="G12" s="180">
        <f>IF(Vendedor9!$C$15="",0,Vendedor9!$C$15)</f>
        <v>17550</v>
      </c>
      <c r="H12" s="30">
        <f>IF(Vendedor9!$E$15="",0,Vendedor9!$E$15)</f>
        <v>300</v>
      </c>
      <c r="J12" s="42">
        <f t="shared" si="8"/>
        <v>85550</v>
      </c>
      <c r="K12" s="41">
        <f>MROUND(J12*Vendedor9!J$11,50)</f>
        <v>10250</v>
      </c>
      <c r="L12" s="42">
        <f t="shared" si="9"/>
        <v>800</v>
      </c>
      <c r="M12" s="42">
        <f t="shared" si="10"/>
        <v>68000</v>
      </c>
      <c r="N12" s="42">
        <f>Vendedor9!$F$7+Vendedor9!$F$11+Vendedor9!$F$15</f>
        <v>68000</v>
      </c>
      <c r="P12" s="42">
        <f t="shared" si="11"/>
        <v>7300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36000</v>
      </c>
      <c r="D13" s="30">
        <f>IF(Vendedor10!$E$7="",0,Vendedor10!$E$7)</f>
        <v>200</v>
      </c>
      <c r="E13" s="180">
        <f>IF(Vendedor10!$C$11="",0,Vendedor10!$C$11)</f>
        <v>20950</v>
      </c>
      <c r="F13" s="30">
        <f>IF(Vendedor10!$E$11="",0,Vendedor10!$E$11)</f>
        <v>0</v>
      </c>
      <c r="G13" s="180">
        <f>IF(Vendedor10!$C$15="",0,Vendedor10!$C$15)</f>
        <v>46700</v>
      </c>
      <c r="H13" s="30">
        <f>IF(Vendedor10!$E$15="",0,Vendedor10!$E$15)</f>
        <v>1150</v>
      </c>
      <c r="J13" s="42">
        <f t="shared" si="8"/>
        <v>103650</v>
      </c>
      <c r="K13" s="41">
        <f>MROUND(J13*Vendedor10!J$9,50)</f>
        <v>12450</v>
      </c>
      <c r="L13" s="42">
        <f t="shared" si="9"/>
        <v>1350</v>
      </c>
      <c r="M13" s="42">
        <f t="shared" si="10"/>
        <v>114750</v>
      </c>
      <c r="N13" s="42">
        <f>Vendedor10!$F$7+Vendedor10!$F$11+Vendedor10!$F$15</f>
        <v>114750</v>
      </c>
      <c r="P13" s="42">
        <f t="shared" si="11"/>
        <v>-23550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51650</v>
      </c>
      <c r="D14" s="30">
        <f>IF(Vendedor11!$E$7="",0,Vendedor11!$E$7)</f>
        <v>1100</v>
      </c>
      <c r="E14" s="180">
        <f>IF(Vendedor11!$C$11="",0,Vendedor11!$C$11)</f>
        <v>14900</v>
      </c>
      <c r="F14" s="30">
        <f>IF(Vendedor11!$E$11="",0,Vendedor11!$E$11)</f>
        <v>0</v>
      </c>
      <c r="G14" s="180">
        <f>IF(Vendedor11!$C$15="",0,Vendedor11!$C$15)</f>
        <v>37700</v>
      </c>
      <c r="H14" s="30">
        <f>IF(Vendedor11!$E$15="",0,Vendedor11!$E$15)</f>
        <v>300</v>
      </c>
      <c r="J14" s="42">
        <f t="shared" si="8"/>
        <v>104250</v>
      </c>
      <c r="K14" s="41">
        <f>MROUND(J14*Vendedor11!J$9,50)</f>
        <v>15650</v>
      </c>
      <c r="L14" s="42">
        <f t="shared" si="9"/>
        <v>1400</v>
      </c>
      <c r="M14" s="42">
        <f t="shared" si="10"/>
        <v>119000</v>
      </c>
      <c r="N14" s="42">
        <f>Vendedor11!$F$7+Vendedor11!$F$11+Vendedor11!$F$15</f>
        <v>112000</v>
      </c>
      <c r="P14" s="42">
        <f t="shared" si="11"/>
        <v>-23400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7500</v>
      </c>
      <c r="D16" s="30">
        <f>IF(Vendedor13!$E$7="",0,Vendedor13!$E$7)</f>
        <v>0</v>
      </c>
      <c r="E16" s="180">
        <f>IF(Vendedor13!$C$11="",0,Vendedor13!$C$11)</f>
        <v>10900</v>
      </c>
      <c r="F16" s="30">
        <f>IF(Vendedor13!$E$11="",0,Vendedor13!$E$11)</f>
        <v>0</v>
      </c>
      <c r="G16" s="180">
        <f>IF(Vendedor13!$C$15="",0,Vendedor13!$C$15)</f>
        <v>18650</v>
      </c>
      <c r="H16" s="30">
        <f>IF(Vendedor13!$E$15="",0,Vendedor13!$E$15)</f>
        <v>500</v>
      </c>
      <c r="J16" s="42">
        <f t="shared" si="8"/>
        <v>37050</v>
      </c>
      <c r="K16" s="41">
        <f>MROUND(J16*Vendedor13!J$11,50)</f>
        <v>4450</v>
      </c>
      <c r="L16" s="42">
        <f t="shared" si="9"/>
        <v>500</v>
      </c>
      <c r="M16" s="42">
        <f t="shared" si="10"/>
        <v>42500</v>
      </c>
      <c r="N16" s="42">
        <f>Vendedor13!$F$7+Vendedor13!$F$11+Vendedor13!$F$15</f>
        <v>42500</v>
      </c>
      <c r="P16" s="42">
        <f t="shared" si="11"/>
        <v>-9900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181850</v>
      </c>
      <c r="D17" s="30">
        <f>IF(Vendedor14!$E$7="",0,Vendedor14!$E$7)</f>
        <v>4200</v>
      </c>
      <c r="E17" s="180">
        <f>IF(Vendedor14!$C$11="",0,Vendedor14!$C$11)</f>
        <v>169700</v>
      </c>
      <c r="F17" s="30">
        <f>IF(Vendedor14!$E$11="",0,Vendedor14!$E$11)</f>
        <v>500</v>
      </c>
      <c r="G17" s="180">
        <f>IF(Vendedor14!$C$15="",0,Vendedor14!$C$15)</f>
        <v>232700</v>
      </c>
      <c r="H17" s="30">
        <f>IF(Vendedor14!$E$15="",0,Vendedor14!$E$15)</f>
        <v>2800</v>
      </c>
      <c r="J17" s="42">
        <f t="shared" si="8"/>
        <v>584250</v>
      </c>
      <c r="K17" s="41">
        <f>MROUND(J17*Vendedor14!J$15,50)</f>
        <v>70100</v>
      </c>
      <c r="L17" s="42">
        <f t="shared" si="9"/>
        <v>7500</v>
      </c>
      <c r="M17" s="42">
        <f t="shared" si="10"/>
        <v>637500</v>
      </c>
      <c r="N17" s="42">
        <f>Vendedor14!$F$7+Vendedor14!$F$11+Vendedor14!$F$15</f>
        <v>637500</v>
      </c>
      <c r="P17" s="42">
        <f t="shared" si="11"/>
        <v>-123350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66550</v>
      </c>
      <c r="D18" s="30">
        <f>IF(Vendedor15!$E$7="",0,Vendedor15!$E$7)</f>
        <v>2200</v>
      </c>
      <c r="E18" s="180">
        <f>IF(Vendedor15!$C$11="",0,Vendedor15!$C$11)</f>
        <v>38850</v>
      </c>
      <c r="F18" s="30">
        <f>IF(Vendedor15!$E$11="",0,Vendedor15!$E$11)</f>
        <v>150</v>
      </c>
      <c r="G18" s="180">
        <f>IF(Vendedor15!$C$15="",0,Vendedor15!$C$15)</f>
        <v>68000</v>
      </c>
      <c r="H18" s="30">
        <f>IF(Vendedor15!$E$15="",0,Vendedor15!$E$15)</f>
        <v>500</v>
      </c>
      <c r="J18" s="42">
        <f t="shared" ref="J18" si="12">+C18+E18+G18</f>
        <v>173400</v>
      </c>
      <c r="K18" s="41">
        <f>MROUND(J18*Vendedor15!J$15,50)</f>
        <v>20800</v>
      </c>
      <c r="L18" s="42">
        <f t="shared" ref="L18" si="13">+D18+F18+H18</f>
        <v>2850</v>
      </c>
      <c r="M18" s="42">
        <f t="shared" ref="M18" si="14">+L18*85</f>
        <v>242250</v>
      </c>
      <c r="N18" s="42">
        <f>Vendedor15!$F$7+Vendedor15!$F$11+Vendedor15!$F$15</f>
        <v>242250</v>
      </c>
      <c r="P18" s="42">
        <f t="shared" ref="P18" si="15">+J18-K18-N18</f>
        <v>-89650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719700</v>
      </c>
      <c r="D32" s="44">
        <f t="shared" si="16"/>
        <v>12350</v>
      </c>
      <c r="E32" s="43">
        <f t="shared" si="16"/>
        <v>565500</v>
      </c>
      <c r="F32" s="44">
        <f t="shared" si="16"/>
        <v>2150</v>
      </c>
      <c r="G32" s="43">
        <f t="shared" si="16"/>
        <v>830700</v>
      </c>
      <c r="H32" s="44">
        <f t="shared" si="16"/>
        <v>9750</v>
      </c>
      <c r="J32" s="96">
        <f>SUM(J4:J31)</f>
        <v>2115900</v>
      </c>
      <c r="K32" s="45">
        <f>SUM(K7:K31)</f>
        <v>223650</v>
      </c>
      <c r="L32" s="96">
        <f>SUM(L4:L31)</f>
        <v>24250</v>
      </c>
      <c r="M32" s="96">
        <f>SUM(M4:M31)</f>
        <v>2061250</v>
      </c>
      <c r="N32" s="96">
        <f>SUM(N4:N31)</f>
        <v>2054250</v>
      </c>
      <c r="P32" s="80">
        <f>SUM(P4:P31)</f>
        <v>-198100</v>
      </c>
    </row>
    <row r="33" spans="3:13" x14ac:dyDescent="0.35">
      <c r="D33" s="100">
        <f>+D32*85</f>
        <v>1049750</v>
      </c>
      <c r="F33" s="100">
        <f>+F32*85</f>
        <v>182750</v>
      </c>
      <c r="H33" s="100">
        <f>+H32*85</f>
        <v>828750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2115900</v>
      </c>
      <c r="E36" s="43">
        <f>+D36-J4-J5-J6</f>
        <v>1838100</v>
      </c>
      <c r="G36" s="102"/>
    </row>
    <row r="37" spans="3:13" x14ac:dyDescent="0.35">
      <c r="C37" s="47" t="s">
        <v>33</v>
      </c>
      <c r="D37" s="48">
        <f>D36*13%</f>
        <v>275067</v>
      </c>
      <c r="E37">
        <f>+D37-K4-K5-K6</f>
        <v>238967</v>
      </c>
      <c r="G37" s="101"/>
      <c r="H37" s="101"/>
    </row>
    <row r="38" spans="3:13" ht="15" thickBot="1" x14ac:dyDescent="0.4">
      <c r="C38" s="47" t="s">
        <v>30</v>
      </c>
      <c r="D38" s="30">
        <f>M32</f>
        <v>2061250</v>
      </c>
      <c r="G38" s="101"/>
      <c r="H38" s="101"/>
    </row>
    <row r="39" spans="3:13" ht="15" thickBot="1" x14ac:dyDescent="0.4">
      <c r="C39" s="49" t="s">
        <v>4</v>
      </c>
      <c r="D39" s="81">
        <f>+D36-D37-D38</f>
        <v>-220417</v>
      </c>
      <c r="F39" s="99">
        <f>+P32-D39</f>
        <v>22317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-220417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64</v>
      </c>
      <c r="D2" s="268"/>
      <c r="E2" s="267">
        <f>DigitaNICA!E2</f>
        <v>20</v>
      </c>
      <c r="F2" s="268"/>
      <c r="G2" s="267">
        <f>DigitaNICA!G2</f>
        <v>60</v>
      </c>
      <c r="H2" s="268"/>
      <c r="I2" s="267">
        <f>DigitaNICA!I2</f>
        <v>63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30500</v>
      </c>
      <c r="D4" s="79">
        <f>IF(Vendedor1!$E$5="",0,Vendedor1!$E$5)</f>
        <v>650</v>
      </c>
      <c r="E4" s="189">
        <f>IF(Vendedor1!$C$9="",0,Vendedor1!$C$9)</f>
        <v>7200</v>
      </c>
      <c r="F4" s="79">
        <f>IF(Vendedor1!$E$9="",0,Vendedor1!$E$9)</f>
        <v>0</v>
      </c>
      <c r="G4" s="189">
        <f>IF(Vendedor1!$C$13="",0,Vendedor1!$C$13)</f>
        <v>1900</v>
      </c>
      <c r="H4" s="79">
        <f>IF(Vendedor1!$E$13="",0,Vendedor1!$E$13)</f>
        <v>0</v>
      </c>
      <c r="I4" s="189">
        <f>IF(Vendedor1!$C$17="",0,Vendedor1!$C$17)</f>
        <v>4800</v>
      </c>
      <c r="J4" s="79">
        <f>IF(Vendedor1!$E$17="",0,Vendedor1!$E$17)</f>
        <v>0</v>
      </c>
      <c r="L4" s="42">
        <f t="shared" ref="L4:L7" si="0">C4+E4+G4+I4</f>
        <v>44400</v>
      </c>
      <c r="M4" s="41">
        <f>MROUND(L4*Vendedor1!J$10,50)</f>
        <v>5750</v>
      </c>
      <c r="N4" s="42">
        <f t="shared" ref="N4:N7" si="1">D4+F4+H4+J4</f>
        <v>650</v>
      </c>
      <c r="O4" s="41">
        <f>IFERROR(N4*85,0)</f>
        <v>55250</v>
      </c>
      <c r="P4" s="42">
        <f>Vendedor1!$F$5+Vendedor1!$F$9+Vendedor1!$F$13+Vendedor1!$F$17</f>
        <v>52000</v>
      </c>
      <c r="R4" s="41">
        <f t="shared" ref="R4:R7" si="2">+L4-M4-O4</f>
        <v>-16600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22400</v>
      </c>
      <c r="D5" s="30">
        <f>IF(Vendedor2!$E$5="",0,Vendedor2!$E$5)</f>
        <v>0</v>
      </c>
      <c r="E5" s="180">
        <f>IF(Vendedor2!$C$9="",0,Vendedor2!$C$9)</f>
        <v>8100</v>
      </c>
      <c r="F5" s="30">
        <f>IF(Vendedor2!$E$9="",0,Vendedor2!$E$9)</f>
        <v>0</v>
      </c>
      <c r="G5" s="180">
        <f>IF(Vendedor2!$C$13="",0,Vendedor2!$C$13)</f>
        <v>7500</v>
      </c>
      <c r="H5" s="30">
        <f>IF(Vendedor2!$E$13="",0,Vendedor2!$E$13)</f>
        <v>0</v>
      </c>
      <c r="I5" s="180">
        <f>IF(Vendedor2!$C$17="",0,Vendedor2!$C$17)</f>
        <v>2500</v>
      </c>
      <c r="J5" s="30">
        <f>IF(Vendedor2!$E$17="",0,Vendedor2!$E$17)</f>
        <v>0</v>
      </c>
      <c r="L5" s="42">
        <f t="shared" si="0"/>
        <v>40500</v>
      </c>
      <c r="M5" s="41">
        <f>MROUND(L5*Vendedor2!J$10,50)</f>
        <v>5250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35250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58550</v>
      </c>
      <c r="D8" s="30">
        <f>IF(Vendedor5!$E$5="",0,Vendedor5!$E$5)</f>
        <v>2000</v>
      </c>
      <c r="E8" s="180">
        <f>IF(Vendedor5!$C$9="",0,Vendedor5!$C$9)</f>
        <v>43100</v>
      </c>
      <c r="F8" s="30">
        <f>IF(Vendedor5!$E$9="",0,Vendedor5!$E$9)</f>
        <v>600</v>
      </c>
      <c r="G8" s="180">
        <f>IF(Vendedor5!$C$13="",0,Vendedor5!$C$13)</f>
        <v>11300</v>
      </c>
      <c r="H8" s="30">
        <f>IF(Vendedor5!$E$13="",0,Vendedor5!$E$13)</f>
        <v>0</v>
      </c>
      <c r="I8" s="180">
        <f>IF(Vendedor5!$C$17="",0,Vendedor5!$C$17)</f>
        <v>38650</v>
      </c>
      <c r="J8" s="30">
        <f>IF(Vendedor5!$E$17="",0,Vendedor5!$E$17)</f>
        <v>0</v>
      </c>
      <c r="L8" s="42">
        <f t="shared" ref="L8" si="4">C8+E8+G8+I8</f>
        <v>151600</v>
      </c>
      <c r="M8" s="41">
        <f>MROUND(L8*Vendedor5!J$12,50)</f>
        <v>18200</v>
      </c>
      <c r="N8" s="42">
        <f t="shared" ref="N8" si="5">D8+F8+H8+J8</f>
        <v>2600</v>
      </c>
      <c r="O8" s="41">
        <f t="shared" si="3"/>
        <v>221000</v>
      </c>
      <c r="P8" s="42">
        <f>Vendedor5!$F$5+Vendedor5!$F$9+Vendedor5!$F$13+Vendedor5!$F$17</f>
        <v>208000</v>
      </c>
      <c r="Q8">
        <v>17</v>
      </c>
      <c r="R8" s="41">
        <f t="shared" ref="R8" si="6">+L8-M8-O8</f>
        <v>-87600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145650</v>
      </c>
      <c r="D10" s="30">
        <f>IF(Vendedor7!$E$5="",0,Vendedor7!$E$5)</f>
        <v>0</v>
      </c>
      <c r="E10" s="180">
        <f>IF(Vendedor7!$C$9="",0,Vendedor7!$C$9)</f>
        <v>87650</v>
      </c>
      <c r="F10" s="30">
        <f>IF(Vendedor7!$E$9="",0,Vendedor7!$E$9)</f>
        <v>200</v>
      </c>
      <c r="G10" s="180">
        <f>IF(Vendedor7!$C$13="",0,Vendedor7!$C$13)</f>
        <v>62900</v>
      </c>
      <c r="H10" s="30">
        <f>IF(Vendedor7!$E$13="",0,Vendedor7!$E$13)</f>
        <v>0</v>
      </c>
      <c r="I10" s="180">
        <f>IF(Vendedor7!$C$17="",0,Vendedor7!$C$17)</f>
        <v>107700</v>
      </c>
      <c r="J10" s="30">
        <f>IF(Vendedor7!$E$17="",0,Vendedor7!$E$17)</f>
        <v>0</v>
      </c>
      <c r="L10" s="42">
        <f t="shared" si="7"/>
        <v>403900</v>
      </c>
      <c r="M10" s="41">
        <f>MROUND(L10*Vendedor7!J$15,50)</f>
        <v>48450</v>
      </c>
      <c r="N10" s="42">
        <f t="shared" ref="N10:N27" si="9">D10+F10+H10+J10</f>
        <v>200</v>
      </c>
      <c r="O10" s="41">
        <f t="shared" si="3"/>
        <v>17000</v>
      </c>
      <c r="P10" s="42">
        <f>Vendedor7!$F$5+Vendedor7!$F$9+Vendedor7!$F$13+Vendedor7!$F$17</f>
        <v>17000</v>
      </c>
      <c r="R10" s="41">
        <f t="shared" si="8"/>
        <v>338450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70600</v>
      </c>
      <c r="D12" s="30">
        <f>IF(Vendedor9!$E$5="",0,Vendedor9!$E$5)</f>
        <v>800</v>
      </c>
      <c r="E12" s="180">
        <f>IF(Vendedor9!$C$9="",0,Vendedor9!$C$9)</f>
        <v>28500</v>
      </c>
      <c r="F12" s="30">
        <f>IF(Vendedor9!$E$9="",0,Vendedor9!$E$9)</f>
        <v>500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99100</v>
      </c>
      <c r="M12" s="41">
        <f>MROUND(L12*Vendedor9!J$12,50)</f>
        <v>11900</v>
      </c>
      <c r="N12" s="42">
        <f t="shared" si="9"/>
        <v>1300</v>
      </c>
      <c r="O12" s="41">
        <f t="shared" si="3"/>
        <v>110500</v>
      </c>
      <c r="P12" s="42">
        <f>Vendedor9!$F$5+Vendedor9!$F$9+Vendedor9!$F$13+Vendedor9!$F$17</f>
        <v>110500</v>
      </c>
      <c r="R12" s="41">
        <f t="shared" si="8"/>
        <v>-23300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12700</v>
      </c>
      <c r="D13" s="30">
        <f>IF(Vendedor10!$E$5="",0,Vendedor10!$E$5)</f>
        <v>0</v>
      </c>
      <c r="E13" s="180">
        <f>IF(Vendedor10!$C$9="",0,Vendedor10!$C$9)</f>
        <v>17300</v>
      </c>
      <c r="F13" s="30">
        <f>IF(Vendedor10!$E$9="",0,Vendedor10!$E$9)</f>
        <v>0</v>
      </c>
      <c r="G13" s="180">
        <f>IF(Vendedor10!$C$13="",0,Vendedor10!$C$13)</f>
        <v>7200</v>
      </c>
      <c r="H13" s="30">
        <f>IF(Vendedor10!$E$13="",0,Vendedor10!$E$13)</f>
        <v>0</v>
      </c>
      <c r="I13" s="180">
        <f>IF(Vendedor10!$C$17="",0,Vendedor10!$C$17)</f>
        <v>1000</v>
      </c>
      <c r="J13" s="30">
        <f>IF(Vendedor10!$E$17="",0,Vendedor10!$E$17)</f>
        <v>0</v>
      </c>
      <c r="L13" s="42">
        <f t="shared" si="7"/>
        <v>38200</v>
      </c>
      <c r="M13" s="41">
        <f>MROUND(L13*Vendedor10!J$10,50)</f>
        <v>4600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33600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800</v>
      </c>
      <c r="D16" s="30">
        <f>IF(Vendedor13!$E$5="",0,Vendedor13!$E$5)</f>
        <v>0</v>
      </c>
      <c r="E16" s="180">
        <f>IF(Vendedor13!$C$9="",0,Vendedor13!$C$9)</f>
        <v>2900</v>
      </c>
      <c r="F16" s="30">
        <f>IF(Vendedor13!$E$9="",0,Vendedor13!$E$9)</f>
        <v>0</v>
      </c>
      <c r="G16" s="180">
        <f>IF(Vendedor13!$C$13="",0,Vendedor13!$C$13)</f>
        <v>2000</v>
      </c>
      <c r="H16" s="30">
        <f>IF(Vendedor13!$E$13="",0,Vendedor13!$E$13)</f>
        <v>0</v>
      </c>
      <c r="I16" s="180">
        <f>IF(Vendedor13!$C$17="",0,Vendedor13!$C$17)</f>
        <v>4150</v>
      </c>
      <c r="J16" s="30">
        <f>IF(Vendedor13!$E$17="",0,Vendedor13!$E$17)</f>
        <v>0</v>
      </c>
      <c r="L16" s="42">
        <f t="shared" si="7"/>
        <v>9850</v>
      </c>
      <c r="M16" s="41">
        <f>MROUND(L16*Vendedor13!J$12,50)</f>
        <v>1200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8650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90850</v>
      </c>
      <c r="D17" s="30">
        <f>IF(Vendedor14!$E$5="",0,Vendedor14!$E$5)</f>
        <v>450</v>
      </c>
      <c r="E17" s="180">
        <f>IF(Vendedor14!$C$9="",0,Vendedor14!$C$9)</f>
        <v>164250</v>
      </c>
      <c r="F17" s="30">
        <f>IF(Vendedor14!$E$9="",0,Vendedor14!$E$9)</f>
        <v>1250</v>
      </c>
      <c r="G17" s="180">
        <f>IF(Vendedor14!$C$13="",0,Vendedor14!$C$13)</f>
        <v>64500</v>
      </c>
      <c r="H17" s="30">
        <f>IF(Vendedor14!$E$13="",0,Vendedor14!$E$13)</f>
        <v>1350</v>
      </c>
      <c r="I17" s="180">
        <f>IF(Vendedor14!$C$17="",0,Vendedor14!$C$17)</f>
        <v>187400</v>
      </c>
      <c r="J17" s="30">
        <f>IF(Vendedor14!$E$17="",0,Vendedor14!$E$17)</f>
        <v>950</v>
      </c>
      <c r="L17" s="42">
        <f>C17+E17+G17+I17</f>
        <v>507000</v>
      </c>
      <c r="M17" s="41">
        <f>MROUND(L17*Vendedor14!J$16,50)</f>
        <v>60850</v>
      </c>
      <c r="N17" s="42">
        <f t="shared" si="9"/>
        <v>4000</v>
      </c>
      <c r="O17" s="41">
        <f t="shared" si="3"/>
        <v>340000</v>
      </c>
      <c r="P17" s="42">
        <f>Vendedor14!$F$5+Vendedor14!$F$9+Vendedor14!$F$13+Vendedor14!$F$17</f>
        <v>340000</v>
      </c>
      <c r="R17" s="41">
        <f t="shared" si="8"/>
        <v>106150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52250</v>
      </c>
      <c r="D18" s="30">
        <f>IF(Vendedor15!$E$5="",0,Vendedor15!$E$5)</f>
        <v>0</v>
      </c>
      <c r="E18" s="180">
        <f>IF(Vendedor15!$C$9="",0,Vendedor15!$C$9)</f>
        <v>52800</v>
      </c>
      <c r="F18" s="30">
        <f>IF(Vendedor15!$E$9="",0,Vendedor15!$E$9)</f>
        <v>1500</v>
      </c>
      <c r="G18" s="180">
        <f>IF(Vendedor15!$C$13="",0,Vendedor15!$C$13)</f>
        <v>40750</v>
      </c>
      <c r="H18" s="30">
        <f>IF(Vendedor15!$E$13="",0,Vendedor15!$E$13)</f>
        <v>1500</v>
      </c>
      <c r="I18" s="180">
        <f>IF(Vendedor15!$C$17="",0,Vendedor15!$C$17)</f>
        <v>29700</v>
      </c>
      <c r="J18" s="30">
        <f>IF(Vendedor15!$E$17="",0,Vendedor15!$E$17)</f>
        <v>0</v>
      </c>
      <c r="L18" s="42">
        <f t="shared" ref="L18:L27" si="10">C18+E18+G18+I18</f>
        <v>175500</v>
      </c>
      <c r="M18" s="41">
        <f>MROUND(L18*Vendedor15!J$16,50)</f>
        <v>21050</v>
      </c>
      <c r="N18" s="42">
        <f t="shared" si="9"/>
        <v>3000</v>
      </c>
      <c r="O18" s="41">
        <f t="shared" si="3"/>
        <v>255000</v>
      </c>
      <c r="P18" s="42">
        <f>Vendedor15!$F$5+Vendedor15!$F$9+Vendedor15!$F$13+Vendedor15!$F$17</f>
        <v>255000</v>
      </c>
      <c r="R18" s="41">
        <f t="shared" si="8"/>
        <v>-100550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484300</v>
      </c>
      <c r="D32" s="44">
        <f t="shared" si="14"/>
        <v>3900</v>
      </c>
      <c r="E32" s="43">
        <f t="shared" si="14"/>
        <v>411800</v>
      </c>
      <c r="F32" s="44">
        <f t="shared" si="14"/>
        <v>4050</v>
      </c>
      <c r="G32" s="43">
        <f t="shared" si="14"/>
        <v>198050</v>
      </c>
      <c r="H32" s="44">
        <f t="shared" si="14"/>
        <v>2850</v>
      </c>
      <c r="I32" s="43">
        <f t="shared" si="14"/>
        <v>375900</v>
      </c>
      <c r="J32" s="44">
        <f t="shared" si="14"/>
        <v>950</v>
      </c>
      <c r="L32" s="45">
        <f>SUM(L4:L31)</f>
        <v>1470050</v>
      </c>
      <c r="M32" s="45">
        <f>SUM(M7:M31)</f>
        <v>166250</v>
      </c>
      <c r="N32" s="96">
        <f>SUM(N4:N31)</f>
        <v>11750</v>
      </c>
      <c r="O32" s="46">
        <f>SUM(O4:O31)</f>
        <v>998750</v>
      </c>
      <c r="P32" s="140">
        <f>SUM(P4:P31)</f>
        <v>982500</v>
      </c>
      <c r="R32" s="80">
        <f>SUM(R4:R31)</f>
        <v>294050</v>
      </c>
    </row>
    <row r="33" spans="3:15" x14ac:dyDescent="0.35">
      <c r="D33" s="121">
        <f>+D32*85</f>
        <v>331500</v>
      </c>
      <c r="F33" s="121">
        <f>+F32*85</f>
        <v>344250</v>
      </c>
      <c r="H33" s="121">
        <f>+H32*85</f>
        <v>242250</v>
      </c>
      <c r="J33" s="121">
        <f>+J32*85</f>
        <v>80750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1470050</v>
      </c>
      <c r="E36" s="43">
        <f>+D36-L4-L5-L6</f>
        <v>1385150</v>
      </c>
    </row>
    <row r="37" spans="3:15" x14ac:dyDescent="0.35">
      <c r="C37" s="47" t="s">
        <v>33</v>
      </c>
      <c r="D37" s="48">
        <f>D36*13%</f>
        <v>191106.5</v>
      </c>
      <c r="E37">
        <f>+D37-M4-M5-M6</f>
        <v>180106.5</v>
      </c>
    </row>
    <row r="38" spans="3:15" x14ac:dyDescent="0.35">
      <c r="C38" s="47" t="s">
        <v>30</v>
      </c>
      <c r="D38" s="30">
        <f>SUM(O4:O27)</f>
        <v>998750</v>
      </c>
      <c r="G38" s="101"/>
    </row>
    <row r="39" spans="3:15" ht="15" thickBot="1" x14ac:dyDescent="0.4">
      <c r="C39" s="49" t="s">
        <v>4</v>
      </c>
      <c r="D39" s="81">
        <f>+D36-D37-D38</f>
        <v>280193.5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280193.5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06 Roja</v>
      </c>
      <c r="D2" s="268"/>
      <c r="E2" s="267" t="str">
        <f>IF(E33=0,"",CONCATENATE(PREMIOS!$B11," ",PREMIOS!$B12))</f>
        <v>58 Roja</v>
      </c>
      <c r="F2" s="268"/>
      <c r="G2" s="267" t="str">
        <f>IF(G33=0,"",CONCATENATE(PREMIOS!$B15," ",PREMIOS!$B16))</f>
        <v>01 Roja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9">
        <f>IF(Vendedor1!$E$8="",0,Vendedor1!$E$8)</f>
        <v>0</v>
      </c>
      <c r="E4" s="189">
        <f>IF(Vendedor1!$C$12="",0,Vendedor1!$C$12)</f>
        <v>0</v>
      </c>
      <c r="F4" s="79">
        <f>IF(Vendedor1!$E$12="",0,Vendedor1!$E$12)</f>
        <v>0</v>
      </c>
      <c r="G4" s="189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31150</v>
      </c>
      <c r="D10" s="30">
        <f>IF(Vendedor7!$E$8="",0,Vendedor7!$E$8)</f>
        <v>1000</v>
      </c>
      <c r="E10" s="180">
        <f>IF(Vendedor7!$C$12="",0,Vendedor7!$C$12)</f>
        <v>19050</v>
      </c>
      <c r="F10" s="30">
        <f>IF(Vendedor7!$E$12="",0,Vendedor7!$E$12)</f>
        <v>0</v>
      </c>
      <c r="G10" s="180">
        <f>IF(Vendedor7!$C$16="",0,Vendedor7!$C$16)</f>
        <v>30600</v>
      </c>
      <c r="H10" s="30">
        <f>IF(Vendedor7!$E$16="",0,Vendedor7!$E$16)</f>
        <v>2250</v>
      </c>
      <c r="J10" s="42">
        <f t="shared" si="1"/>
        <v>80800</v>
      </c>
      <c r="K10" s="41">
        <f>J10*Vendedor7!J$16</f>
        <v>8080</v>
      </c>
      <c r="L10" s="42">
        <f t="shared" si="2"/>
        <v>3250</v>
      </c>
      <c r="M10" s="42">
        <f t="shared" si="3"/>
        <v>3250</v>
      </c>
      <c r="N10" s="42">
        <f t="shared" si="0"/>
        <v>715000</v>
      </c>
      <c r="O10" s="42">
        <f>Vendedor7!$F$8+Vendedor7!$F$12+Vendedor7!$F$16</f>
        <v>650000</v>
      </c>
      <c r="Q10" s="42">
        <f t="shared" si="4"/>
        <v>-577280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8400</v>
      </c>
      <c r="D12" s="30">
        <f>IF(Vendedor9!$E$8="",0,Vendedor9!$E$8)</f>
        <v>500</v>
      </c>
      <c r="E12" s="180">
        <f>IF(Vendedor9!$C$12="",0,Vendedor9!$C$12)</f>
        <v>2800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11200</v>
      </c>
      <c r="K12" s="41">
        <f>J12*Vendedor9!J$13</f>
        <v>1120</v>
      </c>
      <c r="L12" s="42">
        <f t="shared" si="2"/>
        <v>500</v>
      </c>
      <c r="M12" s="42">
        <f t="shared" si="3"/>
        <v>500</v>
      </c>
      <c r="N12" s="42">
        <f t="shared" si="0"/>
        <v>110000</v>
      </c>
      <c r="O12" s="42">
        <f>Vendedor9!$F$8+Vendedor9!$F$12+Vendedor9!$F$16</f>
        <v>100000</v>
      </c>
      <c r="Q12" s="42">
        <f t="shared" si="4"/>
        <v>-89920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56400</v>
      </c>
      <c r="D17" s="30">
        <f>IF(Vendedor14!$E$8="",0,Vendedor14!$E$8)</f>
        <v>2550</v>
      </c>
      <c r="E17" s="180">
        <f>IF(Vendedor14!$C$12="",0,Vendedor14!$C$12)</f>
        <v>40750</v>
      </c>
      <c r="F17" s="30">
        <f>IF(Vendedor14!$E$12="",0,Vendedor14!$E$12)</f>
        <v>100</v>
      </c>
      <c r="G17" s="180">
        <f>IF(Vendedor14!$C$16="",0,Vendedor14!$C$16)</f>
        <v>61700</v>
      </c>
      <c r="H17" s="30">
        <f>IF(Vendedor14!$E$16="",0,Vendedor14!$E$16)</f>
        <v>400</v>
      </c>
      <c r="J17" s="42">
        <f t="shared" si="1"/>
        <v>158850</v>
      </c>
      <c r="K17" s="41">
        <f>J17*Vendedor14!J$17</f>
        <v>15885</v>
      </c>
      <c r="L17" s="42">
        <f t="shared" si="2"/>
        <v>3050</v>
      </c>
      <c r="M17" s="42">
        <f t="shared" si="3"/>
        <v>3050</v>
      </c>
      <c r="N17" s="42">
        <f t="shared" si="0"/>
        <v>671000</v>
      </c>
      <c r="O17" s="42">
        <f>Vendedor14!$F$8+Vendedor14!$F$12+Vendedor14!$F$16</f>
        <v>610000</v>
      </c>
      <c r="Q17" s="42">
        <f t="shared" si="4"/>
        <v>-467035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33100</v>
      </c>
      <c r="D18" s="30">
        <f>IF(Vendedor15!$E$8="",0,Vendedor15!$E$8)</f>
        <v>600</v>
      </c>
      <c r="E18" s="180">
        <f>IF(Vendedor15!$C$12="",0,Vendedor15!$C$12)</f>
        <v>20600</v>
      </c>
      <c r="F18" s="30">
        <f>IF(Vendedor15!$E$12="",0,Vendedor15!$E$12)</f>
        <v>0</v>
      </c>
      <c r="G18" s="180">
        <f>IF(Vendedor15!$C$16="",0,Vendedor15!$C$16)</f>
        <v>27800</v>
      </c>
      <c r="H18" s="30">
        <f>IF(Vendedor15!$E$16="",0,Vendedor15!$E$16)</f>
        <v>500</v>
      </c>
      <c r="J18" s="42">
        <f t="shared" ref="J18" si="5">+C18+E18+G18</f>
        <v>81500</v>
      </c>
      <c r="K18" s="41">
        <f>J18*Vendedor15!J$17</f>
        <v>8150</v>
      </c>
      <c r="L18" s="42">
        <f t="shared" si="2"/>
        <v>1100</v>
      </c>
      <c r="M18" s="42">
        <f t="shared" si="3"/>
        <v>1100</v>
      </c>
      <c r="N18" s="42">
        <f t="shared" si="0"/>
        <v>242000</v>
      </c>
      <c r="O18" s="42">
        <f>Vendedor15!$F$8+Vendedor15!$F$12+Vendedor15!$F$16</f>
        <v>220000</v>
      </c>
      <c r="Q18" s="42">
        <f t="shared" si="4"/>
        <v>-146650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-13150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-13150</v>
      </c>
      <c r="K27" s="41">
        <f>J27*Vendedor24!J$11</f>
        <v>-1315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-11835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129050</v>
      </c>
      <c r="D33" s="44">
        <f>IF(PREMIOS!E8&lt;&gt;0,SUM(D4:D32),0)</f>
        <v>4650</v>
      </c>
      <c r="E33" s="43">
        <f>SUM(E4:E32)</f>
        <v>70050</v>
      </c>
      <c r="F33" s="44">
        <f>IF(PREMIOS!E12&lt;&gt;0,SUM(F4:F32),0)</f>
        <v>100</v>
      </c>
      <c r="G33" s="43">
        <f>SUM(G4:G32)</f>
        <v>120100</v>
      </c>
      <c r="H33" s="44">
        <f>IF(PREMIOS!E16&lt;&gt;0,SUM(H4:H32),0)</f>
        <v>3150</v>
      </c>
      <c r="J33" s="45">
        <f>SUM(J4:J32)</f>
        <v>319200</v>
      </c>
      <c r="K33" s="45">
        <f>SUM(K7:K32)</f>
        <v>31920</v>
      </c>
      <c r="L33" s="96">
        <f>SUM(L7:L32)</f>
        <v>7900</v>
      </c>
      <c r="M33" s="96">
        <f>SUM(M7:M32)</f>
        <v>7900</v>
      </c>
      <c r="N33" s="96">
        <f>SUM(N4:N27)</f>
        <v>1738000</v>
      </c>
      <c r="O33" s="96">
        <f>SUM(O4:O27)</f>
        <v>1580000</v>
      </c>
      <c r="Q33" s="80">
        <f>SUM(Q4:Q32)</f>
        <v>-1292720</v>
      </c>
    </row>
    <row r="34" spans="3:17" x14ac:dyDescent="0.35">
      <c r="D34" s="119">
        <f>IF(PREMIOS!$D8=PREMIOS!$J$10,D33*$G$38,IF(PREMIOS!$D8=PREMIOS!$J$11,D33*$F$38,IF(PREMIOS!$D8=PREMIOS!$J$12,0,"")))</f>
        <v>1023000</v>
      </c>
      <c r="F34" s="119">
        <f>IF(PREMIOS!$D12=PREMIOS!$J$10,F33*$G$38,IF(PREMIOS!$D12=PREMIOS!$J$11,F33*$F$38,IF(PREMIOS!$D12=PREMIOS!$J$12,0,"")))</f>
        <v>22000</v>
      </c>
      <c r="H34" s="119">
        <f>IF(PREMIOS!$D16=PREMIOS!$J$10,H33*$G$38,IF(PREMIOS!$D16=PREMIOS!$J$11,H33*$F$38,IF(PREMIOS!$D16=PREMIOS!$J$12,0,"")))</f>
        <v>693000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319200</v>
      </c>
      <c r="E37" s="43">
        <f>+D37-J4-J5-J6</f>
        <v>319200</v>
      </c>
      <c r="F37" s="275"/>
      <c r="G37" s="275"/>
    </row>
    <row r="38" spans="3:17" ht="15" thickBot="1" x14ac:dyDescent="0.4">
      <c r="C38" s="47" t="s">
        <v>33</v>
      </c>
      <c r="D38" s="30">
        <f>D37*10%</f>
        <v>31920</v>
      </c>
      <c r="E38" s="43">
        <f>+D38-K4-K5-K6</f>
        <v>31920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1738000</v>
      </c>
    </row>
    <row r="40" spans="3:17" ht="15" thickBot="1" x14ac:dyDescent="0.4">
      <c r="C40" s="49" t="s">
        <v>4</v>
      </c>
      <c r="D40" s="81">
        <f>+D37-D38-D39</f>
        <v>-1450720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3">
        <v>0</v>
      </c>
    </row>
    <row r="44" spans="3:17" ht="15" thickBot="1" x14ac:dyDescent="0.4">
      <c r="C44" s="109" t="s">
        <v>79</v>
      </c>
      <c r="D44" s="110">
        <f>+D42+D40+D43</f>
        <v>-1450720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24</v>
      </c>
      <c r="D2" s="268"/>
      <c r="E2" s="267">
        <f>DigitaPRIMERA!E2</f>
        <v>20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2900</v>
      </c>
      <c r="D4" s="79">
        <f>IF(Vendedor1!$E$19="",0,Vendedor1!$E$19)</f>
        <v>0</v>
      </c>
      <c r="E4" s="189">
        <f>IF(Vendedor1!$C$20="",0,Vendedor1!$C$20)</f>
        <v>600</v>
      </c>
      <c r="F4" s="79">
        <f>IF(Vendedor1!$E$20="",0,Vendedor1!$E$20)</f>
        <v>0</v>
      </c>
      <c r="H4" s="42">
        <f>+C4+E4</f>
        <v>3500</v>
      </c>
      <c r="I4" s="41">
        <f>MROUND(H4*Vendedor1!J$9,50)</f>
        <v>450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3050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4800</v>
      </c>
      <c r="D5" s="30">
        <f>IF(Vendedor2!$E$19="",0,Vendedor2!$E$19)</f>
        <v>200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4800</v>
      </c>
      <c r="I5" s="41">
        <f>MROUND(H5*Vendedor2!J$9,50)</f>
        <v>600</v>
      </c>
      <c r="J5" s="42">
        <f t="shared" ref="J5:J31" si="2">+D5+F5</f>
        <v>200</v>
      </c>
      <c r="K5" s="42">
        <f t="shared" ref="K5:K27" si="3">+J5*85</f>
        <v>17000</v>
      </c>
      <c r="L5" s="42">
        <f>Vendedor2!$F$19+Vendedor2!$F$20</f>
        <v>16000</v>
      </c>
      <c r="N5" s="42">
        <f t="shared" si="0"/>
        <v>-11800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4"/>
      <c r="E7" s="193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24700</v>
      </c>
      <c r="D8" s="30">
        <f>IF(Vendedor5!$E$19="",0,Vendedor5!$E$19)</f>
        <v>500</v>
      </c>
      <c r="E8" s="180">
        <f>IF(Vendedor5!$C$20="",0,Vendedor5!$C$20)</f>
        <v>25300</v>
      </c>
      <c r="F8" s="30">
        <f>IF(Vendedor5!$E$20="",0,Vendedor5!$E$20)</f>
        <v>550</v>
      </c>
      <c r="H8" s="134">
        <f t="shared" si="1"/>
        <v>50000</v>
      </c>
      <c r="I8" s="148">
        <f>MROUND(H8*Vendedor5!J$11,50)</f>
        <v>6000</v>
      </c>
      <c r="J8" s="134">
        <f t="shared" si="2"/>
        <v>1050</v>
      </c>
      <c r="K8" s="134">
        <f t="shared" si="3"/>
        <v>89250</v>
      </c>
      <c r="L8" s="134">
        <f>Vendedor5!$F$19+Vendedor5!$F$20</f>
        <v>84000</v>
      </c>
      <c r="M8" s="155"/>
      <c r="N8" s="134">
        <f t="shared" si="0"/>
        <v>-40000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8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5"/>
      <c r="N9" s="134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48800</v>
      </c>
      <c r="D10" s="30">
        <f>IF(Vendedor7!$E$19="",0,Vendedor7!$E$19)</f>
        <v>0</v>
      </c>
      <c r="E10" s="180">
        <f>IF(Vendedor7!$C$20="",0,Vendedor7!$C$20)</f>
        <v>33650</v>
      </c>
      <c r="F10" s="30">
        <f>IF(Vendedor7!$E$20="",0,Vendedor7!$E$20)</f>
        <v>500</v>
      </c>
      <c r="H10" s="42">
        <f t="shared" si="1"/>
        <v>82450</v>
      </c>
      <c r="I10" s="41">
        <f>MROUND(H10*Vendedor7!J$14,50)</f>
        <v>9900</v>
      </c>
      <c r="J10" s="42">
        <f t="shared" si="2"/>
        <v>500</v>
      </c>
      <c r="K10" s="42">
        <f t="shared" si="3"/>
        <v>42500</v>
      </c>
      <c r="L10" s="42">
        <f>Vendedor7!$F$19+Vendedor7!$F$20</f>
        <v>42500</v>
      </c>
      <c r="N10" s="42">
        <f t="shared" si="0"/>
        <v>30050</v>
      </c>
    </row>
    <row r="11" spans="1:14" x14ac:dyDescent="0.35">
      <c r="A11" s="202">
        <v>8</v>
      </c>
      <c r="B11" s="192" t="str">
        <f>Vendedor8!$B$2</f>
        <v>ISA</v>
      </c>
      <c r="C11" s="193"/>
      <c r="D11" s="84"/>
      <c r="E11" s="193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38500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4">
        <f t="shared" si="1"/>
        <v>38500</v>
      </c>
      <c r="I12" s="148">
        <f>MROUND(H12*Vendedor9!J$11,50)</f>
        <v>4600</v>
      </c>
      <c r="J12" s="134">
        <f t="shared" si="2"/>
        <v>0</v>
      </c>
      <c r="K12" s="134">
        <f t="shared" si="3"/>
        <v>0</v>
      </c>
      <c r="L12" s="134">
        <f>Vendedor9!$F$19+Vendedor9!$F$20</f>
        <v>0</v>
      </c>
      <c r="M12" s="155"/>
      <c r="N12" s="134">
        <f t="shared" si="0"/>
        <v>33900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4"/>
      <c r="E13" s="193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4"/>
      <c r="E14" s="193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4"/>
      <c r="E15" s="193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1200</v>
      </c>
      <c r="F16" s="30">
        <f>IF(Vendedor13!$E$20="",0,Vendedor13!$E$20)</f>
        <v>0</v>
      </c>
      <c r="H16" s="134">
        <f t="shared" si="1"/>
        <v>1200</v>
      </c>
      <c r="I16" s="148">
        <f>MROUND(H16*Vendedor13!J$11,50)</f>
        <v>150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5"/>
      <c r="N16" s="134">
        <f t="shared" si="0"/>
        <v>1050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66500</v>
      </c>
      <c r="D17" s="30">
        <f>IF(Vendedor14!$E$19="",0,Vendedor14!$E$19)</f>
        <v>600</v>
      </c>
      <c r="E17" s="180">
        <f>IF(Vendedor14!$C$20="",0,Vendedor14!$C$20)</f>
        <v>14750</v>
      </c>
      <c r="F17" s="30">
        <f>IF(Vendedor14!$E$20="",0,Vendedor14!$E$20)</f>
        <v>0</v>
      </c>
      <c r="H17" s="42">
        <f t="shared" si="1"/>
        <v>81250</v>
      </c>
      <c r="I17" s="41">
        <f>MROUND(H17*Vendedor14!J$15,50)</f>
        <v>9750</v>
      </c>
      <c r="J17" s="42">
        <f t="shared" si="2"/>
        <v>600</v>
      </c>
      <c r="K17" s="42">
        <f t="shared" si="3"/>
        <v>51000</v>
      </c>
      <c r="L17" s="42">
        <f>Vendedor14!$F$19+Vendedor14!$F$20</f>
        <v>51000</v>
      </c>
      <c r="N17" s="42">
        <f t="shared" si="0"/>
        <v>20500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40900</v>
      </c>
      <c r="D18" s="30">
        <f>IF(Vendedor15!$E$19="",0,Vendedor15!$E$19)</f>
        <v>350</v>
      </c>
      <c r="E18" s="180">
        <f>IF(Vendedor15!$C$20="",0,Vendedor15!$C$20)</f>
        <v>33500</v>
      </c>
      <c r="F18" s="30">
        <f>IF(Vendedor15!$E$20="",0,Vendedor15!$E$20)</f>
        <v>900</v>
      </c>
      <c r="H18" s="42">
        <f t="shared" si="1"/>
        <v>74400</v>
      </c>
      <c r="I18" s="41">
        <f>MROUND(H18*Vendedor15!J$15,50)</f>
        <v>8950</v>
      </c>
      <c r="J18" s="42">
        <f t="shared" si="2"/>
        <v>1250</v>
      </c>
      <c r="K18" s="42">
        <f t="shared" si="3"/>
        <v>106250</v>
      </c>
      <c r="L18" s="42">
        <f>Vendedor15!$F$19+Vendedor15!$F$20</f>
        <v>106250</v>
      </c>
      <c r="N18" s="42">
        <f t="shared" si="0"/>
        <v>-40800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227100</v>
      </c>
      <c r="D32" s="44">
        <f>SUM(D4:D31)</f>
        <v>1650</v>
      </c>
      <c r="E32" s="43">
        <f>SUM(E4:E31)</f>
        <v>109000</v>
      </c>
      <c r="F32" s="44">
        <f>SUM(F4:F31)</f>
        <v>1950</v>
      </c>
      <c r="H32" s="96">
        <f>SUM(H4:H31)</f>
        <v>336100</v>
      </c>
      <c r="I32" s="45">
        <f>SUM(I7:I31)</f>
        <v>39350</v>
      </c>
      <c r="J32" s="96"/>
      <c r="K32" s="96">
        <f>SUM(K4:K31)</f>
        <v>306000</v>
      </c>
      <c r="L32" s="96">
        <f>SUM(L4:L31)</f>
        <v>299750</v>
      </c>
      <c r="N32" s="80">
        <f>SUM(N4:N31)</f>
        <v>-4050</v>
      </c>
    </row>
    <row r="33" spans="3:6" x14ac:dyDescent="0.35">
      <c r="D33" s="100">
        <f>+D32*85</f>
        <v>140250</v>
      </c>
      <c r="F33" s="100">
        <f>+F32*85</f>
        <v>165750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336100</v>
      </c>
      <c r="E36" s="43">
        <f>+D36-H4-H5-H6</f>
        <v>327800</v>
      </c>
    </row>
    <row r="37" spans="3:6" x14ac:dyDescent="0.35">
      <c r="C37" s="47" t="s">
        <v>33</v>
      </c>
      <c r="D37" s="48">
        <f>D36*13%</f>
        <v>43693</v>
      </c>
      <c r="E37">
        <f>+D37-I4-I5-I6</f>
        <v>42643</v>
      </c>
    </row>
    <row r="38" spans="3:6" ht="15" thickBot="1" x14ac:dyDescent="0.4">
      <c r="C38" s="47" t="s">
        <v>30</v>
      </c>
      <c r="D38" s="30">
        <f>SUM(K4:K27)</f>
        <v>306000</v>
      </c>
    </row>
    <row r="39" spans="3:6" ht="15" thickBot="1" x14ac:dyDescent="0.4">
      <c r="C39" s="49" t="s">
        <v>4</v>
      </c>
      <c r="D39" s="81">
        <f>+D36-D37-D38</f>
        <v>-13593</v>
      </c>
      <c r="F39" s="99">
        <f>+N32-D39</f>
        <v>9543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-13593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E15" sqref="E15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72</v>
      </c>
      <c r="D2" s="268"/>
      <c r="E2" s="267">
        <f>DigitaHONDURAS!E2</f>
        <v>64</v>
      </c>
      <c r="F2" s="268"/>
      <c r="G2" s="267">
        <f>DigitaHONDURAS!G2</f>
        <v>73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4"/>
      <c r="E4" s="193"/>
      <c r="F4" s="84"/>
      <c r="G4" s="193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4"/>
      <c r="E5" s="193"/>
      <c r="F5" s="84"/>
      <c r="G5" s="193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4"/>
      <c r="E6" s="193"/>
      <c r="F6" s="84"/>
      <c r="G6" s="193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4"/>
      <c r="E7" s="193"/>
      <c r="F7" s="84"/>
      <c r="G7" s="193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4"/>
      <c r="E8" s="193"/>
      <c r="F8" s="84"/>
      <c r="G8" s="193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4"/>
      <c r="E9" s="193"/>
      <c r="F9" s="84"/>
      <c r="G9" s="193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67300</v>
      </c>
      <c r="D10" s="30">
        <f>IF(Vendedor7!$E$21="",0,Vendedor7!$E$21)</f>
        <v>100</v>
      </c>
      <c r="E10" s="180">
        <f>IF(Vendedor7!$C$22="",0,Vendedor7!$C$22)</f>
        <v>33400</v>
      </c>
      <c r="F10" s="30">
        <f>IF(Vendedor7!$E$22="",0,Vendedor7!$E$22)</f>
        <v>100</v>
      </c>
      <c r="G10" s="180">
        <f>IF(Vendedor7!$C$23="",0,Vendedor7!$C$23)</f>
        <v>24050</v>
      </c>
      <c r="H10" s="30">
        <f>IF(Vendedor7!$E$23="",0,Vendedor7!$E$23)</f>
        <v>0</v>
      </c>
      <c r="J10" s="42">
        <f t="shared" si="0"/>
        <v>124750</v>
      </c>
      <c r="K10" s="41">
        <f>MROUND(J10*Vendedor7!J$14,50)</f>
        <v>14950</v>
      </c>
      <c r="L10" s="42">
        <f t="shared" si="1"/>
        <v>200</v>
      </c>
      <c r="M10" s="42">
        <f t="shared" si="3"/>
        <v>17000</v>
      </c>
      <c r="N10" s="42">
        <f>Vendedor7!$F$21+Vendedor7!$F$22+Vendedor7!$F$23</f>
        <v>17000</v>
      </c>
      <c r="P10" s="42">
        <f t="shared" si="2"/>
        <v>92800</v>
      </c>
    </row>
    <row r="11" spans="1:16" x14ac:dyDescent="0.35">
      <c r="A11" s="41">
        <v>8</v>
      </c>
      <c r="B11" s="178" t="str">
        <f>Vendedor8!$B$2</f>
        <v>ISA</v>
      </c>
      <c r="C11" s="193"/>
      <c r="D11" s="84"/>
      <c r="E11" s="193"/>
      <c r="F11" s="84"/>
      <c r="G11" s="193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7100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7100</v>
      </c>
      <c r="K12" s="41">
        <f>MROUND(J12*Vendedor9!J$14,50)</f>
        <v>850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6250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4"/>
      <c r="E13" s="193"/>
      <c r="F13" s="84"/>
      <c r="G13" s="193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4"/>
      <c r="E14" s="193"/>
      <c r="F14" s="84"/>
      <c r="G14" s="193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4"/>
      <c r="E15" s="193"/>
      <c r="F15" s="84"/>
      <c r="G15" s="193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4">
        <f t="shared" si="0"/>
        <v>0</v>
      </c>
      <c r="K16" s="148">
        <f>MROUND(J16*Vendedor13!J$11,50)</f>
        <v>0</v>
      </c>
      <c r="L16" s="134">
        <f t="shared" si="1"/>
        <v>0</v>
      </c>
      <c r="M16" s="134">
        <f t="shared" si="3"/>
        <v>0</v>
      </c>
      <c r="N16" s="134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58300</v>
      </c>
      <c r="D17" s="30">
        <f>IF(Vendedor14!$E$21="",0,Vendedor14!$E$21)</f>
        <v>1400</v>
      </c>
      <c r="E17" s="180">
        <f>IF(Vendedor14!$C$22="",0,Vendedor14!$C$22)</f>
        <v>20100</v>
      </c>
      <c r="F17" s="30">
        <f>IF(Vendedor14!$E$22="",0,Vendedor14!$E$22)</f>
        <v>0</v>
      </c>
      <c r="G17" s="180">
        <f>IF(Vendedor14!$C$23="",0,Vendedor14!$C$23)</f>
        <v>42200</v>
      </c>
      <c r="H17" s="30">
        <f>IF(Vendedor14!$E$23="",0,Vendedor14!$E$23)</f>
        <v>0</v>
      </c>
      <c r="J17" s="42">
        <f t="shared" si="0"/>
        <v>120600</v>
      </c>
      <c r="K17" s="41">
        <f>MROUND(J17*Vendedor14!J$15,50)</f>
        <v>14450</v>
      </c>
      <c r="L17" s="42">
        <f t="shared" si="1"/>
        <v>1400</v>
      </c>
      <c r="M17" s="42">
        <f t="shared" si="3"/>
        <v>119000</v>
      </c>
      <c r="N17" s="42">
        <f>Vendedor14!$F$21+Vendedor14!$F$22+Vendedor14!$F$23</f>
        <v>119000</v>
      </c>
      <c r="P17" s="42">
        <f t="shared" si="2"/>
        <v>-12850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8000</v>
      </c>
      <c r="D18" s="30">
        <f>IF(Vendedor15!$E$21="",0,Vendedor15!$E$21)</f>
        <v>0</v>
      </c>
      <c r="E18" s="180">
        <f>IF(Vendedor15!$C$22="",0,Vendedor15!$C$22)</f>
        <v>6850</v>
      </c>
      <c r="F18" s="30">
        <f>IF(Vendedor15!$E$22="",0,Vendedor15!$E$22)</f>
        <v>0</v>
      </c>
      <c r="G18" s="180">
        <f>IF(Vendedor15!$C$23="",0,Vendedor15!$C$23)</f>
        <v>3300</v>
      </c>
      <c r="H18" s="30">
        <f>IF(Vendedor15!$E$23="",0,Vendedor15!$E$23)</f>
        <v>0</v>
      </c>
      <c r="J18" s="42">
        <f t="shared" si="0"/>
        <v>18150</v>
      </c>
      <c r="K18" s="41">
        <f>MROUND(J18*Vendedor15!J$15,50)</f>
        <v>2200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15950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140700</v>
      </c>
      <c r="D32" s="44">
        <f t="shared" si="8"/>
        <v>1500</v>
      </c>
      <c r="E32" s="43">
        <f t="shared" si="8"/>
        <v>60350</v>
      </c>
      <c r="F32" s="44">
        <f t="shared" si="8"/>
        <v>100</v>
      </c>
      <c r="G32" s="43">
        <f t="shared" si="8"/>
        <v>69550</v>
      </c>
      <c r="H32" s="44">
        <f t="shared" si="8"/>
        <v>0</v>
      </c>
      <c r="J32" s="96">
        <f>SUM(J4:J31)</f>
        <v>270600</v>
      </c>
      <c r="K32" s="45">
        <f>SUM(K7:K31)</f>
        <v>32450</v>
      </c>
      <c r="L32" s="96"/>
      <c r="M32" s="96">
        <f>SUM(M4:M31)</f>
        <v>136000</v>
      </c>
      <c r="N32" s="96">
        <f>SUM(N4:N31)</f>
        <v>136000</v>
      </c>
      <c r="P32" s="80">
        <f>SUM(P4:P31)</f>
        <v>102150</v>
      </c>
    </row>
    <row r="33" spans="3:8" x14ac:dyDescent="0.35">
      <c r="D33" s="100">
        <f>+D32*85</f>
        <v>127500</v>
      </c>
      <c r="F33" s="100">
        <f>+F32*85</f>
        <v>8500</v>
      </c>
      <c r="H33" s="100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270600</v>
      </c>
      <c r="E36" s="43">
        <f>+D36-J4-J5-J6</f>
        <v>270600</v>
      </c>
    </row>
    <row r="37" spans="3:8" x14ac:dyDescent="0.35">
      <c r="C37" s="47" t="s">
        <v>33</v>
      </c>
      <c r="D37" s="48">
        <f>D36*13%</f>
        <v>35178</v>
      </c>
      <c r="E37">
        <f>+D37-K4-K5-K6</f>
        <v>35178</v>
      </c>
    </row>
    <row r="38" spans="3:8" ht="15" thickBot="1" x14ac:dyDescent="0.4">
      <c r="C38" s="47" t="s">
        <v>30</v>
      </c>
      <c r="D38" s="30">
        <f>SUM(M4:M27)</f>
        <v>136000</v>
      </c>
      <c r="G38" s="101"/>
    </row>
    <row r="39" spans="3:8" ht="15" thickBot="1" x14ac:dyDescent="0.4">
      <c r="C39" s="49" t="s">
        <v>4</v>
      </c>
      <c r="D39" s="81">
        <f>+D36-D37-D38</f>
        <v>99422</v>
      </c>
      <c r="F39" s="99">
        <f>+P32-D39</f>
        <v>2728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99422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1" t="s">
        <v>114</v>
      </c>
      <c r="D1" s="272"/>
      <c r="E1" s="271" t="s">
        <v>115</v>
      </c>
      <c r="F1" s="272"/>
    </row>
    <row r="2" spans="1:14" x14ac:dyDescent="0.35">
      <c r="C2" s="267" t="str">
        <f>DigitaDOMINICANA!C2</f>
        <v>01</v>
      </c>
      <c r="D2" s="268"/>
      <c r="E2" s="267">
        <f>DigitaDOMINICANA!E2</f>
        <v>68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4"/>
      <c r="E5" s="193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4"/>
      <c r="E6" s="193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4"/>
      <c r="E7" s="193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4"/>
      <c r="E8" s="193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4"/>
      <c r="E9" s="193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41000</v>
      </c>
      <c r="D10" s="30">
        <f>IF(Vendedor7!$E$24="",0,Vendedor7!$E$24)</f>
        <v>1000</v>
      </c>
      <c r="E10" s="180">
        <f>IF(Vendedor7!$C$25="",0,Vendedor7!$C$25)</f>
        <v>44500</v>
      </c>
      <c r="F10" s="30">
        <f>IF(Vendedor7!$E$25="",0,Vendedor7!$E$25)</f>
        <v>0</v>
      </c>
      <c r="H10" s="42">
        <f t="shared" si="1"/>
        <v>85500</v>
      </c>
      <c r="I10" s="41">
        <f>MROUND(H10*Vendedor7!J$14,50)</f>
        <v>10250</v>
      </c>
      <c r="J10" s="42">
        <f t="shared" si="2"/>
        <v>1000</v>
      </c>
      <c r="K10" s="42">
        <f t="shared" si="3"/>
        <v>85000</v>
      </c>
      <c r="L10" s="42">
        <f>Vendedor7!$F$24+Vendedor7!$F$25</f>
        <v>85000</v>
      </c>
      <c r="N10" s="42">
        <f t="shared" si="0"/>
        <v>-9750</v>
      </c>
    </row>
    <row r="11" spans="1:14" x14ac:dyDescent="0.35">
      <c r="A11" s="202">
        <v>8</v>
      </c>
      <c r="B11" s="192" t="str">
        <f>Vendedor8!$B$2</f>
        <v>ISA</v>
      </c>
      <c r="C11" s="193"/>
      <c r="D11" s="84"/>
      <c r="E11" s="193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4"/>
      <c r="E12" s="193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4"/>
      <c r="E13" s="193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4"/>
      <c r="E14" s="193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4"/>
      <c r="E15" s="193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4"/>
      <c r="E16" s="193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41000</v>
      </c>
      <c r="D32" s="44">
        <f>SUM(D4:D31)</f>
        <v>1000</v>
      </c>
      <c r="E32" s="43">
        <f>SUM(E4:E31)</f>
        <v>44500</v>
      </c>
      <c r="F32" s="44">
        <f>SUM(F4:F31)</f>
        <v>0</v>
      </c>
      <c r="H32" s="96">
        <f>SUM(H4:H31)</f>
        <v>85500</v>
      </c>
      <c r="I32" s="45">
        <f>SUM(I7:I31)</f>
        <v>10250</v>
      </c>
      <c r="J32" s="96"/>
      <c r="K32" s="96">
        <f>SUM(K4:K31)</f>
        <v>85000</v>
      </c>
      <c r="L32" s="96">
        <f>SUM(L4:L31)</f>
        <v>85000</v>
      </c>
      <c r="N32" s="80">
        <f>SUM(N4:N31)</f>
        <v>-9750</v>
      </c>
    </row>
    <row r="33" spans="3:6" x14ac:dyDescent="0.35">
      <c r="D33" s="100">
        <f>+D32*85</f>
        <v>85000</v>
      </c>
      <c r="F33" s="100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85500</v>
      </c>
      <c r="E36" s="43">
        <f>+D36-H4-H5-H6</f>
        <v>85500</v>
      </c>
    </row>
    <row r="37" spans="3:6" x14ac:dyDescent="0.35">
      <c r="C37" s="47" t="s">
        <v>33</v>
      </c>
      <c r="D37" s="48">
        <f>D36*13%</f>
        <v>11115</v>
      </c>
      <c r="E37">
        <f>+D37-I4-I5-I6</f>
        <v>11115</v>
      </c>
    </row>
    <row r="38" spans="3:6" ht="15" thickBot="1" x14ac:dyDescent="0.4">
      <c r="C38" s="47" t="s">
        <v>30</v>
      </c>
      <c r="D38" s="30">
        <f>SUM(K4:K27)</f>
        <v>85000</v>
      </c>
    </row>
    <row r="39" spans="3:6" ht="15" thickBot="1" x14ac:dyDescent="0.4">
      <c r="C39" s="49" t="s">
        <v>4</v>
      </c>
      <c r="D39" s="81">
        <f>+D36-D37-D38</f>
        <v>-10615</v>
      </c>
      <c r="F39" s="99">
        <f>+N32-D39</f>
        <v>865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-10615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3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26-03-2026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1385150</v>
      </c>
      <c r="C4" s="157">
        <f>HojaNICA!M32</f>
        <v>166250</v>
      </c>
      <c r="D4" s="150">
        <f>HojaNICA!E37</f>
        <v>180106.5</v>
      </c>
      <c r="E4" s="150">
        <f>HojaNICA!P32</f>
        <v>982500</v>
      </c>
      <c r="F4" s="150">
        <f>HojaNICA!O32</f>
        <v>998750</v>
      </c>
      <c r="G4" s="151">
        <f t="shared" ref="G4:G10" si="0">+D4-C4+F4-E4</f>
        <v>30106.5</v>
      </c>
      <c r="H4" s="21"/>
      <c r="I4" s="182"/>
    </row>
    <row r="5" spans="1:9" x14ac:dyDescent="0.35">
      <c r="A5" s="28" t="s">
        <v>19</v>
      </c>
      <c r="B5" s="156">
        <f>HojaTICA!$E$36</f>
        <v>1838100</v>
      </c>
      <c r="C5" s="157">
        <f>HojaTICA!K32</f>
        <v>223650</v>
      </c>
      <c r="D5" s="150">
        <f>HojaTICA!E37</f>
        <v>238967</v>
      </c>
      <c r="E5" s="150">
        <f>HojaTICA!N32</f>
        <v>2054250</v>
      </c>
      <c r="F5" s="150">
        <f>HojaTICA!D38</f>
        <v>2061250</v>
      </c>
      <c r="G5" s="151">
        <f t="shared" si="0"/>
        <v>22317</v>
      </c>
      <c r="H5" s="21"/>
      <c r="I5" s="182"/>
    </row>
    <row r="6" spans="1:9" x14ac:dyDescent="0.35">
      <c r="A6" s="28" t="s">
        <v>125</v>
      </c>
      <c r="B6" s="156">
        <f>HojaREVENTADO!$E$37</f>
        <v>319200</v>
      </c>
      <c r="C6" s="157">
        <f>HojaREVENTADO!K33</f>
        <v>31920</v>
      </c>
      <c r="D6" s="150">
        <f>HojaREVENTADO!E38</f>
        <v>31920</v>
      </c>
      <c r="E6" s="150">
        <f>HojaREVENTADO!O33</f>
        <v>1580000</v>
      </c>
      <c r="F6" s="150">
        <f>HojaREVENTADO!N33</f>
        <v>1738000</v>
      </c>
      <c r="G6" s="151">
        <f t="shared" si="0"/>
        <v>158000</v>
      </c>
      <c r="H6" s="21"/>
      <c r="I6" s="182"/>
    </row>
    <row r="7" spans="1:9" x14ac:dyDescent="0.35">
      <c r="A7" s="28" t="s">
        <v>96</v>
      </c>
      <c r="B7" s="156">
        <f>HojaPrimera!$E$36</f>
        <v>327800</v>
      </c>
      <c r="C7" s="157">
        <f>HojaPrimera!I32</f>
        <v>39350</v>
      </c>
      <c r="D7" s="150">
        <f>HojaPrimera!E37</f>
        <v>42643</v>
      </c>
      <c r="E7" s="150">
        <f>HojaPrimera!L32</f>
        <v>299750</v>
      </c>
      <c r="F7" s="150">
        <f>HojaPrimera!K32</f>
        <v>306000</v>
      </c>
      <c r="G7" s="151">
        <f t="shared" si="0"/>
        <v>9543</v>
      </c>
      <c r="H7" s="21"/>
      <c r="I7" s="21"/>
    </row>
    <row r="8" spans="1:9" x14ac:dyDescent="0.35">
      <c r="A8" s="28" t="s">
        <v>104</v>
      </c>
      <c r="B8" s="156">
        <f>HojaHonduras!$E$36</f>
        <v>270600</v>
      </c>
      <c r="C8" s="157">
        <f>HojaHonduras!K32</f>
        <v>32450</v>
      </c>
      <c r="D8" s="150">
        <f>HojaHonduras!E37</f>
        <v>35178</v>
      </c>
      <c r="E8" s="150">
        <f>HojaHonduras!N32</f>
        <v>136000</v>
      </c>
      <c r="F8" s="150">
        <f>HojaHonduras!M32</f>
        <v>136000</v>
      </c>
      <c r="G8" s="151">
        <f t="shared" si="0"/>
        <v>2728</v>
      </c>
      <c r="H8" s="21"/>
      <c r="I8" s="21"/>
    </row>
    <row r="9" spans="1:9" x14ac:dyDescent="0.35">
      <c r="A9" s="28" t="s">
        <v>20</v>
      </c>
      <c r="B9" s="156">
        <f>HojaDominicana!$E$36</f>
        <v>85500</v>
      </c>
      <c r="C9" s="157">
        <f>HojaDominicana!I32</f>
        <v>10250</v>
      </c>
      <c r="D9" s="150">
        <f>HojaDominicana!E37</f>
        <v>11115</v>
      </c>
      <c r="E9" s="150">
        <f>HojaDominicana!L32</f>
        <v>85000</v>
      </c>
      <c r="F9" s="150">
        <f>HojaDominicana!K32</f>
        <v>85000</v>
      </c>
      <c r="G9" s="151">
        <f t="shared" si="0"/>
        <v>865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4226350</v>
      </c>
      <c r="C11" s="175">
        <f>SUM(C4:C10)</f>
        <v>503870</v>
      </c>
      <c r="D11" s="175">
        <f t="shared" ref="D11:F11" si="1">SUM(D4:D10)</f>
        <v>539929.5</v>
      </c>
      <c r="E11" s="175">
        <f t="shared" si="1"/>
        <v>5137500</v>
      </c>
      <c r="F11" s="175">
        <f t="shared" si="1"/>
        <v>5325000</v>
      </c>
      <c r="G11" s="176">
        <f>SUM(G4:G10)</f>
        <v>223559.5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188559.5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177950</v>
      </c>
      <c r="E16" s="157">
        <f>+Vendedor1!D21</f>
        <v>23133.5</v>
      </c>
      <c r="F16" s="158">
        <f>IF(D16&lt;&gt;0,15000,0)</f>
        <v>15000</v>
      </c>
      <c r="G16" s="151">
        <f>+E16-F16</f>
        <v>8133.5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193050</v>
      </c>
      <c r="E17" s="157">
        <f>+Vendedor2!D21</f>
        <v>25096.5</v>
      </c>
      <c r="F17" s="158">
        <f>IF(D17&lt;&gt;0,15000,0)</f>
        <v>15000</v>
      </c>
      <c r="G17" s="151">
        <f>+E17-F17</f>
        <v>10096.5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371000</v>
      </c>
      <c r="E19" s="159">
        <f>SUM(E16:E18)</f>
        <v>48230</v>
      </c>
      <c r="F19" s="160">
        <f>SUM(F16:F18)</f>
        <v>30000</v>
      </c>
      <c r="G19" s="161">
        <f>SUM(G16:G18)</f>
        <v>18230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13150</v>
      </c>
      <c r="E22" s="157">
        <f>-Vendedor24!D27</f>
        <v>1315</v>
      </c>
      <c r="F22" s="158">
        <f>-Vendedor24!F27</f>
        <v>0</v>
      </c>
      <c r="G22" s="151">
        <f>+D22-E22-F22</f>
        <v>11835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218624.5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1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26-03-2026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9" t="s">
        <v>144</v>
      </c>
      <c r="L4" s="154"/>
    </row>
    <row r="5" spans="1:15" ht="21" x14ac:dyDescent="0.5">
      <c r="A5" s="47" t="s">
        <v>37</v>
      </c>
      <c r="B5" s="150">
        <f>HojaNICA!D36</f>
        <v>1470050</v>
      </c>
      <c r="C5" s="150">
        <f>HojaNICA!D37</f>
        <v>191106.5</v>
      </c>
      <c r="D5" s="150">
        <f>HojaNICA!D38</f>
        <v>998750</v>
      </c>
      <c r="E5" s="150"/>
      <c r="F5" s="151">
        <f>+B5-C5-D5+E5</f>
        <v>280193.5</v>
      </c>
      <c r="H5" s="250" t="s">
        <v>105</v>
      </c>
      <c r="I5" s="244">
        <f ca="1">TODAY()-1</f>
        <v>46107</v>
      </c>
      <c r="O5" s="120"/>
    </row>
    <row r="6" spans="1:15" ht="15" thickBot="1" x14ac:dyDescent="0.4">
      <c r="A6" s="47" t="s">
        <v>36</v>
      </c>
      <c r="B6" s="150">
        <f>HojaTICA!D36</f>
        <v>2115900</v>
      </c>
      <c r="C6" s="150">
        <f>HojaTICA!D37</f>
        <v>275067</v>
      </c>
      <c r="D6" s="150">
        <f>HojaTICA!D38</f>
        <v>2061250</v>
      </c>
      <c r="E6" s="150"/>
      <c r="F6" s="151">
        <f t="shared" ref="F6:F11" si="0">+B6-C6-D6+E6</f>
        <v>-220417</v>
      </c>
      <c r="H6" s="257">
        <v>0</v>
      </c>
    </row>
    <row r="7" spans="1:15" ht="15" thickBot="1" x14ac:dyDescent="0.4">
      <c r="A7" s="47" t="s">
        <v>38</v>
      </c>
      <c r="B7" s="150">
        <f>HojaREVENTADO!D37</f>
        <v>319200</v>
      </c>
      <c r="C7" s="150">
        <f>HojaREVENTADO!D38</f>
        <v>31920</v>
      </c>
      <c r="D7" s="150">
        <f>HojaREVENTADO!D39</f>
        <v>1738000</v>
      </c>
      <c r="E7" s="150"/>
      <c r="F7" s="151">
        <f t="shared" si="0"/>
        <v>-1450720</v>
      </c>
    </row>
    <row r="8" spans="1:15" x14ac:dyDescent="0.35">
      <c r="A8" s="47" t="s">
        <v>96</v>
      </c>
      <c r="B8" s="150">
        <f>HojaPrimera!$D36</f>
        <v>336100</v>
      </c>
      <c r="C8" s="150">
        <f>HojaPrimera!$D37</f>
        <v>43693</v>
      </c>
      <c r="D8" s="150">
        <f>HojaPrimera!$D38</f>
        <v>306000</v>
      </c>
      <c r="E8" s="150"/>
      <c r="F8" s="151">
        <f t="shared" si="0"/>
        <v>-13593</v>
      </c>
      <c r="H8" s="250" t="s">
        <v>153</v>
      </c>
    </row>
    <row r="9" spans="1:15" ht="15" thickBot="1" x14ac:dyDescent="0.4">
      <c r="A9" s="47" t="s">
        <v>104</v>
      </c>
      <c r="B9" s="150">
        <f>HojaHonduras!$D36</f>
        <v>270600</v>
      </c>
      <c r="C9" s="150">
        <f>HojaHonduras!$D37</f>
        <v>35178</v>
      </c>
      <c r="D9" s="150">
        <f>HojaHonduras!$D38</f>
        <v>136000</v>
      </c>
      <c r="E9" s="150"/>
      <c r="F9" s="151">
        <f t="shared" si="0"/>
        <v>99422</v>
      </c>
      <c r="H9" s="251">
        <f>+K12-K10-H6</f>
        <v>-1315729.4999999995</v>
      </c>
    </row>
    <row r="10" spans="1:15" ht="15" thickBot="1" x14ac:dyDescent="0.4">
      <c r="A10" s="47" t="s">
        <v>20</v>
      </c>
      <c r="B10" s="150">
        <f>HojaDominicana!$D36</f>
        <v>85500</v>
      </c>
      <c r="C10" s="150">
        <f>HojaDominicana!$D37</f>
        <v>11115</v>
      </c>
      <c r="D10" s="150">
        <f>HojaDominicana!$D38</f>
        <v>85000</v>
      </c>
      <c r="E10" s="150"/>
      <c r="F10" s="151">
        <f t="shared" si="0"/>
        <v>-10615</v>
      </c>
      <c r="H10" s="154"/>
      <c r="J10" t="s">
        <v>148</v>
      </c>
      <c r="K10" s="253">
        <v>4471616.76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4">
        <f>+K10+F12+H6</f>
        <v>3155887.26</v>
      </c>
    </row>
    <row r="12" spans="1:15" ht="16" thickBot="1" x14ac:dyDescent="0.4">
      <c r="A12" s="144" t="s">
        <v>5</v>
      </c>
      <c r="B12" s="152">
        <f>SUM(B5:B11)</f>
        <v>4597350</v>
      </c>
      <c r="C12" s="152">
        <f>SUM(C5:C11)</f>
        <v>588079.5</v>
      </c>
      <c r="D12" s="152">
        <f>SUM(D5:D11)</f>
        <v>5325000</v>
      </c>
      <c r="E12" s="152"/>
      <c r="F12" s="256">
        <f>SUM(F5:F11)</f>
        <v>-1315729.5</v>
      </c>
      <c r="H12" s="252">
        <f>K12</f>
        <v>3155887.2600000002</v>
      </c>
      <c r="J12" t="s">
        <v>140</v>
      </c>
      <c r="K12" s="255">
        <f>-1475716.11+2962441.99-564825.2+2233986.58</f>
        <v>3155887.2600000002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130050</v>
      </c>
      <c r="K4" s="232">
        <f t="shared" ref="K4" si="0">D7+D11+D15</f>
        <v>16906.5</v>
      </c>
      <c r="L4" s="221">
        <f>F7+F11+F15</f>
        <v>42500</v>
      </c>
    </row>
    <row r="5" spans="1:12" x14ac:dyDescent="0.35">
      <c r="A5" s="28" t="s">
        <v>43</v>
      </c>
      <c r="B5" s="133">
        <f>IF(DigitaNICA!C2&lt;&gt;"",DigitaNICA!C2,"")</f>
        <v>64</v>
      </c>
      <c r="C5" s="29">
        <f>IF(DigitaNICA!C4&lt;&gt;"",DigitaNICA!C4,"")</f>
        <v>30500</v>
      </c>
      <c r="D5" s="42">
        <f>IF(C5="",0,C5*J$10)</f>
        <v>3965</v>
      </c>
      <c r="E5" s="29">
        <f>IF(DigitaNICA!D4&lt;&gt;"",DigitaNICA!D4,"")</f>
        <v>650</v>
      </c>
      <c r="F5" s="42">
        <f>IF(E5="",0,E5*PREMIOS!E5)</f>
        <v>52000</v>
      </c>
      <c r="G5" s="30">
        <f t="shared" ref="G5:G12" si="1">IF(OR(C5="",E5=""),0,C5-D5-F5)</f>
        <v>-25465</v>
      </c>
      <c r="I5" s="242" t="s">
        <v>37</v>
      </c>
      <c r="J5" s="222">
        <f>SUM(IF(C5="",0,C5),IF(C9="",0,C9),IF(C13="",0,C13),IF(C17="",0,C17))</f>
        <v>44400</v>
      </c>
      <c r="K5" s="226">
        <f t="shared" ref="K5" si="2">D5+D9+D13+D17</f>
        <v>5772</v>
      </c>
      <c r="L5" s="223">
        <f>F5+F9+F13+F17</f>
        <v>52000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3" t="s">
        <v>96</v>
      </c>
      <c r="J6" s="225">
        <f>SUM(IF(C19="",0,C19),IF(C20="",0,C20))</f>
        <v>3500</v>
      </c>
      <c r="K6" s="229">
        <f>D19+D20</f>
        <v>455</v>
      </c>
      <c r="L6" s="230">
        <f>F19+F20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06</v>
      </c>
      <c r="C7" s="29">
        <f>IF(DigitaTICA!C4&lt;&gt;"",DigitaTICA!C4,"")</f>
        <v>50350</v>
      </c>
      <c r="D7" s="42">
        <f>IF(C7="",0,C7*J$9)</f>
        <v>6545.5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43804.5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3">
        <f>IF(DigitaNICA!E2&lt;&gt;"",DigitaNICA!E2,"")</f>
        <v>20</v>
      </c>
      <c r="C9" s="29">
        <f>IF(DigitaNICA!E4&lt;&gt;"",DigitaNICA!E4,"")</f>
        <v>7200</v>
      </c>
      <c r="D9" s="42">
        <f>IF(C9="",0,C9*J$10)</f>
        <v>936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6264</v>
      </c>
      <c r="I9" s="77" t="s">
        <v>36</v>
      </c>
      <c r="J9" s="78">
        <v>0.13</v>
      </c>
      <c r="K9" s="79">
        <f>MROUND(D7+D11+D15,50)</f>
        <v>16900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5750</v>
      </c>
    </row>
    <row r="11" spans="1:12" x14ac:dyDescent="0.35">
      <c r="A11" s="28" t="s">
        <v>59</v>
      </c>
      <c r="B11" s="133">
        <f>IF(DigitaTICA!E2&lt;&gt;"",DigitaTICA!E2,"")</f>
        <v>58</v>
      </c>
      <c r="C11" s="29">
        <f>IF(DigitaTICA!E4&lt;&gt;"",DigitaTICA!E4,"")</f>
        <v>23350</v>
      </c>
      <c r="D11" s="42">
        <f>IF(C11="",0,C11*J$9)</f>
        <v>3035.5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20314.5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450</v>
      </c>
    </row>
    <row r="13" spans="1:12" x14ac:dyDescent="0.35">
      <c r="A13" s="28" t="s">
        <v>50</v>
      </c>
      <c r="B13" s="133">
        <f>IF(DigitaNICA!G2&lt;&gt;"",DigitaNICA!G2,"")</f>
        <v>60</v>
      </c>
      <c r="C13" s="29">
        <f>IF(DigitaNICA!G4&lt;&gt;"",DigitaNICA!G4,"")</f>
        <v>1900</v>
      </c>
      <c r="D13" s="42">
        <f>IF(C13="",0,C13*J$10)</f>
        <v>247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1653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01</v>
      </c>
      <c r="C15" s="29">
        <f>IF(DigitaTICA!G4&lt;&gt;"",DigitaTICA!G4,"")</f>
        <v>56350</v>
      </c>
      <c r="D15" s="42">
        <f>IF(C15="",0,C15*J$9)</f>
        <v>7325.5</v>
      </c>
      <c r="E15" s="29">
        <f>IF(DigitaTICA!H4&lt;&gt;"",DigitaTICA!H4,"")</f>
        <v>500</v>
      </c>
      <c r="F15" s="42">
        <f>IF(E15="",0,E15*PREMIOS!F15)</f>
        <v>42500</v>
      </c>
      <c r="G15" s="30">
        <f t="shared" si="3"/>
        <v>6524.5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63</v>
      </c>
      <c r="C17" s="29">
        <f>IF(DigitaNICA!I4&lt;&gt;"",DigitaNICA!I4,"")</f>
        <v>4800</v>
      </c>
      <c r="D17" s="42">
        <f>IF(C17="",0,C17*J$10)</f>
        <v>624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4176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24</v>
      </c>
      <c r="C19" s="29">
        <f>IF(DigitaPRIMERA!C4&lt;&gt;"",DigitaPRIMERA!C4,"")</f>
        <v>2900</v>
      </c>
      <c r="D19" s="42">
        <f>IF(C19="",0,C19*J$12)</f>
        <v>377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2523</v>
      </c>
    </row>
    <row r="20" spans="1:7" x14ac:dyDescent="0.35">
      <c r="A20" s="28" t="s">
        <v>98</v>
      </c>
      <c r="B20" s="133">
        <f>IF(DigitaPRIMERA!E2&lt;&gt;"",DigitaPRIMERA!E2,"")</f>
        <v>20</v>
      </c>
      <c r="C20" s="29">
        <f>IF(DigitaPRIMERA!E4&lt;&gt;"",DigitaPRIMERA!E4,"")</f>
        <v>600</v>
      </c>
      <c r="D20" s="42">
        <f>IF(C20="",0,C20*J$12)</f>
        <v>78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522</v>
      </c>
    </row>
    <row r="21" spans="1:7" ht="15" thickBot="1" x14ac:dyDescent="0.4">
      <c r="A21" s="122" t="s">
        <v>5</v>
      </c>
      <c r="B21" s="129"/>
      <c r="C21" s="123">
        <f>SUM(C5:C20)</f>
        <v>177950</v>
      </c>
      <c r="D21" s="123">
        <f t="shared" ref="D21:G21" si="6">SUM(D5:D20)</f>
        <v>23133.5</v>
      </c>
      <c r="E21" s="123">
        <f t="shared" si="6"/>
        <v>1150</v>
      </c>
      <c r="F21" s="123">
        <f t="shared" si="6"/>
        <v>94500</v>
      </c>
      <c r="G21" s="124">
        <f t="shared" si="6"/>
        <v>60316.5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147750</v>
      </c>
      <c r="K4" s="232">
        <f t="shared" ref="K4" si="0">D7+D11+D15</f>
        <v>19207.5</v>
      </c>
      <c r="L4" s="221">
        <f>F7+F11+F15</f>
        <v>89250</v>
      </c>
    </row>
    <row r="5" spans="1:12" x14ac:dyDescent="0.35">
      <c r="A5" s="28" t="s">
        <v>43</v>
      </c>
      <c r="B5" s="133">
        <f>IF(DigitaNICA!C2&lt;&gt;"",DigitaNICA!C2,"")</f>
        <v>64</v>
      </c>
      <c r="C5" s="29">
        <f>IF(DigitaNICA!C5&lt;&gt;"",DigitaNICA!C5,"")</f>
        <v>22400</v>
      </c>
      <c r="D5" s="42">
        <f>IF(C5="",0,C5*J$10)</f>
        <v>2912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19488</v>
      </c>
      <c r="I5" s="242" t="s">
        <v>37</v>
      </c>
      <c r="J5" s="222">
        <f>SUM(IF(C5="",0,C5),IF(C9="",0,C9),IF(C13="",0,C13),IF(C17="",0,C17))</f>
        <v>40500</v>
      </c>
      <c r="K5" s="226">
        <f t="shared" ref="K5" si="2">D5+D9+D13+D17</f>
        <v>5265</v>
      </c>
      <c r="L5" s="223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3" t="s">
        <v>96</v>
      </c>
      <c r="J6" s="225">
        <f>SUM(IF(C19="",0,C19),IF(C20="",0,C20))</f>
        <v>4800</v>
      </c>
      <c r="K6" s="229">
        <f>D19+D20</f>
        <v>624</v>
      </c>
      <c r="L6" s="230">
        <f>F19+F20</f>
        <v>16000</v>
      </c>
    </row>
    <row r="7" spans="1:12" ht="15" thickBot="1" x14ac:dyDescent="0.4">
      <c r="A7" s="28" t="s">
        <v>46</v>
      </c>
      <c r="B7" s="133" t="str">
        <f>IF(DigitaTICA!C2&lt;&gt;"",DigitaTICA!C2,"")</f>
        <v>06</v>
      </c>
      <c r="C7" s="29">
        <f>IF(DigitaTICA!C5&lt;&gt;"",DigitaTICA!C5,"")</f>
        <v>51600</v>
      </c>
      <c r="D7" s="42">
        <f>IF(C7="",0,C7*J$9)</f>
        <v>6708</v>
      </c>
      <c r="E7" s="29">
        <f>IF(DigitaTICA!D5&lt;&gt;"",DigitaTICA!D5,"")</f>
        <v>300</v>
      </c>
      <c r="F7" s="42">
        <f>IF(E7="",0,E7*PREMIOS!F7)</f>
        <v>25500</v>
      </c>
      <c r="G7" s="30">
        <f t="shared" si="1"/>
        <v>19392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20</v>
      </c>
      <c r="C9" s="29">
        <f>IF(DigitaNICA!E5&lt;&gt;"",DigitaNICA!E5,"")</f>
        <v>8100</v>
      </c>
      <c r="D9" s="42">
        <f>IF(C9="",0,C9*J$10)</f>
        <v>1053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7047</v>
      </c>
      <c r="I9" s="60" t="s">
        <v>36</v>
      </c>
      <c r="J9" s="61">
        <v>0.13</v>
      </c>
      <c r="K9" s="62">
        <f>MROUND(D7+D11+D15,50)</f>
        <v>19200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5250</v>
      </c>
    </row>
    <row r="11" spans="1:12" x14ac:dyDescent="0.35">
      <c r="A11" s="28" t="s">
        <v>59</v>
      </c>
      <c r="B11" s="133">
        <f>IF(DigitaTICA!E2&lt;&gt;"",DigitaTICA!E2,"")</f>
        <v>58</v>
      </c>
      <c r="C11" s="29">
        <f>IF(DigitaTICA!E5&lt;&gt;"",DigitaTICA!E5,"")</f>
        <v>35300</v>
      </c>
      <c r="D11" s="42">
        <f>IF(C11="",0,C11*J$9)</f>
        <v>4589</v>
      </c>
      <c r="E11" s="29">
        <f>IF(DigitaTICA!F5&lt;&gt;"",DigitaTICA!F5,"")</f>
        <v>500</v>
      </c>
      <c r="F11" s="42">
        <f>IF(E11="",0,E11*PREMIOS!F11)</f>
        <v>42500</v>
      </c>
      <c r="G11" s="30">
        <f t="shared" si="1"/>
        <v>-11789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600</v>
      </c>
    </row>
    <row r="13" spans="1:12" x14ac:dyDescent="0.35">
      <c r="A13" s="28" t="s">
        <v>50</v>
      </c>
      <c r="B13" s="133">
        <f>IF(DigitaNICA!G2&lt;&gt;"",DigitaNICA!G2,"")</f>
        <v>60</v>
      </c>
      <c r="C13" s="29">
        <f>IF(DigitaNICA!G5&lt;&gt;"",DigitaNICA!G5,"")</f>
        <v>7500</v>
      </c>
      <c r="D13" s="42">
        <f>IF(C13="",0,C13*J$10)</f>
        <v>975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6525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01</v>
      </c>
      <c r="C15" s="29">
        <f>IF(DigitaTICA!G5&lt;&gt;"",DigitaTICA!G5,"")</f>
        <v>60850</v>
      </c>
      <c r="D15" s="42">
        <f>IF(C15="",0,C15*J$9)</f>
        <v>7910.5</v>
      </c>
      <c r="E15" s="29">
        <f>IF(DigitaTICA!H5&lt;&gt;"",DigitaTICA!H5,"")</f>
        <v>250</v>
      </c>
      <c r="F15" s="42">
        <f>IF(E15="",0,E15*PREMIOS!F15)</f>
        <v>21250</v>
      </c>
      <c r="G15" s="30">
        <f t="shared" si="3"/>
        <v>31689.5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63</v>
      </c>
      <c r="C17" s="29">
        <f>IF(DigitaNICA!I5&lt;&gt;"",DigitaNICA!I5,"")</f>
        <v>2500</v>
      </c>
      <c r="D17" s="42">
        <f>IF(C17="",0,C17*J$10)</f>
        <v>325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2175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24</v>
      </c>
      <c r="C19" s="29">
        <f>IF(DigitaPRIMERA!C5&lt;&gt;"",DigitaPRIMERA!C5,"")</f>
        <v>4800</v>
      </c>
      <c r="D19" s="42">
        <f>IF(C19="",0,C19*J$12)</f>
        <v>624</v>
      </c>
      <c r="E19" s="29">
        <f>IF(DigitaPRIMERA!D5&lt;&gt;"",DigitaPRIMERA!D5,"")</f>
        <v>200</v>
      </c>
      <c r="F19" s="42">
        <f>IF(E19="",0,E19*PREMIOS!E19)</f>
        <v>16000</v>
      </c>
      <c r="G19" s="30">
        <f t="shared" si="3"/>
        <v>-11824</v>
      </c>
    </row>
    <row r="20" spans="1:7" x14ac:dyDescent="0.35">
      <c r="A20" s="28" t="s">
        <v>98</v>
      </c>
      <c r="B20" s="133">
        <f>IF(DigitaPRIMERA!E2&lt;&gt;"",DigitaPRIMERA!E2,"")</f>
        <v>20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193050</v>
      </c>
      <c r="D21" s="68">
        <f t="shared" ref="D21:G21" si="4">SUM(D5:D20)</f>
        <v>25096.5</v>
      </c>
      <c r="E21" s="68">
        <f t="shared" si="4"/>
        <v>1250</v>
      </c>
      <c r="F21" s="68">
        <f t="shared" si="4"/>
        <v>105250</v>
      </c>
      <c r="G21" s="89">
        <f t="shared" si="4"/>
        <v>62703.5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0</v>
      </c>
      <c r="K4" s="232">
        <f t="shared" ref="K4" si="0">D7+D11+D15</f>
        <v>0</v>
      </c>
      <c r="L4" s="221">
        <f>F7+F11+F15</f>
        <v>0</v>
      </c>
    </row>
    <row r="5" spans="1:12" x14ac:dyDescent="0.35">
      <c r="A5" s="28" t="s">
        <v>43</v>
      </c>
      <c r="B5" s="133">
        <f>IF(DigitaNICA!C2&lt;&gt;"",DigitaNICA!C2,"")</f>
        <v>64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3" t="s">
        <v>96</v>
      </c>
      <c r="J6" s="225">
        <f>SUM(IF(C19="",0,C19),IF(C20="",0,C20))</f>
        <v>0</v>
      </c>
      <c r="K6" s="229">
        <f>D19+D20</f>
        <v>0</v>
      </c>
      <c r="L6" s="230">
        <f>F19+F20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06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3">
        <f>IF(DigitaNICA!E2&lt;&gt;"",DigitaNICA!E2,"")</f>
        <v>20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58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60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01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63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24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20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8000</v>
      </c>
      <c r="K4" s="232">
        <f t="shared" ref="K4" si="0">D7+D11+D15</f>
        <v>960</v>
      </c>
      <c r="L4" s="221">
        <f>F7+F11+F15</f>
        <v>0</v>
      </c>
    </row>
    <row r="5" spans="1:12" x14ac:dyDescent="0.35">
      <c r="A5" s="28" t="s">
        <v>43</v>
      </c>
      <c r="B5" s="133">
        <f>IF(DigitaNICA!C2&lt;&gt;"",DigitaNICA!C2,"")</f>
        <v>64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9">
        <f t="shared" ref="K6" si="3">+D8+D12+D16</f>
        <v>0</v>
      </c>
      <c r="L6" s="230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06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20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950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58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60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01</v>
      </c>
      <c r="C15" s="95">
        <f>IF(DigitaTICA!G7&lt;&gt;"",DigitaTICA!G7,"")</f>
        <v>8000</v>
      </c>
      <c r="D15" s="113">
        <f>IF(C15="",0,C15*J$9)</f>
        <v>960</v>
      </c>
      <c r="E15" s="114">
        <f>IF(DigitaTICA!H7&lt;&gt;"",DigitaTICA!H7,"")</f>
        <v>0</v>
      </c>
      <c r="F15" s="113">
        <f>IF(E15="",0,E15*PREMIOS!F15)</f>
        <v>0</v>
      </c>
      <c r="G15" s="115">
        <f t="shared" si="4"/>
        <v>7040</v>
      </c>
    </row>
    <row r="16" spans="1:12" x14ac:dyDescent="0.35">
      <c r="A16" s="28" t="s">
        <v>62</v>
      </c>
      <c r="B16" s="133" t="str">
        <f>IF(B15&lt;&gt;"",PREMIOS!B16,"")</f>
        <v>Roja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63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8000</v>
      </c>
      <c r="D19" s="68">
        <f>SUM(D5:D18)</f>
        <v>960</v>
      </c>
      <c r="E19" s="68">
        <f>SUM(E5:E18)</f>
        <v>0</v>
      </c>
      <c r="F19" s="68">
        <f>SUM(F5:F18)</f>
        <v>0</v>
      </c>
      <c r="G19" s="89">
        <f>SUM(G5:G18)</f>
        <v>7040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210550</v>
      </c>
      <c r="K4" s="232">
        <f t="shared" ref="K4" si="0">D7+D11+D15</f>
        <v>25266</v>
      </c>
      <c r="L4" s="221">
        <f>F7+F11+F15</f>
        <v>102000</v>
      </c>
    </row>
    <row r="5" spans="1:12" x14ac:dyDescent="0.35">
      <c r="A5" s="28" t="s">
        <v>43</v>
      </c>
      <c r="B5" s="133">
        <f>IF(DigitaNICA!C2&lt;&gt;"",DigitaNICA!C2,"")</f>
        <v>64</v>
      </c>
      <c r="C5" s="29">
        <f>IF(DigitaNICA!C8&lt;&gt;"",DigitaNICA!C8,"")</f>
        <v>58550</v>
      </c>
      <c r="D5" s="42">
        <f>IF(C5="",0,C5*J$12)</f>
        <v>7026</v>
      </c>
      <c r="E5" s="29">
        <f>IF(DigitaNICA!D8&lt;&gt;"",DigitaNICA!D8,"")</f>
        <v>2000</v>
      </c>
      <c r="F5" s="42">
        <f>IF(E5="",0,E5*PREMIOS!E5)</f>
        <v>160000</v>
      </c>
      <c r="G5" s="30">
        <f t="shared" ref="G5:G12" si="1">IF(OR(C5="",E5=""),0,C5-D5-F5)</f>
        <v>-108476</v>
      </c>
      <c r="I5" s="242" t="s">
        <v>37</v>
      </c>
      <c r="J5" s="222">
        <f>SUM(IF(C5="",0,C5),IF(C9="",0,C9),IF(C13="",0,C13),IF(C17="",0,C17))</f>
        <v>151600</v>
      </c>
      <c r="K5" s="226">
        <f t="shared" ref="K5" si="2">D5+D9+D13+D17</f>
        <v>18192</v>
      </c>
      <c r="L5" s="223">
        <f>F5+F9+F13+F17</f>
        <v>208000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7">
        <f t="shared" ref="K6" si="3">+D8+D12+D16</f>
        <v>0</v>
      </c>
      <c r="L6" s="228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06</v>
      </c>
      <c r="C7" s="29">
        <f>IF(DigitaTICA!C8&lt;&gt;"",DigitaTICA!C8,"")</f>
        <v>69650</v>
      </c>
      <c r="D7" s="42">
        <f>IF(C7="",0,C7*J$11)</f>
        <v>8358</v>
      </c>
      <c r="E7" s="29">
        <f>IF(DigitaTICA!D8&lt;&gt;"",DigitaTICA!D8,"")</f>
        <v>700</v>
      </c>
      <c r="F7" s="42">
        <f>IF(E7="",0,E7*PREMIOS!F7)</f>
        <v>59500</v>
      </c>
      <c r="G7" s="30">
        <f t="shared" si="1"/>
        <v>1792</v>
      </c>
      <c r="I7" s="243" t="s">
        <v>96</v>
      </c>
      <c r="J7" s="225">
        <f>SUM(IF(C19="",0,C19),IF(C20="",0,C20))</f>
        <v>50000</v>
      </c>
      <c r="K7" s="229">
        <f>+D19+D20</f>
        <v>6000</v>
      </c>
      <c r="L7" s="230">
        <f>+F19+F20</f>
        <v>84000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20</v>
      </c>
      <c r="C9" s="29">
        <f>IF(DigitaNICA!E8&lt;&gt;"",DigitaNICA!E8,"")</f>
        <v>43100</v>
      </c>
      <c r="D9" s="42">
        <f>IF(C9="",0,C9*J$12)</f>
        <v>5172</v>
      </c>
      <c r="E9" s="29">
        <f>IF(DigitaNICA!F8&lt;&gt;"",DigitaNICA!F8,"")</f>
        <v>600</v>
      </c>
      <c r="F9" s="42">
        <f>IF(E9="",0,E9*PREMIOS!E9)</f>
        <v>48000</v>
      </c>
      <c r="G9" s="30">
        <f t="shared" si="1"/>
        <v>-10072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3">
        <f>IF(DigitaTICA!E2&lt;&gt;"",DigitaTICA!E2,"")</f>
        <v>58</v>
      </c>
      <c r="C11" s="29">
        <f>IF(DigitaTICA!E8&lt;&gt;"",DigitaTICA!E8,"")</f>
        <v>58750</v>
      </c>
      <c r="D11" s="42">
        <f>IF(C11="",0,C11*J$11)</f>
        <v>7050</v>
      </c>
      <c r="E11" s="29">
        <f>IF(DigitaTICA!F8&lt;&gt;"",DigitaTICA!F8,"")</f>
        <v>150</v>
      </c>
      <c r="F11" s="42">
        <f>IF(E11="",0,E11*PREMIOS!F11)</f>
        <v>12750</v>
      </c>
      <c r="G11" s="30">
        <f t="shared" si="1"/>
        <v>38950</v>
      </c>
      <c r="I11" s="60" t="s">
        <v>36</v>
      </c>
      <c r="J11" s="61">
        <v>0.12</v>
      </c>
      <c r="K11" s="62">
        <f>MROUND(D7+D11+D15,50)</f>
        <v>25250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18200</v>
      </c>
    </row>
    <row r="13" spans="1:12" x14ac:dyDescent="0.35">
      <c r="A13" s="28" t="s">
        <v>50</v>
      </c>
      <c r="B13" s="133">
        <f>IF(DigitaNICA!G2&lt;&gt;"",DigitaNICA!G2,"")</f>
        <v>60</v>
      </c>
      <c r="C13" s="29">
        <f>IF(DigitaNICA!G8&lt;&gt;"",DigitaNICA!G8,"")</f>
        <v>11300</v>
      </c>
      <c r="D13" s="42">
        <f>IF(C13="",0,C13*J$12)</f>
        <v>1356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9944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6000</v>
      </c>
    </row>
    <row r="15" spans="1:12" x14ac:dyDescent="0.35">
      <c r="A15" s="28" t="s">
        <v>61</v>
      </c>
      <c r="B15" s="133" t="str">
        <f>IF(DigitaTICA!G2&lt;&gt;"",DigitaTICA!G2,"")</f>
        <v>01</v>
      </c>
      <c r="C15" s="29">
        <f>IF(DigitaTICA!G8&lt;&gt;"",DigitaTICA!G8,"")</f>
        <v>82150</v>
      </c>
      <c r="D15" s="42">
        <f>IF(C15="",0,C15*J$11)</f>
        <v>9858</v>
      </c>
      <c r="E15" s="29">
        <f>IF(DigitaTICA!H8&lt;&gt;"",DigitaTICA!H8,"")</f>
        <v>350</v>
      </c>
      <c r="F15" s="42">
        <f>IF(E15="",0,E15*PREMIOS!F15)</f>
        <v>29750</v>
      </c>
      <c r="G15" s="30">
        <f t="shared" si="4"/>
        <v>42542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63</v>
      </c>
      <c r="C17" s="29">
        <f>IF(DigitaNICA!I8&lt;&gt;"",DigitaNICA!I8,"")</f>
        <v>38650</v>
      </c>
      <c r="D17" s="42">
        <f>IF(C17="",0,C17*J$12)</f>
        <v>4638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34012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24</v>
      </c>
      <c r="C19" s="29">
        <f>IF(DigitaPRIMERA!C8&lt;&gt;"",DigitaPRIMERA!C8,"")</f>
        <v>24700</v>
      </c>
      <c r="D19" s="42">
        <f>IF(C19="",0,C19*J$14)</f>
        <v>2964</v>
      </c>
      <c r="E19" s="29">
        <f>IF(DigitaPRIMERA!D8&lt;&gt;"",DigitaPRIMERA!D8,"")</f>
        <v>500</v>
      </c>
      <c r="F19" s="42">
        <f>IF(E19="",0,E19*PREMIOS!E19)</f>
        <v>40000</v>
      </c>
      <c r="G19" s="30">
        <f t="shared" si="4"/>
        <v>-18264</v>
      </c>
    </row>
    <row r="20" spans="1:7" x14ac:dyDescent="0.35">
      <c r="A20" s="28" t="s">
        <v>98</v>
      </c>
      <c r="B20" s="133">
        <f>IF(DigitaPRIMERA!E2&lt;&gt;"",DigitaPRIMERA!E2,"")</f>
        <v>20</v>
      </c>
      <c r="C20" s="29">
        <f>IF(DigitaPRIMERA!E8&lt;&gt;"",DigitaPRIMERA!E8,"")</f>
        <v>25300</v>
      </c>
      <c r="D20" s="42">
        <f>IF(C20="",0,C20*J$14)</f>
        <v>3036</v>
      </c>
      <c r="E20" s="29">
        <f>IF(DigitaPRIMERA!F8&lt;&gt;"",DigitaPRIMERA!F8,"")</f>
        <v>550</v>
      </c>
      <c r="F20" s="42">
        <f>IF(E20="",0,E20*PREMIOS!E19)</f>
        <v>44000</v>
      </c>
      <c r="G20" s="30">
        <f t="shared" si="4"/>
        <v>-21736</v>
      </c>
    </row>
    <row r="21" spans="1:7" ht="15" thickBot="1" x14ac:dyDescent="0.4">
      <c r="A21" s="122" t="s">
        <v>5</v>
      </c>
      <c r="B21" s="129"/>
      <c r="C21" s="123">
        <f>SUM(C5:C20)</f>
        <v>412150</v>
      </c>
      <c r="D21" s="123">
        <f t="shared" ref="D21:G21" si="5">SUM(D5:D20)</f>
        <v>49458</v>
      </c>
      <c r="E21" s="123">
        <f t="shared" si="5"/>
        <v>4850</v>
      </c>
      <c r="F21" s="123">
        <f t="shared" si="5"/>
        <v>394000</v>
      </c>
      <c r="G21" s="124">
        <f t="shared" si="5"/>
        <v>-31308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9"/>
      <c r="J3" s="245" t="s">
        <v>39</v>
      </c>
      <c r="K3" s="246" t="s">
        <v>141</v>
      </c>
      <c r="L3" s="247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2">
        <f>SUM(IF(C7="",0,C7),IF(C11="",0,C11),IF(C15="",0,C15))</f>
        <v>0</v>
      </c>
      <c r="K4" s="226">
        <f t="shared" ref="K4" si="0">D7+D11+D15</f>
        <v>0</v>
      </c>
      <c r="L4" s="223">
        <f>F7+F11+F15</f>
        <v>0</v>
      </c>
    </row>
    <row r="5" spans="1:12" x14ac:dyDescent="0.35">
      <c r="A5" s="28" t="s">
        <v>43</v>
      </c>
      <c r="B5" s="133">
        <f>IF(DigitaNICA!C2&lt;&gt;"",DigitaNICA!C2,"")</f>
        <v>64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2" t="s">
        <v>38</v>
      </c>
      <c r="J6" s="222">
        <f>SUM(IF(C8="",0,C8),IF(C12="",0,C12),IF(C16="",0,C16))</f>
        <v>0</v>
      </c>
      <c r="K6" s="226">
        <f>D8+D12+D16</f>
        <v>0</v>
      </c>
      <c r="L6" s="223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06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3" t="s">
        <v>96</v>
      </c>
      <c r="J7" s="225">
        <f>SUM(IF(C19="",0,C19),IF(C20="",0,C20))</f>
        <v>0</v>
      </c>
      <c r="K7" s="229">
        <f>+D19+D20</f>
        <v>0</v>
      </c>
      <c r="L7" s="230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20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3">
        <f>IF(DigitaTICA!E2&lt;&gt;"",DigitaTICA!E2,"")</f>
        <v>58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60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 t="str">
        <f>IF(DigitaTICA!G2&lt;&gt;"",DigitaTICA!G2,"")</f>
        <v>01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63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24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20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504300</v>
      </c>
      <c r="K4" s="232">
        <f t="shared" ref="K4" si="0">D7+D11+D15</f>
        <v>60516</v>
      </c>
      <c r="L4" s="221">
        <f>F7+F11+F15</f>
        <v>603500</v>
      </c>
    </row>
    <row r="5" spans="1:12" x14ac:dyDescent="0.35">
      <c r="A5" s="28" t="s">
        <v>43</v>
      </c>
      <c r="B5" s="133">
        <f>IF(DigitaNICA!C2&lt;&gt;"",DigitaNICA!C2,"")</f>
        <v>64</v>
      </c>
      <c r="C5" s="29">
        <f>IF(DigitaNICA!C10&lt;&gt;"",DigitaNICA!C10,"")</f>
        <v>145650</v>
      </c>
      <c r="D5" s="42">
        <f>IF(C5="",0,C5*J$15)</f>
        <v>17478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128172</v>
      </c>
      <c r="I5" s="218" t="s">
        <v>37</v>
      </c>
      <c r="J5" s="222">
        <f>SUM(IF(C5="",0,C5),IF(C9="",0,C9),IF(C13="",0,C13),IF(C17="",0,C17))</f>
        <v>403900</v>
      </c>
      <c r="K5" s="226">
        <f t="shared" ref="K5" si="2">D5+D9+D13+D17</f>
        <v>48468</v>
      </c>
      <c r="L5" s="223">
        <f>F5+F9+F13+F17</f>
        <v>17000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8" t="s">
        <v>38</v>
      </c>
      <c r="J6" s="222">
        <f>SUM(IF(C8="",0,C8),IF(C12="",0,C12),IF(C16="",0,C16))</f>
        <v>80800</v>
      </c>
      <c r="K6" s="227">
        <f t="shared" ref="K6" si="3">+D8+D12+D16</f>
        <v>8080</v>
      </c>
      <c r="L6" s="228">
        <f>F8+F12+F16</f>
        <v>650000</v>
      </c>
    </row>
    <row r="7" spans="1:12" x14ac:dyDescent="0.35">
      <c r="A7" s="28" t="s">
        <v>46</v>
      </c>
      <c r="B7" s="133" t="str">
        <f>IF(DigitaTICA!C2&lt;&gt;"",DigitaTICA!C2,"")</f>
        <v>06</v>
      </c>
      <c r="C7" s="29">
        <f>IF(DigitaTICA!C10&lt;&gt;"",DigitaTICA!C10,"")</f>
        <v>157150</v>
      </c>
      <c r="D7" s="42">
        <f>IF(C7="",0,C7*J$14)</f>
        <v>18858</v>
      </c>
      <c r="E7" s="29">
        <f>IF(DigitaTICA!D10&lt;&gt;"",DigitaTICA!D10,"")</f>
        <v>3150</v>
      </c>
      <c r="F7" s="42">
        <f>IF(E7="",0,E7*PREMIOS!F7)</f>
        <v>267750</v>
      </c>
      <c r="G7" s="30">
        <f t="shared" si="1"/>
        <v>-129458</v>
      </c>
      <c r="I7" s="218" t="s">
        <v>96</v>
      </c>
      <c r="J7" s="224">
        <f>SUM(IF(C19="",0,C19),IF(C20="",0,C20))</f>
        <v>82450</v>
      </c>
      <c r="K7" s="227">
        <f>+D19+D20</f>
        <v>9894</v>
      </c>
      <c r="L7" s="228">
        <f>+F19+F20</f>
        <v>42500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IF(DigitaREVENTADO!C10&lt;&gt;"",DigitaREVENTADO!C10,"")</f>
        <v>31150</v>
      </c>
      <c r="D8" s="42">
        <f>IF(C8="",0,C8*J$16)</f>
        <v>3115</v>
      </c>
      <c r="E8" s="29">
        <f>IF(DigitaREVENTADO!D10&lt;&gt;"",DigitaREVENTADO!D10,"")</f>
        <v>1000</v>
      </c>
      <c r="F8" s="42">
        <f>IF(E8="",0,E8*PREMIOS!F8)</f>
        <v>200000</v>
      </c>
      <c r="G8" s="30">
        <f t="shared" si="1"/>
        <v>-171965</v>
      </c>
      <c r="I8" s="218" t="s">
        <v>104</v>
      </c>
      <c r="J8" s="224">
        <f>SUM(IF(C21="",0,C21),IF(C22="",0,C22),IF(C23="",0,C23))</f>
        <v>124750</v>
      </c>
      <c r="K8" s="227">
        <f t="shared" ref="K8" si="4">D21+D22+D23</f>
        <v>14970</v>
      </c>
      <c r="L8" s="228">
        <f>F21+F22+F23</f>
        <v>17000</v>
      </c>
    </row>
    <row r="9" spans="1:12" x14ac:dyDescent="0.35">
      <c r="A9" s="28" t="s">
        <v>48</v>
      </c>
      <c r="B9" s="133">
        <f>IF(DigitaNICA!E2&lt;&gt;"",DigitaNICA!E2,"")</f>
        <v>20</v>
      </c>
      <c r="C9" s="29">
        <f>IF(DigitaNICA!E10&lt;&gt;"",DigitaNICA!E10,"")</f>
        <v>87650</v>
      </c>
      <c r="D9" s="42">
        <f>IF(C9="",0,C9*J$15)</f>
        <v>10518</v>
      </c>
      <c r="E9" s="29">
        <f>IF(DigitaNICA!F10&lt;&gt;"",DigitaNICA!F10,"")</f>
        <v>200</v>
      </c>
      <c r="F9" s="42">
        <f>IF(E9="",0,E9*PREMIOS!F9)</f>
        <v>17000</v>
      </c>
      <c r="G9" s="30">
        <f t="shared" si="1"/>
        <v>60132</v>
      </c>
      <c r="I9" s="218" t="s">
        <v>20</v>
      </c>
      <c r="J9" s="224">
        <f>SUM(IF(C24="",0,C24),IF(C25="",0,C25))</f>
        <v>85500</v>
      </c>
      <c r="K9" s="227">
        <f t="shared" ref="K9" si="5">+D24+D25</f>
        <v>10260</v>
      </c>
      <c r="L9" s="228">
        <f>F24+F25</f>
        <v>85000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9" t="s">
        <v>21</v>
      </c>
      <c r="J10" s="225">
        <f>IF(C26="",0,C26)</f>
        <v>0</v>
      </c>
      <c r="K10" s="229">
        <f>+D26</f>
        <v>0</v>
      </c>
      <c r="L10" s="230">
        <f>F26</f>
        <v>0</v>
      </c>
    </row>
    <row r="11" spans="1:12" x14ac:dyDescent="0.35">
      <c r="A11" s="28" t="s">
        <v>59</v>
      </c>
      <c r="B11" s="133">
        <f>IF(DigitaTICA!E2&lt;&gt;"",DigitaTICA!E2,"")</f>
        <v>58</v>
      </c>
      <c r="C11" s="29">
        <f>IF(DigitaTICA!E10&lt;&gt;"",DigitaTICA!E10,"")</f>
        <v>156700</v>
      </c>
      <c r="D11" s="42">
        <f>IF(C11="",0,C11*J$14)</f>
        <v>18804</v>
      </c>
      <c r="E11" s="29">
        <f>IF(DigitaTICA!F10&lt;&gt;"",DigitaTICA!F10,"")</f>
        <v>850</v>
      </c>
      <c r="F11" s="42">
        <f>IF(E11="",0,E11*PREMIOS!F11)</f>
        <v>72250</v>
      </c>
      <c r="G11" s="30">
        <f t="shared" si="1"/>
        <v>65646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>
        <f>IF(DigitaREVENTADO!E10&lt;&gt;"",DigitaREVENTADO!E10,"")</f>
        <v>19050</v>
      </c>
      <c r="D12" s="42">
        <f>IF(C12="",0,C12*J$16)</f>
        <v>1905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17145</v>
      </c>
    </row>
    <row r="13" spans="1:12" ht="15" thickBot="1" x14ac:dyDescent="0.4">
      <c r="A13" s="28" t="s">
        <v>50</v>
      </c>
      <c r="B13" s="133">
        <f>IF(DigitaNICA!G2&lt;&gt;"",DigitaNICA!G2,"")</f>
        <v>60</v>
      </c>
      <c r="C13" s="29">
        <f>IF(DigitaNICA!G10&lt;&gt;"",DigitaNICA!G10,"")</f>
        <v>62900</v>
      </c>
      <c r="D13" s="42">
        <f>IF(C13="",0,C13*J$15)</f>
        <v>7548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55352</v>
      </c>
      <c r="I13" s="279" t="s">
        <v>34</v>
      </c>
      <c r="J13" s="279"/>
      <c r="K13" s="279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60500</v>
      </c>
    </row>
    <row r="15" spans="1:12" x14ac:dyDescent="0.35">
      <c r="A15" s="28" t="s">
        <v>61</v>
      </c>
      <c r="B15" s="133" t="str">
        <f>IF(DigitaTICA!G2&lt;&gt;"",DigitaTICA!G2,"")</f>
        <v>01</v>
      </c>
      <c r="C15" s="29">
        <f>IF(DigitaTICA!G10&lt;&gt;"",DigitaTICA!G10,"")</f>
        <v>190450</v>
      </c>
      <c r="D15" s="42">
        <f>IF(C15="",0,C15*J$14)</f>
        <v>22854</v>
      </c>
      <c r="E15" s="29">
        <f>IF(DigitaTICA!H10&lt;&gt;"",DigitaTICA!H10,"")</f>
        <v>3100</v>
      </c>
      <c r="F15" s="42">
        <f>IF(E15="",0,E15*PREMIOS!F15)</f>
        <v>263500</v>
      </c>
      <c r="G15" s="30">
        <f t="shared" si="6"/>
        <v>-95904</v>
      </c>
      <c r="I15" s="63" t="s">
        <v>37</v>
      </c>
      <c r="J15" s="64">
        <v>0.12</v>
      </c>
      <c r="K15" s="30">
        <f>MROUND(D5+D9+D13+D17,50)</f>
        <v>48450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IF(DigitaREVENTADO!G10&lt;&gt;"",DigitaREVENTADO!G10,"")</f>
        <v>30600</v>
      </c>
      <c r="D16" s="42">
        <f>IF(C16="",0,C16*J$16)</f>
        <v>3060</v>
      </c>
      <c r="E16" s="29">
        <f>IF(DigitaREVENTADO!H10&lt;&gt;"",DigitaREVENTADO!H10,"")</f>
        <v>2250</v>
      </c>
      <c r="F16" s="42">
        <f>IF(E16="",0,E16*PREMIOS!F16)</f>
        <v>450000</v>
      </c>
      <c r="G16" s="30">
        <f t="shared" si="6"/>
        <v>-422460</v>
      </c>
      <c r="I16" s="63" t="s">
        <v>38</v>
      </c>
      <c r="J16" s="64">
        <v>0.1</v>
      </c>
      <c r="K16" s="30">
        <f>MROUND(D6+D8+D10+D12+D14+D16+D18,50)</f>
        <v>8100</v>
      </c>
    </row>
    <row r="17" spans="1:11" x14ac:dyDescent="0.35">
      <c r="A17" s="28" t="s">
        <v>52</v>
      </c>
      <c r="B17" s="133">
        <f>IF(DigitaNICA!I2&lt;&gt;"",DigitaNICA!I2,"")</f>
        <v>63</v>
      </c>
      <c r="C17" s="29">
        <f>IF(DigitaNICA!I10&lt;&gt;"",DigitaNICA!I10,"")</f>
        <v>107700</v>
      </c>
      <c r="D17" s="42">
        <f>IF(C17="",0,C17*J$15)</f>
        <v>12924</v>
      </c>
      <c r="E17" s="29">
        <f>IF(DigitaNICA!J10&lt;&gt;"",DigitaNICA!J10,"")</f>
        <v>0</v>
      </c>
      <c r="F17" s="42">
        <f>IF(E17="",0,E17*PREMIOS!F17)</f>
        <v>0</v>
      </c>
      <c r="G17" s="30">
        <f t="shared" si="6"/>
        <v>94776</v>
      </c>
      <c r="I17" s="63" t="s">
        <v>96</v>
      </c>
      <c r="J17" s="64">
        <v>0.12</v>
      </c>
      <c r="K17" s="30">
        <f>MROUND(D19+D20,50)</f>
        <v>9900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14950</v>
      </c>
    </row>
    <row r="19" spans="1:11" x14ac:dyDescent="0.35">
      <c r="A19" s="28" t="s">
        <v>97</v>
      </c>
      <c r="B19" s="133">
        <f>IF(DigitaPRIMERA!C2&lt;&gt;"",DigitaPRIMERA!C2,"")</f>
        <v>24</v>
      </c>
      <c r="C19" s="29">
        <f>IF(DigitaPRIMERA!$C$10&lt;&gt;"",DigitaPRIMERA!$C$10,"")</f>
        <v>48800</v>
      </c>
      <c r="D19" s="42">
        <f>IF(C19="",0,C19*J$17)</f>
        <v>5856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42944</v>
      </c>
      <c r="I19" s="63" t="s">
        <v>20</v>
      </c>
      <c r="J19" s="64">
        <v>0.12</v>
      </c>
      <c r="K19" s="30">
        <f>MROUND(D24+D25,50)</f>
        <v>10250</v>
      </c>
    </row>
    <row r="20" spans="1:11" ht="15" thickBot="1" x14ac:dyDescent="0.4">
      <c r="A20" s="28" t="s">
        <v>98</v>
      </c>
      <c r="B20" s="133">
        <f>IF(DigitaPRIMERA!E2&lt;&gt;"",DigitaPRIMERA!E2,"")</f>
        <v>20</v>
      </c>
      <c r="C20" s="29">
        <f>IF(DigitaPRIMERA!$E$10&lt;&gt;"",DigitaPRIMERA!$E$10,"")</f>
        <v>33650</v>
      </c>
      <c r="D20" s="42">
        <f>IF(C20="",0,C20*J$17)</f>
        <v>4038</v>
      </c>
      <c r="E20" s="29">
        <f>IF(DigitaPRIMERA!$F$10&lt;&gt;"",DigitaPRIMERA!$F$10,"")</f>
        <v>500</v>
      </c>
      <c r="F20" s="42">
        <f>IF(E20="",0,E20*PREMIOS!F19)</f>
        <v>42500</v>
      </c>
      <c r="G20" s="30">
        <f t="shared" si="7"/>
        <v>-12888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72</v>
      </c>
      <c r="C21" s="29">
        <f>IF(DigitaHONDURAS!$C$10&lt;&gt;"",DigitaHONDURAS!$C$10,"")</f>
        <v>67300</v>
      </c>
      <c r="D21" s="42">
        <f>IF(C21="",0,C21*J$18)</f>
        <v>8076</v>
      </c>
      <c r="E21" s="29">
        <f>IF(DigitaHONDURAS!$D$10&lt;&gt;"",DigitaHONDURAS!$D$10,"")</f>
        <v>100</v>
      </c>
      <c r="F21" s="42">
        <f>IF(E21="",0,E21*PREMIOS!F20)</f>
        <v>8500</v>
      </c>
      <c r="G21" s="30">
        <f t="shared" si="7"/>
        <v>50724</v>
      </c>
    </row>
    <row r="22" spans="1:11" x14ac:dyDescent="0.35">
      <c r="A22" s="28" t="s">
        <v>100</v>
      </c>
      <c r="B22" s="133">
        <f>IF(DigitaHONDURAS!E2&lt;&gt;"",DigitaHONDURAS!E2,"")</f>
        <v>64</v>
      </c>
      <c r="C22" s="29">
        <f>IF(DigitaHONDURAS!$E$10&lt;&gt;"",DigitaHONDURAS!$E$10,"")</f>
        <v>33400</v>
      </c>
      <c r="D22" s="42">
        <f>IF(C22="",0,C22*J$18)</f>
        <v>4008</v>
      </c>
      <c r="E22" s="29">
        <f>IF(DigitaHONDURAS!$F$10&lt;&gt;"",DigitaHONDURAS!$F$10,"")</f>
        <v>100</v>
      </c>
      <c r="F22" s="42">
        <f>IF(E22="",0,E22*PREMIOS!F20)</f>
        <v>8500</v>
      </c>
      <c r="G22" s="30">
        <f t="shared" si="7"/>
        <v>20892</v>
      </c>
    </row>
    <row r="23" spans="1:11" x14ac:dyDescent="0.35">
      <c r="A23" s="28" t="s">
        <v>101</v>
      </c>
      <c r="B23" s="133">
        <f>IF(DigitaHONDURAS!G2&lt;&gt;"",DigitaHONDURAS!G2,"")</f>
        <v>73</v>
      </c>
      <c r="C23" s="29">
        <f>IF(DigitaHONDURAS!$G$10&lt;&gt;"",DigitaHONDURAS!$G$10,"")</f>
        <v>24050</v>
      </c>
      <c r="D23" s="42">
        <f>IF(C23="",0,C23*J$18)</f>
        <v>2886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21164</v>
      </c>
    </row>
    <row r="24" spans="1:11" x14ac:dyDescent="0.35">
      <c r="A24" s="28" t="s">
        <v>107</v>
      </c>
      <c r="B24" s="133" t="str">
        <f>IF(DigitaDOMINICANA!C2&lt;&gt;"",DigitaDOMINICANA!C2,"")</f>
        <v>01</v>
      </c>
      <c r="C24" s="29">
        <f>IF(DigitaDOMINICANA!$C$10&lt;&gt;"",DigitaDOMINICANA!$C$10,"")</f>
        <v>41000</v>
      </c>
      <c r="D24" s="42">
        <f>IF(C24="",0,C24*J$19)</f>
        <v>4920</v>
      </c>
      <c r="E24" s="29">
        <f>IF(DigitaDOMINICANA!$D$10&lt;&gt;"",DigitaDOMINICANA!$D$10,"")</f>
        <v>1000</v>
      </c>
      <c r="F24" s="42">
        <f>IF(E24="",0,E24*PREMIOS!F21)</f>
        <v>85000</v>
      </c>
      <c r="G24" s="30">
        <f t="shared" si="8"/>
        <v>-48920</v>
      </c>
    </row>
    <row r="25" spans="1:11" x14ac:dyDescent="0.35">
      <c r="A25" s="28" t="s">
        <v>108</v>
      </c>
      <c r="B25" s="133">
        <f>IF(DigitaDOMINICANA!E2&lt;&gt;"",DigitaDOMINICANA!E2,"")</f>
        <v>68</v>
      </c>
      <c r="C25" s="29">
        <f>IF(DigitaDOMINICANA!$E$10&lt;&gt;"",DigitaDOMINICANA!$E$10,"")</f>
        <v>44500</v>
      </c>
      <c r="D25" s="42">
        <f>IF(C25="",0,C25*J$19)</f>
        <v>5340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39160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1281700</v>
      </c>
      <c r="D27" s="68">
        <f t="shared" ref="D27:F27" si="9">SUM(D5:D26)</f>
        <v>152188</v>
      </c>
      <c r="E27" s="68">
        <f t="shared" si="9"/>
        <v>12250</v>
      </c>
      <c r="F27" s="68">
        <f t="shared" si="9"/>
        <v>1415000</v>
      </c>
      <c r="G27" s="89">
        <f>SUM(G5:G26)</f>
        <v>-285488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27100</v>
      </c>
      <c r="K4" s="232">
        <f t="shared" ref="K4" si="0">D7+D11+D15</f>
        <v>3252</v>
      </c>
      <c r="L4" s="221">
        <f>F7+F11+F15</f>
        <v>0</v>
      </c>
    </row>
    <row r="5" spans="1:12" x14ac:dyDescent="0.35">
      <c r="A5" s="28" t="s">
        <v>43</v>
      </c>
      <c r="B5" s="133">
        <f>IF(DigitaNICA!C2&lt;&gt;"",DigitaNICA!C2,"")</f>
        <v>64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7">
        <f t="shared" ref="K6" si="3">+D8+D12+D16</f>
        <v>0</v>
      </c>
      <c r="L6" s="228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06</v>
      </c>
      <c r="C7" s="29">
        <f>IF(DigitaTICA!C11&lt;&gt;"",DigitaTICA!C11,"")</f>
        <v>15500</v>
      </c>
      <c r="D7" s="42">
        <f>IF(C7="",0,C7*J$11)</f>
        <v>1860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13640</v>
      </c>
      <c r="I7" s="243" t="s">
        <v>96</v>
      </c>
      <c r="J7" s="225">
        <f>SUM(IF(C19="",0,C19),IF(C20="",0,C20))</f>
        <v>0</v>
      </c>
      <c r="K7" s="229">
        <f>+D19+D20</f>
        <v>0</v>
      </c>
      <c r="L7" s="230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20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3">
        <f>IF(DigitaTICA!E2&lt;&gt;"",DigitaTICA!E2,"")</f>
        <v>58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3250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60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 t="str">
        <f>IF(DigitaTICA!G2&lt;&gt;"",DigitaTICA!G2,"")</f>
        <v>01</v>
      </c>
      <c r="C15" s="29">
        <f>IF(DigitaTICA!G11&lt;&gt;"",DigitaTICA!G11,"")</f>
        <v>11600</v>
      </c>
      <c r="D15" s="42">
        <f>IF(C15="",0,C15*J$11)</f>
        <v>1392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10208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63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24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20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27100</v>
      </c>
      <c r="D21" s="123">
        <f t="shared" ref="D21:G21" si="5">SUM(D5:D20)</f>
        <v>3252</v>
      </c>
      <c r="E21" s="123">
        <f t="shared" si="5"/>
        <v>0</v>
      </c>
      <c r="F21" s="123">
        <f t="shared" si="5"/>
        <v>0</v>
      </c>
      <c r="G21" s="124">
        <f t="shared" si="5"/>
        <v>23848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85550</v>
      </c>
      <c r="K4" s="232">
        <f>D7+D11+D15</f>
        <v>10266</v>
      </c>
      <c r="L4" s="221">
        <f>F7+F11+F15</f>
        <v>68000</v>
      </c>
    </row>
    <row r="5" spans="1:12" x14ac:dyDescent="0.35">
      <c r="A5" s="28" t="s">
        <v>43</v>
      </c>
      <c r="B5" s="133">
        <f>IF(DigitaNICA!C2&lt;&gt;"",DigitaNICA!C2,"")</f>
        <v>64</v>
      </c>
      <c r="C5" s="29">
        <f>IF(DigitaNICA!C12&lt;&gt;"",DigitaNICA!C12,"")</f>
        <v>70600</v>
      </c>
      <c r="D5" s="42">
        <f>IF(C5="",0,C5*J$12)</f>
        <v>8472</v>
      </c>
      <c r="E5" s="29">
        <f>IF(DigitaNICA!D12&lt;&gt;"",DigitaNICA!D12,"")</f>
        <v>800</v>
      </c>
      <c r="F5" s="42">
        <f>IF(E5="",0,E5*PREMIOS!F5)</f>
        <v>68000</v>
      </c>
      <c r="G5" s="30">
        <f t="shared" ref="G5:G12" si="0">IF(OR(C5="",E5=""),0,C5-D5-F5)</f>
        <v>-5872</v>
      </c>
      <c r="I5" s="218" t="s">
        <v>37</v>
      </c>
      <c r="J5" s="222">
        <f>SUM(IF(C5="",0,C5),IF(C9="",0,C9),IF(C13="",0,C13),IF(C17="",0,C17))</f>
        <v>99100</v>
      </c>
      <c r="K5" s="226">
        <f t="shared" ref="K5" si="1">D5+D9+D13+D17</f>
        <v>11892</v>
      </c>
      <c r="L5" s="223">
        <f>F5+F9+F13+F17</f>
        <v>110500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8" t="s">
        <v>38</v>
      </c>
      <c r="J6" s="222">
        <f>SUM(IF(C8="",0,C8),IF(C12="",0,C12),IF(C16="",0,C16))</f>
        <v>11200</v>
      </c>
      <c r="K6" s="227">
        <f t="shared" ref="K6" si="2">+D8+D12+D16</f>
        <v>1120</v>
      </c>
      <c r="L6" s="228">
        <f>+F8+F12+F16</f>
        <v>100000</v>
      </c>
    </row>
    <row r="7" spans="1:12" x14ac:dyDescent="0.35">
      <c r="A7" s="28" t="s">
        <v>46</v>
      </c>
      <c r="B7" s="133" t="str">
        <f>IF(DigitaTICA!C2&lt;&gt;"",DigitaTICA!C2,"")</f>
        <v>06</v>
      </c>
      <c r="C7" s="29">
        <f>IF(DigitaTICA!C12&lt;&gt;"",DigitaTICA!C12,"")</f>
        <v>31900</v>
      </c>
      <c r="D7" s="42">
        <f>IF(C7="",0,C7*J$11)</f>
        <v>3828</v>
      </c>
      <c r="E7" s="29">
        <f>IF(DigitaTICA!D12&lt;&gt;"",DigitaTICA!D12,"")</f>
        <v>500</v>
      </c>
      <c r="F7" s="42">
        <f>IF(E7="",0,E7*PREMIOS!F7)</f>
        <v>42500</v>
      </c>
      <c r="G7" s="30">
        <f t="shared" si="0"/>
        <v>-14428</v>
      </c>
      <c r="I7" s="218" t="s">
        <v>96</v>
      </c>
      <c r="J7" s="224">
        <f>SUM(IF(C19="",0,C19),IF(C20="",0,C20))</f>
        <v>38500</v>
      </c>
      <c r="K7" s="227">
        <f>+D19+D20</f>
        <v>4620</v>
      </c>
      <c r="L7" s="228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IF(DigitaREVENTADO!C12&lt;&gt;"",DigitaREVENTADO!C12,"")</f>
        <v>8400</v>
      </c>
      <c r="D8" s="42">
        <f>IF(C8="",0,C8*J$13)</f>
        <v>840</v>
      </c>
      <c r="E8" s="29">
        <f>IF(DigitaREVENTADO!D12&lt;&gt;"",DigitaREVENTADO!D12,"")</f>
        <v>500</v>
      </c>
      <c r="F8" s="42">
        <f>IF(E8="",0,E8*PREMIOS!F8)</f>
        <v>100000</v>
      </c>
      <c r="G8" s="30">
        <f t="shared" si="0"/>
        <v>-92440</v>
      </c>
      <c r="I8" s="219" t="s">
        <v>104</v>
      </c>
      <c r="J8" s="225">
        <f>SUM(IF(C21="",0,C21),IF(C22="",0,C22),IF(C23="",0,C23))</f>
        <v>7100</v>
      </c>
      <c r="K8" s="229">
        <f>+D21+D22+D23</f>
        <v>852</v>
      </c>
      <c r="L8" s="230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20</v>
      </c>
      <c r="C9" s="29">
        <f>IF(DigitaNICA!E12&lt;&gt;"",DigitaNICA!E12,"")</f>
        <v>28500</v>
      </c>
      <c r="D9" s="42">
        <f>IF(C9="",0,C9*J$12)</f>
        <v>3420</v>
      </c>
      <c r="E9" s="29">
        <f>IF(DigitaNICA!F12&lt;&gt;"",DigitaNICA!F12,"")</f>
        <v>500</v>
      </c>
      <c r="F9" s="42">
        <f>IF(E9="",0,E9*PREMIOS!F9)</f>
        <v>42500</v>
      </c>
      <c r="G9" s="30">
        <f t="shared" si="0"/>
        <v>-17420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3">
        <f>IF(DigitaTICA!E2&lt;&gt;"",DigitaTICA!E2,"")</f>
        <v>58</v>
      </c>
      <c r="C11" s="29">
        <f>IF(DigitaTICA!E12&lt;&gt;"",DigitaTICA!E12,"")</f>
        <v>36100</v>
      </c>
      <c r="D11" s="42">
        <f>IF(C11="",0,C11*J$11)</f>
        <v>4332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31768</v>
      </c>
      <c r="I11" s="60" t="s">
        <v>36</v>
      </c>
      <c r="J11" s="61">
        <v>0.12</v>
      </c>
      <c r="K11" s="62">
        <f>MROUND(D7+D11+D15,50)</f>
        <v>10250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IF(DigitaREVENTADO!E12&lt;&gt;"",DigitaREVENTADO!E12,"")</f>
        <v>2800</v>
      </c>
      <c r="D12" s="42">
        <f>IF(C12="",0,C12*J$13)</f>
        <v>280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2520</v>
      </c>
      <c r="I12" s="63" t="s">
        <v>37</v>
      </c>
      <c r="J12" s="64">
        <v>0.12</v>
      </c>
      <c r="K12" s="30">
        <f>MROUND(D5+D9+D13+D17,50)</f>
        <v>11900</v>
      </c>
    </row>
    <row r="13" spans="1:12" x14ac:dyDescent="0.35">
      <c r="A13" s="28" t="s">
        <v>50</v>
      </c>
      <c r="B13" s="133">
        <f>IF(DigitaNICA!G2&lt;&gt;"",DigitaNICA!G2,"")</f>
        <v>60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1100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4600</v>
      </c>
    </row>
    <row r="15" spans="1:12" ht="15" thickBot="1" x14ac:dyDescent="0.4">
      <c r="A15" s="28" t="s">
        <v>61</v>
      </c>
      <c r="B15" s="133" t="str">
        <f>IF(DigitaTICA!G2&lt;&gt;"",DigitaTICA!G2,"")</f>
        <v>01</v>
      </c>
      <c r="C15" s="29">
        <f>IF(DigitaTICA!G12&lt;&gt;"",DigitaTICA!G12,"")</f>
        <v>17550</v>
      </c>
      <c r="D15" s="42">
        <f>IF(C15="",0,C15*J$11)</f>
        <v>2106</v>
      </c>
      <c r="E15" s="29">
        <f>IF(DigitaTICA!H12&lt;&gt;"",DigitaTICA!H12,"")</f>
        <v>300</v>
      </c>
      <c r="F15" s="42">
        <f>IF(E15="",0,E15*PREMIOS!F15)</f>
        <v>25500</v>
      </c>
      <c r="G15" s="30">
        <f t="shared" si="3"/>
        <v>-10056</v>
      </c>
      <c r="I15" s="65" t="s">
        <v>104</v>
      </c>
      <c r="J15" s="66">
        <v>0.12</v>
      </c>
      <c r="K15" s="50">
        <f>MROUND(D21+D22+D23,50)</f>
        <v>850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63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24</v>
      </c>
      <c r="C19" s="29">
        <f>IF(DigitaPRIMERA!$C$12&lt;&gt;"",DigitaPRIMERA!$C$12,"")</f>
        <v>38500</v>
      </c>
      <c r="D19" s="42">
        <f>IF(C19="",0,C19*J$14)</f>
        <v>4620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33880</v>
      </c>
    </row>
    <row r="20" spans="1:7" x14ac:dyDescent="0.35">
      <c r="A20" s="28" t="s">
        <v>98</v>
      </c>
      <c r="B20" s="133">
        <f>IF(DigitaPRIMERA!E2&lt;&gt;"",DigitaPRIMERA!E2,"")</f>
        <v>20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72</v>
      </c>
      <c r="C21" s="29">
        <f>IF(DigitaHONDURAS!$C$12&lt;&gt;"",DigitaHONDURAS!$C$12,"")</f>
        <v>7100</v>
      </c>
      <c r="D21" s="42">
        <f>IF(C21="",0,C21*J$15)</f>
        <v>852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6248</v>
      </c>
    </row>
    <row r="22" spans="1:7" x14ac:dyDescent="0.35">
      <c r="A22" s="28" t="s">
        <v>100</v>
      </c>
      <c r="B22" s="133">
        <f>IF(DigitaHONDURAS!E2&lt;&gt;"",DigitaHONDURAS!E2,"")</f>
        <v>64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73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241450</v>
      </c>
      <c r="D24" s="68">
        <f t="shared" ref="D24:G24" si="4">SUM(D5:D23)</f>
        <v>28750</v>
      </c>
      <c r="E24" s="68">
        <f t="shared" si="4"/>
        <v>2600</v>
      </c>
      <c r="F24" s="68">
        <f t="shared" si="4"/>
        <v>278500</v>
      </c>
      <c r="G24" s="89">
        <f t="shared" si="4"/>
        <v>-65800</v>
      </c>
    </row>
    <row r="27" spans="1:7" x14ac:dyDescent="0.35">
      <c r="G27" s="21">
        <v>138387</v>
      </c>
    </row>
    <row r="28" spans="1:7" x14ac:dyDescent="0.35">
      <c r="G28" s="141">
        <f>+G24+G27</f>
        <v>72587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103650</v>
      </c>
      <c r="K4" s="232">
        <f t="shared" ref="K4" si="0">D7+D11+D15</f>
        <v>12438</v>
      </c>
      <c r="L4" s="221">
        <f>F7+F11+F15</f>
        <v>114750</v>
      </c>
    </row>
    <row r="5" spans="1:12" ht="15" thickBot="1" x14ac:dyDescent="0.4">
      <c r="A5" s="28" t="s">
        <v>43</v>
      </c>
      <c r="B5" s="133">
        <f>IF(DigitaNICA!C2&lt;&gt;"",DigitaNICA!C2,"")</f>
        <v>64</v>
      </c>
      <c r="C5" s="29">
        <f>IF(DigitaNICA!C13&lt;&gt;"",DigitaNICA!C13,"")</f>
        <v>12700</v>
      </c>
      <c r="D5" s="42">
        <f>IF(C5="",0,C5*J$10)</f>
        <v>1524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11176</v>
      </c>
      <c r="I5" s="219" t="s">
        <v>37</v>
      </c>
      <c r="J5" s="233">
        <f>SUM(IF(C5="",0,C5),IF(C9="",0,C9),IF(C13="",0,C13),IF(C17="",0,C17))</f>
        <v>38200</v>
      </c>
      <c r="K5" s="234">
        <f t="shared" ref="K5" si="2">D5+D9+D13+D17</f>
        <v>4584</v>
      </c>
      <c r="L5" s="235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 t="str">
        <f>IF(DigitaTICA!C2&lt;&gt;"",DigitaTICA!C2,"")</f>
        <v>06</v>
      </c>
      <c r="C7" s="29">
        <f>IF(DigitaTICA!C13&lt;&gt;"",DigitaTICA!C13,"")</f>
        <v>36000</v>
      </c>
      <c r="D7" s="42">
        <f>IF(C7="",0,C7*J$9)</f>
        <v>4320</v>
      </c>
      <c r="E7" s="29">
        <f>IF(DigitaTICA!D13&lt;&gt;"",DigitaTICA!D13,"")</f>
        <v>200</v>
      </c>
      <c r="F7" s="134">
        <f>IF(E7="",0,E7*PREMIOS!F7)</f>
        <v>17000</v>
      </c>
      <c r="G7" s="30">
        <f t="shared" si="1"/>
        <v>14680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20</v>
      </c>
      <c r="C9" s="29">
        <f>IF(DigitaNICA!E13&lt;&gt;"",DigitaNICA!E13,"")</f>
        <v>17300</v>
      </c>
      <c r="D9" s="42">
        <f>IF(C9="",0,C9*J$10)</f>
        <v>2076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15224</v>
      </c>
      <c r="I9" s="60" t="s">
        <v>36</v>
      </c>
      <c r="J9" s="61">
        <v>0.12</v>
      </c>
      <c r="K9" s="62">
        <f>MROUND(D7+D11+D15,50)</f>
        <v>12450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4600</v>
      </c>
    </row>
    <row r="11" spans="1:12" ht="15" thickBot="1" x14ac:dyDescent="0.4">
      <c r="A11" s="28" t="s">
        <v>59</v>
      </c>
      <c r="B11" s="133">
        <f>IF(DigitaTICA!E2&lt;&gt;"",DigitaTICA!E2,"")</f>
        <v>58</v>
      </c>
      <c r="C11" s="29">
        <f>IF(DigitaTICA!E13&lt;&gt;"",DigitaTICA!E13,"")</f>
        <v>20950</v>
      </c>
      <c r="D11" s="42">
        <f>IF(C11="",0,C11*J$9)</f>
        <v>2514</v>
      </c>
      <c r="E11" s="29">
        <f>IF(DigitaTICA!F13&lt;&gt;"",DigitaTICA!F13,"")</f>
        <v>0</v>
      </c>
      <c r="F11" s="134">
        <f>IF(E11="",0,E11*PREMIOS!F11)</f>
        <v>0</v>
      </c>
      <c r="G11" s="30">
        <f t="shared" si="1"/>
        <v>18436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60</v>
      </c>
      <c r="C13" s="29">
        <f>IF(DigitaNICA!G13&lt;&gt;"",DigitaNICA!G13,"")</f>
        <v>7200</v>
      </c>
      <c r="D13" s="42">
        <f>IF(C13="",0,C13*J$10)</f>
        <v>864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6336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01</v>
      </c>
      <c r="C15" s="29">
        <f>IF(DigitaTICA!G13&lt;&gt;"",DigitaTICA!G13,"")</f>
        <v>46700</v>
      </c>
      <c r="D15" s="42">
        <f>IF(C15="",0,C15*J$9)</f>
        <v>5604</v>
      </c>
      <c r="E15" s="29">
        <f>IF(DigitaTICA!H13&lt;&gt;"",DigitaTICA!H13,"")</f>
        <v>1150</v>
      </c>
      <c r="F15" s="134">
        <f>IF(E15="",0,E15*PREMIOS!F15)</f>
        <v>97750</v>
      </c>
      <c r="G15" s="30">
        <f t="shared" si="3"/>
        <v>-56654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63</v>
      </c>
      <c r="C17" s="29">
        <f>IF(DigitaNICA!I13&lt;&gt;"",DigitaNICA!I13,"")</f>
        <v>1000</v>
      </c>
      <c r="D17" s="42">
        <f>IF(C17="",0,C17*J$10)</f>
        <v>120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880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141850</v>
      </c>
      <c r="D19" s="68">
        <f>MROUND(SUM(D5:D18),50)</f>
        <v>17000</v>
      </c>
      <c r="E19" s="68">
        <f>SUM(E5:E18)</f>
        <v>1350</v>
      </c>
      <c r="F19" s="68">
        <f>SUM(F5:F18)</f>
        <v>114750</v>
      </c>
      <c r="G19" s="89">
        <f>SUM(G5:G18)</f>
        <v>10078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6">
        <f>SUM(IF(C7="",0,C7),IF(C11="",0,C11),IF(C15="",0,C15))</f>
        <v>104250</v>
      </c>
      <c r="K4" s="237">
        <f t="shared" ref="K4" si="0">D7+D11+D15</f>
        <v>15637.5</v>
      </c>
      <c r="L4" s="238">
        <f>F7+F11+F15</f>
        <v>112000</v>
      </c>
    </row>
    <row r="5" spans="1:12" x14ac:dyDescent="0.35">
      <c r="A5" s="28" t="s">
        <v>43</v>
      </c>
      <c r="B5" s="133">
        <f>IF(DigitaNICA!C2&lt;&gt;"",DigitaNICA!C2,"")</f>
        <v>64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 t="str">
        <f>IF(DigitaTICA!C2&lt;&gt;"",DigitaTICA!C2,"")</f>
        <v>06</v>
      </c>
      <c r="C7" s="29">
        <f>IF(DigitaTICA!C14&lt;&gt;"",DigitaTICA!C14,"")</f>
        <v>51650</v>
      </c>
      <c r="D7" s="42">
        <f>IF(C7="",0,C7*J$9)</f>
        <v>7747.5</v>
      </c>
      <c r="E7" s="29">
        <f>IF(DigitaTICA!D14&lt;&gt;"",DigitaTICA!D14,"")</f>
        <v>1100</v>
      </c>
      <c r="F7" s="42">
        <f>IF(E7="",0,E7*PREMIOS!E7)</f>
        <v>88000</v>
      </c>
      <c r="G7" s="30">
        <f t="shared" si="1"/>
        <v>-44097.5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20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15650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58</v>
      </c>
      <c r="C11" s="29">
        <f>IF(DigitaTICA!E14&lt;&gt;"",DigitaTICA!E14,"")</f>
        <v>14900</v>
      </c>
      <c r="D11" s="42">
        <f>IF(C11="",0,C11*J$9)</f>
        <v>2235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12665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60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01</v>
      </c>
      <c r="C15" s="29">
        <f>IF(DigitaTICA!G14&lt;&gt;"",DigitaTICA!G14,"")</f>
        <v>37700</v>
      </c>
      <c r="D15" s="42">
        <f>IF(C15="",0,C15*J$9)</f>
        <v>5655</v>
      </c>
      <c r="E15" s="29">
        <f>IF(DigitaTICA!H14&lt;&gt;"",DigitaTICA!H14,"")</f>
        <v>300</v>
      </c>
      <c r="F15" s="42">
        <f>IF(E15="",0,E15*PREMIOS!E15)</f>
        <v>24000</v>
      </c>
      <c r="G15" s="30">
        <f t="shared" si="2"/>
        <v>8045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63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104250</v>
      </c>
      <c r="D19" s="68">
        <f>MROUND(SUM(D5:D18),50)</f>
        <v>15650</v>
      </c>
      <c r="E19" s="68">
        <f>SUM(E5:E18)</f>
        <v>1400</v>
      </c>
      <c r="F19" s="68">
        <f>SUM(F5:F18)</f>
        <v>112000</v>
      </c>
      <c r="G19" s="89">
        <f>SUM(G5:G18)</f>
        <v>-23387.5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0</v>
      </c>
      <c r="K4" s="232">
        <f t="shared" ref="K4" si="0">D7+D11+D15</f>
        <v>0</v>
      </c>
      <c r="L4" s="221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64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19" t="s">
        <v>37</v>
      </c>
      <c r="J5" s="233">
        <f>SUM(IF(C5="",0,C5),IF(C9="",0,C9),IF(C13="",0,C13),IF(C17="",0,C17))</f>
        <v>0</v>
      </c>
      <c r="K5" s="234">
        <f t="shared" ref="K5" si="2">D5+D9+D13+D17</f>
        <v>0</v>
      </c>
      <c r="L5" s="235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 t="str">
        <f>IF(DigitaTICA!C2&lt;&gt;"",DigitaTICA!C2,"")</f>
        <v>06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20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58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60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01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63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7" t="s">
        <v>36</v>
      </c>
      <c r="J4" s="232">
        <f>SUM(IF(C7="",0,C7),IF(C11="",0,C11),IF(C15="",0,C15))</f>
        <v>37050</v>
      </c>
      <c r="K4" s="232">
        <f>D7+D11+D15</f>
        <v>4446</v>
      </c>
      <c r="L4" s="221">
        <f>F7+F11+F15</f>
        <v>42500</v>
      </c>
    </row>
    <row r="5" spans="1:12" x14ac:dyDescent="0.35">
      <c r="A5" s="28" t="s">
        <v>43</v>
      </c>
      <c r="B5" s="133">
        <f>IF(DigitaNICA!C2&lt;&gt;"",DigitaNICA!C2,"")</f>
        <v>64</v>
      </c>
      <c r="C5" s="29">
        <f>IF(DigitaNICA!C16&lt;&gt;"",DigitaNICA!C16,"")</f>
        <v>800</v>
      </c>
      <c r="D5" s="42">
        <f>IF(C5="",0,C5*J$12)</f>
        <v>96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704</v>
      </c>
      <c r="I5" s="63" t="s">
        <v>37</v>
      </c>
      <c r="J5" s="226">
        <f>SUM(IF(C5="",0,C5),IF(C9="",0,C9),IF(C13="",0,C13),IF(C17="",0,C17))</f>
        <v>9850</v>
      </c>
      <c r="K5" s="226">
        <f t="shared" ref="K5" si="1">D5+D9+D13+D17</f>
        <v>1182</v>
      </c>
      <c r="L5" s="223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63" t="s">
        <v>38</v>
      </c>
      <c r="J6" s="227">
        <f>SUM(IF(C8="",0,C8),IF(C12="",0,C12),IF(C16="",0,C16))</f>
        <v>0</v>
      </c>
      <c r="K6" s="227">
        <f t="shared" ref="K6" si="2">+D8+D12+D16</f>
        <v>0</v>
      </c>
      <c r="L6" s="228">
        <f>F8+F12+F16</f>
        <v>0</v>
      </c>
    </row>
    <row r="7" spans="1:12" x14ac:dyDescent="0.35">
      <c r="A7" s="28" t="s">
        <v>46</v>
      </c>
      <c r="B7" s="133" t="str">
        <f>IF(DigitaTICA!C2&lt;&gt;"",DigitaTICA!C2,"")</f>
        <v>06</v>
      </c>
      <c r="C7" s="29">
        <f>IF(DigitaTICA!C16&lt;&gt;"",DigitaTICA!C16,"")</f>
        <v>7500</v>
      </c>
      <c r="D7" s="42">
        <f>IF(C7="",0,C7*J$11)</f>
        <v>900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6600</v>
      </c>
      <c r="I7" s="63" t="s">
        <v>96</v>
      </c>
      <c r="J7" s="227">
        <f>SUM(IF(C19="",0,C19),IF(C20="",0,C20))</f>
        <v>1200</v>
      </c>
      <c r="K7" s="227">
        <f>+D19+D20</f>
        <v>144</v>
      </c>
      <c r="L7" s="228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  <c r="I8" s="65" t="s">
        <v>104</v>
      </c>
      <c r="J8" s="229">
        <f>SUM(IF(C21="",0,C21),IF(C22="",0,C22),IF(C23="",0,C23))</f>
        <v>0</v>
      </c>
      <c r="K8" s="229">
        <f>D21+D22+D23</f>
        <v>0</v>
      </c>
      <c r="L8" s="230">
        <f>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20</v>
      </c>
      <c r="C9" s="29">
        <f>IF(DigitaNICA!E16&lt;&gt;"",DigitaNICA!E16,"")</f>
        <v>2900</v>
      </c>
      <c r="D9" s="42">
        <f>IF(C9="",0,C9*J$12)</f>
        <v>348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2552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3">
        <f>IF(DigitaTICA!E2&lt;&gt;"",DigitaTICA!E2,"")</f>
        <v>58</v>
      </c>
      <c r="C11" s="29">
        <f>IF(DigitaTICA!E16&lt;&gt;"",DigitaTICA!E16,"")</f>
        <v>10900</v>
      </c>
      <c r="D11" s="42">
        <f>IF(C11="",0,C11*J$11)</f>
        <v>1308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9592</v>
      </c>
      <c r="I11" s="77" t="s">
        <v>36</v>
      </c>
      <c r="J11" s="78">
        <v>0.12</v>
      </c>
      <c r="K11" s="79">
        <f>MROUND(D7+D11+D15,50)</f>
        <v>4450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1200</v>
      </c>
    </row>
    <row r="13" spans="1:12" x14ac:dyDescent="0.35">
      <c r="A13" s="28" t="s">
        <v>50</v>
      </c>
      <c r="B13" s="133">
        <f>IF(DigitaNICA!G2&lt;&gt;"",DigitaNICA!G2,"")</f>
        <v>60</v>
      </c>
      <c r="C13" s="29">
        <f>IF(DigitaNICA!G16&lt;&gt;"",DigitaNICA!G16,"")</f>
        <v>2000</v>
      </c>
      <c r="D13" s="42">
        <f>IF(C13="",0,C13*J$12)</f>
        <v>240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1760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150</v>
      </c>
    </row>
    <row r="15" spans="1:12" ht="15" thickBot="1" x14ac:dyDescent="0.4">
      <c r="A15" s="28" t="s">
        <v>61</v>
      </c>
      <c r="B15" s="133" t="str">
        <f>IF(DigitaTICA!G2&lt;&gt;"",DigitaTICA!G2,"")</f>
        <v>01</v>
      </c>
      <c r="C15" s="29">
        <f>IF(DigitaTICA!G16&lt;&gt;"",DigitaTICA!G16,"")</f>
        <v>18650</v>
      </c>
      <c r="D15" s="42">
        <f>IF(C15="",0,C15*J$11)</f>
        <v>2238</v>
      </c>
      <c r="E15" s="29">
        <f>IF(DigitaTICA!H16&lt;&gt;"",DigitaTICA!H16,"")</f>
        <v>500</v>
      </c>
      <c r="F15" s="134">
        <f>IF(E15="",0,E15*PREMIOS!F15)</f>
        <v>42500</v>
      </c>
      <c r="G15" s="30">
        <f t="shared" si="3"/>
        <v>-26088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63</v>
      </c>
      <c r="C17" s="29">
        <f>IF(DigitaNICA!I16&lt;&gt;"",DigitaNICA!I16,"")</f>
        <v>4150</v>
      </c>
      <c r="D17" s="42">
        <f>IF(C17="",0,C17*J$12)</f>
        <v>498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3652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24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20</v>
      </c>
      <c r="C20" s="29">
        <f>IF(DigitaPRIMERA!E16&lt;&gt;"",DigitaPRIMERA!E16,"")</f>
        <v>1200</v>
      </c>
      <c r="D20" s="42">
        <f>IF(C20="",0,C20*J$14)</f>
        <v>144</v>
      </c>
      <c r="E20" s="29">
        <f>IF(DigitaPRIMERA!F16&lt;&gt;"",DigitaPRIMERA!F16,"")</f>
        <v>0</v>
      </c>
      <c r="F20" s="42">
        <f>IF(E20="",0,E20*PREMIOS!E19)</f>
        <v>0</v>
      </c>
      <c r="G20" s="30">
        <f t="shared" si="3"/>
        <v>1056</v>
      </c>
    </row>
    <row r="21" spans="1:7" x14ac:dyDescent="0.35">
      <c r="A21" s="28" t="s">
        <v>99</v>
      </c>
      <c r="B21" s="133">
        <f>IF(DigitaHONDURAS!C2&lt;&gt;"",DigitaHONDURAS!C2,"")</f>
        <v>72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64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73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2" t="s">
        <v>5</v>
      </c>
      <c r="B24" s="129"/>
      <c r="C24" s="123">
        <f>SUM(C5:C23)</f>
        <v>48100</v>
      </c>
      <c r="D24" s="123">
        <f t="shared" ref="D24:G24" si="5">SUM(D5:D23)</f>
        <v>5772</v>
      </c>
      <c r="E24" s="123">
        <f t="shared" si="5"/>
        <v>500</v>
      </c>
      <c r="F24" s="123">
        <f t="shared" si="5"/>
        <v>42500</v>
      </c>
      <c r="G24" s="124">
        <f t="shared" si="5"/>
        <v>-172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584250</v>
      </c>
      <c r="K4" s="232">
        <f t="shared" ref="K4" si="0">D7+D11+D15</f>
        <v>70110</v>
      </c>
      <c r="L4" s="221">
        <f>F7+F11+F15</f>
        <v>637500</v>
      </c>
    </row>
    <row r="5" spans="1:12" x14ac:dyDescent="0.35">
      <c r="A5" s="28" t="s">
        <v>43</v>
      </c>
      <c r="B5" s="133">
        <f>IF(DigitaNICA!C2&lt;&gt;"",DigitaNICA!C2,"")</f>
        <v>64</v>
      </c>
      <c r="C5" s="90">
        <f>IF(DigitaNICA!C17&lt;&gt;"",DigitaNICA!C17,"")</f>
        <v>90850</v>
      </c>
      <c r="D5" s="42">
        <f>IF(C5="",0,C5*J$16)</f>
        <v>10902</v>
      </c>
      <c r="E5" s="90">
        <f>IF(DigitaNICA!D17&lt;&gt;"",DigitaNICA!D17,"")</f>
        <v>450</v>
      </c>
      <c r="F5" s="42">
        <f>IF(E5="",0,E5*PREMIOS!F5)</f>
        <v>38250</v>
      </c>
      <c r="G5" s="91">
        <f t="shared" ref="G5:G12" si="1">IF(OR(C5="",E5=""),0,C5-D5-F5)</f>
        <v>41698</v>
      </c>
      <c r="I5" s="218" t="s">
        <v>37</v>
      </c>
      <c r="J5" s="222">
        <f>SUM(IF(C5="",0,C5),IF(C9="",0,C9),IF(C13="",0,C13),IF(C17="",0,C17))</f>
        <v>507000</v>
      </c>
      <c r="K5" s="226">
        <f t="shared" ref="K5" si="2">D5+D9+D13+D17</f>
        <v>60840</v>
      </c>
      <c r="L5" s="223">
        <f>F5+F9+F13+F17</f>
        <v>340000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8" t="s">
        <v>38</v>
      </c>
      <c r="J6" s="222">
        <f>SUM(IF(C8="",0,C8),IF(C12="",0,C12),IF(C16="",0,C16))</f>
        <v>158850</v>
      </c>
      <c r="K6" s="227">
        <f t="shared" ref="K6" si="3">+D8+D12+D16</f>
        <v>15885</v>
      </c>
      <c r="L6" s="228">
        <f>+F8+F12+F16</f>
        <v>610000</v>
      </c>
    </row>
    <row r="7" spans="1:12" x14ac:dyDescent="0.35">
      <c r="A7" s="28" t="s">
        <v>46</v>
      </c>
      <c r="B7" s="133" t="str">
        <f>IF(DigitaTICA!C2&lt;&gt;"",DigitaTICA!C2,"")</f>
        <v>06</v>
      </c>
      <c r="C7" s="90">
        <f>IF(DigitaTICA!C17&lt;&gt;"",DigitaTICA!C17,"")</f>
        <v>181850</v>
      </c>
      <c r="D7" s="42">
        <f>IF(C7="",0,C7*J$15)</f>
        <v>21822</v>
      </c>
      <c r="E7" s="90">
        <f>IF(DigitaTICA!D17&lt;&gt;"",DigitaTICA!D17,"")</f>
        <v>4200</v>
      </c>
      <c r="F7" s="42">
        <f>IF(E7="",0,E7*PREMIOS!F7)</f>
        <v>357000</v>
      </c>
      <c r="G7" s="91">
        <f t="shared" si="1"/>
        <v>-196972</v>
      </c>
      <c r="I7" s="218" t="s">
        <v>96</v>
      </c>
      <c r="J7" s="224">
        <f>SUM(IF(C19="",0,C19),IF(C20="",0,C20))</f>
        <v>81250</v>
      </c>
      <c r="K7" s="227">
        <f>+D19+D20</f>
        <v>9750</v>
      </c>
      <c r="L7" s="228">
        <f>+F19+F20</f>
        <v>51000</v>
      </c>
    </row>
    <row r="8" spans="1:12" x14ac:dyDescent="0.35">
      <c r="A8" s="28" t="s">
        <v>47</v>
      </c>
      <c r="B8" s="133" t="str">
        <f>IF(B7&lt;&gt;"",PREMIOS!B8,"")</f>
        <v>Roja</v>
      </c>
      <c r="C8" s="90">
        <f>IF(DigitaREVENTADO!C17&lt;&gt;"",DigitaREVENTADO!C17,"")</f>
        <v>56400</v>
      </c>
      <c r="D8" s="42">
        <f>IF(C8="",0,C8*J$17)</f>
        <v>5640</v>
      </c>
      <c r="E8" s="90">
        <f>IF(DigitaREVENTADO!D17&lt;&gt;"",DigitaREVENTADO!D17,"")</f>
        <v>2550</v>
      </c>
      <c r="F8" s="42">
        <f>IF(E8="",0,E8*PREMIOS!F8)</f>
        <v>510000</v>
      </c>
      <c r="G8" s="91">
        <f t="shared" si="1"/>
        <v>-459240</v>
      </c>
      <c r="I8" s="218" t="s">
        <v>104</v>
      </c>
      <c r="J8" s="224">
        <f>SUM(IF(C21="",0,C21),IF(C22="",0,C22),IF(C23="",0,C23))</f>
        <v>120600</v>
      </c>
      <c r="K8" s="227">
        <f t="shared" ref="K8" si="4">D21+D22+D23</f>
        <v>14472</v>
      </c>
      <c r="L8" s="228">
        <f>F21+F22+F23</f>
        <v>119000</v>
      </c>
    </row>
    <row r="9" spans="1:12" x14ac:dyDescent="0.35">
      <c r="A9" s="28" t="s">
        <v>48</v>
      </c>
      <c r="B9" s="133">
        <f>IF(DigitaNICA!E2&lt;&gt;"",DigitaNICA!E2,"")</f>
        <v>20</v>
      </c>
      <c r="C9" s="90">
        <f>IF(DigitaNICA!E17&lt;&gt;"",DigitaNICA!E17,"")</f>
        <v>164250</v>
      </c>
      <c r="D9" s="42">
        <f>IF(C9="",0,C9*J$16)</f>
        <v>19710</v>
      </c>
      <c r="E9" s="90">
        <f>IF(DigitaNICA!F17&lt;&gt;"",DigitaNICA!F17,"")</f>
        <v>1250</v>
      </c>
      <c r="F9" s="42">
        <f>IF(E9="",0,E9*PREMIOS!F9)</f>
        <v>106250</v>
      </c>
      <c r="G9" s="91">
        <f t="shared" si="1"/>
        <v>38290</v>
      </c>
      <c r="I9" s="218" t="s">
        <v>20</v>
      </c>
      <c r="J9" s="224">
        <f>SUM(IF(C24="",0,C24),IF(C25="",0,C25))</f>
        <v>0</v>
      </c>
      <c r="K9" s="227">
        <f t="shared" ref="K9" si="5">+D24+D25</f>
        <v>0</v>
      </c>
      <c r="L9" s="228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19" t="s">
        <v>21</v>
      </c>
      <c r="J10" s="225">
        <f>IF(C26="",0,C26)</f>
        <v>0</v>
      </c>
      <c r="K10" s="229">
        <f>+D26</f>
        <v>0</v>
      </c>
      <c r="L10" s="230">
        <f>F26</f>
        <v>0</v>
      </c>
    </row>
    <row r="11" spans="1:12" x14ac:dyDescent="0.35">
      <c r="A11" s="28" t="s">
        <v>59</v>
      </c>
      <c r="B11" s="133">
        <f>IF(DigitaTICA!E2&lt;&gt;"",DigitaTICA!E2,"")</f>
        <v>58</v>
      </c>
      <c r="C11" s="90">
        <f>IF(DigitaTICA!E17&lt;&gt;"",DigitaTICA!E17,"")</f>
        <v>169700</v>
      </c>
      <c r="D11" s="42">
        <f>IF(C11="",0,C11*J$15)</f>
        <v>20364</v>
      </c>
      <c r="E11" s="90">
        <f>IF(DigitaTICA!F17&lt;&gt;"",DigitaTICA!F17,"")</f>
        <v>500</v>
      </c>
      <c r="F11" s="42">
        <f>IF(E11="",0,E11*PREMIOS!F11)</f>
        <v>42500</v>
      </c>
      <c r="G11" s="91">
        <f t="shared" si="1"/>
        <v>106836</v>
      </c>
    </row>
    <row r="12" spans="1:12" x14ac:dyDescent="0.35">
      <c r="A12" s="28" t="s">
        <v>60</v>
      </c>
      <c r="B12" s="133" t="str">
        <f>IF(B11&lt;&gt;"",PREMIOS!B12,"")</f>
        <v>Roja</v>
      </c>
      <c r="C12" s="90">
        <f>IF(DigitaREVENTADO!E17&lt;&gt;"",DigitaREVENTADO!E17,"")</f>
        <v>40750</v>
      </c>
      <c r="D12" s="42">
        <f>IF(C12="",0,C12*J$17)</f>
        <v>4075</v>
      </c>
      <c r="E12" s="90">
        <f>IF(DigitaREVENTADO!F17&lt;&gt;"",DigitaREVENTADO!F17,"")</f>
        <v>100</v>
      </c>
      <c r="F12" s="42">
        <f>IF(E12="",0,E12*PREMIOS!F12)</f>
        <v>20000</v>
      </c>
      <c r="G12" s="91">
        <f t="shared" si="1"/>
        <v>16675</v>
      </c>
    </row>
    <row r="13" spans="1:12" ht="15" thickBot="1" x14ac:dyDescent="0.4">
      <c r="A13" s="28" t="s">
        <v>50</v>
      </c>
      <c r="B13" s="133">
        <f>IF(DigitaNICA!G2&lt;&gt;"",DigitaNICA!G2,"")</f>
        <v>60</v>
      </c>
      <c r="C13" s="90">
        <f>IF(DigitaNICA!G17&lt;&gt;"",DigitaNICA!G17,"")</f>
        <v>64500</v>
      </c>
      <c r="D13" s="42">
        <f>IF(C13="",0,C13*J$16)</f>
        <v>7740</v>
      </c>
      <c r="E13" s="90">
        <f>IF(DigitaNICA!H17&lt;&gt;"",DigitaNICA!H17,"")</f>
        <v>1350</v>
      </c>
      <c r="F13" s="42">
        <f>IF(E13="",0,E13*PREMIOS!F13)</f>
        <v>114750</v>
      </c>
      <c r="G13" s="91">
        <f>IF(OR(C13="",E13=""),0,C13-D13-F13)</f>
        <v>-57990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3" t="str">
        <f>IF(DigitaTICA!G2&lt;&gt;"",DigitaTICA!G2,"")</f>
        <v>01</v>
      </c>
      <c r="C15" s="90">
        <f>IF(DigitaTICA!G17&lt;&gt;"",DigitaTICA!G17,"")</f>
        <v>232700</v>
      </c>
      <c r="D15" s="42">
        <f>IF(C15="",0,C15*J$15)</f>
        <v>27924</v>
      </c>
      <c r="E15" s="90">
        <f>IF(DigitaTICA!H17&lt;&gt;"",DigitaTICA!H17,"")</f>
        <v>2800</v>
      </c>
      <c r="F15" s="42">
        <f>IF(E15="",0,E15*PREMIOS!F15)</f>
        <v>238000</v>
      </c>
      <c r="G15" s="91">
        <f t="shared" si="6"/>
        <v>-33224</v>
      </c>
      <c r="I15" s="77" t="s">
        <v>36</v>
      </c>
      <c r="J15" s="78">
        <v>0.12</v>
      </c>
      <c r="K15" s="79">
        <f>MROUND(D7+D11+D15,50)</f>
        <v>70100</v>
      </c>
    </row>
    <row r="16" spans="1:12" x14ac:dyDescent="0.35">
      <c r="A16" s="28" t="s">
        <v>62</v>
      </c>
      <c r="B16" s="133" t="str">
        <f>IF(B15&lt;&gt;"",PREMIOS!B16,"")</f>
        <v>Roja</v>
      </c>
      <c r="C16" s="90">
        <f>IF(DigitaREVENTADO!G17&lt;&gt;"",DigitaREVENTADO!G17,"")</f>
        <v>61700</v>
      </c>
      <c r="D16" s="42">
        <f>IF(C16="",0,C16*J$17)</f>
        <v>6170</v>
      </c>
      <c r="E16" s="90">
        <f>IF(DigitaREVENTADO!H17&lt;&gt;"",DigitaREVENTADO!H17,"")</f>
        <v>400</v>
      </c>
      <c r="F16" s="42">
        <f>IF(E16="",0,E16*PREMIOS!F16)</f>
        <v>80000</v>
      </c>
      <c r="G16" s="91">
        <f t="shared" si="6"/>
        <v>-24470</v>
      </c>
      <c r="I16" s="63" t="s">
        <v>37</v>
      </c>
      <c r="J16" s="64">
        <v>0.12</v>
      </c>
      <c r="K16" s="30">
        <f>MROUND(D5+D9+D13+D17,50)</f>
        <v>60850</v>
      </c>
    </row>
    <row r="17" spans="1:11" x14ac:dyDescent="0.35">
      <c r="A17" s="28" t="s">
        <v>52</v>
      </c>
      <c r="B17" s="133">
        <f>IF(DigitaNICA!I2&lt;&gt;"",DigitaNICA!I2,"")</f>
        <v>63</v>
      </c>
      <c r="C17" s="90">
        <f>IF(DigitaNICA!I17&lt;&gt;"",DigitaNICA!I17,"")</f>
        <v>187400</v>
      </c>
      <c r="D17" s="42">
        <f>IF(C17="",0,C17*J$16)</f>
        <v>22488</v>
      </c>
      <c r="E17" s="90">
        <f>IF(DigitaNICA!J17&lt;&gt;"",DigitaNICA!J17,"")</f>
        <v>950</v>
      </c>
      <c r="F17" s="42">
        <f>IF(E17="",0,E17*PREMIOS!F17)</f>
        <v>80750</v>
      </c>
      <c r="G17" s="91">
        <f t="shared" si="6"/>
        <v>84162</v>
      </c>
      <c r="I17" s="63" t="s">
        <v>38</v>
      </c>
      <c r="J17" s="64">
        <v>0.1</v>
      </c>
      <c r="K17" s="30">
        <f>MROUND(D6+D8+D10+D12+D14+D16+D18,50)</f>
        <v>15900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9750</v>
      </c>
    </row>
    <row r="19" spans="1:11" x14ac:dyDescent="0.35">
      <c r="A19" s="28" t="s">
        <v>97</v>
      </c>
      <c r="B19" s="133">
        <f>IF(DigitaPRIMERA!C2&lt;&gt;"",DigitaPRIMERA!C2,"")</f>
        <v>24</v>
      </c>
      <c r="C19" s="29">
        <f>IF(DigitaPRIMERA!$C$17&lt;&gt;"",DigitaPRIMERA!$C$17,"")</f>
        <v>66500</v>
      </c>
      <c r="D19" s="42">
        <f>IF(C19="",0,C19*J$18)</f>
        <v>7980</v>
      </c>
      <c r="E19" s="29">
        <f>IF(DigitaPRIMERA!$D$17&lt;&gt;"",DigitaPRIMERA!$D$17,"")</f>
        <v>600</v>
      </c>
      <c r="F19" s="42">
        <f>IF(E19="",0,E19*PREMIOS!F19)</f>
        <v>51000</v>
      </c>
      <c r="G19" s="30">
        <f t="shared" si="6"/>
        <v>7520</v>
      </c>
      <c r="I19" s="63" t="s">
        <v>104</v>
      </c>
      <c r="J19" s="64">
        <v>0.12</v>
      </c>
      <c r="K19" s="30">
        <f>MROUND(D21+D22+D23,50)</f>
        <v>14450</v>
      </c>
    </row>
    <row r="20" spans="1:11" x14ac:dyDescent="0.35">
      <c r="A20" s="28" t="s">
        <v>98</v>
      </c>
      <c r="B20" s="133">
        <f>IF(DigitaPRIMERA!E2&lt;&gt;"",DigitaPRIMERA!E2,"")</f>
        <v>20</v>
      </c>
      <c r="C20" s="29">
        <f>IF(DigitaPRIMERA!$E$17&lt;&gt;"",DigitaPRIMERA!$E$17,"")</f>
        <v>14750</v>
      </c>
      <c r="D20" s="42">
        <f>IF(C20="",0,C20*J$18)</f>
        <v>1770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12980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72</v>
      </c>
      <c r="C21" s="29">
        <f>IF(DigitaHONDURAS!$C$17&lt;&gt;"",DigitaHONDURAS!$C$17,"")</f>
        <v>58300</v>
      </c>
      <c r="D21" s="42">
        <f>IF(C21="",0,C21*J$19)</f>
        <v>6996</v>
      </c>
      <c r="E21" s="29">
        <f>IF(DigitaHONDURAS!$D$17&lt;&gt;"",DigitaHONDURAS!$D$17,"")</f>
        <v>1400</v>
      </c>
      <c r="F21" s="42">
        <f>IF(E21="",0,E21*PREMIOS!F20)</f>
        <v>119000</v>
      </c>
      <c r="G21" s="30">
        <f t="shared" si="6"/>
        <v>-67696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64</v>
      </c>
      <c r="C22" s="29">
        <f>IF(DigitaHONDURAS!$E$17&lt;&gt;"",DigitaHONDURAS!$E$17,"")</f>
        <v>20100</v>
      </c>
      <c r="D22" s="42">
        <f>IF(C22="",0,C22*J$19)</f>
        <v>2412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17688</v>
      </c>
    </row>
    <row r="23" spans="1:11" x14ac:dyDescent="0.35">
      <c r="A23" s="28" t="s">
        <v>101</v>
      </c>
      <c r="B23" s="133">
        <f>IF(DigitaHONDURAS!G2&lt;&gt;"",DigitaHONDURAS!G2,"")</f>
        <v>73</v>
      </c>
      <c r="C23" s="29">
        <f>IF(DigitaHONDURAS!$G$17&lt;&gt;"",DigitaHONDURAS!$G$17,"")</f>
        <v>42200</v>
      </c>
      <c r="D23" s="42">
        <f>IF(C23="",0,C23*J$19)</f>
        <v>5064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37136</v>
      </c>
    </row>
    <row r="24" spans="1:11" x14ac:dyDescent="0.35">
      <c r="A24" s="28" t="s">
        <v>102</v>
      </c>
      <c r="B24" s="133" t="str">
        <f>IF(DigitaDOMINICANA!C2&lt;&gt;"",DigitaDOMINICANA!C2,"")</f>
        <v>01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68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1451950</v>
      </c>
      <c r="D27" s="68">
        <f t="shared" ref="D27:G27" si="7">SUM(D5:D26)</f>
        <v>171057</v>
      </c>
      <c r="E27" s="68">
        <f t="shared" si="7"/>
        <v>16550</v>
      </c>
      <c r="F27" s="68">
        <f t="shared" si="7"/>
        <v>1757500</v>
      </c>
      <c r="G27" s="89">
        <f t="shared" si="7"/>
        <v>-476607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173400</v>
      </c>
      <c r="K4" s="232">
        <f t="shared" ref="K4" si="0">D7+D11+D15</f>
        <v>20808</v>
      </c>
      <c r="L4" s="221">
        <f>F7+F11+F15</f>
        <v>242250</v>
      </c>
    </row>
    <row r="5" spans="1:12" x14ac:dyDescent="0.35">
      <c r="A5" s="28" t="str">
        <f>+Vendedor1!A5</f>
        <v>Nica 11am</v>
      </c>
      <c r="B5" s="133">
        <f>IF(DigitaNICA!C2&lt;&gt;"",DigitaNICA!C2,"")</f>
        <v>64</v>
      </c>
      <c r="C5" s="29">
        <f>IF(DigitaNICA!C18&lt;&gt;"",DigitaNICA!C18,"")</f>
        <v>52250</v>
      </c>
      <c r="D5" s="42">
        <f>IF(C5="",0,C5*J$16)</f>
        <v>6270</v>
      </c>
      <c r="E5" s="29">
        <f>IF(DigitaNICA!D18&lt;&gt;"",DigitaNICA!D18,"")</f>
        <v>0</v>
      </c>
      <c r="F5" s="42">
        <f>IF(E5="",0,E5*PREMIOS!F5)</f>
        <v>0</v>
      </c>
      <c r="G5" s="30">
        <f t="shared" ref="G5:G12" si="1">IF(OR(C5="",E5=""),0,C5-D5-F5)</f>
        <v>45980</v>
      </c>
      <c r="I5" s="218" t="s">
        <v>37</v>
      </c>
      <c r="J5" s="222">
        <f>SUM(IF(C5="",0,C5),IF(C9="",0,C9),IF(C13="",0,C13),IF(C17="",0,C17))</f>
        <v>175500</v>
      </c>
      <c r="K5" s="226">
        <f t="shared" ref="K5" si="2">D5+D9+D13+D17</f>
        <v>21060</v>
      </c>
      <c r="L5" s="223">
        <f>F5+F9+F13+F17</f>
        <v>255000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8" t="s">
        <v>38</v>
      </c>
      <c r="J6" s="222">
        <f>SUM(IF(C8="",0,C8),IF(C12="",0,C12),IF(C16="",0,C16))</f>
        <v>81500</v>
      </c>
      <c r="K6" s="227">
        <f t="shared" ref="K6" si="3">+D8+D12+D16</f>
        <v>8150</v>
      </c>
      <c r="L6" s="228">
        <f>+F8+F12+F16</f>
        <v>220000</v>
      </c>
    </row>
    <row r="7" spans="1:12" x14ac:dyDescent="0.35">
      <c r="A7" s="28" t="str">
        <f>+Vendedor1!A7</f>
        <v>Tica 1pm</v>
      </c>
      <c r="B7" s="133" t="str">
        <f>IF(DigitaTICA!C2&lt;&gt;"",DigitaTICA!C2,"")</f>
        <v>06</v>
      </c>
      <c r="C7" s="29">
        <f>IF(DigitaTICA!C18&lt;&gt;"",DigitaTICA!C18,"")</f>
        <v>66550</v>
      </c>
      <c r="D7" s="42">
        <f>IF(C7="",0,C7*J$15)</f>
        <v>7986</v>
      </c>
      <c r="E7" s="29">
        <f>IF(DigitaTICA!D18&lt;&gt;"",DigitaTICA!D18,"")</f>
        <v>2200</v>
      </c>
      <c r="F7" s="42">
        <f>IF(E7="",0,E7*PREMIOS!F7)</f>
        <v>187000</v>
      </c>
      <c r="G7" s="30">
        <f t="shared" si="1"/>
        <v>-128436</v>
      </c>
      <c r="I7" s="218" t="s">
        <v>96</v>
      </c>
      <c r="J7" s="224">
        <f>SUM(IF(C19="",0,C19),IF(C20="",0,C20))</f>
        <v>74400</v>
      </c>
      <c r="K7" s="227">
        <f>+D19+D20</f>
        <v>8928</v>
      </c>
      <c r="L7" s="228">
        <f>+F19+F20</f>
        <v>106250</v>
      </c>
    </row>
    <row r="8" spans="1:12" x14ac:dyDescent="0.35">
      <c r="A8" s="28" t="str">
        <f>+Vendedor1!A8</f>
        <v>Reventado 1pm</v>
      </c>
      <c r="B8" s="133" t="str">
        <f>IF(B7&lt;&gt;"",PREMIOS!B8,"")</f>
        <v>Roja</v>
      </c>
      <c r="C8" s="29">
        <f>IF(DigitaREVENTADO!C18&lt;&gt;"",DigitaREVENTADO!C18,"")</f>
        <v>33100</v>
      </c>
      <c r="D8" s="42">
        <f>IF(C8="",0,C8*J$17)</f>
        <v>3310</v>
      </c>
      <c r="E8" s="29">
        <f>IF(DigitaREVENTADO!D18&lt;&gt;"",DigitaREVENTADO!D18,"")</f>
        <v>600</v>
      </c>
      <c r="F8" s="42">
        <f>IF(E8="",0,E8*PREMIOS!F8)</f>
        <v>120000</v>
      </c>
      <c r="G8" s="30">
        <f t="shared" si="1"/>
        <v>-90210</v>
      </c>
      <c r="I8" s="218" t="s">
        <v>104</v>
      </c>
      <c r="J8" s="224">
        <f>SUM(IF(C21="",0,C21),IF(C22="",0,C22),IF(C23="",0,C23))</f>
        <v>18150</v>
      </c>
      <c r="K8" s="227">
        <f t="shared" ref="K8" si="4">D21+D22+D23</f>
        <v>2178</v>
      </c>
      <c r="L8" s="228">
        <f>F21+F22+F23</f>
        <v>0</v>
      </c>
    </row>
    <row r="9" spans="1:12" x14ac:dyDescent="0.35">
      <c r="A9" s="28" t="str">
        <f>+Vendedor1!A9</f>
        <v>Nica 3pm</v>
      </c>
      <c r="B9" s="133">
        <f>IF(DigitaNICA!E2&lt;&gt;"",DigitaNICA!E2,"")</f>
        <v>20</v>
      </c>
      <c r="C9" s="29">
        <f>IF(DigitaNICA!E18&lt;&gt;"",DigitaNICA!E18,"")</f>
        <v>52800</v>
      </c>
      <c r="D9" s="42">
        <f>IF(C9="",0,C9*J$16)</f>
        <v>6336</v>
      </c>
      <c r="E9" s="29">
        <f>IF(DigitaNICA!F18&lt;&gt;"",DigitaNICA!F18,"")</f>
        <v>1500</v>
      </c>
      <c r="F9" s="42">
        <f>IF(E9="",0,E9*PREMIOS!F9)</f>
        <v>127500</v>
      </c>
      <c r="G9" s="30">
        <f t="shared" si="1"/>
        <v>-81036</v>
      </c>
      <c r="I9" s="218" t="s">
        <v>20</v>
      </c>
      <c r="J9" s="224">
        <f>SUM(IF(C24="",0,C24),IF(C25="",0,C25))</f>
        <v>0</v>
      </c>
      <c r="K9" s="227">
        <f t="shared" ref="K9" si="5">+D24+D25</f>
        <v>0</v>
      </c>
      <c r="L9" s="228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9" t="s">
        <v>21</v>
      </c>
      <c r="J10" s="225">
        <f>IF(C26="",0,C26)</f>
        <v>0</v>
      </c>
      <c r="K10" s="229">
        <f>+D26</f>
        <v>0</v>
      </c>
      <c r="L10" s="230">
        <f>F26</f>
        <v>0</v>
      </c>
    </row>
    <row r="11" spans="1:12" x14ac:dyDescent="0.35">
      <c r="A11" s="28" t="s">
        <v>59</v>
      </c>
      <c r="B11" s="133">
        <f>IF(DigitaTICA!E2&lt;&gt;"",DigitaTICA!E2,"")</f>
        <v>58</v>
      </c>
      <c r="C11" s="29">
        <f>IF(DigitaTICA!E18&lt;&gt;"",DigitaTICA!E18,"")</f>
        <v>38850</v>
      </c>
      <c r="D11" s="42">
        <f>IF(C11="",0,C11*J$15)</f>
        <v>4662</v>
      </c>
      <c r="E11" s="29">
        <f>IF(DigitaTICA!F18&lt;&gt;"",DigitaTICA!F18,"")</f>
        <v>150</v>
      </c>
      <c r="F11" s="42">
        <f>IF(E11="",0,E11*PREMIOS!F11)</f>
        <v>12750</v>
      </c>
      <c r="G11" s="30">
        <f t="shared" si="1"/>
        <v>21438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IF(DigitaREVENTADO!E18&lt;&gt;"",DigitaREVENTADO!E18,"")</f>
        <v>20600</v>
      </c>
      <c r="D12" s="42">
        <f>IF(C12="",0,C12*J$17)</f>
        <v>2060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18540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60</v>
      </c>
      <c r="C13" s="29">
        <f>IF(DigitaNICA!G18&lt;&gt;"",DigitaNICA!G18,"")</f>
        <v>40750</v>
      </c>
      <c r="D13" s="42">
        <f>IF(C13="",0,C13*J$16)</f>
        <v>4890</v>
      </c>
      <c r="E13" s="29">
        <f>IF(DigitaNICA!H18&lt;&gt;"",DigitaNICA!H18,"")</f>
        <v>1500</v>
      </c>
      <c r="F13" s="42">
        <f>IF(E13="",0,E13*PREMIOS!F13)</f>
        <v>127500</v>
      </c>
      <c r="G13" s="30">
        <f>IF(OR(C13="",E13=""),0,C13-D13-F13)</f>
        <v>-91640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3" t="str">
        <f>IF(DigitaTICA!G2&lt;&gt;"",DigitaTICA!G2,"")</f>
        <v>01</v>
      </c>
      <c r="C15" s="29">
        <f>IF(DigitaTICA!G18&lt;&gt;"",DigitaTICA!G18,"")</f>
        <v>68000</v>
      </c>
      <c r="D15" s="42">
        <f>IF(C15="",0,C15*J$15)</f>
        <v>8160</v>
      </c>
      <c r="E15" s="29">
        <f>IF(DigitaTICA!H18&lt;&gt;"",DigitaTICA!H18,"")</f>
        <v>500</v>
      </c>
      <c r="F15" s="42">
        <f>IF(E15="",0,E15*PREMIOS!F15)</f>
        <v>42500</v>
      </c>
      <c r="G15" s="30">
        <f t="shared" si="6"/>
        <v>17340</v>
      </c>
      <c r="I15" s="77" t="s">
        <v>36</v>
      </c>
      <c r="J15" s="78">
        <v>0.12</v>
      </c>
      <c r="K15" s="79">
        <f>MROUND(D7+D11+D15,50)</f>
        <v>20800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Roja</v>
      </c>
      <c r="C16" s="29">
        <f>IF(DigitaREVENTADO!G18&lt;&gt;"",DigitaREVENTADO!G18,"")</f>
        <v>27800</v>
      </c>
      <c r="D16" s="42">
        <f>IF(C16="",0,C16*J$17)</f>
        <v>2780</v>
      </c>
      <c r="E16" s="29">
        <f>IF(DigitaREVENTADO!H18&lt;&gt;"",DigitaREVENTADO!H18,"")</f>
        <v>500</v>
      </c>
      <c r="F16" s="42">
        <f>IF(E16="",0,E16*PREMIOS!F16)</f>
        <v>100000</v>
      </c>
      <c r="G16" s="30">
        <f t="shared" si="6"/>
        <v>-74980</v>
      </c>
      <c r="I16" s="63" t="s">
        <v>37</v>
      </c>
      <c r="J16" s="64">
        <v>0.12</v>
      </c>
      <c r="K16" s="30">
        <f>MROUND(D5+D9+D13+D17,50)</f>
        <v>21050</v>
      </c>
    </row>
    <row r="17" spans="1:11" x14ac:dyDescent="0.35">
      <c r="A17" s="28" t="str">
        <f>+Vendedor1!A17</f>
        <v>Nica 9pm</v>
      </c>
      <c r="B17" s="133">
        <f>IF(DigitaNICA!I2&lt;&gt;"",DigitaNICA!I2,"")</f>
        <v>63</v>
      </c>
      <c r="C17" s="29">
        <f>IF(DigitaNICA!I18&lt;&gt;"",DigitaNICA!I18,"")</f>
        <v>29700</v>
      </c>
      <c r="D17" s="42">
        <f>IF(C17="",0,C17*J$16)</f>
        <v>3564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26136</v>
      </c>
      <c r="I17" s="63" t="s">
        <v>38</v>
      </c>
      <c r="J17" s="64">
        <v>0.1</v>
      </c>
      <c r="K17" s="30">
        <f>MROUND(D6+D8+D10+D12+D14+D16+D18,50)</f>
        <v>8150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8950</v>
      </c>
    </row>
    <row r="19" spans="1:11" x14ac:dyDescent="0.35">
      <c r="A19" s="28" t="s">
        <v>97</v>
      </c>
      <c r="B19" s="133">
        <f>IF(DigitaPRIMERA!C2&lt;&gt;"",DigitaPRIMERA!C2,"")</f>
        <v>24</v>
      </c>
      <c r="C19" s="29">
        <f>IF(DigitaPRIMERA!$C$18&lt;&gt;"",DigitaPRIMERA!$C$18,"")</f>
        <v>40900</v>
      </c>
      <c r="D19" s="42">
        <f>IF(C19="",0,C19*J$18)</f>
        <v>4908</v>
      </c>
      <c r="E19" s="29">
        <f>IF(DigitaPRIMERA!$D$18&lt;&gt;"",DigitaPRIMERA!$D$18,"")</f>
        <v>350</v>
      </c>
      <c r="F19" s="42">
        <f>IF(E19="",0,E19*PREMIOS!F19)</f>
        <v>29750</v>
      </c>
      <c r="G19" s="30">
        <f t="shared" si="6"/>
        <v>6242</v>
      </c>
      <c r="I19" s="63" t="s">
        <v>104</v>
      </c>
      <c r="J19" s="64">
        <v>0.12</v>
      </c>
      <c r="K19" s="30">
        <f>MROUND(D21+D22+D23,50)</f>
        <v>2200</v>
      </c>
    </row>
    <row r="20" spans="1:11" x14ac:dyDescent="0.35">
      <c r="A20" s="28" t="s">
        <v>98</v>
      </c>
      <c r="B20" s="133">
        <f>IF(DigitaPRIMERA!E2&lt;&gt;"",DigitaPRIMERA!E2,"")</f>
        <v>20</v>
      </c>
      <c r="C20" s="29">
        <f>IF(DigitaPRIMERA!$E$18&lt;&gt;"",DigitaPRIMERA!$E$18,"")</f>
        <v>33500</v>
      </c>
      <c r="D20" s="42">
        <f>IF(C20="",0,C20*J$18)</f>
        <v>4020</v>
      </c>
      <c r="E20" s="29">
        <f>IF(DigitaPRIMERA!$F$18&lt;&gt;"",DigitaPRIMERA!$F$18,"")</f>
        <v>900</v>
      </c>
      <c r="F20" s="42">
        <f>IF(E20="",0,E20*PREMIOS!F19)</f>
        <v>76500</v>
      </c>
      <c r="G20" s="30">
        <f t="shared" si="6"/>
        <v>-47020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72</v>
      </c>
      <c r="C21" s="29">
        <f>IF(DigitaHONDURAS!$C$18&lt;&gt;"",DigitaHONDURAS!$C$18,"")</f>
        <v>8000</v>
      </c>
      <c r="D21" s="42">
        <f>IF(C21="",0,C21*J$19)</f>
        <v>960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7040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64</v>
      </c>
      <c r="C22" s="29">
        <f>IF(DigitaHONDURAS!$E$18&lt;&gt;"",DigitaHONDURAS!$E$18,"")</f>
        <v>6850</v>
      </c>
      <c r="D22" s="42">
        <f>IF(C22="",0,C22*J$19)</f>
        <v>822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6028</v>
      </c>
    </row>
    <row r="23" spans="1:11" x14ac:dyDescent="0.35">
      <c r="A23" s="28" t="s">
        <v>101</v>
      </c>
      <c r="B23" s="133">
        <f>IF(DigitaHONDURAS!G2&lt;&gt;"",DigitaHONDURAS!G2,"")</f>
        <v>73</v>
      </c>
      <c r="C23" s="29">
        <f>IF(DigitaHONDURAS!$G$18&lt;&gt;"",DigitaHONDURAS!$G$18,"")</f>
        <v>3300</v>
      </c>
      <c r="D23" s="42">
        <f>IF(C23="",0,C23*J$19)</f>
        <v>396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2904</v>
      </c>
    </row>
    <row r="24" spans="1:11" x14ac:dyDescent="0.35">
      <c r="A24" s="28" t="s">
        <v>102</v>
      </c>
      <c r="B24" s="133" t="str">
        <f>IF(DigitaDOMINICANA!C2&lt;&gt;"",DigitaDOMINICANA!C2,"")</f>
        <v>01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68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522950</v>
      </c>
      <c r="D27" s="68">
        <f t="shared" ref="D27:G27" si="7">SUM(D5:D26)</f>
        <v>61124</v>
      </c>
      <c r="E27" s="68">
        <f t="shared" si="7"/>
        <v>8200</v>
      </c>
      <c r="F27" s="68">
        <f t="shared" si="7"/>
        <v>823500</v>
      </c>
      <c r="G27" s="89">
        <f t="shared" si="7"/>
        <v>-361674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1" t="s">
        <v>88</v>
      </c>
      <c r="D2" s="281"/>
      <c r="E2" s="281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64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 t="str">
        <f>IF(DigitaTICA!C2&lt;&gt;"",DigitaTICA!C2,"")</f>
        <v>06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3">
        <f>IF(DigitaNICA!E2&lt;&gt;"",DigitaNICA!E2,"")</f>
        <v>20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58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60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 t="str">
        <f>IF(DigitaTICA!G2&lt;&gt;"",DigitaTICA!G2,"")</f>
        <v>01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63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64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 t="str">
        <f>IF(DigitaTICA!C2&lt;&gt;"",DigitaTICA!C2,"")</f>
        <v>06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3">
        <f>IF(DigitaNICA!E2&lt;&gt;"",DigitaNICA!E2,"")</f>
        <v>20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58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60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 t="str">
        <f>IF(DigitaTICA!G2&lt;&gt;"",DigitaTICA!G2,"")</f>
        <v>01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1" t="s">
        <v>84</v>
      </c>
      <c r="D2" s="281"/>
      <c r="E2" s="281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64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 t="str">
        <f>IF(DigitaTICA!C2&lt;&gt;"",DigitaTICA!C2,"")</f>
        <v>06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20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58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60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1" t="s">
        <v>83</v>
      </c>
      <c r="D2" s="281"/>
      <c r="E2" s="281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64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 t="str">
        <f>IF(DigitaTICA!C2&lt;&gt;"",DigitaTICA!C2,"")</f>
        <v>06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20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58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60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1" t="s">
        <v>82</v>
      </c>
      <c r="D2" s="281"/>
      <c r="E2" s="281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64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 t="str">
        <f>IF(DigitaTICA!C2&lt;&gt;"",DigitaTICA!C2,"")</f>
        <v>06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20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58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60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-1300</v>
      </c>
    </row>
    <row r="12" spans="1:11" x14ac:dyDescent="0.35">
      <c r="A12" s="28" t="s">
        <v>60</v>
      </c>
      <c r="B12" s="127"/>
      <c r="C12" s="29">
        <f>IF(DigitaREVENTADO!E27&lt;&gt;"",DigitaREVENTADO!E27,"")</f>
        <v>-13150</v>
      </c>
      <c r="D12" s="42">
        <f>IF(C12="",0,C12*J$11)</f>
        <v>-1315</v>
      </c>
      <c r="E12" s="29">
        <f>IF(DigitaREVENTADO!F27&lt;&gt;"",DigitaREVENTADO!F27,"")</f>
        <v>0</v>
      </c>
      <c r="F12" s="42">
        <f>IF(E12="",0,E12*PREMIOS!F12)</f>
        <v>0</v>
      </c>
      <c r="G12" s="30">
        <f t="shared" si="0"/>
        <v>-11835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-13150</v>
      </c>
      <c r="D27" s="68">
        <f t="shared" ref="D27:G27" si="2">SUM(D5:D26)</f>
        <v>-1315</v>
      </c>
      <c r="E27" s="68">
        <f t="shared" si="2"/>
        <v>0</v>
      </c>
      <c r="F27" s="68">
        <f t="shared" si="2"/>
        <v>0</v>
      </c>
      <c r="G27" s="89">
        <f t="shared" si="2"/>
        <v>-11835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topLeftCell="A4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IF(PREMIOS!$B7="","",PREMIOS!$B7)</f>
        <v>06</v>
      </c>
      <c r="D2" s="268"/>
      <c r="E2" s="267">
        <f>IF(PREMIOS!$B11="","",PREMIOS!$B11)</f>
        <v>58</v>
      </c>
      <c r="F2" s="268"/>
      <c r="G2" s="267" t="str">
        <f>IF(PREMIOS!$B15="","",PREMIOS!$B15)</f>
        <v>01</v>
      </c>
      <c r="H2" s="268"/>
    </row>
    <row r="3" spans="1:11" ht="15" thickBot="1" x14ac:dyDescent="0.4">
      <c r="C3" s="267"/>
      <c r="D3" s="268"/>
      <c r="E3" s="267"/>
      <c r="F3" s="268"/>
      <c r="G3" s="267"/>
      <c r="H3" s="268"/>
      <c r="J3" s="111" t="s">
        <v>28</v>
      </c>
      <c r="K3" s="111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50350</v>
      </c>
      <c r="D4" s="79">
        <f t="shared" ref="D4:H27" si="0">IF(C4="","",0)</f>
        <v>0</v>
      </c>
      <c r="E4" s="189">
        <v>23350</v>
      </c>
      <c r="F4" s="79">
        <f t="shared" si="0"/>
        <v>0</v>
      </c>
      <c r="G4" s="189">
        <v>56350</v>
      </c>
      <c r="H4" s="79">
        <v>500</v>
      </c>
      <c r="J4" s="42">
        <f t="shared" ref="J4:J8" si="1">+C4+E4+G4</f>
        <v>130050</v>
      </c>
      <c r="K4" s="42">
        <f>IF(D4="",0,IF(F4="",D4,IF(H4="",D4+F4,D4+F4+H4)))</f>
        <v>500</v>
      </c>
    </row>
    <row r="5" spans="1:11" x14ac:dyDescent="0.35">
      <c r="A5" s="47">
        <v>2</v>
      </c>
      <c r="B5" s="178" t="str">
        <f>Vendedor2!$B$2</f>
        <v>PUESTO 2</v>
      </c>
      <c r="C5" s="180">
        <v>51600</v>
      </c>
      <c r="D5" s="30">
        <v>300</v>
      </c>
      <c r="E5" s="180">
        <v>35300</v>
      </c>
      <c r="F5" s="30">
        <v>500</v>
      </c>
      <c r="G5" s="180">
        <v>60850</v>
      </c>
      <c r="H5" s="30">
        <v>250</v>
      </c>
      <c r="J5" s="42">
        <f t="shared" si="1"/>
        <v>147750</v>
      </c>
      <c r="K5" s="42">
        <f t="shared" ref="K5:K27" si="2">IF(D5="",0,IF(F5="",D5,IF(H5="",D5+F5,D5+F5+H5)))</f>
        <v>1050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>
        <v>8000</v>
      </c>
      <c r="H7" s="30">
        <f t="shared" si="0"/>
        <v>0</v>
      </c>
      <c r="J7" s="42">
        <f t="shared" si="1"/>
        <v>8000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69650</v>
      </c>
      <c r="D8" s="30">
        <v>700</v>
      </c>
      <c r="E8" s="180">
        <v>58750</v>
      </c>
      <c r="F8" s="30">
        <v>150</v>
      </c>
      <c r="G8" s="180">
        <v>82150</v>
      </c>
      <c r="H8" s="30">
        <v>350</v>
      </c>
      <c r="J8" s="42">
        <f t="shared" si="1"/>
        <v>210550</v>
      </c>
      <c r="K8" s="42">
        <f t="shared" si="2"/>
        <v>1200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157150</v>
      </c>
      <c r="D10" s="30">
        <v>3150</v>
      </c>
      <c r="E10" s="180">
        <v>156700</v>
      </c>
      <c r="F10" s="30">
        <v>850</v>
      </c>
      <c r="G10" s="180">
        <v>190450</v>
      </c>
      <c r="H10" s="30">
        <v>3100</v>
      </c>
      <c r="J10" s="42">
        <f t="shared" si="3"/>
        <v>504300</v>
      </c>
      <c r="K10" s="42">
        <f t="shared" si="2"/>
        <v>7100</v>
      </c>
    </row>
    <row r="11" spans="1:11" x14ac:dyDescent="0.35">
      <c r="A11" s="47">
        <v>8</v>
      </c>
      <c r="B11" s="178" t="str">
        <f>Vendedor8!$B$2</f>
        <v>ISA</v>
      </c>
      <c r="C11" s="180">
        <v>15500</v>
      </c>
      <c r="D11" s="30">
        <f t="shared" si="0"/>
        <v>0</v>
      </c>
      <c r="E11" s="180"/>
      <c r="F11" s="30" t="str">
        <f t="shared" si="0"/>
        <v/>
      </c>
      <c r="G11" s="180">
        <v>11600</v>
      </c>
      <c r="H11" s="30">
        <f t="shared" si="0"/>
        <v>0</v>
      </c>
      <c r="J11" s="42">
        <f t="shared" si="3"/>
        <v>27100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31900</v>
      </c>
      <c r="D12" s="30">
        <v>500</v>
      </c>
      <c r="E12" s="180">
        <v>36100</v>
      </c>
      <c r="F12" s="30">
        <f t="shared" si="0"/>
        <v>0</v>
      </c>
      <c r="G12" s="180">
        <v>17550</v>
      </c>
      <c r="H12" s="30">
        <v>300</v>
      </c>
      <c r="J12" s="42">
        <f t="shared" si="3"/>
        <v>85550</v>
      </c>
      <c r="K12" s="42">
        <f t="shared" si="2"/>
        <v>800</v>
      </c>
    </row>
    <row r="13" spans="1:11" x14ac:dyDescent="0.35">
      <c r="A13" s="47">
        <v>10</v>
      </c>
      <c r="B13" s="178" t="str">
        <f>Vendedor10!$B$2</f>
        <v>MARIALIZ</v>
      </c>
      <c r="C13" s="180">
        <v>36000</v>
      </c>
      <c r="D13" s="30">
        <v>200</v>
      </c>
      <c r="E13" s="180">
        <v>20950</v>
      </c>
      <c r="F13" s="30">
        <f t="shared" si="0"/>
        <v>0</v>
      </c>
      <c r="G13" s="180">
        <v>46700</v>
      </c>
      <c r="H13" s="30">
        <v>1150</v>
      </c>
      <c r="J13" s="42">
        <f t="shared" si="3"/>
        <v>103650</v>
      </c>
      <c r="K13" s="42">
        <f t="shared" si="2"/>
        <v>1350</v>
      </c>
    </row>
    <row r="14" spans="1:11" x14ac:dyDescent="0.35">
      <c r="A14" s="47">
        <v>11</v>
      </c>
      <c r="B14" s="178" t="str">
        <f>Vendedor11!$B$2</f>
        <v>CHARLY</v>
      </c>
      <c r="C14" s="180">
        <v>51650</v>
      </c>
      <c r="D14" s="30">
        <v>1100</v>
      </c>
      <c r="E14" s="180">
        <v>14900</v>
      </c>
      <c r="F14" s="30">
        <f t="shared" si="0"/>
        <v>0</v>
      </c>
      <c r="G14" s="180">
        <v>37700</v>
      </c>
      <c r="H14" s="30">
        <v>300</v>
      </c>
      <c r="J14" s="42">
        <f t="shared" si="3"/>
        <v>104250</v>
      </c>
      <c r="K14" s="42">
        <f t="shared" si="2"/>
        <v>1400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7500</v>
      </c>
      <c r="D16" s="30">
        <f t="shared" si="0"/>
        <v>0</v>
      </c>
      <c r="E16" s="180">
        <v>10900</v>
      </c>
      <c r="F16" s="30">
        <f t="shared" si="0"/>
        <v>0</v>
      </c>
      <c r="G16" s="180">
        <v>18650</v>
      </c>
      <c r="H16" s="30">
        <v>500</v>
      </c>
      <c r="J16" s="42">
        <f t="shared" si="3"/>
        <v>37050</v>
      </c>
      <c r="K16" s="42">
        <f t="shared" si="2"/>
        <v>500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111150+70700</f>
        <v>181850</v>
      </c>
      <c r="D17" s="30">
        <f>1150+3050</f>
        <v>4200</v>
      </c>
      <c r="E17" s="180">
        <f>48950+120750</f>
        <v>169700</v>
      </c>
      <c r="F17" s="30">
        <f>100+400</f>
        <v>500</v>
      </c>
      <c r="G17" s="180">
        <f>76750+155950</f>
        <v>232700</v>
      </c>
      <c r="H17" s="30">
        <f>800+2000</f>
        <v>2800</v>
      </c>
      <c r="J17" s="42">
        <f t="shared" si="3"/>
        <v>584250</v>
      </c>
      <c r="K17" s="42">
        <f t="shared" si="2"/>
        <v>7500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35800+30750</f>
        <v>66550</v>
      </c>
      <c r="D18" s="30">
        <f>600+1600</f>
        <v>2200</v>
      </c>
      <c r="E18" s="180">
        <f>16350+22500</f>
        <v>38850</v>
      </c>
      <c r="F18" s="30">
        <f>150+0</f>
        <v>150</v>
      </c>
      <c r="G18" s="180">
        <f>39200+28800</f>
        <v>68000</v>
      </c>
      <c r="H18" s="30">
        <v>500</v>
      </c>
      <c r="J18" s="42">
        <f t="shared" si="3"/>
        <v>173400</v>
      </c>
      <c r="K18" s="42">
        <f t="shared" si="2"/>
        <v>2850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719700</v>
      </c>
      <c r="D32" s="44">
        <f t="shared" si="6"/>
        <v>12350</v>
      </c>
      <c r="E32" s="43">
        <f t="shared" si="6"/>
        <v>565500</v>
      </c>
      <c r="F32" s="44">
        <f t="shared" si="6"/>
        <v>2150</v>
      </c>
      <c r="G32" s="43">
        <f t="shared" si="6"/>
        <v>830700</v>
      </c>
      <c r="H32" s="44">
        <f t="shared" si="6"/>
        <v>9750</v>
      </c>
      <c r="J32" s="96">
        <f>SUM(J4:J31)</f>
        <v>2115900</v>
      </c>
      <c r="K32" s="96"/>
    </row>
    <row r="33" spans="2:8" x14ac:dyDescent="0.35">
      <c r="D33" s="100">
        <f>+D32*85</f>
        <v>1049750</v>
      </c>
      <c r="F33" s="100">
        <f>+F32*85</f>
        <v>182750</v>
      </c>
      <c r="H33" s="100">
        <f>+H32*85</f>
        <v>828750</v>
      </c>
    </row>
    <row r="34" spans="2:8" x14ac:dyDescent="0.35">
      <c r="B34" s="248" t="s">
        <v>149</v>
      </c>
      <c r="C34" s="43">
        <f t="shared" ref="C34:H34" si="7">+C4+C5+C6+C8+C13</f>
        <v>207600</v>
      </c>
      <c r="D34" s="43" t="e">
        <f t="shared" si="7"/>
        <v>#VALUE!</v>
      </c>
      <c r="E34" s="43">
        <f t="shared" si="7"/>
        <v>138350</v>
      </c>
      <c r="F34" s="43" t="e">
        <f t="shared" si="7"/>
        <v>#VALUE!</v>
      </c>
      <c r="G34" s="43">
        <f t="shared" si="7"/>
        <v>246050</v>
      </c>
      <c r="H34" s="43" t="e">
        <f t="shared" si="7"/>
        <v>#VALUE!</v>
      </c>
    </row>
    <row r="35" spans="2:8" x14ac:dyDescent="0.35">
      <c r="B35" s="248" t="s">
        <v>150</v>
      </c>
      <c r="C35" s="43">
        <f>+C11+C14+C15+C17+C18</f>
        <v>315550</v>
      </c>
      <c r="D35" s="43" t="e">
        <f t="shared" ref="D35:H35" si="8">+D11+D14+D15+D17+D18</f>
        <v>#VALUE!</v>
      </c>
      <c r="E35" s="43">
        <f t="shared" si="8"/>
        <v>223450</v>
      </c>
      <c r="F35" s="43" t="e">
        <f t="shared" si="8"/>
        <v>#VALUE!</v>
      </c>
      <c r="G35" s="43">
        <f t="shared" si="8"/>
        <v>350000</v>
      </c>
      <c r="H35" s="43" t="e">
        <f t="shared" si="8"/>
        <v>#VALUE!</v>
      </c>
    </row>
    <row r="36" spans="2:8" x14ac:dyDescent="0.35">
      <c r="B36" s="248" t="s">
        <v>151</v>
      </c>
      <c r="C36" s="43">
        <f>+C10+C12+C27</f>
        <v>189050</v>
      </c>
      <c r="D36" s="43" t="e">
        <f t="shared" ref="D36:H36" si="9">+D10+D12+D27</f>
        <v>#VALUE!</v>
      </c>
      <c r="E36" s="43">
        <f t="shared" si="9"/>
        <v>192800</v>
      </c>
      <c r="F36" s="43" t="e">
        <f t="shared" si="9"/>
        <v>#VALUE!</v>
      </c>
      <c r="G36" s="43">
        <f t="shared" si="9"/>
        <v>208000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x14ac:dyDescent="0.35">
      <c r="C2" s="267">
        <f>IF(PREMIOS!$B5="","",PREMIOS!$B5)</f>
        <v>64</v>
      </c>
      <c r="D2" s="268"/>
      <c r="E2" s="267">
        <f>IF(PREMIOS!$B9="","",PREMIOS!$B9)</f>
        <v>20</v>
      </c>
      <c r="F2" s="268"/>
      <c r="G2" s="267">
        <f>IF(PREMIOS!$B13="","",PREMIOS!$B13)</f>
        <v>60</v>
      </c>
      <c r="H2" s="268"/>
      <c r="I2" s="267">
        <f>IF(PREMIOS!$B17="","",PREMIOS!$B17)</f>
        <v>63</v>
      </c>
      <c r="J2" s="268"/>
    </row>
    <row r="3" spans="1:13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30500</v>
      </c>
      <c r="D4" s="79">
        <v>650</v>
      </c>
      <c r="E4" s="206">
        <v>7200</v>
      </c>
      <c r="F4" s="79">
        <f t="shared" ref="D4:J27" si="0">IF(E4="","",0)</f>
        <v>0</v>
      </c>
      <c r="G4" s="189">
        <v>1900</v>
      </c>
      <c r="H4" s="79">
        <f t="shared" ref="H4:H27" si="1">IF(G4="","",0)</f>
        <v>0</v>
      </c>
      <c r="I4" s="189">
        <v>4800</v>
      </c>
      <c r="J4" s="79">
        <f t="shared" si="0"/>
        <v>0</v>
      </c>
      <c r="L4" s="42">
        <f t="shared" ref="L4:L8" si="2">+C4+E4+G4+I4</f>
        <v>44400</v>
      </c>
      <c r="M4" s="42">
        <f>IF(D4=0,0,IF(F4="",D4,IF(H4="",D4+F4,IF(J4="",D4+F4+H4,D4+F4+H4+J4))))</f>
        <v>650</v>
      </c>
    </row>
    <row r="5" spans="1:13" x14ac:dyDescent="0.35">
      <c r="A5" s="47">
        <v>2</v>
      </c>
      <c r="B5" s="178" t="str">
        <f>Vendedor2!$B$2</f>
        <v>PUESTO 2</v>
      </c>
      <c r="C5" s="180">
        <v>22400</v>
      </c>
      <c r="D5" s="30">
        <f t="shared" si="0"/>
        <v>0</v>
      </c>
      <c r="E5" s="207">
        <v>8100</v>
      </c>
      <c r="F5" s="30">
        <f t="shared" si="0"/>
        <v>0</v>
      </c>
      <c r="G5" s="180">
        <v>7500</v>
      </c>
      <c r="H5" s="30">
        <f t="shared" si="1"/>
        <v>0</v>
      </c>
      <c r="I5" s="180">
        <v>2500</v>
      </c>
      <c r="J5" s="30">
        <f t="shared" ref="J5:J27" si="3">IF(I5="","",0)</f>
        <v>0</v>
      </c>
      <c r="L5" s="42">
        <f t="shared" si="2"/>
        <v>40500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58550</v>
      </c>
      <c r="D8" s="30">
        <v>2000</v>
      </c>
      <c r="E8" s="207">
        <v>43100</v>
      </c>
      <c r="F8" s="30">
        <v>600</v>
      </c>
      <c r="G8" s="180">
        <v>11300</v>
      </c>
      <c r="H8" s="30">
        <f t="shared" si="1"/>
        <v>0</v>
      </c>
      <c r="I8" s="180">
        <v>38650</v>
      </c>
      <c r="J8" s="30">
        <f t="shared" si="0"/>
        <v>0</v>
      </c>
      <c r="L8" s="42">
        <f t="shared" si="2"/>
        <v>151600</v>
      </c>
      <c r="M8" s="42">
        <f t="shared" si="4"/>
        <v>2600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v>145650</v>
      </c>
      <c r="D10" s="30">
        <f t="shared" si="0"/>
        <v>0</v>
      </c>
      <c r="E10" s="207">
        <v>87650</v>
      </c>
      <c r="F10" s="30">
        <v>200</v>
      </c>
      <c r="G10" s="180">
        <v>62900</v>
      </c>
      <c r="H10" s="30">
        <f t="shared" si="0"/>
        <v>0</v>
      </c>
      <c r="I10" s="180">
        <v>107700</v>
      </c>
      <c r="J10" s="30">
        <f t="shared" si="0"/>
        <v>0</v>
      </c>
      <c r="L10" s="42">
        <f t="shared" si="5"/>
        <v>403900</v>
      </c>
      <c r="M10" s="42">
        <f t="shared" si="4"/>
        <v>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70600</v>
      </c>
      <c r="D12" s="30">
        <v>800</v>
      </c>
      <c r="E12" s="207">
        <v>28500</v>
      </c>
      <c r="F12" s="30">
        <v>500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99100</v>
      </c>
      <c r="M12" s="42">
        <f t="shared" si="4"/>
        <v>1300</v>
      </c>
    </row>
    <row r="13" spans="1:13" x14ac:dyDescent="0.35">
      <c r="A13" s="47">
        <v>10</v>
      </c>
      <c r="B13" s="178" t="str">
        <f>Vendedor10!$B$2</f>
        <v>MARIALIZ</v>
      </c>
      <c r="C13" s="180">
        <v>12700</v>
      </c>
      <c r="D13" s="30">
        <f t="shared" si="0"/>
        <v>0</v>
      </c>
      <c r="E13" s="207">
        <v>17300</v>
      </c>
      <c r="F13" s="30">
        <f t="shared" si="0"/>
        <v>0</v>
      </c>
      <c r="G13" s="180">
        <v>7200</v>
      </c>
      <c r="H13" s="30">
        <f t="shared" si="0"/>
        <v>0</v>
      </c>
      <c r="I13" s="180">
        <v>1000</v>
      </c>
      <c r="J13" s="30">
        <f t="shared" si="0"/>
        <v>0</v>
      </c>
      <c r="L13" s="42">
        <f t="shared" si="5"/>
        <v>38200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800</v>
      </c>
      <c r="D16" s="30">
        <f t="shared" si="0"/>
        <v>0</v>
      </c>
      <c r="E16" s="207">
        <v>2900</v>
      </c>
      <c r="F16" s="30">
        <f t="shared" si="0"/>
        <v>0</v>
      </c>
      <c r="G16" s="180">
        <v>2000</v>
      </c>
      <c r="H16" s="30">
        <f t="shared" si="0"/>
        <v>0</v>
      </c>
      <c r="I16" s="180">
        <v>4150</v>
      </c>
      <c r="J16" s="30">
        <f t="shared" si="0"/>
        <v>0</v>
      </c>
      <c r="L16" s="42">
        <f t="shared" si="5"/>
        <v>9850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90850</v>
      </c>
      <c r="D17" s="30">
        <v>450</v>
      </c>
      <c r="E17" s="207">
        <v>164250</v>
      </c>
      <c r="F17" s="30">
        <v>1250</v>
      </c>
      <c r="G17" s="180">
        <v>64500</v>
      </c>
      <c r="H17" s="30">
        <v>1350</v>
      </c>
      <c r="I17" s="180">
        <v>187400</v>
      </c>
      <c r="J17" s="30">
        <v>950</v>
      </c>
      <c r="L17" s="42">
        <f t="shared" si="5"/>
        <v>507000</v>
      </c>
      <c r="M17" s="42">
        <f t="shared" si="4"/>
        <v>4000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52250</v>
      </c>
      <c r="D18" s="30">
        <f t="shared" si="0"/>
        <v>0</v>
      </c>
      <c r="E18" s="207">
        <v>52800</v>
      </c>
      <c r="F18" s="30">
        <v>1500</v>
      </c>
      <c r="G18" s="180">
        <v>40750</v>
      </c>
      <c r="H18" s="30">
        <v>1500</v>
      </c>
      <c r="I18" s="180">
        <v>29700</v>
      </c>
      <c r="J18" s="30">
        <f t="shared" si="3"/>
        <v>0</v>
      </c>
      <c r="L18" s="42">
        <f t="shared" si="5"/>
        <v>175500</v>
      </c>
      <c r="M18" s="42">
        <f t="shared" si="4"/>
        <v>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484300</v>
      </c>
      <c r="D32" s="44">
        <f t="shared" si="7"/>
        <v>3900</v>
      </c>
      <c r="E32" s="43">
        <f t="shared" si="7"/>
        <v>411800</v>
      </c>
      <c r="F32" s="44">
        <f t="shared" si="7"/>
        <v>4050</v>
      </c>
      <c r="G32" s="43">
        <f t="shared" si="7"/>
        <v>198050</v>
      </c>
      <c r="H32" s="44">
        <f t="shared" si="7"/>
        <v>2850</v>
      </c>
      <c r="I32" s="43">
        <f t="shared" si="7"/>
        <v>375900</v>
      </c>
      <c r="J32" s="44">
        <f t="shared" si="7"/>
        <v>950</v>
      </c>
      <c r="L32" s="96">
        <f>SUM(L9:L31)</f>
        <v>1233550</v>
      </c>
      <c r="M32" s="96">
        <f>SUM(M9:M31)</f>
        <v>5300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E33" sqref="E3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14.5" customHeight="1" x14ac:dyDescent="0.35">
      <c r="C2" s="267" t="str">
        <f>IF(C33=0,"",CONCATENATE(PREMIOS!$B7," ",PREMIOS!$B8))</f>
        <v>06 Roja</v>
      </c>
      <c r="D2" s="268"/>
      <c r="E2" s="267" t="str">
        <f>IF(E33=0,"",CONCATENATE(PREMIOS!$B11," ",PREMIOS!$B12))</f>
        <v>58 Roja</v>
      </c>
      <c r="F2" s="268"/>
      <c r="G2" s="267" t="str">
        <f>IF(G33=0,"",CONCATENATE(PREMIOS!$B15," ",PREMIOS!$B16))</f>
        <v>01 Roja</v>
      </c>
      <c r="H2" s="268"/>
    </row>
    <row r="3" spans="1:11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31150</v>
      </c>
      <c r="D10" s="30">
        <v>1000</v>
      </c>
      <c r="E10" s="180">
        <v>19050</v>
      </c>
      <c r="F10" s="30">
        <f t="shared" si="0"/>
        <v>0</v>
      </c>
      <c r="G10" s="180">
        <v>30600</v>
      </c>
      <c r="H10" s="30">
        <v>2250</v>
      </c>
      <c r="J10" s="42">
        <f t="shared" si="3"/>
        <v>80800</v>
      </c>
      <c r="K10" s="42">
        <f t="shared" si="4"/>
        <v>3250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8400</v>
      </c>
      <c r="D12" s="30">
        <v>500</v>
      </c>
      <c r="E12" s="180">
        <v>2800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11200</v>
      </c>
      <c r="K12" s="42">
        <f t="shared" si="4"/>
        <v>500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0</v>
      </c>
      <c r="D16" s="195">
        <f t="shared" si="0"/>
        <v>0</v>
      </c>
      <c r="E16" s="194">
        <v>0</v>
      </c>
      <c r="F16" s="195">
        <f t="shared" si="1"/>
        <v>0</v>
      </c>
      <c r="G16" s="194">
        <v>0</v>
      </c>
      <c r="H16" s="195">
        <f t="shared" si="0"/>
        <v>0</v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56400</v>
      </c>
      <c r="D17" s="30">
        <v>2550</v>
      </c>
      <c r="E17" s="180">
        <v>40750</v>
      </c>
      <c r="F17" s="30">
        <v>100</v>
      </c>
      <c r="G17" s="180">
        <v>61700</v>
      </c>
      <c r="H17" s="30">
        <v>400</v>
      </c>
      <c r="J17" s="42">
        <f t="shared" si="3"/>
        <v>158850</v>
      </c>
      <c r="K17" s="42">
        <f t="shared" si="4"/>
        <v>3050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33100</v>
      </c>
      <c r="D18" s="30">
        <v>600</v>
      </c>
      <c r="E18" s="180">
        <v>20600</v>
      </c>
      <c r="F18" s="30">
        <f t="shared" si="0"/>
        <v>0</v>
      </c>
      <c r="G18" s="180">
        <v>27800</v>
      </c>
      <c r="H18" s="30">
        <v>500</v>
      </c>
      <c r="J18" s="42">
        <f t="shared" si="3"/>
        <v>81500</v>
      </c>
      <c r="K18" s="42">
        <f t="shared" si="4"/>
        <v>1100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>
        <v>-13150</v>
      </c>
      <c r="F27" s="50">
        <f t="shared" si="1"/>
        <v>0</v>
      </c>
      <c r="G27" s="181"/>
      <c r="H27" s="50" t="str">
        <f t="shared" si="2"/>
        <v/>
      </c>
      <c r="J27" s="42">
        <f t="shared" si="3"/>
        <v>-13150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129050</v>
      </c>
      <c r="D33" s="44">
        <f t="shared" si="7"/>
        <v>4650</v>
      </c>
      <c r="E33" s="43">
        <f t="shared" si="7"/>
        <v>70050</v>
      </c>
      <c r="F33" s="44">
        <f t="shared" si="7"/>
        <v>100</v>
      </c>
      <c r="G33" s="43">
        <f t="shared" si="7"/>
        <v>120100</v>
      </c>
      <c r="H33" s="44">
        <f t="shared" si="7"/>
        <v>3150</v>
      </c>
      <c r="J33" s="45">
        <f>SUM(J4:J32)</f>
        <v>319200</v>
      </c>
      <c r="K33" s="96">
        <f>SUM(K4:K32)</f>
        <v>7900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1" t="s">
        <v>97</v>
      </c>
      <c r="D1" s="272"/>
      <c r="E1" s="271" t="s">
        <v>98</v>
      </c>
      <c r="F1" s="272"/>
    </row>
    <row r="2" spans="1:9" x14ac:dyDescent="0.35">
      <c r="C2" s="267">
        <f>IF(PREMIOS!$B19="","",PREMIOS!$B19)</f>
        <v>24</v>
      </c>
      <c r="D2" s="268"/>
      <c r="E2" s="267">
        <f>IF(PREMIOS!$C19="","",PREMIOS!$C19)</f>
        <v>20</v>
      </c>
      <c r="F2" s="268"/>
    </row>
    <row r="3" spans="1:9" ht="15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2900</v>
      </c>
      <c r="D4" s="79">
        <f t="shared" ref="D4:F27" si="0">IF(C4="","",0)</f>
        <v>0</v>
      </c>
      <c r="E4" s="189">
        <v>600</v>
      </c>
      <c r="F4" s="79">
        <f t="shared" si="0"/>
        <v>0</v>
      </c>
      <c r="H4" s="42">
        <f>+C4+E4</f>
        <v>3500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4800</v>
      </c>
      <c r="D5" s="30">
        <v>200</v>
      </c>
      <c r="E5" s="180"/>
      <c r="F5" s="30" t="str">
        <f t="shared" ref="F5:F27" si="1">IF(E5="","",0)</f>
        <v/>
      </c>
      <c r="H5" s="42">
        <f t="shared" ref="H5:H32" si="2">+C5+E5</f>
        <v>4800</v>
      </c>
      <c r="I5" s="42">
        <f t="shared" ref="I5:I27" si="3">IF(D5="",0,IF(F5="",D5,D5+F5))</f>
        <v>200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4" t="str">
        <f t="shared" si="0"/>
        <v/>
      </c>
      <c r="E7" s="193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24700</v>
      </c>
      <c r="D8" s="30">
        <v>500</v>
      </c>
      <c r="E8" s="194">
        <v>25300</v>
      </c>
      <c r="F8" s="195">
        <v>550</v>
      </c>
      <c r="H8" s="42">
        <f t="shared" si="2"/>
        <v>50000</v>
      </c>
      <c r="I8" s="42">
        <f t="shared" si="3"/>
        <v>1050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48800</v>
      </c>
      <c r="D10" s="30">
        <f t="shared" si="0"/>
        <v>0</v>
      </c>
      <c r="E10" s="180">
        <v>33650</v>
      </c>
      <c r="F10" s="195">
        <v>500</v>
      </c>
      <c r="H10" s="42">
        <f t="shared" si="2"/>
        <v>82450</v>
      </c>
      <c r="I10" s="42">
        <f t="shared" si="3"/>
        <v>500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38500</v>
      </c>
      <c r="D12" s="30">
        <f t="shared" si="0"/>
        <v>0</v>
      </c>
      <c r="E12" s="194"/>
      <c r="F12" s="30" t="str">
        <f t="shared" si="0"/>
        <v/>
      </c>
      <c r="H12" s="42">
        <f t="shared" si="2"/>
        <v>38500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4" t="str">
        <f t="shared" si="0"/>
        <v/>
      </c>
      <c r="E13" s="193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4" t="str">
        <f t="shared" si="0"/>
        <v/>
      </c>
      <c r="E14" s="193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4" t="str">
        <f t="shared" si="0"/>
        <v/>
      </c>
      <c r="E15" s="193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>
        <v>1200</v>
      </c>
      <c r="F16" s="195">
        <f t="shared" si="0"/>
        <v>0</v>
      </c>
      <c r="H16" s="42">
        <f t="shared" si="2"/>
        <v>1200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66500</v>
      </c>
      <c r="D17" s="195">
        <v>600</v>
      </c>
      <c r="E17" s="180">
        <v>14750</v>
      </c>
      <c r="F17" s="30">
        <f t="shared" si="0"/>
        <v>0</v>
      </c>
      <c r="H17" s="42">
        <f t="shared" si="2"/>
        <v>81250</v>
      </c>
      <c r="I17" s="42">
        <f t="shared" si="3"/>
        <v>600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40900</v>
      </c>
      <c r="D18" s="195">
        <v>350</v>
      </c>
      <c r="E18" s="180">
        <v>33500</v>
      </c>
      <c r="F18" s="30">
        <v>900</v>
      </c>
      <c r="H18" s="42">
        <f t="shared" si="2"/>
        <v>74400</v>
      </c>
      <c r="I18" s="42">
        <f t="shared" si="3"/>
        <v>1250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227100</v>
      </c>
      <c r="D33" s="44">
        <f>SUM(D4:D32)</f>
        <v>1650</v>
      </c>
      <c r="E33" s="43">
        <f>SUM(E4:E32)</f>
        <v>109000</v>
      </c>
      <c r="F33" s="44">
        <f>SUM(F4:F32)</f>
        <v>1950</v>
      </c>
      <c r="H33" s="96">
        <f>SUM(H4:H32)</f>
        <v>336100</v>
      </c>
      <c r="I33" s="96">
        <f>SUM(I4:I32)</f>
        <v>3600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x14ac:dyDescent="0.35">
      <c r="C2" s="267">
        <f>IF(PREMIOS!$B20="","",PREMIOS!$B20)</f>
        <v>72</v>
      </c>
      <c r="D2" s="268"/>
      <c r="E2" s="267">
        <f>IF(PREMIOS!$C20="","",PREMIOS!$C20)</f>
        <v>64</v>
      </c>
      <c r="F2" s="268"/>
      <c r="G2" s="267">
        <f>IF(PREMIOS!$D20="","",PREMIOS!$D20)</f>
        <v>73</v>
      </c>
      <c r="H2" s="268"/>
    </row>
    <row r="3" spans="1:11" ht="15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4" t="str">
        <f t="shared" si="0"/>
        <v/>
      </c>
      <c r="E5" s="193"/>
      <c r="F5" s="84" t="str">
        <f t="shared" si="1"/>
        <v/>
      </c>
      <c r="G5" s="193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4" t="str">
        <f t="shared" si="0"/>
        <v/>
      </c>
      <c r="E6" s="193"/>
      <c r="F6" s="84" t="str">
        <f t="shared" si="1"/>
        <v/>
      </c>
      <c r="G6" s="193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4" t="str">
        <f t="shared" si="0"/>
        <v/>
      </c>
      <c r="E7" s="193"/>
      <c r="F7" s="84" t="str">
        <f t="shared" si="1"/>
        <v/>
      </c>
      <c r="G7" s="193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4" t="str">
        <f t="shared" si="0"/>
        <v/>
      </c>
      <c r="E8" s="193"/>
      <c r="F8" s="84" t="str">
        <f t="shared" si="1"/>
        <v/>
      </c>
      <c r="G8" s="193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4" t="str">
        <f t="shared" si="0"/>
        <v/>
      </c>
      <c r="E9" s="193"/>
      <c r="F9" s="84" t="str">
        <f t="shared" si="1"/>
        <v/>
      </c>
      <c r="G9" s="193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67300</v>
      </c>
      <c r="D10" s="195">
        <v>100</v>
      </c>
      <c r="E10" s="180">
        <v>33400</v>
      </c>
      <c r="F10" s="30">
        <v>100</v>
      </c>
      <c r="G10" s="180">
        <v>24050</v>
      </c>
      <c r="H10" s="195">
        <f t="shared" si="0"/>
        <v>0</v>
      </c>
      <c r="J10" s="42">
        <f t="shared" si="3"/>
        <v>124750</v>
      </c>
      <c r="K10" s="42">
        <f t="shared" si="4"/>
        <v>200</v>
      </c>
    </row>
    <row r="11" spans="1:11" x14ac:dyDescent="0.35">
      <c r="A11" s="47">
        <v>8</v>
      </c>
      <c r="B11" s="178" t="str">
        <f>Vendedor8!$B$2</f>
        <v>ISA</v>
      </c>
      <c r="C11" s="193"/>
      <c r="D11" s="84" t="str">
        <f t="shared" si="0"/>
        <v/>
      </c>
      <c r="E11" s="193"/>
      <c r="F11" s="84" t="str">
        <f t="shared" si="1"/>
        <v/>
      </c>
      <c r="G11" s="193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7100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7100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4" t="str">
        <f t="shared" si="0"/>
        <v/>
      </c>
      <c r="E13" s="193"/>
      <c r="F13" s="84" t="str">
        <f t="shared" si="1"/>
        <v/>
      </c>
      <c r="G13" s="193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4" t="str">
        <f t="shared" si="0"/>
        <v/>
      </c>
      <c r="E14" s="193"/>
      <c r="F14" s="84" t="str">
        <f t="shared" si="1"/>
        <v/>
      </c>
      <c r="G14" s="193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4" t="str">
        <f t="shared" si="0"/>
        <v/>
      </c>
      <c r="E15" s="193"/>
      <c r="F15" s="84" t="str">
        <f t="shared" si="1"/>
        <v/>
      </c>
      <c r="G15" s="193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58300</v>
      </c>
      <c r="D17" s="195">
        <v>1400</v>
      </c>
      <c r="E17" s="194">
        <v>20100</v>
      </c>
      <c r="F17" s="195">
        <f t="shared" si="0"/>
        <v>0</v>
      </c>
      <c r="G17" s="194">
        <v>42200</v>
      </c>
      <c r="H17" s="195">
        <f t="shared" si="2"/>
        <v>0</v>
      </c>
      <c r="J17" s="42">
        <f t="shared" si="3"/>
        <v>120600</v>
      </c>
      <c r="K17" s="42">
        <f t="shared" si="4"/>
        <v>1400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8000</v>
      </c>
      <c r="D18" s="195">
        <f t="shared" si="0"/>
        <v>0</v>
      </c>
      <c r="E18" s="180">
        <v>6850</v>
      </c>
      <c r="F18" s="30">
        <f t="shared" si="1"/>
        <v>0</v>
      </c>
      <c r="G18" s="180">
        <v>3300</v>
      </c>
      <c r="H18" s="30">
        <f t="shared" si="2"/>
        <v>0</v>
      </c>
      <c r="J18" s="42">
        <f t="shared" si="3"/>
        <v>18150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140700</v>
      </c>
      <c r="D33" s="44">
        <f t="shared" si="6"/>
        <v>1500</v>
      </c>
      <c r="E33" s="43">
        <f t="shared" si="6"/>
        <v>60350</v>
      </c>
      <c r="F33" s="44">
        <f t="shared" si="6"/>
        <v>100</v>
      </c>
      <c r="G33" s="43">
        <f t="shared" si="6"/>
        <v>69550</v>
      </c>
      <c r="H33" s="44">
        <f t="shared" si="6"/>
        <v>0</v>
      </c>
      <c r="J33" s="45">
        <f>SUM(J4:J32)</f>
        <v>270600</v>
      </c>
      <c r="K33" s="96">
        <f>SUM(K4:K32)</f>
        <v>1600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1" t="s">
        <v>110</v>
      </c>
      <c r="D1" s="272"/>
      <c r="E1" s="271" t="s">
        <v>111</v>
      </c>
      <c r="F1" s="272"/>
    </row>
    <row r="2" spans="1:9" x14ac:dyDescent="0.35">
      <c r="C2" s="267" t="str">
        <f>IF(PREMIOS!$B21="","",PREMIOS!$B21)</f>
        <v>01</v>
      </c>
      <c r="D2" s="268"/>
      <c r="E2" s="267">
        <f>IF(PREMIOS!$C21="","",PREMIOS!$C21)</f>
        <v>68</v>
      </c>
      <c r="F2" s="268"/>
    </row>
    <row r="3" spans="1:9" ht="15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4" t="str">
        <f t="shared" si="0"/>
        <v/>
      </c>
      <c r="E5" s="193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4" t="str">
        <f t="shared" si="0"/>
        <v/>
      </c>
      <c r="E6" s="193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4" t="str">
        <f t="shared" si="0"/>
        <v/>
      </c>
      <c r="E7" s="193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4" t="str">
        <f t="shared" si="0"/>
        <v/>
      </c>
      <c r="E8" s="193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4" t="str">
        <f t="shared" si="0"/>
        <v/>
      </c>
      <c r="E9" s="193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41000</v>
      </c>
      <c r="D10" s="30">
        <v>1000</v>
      </c>
      <c r="E10" s="180">
        <v>44500</v>
      </c>
      <c r="F10" s="30">
        <f t="shared" si="0"/>
        <v>0</v>
      </c>
      <c r="H10" s="42">
        <f t="shared" si="2"/>
        <v>85500</v>
      </c>
      <c r="I10" s="42">
        <f t="shared" si="3"/>
        <v>1000</v>
      </c>
    </row>
    <row r="11" spans="1:9" x14ac:dyDescent="0.35">
      <c r="A11" s="47">
        <v>8</v>
      </c>
      <c r="B11" s="178" t="str">
        <f>Vendedor8!$B$2</f>
        <v>ISA</v>
      </c>
      <c r="C11" s="193"/>
      <c r="D11" s="84" t="str">
        <f t="shared" si="0"/>
        <v/>
      </c>
      <c r="E11" s="193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4" t="str">
        <f t="shared" si="0"/>
        <v/>
      </c>
      <c r="E12" s="193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4" t="str">
        <f t="shared" si="0"/>
        <v/>
      </c>
      <c r="E13" s="193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4" t="str">
        <f t="shared" si="0"/>
        <v/>
      </c>
      <c r="E14" s="193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4" t="str">
        <f t="shared" si="0"/>
        <v/>
      </c>
      <c r="E15" s="193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4" t="str">
        <f t="shared" si="0"/>
        <v/>
      </c>
      <c r="E16" s="193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41000</v>
      </c>
      <c r="D33" s="44">
        <f>SUM(D4:D32)</f>
        <v>1000</v>
      </c>
      <c r="E33" s="43">
        <f>SUM(E4:E32)</f>
        <v>44500</v>
      </c>
      <c r="F33" s="44">
        <f>SUM(F4:F32)</f>
        <v>0</v>
      </c>
      <c r="H33" s="45">
        <f>SUM(H4:H32)</f>
        <v>85500</v>
      </c>
      <c r="I33" s="96">
        <f>SUM(I4:I32)</f>
        <v>1000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1" t="s">
        <v>109</v>
      </c>
      <c r="D1" s="272"/>
    </row>
    <row r="2" spans="1:4" x14ac:dyDescent="0.35">
      <c r="C2" s="267" t="str">
        <f>IF(PREMIOS!$B22="","",PREMIOS!$B22)</f>
        <v/>
      </c>
      <c r="D2" s="268"/>
    </row>
    <row r="3" spans="1:4" ht="15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4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4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4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4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4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4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4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4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4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4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4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2026-03-27T18:27:47Z</dcterms:modified>
  <dc:language>es-CR</dc:language>
</cp:coreProperties>
</file>
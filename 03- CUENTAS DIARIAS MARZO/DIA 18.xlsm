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3- CUENTAS DIARIAS MARZO/"/>
    </mc:Choice>
  </mc:AlternateContent>
  <xr:revisionPtr revIDLastSave="1" documentId="13_ncr:1_{662C8599-D2AD-44B3-8174-1E530F27CF78}" xr6:coauthVersionLast="47" xr6:coauthVersionMax="47" xr10:uidLastSave="{FFA8062E-D8E5-4130-8B4C-D2738590DAE1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I5" i="69"/>
  <c r="K12" i="69"/>
  <c r="H17" i="60" l="1"/>
  <c r="G17" i="60"/>
  <c r="H18" i="60"/>
  <c r="G18" i="60"/>
  <c r="E17" i="60"/>
  <c r="F18" i="60"/>
  <c r="E18" i="60"/>
  <c r="E10" i="64" l="1"/>
  <c r="D10" i="62"/>
  <c r="C10" i="62"/>
  <c r="E10" i="61"/>
  <c r="D17" i="60"/>
  <c r="C17" i="60"/>
  <c r="D10" i="60"/>
  <c r="C10" i="60"/>
  <c r="C18" i="60"/>
  <c r="D10" i="61" l="1"/>
  <c r="C10" i="61"/>
  <c r="C10" i="64"/>
  <c r="C10" i="65"/>
  <c r="D11" i="65" l="1"/>
  <c r="D9" i="61"/>
  <c r="D8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2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H16" i="71" l="1"/>
  <c r="F23" i="15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E5" i="16" s="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1" i="60"/>
  <c r="E7" i="16" s="1"/>
  <c r="D36" i="60"/>
  <c r="D9" i="60"/>
  <c r="D8" i="60"/>
  <c r="D7" i="60"/>
  <c r="F18" i="23"/>
  <c r="F14" i="23"/>
  <c r="F10" i="23"/>
  <c r="F6" i="23"/>
  <c r="F6" i="14"/>
  <c r="F10" i="14"/>
  <c r="F14" i="14"/>
  <c r="F18" i="14"/>
  <c r="H10" i="64"/>
  <c r="D10" i="64"/>
  <c r="F17" i="65"/>
  <c r="F8" i="65"/>
  <c r="F18" i="62"/>
  <c r="F10" i="62"/>
  <c r="D5" i="61"/>
  <c r="F17" i="61"/>
  <c r="F18" i="61"/>
  <c r="F16" i="61"/>
  <c r="D6" i="60"/>
  <c r="F17" i="60"/>
  <c r="F35" i="60" s="1"/>
  <c r="F16" i="60"/>
  <c r="F15" i="60"/>
  <c r="F14" i="60"/>
  <c r="F13" i="60"/>
  <c r="F12" i="60"/>
  <c r="F11" i="60"/>
  <c r="F10" i="60"/>
  <c r="F9" i="60"/>
  <c r="F8" i="60"/>
  <c r="F7" i="60"/>
  <c r="F6" i="60"/>
  <c r="F5" i="60"/>
  <c r="F4" i="60"/>
  <c r="H16" i="60"/>
  <c r="H15" i="60"/>
  <c r="H14" i="60"/>
  <c r="H12" i="60"/>
  <c r="H11" i="60"/>
  <c r="H9" i="60"/>
  <c r="H8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H34" i="60" l="1"/>
  <c r="F34" i="60"/>
  <c r="D35" i="60"/>
  <c r="D34" i="60"/>
  <c r="J8" i="14"/>
  <c r="D21" i="14"/>
  <c r="C12" i="71"/>
  <c r="D22" i="14"/>
  <c r="K15" i="14" s="1"/>
  <c r="G12" i="71"/>
  <c r="E19" i="16"/>
  <c r="D4" i="65"/>
  <c r="D20" i="16"/>
  <c r="F17" i="62"/>
  <c r="E11" i="16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10" i="61"/>
  <c r="H35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7" i="14" l="1"/>
  <c r="J4" i="14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F28" i="73"/>
  <c r="H23" i="73"/>
  <c r="I23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F25" i="73"/>
  <c r="F22" i="73"/>
  <c r="F16" i="73"/>
  <c r="F15" i="73"/>
  <c r="G15" i="73" s="1"/>
  <c r="L15" i="73" s="1"/>
  <c r="F14" i="73"/>
  <c r="G14" i="73" s="1"/>
  <c r="L14" i="73" s="1"/>
  <c r="F13" i="73"/>
  <c r="F12" i="73"/>
  <c r="F11" i="73"/>
  <c r="F9" i="73"/>
  <c r="F8" i="73"/>
  <c r="F7" i="73"/>
  <c r="G7" i="73" s="1"/>
  <c r="L7" i="73" s="1"/>
  <c r="F6" i="73"/>
  <c r="F5" i="73"/>
  <c r="F4" i="73"/>
  <c r="D31" i="73"/>
  <c r="H31" i="73" s="1"/>
  <c r="I31" i="73" s="1"/>
  <c r="C31" i="73"/>
  <c r="F31" i="73" s="1"/>
  <c r="B31" i="73"/>
  <c r="D30" i="73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L26" i="73"/>
  <c r="D26" i="73"/>
  <c r="H26" i="73" s="1"/>
  <c r="I26" i="73" s="1"/>
  <c r="C26" i="73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C23" i="73"/>
  <c r="F23" i="73" s="1"/>
  <c r="B23" i="73"/>
  <c r="D22" i="73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B15" i="73"/>
  <c r="B14" i="73"/>
  <c r="B13" i="73"/>
  <c r="B12" i="73"/>
  <c r="G11" i="73"/>
  <c r="L11" i="73" s="1"/>
  <c r="B10" i="73"/>
  <c r="G8" i="73"/>
  <c r="L8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H28" i="72" s="1"/>
  <c r="B28" i="72"/>
  <c r="B27" i="72"/>
  <c r="F26" i="72"/>
  <c r="E26" i="72"/>
  <c r="H26" i="72" s="1"/>
  <c r="N26" i="72" s="1"/>
  <c r="D26" i="72"/>
  <c r="C26" i="72"/>
  <c r="B26" i="72"/>
  <c r="F25" i="72"/>
  <c r="E25" i="72"/>
  <c r="H25" i="72" s="1"/>
  <c r="D25" i="72"/>
  <c r="J25" i="72" s="1"/>
  <c r="K25" i="72" s="1"/>
  <c r="C25" i="72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B23" i="72"/>
  <c r="H22" i="72"/>
  <c r="F22" i="72"/>
  <c r="E22" i="72"/>
  <c r="D22" i="72"/>
  <c r="C22" i="72"/>
  <c r="B22" i="72"/>
  <c r="I21" i="72"/>
  <c r="H21" i="72"/>
  <c r="F21" i="72"/>
  <c r="J21" i="72" s="1"/>
  <c r="K21" i="72" s="1"/>
  <c r="E21" i="72"/>
  <c r="D21" i="72"/>
  <c r="C21" i="72"/>
  <c r="B21" i="72"/>
  <c r="F20" i="72"/>
  <c r="E20" i="72"/>
  <c r="D20" i="72"/>
  <c r="J20" i="72" s="1"/>
  <c r="K20" i="72" s="1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L25" i="71" s="1"/>
  <c r="M25" i="71" s="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J20" i="70"/>
  <c r="K20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I15" i="66" s="1"/>
  <c r="D14" i="66"/>
  <c r="I14" i="66" s="1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D23" i="64"/>
  <c r="D22" i="64"/>
  <c r="K22" i="64" s="1"/>
  <c r="D21" i="64"/>
  <c r="K21" i="64" s="1"/>
  <c r="D20" i="64"/>
  <c r="D19" i="64"/>
  <c r="K19" i="64" s="1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2" i="66"/>
  <c r="I11" i="66"/>
  <c r="I9" i="66"/>
  <c r="I6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J31" i="70" s="1"/>
  <c r="E31" i="70"/>
  <c r="H31" i="70" s="1"/>
  <c r="D31" i="70"/>
  <c r="C31" i="70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H28" i="70" s="1"/>
  <c r="D28" i="70"/>
  <c r="J28" i="70" s="1"/>
  <c r="C28" i="70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J25" i="64"/>
  <c r="B25" i="64"/>
  <c r="K24" i="64"/>
  <c r="J24" i="64"/>
  <c r="B24" i="64"/>
  <c r="J23" i="64"/>
  <c r="K23" i="64"/>
  <c r="B23" i="64"/>
  <c r="J22" i="64"/>
  <c r="B22" i="64"/>
  <c r="J21" i="64"/>
  <c r="B21" i="64"/>
  <c r="K20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F22" i="15"/>
  <c r="L8" i="15" s="1"/>
  <c r="F16" i="71"/>
  <c r="L16" i="71" s="1"/>
  <c r="M16" i="71" s="1"/>
  <c r="G22" i="15"/>
  <c r="N21" i="72"/>
  <c r="H29" i="66"/>
  <c r="J23" i="70"/>
  <c r="K23" i="70" s="1"/>
  <c r="L22" i="71"/>
  <c r="M22" i="71" s="1"/>
  <c r="H23" i="72"/>
  <c r="J30" i="72"/>
  <c r="K30" i="72" s="1"/>
  <c r="E27" i="72"/>
  <c r="J32" i="64"/>
  <c r="L6" i="6"/>
  <c r="K20" i="19"/>
  <c r="K9" i="19"/>
  <c r="L21" i="71"/>
  <c r="M21" i="71" s="1"/>
  <c r="J22" i="71"/>
  <c r="J31" i="71"/>
  <c r="J23" i="72"/>
  <c r="K23" i="72" s="1"/>
  <c r="J31" i="64"/>
  <c r="L9" i="19"/>
  <c r="L20" i="71"/>
  <c r="M20" i="71" s="1"/>
  <c r="J30" i="71"/>
  <c r="K30" i="71" s="1"/>
  <c r="D17" i="72"/>
  <c r="K28" i="70"/>
  <c r="J22" i="70"/>
  <c r="K22" i="70" s="1"/>
  <c r="D26" i="21"/>
  <c r="J10" i="21"/>
  <c r="C17" i="73"/>
  <c r="F17" i="73" s="1"/>
  <c r="J10" i="8"/>
  <c r="D26" i="19"/>
  <c r="J10" i="19"/>
  <c r="J29" i="71"/>
  <c r="J22" i="72"/>
  <c r="K22" i="72" s="1"/>
  <c r="E33" i="66"/>
  <c r="J29" i="64"/>
  <c r="I18" i="66"/>
  <c r="H24" i="70"/>
  <c r="F25" i="19"/>
  <c r="F18" i="72"/>
  <c r="J26" i="71"/>
  <c r="L29" i="71"/>
  <c r="M29" i="71" s="1"/>
  <c r="H20" i="72"/>
  <c r="I20" i="72" s="1"/>
  <c r="N20" i="72" s="1"/>
  <c r="J26" i="72"/>
  <c r="K26" i="72" s="1"/>
  <c r="D18" i="72"/>
  <c r="J7" i="19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K24" i="71" s="1"/>
  <c r="L26" i="71"/>
  <c r="M26" i="71" s="1"/>
  <c r="J28" i="71"/>
  <c r="L30" i="71"/>
  <c r="M30" i="71" s="1"/>
  <c r="L31" i="71"/>
  <c r="M31" i="71" s="1"/>
  <c r="J23" i="7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H27" i="72" l="1"/>
  <c r="I27" i="72" s="1"/>
  <c r="N27" i="72" s="1"/>
  <c r="L27" i="70"/>
  <c r="K21" i="8"/>
  <c r="K10" i="8"/>
  <c r="L27" i="71"/>
  <c r="M27" i="71" s="1"/>
  <c r="K21" i="19"/>
  <c r="K10" i="19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M20" i="52" l="1"/>
  <c r="L5" i="23"/>
  <c r="L6" i="23"/>
  <c r="M26" i="52"/>
  <c r="J5" i="23"/>
  <c r="M23" i="52"/>
  <c r="F17" i="52"/>
  <c r="C24" i="15"/>
  <c r="N17" i="7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E32" i="61" s="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E32" i="60" l="1"/>
  <c r="J32" i="61"/>
  <c r="C32" i="61"/>
  <c r="I32" i="61"/>
  <c r="G32" i="60"/>
  <c r="L19" i="59"/>
  <c r="H32" i="60"/>
  <c r="K5" i="23"/>
  <c r="G32" i="61"/>
  <c r="F32" i="61"/>
  <c r="L6" i="25"/>
  <c r="H32" i="61"/>
  <c r="H19" i="70"/>
  <c r="I19" i="70" s="1"/>
  <c r="K6" i="23"/>
  <c r="K5" i="19"/>
  <c r="D24" i="15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5" l="1"/>
  <c r="M7" i="52"/>
  <c r="M4" i="52"/>
  <c r="R29" i="59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5" i="58"/>
  <c r="P22" i="58"/>
  <c r="P23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4" i="52"/>
  <c r="C23" i="1" s="1"/>
  <c r="B23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23" i="52" l="1"/>
  <c r="C22" i="1" s="1"/>
  <c r="B22" i="1"/>
  <c r="K4" i="52"/>
  <c r="C3" i="1" s="1"/>
  <c r="B3" i="1"/>
  <c r="K5" i="52"/>
  <c r="C4" i="1" s="1"/>
  <c r="B4" i="1"/>
  <c r="K6" i="52"/>
  <c r="C5" i="1" s="1"/>
  <c r="B5" i="1"/>
  <c r="K21" i="52"/>
  <c r="C20" i="1" s="1"/>
  <c r="B20" i="1"/>
  <c r="F12" i="8"/>
  <c r="F12" i="15"/>
  <c r="F12" i="19"/>
  <c r="G12" i="19" s="1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8" i="17"/>
  <c r="F12" i="21"/>
  <c r="G12" i="21" s="1"/>
  <c r="G8" i="23"/>
  <c r="G8" i="15"/>
  <c r="F8" i="21"/>
  <c r="L6" i="19" l="1"/>
  <c r="L6" i="15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<sst xmlns="http://schemas.openxmlformats.org/spreadsheetml/2006/main" count="1292" uniqueCount="159">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</sst>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239950</v>
      </c>
      <c r="C3" s="9">
        <f>+HojaTICA!K4+HojaNICA!M4+HojaREVENTADO!K4+HojaPrimera!I4+HojaHonduras!K4+HojaDominicana!I4+HojaPANA!G4</f>
        <v>31200</v>
      </c>
      <c r="D3" s="9">
        <f>+HojaTICA!N4+HojaNICA!P4+HojaREVENTADO!O4+HojaPrimera!L4+HojaHonduras!N4+HojaDominicana!L4+HojaPANA!J4</f>
        <v>76500</v>
      </c>
      <c r="F3" s="10">
        <f t="shared" ref="F3:F27" si="0">+B3-C3-D3</f>
        <v>132250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194250</v>
      </c>
      <c r="C4" s="9">
        <f>+HojaTICA!K5+HojaNICA!M5+HojaREVENTADO!K5+HojaPrimera!I5+HojaHonduras!K5+HojaDominicana!I5+HojaPANA!G5</f>
        <v>25250</v>
      </c>
      <c r="D4" s="9">
        <f>+HojaTICA!N5+HojaNICA!P5+HojaREVENTADO!O5+HojaPrimera!L5+HojaHonduras!N5+HojaDominicana!L5+HojaPANA!J5</f>
        <v>212500</v>
      </c>
      <c r="F4" s="14">
        <f t="shared" si="0"/>
        <v>-43500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1312350</v>
      </c>
      <c r="C9" s="9">
        <f>+HojaTICA!K10+HojaNICA!M10+HojaREVENTADO!K10+HojaPrimera!I10+HojaHonduras!K10+HojaDominicana!I10+HojaPANA!G10</f>
        <v>156225</v>
      </c>
      <c r="D9" s="9">
        <f>+HojaTICA!N10+HojaNICA!P10+HojaREVENTADO!O10+HojaPrimera!L10+HojaHonduras!N10+HojaDominicana!L10+HojaPANA!J10</f>
        <v>1270000</v>
      </c>
      <c r="F9" s="14">
        <f t="shared" si="0"/>
        <v>-113875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21100</v>
      </c>
      <c r="C10" s="9">
        <f>+HojaTICA!K11+HojaNICA!M11+HojaREVENTADO!K11+HojaPrimera!I11+HojaHonduras!K11+HojaDominicana!I11+HojaPANA!G11</f>
        <v>2550</v>
      </c>
      <c r="D10" s="9">
        <f>+HojaTICA!N11+HojaNICA!P11+HojaREVENTADO!O11+HojaPrimera!L11+HojaHonduras!N11+HojaDominicana!L11+HojaPANA!J11</f>
        <v>0</v>
      </c>
      <c r="F10" s="14">
        <f t="shared" si="0"/>
        <v>18550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273500</v>
      </c>
      <c r="C11" s="9">
        <f>+HojaTICA!K12+HojaNICA!M12+HojaREVENTADO!K12+HojaPrimera!I12+HojaHonduras!K12+HojaDominicana!I12+HojaPANA!G12</f>
        <v>32820</v>
      </c>
      <c r="D11" s="9">
        <f>+HojaTICA!N12+HojaNICA!P12+HojaREVENTADO!O12+HojaPrimera!L12+HojaHonduras!N12+HojaDominicana!L12+HojaPANA!J12</f>
        <v>157250</v>
      </c>
      <c r="F11" s="14">
        <f t="shared" si="0"/>
        <v>83430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195450</v>
      </c>
      <c r="C12" s="9">
        <f>+HojaTICA!K13+HojaNICA!M13+HojaREVENTADO!K13+HojaPrimera!I13+HojaHonduras!K13+HojaDominicana!I13+HojaPANA!G13</f>
        <v>23450</v>
      </c>
      <c r="D12" s="9">
        <f>+HojaTICA!N13+HojaNICA!P13+HojaREVENTADO!O13+HojaPrimera!L13+HojaHonduras!N13+HojaDominicana!L13+HojaPANA!J13</f>
        <v>59500</v>
      </c>
      <c r="F12" s="14">
        <f t="shared" si="0"/>
        <v>112500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104800</v>
      </c>
      <c r="C13" s="9">
        <f>+HojaTICA!K14+HojaNICA!M14+HojaREVENTADO!K14+HojaPrimera!I14+HojaHonduras!K14+HojaDominicana!I14+HojaPANA!G14</f>
        <v>15700</v>
      </c>
      <c r="D13" s="9">
        <f>+HojaTICA!N14+HojaNICA!P14+HojaREVENTADO!O14+HojaPrimera!L14+HojaHonduras!N14+HojaDominicana!L14+HojaPANA!J14</f>
        <v>100000</v>
      </c>
      <c r="F13" s="14">
        <f t="shared" si="0"/>
        <v>-10900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105700</v>
      </c>
      <c r="C15" s="9">
        <f>+HojaTICA!K16+HojaNICA!M16+HojaREVENTADO!K16+HojaPrimera!I16+HojaHonduras!K16+HojaDominicana!I16+HojaPANA!G16</f>
        <v>12600</v>
      </c>
      <c r="D15" s="9">
        <f>+HojaTICA!N16+HojaNICA!P16+HojaREVENTADO!O16+HojaPrimera!L16+HojaHonduras!N16+HojaDominicana!L16+HojaPANA!J16</f>
        <v>0</v>
      </c>
      <c r="F15" s="14">
        <f t="shared" si="0"/>
        <v>93100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1284500</v>
      </c>
      <c r="C16" s="9">
        <f>+HojaTICA!K17+HojaNICA!M17+HojaREVENTADO!K17+HojaPrimera!I17+HojaHonduras!K17+HojaDominicana!I17+HojaPANA!G17</f>
        <v>151565</v>
      </c>
      <c r="D16" s="9">
        <f>+HojaTICA!N17+HojaNICA!P17+HojaREVENTADO!O17+HojaPrimera!L17+HojaHonduras!N17+HojaDominicana!L17+HojaPANA!J17</f>
        <v>658000</v>
      </c>
      <c r="F16" s="14">
        <f t="shared" si="0"/>
        <v>474935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462200</v>
      </c>
      <c r="C17" s="9">
        <f>+HojaTICA!K18+HojaNICA!M18+HojaREVENTADO!K18+HojaPrimera!I18+HojaHonduras!K18+HojaDominicana!I18+HojaPANA!G18</f>
        <v>54310</v>
      </c>
      <c r="D17" s="9">
        <f>+HojaTICA!N18+HojaNICA!P18+HojaREVENTADO!O18+HojaPrimera!L18+HojaHonduras!N18+HojaDominicana!L18+HojaPANA!J18</f>
        <v>305250</v>
      </c>
      <c r="F17" s="14">
        <f t="shared" si="0"/>
        <v>102640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4193800</v>
      </c>
      <c r="C28" s="17">
        <f t="shared" si="1"/>
        <v>505670</v>
      </c>
      <c r="D28" s="18">
        <f t="shared" si="1"/>
        <v>2839000</v>
      </c>
      <c r="F28" s="20">
        <f>SUM(F3:F27)</f>
        <v>849130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93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29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76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86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71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15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39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50</v>
      </c>
      <c r="C19" s="133">
        <v>45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20</v>
      </c>
      <c r="C20" s="164">
        <v>77</v>
      </c>
      <c r="D20" s="167">
        <v>57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66</v>
      </c>
      <c r="C21" s="165">
        <v>86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>
        <v>55</v>
      </c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29</v>
      </c>
      <c r="D2" s="269"/>
      <c r="E2" s="268">
        <f>DigitaTICA!E2</f>
        <v>86</v>
      </c>
      <c r="F2" s="269"/>
      <c r="G2" s="268">
        <f>DigitaTICA!G2</f>
        <v>15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55850</v>
      </c>
      <c r="D4" s="30">
        <f>IF(Vendedor1!$E$7="",0,Vendedor1!$E$7)</f>
        <v>250</v>
      </c>
      <c r="E4" s="181">
        <f>IF(Vendedor1!$C$11="",0,Vendedor1!$C$11)</f>
        <v>38200</v>
      </c>
      <c r="F4" s="30">
        <f>IF(Vendedor1!$E$11="",0,Vendedor1!$E$11)</f>
        <v>0</v>
      </c>
      <c r="G4" s="181">
        <f>IF(Vendedor1!$C$15="",0,Vendedor1!$C$15)</f>
        <v>65600</v>
      </c>
      <c r="H4" s="30">
        <f>IF(Vendedor1!$E$15="",0,Vendedor1!$E$15)</f>
        <v>650</v>
      </c>
      <c r="J4" s="42">
        <f t="shared" ref="J4:J7" si="0">+C4+E4+G4</f>
        <v>159650</v>
      </c>
      <c r="K4" s="41">
        <f>MROUND(J4*Vendedor1!J$9,50)</f>
        <v>20750</v>
      </c>
      <c r="L4" s="42">
        <f t="shared" ref="L4:L7" si="1">+D4+F4+H4</f>
        <v>900</v>
      </c>
      <c r="M4" s="42">
        <f t="shared" ref="M4:M7" si="2">+L4*85</f>
        <v>76500</v>
      </c>
      <c r="N4" s="42">
        <f>Vendedor1!$F$7+Vendedor1!$F$11+Vendedor1!$F$15</f>
        <v>76500</v>
      </c>
      <c r="P4" s="42">
        <f t="shared" ref="P4:P7" si="3">+J4-K4-N4</f>
        <v>62400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52200</v>
      </c>
      <c r="D5" s="30">
        <f>IF(Vendedor2!$E$7="",0,Vendedor2!$E$7)</f>
        <v>2000</v>
      </c>
      <c r="E5" s="181">
        <f>IF(Vendedor2!$C$11="",0,Vendedor2!$C$11)</f>
        <v>30050</v>
      </c>
      <c r="F5" s="30">
        <f>IF(Vendedor2!$E$11="",0,Vendedor2!$E$11)</f>
        <v>0</v>
      </c>
      <c r="G5" s="181">
        <f>IF(Vendedor2!$C$15="",0,Vendedor2!$C$15)</f>
        <v>63450</v>
      </c>
      <c r="H5" s="30">
        <f>IF(Vendedor2!$E$15="",0,Vendedor2!$E$15)</f>
        <v>500</v>
      </c>
      <c r="J5" s="42">
        <f t="shared" si="0"/>
        <v>145700</v>
      </c>
      <c r="K5" s="41">
        <f>MROUND(J5*Vendedor2!J$9,50)</f>
        <v>18950</v>
      </c>
      <c r="L5" s="42">
        <f t="shared" si="1"/>
        <v>2500</v>
      </c>
      <c r="M5" s="42">
        <f t="shared" si="2"/>
        <v>212500</v>
      </c>
      <c r="N5" s="42">
        <f>Vendedor2!$F$7+Vendedor2!$F$11+Vendedor2!$F$15</f>
        <v>212500</v>
      </c>
      <c r="P5" s="42">
        <f t="shared" si="3"/>
        <v>-85750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0</v>
      </c>
      <c r="D8" s="30">
        <f>IF(Vendedor5!$E$7="",0,Vendedor5!$E$7)</f>
        <v>0</v>
      </c>
      <c r="E8" s="181">
        <f>IF(Vendedor5!$C$11="",0,Vendedor5!$C$11)</f>
        <v>0</v>
      </c>
      <c r="F8" s="30">
        <f>IF(Vendedor5!$E$11="",0,Vendedor5!$E$11)</f>
        <v>0</v>
      </c>
      <c r="G8" s="181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155000</v>
      </c>
      <c r="D10" s="30">
        <f>IF(Vendedor7!$E$7="",0,Vendedor7!$E$7)</f>
        <v>5950</v>
      </c>
      <c r="E10" s="181">
        <f>IF(Vendedor7!$C$11="",0,Vendedor7!$C$11)</f>
        <v>165350</v>
      </c>
      <c r="F10" s="30">
        <f>IF(Vendedor7!$E$11="",0,Vendedor7!$E$11)</f>
        <v>0</v>
      </c>
      <c r="G10" s="181">
        <f>IF(Vendedor7!$C$15="",0,Vendedor7!$C$15)</f>
        <v>182750</v>
      </c>
      <c r="H10" s="30">
        <f>IF(Vendedor7!$E$15="",0,Vendedor7!$E$15)</f>
        <v>2700</v>
      </c>
      <c r="J10" s="42">
        <f t="shared" si="8"/>
        <v>503100</v>
      </c>
      <c r="K10" s="41">
        <f>MROUND(J10*Vendedor7!J$14,50)</f>
        <v>60350</v>
      </c>
      <c r="L10" s="42">
        <f t="shared" si="9"/>
        <v>8650</v>
      </c>
      <c r="M10" s="42">
        <f t="shared" si="10"/>
        <v>735250</v>
      </c>
      <c r="N10" s="42">
        <f>Vendedor7!$F$7+Vendedor7!$F$11+Vendedor7!$F$15</f>
        <v>735250</v>
      </c>
      <c r="P10" s="42">
        <f t="shared" si="11"/>
        <v>-292500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9000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12100</v>
      </c>
      <c r="H11" s="30">
        <f>IF(Vendedor8!$E$15="",0,Vendedor8!$E$15)</f>
        <v>0</v>
      </c>
      <c r="J11" s="42">
        <f t="shared" si="8"/>
        <v>21100</v>
      </c>
      <c r="K11" s="41">
        <f>MROUND(J11*Vendedor8!J$11,50)</f>
        <v>2550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18550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64200</v>
      </c>
      <c r="D12" s="30">
        <f>IF(Vendedor9!$E$7="",0,Vendedor9!$E$7)</f>
        <v>300</v>
      </c>
      <c r="E12" s="181">
        <f>IF(Vendedor9!$C$11="",0,Vendedor9!$C$11)</f>
        <v>36900</v>
      </c>
      <c r="F12" s="30">
        <f>IF(Vendedor9!$E$11="",0,Vendedor9!$E$11)</f>
        <v>0</v>
      </c>
      <c r="G12" s="181">
        <f>IF(Vendedor9!$C$15="",0,Vendedor9!$C$15)</f>
        <v>13000</v>
      </c>
      <c r="H12" s="30">
        <f>IF(Vendedor9!$E$15="",0,Vendedor9!$E$15)</f>
        <v>0</v>
      </c>
      <c r="J12" s="42">
        <f t="shared" si="8"/>
        <v>114100</v>
      </c>
      <c r="K12" s="41">
        <f>MROUND(J12*Vendedor9!J$11,50)</f>
        <v>13700</v>
      </c>
      <c r="L12" s="42">
        <f t="shared" si="9"/>
        <v>300</v>
      </c>
      <c r="M12" s="42">
        <f t="shared" si="10"/>
        <v>25500</v>
      </c>
      <c r="N12" s="42">
        <f>Vendedor9!$F$7+Vendedor9!$F$11+Vendedor9!$F$15</f>
        <v>25500</v>
      </c>
      <c r="P12" s="42">
        <f t="shared" si="11"/>
        <v>74900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36950</v>
      </c>
      <c r="D13" s="30">
        <f>IF(Vendedor10!$E$7="",0,Vendedor10!$E$7)</f>
        <v>200</v>
      </c>
      <c r="E13" s="181">
        <f>IF(Vendedor10!$C$11="",0,Vendedor10!$C$11)</f>
        <v>27850</v>
      </c>
      <c r="F13" s="30">
        <f>IF(Vendedor10!$E$11="",0,Vendedor10!$E$11)</f>
        <v>0</v>
      </c>
      <c r="G13" s="181">
        <f>IF(Vendedor10!$C$15="",0,Vendedor10!$C$15)</f>
        <v>52300</v>
      </c>
      <c r="H13" s="30">
        <f>IF(Vendedor10!$E$15="",0,Vendedor10!$E$15)</f>
        <v>500</v>
      </c>
      <c r="J13" s="42">
        <f t="shared" si="8"/>
        <v>117100</v>
      </c>
      <c r="K13" s="41">
        <f>MROUND(J13*Vendedor10!J$9,50)</f>
        <v>14050</v>
      </c>
      <c r="L13" s="42">
        <f t="shared" si="9"/>
        <v>700</v>
      </c>
      <c r="M13" s="42">
        <f t="shared" si="10"/>
        <v>59500</v>
      </c>
      <c r="N13" s="42">
        <f>Vendedor10!$F$7+Vendedor10!$F$11+Vendedor10!$F$15</f>
        <v>59500</v>
      </c>
      <c r="P13" s="42">
        <f t="shared" si="11"/>
        <v>43550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41100</v>
      </c>
      <c r="D14" s="30">
        <f>IF(Vendedor11!$E$7="",0,Vendedor11!$E$7)</f>
        <v>1250</v>
      </c>
      <c r="E14" s="181">
        <f>IF(Vendedor11!$C$11="",0,Vendedor11!$C$11)</f>
        <v>23600</v>
      </c>
      <c r="F14" s="30">
        <f>IF(Vendedor11!$E$11="",0,Vendedor11!$E$11)</f>
        <v>0</v>
      </c>
      <c r="G14" s="181">
        <f>IF(Vendedor11!$C$15="",0,Vendedor11!$C$15)</f>
        <v>40100</v>
      </c>
      <c r="H14" s="30">
        <f>IF(Vendedor11!$E$15="",0,Vendedor11!$E$15)</f>
        <v>0</v>
      </c>
      <c r="J14" s="42">
        <f t="shared" si="8"/>
        <v>104800</v>
      </c>
      <c r="K14" s="41">
        <f>MROUND(J14*Vendedor11!J$9,50)</f>
        <v>15700</v>
      </c>
      <c r="L14" s="42">
        <f t="shared" si="9"/>
        <v>1250</v>
      </c>
      <c r="M14" s="42">
        <f t="shared" si="10"/>
        <v>106250</v>
      </c>
      <c r="N14" s="42">
        <f>Vendedor11!$F$7+Vendedor11!$F$11+Vendedor11!$F$15</f>
        <v>100000</v>
      </c>
      <c r="P14" s="42">
        <f t="shared" si="11"/>
        <v>-10900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14350</v>
      </c>
      <c r="D16" s="30">
        <f>IF(Vendedor13!$E$7="",0,Vendedor13!$E$7)</f>
        <v>0</v>
      </c>
      <c r="E16" s="181">
        <f>IF(Vendedor13!$C$11="",0,Vendedor13!$C$11)</f>
        <v>21500</v>
      </c>
      <c r="F16" s="30">
        <f>IF(Vendedor13!$E$11="",0,Vendedor13!$E$11)</f>
        <v>0</v>
      </c>
      <c r="G16" s="181">
        <f>IF(Vendedor13!$C$15="",0,Vendedor13!$C$15)</f>
        <v>34700</v>
      </c>
      <c r="H16" s="30">
        <f>IF(Vendedor13!$E$15="",0,Vendedor13!$E$15)</f>
        <v>0</v>
      </c>
      <c r="J16" s="42">
        <f t="shared" si="8"/>
        <v>70550</v>
      </c>
      <c r="K16" s="41">
        <f>MROUND(J16*Vendedor13!J$11,50)</f>
        <v>8450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62100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163400</v>
      </c>
      <c r="D17" s="30">
        <f>IF(Vendedor14!$E$7="",0,Vendedor14!$E$7)</f>
        <v>600</v>
      </c>
      <c r="E17" s="181">
        <f>IF(Vendedor14!$C$11="",0,Vendedor14!$C$11)</f>
        <v>135700</v>
      </c>
      <c r="F17" s="30">
        <f>IF(Vendedor14!$E$11="",0,Vendedor14!$E$11)</f>
        <v>0</v>
      </c>
      <c r="G17" s="181">
        <f>IF(Vendedor14!$C$15="",0,Vendedor14!$C$15)</f>
        <v>182600</v>
      </c>
      <c r="H17" s="30">
        <f>IF(Vendedor14!$E$15="",0,Vendedor14!$E$15)</f>
        <v>2250</v>
      </c>
      <c r="J17" s="42">
        <f t="shared" si="8"/>
        <v>481700</v>
      </c>
      <c r="K17" s="41">
        <f>MROUND(J17*Vendedor14!J$15,50)</f>
        <v>57800</v>
      </c>
      <c r="L17" s="42">
        <f t="shared" si="9"/>
        <v>2850</v>
      </c>
      <c r="M17" s="42">
        <f t="shared" si="10"/>
        <v>242250</v>
      </c>
      <c r="N17" s="42">
        <f>Vendedor14!$F$7+Vendedor14!$F$11+Vendedor14!$F$15</f>
        <v>242250</v>
      </c>
      <c r="P17" s="42">
        <f t="shared" si="11"/>
        <v>181650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51050</v>
      </c>
      <c r="D18" s="30">
        <f>IF(Vendedor15!$E$7="",0,Vendedor15!$E$7)</f>
        <v>400</v>
      </c>
      <c r="E18" s="181">
        <f>IF(Vendedor15!$C$11="",0,Vendedor15!$C$11)</f>
        <v>41550</v>
      </c>
      <c r="F18" s="30">
        <f>IF(Vendedor15!$E$11="",0,Vendedor15!$E$11)</f>
        <v>150</v>
      </c>
      <c r="G18" s="181">
        <f>IF(Vendedor15!$C$15="",0,Vendedor15!$C$15)</f>
        <v>47200</v>
      </c>
      <c r="H18" s="30">
        <f>IF(Vendedor15!$E$15="",0,Vendedor15!$E$15)</f>
        <v>600</v>
      </c>
      <c r="J18" s="42">
        <f t="shared" ref="J18" si="12">+C18+E18+G18</f>
        <v>139800</v>
      </c>
      <c r="K18" s="41">
        <f>MROUND(J18*Vendedor15!J$15,50)</f>
        <v>16800</v>
      </c>
      <c r="L18" s="42">
        <f t="shared" ref="L18" si="13">+D18+F18+H18</f>
        <v>1150</v>
      </c>
      <c r="M18" s="42">
        <f t="shared" ref="M18" si="14">+L18*85</f>
        <v>97750</v>
      </c>
      <c r="N18" s="42">
        <f>Vendedor15!$F$7+Vendedor15!$F$11+Vendedor15!$F$15</f>
        <v>97750</v>
      </c>
      <c r="P18" s="42">
        <f t="shared" ref="P18" si="15">+J18-K18-N18</f>
        <v>25250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643100</v>
      </c>
      <c r="D32" s="44">
        <f t="shared" si="16"/>
        <v>10950</v>
      </c>
      <c r="E32" s="43">
        <f t="shared" si="16"/>
        <v>520700</v>
      </c>
      <c r="F32" s="44">
        <f t="shared" si="16"/>
        <v>150</v>
      </c>
      <c r="G32" s="43">
        <f t="shared" si="16"/>
        <v>693800</v>
      </c>
      <c r="H32" s="44">
        <f t="shared" si="16"/>
        <v>7200</v>
      </c>
      <c r="J32" s="96">
        <f>SUM(J4:J31)</f>
        <v>1857600</v>
      </c>
      <c r="K32" s="45">
        <f>SUM(K7:K31)</f>
        <v>189400</v>
      </c>
      <c r="L32" s="96">
        <f>SUM(L4:L31)</f>
        <v>18300</v>
      </c>
      <c r="M32" s="96">
        <f>SUM(M4:M31)</f>
        <v>1555500</v>
      </c>
      <c r="N32" s="96">
        <f>SUM(N4:N31)</f>
        <v>1549250</v>
      </c>
      <c r="P32" s="80">
        <f>SUM(P4:P31)</f>
        <v>79250</v>
      </c>
    </row>
    <row r="33" spans="3:13" x14ac:dyDescent="0.35">
      <c r="D33" s="100">
        <f>+D32*85</f>
        <v>930750</v>
      </c>
      <c r="F33" s="100">
        <f>+F32*85</f>
        <v>12750</v>
      </c>
      <c r="H33" s="100">
        <f>+H32*85</f>
        <v>612000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1857600</v>
      </c>
      <c r="E36" s="43">
        <f>+D36-J4-J5-J6</f>
        <v>1552250</v>
      </c>
      <c r="G36" s="102"/>
    </row>
    <row r="37" spans="3:13" x14ac:dyDescent="0.35">
      <c r="C37" s="47" t="s">
        <v>33</v>
      </c>
      <c r="D37" s="48">
        <f>D36*13%</f>
        <v>241488</v>
      </c>
      <c r="E37">
        <f>+D37-K4-K5-K6</f>
        <v>201788</v>
      </c>
      <c r="G37" s="101"/>
      <c r="H37" s="101"/>
    </row>
    <row r="38" spans="3:13" ht="15" thickBot="1" x14ac:dyDescent="0.4">
      <c r="C38" s="47" t="s">
        <v>30</v>
      </c>
      <c r="D38" s="30">
        <f>M32</f>
        <v>1555500</v>
      </c>
      <c r="G38" s="101"/>
      <c r="H38" s="101"/>
    </row>
    <row r="39" spans="3:13" ht="15" thickBot="1" x14ac:dyDescent="0.4">
      <c r="C39" s="49" t="s">
        <v>4</v>
      </c>
      <c r="D39" s="81">
        <f>+D36-D37-D38</f>
        <v>60612</v>
      </c>
      <c r="F39" s="99">
        <f>+P32-D39</f>
        <v>18638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60612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93</v>
      </c>
      <c r="D2" s="269"/>
      <c r="E2" s="268">
        <f>DigitaNICA!E2</f>
        <v>76</v>
      </c>
      <c r="F2" s="269"/>
      <c r="G2" s="268">
        <f>DigitaNICA!G2</f>
        <v>71</v>
      </c>
      <c r="H2" s="269"/>
      <c r="I2" s="268">
        <f>DigitaNICA!I2</f>
        <v>39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21650</v>
      </c>
      <c r="D4" s="79">
        <f>IF(Vendedor1!$E$5="",0,Vendedor1!$E$5)</f>
        <v>0</v>
      </c>
      <c r="E4" s="190">
        <f>IF(Vendedor1!$C$9="",0,Vendedor1!$C$9)</f>
        <v>15900</v>
      </c>
      <c r="F4" s="79">
        <f>IF(Vendedor1!$E$9="",0,Vendedor1!$E$9)</f>
        <v>0</v>
      </c>
      <c r="G4" s="190">
        <f>IF(Vendedor1!$C$13="",0,Vendedor1!$C$13)</f>
        <v>11350</v>
      </c>
      <c r="H4" s="79">
        <f>IF(Vendedor1!$E$13="",0,Vendedor1!$E$13)</f>
        <v>0</v>
      </c>
      <c r="I4" s="190">
        <f>IF(Vendedor1!$C$17="",0,Vendedor1!$C$17)</f>
        <v>4800</v>
      </c>
      <c r="J4" s="79">
        <f>IF(Vendedor1!$E$17="",0,Vendedor1!$E$17)</f>
        <v>0</v>
      </c>
      <c r="L4" s="42">
        <f t="shared" ref="L4:L7" si="0">C4+E4+G4+I4</f>
        <v>53700</v>
      </c>
      <c r="M4" s="41">
        <f>MROUND(L4*Vendedor1!J$10,50)</f>
        <v>7000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46700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16550</v>
      </c>
      <c r="D5" s="30">
        <f>IF(Vendedor2!$E$5="",0,Vendedor2!$E$5)</f>
        <v>0</v>
      </c>
      <c r="E5" s="181">
        <f>IF(Vendedor2!$C$9="",0,Vendedor2!$C$9)</f>
        <v>21300</v>
      </c>
      <c r="F5" s="30">
        <f>IF(Vendedor2!$E$9="",0,Vendedor2!$E$9)</f>
        <v>0</v>
      </c>
      <c r="G5" s="181">
        <f>IF(Vendedor2!$C$13="",0,Vendedor2!$C$13)</f>
        <v>1800</v>
      </c>
      <c r="H5" s="30">
        <f>IF(Vendedor2!$E$13="",0,Vendedor2!$E$13)</f>
        <v>0</v>
      </c>
      <c r="I5" s="181">
        <f>IF(Vendedor2!$C$17="",0,Vendedor2!$C$17)</f>
        <v>2800</v>
      </c>
      <c r="J5" s="30">
        <f>IF(Vendedor2!$E$17="",0,Vendedor2!$E$17)</f>
        <v>0</v>
      </c>
      <c r="L5" s="42">
        <f t="shared" si="0"/>
        <v>42450</v>
      </c>
      <c r="M5" s="41">
        <f>MROUND(L5*Vendedor2!J$10,50)</f>
        <v>5500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36950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0</v>
      </c>
      <c r="D8" s="30">
        <f>IF(Vendedor5!$E$5="",0,Vendedor5!$E$5)</f>
        <v>0</v>
      </c>
      <c r="E8" s="181">
        <f>IF(Vendedor5!$C$9="",0,Vendedor5!$C$9)</f>
        <v>0</v>
      </c>
      <c r="F8" s="30">
        <f>IF(Vendedor5!$E$9="",0,Vendedor5!$E$9)</f>
        <v>0</v>
      </c>
      <c r="G8" s="181">
        <f>IF(Vendedor5!$C$13="",0,Vendedor5!$C$13)</f>
        <v>0</v>
      </c>
      <c r="H8" s="30">
        <f>IF(Vendedor5!$E$13="",0,Vendedor5!$E$13)</f>
        <v>0</v>
      </c>
      <c r="I8" s="181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131800</v>
      </c>
      <c r="D10" s="30">
        <f>IF(Vendedor7!$E$5="",0,Vendedor7!$E$5)</f>
        <v>150</v>
      </c>
      <c r="E10" s="181">
        <f>IF(Vendedor7!$C$9="",0,Vendedor7!$C$9)</f>
        <v>111200</v>
      </c>
      <c r="F10" s="30">
        <f>IF(Vendedor7!$E$9="",0,Vendedor7!$E$9)</f>
        <v>1000</v>
      </c>
      <c r="G10" s="181">
        <f>IF(Vendedor7!$C$13="",0,Vendedor7!$C$13)</f>
        <v>107450</v>
      </c>
      <c r="H10" s="30">
        <f>IF(Vendedor7!$E$13="",0,Vendedor7!$E$13)</f>
        <v>0</v>
      </c>
      <c r="I10" s="181">
        <f>IF(Vendedor7!$C$17="",0,Vendedor7!$C$17)</f>
        <v>134200</v>
      </c>
      <c r="J10" s="30">
        <f>IF(Vendedor7!$E$17="",0,Vendedor7!$E$17)</f>
        <v>400</v>
      </c>
      <c r="L10" s="42">
        <f t="shared" si="7"/>
        <v>484650</v>
      </c>
      <c r="M10" s="41">
        <f>MROUND(L10*Vendedor7!J$15,50)</f>
        <v>58150</v>
      </c>
      <c r="N10" s="42">
        <f t="shared" ref="N10:N27" si="9">D10+F10+H10+J10</f>
        <v>1550</v>
      </c>
      <c r="O10" s="41">
        <f t="shared" si="3"/>
        <v>131750</v>
      </c>
      <c r="P10" s="42">
        <f>Vendedor7!$F$5+Vendedor7!$F$9+Vendedor7!$F$13+Vendedor7!$F$17</f>
        <v>131750</v>
      </c>
      <c r="R10" s="41">
        <f t="shared" si="8"/>
        <v>294750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70100</v>
      </c>
      <c r="D12" s="30">
        <f>IF(Vendedor9!$E$5="",0,Vendedor9!$E$5)</f>
        <v>300</v>
      </c>
      <c r="E12" s="181">
        <f>IF(Vendedor9!$C$9="",0,Vendedor9!$C$9)</f>
        <v>40750</v>
      </c>
      <c r="F12" s="30">
        <f>IF(Vendedor9!$E$9="",0,Vendedor9!$E$9)</f>
        <v>250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110850</v>
      </c>
      <c r="M12" s="41">
        <f>MROUND(L12*Vendedor9!J$12,50)</f>
        <v>13300</v>
      </c>
      <c r="N12" s="42">
        <f t="shared" si="9"/>
        <v>550</v>
      </c>
      <c r="O12" s="41">
        <f t="shared" si="3"/>
        <v>46750</v>
      </c>
      <c r="P12" s="42">
        <f>Vendedor9!$F$5+Vendedor9!$F$9+Vendedor9!$F$13+Vendedor9!$F$17</f>
        <v>46750</v>
      </c>
      <c r="R12" s="41">
        <f t="shared" si="8"/>
        <v>50800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39250</v>
      </c>
      <c r="D13" s="30">
        <f>IF(Vendedor10!$E$5="",0,Vendedor10!$E$5)</f>
        <v>0</v>
      </c>
      <c r="E13" s="181">
        <f>IF(Vendedor10!$C$9="",0,Vendedor10!$C$9)</f>
        <v>20550</v>
      </c>
      <c r="F13" s="30">
        <f>IF(Vendedor10!$E$9="",0,Vendedor10!$E$9)</f>
        <v>0</v>
      </c>
      <c r="G13" s="181">
        <f>IF(Vendedor10!$C$13="",0,Vendedor10!$C$13)</f>
        <v>16650</v>
      </c>
      <c r="H13" s="30">
        <f>IF(Vendedor10!$E$13="",0,Vendedor10!$E$13)</f>
        <v>0</v>
      </c>
      <c r="I13" s="181">
        <f>IF(Vendedor10!$C$17="",0,Vendedor10!$C$17)</f>
        <v>1900</v>
      </c>
      <c r="J13" s="30">
        <f>IF(Vendedor10!$E$17="",0,Vendedor10!$E$17)</f>
        <v>0</v>
      </c>
      <c r="L13" s="42">
        <f t="shared" si="7"/>
        <v>78350</v>
      </c>
      <c r="M13" s="41">
        <f>MROUND(L13*Vendedor10!J$10,50)</f>
        <v>9400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68950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2350</v>
      </c>
      <c r="D16" s="30">
        <f>IF(Vendedor13!$E$5="",0,Vendedor13!$E$5)</f>
        <v>0</v>
      </c>
      <c r="E16" s="181">
        <f>IF(Vendedor13!$C$9="",0,Vendedor13!$C$9)</f>
        <v>10000</v>
      </c>
      <c r="F16" s="30">
        <f>IF(Vendedor13!$E$9="",0,Vendedor13!$E$9)</f>
        <v>0</v>
      </c>
      <c r="G16" s="181">
        <f>IF(Vendedor13!$C$13="",0,Vendedor13!$C$13)</f>
        <v>0</v>
      </c>
      <c r="H16" s="30">
        <f>IF(Vendedor13!$E$13="",0,Vendedor13!$E$13)</f>
        <v>0</v>
      </c>
      <c r="I16" s="181">
        <f>IF(Vendedor13!$C$17="",0,Vendedor13!$C$17)</f>
        <v>18800</v>
      </c>
      <c r="J16" s="30">
        <f>IF(Vendedor13!$E$17="",0,Vendedor13!$E$17)</f>
        <v>0</v>
      </c>
      <c r="L16" s="42">
        <f t="shared" si="7"/>
        <v>31150</v>
      </c>
      <c r="M16" s="41">
        <f>MROUND(L16*Vendedor13!J$12,50)</f>
        <v>3750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27400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137250</v>
      </c>
      <c r="D17" s="30">
        <f>IF(Vendedor14!$E$5="",0,Vendedor14!$E$5)</f>
        <v>100</v>
      </c>
      <c r="E17" s="181">
        <f>IF(Vendedor14!$C$9="",0,Vendedor14!$C$9)</f>
        <v>77100</v>
      </c>
      <c r="F17" s="30">
        <f>IF(Vendedor14!$E$9="",0,Vendedor14!$E$9)</f>
        <v>0</v>
      </c>
      <c r="G17" s="181">
        <f>IF(Vendedor14!$C$13="",0,Vendedor14!$C$13)</f>
        <v>89750</v>
      </c>
      <c r="H17" s="30">
        <f>IF(Vendedor14!$E$13="",0,Vendedor14!$E$13)</f>
        <v>1000</v>
      </c>
      <c r="I17" s="181">
        <f>IF(Vendedor14!$C$17="",0,Vendedor14!$C$17)</f>
        <v>162700</v>
      </c>
      <c r="J17" s="30">
        <f>IF(Vendedor14!$E$17="",0,Vendedor14!$E$17)</f>
        <v>200</v>
      </c>
      <c r="L17" s="42">
        <f>C17+E17+G17+I17</f>
        <v>466800</v>
      </c>
      <c r="M17" s="41">
        <f>MROUND(L17*Vendedor14!J$16,50)</f>
        <v>56000</v>
      </c>
      <c r="N17" s="42">
        <f t="shared" si="9"/>
        <v>1300</v>
      </c>
      <c r="O17" s="41">
        <f t="shared" si="3"/>
        <v>110500</v>
      </c>
      <c r="P17" s="42">
        <f>Vendedor14!$F$5+Vendedor14!$F$9+Vendedor14!$F$13+Vendedor14!$F$17</f>
        <v>110500</v>
      </c>
      <c r="R17" s="41">
        <f t="shared" si="8"/>
        <v>300300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42800</v>
      </c>
      <c r="D18" s="30">
        <f>IF(Vendedor15!$E$5="",0,Vendedor15!$E$5)</f>
        <v>150</v>
      </c>
      <c r="E18" s="181">
        <f>IF(Vendedor15!$C$9="",0,Vendedor15!$C$9)</f>
        <v>45700</v>
      </c>
      <c r="F18" s="30">
        <f>IF(Vendedor15!$E$9="",0,Vendedor15!$E$9)</f>
        <v>0</v>
      </c>
      <c r="G18" s="181">
        <f>IF(Vendedor15!$C$13="",0,Vendedor15!$C$13)</f>
        <v>28600</v>
      </c>
      <c r="H18" s="30">
        <f>IF(Vendedor15!$E$13="",0,Vendedor15!$E$13)</f>
        <v>150</v>
      </c>
      <c r="I18" s="181">
        <f>IF(Vendedor15!$C$17="",0,Vendedor15!$C$17)</f>
        <v>18550</v>
      </c>
      <c r="J18" s="30">
        <f>IF(Vendedor15!$E$17="",0,Vendedor15!$E$17)</f>
        <v>0</v>
      </c>
      <c r="L18" s="42">
        <f t="shared" ref="L18:L27" si="10">C18+E18+G18+I18</f>
        <v>135650</v>
      </c>
      <c r="M18" s="41">
        <f>MROUND(L18*Vendedor15!J$16,50)</f>
        <v>16300</v>
      </c>
      <c r="N18" s="42">
        <f t="shared" si="9"/>
        <v>300</v>
      </c>
      <c r="O18" s="41">
        <f t="shared" si="3"/>
        <v>25500</v>
      </c>
      <c r="P18" s="42">
        <f>Vendedor15!$F$5+Vendedor15!$F$9+Vendedor15!$F$13+Vendedor15!$F$17</f>
        <v>25500</v>
      </c>
      <c r="R18" s="41">
        <f t="shared" si="8"/>
        <v>93850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461750</v>
      </c>
      <c r="D32" s="44">
        <f t="shared" si="14"/>
        <v>700</v>
      </c>
      <c r="E32" s="43">
        <f t="shared" si="14"/>
        <v>342500</v>
      </c>
      <c r="F32" s="44">
        <f t="shared" si="14"/>
        <v>1250</v>
      </c>
      <c r="G32" s="43">
        <f t="shared" si="14"/>
        <v>255600</v>
      </c>
      <c r="H32" s="44">
        <f t="shared" si="14"/>
        <v>1150</v>
      </c>
      <c r="I32" s="43">
        <f t="shared" si="14"/>
        <v>343750</v>
      </c>
      <c r="J32" s="44">
        <f t="shared" si="14"/>
        <v>600</v>
      </c>
      <c r="L32" s="45">
        <f>SUM(L4:L31)</f>
        <v>1403600</v>
      </c>
      <c r="M32" s="45">
        <f>SUM(M7:M31)</f>
        <v>156900</v>
      </c>
      <c r="N32" s="96">
        <f>SUM(N4:N31)</f>
        <v>3700</v>
      </c>
      <c r="O32" s="46">
        <f>SUM(O4:O31)</f>
        <v>314500</v>
      </c>
      <c r="P32" s="141">
        <f>SUM(P4:P31)</f>
        <v>314500</v>
      </c>
      <c r="R32" s="80">
        <f>SUM(R4:R31)</f>
        <v>919700</v>
      </c>
    </row>
    <row r="33" spans="3:15" x14ac:dyDescent="0.35">
      <c r="D33" s="121">
        <f>+D32*85</f>
        <v>59500</v>
      </c>
      <c r="F33" s="121">
        <f>+F32*85</f>
        <v>106250</v>
      </c>
      <c r="H33" s="121">
        <f>+H32*85</f>
        <v>97750</v>
      </c>
      <c r="J33" s="121">
        <f>+J32*85</f>
        <v>51000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1403600</v>
      </c>
      <c r="E36" s="43">
        <f>+D36-L4-L5-L6</f>
        <v>1307450</v>
      </c>
    </row>
    <row r="37" spans="3:15" x14ac:dyDescent="0.35">
      <c r="C37" s="47" t="s">
        <v>33</v>
      </c>
      <c r="D37" s="48">
        <f>D36*13%</f>
        <v>182468</v>
      </c>
      <c r="E37">
        <f>+D37-M4-M5-M6</f>
        <v>169968</v>
      </c>
    </row>
    <row r="38" spans="3:15" x14ac:dyDescent="0.35">
      <c r="C38" s="47" t="s">
        <v>30</v>
      </c>
      <c r="D38" s="30">
        <f>SUM(O4:O27)</f>
        <v>314500</v>
      </c>
      <c r="G38" s="101"/>
    </row>
    <row r="39" spans="3:15" ht="15" thickBot="1" x14ac:dyDescent="0.4">
      <c r="C39" s="49" t="s">
        <v>4</v>
      </c>
      <c r="D39" s="81">
        <f>+D36-D37-D38</f>
        <v>906632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906632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29 Roja</v>
      </c>
      <c r="D2" s="269"/>
      <c r="E2" s="268" t="str">
        <f>IF(E33=0,"",CONCATENATE(PREMIOS!$B11," ",PREMIOS!$B12))</f>
        <v>86 Blanca</v>
      </c>
      <c r="F2" s="269"/>
      <c r="G2" s="268" t="str">
        <f>IF(G33=0,"",CONCATENATE(PREMIOS!$B15," ",PREMIOS!$B16))</f>
        <v>15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23150</v>
      </c>
      <c r="D10" s="30">
        <f>IF(Vendedor7!$E$8="",0,Vendedor7!$E$8)</f>
        <v>1250</v>
      </c>
      <c r="E10" s="181">
        <f>IF(Vendedor7!$C$12="",0,Vendedor7!$C$12)</f>
        <v>16900</v>
      </c>
      <c r="F10" s="30">
        <f>IF(Vendedor7!$E$12="",0,Vendedor7!$E$12)</f>
        <v>0</v>
      </c>
      <c r="G10" s="181">
        <f>IF(Vendedor7!$C$16="",0,Vendedor7!$C$16)</f>
        <v>23200</v>
      </c>
      <c r="H10" s="30">
        <f>IF(Vendedor7!$E$16="",0,Vendedor7!$E$16)</f>
        <v>0</v>
      </c>
      <c r="J10" s="42">
        <f t="shared" si="1"/>
        <v>63250</v>
      </c>
      <c r="K10" s="41">
        <f>J10*Vendedor7!J$16</f>
        <v>6325</v>
      </c>
      <c r="L10" s="42">
        <f t="shared" si="2"/>
        <v>1250</v>
      </c>
      <c r="M10" s="42">
        <f t="shared" si="3"/>
        <v>1250</v>
      </c>
      <c r="N10" s="42">
        <f t="shared" si="0"/>
        <v>275000</v>
      </c>
      <c r="O10" s="42">
        <f>Vendedor7!$F$8+Vendedor7!$F$12+Vendedor7!$F$16</f>
        <v>250000</v>
      </c>
      <c r="Q10" s="42">
        <f t="shared" si="4"/>
        <v>-193075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1200</v>
      </c>
      <c r="D12" s="30">
        <f>IF(Vendedor9!$E$8="",0,Vendedor9!$E$8)</f>
        <v>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1200</v>
      </c>
      <c r="K12" s="41">
        <f>J12*Vendedor9!J$13</f>
        <v>120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1080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1000</v>
      </c>
      <c r="D16" s="30">
        <f>IF(Vendedor13!$E$8="",0,Vendedor13!$E$8)</f>
        <v>0</v>
      </c>
      <c r="E16" s="181">
        <f>IF(Vendedor13!$C$12="",0,Vendedor13!$C$12)</f>
        <v>1000</v>
      </c>
      <c r="F16" s="30">
        <f>IF(Vendedor13!$E$12="",0,Vendedor13!$E$12)</f>
        <v>0</v>
      </c>
      <c r="G16" s="181">
        <f>IF(Vendedor13!$C$16="",0,Vendedor13!$C$16)</f>
        <v>2000</v>
      </c>
      <c r="H16" s="30">
        <f>IF(Vendedor13!$E$16="",0,Vendedor13!$E$16)</f>
        <v>0</v>
      </c>
      <c r="J16" s="42">
        <f t="shared" si="1"/>
        <v>4000</v>
      </c>
      <c r="K16" s="41">
        <f>J16*Vendedor13!J$13</f>
        <v>400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3600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49700</v>
      </c>
      <c r="D17" s="30">
        <f>IF(Vendedor14!$E$8="",0,Vendedor14!$E$8)</f>
        <v>400</v>
      </c>
      <c r="E17" s="181">
        <f>IF(Vendedor14!$C$12="",0,Vendedor14!$C$12)</f>
        <v>43900</v>
      </c>
      <c r="F17" s="30">
        <f>IF(Vendedor14!$E$12="",0,Vendedor14!$E$12)</f>
        <v>0</v>
      </c>
      <c r="G17" s="181">
        <f>IF(Vendedor14!$C$16="",0,Vendedor14!$C$16)</f>
        <v>33550</v>
      </c>
      <c r="H17" s="30">
        <f>IF(Vendedor14!$E$16="",0,Vendedor14!$E$16)</f>
        <v>500</v>
      </c>
      <c r="J17" s="42">
        <f t="shared" si="1"/>
        <v>127150</v>
      </c>
      <c r="K17" s="41">
        <f>J17*Vendedor14!J$17</f>
        <v>12715</v>
      </c>
      <c r="L17" s="42">
        <f t="shared" si="2"/>
        <v>400</v>
      </c>
      <c r="M17" s="42">
        <f t="shared" si="3"/>
        <v>900</v>
      </c>
      <c r="N17" s="42">
        <f t="shared" si="0"/>
        <v>88000</v>
      </c>
      <c r="O17" s="42">
        <f>Vendedor14!$F$8+Vendedor14!$F$12+Vendedor14!$F$16</f>
        <v>80000</v>
      </c>
      <c r="Q17" s="42">
        <f t="shared" si="4"/>
        <v>34435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21500</v>
      </c>
      <c r="D18" s="30">
        <f>IF(Vendedor15!$E$8="",0,Vendedor15!$E$8)</f>
        <v>400</v>
      </c>
      <c r="E18" s="181">
        <f>IF(Vendedor15!$C$12="",0,Vendedor15!$C$12)</f>
        <v>20500</v>
      </c>
      <c r="F18" s="30">
        <f>IF(Vendedor15!$E$12="",0,Vendedor15!$E$12)</f>
        <v>0</v>
      </c>
      <c r="G18" s="181">
        <f>IF(Vendedor15!$C$16="",0,Vendedor15!$C$16)</f>
        <v>17100</v>
      </c>
      <c r="H18" s="30">
        <f>IF(Vendedor15!$E$16="",0,Vendedor15!$E$16)</f>
        <v>300</v>
      </c>
      <c r="J18" s="42">
        <f t="shared" ref="J18" si="5">+C18+E18+G18</f>
        <v>59100</v>
      </c>
      <c r="K18" s="41">
        <f>J18*Vendedor15!J$17</f>
        <v>5910</v>
      </c>
      <c r="L18" s="42">
        <f t="shared" si="2"/>
        <v>400</v>
      </c>
      <c r="M18" s="42">
        <f t="shared" si="3"/>
        <v>700</v>
      </c>
      <c r="N18" s="42">
        <f t="shared" si="0"/>
        <v>88000</v>
      </c>
      <c r="O18" s="42">
        <f>Vendedor15!$F$8+Vendedor15!$F$12+Vendedor15!$F$16</f>
        <v>80000</v>
      </c>
      <c r="Q18" s="42">
        <f t="shared" si="4"/>
        <v>-26810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96550</v>
      </c>
      <c r="D33" s="44">
        <f>IF(PREMIOS!E8&lt;&gt;0,SUM(D4:D32),0)</f>
        <v>2050</v>
      </c>
      <c r="E33" s="43">
        <f>SUM(E4:E32)</f>
        <v>82300</v>
      </c>
      <c r="F33" s="44">
        <f>IF(PREMIOS!E12&lt;&gt;0,SUM(F4:F32),0)</f>
        <v>0</v>
      </c>
      <c r="G33" s="43">
        <f>SUM(G4:G32)</f>
        <v>75850</v>
      </c>
      <c r="H33" s="44">
        <f>IF(PREMIOS!E16&lt;&gt;0,SUM(H4:H32),0)</f>
        <v>0</v>
      </c>
      <c r="J33" s="45">
        <f>SUM(J4:J32)</f>
        <v>254700</v>
      </c>
      <c r="K33" s="45">
        <f>SUM(K7:K32)</f>
        <v>25470</v>
      </c>
      <c r="L33" s="96">
        <f>SUM(L7:L32)</f>
        <v>2050</v>
      </c>
      <c r="M33" s="96">
        <f>SUM(M7:M32)</f>
        <v>2850</v>
      </c>
      <c r="N33" s="96">
        <f>SUM(N4:N27)</f>
        <v>451000</v>
      </c>
      <c r="O33" s="96">
        <f>SUM(O4:O27)</f>
        <v>410000</v>
      </c>
      <c r="Q33" s="80">
        <f>SUM(Q4:Q32)</f>
        <v>-180770</v>
      </c>
    </row>
    <row r="34" spans="3:17" x14ac:dyDescent="0.35">
      <c r="D34" s="119">
        <f>IF(PREMIOS!$D8=PREMIOS!$J$10,D33*$G$38,IF(PREMIOS!$D8=PREMIOS!$J$11,D33*$F$38,IF(PREMIOS!$D8=PREMIOS!$J$12,0,"")))</f>
        <v>451000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254700</v>
      </c>
      <c r="E37" s="43">
        <f>+D37-J4-J5-J6</f>
        <v>254700</v>
      </c>
      <c r="F37" s="276"/>
      <c r="G37" s="276"/>
    </row>
    <row r="38" spans="3:17" ht="15" thickBot="1" x14ac:dyDescent="0.4">
      <c r="C38" s="47" t="s">
        <v>33</v>
      </c>
      <c r="D38" s="30">
        <f>D37*10%</f>
        <v>25470</v>
      </c>
      <c r="E38" s="43">
        <f>+D38-K4-K5-K6</f>
        <v>25470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451000</v>
      </c>
    </row>
    <row r="40" spans="3:17" ht="15" thickBot="1" x14ac:dyDescent="0.4">
      <c r="C40" s="49" t="s">
        <v>4</v>
      </c>
      <c r="D40" s="81">
        <f>+D37-D38-D39</f>
        <v>-221770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-221770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50</v>
      </c>
      <c r="D2" s="269"/>
      <c r="E2" s="268">
        <f>DigitaPRIMERA!E2</f>
        <v>45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25300</v>
      </c>
      <c r="D4" s="79">
        <f>IF(Vendedor1!$E$19="",0,Vendedor1!$E$19)</f>
        <v>0</v>
      </c>
      <c r="E4" s="190">
        <f>IF(Vendedor1!$C$20="",0,Vendedor1!$C$20)</f>
        <v>1300</v>
      </c>
      <c r="F4" s="79">
        <f>IF(Vendedor1!$E$20="",0,Vendedor1!$E$20)</f>
        <v>0</v>
      </c>
      <c r="H4" s="42">
        <f>+C4+E4</f>
        <v>26600</v>
      </c>
      <c r="I4" s="41">
        <f>MROUND(H4*Vendedor1!J$9,50)</f>
        <v>3450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23150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2800</v>
      </c>
      <c r="D5" s="30">
        <f>IF(Vendedor2!$E$19="",0,Vendedor2!$E$19)</f>
        <v>0</v>
      </c>
      <c r="E5" s="181">
        <f>IF(Vendedor2!$C$20="",0,Vendedor2!$C$20)</f>
        <v>3300</v>
      </c>
      <c r="F5" s="30">
        <f>IF(Vendedor2!$E$20="",0,Vendedor2!$E$20)</f>
        <v>0</v>
      </c>
      <c r="H5" s="42">
        <f t="shared" ref="H5:H31" si="1">+C5+E5</f>
        <v>6100</v>
      </c>
      <c r="I5" s="41">
        <f>MROUND(H5*Vendedor2!J$9,50)</f>
        <v>800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5300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0</v>
      </c>
      <c r="D8" s="30">
        <f>IF(Vendedor5!$E$19="",0,Vendedor5!$E$19)</f>
        <v>0</v>
      </c>
      <c r="E8" s="181">
        <f>IF(Vendedor5!$C$20="",0,Vendedor5!$C$20)</f>
        <v>0</v>
      </c>
      <c r="F8" s="30">
        <f>IF(Vendedor5!$E$20="",0,Vendedor5!$E$20)</f>
        <v>0</v>
      </c>
      <c r="H8" s="134">
        <f t="shared" si="1"/>
        <v>0</v>
      </c>
      <c r="I8" s="149">
        <f>MROUND(H8*Vendedor5!J$11,50)</f>
        <v>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24450</v>
      </c>
      <c r="D10" s="30">
        <f>IF(Vendedor7!$E$19="",0,Vendedor7!$E$19)</f>
        <v>350</v>
      </c>
      <c r="E10" s="181">
        <f>IF(Vendedor7!$C$20="",0,Vendedor7!$C$20)</f>
        <v>46600</v>
      </c>
      <c r="F10" s="30">
        <f>IF(Vendedor7!$E$20="",0,Vendedor7!$E$20)</f>
        <v>200</v>
      </c>
      <c r="H10" s="42">
        <f t="shared" si="1"/>
        <v>71050</v>
      </c>
      <c r="I10" s="41">
        <f>MROUND(H10*Vendedor7!J$14,50)</f>
        <v>8550</v>
      </c>
      <c r="J10" s="42">
        <f t="shared" si="2"/>
        <v>550</v>
      </c>
      <c r="K10" s="42">
        <f t="shared" si="3"/>
        <v>46750</v>
      </c>
      <c r="L10" s="42">
        <f>Vendedor7!$F$19+Vendedor7!$F$20</f>
        <v>46750</v>
      </c>
      <c r="N10" s="42">
        <f t="shared" si="0"/>
        <v>15750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42750</v>
      </c>
      <c r="D12" s="30">
        <f>IF(Vendedor9!$E$19="",0,Vendedor9!$E$19)</f>
        <v>1000</v>
      </c>
      <c r="E12" s="181">
        <f>IF(Vendedor9!$C$20="",0,Vendedor9!$C$20)</f>
        <v>4600</v>
      </c>
      <c r="F12" s="30">
        <f>IF(Vendedor9!$E$20="",0,Vendedor9!$E$20)</f>
        <v>0</v>
      </c>
      <c r="H12" s="134">
        <f t="shared" si="1"/>
        <v>47350</v>
      </c>
      <c r="I12" s="149">
        <f>MROUND(H12*Vendedor9!J$11,50)</f>
        <v>5700</v>
      </c>
      <c r="J12" s="134">
        <f t="shared" si="2"/>
        <v>1000</v>
      </c>
      <c r="K12" s="134">
        <f t="shared" si="3"/>
        <v>85000</v>
      </c>
      <c r="L12" s="134">
        <f>Vendedor9!$F$19+Vendedor9!$F$20</f>
        <v>85000</v>
      </c>
      <c r="M12" s="156"/>
      <c r="N12" s="134">
        <f t="shared" si="0"/>
        <v>-43350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0</v>
      </c>
      <c r="I16" s="149">
        <f>MROUND(H16*Vendedor13!J$11,50)</f>
        <v>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97600</v>
      </c>
      <c r="D17" s="30">
        <f>IF(Vendedor14!$E$19="",0,Vendedor14!$E$19)</f>
        <v>1350</v>
      </c>
      <c r="E17" s="181">
        <f>IF(Vendedor14!$C$20="",0,Vendedor14!$C$20)</f>
        <v>27100</v>
      </c>
      <c r="F17" s="30">
        <f>IF(Vendedor14!$E$20="",0,Vendedor14!$E$20)</f>
        <v>0</v>
      </c>
      <c r="H17" s="42">
        <f t="shared" si="1"/>
        <v>124700</v>
      </c>
      <c r="I17" s="41">
        <f>MROUND(H17*Vendedor14!J$15,50)</f>
        <v>14950</v>
      </c>
      <c r="J17" s="42">
        <f t="shared" si="2"/>
        <v>1350</v>
      </c>
      <c r="K17" s="42">
        <f t="shared" si="3"/>
        <v>114750</v>
      </c>
      <c r="L17" s="42">
        <f>Vendedor14!$F$19+Vendedor14!$F$20</f>
        <v>114750</v>
      </c>
      <c r="N17" s="42">
        <f t="shared" si="0"/>
        <v>-5000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54550</v>
      </c>
      <c r="D18" s="30">
        <f>IF(Vendedor15!$E$19="",0,Vendedor15!$E$19)</f>
        <v>800</v>
      </c>
      <c r="E18" s="181">
        <f>IF(Vendedor15!$C$20="",0,Vendedor15!$C$20)</f>
        <v>49400</v>
      </c>
      <c r="F18" s="30">
        <f>IF(Vendedor15!$E$20="",0,Vendedor15!$E$20)</f>
        <v>250</v>
      </c>
      <c r="H18" s="42">
        <f t="shared" si="1"/>
        <v>103950</v>
      </c>
      <c r="I18" s="41">
        <f>MROUND(H18*Vendedor15!J$15,50)</f>
        <v>12450</v>
      </c>
      <c r="J18" s="42">
        <f t="shared" si="2"/>
        <v>1050</v>
      </c>
      <c r="K18" s="42">
        <f t="shared" si="3"/>
        <v>89250</v>
      </c>
      <c r="L18" s="42">
        <f>Vendedor15!$F$19+Vendedor15!$F$20</f>
        <v>89250</v>
      </c>
      <c r="N18" s="42">
        <f t="shared" si="0"/>
        <v>2250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247450</v>
      </c>
      <c r="D32" s="44">
        <f>SUM(D4:D31)</f>
        <v>3500</v>
      </c>
      <c r="E32" s="43">
        <f>SUM(E4:E31)</f>
        <v>132300</v>
      </c>
      <c r="F32" s="44">
        <f>SUM(F4:F31)</f>
        <v>450</v>
      </c>
      <c r="H32" s="96">
        <f>SUM(H4:H31)</f>
        <v>379750</v>
      </c>
      <c r="I32" s="45">
        <f>SUM(I7:I31)</f>
        <v>41650</v>
      </c>
      <c r="J32" s="96"/>
      <c r="K32" s="96">
        <f>SUM(K4:K31)</f>
        <v>335750</v>
      </c>
      <c r="L32" s="96">
        <f>SUM(L4:L31)</f>
        <v>335750</v>
      </c>
      <c r="N32" s="80">
        <f>SUM(N4:N31)</f>
        <v>-1900</v>
      </c>
    </row>
    <row r="33" spans="3:6" x14ac:dyDescent="0.35">
      <c r="D33" s="100">
        <f>+D32*85</f>
        <v>297500</v>
      </c>
      <c r="F33" s="100">
        <f>+F32*85</f>
        <v>38250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379750</v>
      </c>
      <c r="E36" s="43">
        <f>+D36-H4-H5-H6</f>
        <v>347050</v>
      </c>
    </row>
    <row r="37" spans="3:6" x14ac:dyDescent="0.35">
      <c r="C37" s="47" t="s">
        <v>33</v>
      </c>
      <c r="D37" s="48">
        <f>D36*13%</f>
        <v>49367.5</v>
      </c>
      <c r="E37">
        <f>+D37-I4-I5-I6</f>
        <v>45117.5</v>
      </c>
    </row>
    <row r="38" spans="3:6" ht="15" thickBot="1" x14ac:dyDescent="0.4">
      <c r="C38" s="47" t="s">
        <v>30</v>
      </c>
      <c r="D38" s="30">
        <f>SUM(K4:K27)</f>
        <v>335750</v>
      </c>
    </row>
    <row r="39" spans="3:6" ht="15" thickBot="1" x14ac:dyDescent="0.4">
      <c r="C39" s="49" t="s">
        <v>4</v>
      </c>
      <c r="D39" s="81">
        <f>+D36-D37-D38</f>
        <v>-5367.5</v>
      </c>
      <c r="F39" s="99">
        <f>+N32-D39</f>
        <v>3467.5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-5367.5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20</v>
      </c>
      <c r="D2" s="269"/>
      <c r="E2" s="268">
        <f>DigitaHONDURAS!E2</f>
        <v>77</v>
      </c>
      <c r="F2" s="269"/>
      <c r="G2" s="268">
        <f>DigitaHONDURAS!G2</f>
        <v>57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13700</v>
      </c>
      <c r="D10" s="30">
        <f>IF(Vendedor7!$E$21="",0,Vendedor7!$E$21)</f>
        <v>0</v>
      </c>
      <c r="E10" s="181">
        <f>IF(Vendedor7!$C$22="",0,Vendedor7!$C$22)</f>
        <v>42750</v>
      </c>
      <c r="F10" s="30">
        <f>IF(Vendedor7!$E$22="",0,Vendedor7!$E$22)</f>
        <v>500</v>
      </c>
      <c r="G10" s="181">
        <f>IF(Vendedor7!$C$23="",0,Vendedor7!$C$23)</f>
        <v>13350</v>
      </c>
      <c r="H10" s="30">
        <f>IF(Vendedor7!$E$23="",0,Vendedor7!$E$23)</f>
        <v>0</v>
      </c>
      <c r="J10" s="42">
        <f t="shared" si="0"/>
        <v>69800</v>
      </c>
      <c r="K10" s="41">
        <f>MROUND(J10*Vendedor7!J$14,50)</f>
        <v>8400</v>
      </c>
      <c r="L10" s="42">
        <f t="shared" si="1"/>
        <v>500</v>
      </c>
      <c r="M10" s="42">
        <f t="shared" si="3"/>
        <v>42500</v>
      </c>
      <c r="N10" s="42">
        <f>Vendedor7!$F$21+Vendedor7!$F$22+Vendedor7!$F$23</f>
        <v>42500</v>
      </c>
      <c r="P10" s="42">
        <f t="shared" si="2"/>
        <v>18900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43050</v>
      </c>
      <c r="D17" s="30">
        <f>IF(Vendedor14!$E$21="",0,Vendedor14!$E$21)</f>
        <v>1200</v>
      </c>
      <c r="E17" s="181">
        <f>IF(Vendedor14!$C$22="",0,Vendedor14!$C$22)</f>
        <v>5300</v>
      </c>
      <c r="F17" s="30">
        <f>IF(Vendedor14!$E$22="",0,Vendedor14!$E$22)</f>
        <v>100</v>
      </c>
      <c r="G17" s="181">
        <f>IF(Vendedor14!$C$23="",0,Vendedor14!$C$23)</f>
        <v>35800</v>
      </c>
      <c r="H17" s="30">
        <f>IF(Vendedor14!$E$23="",0,Vendedor14!$E$23)</f>
        <v>0</v>
      </c>
      <c r="J17" s="42">
        <f t="shared" si="0"/>
        <v>84150</v>
      </c>
      <c r="K17" s="41">
        <f>MROUND(J17*Vendedor14!J$15,50)</f>
        <v>10100</v>
      </c>
      <c r="L17" s="42">
        <f t="shared" si="1"/>
        <v>1300</v>
      </c>
      <c r="M17" s="42">
        <f t="shared" si="3"/>
        <v>110500</v>
      </c>
      <c r="N17" s="42">
        <f>Vendedor14!$F$21+Vendedor14!$F$22+Vendedor14!$F$23</f>
        <v>110500</v>
      </c>
      <c r="P17" s="42">
        <f t="shared" si="2"/>
        <v>-36450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12650</v>
      </c>
      <c r="D18" s="30">
        <f>IF(Vendedor15!$E$21="",0,Vendedor15!$E$21)</f>
        <v>100</v>
      </c>
      <c r="E18" s="181">
        <f>IF(Vendedor15!$C$22="",0,Vendedor15!$C$22)</f>
        <v>6700</v>
      </c>
      <c r="F18" s="30">
        <f>IF(Vendedor15!$E$22="",0,Vendedor15!$E$22)</f>
        <v>50</v>
      </c>
      <c r="G18" s="181">
        <f>IF(Vendedor15!$C$23="",0,Vendedor15!$C$23)</f>
        <v>4350</v>
      </c>
      <c r="H18" s="30">
        <f>IF(Vendedor15!$E$23="",0,Vendedor15!$E$23)</f>
        <v>0</v>
      </c>
      <c r="J18" s="42">
        <f t="shared" si="0"/>
        <v>23700</v>
      </c>
      <c r="K18" s="41">
        <f>MROUND(J18*Vendedor15!J$15,50)</f>
        <v>2850</v>
      </c>
      <c r="L18" s="42">
        <f t="shared" si="1"/>
        <v>150</v>
      </c>
      <c r="M18" s="42">
        <f t="shared" si="3"/>
        <v>12750</v>
      </c>
      <c r="N18" s="42">
        <f>Vendedor15!$F$21+Vendedor15!$F$22+Vendedor15!$F$23</f>
        <v>12750</v>
      </c>
      <c r="P18" s="42">
        <f t="shared" si="2"/>
        <v>8100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69400</v>
      </c>
      <c r="D32" s="44">
        <f t="shared" si="8"/>
        <v>1300</v>
      </c>
      <c r="E32" s="43">
        <f t="shared" si="8"/>
        <v>54750</v>
      </c>
      <c r="F32" s="44">
        <f t="shared" si="8"/>
        <v>650</v>
      </c>
      <c r="G32" s="43">
        <f t="shared" si="8"/>
        <v>53500</v>
      </c>
      <c r="H32" s="44">
        <f t="shared" si="8"/>
        <v>0</v>
      </c>
      <c r="J32" s="96">
        <f>SUM(J4:J31)</f>
        <v>177650</v>
      </c>
      <c r="K32" s="45">
        <f>SUM(K7:K31)</f>
        <v>21350</v>
      </c>
      <c r="L32" s="96"/>
      <c r="M32" s="96">
        <f>SUM(M4:M31)</f>
        <v>165750</v>
      </c>
      <c r="N32" s="96">
        <f>SUM(N4:N31)</f>
        <v>165750</v>
      </c>
      <c r="P32" s="80">
        <f>SUM(P4:P31)</f>
        <v>-9450</v>
      </c>
    </row>
    <row r="33" spans="3:8" x14ac:dyDescent="0.35">
      <c r="D33" s="100">
        <f>+D32*85</f>
        <v>110500</v>
      </c>
      <c r="F33" s="100">
        <f>+F32*85</f>
        <v>55250</v>
      </c>
      <c r="H33" s="100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177650</v>
      </c>
      <c r="E36" s="43">
        <f>+D36-J4-J5-J6</f>
        <v>177650</v>
      </c>
    </row>
    <row r="37" spans="3:8" x14ac:dyDescent="0.35">
      <c r="C37" s="47" t="s">
        <v>33</v>
      </c>
      <c r="D37" s="48">
        <f>D36*13%</f>
        <v>23094.5</v>
      </c>
      <c r="E37">
        <f>+D37-K4-K5-K6</f>
        <v>23094.5</v>
      </c>
    </row>
    <row r="38" spans="3:8" ht="15" thickBot="1" x14ac:dyDescent="0.4">
      <c r="C38" s="47" t="s">
        <v>30</v>
      </c>
      <c r="D38" s="30">
        <f>SUM(M4:M27)</f>
        <v>165750</v>
      </c>
      <c r="G38" s="101"/>
    </row>
    <row r="39" spans="3:8" ht="15" thickBot="1" x14ac:dyDescent="0.4">
      <c r="C39" s="49" t="s">
        <v>4</v>
      </c>
      <c r="D39" s="81">
        <f>+D36-D37-D38</f>
        <v>-11194.5</v>
      </c>
      <c r="F39" s="99">
        <f>+P32-D39</f>
        <v>1744.5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-11194.5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66</v>
      </c>
      <c r="D2" s="269"/>
      <c r="E2" s="268">
        <f>DigitaDOMINICANA!E2</f>
        <v>86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58250</v>
      </c>
      <c r="D10" s="30">
        <f>IF(Vendedor7!$E$24="",0,Vendedor7!$E$24)</f>
        <v>750</v>
      </c>
      <c r="E10" s="181">
        <f>IF(Vendedor7!$C$25="",0,Vendedor7!$C$25)</f>
        <v>62250</v>
      </c>
      <c r="F10" s="30">
        <f>IF(Vendedor7!$E$25="",0,Vendedor7!$E$25)</f>
        <v>0</v>
      </c>
      <c r="H10" s="42">
        <f t="shared" si="1"/>
        <v>120500</v>
      </c>
      <c r="I10" s="41">
        <f>MROUND(H10*Vendedor7!J$14,50)</f>
        <v>14450</v>
      </c>
      <c r="J10" s="42">
        <f t="shared" si="2"/>
        <v>750</v>
      </c>
      <c r="K10" s="42">
        <f t="shared" si="3"/>
        <v>63750</v>
      </c>
      <c r="L10" s="42">
        <f>Vendedor7!$F$24+Vendedor7!$F$25</f>
        <v>63750</v>
      </c>
      <c r="N10" s="42">
        <f t="shared" si="0"/>
        <v>42300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58250</v>
      </c>
      <c r="D32" s="44">
        <f>SUM(D4:D31)</f>
        <v>750</v>
      </c>
      <c r="E32" s="43">
        <f>SUM(E4:E31)</f>
        <v>62250</v>
      </c>
      <c r="F32" s="44">
        <f>SUM(F4:F31)</f>
        <v>0</v>
      </c>
      <c r="H32" s="96">
        <f>SUM(H4:H31)</f>
        <v>120500</v>
      </c>
      <c r="I32" s="45">
        <f>SUM(I7:I31)</f>
        <v>14450</v>
      </c>
      <c r="J32" s="96"/>
      <c r="K32" s="96">
        <f>SUM(K4:K31)</f>
        <v>63750</v>
      </c>
      <c r="L32" s="96">
        <f>SUM(L4:L31)</f>
        <v>63750</v>
      </c>
      <c r="N32" s="80">
        <f>SUM(N4:N31)</f>
        <v>42300</v>
      </c>
    </row>
    <row r="33" spans="3:6" x14ac:dyDescent="0.35">
      <c r="D33" s="100">
        <f>+D32*85</f>
        <v>63750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120500</v>
      </c>
      <c r="E36" s="43">
        <f>+D36-H4-H5-H6</f>
        <v>120500</v>
      </c>
    </row>
    <row r="37" spans="3:6" x14ac:dyDescent="0.35">
      <c r="C37" s="47" t="s">
        <v>33</v>
      </c>
      <c r="D37" s="48">
        <f>D36*13%</f>
        <v>15665</v>
      </c>
      <c r="E37">
        <f>+D37-I4-I5-I6</f>
        <v>15665</v>
      </c>
    </row>
    <row r="38" spans="3:6" ht="15" thickBot="1" x14ac:dyDescent="0.4">
      <c r="C38" s="47" t="s">
        <v>30</v>
      </c>
      <c r="D38" s="30">
        <f>SUM(K4:K27)</f>
        <v>63750</v>
      </c>
    </row>
    <row r="39" spans="3:6" ht="15" thickBot="1" x14ac:dyDescent="0.4">
      <c r="C39" s="49" t="s">
        <v>4</v>
      </c>
      <c r="D39" s="81">
        <f>+D36-D37-D38</f>
        <v>41085</v>
      </c>
      <c r="F39" s="99">
        <f>+N32-D39</f>
        <v>1215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41085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>
        <f>DigitaPANAMENA!C2</f>
        <v>55</v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26-03-2026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1307450</v>
      </c>
      <c r="C4" s="158">
        <f>HojaNICA!M32</f>
        <v>156900</v>
      </c>
      <c r="D4" s="151">
        <f>HojaNICA!E37</f>
        <v>169968</v>
      </c>
      <c r="E4" s="151">
        <f>HojaNICA!P32</f>
        <v>314500</v>
      </c>
      <c r="F4" s="151">
        <f>HojaNICA!O32</f>
        <v>314500</v>
      </c>
      <c r="G4" s="152">
        <f t="shared" ref="G4:G10" si="0">+D4-C4+F4-E4</f>
        <v>13068</v>
      </c>
      <c r="H4" s="21"/>
      <c r="I4" s="183"/>
    </row>
    <row r="5" spans="1:9" x14ac:dyDescent="0.35">
      <c r="A5" s="28" t="s">
        <v>19</v>
      </c>
      <c r="B5" s="157">
        <f>HojaTICA!$E$36</f>
        <v>1552250</v>
      </c>
      <c r="C5" s="158">
        <f>HojaTICA!K32</f>
        <v>189400</v>
      </c>
      <c r="D5" s="151">
        <f>HojaTICA!E37</f>
        <v>201788</v>
      </c>
      <c r="E5" s="151">
        <f>HojaTICA!N32</f>
        <v>1549250</v>
      </c>
      <c r="F5" s="151">
        <f>HojaTICA!D38</f>
        <v>1555500</v>
      </c>
      <c r="G5" s="152">
        <f t="shared" si="0"/>
        <v>18638</v>
      </c>
      <c r="H5" s="21"/>
      <c r="I5" s="183"/>
    </row>
    <row r="6" spans="1:9" x14ac:dyDescent="0.35">
      <c r="A6" s="28" t="s">
        <v>125</v>
      </c>
      <c r="B6" s="157">
        <f>HojaREVENTADO!$E$37</f>
        <v>254700</v>
      </c>
      <c r="C6" s="158">
        <f>HojaREVENTADO!K33</f>
        <v>25470</v>
      </c>
      <c r="D6" s="151">
        <f>HojaREVENTADO!E38</f>
        <v>25470</v>
      </c>
      <c r="E6" s="151">
        <f>HojaREVENTADO!O33</f>
        <v>410000</v>
      </c>
      <c r="F6" s="151">
        <f>HojaREVENTADO!N33</f>
        <v>451000</v>
      </c>
      <c r="G6" s="152">
        <f t="shared" si="0"/>
        <v>41000</v>
      </c>
      <c r="H6" s="21"/>
      <c r="I6" s="183"/>
    </row>
    <row r="7" spans="1:9" x14ac:dyDescent="0.35">
      <c r="A7" s="28" t="s">
        <v>96</v>
      </c>
      <c r="B7" s="157">
        <f>HojaPrimera!$E$36</f>
        <v>347050</v>
      </c>
      <c r="C7" s="158">
        <f>HojaPrimera!I32</f>
        <v>41650</v>
      </c>
      <c r="D7" s="151">
        <f>HojaPrimera!E37</f>
        <v>45117.5</v>
      </c>
      <c r="E7" s="151">
        <f>HojaPrimera!L32</f>
        <v>335750</v>
      </c>
      <c r="F7" s="151">
        <f>HojaPrimera!K32</f>
        <v>335750</v>
      </c>
      <c r="G7" s="152">
        <f t="shared" si="0"/>
        <v>3467.5</v>
      </c>
      <c r="H7" s="21"/>
      <c r="I7" s="21"/>
    </row>
    <row r="8" spans="1:9" x14ac:dyDescent="0.35">
      <c r="A8" s="28" t="s">
        <v>104</v>
      </c>
      <c r="B8" s="157">
        <f>HojaHonduras!$E$36</f>
        <v>177650</v>
      </c>
      <c r="C8" s="158">
        <f>HojaHonduras!K32</f>
        <v>21350</v>
      </c>
      <c r="D8" s="151">
        <f>HojaHonduras!E37</f>
        <v>23094.5</v>
      </c>
      <c r="E8" s="151">
        <f>HojaHonduras!N32</f>
        <v>165750</v>
      </c>
      <c r="F8" s="151">
        <f>HojaHonduras!M32</f>
        <v>165750</v>
      </c>
      <c r="G8" s="152">
        <f t="shared" si="0"/>
        <v>1744.5</v>
      </c>
      <c r="H8" s="21"/>
      <c r="I8" s="21"/>
    </row>
    <row r="9" spans="1:9" x14ac:dyDescent="0.35">
      <c r="A9" s="28" t="s">
        <v>20</v>
      </c>
      <c r="B9" s="157">
        <f>HojaDominicana!$E$36</f>
        <v>120500</v>
      </c>
      <c r="C9" s="158">
        <f>HojaDominicana!I32</f>
        <v>14450</v>
      </c>
      <c r="D9" s="151">
        <f>HojaDominicana!E37</f>
        <v>15665</v>
      </c>
      <c r="E9" s="151">
        <f>HojaDominicana!L32</f>
        <v>63750</v>
      </c>
      <c r="F9" s="151">
        <f>HojaDominicana!K32</f>
        <v>63750</v>
      </c>
      <c r="G9" s="152">
        <f t="shared" si="0"/>
        <v>1215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3759600</v>
      </c>
      <c r="C11" s="176">
        <f>SUM(C4:C10)</f>
        <v>449220</v>
      </c>
      <c r="D11" s="176">
        <f t="shared" ref="D11:F11" si="1">SUM(D4:D10)</f>
        <v>481103</v>
      </c>
      <c r="E11" s="176">
        <f t="shared" si="1"/>
        <v>2839000</v>
      </c>
      <c r="F11" s="176">
        <f t="shared" si="1"/>
        <v>2886250</v>
      </c>
      <c r="G11" s="177">
        <f>SUM(G4:G10)</f>
        <v>79133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44133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239950</v>
      </c>
      <c r="E16" s="158">
        <f>+Vendedor1!D21</f>
        <v>31193.5</v>
      </c>
      <c r="F16" s="159">
        <f>IF(D16&lt;&gt;0,15000,0)</f>
        <v>15000</v>
      </c>
      <c r="G16" s="152">
        <f>+E16-F16</f>
        <v>16193.5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194250</v>
      </c>
      <c r="E17" s="158">
        <f>+Vendedor2!D21</f>
        <v>25252.5</v>
      </c>
      <c r="F17" s="159">
        <f>IF(D17&lt;&gt;0,15000,0)</f>
        <v>15000</v>
      </c>
      <c r="G17" s="152">
        <f>+E17-F17</f>
        <v>10252.5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434200</v>
      </c>
      <c r="E19" s="160">
        <f>SUM(E16:E18)</f>
        <v>56446</v>
      </c>
      <c r="F19" s="161">
        <f>SUM(F16:F18)</f>
        <v>30000</v>
      </c>
      <c r="G19" s="162">
        <f>SUM(G16:G18)</f>
        <v>26446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70579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26-03-2026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1403600</v>
      </c>
      <c r="C5" s="151">
        <f>HojaNICA!D37</f>
        <v>182468</v>
      </c>
      <c r="D5" s="151">
        <f>HojaNICA!D38</f>
        <v>314500</v>
      </c>
      <c r="E5" s="151"/>
      <c r="F5" s="152">
        <f>+B5-C5-D5+E5</f>
        <v>906632</v>
      </c>
      <c r="H5" s="251" t="s">
        <v>105</v>
      </c>
      <c r="I5" s="245">
        <f ca="1">TODAY()-1</f>
        <v>46107</v>
      </c>
      <c r="O5" s="120"/>
    </row>
    <row r="6" spans="1:15" ht="15" thickBot="1" x14ac:dyDescent="0.4">
      <c r="A6" s="47" t="s">
        <v>36</v>
      </c>
      <c r="B6" s="151">
        <f>HojaTICA!D36</f>
        <v>1857600</v>
      </c>
      <c r="C6" s="151">
        <f>HojaTICA!D37</f>
        <v>241488</v>
      </c>
      <c r="D6" s="151">
        <f>HojaTICA!D38</f>
        <v>1555500</v>
      </c>
      <c r="E6" s="151"/>
      <c r="F6" s="152">
        <f t="shared" ref="F6:F11" si="0">+B6-C6-D6+E6</f>
        <v>60612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254700</v>
      </c>
      <c r="C7" s="151">
        <f>HojaREVENTADO!D38</f>
        <v>25470</v>
      </c>
      <c r="D7" s="151">
        <f>HojaREVENTADO!D39</f>
        <v>451000</v>
      </c>
      <c r="E7" s="151"/>
      <c r="F7" s="152">
        <f t="shared" si="0"/>
        <v>-221770</v>
      </c>
    </row>
    <row r="8" spans="1:15" x14ac:dyDescent="0.35">
      <c r="A8" s="47" t="s">
        <v>96</v>
      </c>
      <c r="B8" s="151">
        <f>HojaPrimera!$D36</f>
        <v>379750</v>
      </c>
      <c r="C8" s="151">
        <f>HojaPrimera!$D37</f>
        <v>49367.5</v>
      </c>
      <c r="D8" s="151">
        <f>HojaPrimera!$D38</f>
        <v>335750</v>
      </c>
      <c r="E8" s="151"/>
      <c r="F8" s="152">
        <f t="shared" si="0"/>
        <v>-5367.5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177650</v>
      </c>
      <c r="C9" s="151">
        <f>HojaHonduras!$D37</f>
        <v>23094.5</v>
      </c>
      <c r="D9" s="151">
        <f>HojaHonduras!$D38</f>
        <v>165750</v>
      </c>
      <c r="E9" s="151"/>
      <c r="F9" s="152">
        <f t="shared" si="0"/>
        <v>-11194.5</v>
      </c>
      <c r="H9" s="252">
        <f>+K12-K10-H6</f>
        <v>769997</v>
      </c>
    </row>
    <row r="10" spans="1:15" ht="15" thickBot="1" x14ac:dyDescent="0.4">
      <c r="A10" s="47" t="s">
        <v>20</v>
      </c>
      <c r="B10" s="151">
        <f>HojaDominicana!$D36</f>
        <v>120500</v>
      </c>
      <c r="C10" s="151">
        <f>HojaDominicana!$D37</f>
        <v>15665</v>
      </c>
      <c r="D10" s="151">
        <f>HojaDominicana!$D38</f>
        <v>63750</v>
      </c>
      <c r="E10" s="151"/>
      <c r="F10" s="152">
        <f t="shared" si="0"/>
        <v>41085</v>
      </c>
      <c r="H10" s="155"/>
      <c r="J10" t="s">
        <v>148</v>
      </c>
      <c r="K10" s="254">
        <v>5423156.9400000004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6193153.9400000004</v>
      </c>
    </row>
    <row r="12" spans="1:15" ht="16" thickBot="1" x14ac:dyDescent="0.4">
      <c r="A12" s="145" t="s">
        <v>5</v>
      </c>
      <c r="B12" s="153">
        <f>SUM(B5:B11)</f>
        <v>4193800</v>
      </c>
      <c r="C12" s="153">
        <f>SUM(C5:C11)</f>
        <v>537553</v>
      </c>
      <c r="D12" s="153">
        <f>SUM(D5:D11)</f>
        <v>2886250</v>
      </c>
      <c r="E12" s="153"/>
      <c r="F12" s="257">
        <f>SUM(F5:F11)</f>
        <v>769997</v>
      </c>
      <c r="H12" s="253">
        <f>K12</f>
        <v>6193153.9400000004</v>
      </c>
      <c r="J12" t="s">
        <v>140</v>
      </c>
      <c r="K12" s="256">
        <f>1159741.07+1407340.49+998449.8+2627622.58</f>
        <v>6193153.9400000004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159650</v>
      </c>
      <c r="K4" s="233">
        <f t="shared" ref="K4" si="0">D7+D11+D15</f>
        <v>20754.5</v>
      </c>
      <c r="L4" s="222">
        <f>F7+F11+F15</f>
        <v>76500</v>
      </c>
    </row>
    <row r="5" spans="1:12" x14ac:dyDescent="0.35">
      <c r="A5" s="28" t="s">
        <v>43</v>
      </c>
      <c r="B5" s="133">
        <f>IF(DigitaNICA!C2&lt;&gt;"",DigitaNICA!C2,"")</f>
        <v>93</v>
      </c>
      <c r="C5" s="29">
        <f>IF(DigitaNICA!C4&lt;&gt;"",DigitaNICA!C4,"")</f>
        <v>21650</v>
      </c>
      <c r="D5" s="42">
        <f>IF(C5="",0,C5*J$10)</f>
        <v>2814.5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18835.5</v>
      </c>
      <c r="I5" s="243" t="s">
        <v>37</v>
      </c>
      <c r="J5" s="223">
        <f>SUM(IF(C5="",0,C5),IF(C9="",0,C9),IF(C13="",0,C13),IF(C17="",0,C17))</f>
        <v>53700</v>
      </c>
      <c r="K5" s="227">
        <f t="shared" ref="K5" si="2">D5+D9+D13+D17</f>
        <v>6981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26600</v>
      </c>
      <c r="K6" s="230">
        <f>D19+D20</f>
        <v>3458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29">
        <f>IF(DigitaTICA!C4&lt;&gt;"",DigitaTICA!C4,"")</f>
        <v>55850</v>
      </c>
      <c r="D7" s="42">
        <f>IF(C7="",0,C7*J$9)</f>
        <v>7260.5</v>
      </c>
      <c r="E7" s="29">
        <f>IF(DigitaTICA!D4&lt;&gt;"",DigitaTICA!D4,"")</f>
        <v>250</v>
      </c>
      <c r="F7" s="42">
        <f>IF(E7="",0,E7*PREMIOS!F7)</f>
        <v>21250</v>
      </c>
      <c r="G7" s="30">
        <f t="shared" si="1"/>
        <v>27339.5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76</v>
      </c>
      <c r="C9" s="29">
        <f>IF(DigitaNICA!E4&lt;&gt;"",DigitaNICA!E4,"")</f>
        <v>15900</v>
      </c>
      <c r="D9" s="42">
        <f>IF(C9="",0,C9*J$10)</f>
        <v>2067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13833</v>
      </c>
      <c r="I9" s="77" t="s">
        <v>36</v>
      </c>
      <c r="J9" s="78">
        <v>0.13</v>
      </c>
      <c r="K9" s="79">
        <f>MROUND(D7+D11+D15,50)</f>
        <v>20750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7000</v>
      </c>
    </row>
    <row r="11" spans="1:12" x14ac:dyDescent="0.35">
      <c r="A11" s="28" t="s">
        <v>59</v>
      </c>
      <c r="B11" s="133">
        <f>IF(DigitaTICA!E2&lt;&gt;"",DigitaTICA!E2,"")</f>
        <v>86</v>
      </c>
      <c r="C11" s="29">
        <f>IF(DigitaTICA!E4&lt;&gt;"",DigitaTICA!E4,"")</f>
        <v>38200</v>
      </c>
      <c r="D11" s="42">
        <f>IF(C11="",0,C11*J$9)</f>
        <v>4966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33234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3450</v>
      </c>
    </row>
    <row r="13" spans="1:12" x14ac:dyDescent="0.35">
      <c r="A13" s="28" t="s">
        <v>50</v>
      </c>
      <c r="B13" s="133">
        <f>IF(DigitaNICA!G2&lt;&gt;"",DigitaNICA!G2,"")</f>
        <v>71</v>
      </c>
      <c r="C13" s="29">
        <f>IF(DigitaNICA!G4&lt;&gt;"",DigitaNICA!G4,"")</f>
        <v>11350</v>
      </c>
      <c r="D13" s="42">
        <f>IF(C13="",0,C13*J$10)</f>
        <v>1475.5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9874.5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15</v>
      </c>
      <c r="C15" s="29">
        <f>IF(DigitaTICA!G4&lt;&gt;"",DigitaTICA!G4,"")</f>
        <v>65600</v>
      </c>
      <c r="D15" s="42">
        <f>IF(C15="",0,C15*J$9)</f>
        <v>8528</v>
      </c>
      <c r="E15" s="29">
        <f>IF(DigitaTICA!H4&lt;&gt;"",DigitaTICA!H4,"")</f>
        <v>650</v>
      </c>
      <c r="F15" s="42">
        <f>IF(E15="",0,E15*PREMIOS!F15)</f>
        <v>55250</v>
      </c>
      <c r="G15" s="30">
        <f t="shared" si="3"/>
        <v>1822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39</v>
      </c>
      <c r="C17" s="29">
        <f>IF(DigitaNICA!I4&lt;&gt;"",DigitaNICA!I4,"")</f>
        <v>4800</v>
      </c>
      <c r="D17" s="42">
        <f>IF(C17="",0,C17*J$10)</f>
        <v>624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4176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50</v>
      </c>
      <c r="C19" s="29">
        <f>IF(DigitaPRIMERA!C4&lt;&gt;"",DigitaPRIMERA!C4,"")</f>
        <v>25300</v>
      </c>
      <c r="D19" s="42">
        <f>IF(C19="",0,C19*J$12)</f>
        <v>3289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22011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>
        <f>IF(DigitaPRIMERA!E4&lt;&gt;"",DigitaPRIMERA!E4,"")</f>
        <v>1300</v>
      </c>
      <c r="D20" s="42">
        <f>IF(C20="",0,C20*J$12)</f>
        <v>169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1131</v>
      </c>
    </row>
    <row r="21" spans="1:7" ht="15" thickBot="1" x14ac:dyDescent="0.4">
      <c r="A21" s="122" t="s">
        <v>5</v>
      </c>
      <c r="B21" s="129"/>
      <c r="C21" s="123">
        <f>SUM(C5:C20)</f>
        <v>239950</v>
      </c>
      <c r="D21" s="123">
        <f t="shared" ref="D21:G21" si="6">SUM(D5:D20)</f>
        <v>31193.5</v>
      </c>
      <c r="E21" s="123">
        <f t="shared" si="6"/>
        <v>900</v>
      </c>
      <c r="F21" s="123">
        <f t="shared" si="6"/>
        <v>76500</v>
      </c>
      <c r="G21" s="124">
        <f t="shared" si="6"/>
        <v>132256.5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145700</v>
      </c>
      <c r="K4" s="233">
        <f t="shared" ref="K4" si="0">D7+D11+D15</f>
        <v>18941</v>
      </c>
      <c r="L4" s="222">
        <f>F7+F11+F15</f>
        <v>212500</v>
      </c>
    </row>
    <row r="5" spans="1:12" x14ac:dyDescent="0.35">
      <c r="A5" s="28" t="s">
        <v>43</v>
      </c>
      <c r="B5" s="133">
        <f>IF(DigitaNICA!C2&lt;&gt;"",DigitaNICA!C2,"")</f>
        <v>93</v>
      </c>
      <c r="C5" s="29">
        <f>IF(DigitaNICA!C5&lt;&gt;"",DigitaNICA!C5,"")</f>
        <v>16550</v>
      </c>
      <c r="D5" s="42">
        <f>IF(C5="",0,C5*J$10)</f>
        <v>2151.5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14398.5</v>
      </c>
      <c r="I5" s="243" t="s">
        <v>37</v>
      </c>
      <c r="J5" s="223">
        <f>SUM(IF(C5="",0,C5),IF(C9="",0,C9),IF(C13="",0,C13),IF(C17="",0,C17))</f>
        <v>42450</v>
      </c>
      <c r="K5" s="227">
        <f t="shared" ref="K5" si="2">D5+D9+D13+D17</f>
        <v>5518.5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6100</v>
      </c>
      <c r="K6" s="230">
        <f>D19+D20</f>
        <v>793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29">
        <f>IF(DigitaTICA!C5&lt;&gt;"",DigitaTICA!C5,"")</f>
        <v>52200</v>
      </c>
      <c r="D7" s="42">
        <f>IF(C7="",0,C7*J$9)</f>
        <v>6786</v>
      </c>
      <c r="E7" s="29">
        <f>IF(DigitaTICA!D5&lt;&gt;"",DigitaTICA!D5,"")</f>
        <v>2000</v>
      </c>
      <c r="F7" s="42">
        <f>IF(E7="",0,E7*PREMIOS!F7)</f>
        <v>170000</v>
      </c>
      <c r="G7" s="30">
        <f t="shared" si="1"/>
        <v>-124586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76</v>
      </c>
      <c r="C9" s="29">
        <f>IF(DigitaNICA!E5&lt;&gt;"",DigitaNICA!E5,"")</f>
        <v>21300</v>
      </c>
      <c r="D9" s="42">
        <f>IF(C9="",0,C9*J$10)</f>
        <v>2769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18531</v>
      </c>
      <c r="I9" s="60" t="s">
        <v>36</v>
      </c>
      <c r="J9" s="61">
        <v>0.13</v>
      </c>
      <c r="K9" s="62">
        <f>MROUND(D7+D11+D15,50)</f>
        <v>18950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5500</v>
      </c>
    </row>
    <row r="11" spans="1:12" x14ac:dyDescent="0.35">
      <c r="A11" s="28" t="s">
        <v>59</v>
      </c>
      <c r="B11" s="133">
        <f>IF(DigitaTICA!E2&lt;&gt;"",DigitaTICA!E2,"")</f>
        <v>86</v>
      </c>
      <c r="C11" s="29">
        <f>IF(DigitaTICA!E5&lt;&gt;"",DigitaTICA!E5,"")</f>
        <v>30050</v>
      </c>
      <c r="D11" s="42">
        <f>IF(C11="",0,C11*J$9)</f>
        <v>3906.5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26143.5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800</v>
      </c>
    </row>
    <row r="13" spans="1:12" x14ac:dyDescent="0.35">
      <c r="A13" s="28" t="s">
        <v>50</v>
      </c>
      <c r="B13" s="133">
        <f>IF(DigitaNICA!G2&lt;&gt;"",DigitaNICA!G2,"")</f>
        <v>71</v>
      </c>
      <c r="C13" s="29">
        <f>IF(DigitaNICA!G5&lt;&gt;"",DigitaNICA!G5,"")</f>
        <v>1800</v>
      </c>
      <c r="D13" s="42">
        <f>IF(C13="",0,C13*J$10)</f>
        <v>234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1566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15</v>
      </c>
      <c r="C15" s="29">
        <f>IF(DigitaTICA!G5&lt;&gt;"",DigitaTICA!G5,"")</f>
        <v>63450</v>
      </c>
      <c r="D15" s="42">
        <f>IF(C15="",0,C15*J$9)</f>
        <v>8248.5</v>
      </c>
      <c r="E15" s="29">
        <f>IF(DigitaTICA!H5&lt;&gt;"",DigitaTICA!H5,"")</f>
        <v>500</v>
      </c>
      <c r="F15" s="42">
        <f>IF(E15="",0,E15*PREMIOS!F15)</f>
        <v>42500</v>
      </c>
      <c r="G15" s="30">
        <f t="shared" si="3"/>
        <v>12701.5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39</v>
      </c>
      <c r="C17" s="29">
        <f>IF(DigitaNICA!I5&lt;&gt;"",DigitaNICA!I5,"")</f>
        <v>2800</v>
      </c>
      <c r="D17" s="42">
        <f>IF(C17="",0,C17*J$10)</f>
        <v>364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2436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50</v>
      </c>
      <c r="C19" s="29">
        <f>IF(DigitaPRIMERA!C5&lt;&gt;"",DigitaPRIMERA!C5,"")</f>
        <v>2800</v>
      </c>
      <c r="D19" s="42">
        <f>IF(C19="",0,C19*J$12)</f>
        <v>364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2436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>
        <f>IF(DigitaPRIMERA!E5&lt;&gt;"",DigitaPRIMERA!E5,"")</f>
        <v>3300</v>
      </c>
      <c r="D20" s="42">
        <f>IF(C20="",0,C20*J$12)</f>
        <v>429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2871</v>
      </c>
    </row>
    <row r="21" spans="1:7" ht="15" thickBot="1" x14ac:dyDescent="0.4">
      <c r="A21" s="67" t="s">
        <v>5</v>
      </c>
      <c r="B21" s="128"/>
      <c r="C21" s="68">
        <f>SUM(C5:C20)</f>
        <v>194250</v>
      </c>
      <c r="D21" s="68">
        <f t="shared" ref="D21:G21" si="4">SUM(D5:D20)</f>
        <v>25252.5</v>
      </c>
      <c r="E21" s="68">
        <f t="shared" si="4"/>
        <v>2500</v>
      </c>
      <c r="F21" s="68">
        <f t="shared" si="4"/>
        <v>212500</v>
      </c>
      <c r="G21" s="89">
        <f t="shared" si="4"/>
        <v>-43502.5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76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86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71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15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50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76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86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71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15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39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93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76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86</v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71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15</v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39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50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0</v>
      </c>
      <c r="D21" s="123">
        <f t="shared" ref="D21:G21" si="5">SUM(D5:D20)</f>
        <v>0</v>
      </c>
      <c r="E21" s="123">
        <f t="shared" si="5"/>
        <v>0</v>
      </c>
      <c r="F21" s="123">
        <f t="shared" si="5"/>
        <v>0</v>
      </c>
      <c r="G21" s="124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93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76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86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71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15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50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503100</v>
      </c>
      <c r="K4" s="233">
        <f t="shared" ref="K4" si="0">D7+D11+D15</f>
        <v>60372</v>
      </c>
      <c r="L4" s="222">
        <f>F7+F11+F15</f>
        <v>735250</v>
      </c>
    </row>
    <row r="5" spans="1:12" x14ac:dyDescent="0.35">
      <c r="A5" s="28" t="s">
        <v>43</v>
      </c>
      <c r="B5" s="133">
        <f>IF(DigitaNICA!C2&lt;&gt;"",DigitaNICA!C2,"")</f>
        <v>93</v>
      </c>
      <c r="C5" s="29">
        <f>IF(DigitaNICA!C10&lt;&gt;"",DigitaNICA!C10,"")</f>
        <v>131800</v>
      </c>
      <c r="D5" s="42">
        <f>IF(C5="",0,C5*J$15)</f>
        <v>15816</v>
      </c>
      <c r="E5" s="29">
        <f>IF(DigitaNICA!D10&lt;&gt;"",DigitaNICA!D10,"")</f>
        <v>150</v>
      </c>
      <c r="F5" s="42">
        <f>IF(E5="",0,E5*PREMIOS!F5)</f>
        <v>12750</v>
      </c>
      <c r="G5" s="30">
        <f t="shared" ref="G5:G12" si="1">IF(OR(C5="",E5=""),0,C5-D5-F5)</f>
        <v>103234</v>
      </c>
      <c r="I5" s="219" t="s">
        <v>37</v>
      </c>
      <c r="J5" s="223">
        <f>SUM(IF(C5="",0,C5),IF(C9="",0,C9),IF(C13="",0,C13),IF(C17="",0,C17))</f>
        <v>484650</v>
      </c>
      <c r="K5" s="227">
        <f t="shared" ref="K5" si="2">D5+D9+D13+D17</f>
        <v>58158</v>
      </c>
      <c r="L5" s="224">
        <f>F5+F9+F13+F17</f>
        <v>131750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63250</v>
      </c>
      <c r="K6" s="228">
        <f t="shared" ref="K6" si="3">+D8+D12+D16</f>
        <v>6325</v>
      </c>
      <c r="L6" s="229">
        <f>F8+F12+F16</f>
        <v>250000</v>
      </c>
    </row>
    <row r="7" spans="1:12" x14ac:dyDescent="0.35">
      <c r="A7" s="28" t="s">
        <v>46</v>
      </c>
      <c r="B7" s="133">
        <f>IF(DigitaTICA!C2&lt;&gt;"",DigitaTICA!C2,"")</f>
        <v>29</v>
      </c>
      <c r="C7" s="29">
        <f>IF(DigitaTICA!C10&lt;&gt;"",DigitaTICA!C10,"")</f>
        <v>155000</v>
      </c>
      <c r="D7" s="42">
        <f>IF(C7="",0,C7*J$14)</f>
        <v>18600</v>
      </c>
      <c r="E7" s="29">
        <f>IF(DigitaTICA!D10&lt;&gt;"",DigitaTICA!D10,"")</f>
        <v>5950</v>
      </c>
      <c r="F7" s="42">
        <f>IF(E7="",0,E7*PREMIOS!F7)</f>
        <v>505750</v>
      </c>
      <c r="G7" s="30">
        <f t="shared" si="1"/>
        <v>-369350</v>
      </c>
      <c r="I7" s="219" t="s">
        <v>96</v>
      </c>
      <c r="J7" s="225">
        <f>SUM(IF(C19="",0,C19),IF(C20="",0,C20))</f>
        <v>71050</v>
      </c>
      <c r="K7" s="228">
        <f>+D19+D20</f>
        <v>8526</v>
      </c>
      <c r="L7" s="229">
        <f>+F19+F20</f>
        <v>46750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23150</v>
      </c>
      <c r="D8" s="42">
        <f>IF(C8="",0,C8*J$16)</f>
        <v>2315</v>
      </c>
      <c r="E8" s="29">
        <f>IF(DigitaREVENTADO!D10&lt;&gt;"",DigitaREVENTADO!D10,"")</f>
        <v>1250</v>
      </c>
      <c r="F8" s="42">
        <f>IF(E8="",0,E8*PREMIOS!F8)</f>
        <v>250000</v>
      </c>
      <c r="G8" s="30">
        <f t="shared" si="1"/>
        <v>-229165</v>
      </c>
      <c r="I8" s="219" t="s">
        <v>104</v>
      </c>
      <c r="J8" s="225">
        <f>SUM(IF(C21="",0,C21),IF(C22="",0,C22),IF(C23="",0,C23))</f>
        <v>69800</v>
      </c>
      <c r="K8" s="228">
        <f t="shared" ref="K8" si="4">D21+D22+D23</f>
        <v>8376</v>
      </c>
      <c r="L8" s="229">
        <f>F21+F22+F23</f>
        <v>42500</v>
      </c>
    </row>
    <row r="9" spans="1:12" x14ac:dyDescent="0.35">
      <c r="A9" s="28" t="s">
        <v>48</v>
      </c>
      <c r="B9" s="133">
        <f>IF(DigitaNICA!E2&lt;&gt;"",DigitaNICA!E2,"")</f>
        <v>76</v>
      </c>
      <c r="C9" s="29">
        <f>IF(DigitaNICA!E10&lt;&gt;"",DigitaNICA!E10,"")</f>
        <v>111200</v>
      </c>
      <c r="D9" s="42">
        <f>IF(C9="",0,C9*J$15)</f>
        <v>13344</v>
      </c>
      <c r="E9" s="29">
        <f>IF(DigitaNICA!F10&lt;&gt;"",DigitaNICA!F10,"")</f>
        <v>1000</v>
      </c>
      <c r="F9" s="42">
        <f>IF(E9="",0,E9*PREMIOS!F9)</f>
        <v>85000</v>
      </c>
      <c r="G9" s="30">
        <f t="shared" si="1"/>
        <v>12856</v>
      </c>
      <c r="I9" s="219" t="s">
        <v>20</v>
      </c>
      <c r="J9" s="225">
        <f>SUM(IF(C24="",0,C24),IF(C25="",0,C25))</f>
        <v>120500</v>
      </c>
      <c r="K9" s="228">
        <f t="shared" ref="K9" si="5">+D24+D25</f>
        <v>14460</v>
      </c>
      <c r="L9" s="229">
        <f>F24+F25</f>
        <v>63750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86</v>
      </c>
      <c r="C11" s="29">
        <f>IF(DigitaTICA!E10&lt;&gt;"",DigitaTICA!E10,"")</f>
        <v>165350</v>
      </c>
      <c r="D11" s="42">
        <f>IF(C11="",0,C11*J$14)</f>
        <v>19842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145508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16900</v>
      </c>
      <c r="D12" s="42">
        <f>IF(C12="",0,C12*J$16)</f>
        <v>1690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15210</v>
      </c>
    </row>
    <row r="13" spans="1:12" ht="15" thickBot="1" x14ac:dyDescent="0.4">
      <c r="A13" s="28" t="s">
        <v>50</v>
      </c>
      <c r="B13" s="133">
        <f>IF(DigitaNICA!G2&lt;&gt;"",DigitaNICA!G2,"")</f>
        <v>71</v>
      </c>
      <c r="C13" s="29">
        <f>IF(DigitaNICA!G10&lt;&gt;"",DigitaNICA!G10,"")</f>
        <v>107450</v>
      </c>
      <c r="D13" s="42">
        <f>IF(C13="",0,C13*J$15)</f>
        <v>12894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94556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60350</v>
      </c>
    </row>
    <row r="15" spans="1:12" x14ac:dyDescent="0.35">
      <c r="A15" s="28" t="s">
        <v>61</v>
      </c>
      <c r="B15" s="133">
        <f>IF(DigitaTICA!G2&lt;&gt;"",DigitaTICA!G2,"")</f>
        <v>15</v>
      </c>
      <c r="C15" s="29">
        <f>IF(DigitaTICA!G10&lt;&gt;"",DigitaTICA!G10,"")</f>
        <v>182750</v>
      </c>
      <c r="D15" s="42">
        <f>IF(C15="",0,C15*J$14)</f>
        <v>21930</v>
      </c>
      <c r="E15" s="29">
        <f>IF(DigitaTICA!H10&lt;&gt;"",DigitaTICA!H10,"")</f>
        <v>2700</v>
      </c>
      <c r="F15" s="42">
        <f>IF(E15="",0,E15*PREMIOS!F15)</f>
        <v>229500</v>
      </c>
      <c r="G15" s="30">
        <f t="shared" si="6"/>
        <v>-68680</v>
      </c>
      <c r="I15" s="63" t="s">
        <v>37</v>
      </c>
      <c r="J15" s="64">
        <v>0.12</v>
      </c>
      <c r="K15" s="30">
        <f>MROUND(D5+D9+D13+D17,50)</f>
        <v>58150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23200</v>
      </c>
      <c r="D16" s="42">
        <f>IF(C16="",0,C16*J$16)</f>
        <v>2320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20880</v>
      </c>
      <c r="I16" s="63" t="s">
        <v>38</v>
      </c>
      <c r="J16" s="64">
        <v>0.1</v>
      </c>
      <c r="K16" s="30">
        <f>MROUND(D6+D8+D10+D12+D14+D16+D18,50)</f>
        <v>6350</v>
      </c>
    </row>
    <row r="17" spans="1:11" x14ac:dyDescent="0.35">
      <c r="A17" s="28" t="s">
        <v>52</v>
      </c>
      <c r="B17" s="133">
        <f>IF(DigitaNICA!I2&lt;&gt;"",DigitaNICA!I2,"")</f>
        <v>39</v>
      </c>
      <c r="C17" s="29">
        <f>IF(DigitaNICA!I10&lt;&gt;"",DigitaNICA!I10,"")</f>
        <v>134200</v>
      </c>
      <c r="D17" s="42">
        <f>IF(C17="",0,C17*J$15)</f>
        <v>16104</v>
      </c>
      <c r="E17" s="29">
        <f>IF(DigitaNICA!J10&lt;&gt;"",DigitaNICA!J10,"")</f>
        <v>400</v>
      </c>
      <c r="F17" s="42">
        <f>IF(E17="",0,E17*PREMIOS!F17)</f>
        <v>34000</v>
      </c>
      <c r="G17" s="30">
        <f t="shared" si="6"/>
        <v>84096</v>
      </c>
      <c r="I17" s="63" t="s">
        <v>96</v>
      </c>
      <c r="J17" s="64">
        <v>0.12</v>
      </c>
      <c r="K17" s="30">
        <f>MROUND(D19+D20,50)</f>
        <v>8550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8400</v>
      </c>
    </row>
    <row r="19" spans="1:11" x14ac:dyDescent="0.35">
      <c r="A19" s="28" t="s">
        <v>97</v>
      </c>
      <c r="B19" s="133">
        <f>IF(DigitaPRIMERA!C2&lt;&gt;"",DigitaPRIMERA!C2,"")</f>
        <v>50</v>
      </c>
      <c r="C19" s="29">
        <f>IF(DigitaPRIMERA!$C$10&lt;&gt;"",DigitaPRIMERA!$C$10,"")</f>
        <v>24450</v>
      </c>
      <c r="D19" s="42">
        <f>IF(C19="",0,C19*J$17)</f>
        <v>2934</v>
      </c>
      <c r="E19" s="29">
        <f>IF(DigitaPRIMERA!$D$10&lt;&gt;"",DigitaPRIMERA!$D$10,"")</f>
        <v>350</v>
      </c>
      <c r="F19" s="42">
        <f>IF(E19="",0,E19*PREMIOS!F19)</f>
        <v>29750</v>
      </c>
      <c r="G19" s="30">
        <f t="shared" ref="G19:G22" si="7">IF(OR(C19="",E19=""),0,C19-D19-F19)</f>
        <v>-8234</v>
      </c>
      <c r="I19" s="63" t="s">
        <v>20</v>
      </c>
      <c r="J19" s="64">
        <v>0.12</v>
      </c>
      <c r="K19" s="30">
        <f>MROUND(D24+D25,50)</f>
        <v>14450</v>
      </c>
    </row>
    <row r="20" spans="1:11" ht="15" thickBot="1" x14ac:dyDescent="0.4">
      <c r="A20" s="28" t="s">
        <v>98</v>
      </c>
      <c r="B20" s="133">
        <f>IF(DigitaPRIMERA!E2&lt;&gt;"",DigitaPRIMERA!E2,"")</f>
        <v>45</v>
      </c>
      <c r="C20" s="29">
        <f>IF(DigitaPRIMERA!$E$10&lt;&gt;"",DigitaPRIMERA!$E$10,"")</f>
        <v>46600</v>
      </c>
      <c r="D20" s="42">
        <f>IF(C20="",0,C20*J$17)</f>
        <v>5592</v>
      </c>
      <c r="E20" s="29">
        <f>IF(DigitaPRIMERA!$F$10&lt;&gt;"",DigitaPRIMERA!$F$10,"")</f>
        <v>200</v>
      </c>
      <c r="F20" s="42">
        <f>IF(E20="",0,E20*PREMIOS!F19)</f>
        <v>17000</v>
      </c>
      <c r="G20" s="30">
        <f t="shared" si="7"/>
        <v>24008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20</v>
      </c>
      <c r="C21" s="29">
        <f>IF(DigitaHONDURAS!$C$10&lt;&gt;"",DigitaHONDURAS!$C$10,"")</f>
        <v>13700</v>
      </c>
      <c r="D21" s="42">
        <f>IF(C21="",0,C21*J$18)</f>
        <v>1644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12056</v>
      </c>
    </row>
    <row r="22" spans="1:11" x14ac:dyDescent="0.35">
      <c r="A22" s="28" t="s">
        <v>100</v>
      </c>
      <c r="B22" s="133">
        <f>IF(DigitaHONDURAS!E2&lt;&gt;"",DigitaHONDURAS!E2,"")</f>
        <v>77</v>
      </c>
      <c r="C22" s="29">
        <f>IF(DigitaHONDURAS!$E$10&lt;&gt;"",DigitaHONDURAS!$E$10,"")</f>
        <v>42750</v>
      </c>
      <c r="D22" s="42">
        <f>IF(C22="",0,C22*J$18)</f>
        <v>5130</v>
      </c>
      <c r="E22" s="29">
        <f>IF(DigitaHONDURAS!$F$10&lt;&gt;"",DigitaHONDURAS!$F$10,"")</f>
        <v>500</v>
      </c>
      <c r="F22" s="42">
        <f>IF(E22="",0,E22*PREMIOS!F20)</f>
        <v>42500</v>
      </c>
      <c r="G22" s="30">
        <f t="shared" si="7"/>
        <v>-4880</v>
      </c>
    </row>
    <row r="23" spans="1:11" x14ac:dyDescent="0.35">
      <c r="A23" s="28" t="s">
        <v>101</v>
      </c>
      <c r="B23" s="133">
        <f>IF(DigitaHONDURAS!G2&lt;&gt;"",DigitaHONDURAS!G2,"")</f>
        <v>57</v>
      </c>
      <c r="C23" s="29">
        <f>IF(DigitaHONDURAS!$G$10&lt;&gt;"",DigitaHONDURAS!$G$10,"")</f>
        <v>13350</v>
      </c>
      <c r="D23" s="42">
        <f>IF(C23="",0,C23*J$18)</f>
        <v>1602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11748</v>
      </c>
    </row>
    <row r="24" spans="1:11" x14ac:dyDescent="0.35">
      <c r="A24" s="28" t="s">
        <v>107</v>
      </c>
      <c r="B24" s="133">
        <f>IF(DigitaDOMINICANA!C2&lt;&gt;"",DigitaDOMINICANA!C2,"")</f>
        <v>66</v>
      </c>
      <c r="C24" s="29">
        <f>IF(DigitaDOMINICANA!$C$10&lt;&gt;"",DigitaDOMINICANA!$C$10,"")</f>
        <v>58250</v>
      </c>
      <c r="D24" s="42">
        <f>IF(C24="",0,C24*J$19)</f>
        <v>6990</v>
      </c>
      <c r="E24" s="29">
        <f>IF(DigitaDOMINICANA!$D$10&lt;&gt;"",DigitaDOMINICANA!$D$10,"")</f>
        <v>750</v>
      </c>
      <c r="F24" s="42">
        <f>IF(E24="",0,E24*PREMIOS!F21)</f>
        <v>63750</v>
      </c>
      <c r="G24" s="30">
        <f t="shared" si="8"/>
        <v>-12490</v>
      </c>
    </row>
    <row r="25" spans="1:11" x14ac:dyDescent="0.35">
      <c r="A25" s="28" t="s">
        <v>108</v>
      </c>
      <c r="B25" s="133">
        <f>IF(DigitaDOMINICANA!E2&lt;&gt;"",DigitaDOMINICANA!E2,"")</f>
        <v>86</v>
      </c>
      <c r="C25" s="29">
        <f>IF(DigitaDOMINICANA!$E$10&lt;&gt;"",DigitaDOMINICANA!$E$10,"")</f>
        <v>62250</v>
      </c>
      <c r="D25" s="42">
        <f>IF(C25="",0,C25*J$19)</f>
        <v>7470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54780</v>
      </c>
    </row>
    <row r="26" spans="1:11" x14ac:dyDescent="0.35">
      <c r="A26" s="28" t="s">
        <v>21</v>
      </c>
      <c r="B26" s="133">
        <f>IF(DigitaPANAMENA!C2&lt;&gt;"",DigitaPANAMENA!C2,"")</f>
        <v>55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1312350</v>
      </c>
      <c r="D27" s="68">
        <f t="shared" ref="D27:F27" si="9">SUM(D5:D26)</f>
        <v>156217</v>
      </c>
      <c r="E27" s="68">
        <f t="shared" si="9"/>
        <v>13250</v>
      </c>
      <c r="F27" s="68">
        <f t="shared" si="9"/>
        <v>1270000</v>
      </c>
      <c r="G27" s="89">
        <f>SUM(G5:G26)</f>
        <v>-113867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21100</v>
      </c>
      <c r="K4" s="233">
        <f t="shared" ref="K4" si="0">D7+D11+D15</f>
        <v>2532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29">
        <f>IF(DigitaTICA!C11&lt;&gt;"",DigitaTICA!C11,"")</f>
        <v>9000</v>
      </c>
      <c r="D7" s="42">
        <f>IF(C7="",0,C7*J$11)</f>
        <v>1080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7920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76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86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2550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71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15</v>
      </c>
      <c r="C15" s="29">
        <f>IF(DigitaTICA!G11&lt;&gt;"",DigitaTICA!G11,"")</f>
        <v>12100</v>
      </c>
      <c r="D15" s="42">
        <f>IF(C15="",0,C15*J$11)</f>
        <v>1452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10648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39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50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21100</v>
      </c>
      <c r="D21" s="123">
        <f t="shared" ref="D21:G21" si="5">SUM(D5:D20)</f>
        <v>2532</v>
      </c>
      <c r="E21" s="123">
        <f t="shared" si="5"/>
        <v>0</v>
      </c>
      <c r="F21" s="123">
        <f t="shared" si="5"/>
        <v>0</v>
      </c>
      <c r="G21" s="124">
        <f t="shared" si="5"/>
        <v>18568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6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114100</v>
      </c>
      <c r="K4" s="233">
        <f>D7+D11+D15</f>
        <v>13692</v>
      </c>
      <c r="L4" s="222">
        <f>F7+F11+F15</f>
        <v>25500</v>
      </c>
    </row>
    <row r="5" spans="1:12" x14ac:dyDescent="0.35">
      <c r="A5" s="28" t="s">
        <v>43</v>
      </c>
      <c r="B5" s="133">
        <f>IF(DigitaNICA!C2&lt;&gt;"",DigitaNICA!C2,"")</f>
        <v>93</v>
      </c>
      <c r="C5" s="29">
        <f>IF(DigitaNICA!C12&lt;&gt;"",DigitaNICA!C12,"")</f>
        <v>70100</v>
      </c>
      <c r="D5" s="42">
        <f>IF(C5="",0,C5*J$12)</f>
        <v>8412</v>
      </c>
      <c r="E5" s="29">
        <f>IF(DigitaNICA!D12&lt;&gt;"",DigitaNICA!D12,"")</f>
        <v>300</v>
      </c>
      <c r="F5" s="42">
        <f>IF(E5="",0,E5*PREMIOS!F5)</f>
        <v>25500</v>
      </c>
      <c r="G5" s="30">
        <f t="shared" ref="G5:G12" si="0">IF(OR(C5="",E5=""),0,C5-D5-F5)</f>
        <v>36188</v>
      </c>
      <c r="I5" s="219" t="s">
        <v>37</v>
      </c>
      <c r="J5" s="223">
        <f>SUM(IF(C5="",0,C5),IF(C9="",0,C9),IF(C13="",0,C13),IF(C17="",0,C17))</f>
        <v>110850</v>
      </c>
      <c r="K5" s="227">
        <f t="shared" ref="K5" si="1">D5+D9+D13+D17</f>
        <v>13302</v>
      </c>
      <c r="L5" s="224">
        <f>F5+F9+F13+F17</f>
        <v>46750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1200</v>
      </c>
      <c r="K6" s="228">
        <f t="shared" ref="K6" si="2">+D8+D12+D16</f>
        <v>120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29</v>
      </c>
      <c r="C7" s="29">
        <f>IF(DigitaTICA!C12&lt;&gt;"",DigitaTICA!C12,"")</f>
        <v>64200</v>
      </c>
      <c r="D7" s="42">
        <f>IF(C7="",0,C7*J$11)</f>
        <v>7704</v>
      </c>
      <c r="E7" s="29">
        <f>IF(DigitaTICA!D12&lt;&gt;"",DigitaTICA!D12,"")</f>
        <v>300</v>
      </c>
      <c r="F7" s="42">
        <f>IF(E7="",0,E7*PREMIOS!F7)</f>
        <v>25500</v>
      </c>
      <c r="G7" s="30">
        <f t="shared" si="0"/>
        <v>30996</v>
      </c>
      <c r="I7" s="219" t="s">
        <v>96</v>
      </c>
      <c r="J7" s="225">
        <f>SUM(IF(C19="",0,C19),IF(C20="",0,C20))</f>
        <v>47350</v>
      </c>
      <c r="K7" s="228">
        <f>+D19+D20</f>
        <v>5682</v>
      </c>
      <c r="L7" s="229">
        <f>+F19+F20</f>
        <v>85000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1200</v>
      </c>
      <c r="D8" s="42">
        <f>IF(C8="",0,C8*J$13)</f>
        <v>120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1080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76</v>
      </c>
      <c r="C9" s="29">
        <f>IF(DigitaNICA!E12&lt;&gt;"",DigitaNICA!E12,"")</f>
        <v>40750</v>
      </c>
      <c r="D9" s="42">
        <f>IF(C9="",0,C9*J$12)</f>
        <v>4890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14610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86</v>
      </c>
      <c r="C11" s="29">
        <f>IF(DigitaTICA!E12&lt;&gt;"",DigitaTICA!E12,"")</f>
        <v>36900</v>
      </c>
      <c r="D11" s="42">
        <f>IF(C11="",0,C11*J$11)</f>
        <v>4428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32472</v>
      </c>
      <c r="I11" s="60" t="s">
        <v>36</v>
      </c>
      <c r="J11" s="61">
        <v>0.12</v>
      </c>
      <c r="K11" s="62">
        <f>MROUND(D7+D11+D15,50)</f>
        <v>13700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13300</v>
      </c>
    </row>
    <row r="13" spans="1:12" x14ac:dyDescent="0.35">
      <c r="A13" s="28" t="s">
        <v>50</v>
      </c>
      <c r="B13" s="133">
        <f>IF(DigitaNICA!G2&lt;&gt;"",DigitaNICA!G2,"")</f>
        <v>71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5700</v>
      </c>
    </row>
    <row r="15" spans="1:12" ht="15" thickBot="1" x14ac:dyDescent="0.4">
      <c r="A15" s="28" t="s">
        <v>61</v>
      </c>
      <c r="B15" s="133">
        <f>IF(DigitaTICA!G2&lt;&gt;"",DigitaTICA!G2,"")</f>
        <v>15</v>
      </c>
      <c r="C15" s="29">
        <f>IF(DigitaTICA!G12&lt;&gt;"",DigitaTICA!G12,"")</f>
        <v>13000</v>
      </c>
      <c r="D15" s="42">
        <f>IF(C15="",0,C15*J$11)</f>
        <v>1560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11440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50</v>
      </c>
      <c r="C19" s="29">
        <f>IF(DigitaPRIMERA!$C$12&lt;&gt;"",DigitaPRIMERA!$C$12,"")</f>
        <v>42750</v>
      </c>
      <c r="D19" s="42">
        <f>IF(C19="",0,C19*J$14)</f>
        <v>5130</v>
      </c>
      <c r="E19" s="29">
        <f>IF(DigitaPRIMERA!$D$12&lt;&gt;"",DigitaPRIMERA!$D$12,"")</f>
        <v>1000</v>
      </c>
      <c r="F19" s="42">
        <f>IF(E19="",0,E19*PREMIOS!F19)</f>
        <v>85000</v>
      </c>
      <c r="G19" s="30">
        <f t="shared" si="3"/>
        <v>-47380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>
        <f>IF(DigitaPRIMERA!$E$12&lt;&gt;"",DigitaPRIMERA!$E$12,"")</f>
        <v>4600</v>
      </c>
      <c r="D20" s="42">
        <f>IF(C20="",0,C20*J$14)</f>
        <v>552</v>
      </c>
      <c r="E20" s="29">
        <f>IF(DigitaPRIMERA!$F$12&lt;&gt;"",DigitaPRIMERA!$F$12,"")</f>
        <v>0</v>
      </c>
      <c r="F20" s="42">
        <f>IF(E20="",0,E20*PREMIOS!F19)</f>
        <v>0</v>
      </c>
      <c r="G20" s="30">
        <f t="shared" si="3"/>
        <v>4048</v>
      </c>
    </row>
    <row r="21" spans="1:7" x14ac:dyDescent="0.35">
      <c r="A21" s="28" t="s">
        <v>99</v>
      </c>
      <c r="B21" s="133">
        <f>IF(DigitaHONDURAS!C2&lt;&gt;"",DigitaHONDURAS!C2,"")</f>
        <v>20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77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57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273500</v>
      </c>
      <c r="D24" s="68">
        <f t="shared" ref="D24:G24" si="4">SUM(D5:D23)</f>
        <v>32796</v>
      </c>
      <c r="E24" s="68">
        <f t="shared" si="4"/>
        <v>1850</v>
      </c>
      <c r="F24" s="68">
        <f t="shared" si="4"/>
        <v>157250</v>
      </c>
      <c r="G24" s="89">
        <f t="shared" si="4"/>
        <v>83454</v>
      </c>
    </row>
    <row r="27" spans="1:7" x14ac:dyDescent="0.35">
      <c r="G27" s="21">
        <v>274178</v>
      </c>
    </row>
    <row r="28" spans="1:7" x14ac:dyDescent="0.35">
      <c r="G28" s="142">
        <f>+G24+G27</f>
        <v>357632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117100</v>
      </c>
      <c r="K4" s="233">
        <f t="shared" ref="K4" si="0">D7+D11+D15</f>
        <v>14052</v>
      </c>
      <c r="L4" s="222">
        <f>F7+F11+F15</f>
        <v>59500</v>
      </c>
    </row>
    <row r="5" spans="1:12" ht="15" thickBot="1" x14ac:dyDescent="0.4">
      <c r="A5" s="28" t="s">
        <v>43</v>
      </c>
      <c r="B5" s="133">
        <f>IF(DigitaNICA!C2&lt;&gt;"",DigitaNICA!C2,"")</f>
        <v>93</v>
      </c>
      <c r="C5" s="29">
        <f>IF(DigitaNICA!C13&lt;&gt;"",DigitaNICA!C13,"")</f>
        <v>39250</v>
      </c>
      <c r="D5" s="42">
        <f>IF(C5="",0,C5*J$10)</f>
        <v>4710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34540</v>
      </c>
      <c r="I5" s="220" t="s">
        <v>37</v>
      </c>
      <c r="J5" s="234">
        <f>SUM(IF(C5="",0,C5),IF(C9="",0,C9),IF(C13="",0,C13),IF(C17="",0,C17))</f>
        <v>78350</v>
      </c>
      <c r="K5" s="235">
        <f t="shared" ref="K5" si="2">D5+D9+D13+D17</f>
        <v>9402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29">
        <f>IF(DigitaTICA!C13&lt;&gt;"",DigitaTICA!C13,"")</f>
        <v>36950</v>
      </c>
      <c r="D7" s="42">
        <f>IF(C7="",0,C7*J$9)</f>
        <v>4434</v>
      </c>
      <c r="E7" s="29">
        <f>IF(DigitaTICA!D13&lt;&gt;"",DigitaTICA!D13,"")</f>
        <v>200</v>
      </c>
      <c r="F7" s="134">
        <f>IF(E7="",0,E7*PREMIOS!F7)</f>
        <v>17000</v>
      </c>
      <c r="G7" s="30">
        <f t="shared" si="1"/>
        <v>15516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76</v>
      </c>
      <c r="C9" s="29">
        <f>IF(DigitaNICA!E13&lt;&gt;"",DigitaNICA!E13,"")</f>
        <v>20550</v>
      </c>
      <c r="D9" s="42">
        <f>IF(C9="",0,C9*J$10)</f>
        <v>2466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18084</v>
      </c>
      <c r="I9" s="60" t="s">
        <v>36</v>
      </c>
      <c r="J9" s="61">
        <v>0.12</v>
      </c>
      <c r="K9" s="62">
        <f>MROUND(D7+D11+D15,50)</f>
        <v>14050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9400</v>
      </c>
    </row>
    <row r="11" spans="1:12" ht="15" thickBot="1" x14ac:dyDescent="0.4">
      <c r="A11" s="28" t="s">
        <v>59</v>
      </c>
      <c r="B11" s="133">
        <f>IF(DigitaTICA!E2&lt;&gt;"",DigitaTICA!E2,"")</f>
        <v>86</v>
      </c>
      <c r="C11" s="29">
        <f>IF(DigitaTICA!E13&lt;&gt;"",DigitaTICA!E13,"")</f>
        <v>27850</v>
      </c>
      <c r="D11" s="42">
        <f>IF(C11="",0,C11*J$9)</f>
        <v>3342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24508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71</v>
      </c>
      <c r="C13" s="29">
        <f>IF(DigitaNICA!G13&lt;&gt;"",DigitaNICA!G13,"")</f>
        <v>16650</v>
      </c>
      <c r="D13" s="42">
        <f>IF(C13="",0,C13*J$10)</f>
        <v>1998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14652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15</v>
      </c>
      <c r="C15" s="29">
        <f>IF(DigitaTICA!G13&lt;&gt;"",DigitaTICA!G13,"")</f>
        <v>52300</v>
      </c>
      <c r="D15" s="42">
        <f>IF(C15="",0,C15*J$9)</f>
        <v>6276</v>
      </c>
      <c r="E15" s="29">
        <f>IF(DigitaTICA!H13&lt;&gt;"",DigitaTICA!H13,"")</f>
        <v>500</v>
      </c>
      <c r="F15" s="134">
        <f>IF(E15="",0,E15*PREMIOS!F15)</f>
        <v>42500</v>
      </c>
      <c r="G15" s="30">
        <f t="shared" si="3"/>
        <v>3524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39</v>
      </c>
      <c r="C17" s="29">
        <f>IF(DigitaNICA!I13&lt;&gt;"",DigitaNICA!I13,"")</f>
        <v>1900</v>
      </c>
      <c r="D17" s="42">
        <f>IF(C17="",0,C17*J$10)</f>
        <v>228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1672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195450</v>
      </c>
      <c r="D19" s="68">
        <f>MROUND(SUM(D5:D18),50)</f>
        <v>23450</v>
      </c>
      <c r="E19" s="68">
        <f>SUM(E5:E18)</f>
        <v>700</v>
      </c>
      <c r="F19" s="68">
        <f>SUM(F5:F18)</f>
        <v>59500</v>
      </c>
      <c r="G19" s="89">
        <f>SUM(G5:G18)</f>
        <v>112496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104800</v>
      </c>
      <c r="K4" s="238">
        <f t="shared" ref="K4" si="0">D7+D11+D15</f>
        <v>15720</v>
      </c>
      <c r="L4" s="239">
        <f>F7+F11+F15</f>
        <v>100000</v>
      </c>
    </row>
    <row r="5" spans="1:12" x14ac:dyDescent="0.35">
      <c r="A5" s="28" t="s">
        <v>43</v>
      </c>
      <c r="B5" s="133">
        <f>IF(DigitaNICA!C2&lt;&gt;"",DigitaNICA!C2,"")</f>
        <v>93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29">
        <f>IF(DigitaTICA!C14&lt;&gt;"",DigitaTICA!C14,"")</f>
        <v>41100</v>
      </c>
      <c r="D7" s="42">
        <f>IF(C7="",0,C7*J$9)</f>
        <v>6165</v>
      </c>
      <c r="E7" s="29">
        <f>IF(DigitaTICA!D14&lt;&gt;"",DigitaTICA!D14,"")</f>
        <v>1250</v>
      </c>
      <c r="F7" s="42">
        <f>IF(E7="",0,E7*PREMIOS!E7)</f>
        <v>100000</v>
      </c>
      <c r="G7" s="30">
        <f t="shared" si="1"/>
        <v>-65065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76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15700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86</v>
      </c>
      <c r="C11" s="29">
        <f>IF(DigitaTICA!E14&lt;&gt;"",DigitaTICA!E14,"")</f>
        <v>23600</v>
      </c>
      <c r="D11" s="42">
        <f>IF(C11="",0,C11*J$9)</f>
        <v>3540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20060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71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15</v>
      </c>
      <c r="C15" s="29">
        <f>IF(DigitaTICA!G14&lt;&gt;"",DigitaTICA!G14,"")</f>
        <v>40100</v>
      </c>
      <c r="D15" s="42">
        <f>IF(C15="",0,C15*J$9)</f>
        <v>6015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34085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39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104800</v>
      </c>
      <c r="D19" s="68">
        <f>MROUND(SUM(D5:D18),50)</f>
        <v>15700</v>
      </c>
      <c r="E19" s="68">
        <f>SUM(E5:E18)</f>
        <v>1250</v>
      </c>
      <c r="F19" s="68">
        <f>SUM(F5:F18)</f>
        <v>100000</v>
      </c>
      <c r="G19" s="89">
        <f>SUM(G5:G18)</f>
        <v>-10920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93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76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71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15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70550</v>
      </c>
      <c r="K4" s="233">
        <f>D7+D11+D15</f>
        <v>8466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93</v>
      </c>
      <c r="C5" s="29">
        <f>IF(DigitaNICA!C16&lt;&gt;"",DigitaNICA!C16,"")</f>
        <v>2350</v>
      </c>
      <c r="D5" s="42">
        <f>IF(C5="",0,C5*J$12)</f>
        <v>282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2068</v>
      </c>
      <c r="I5" s="63" t="s">
        <v>37</v>
      </c>
      <c r="J5" s="227">
        <f>SUM(IF(C5="",0,C5),IF(C9="",0,C9),IF(C13="",0,C13),IF(C17="",0,C17))</f>
        <v>31150</v>
      </c>
      <c r="K5" s="227">
        <f t="shared" ref="K5" si="1">D5+D9+D13+D17</f>
        <v>3738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4000</v>
      </c>
      <c r="K6" s="228">
        <f t="shared" ref="K6" si="2">+D8+D12+D16</f>
        <v>400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29</v>
      </c>
      <c r="C7" s="29">
        <f>IF(DigitaTICA!C16&lt;&gt;"",DigitaTICA!C16,"")</f>
        <v>14350</v>
      </c>
      <c r="D7" s="42">
        <f>IF(C7="",0,C7*J$11)</f>
        <v>1722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12628</v>
      </c>
      <c r="I7" s="63" t="s">
        <v>96</v>
      </c>
      <c r="J7" s="228">
        <f>SUM(IF(C19="",0,C19),IF(C20="",0,C20))</f>
        <v>0</v>
      </c>
      <c r="K7" s="228">
        <f>+D19+D20</f>
        <v>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900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76</v>
      </c>
      <c r="C9" s="29">
        <f>IF(DigitaNICA!E16&lt;&gt;"",DigitaNICA!E16,"")</f>
        <v>10000</v>
      </c>
      <c r="D9" s="42">
        <f>IF(C9="",0,C9*J$12)</f>
        <v>1200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8800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86</v>
      </c>
      <c r="C11" s="29">
        <f>IF(DigitaTICA!E16&lt;&gt;"",DigitaTICA!E16,"")</f>
        <v>21500</v>
      </c>
      <c r="D11" s="42">
        <f>IF(C11="",0,C11*J$11)</f>
        <v>2580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18920</v>
      </c>
      <c r="I11" s="77" t="s">
        <v>36</v>
      </c>
      <c r="J11" s="78">
        <v>0.12</v>
      </c>
      <c r="K11" s="79">
        <f>MROUND(D7+D11+D15,50)</f>
        <v>8450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1000</v>
      </c>
      <c r="D12" s="42">
        <f>IF(C12="",0,C12*J$13)</f>
        <v>100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3750</v>
      </c>
    </row>
    <row r="13" spans="1:12" x14ac:dyDescent="0.35">
      <c r="A13" s="28" t="s">
        <v>50</v>
      </c>
      <c r="B13" s="133">
        <f>IF(DigitaNICA!G2&lt;&gt;"",DigitaNICA!G2,"")</f>
        <v>71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3">
        <f>IF(DigitaTICA!G2&lt;&gt;"",DigitaTICA!G2,"")</f>
        <v>15</v>
      </c>
      <c r="C15" s="29">
        <f>IF(DigitaTICA!G16&lt;&gt;"",DigitaTICA!G16,"")</f>
        <v>34700</v>
      </c>
      <c r="D15" s="42">
        <f>IF(C15="",0,C15*J$11)</f>
        <v>4164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30536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2000</v>
      </c>
      <c r="D16" s="42">
        <f>IF(C16="",0,C16*J$13)</f>
        <v>200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1800</v>
      </c>
    </row>
    <row r="17" spans="1:7" x14ac:dyDescent="0.35">
      <c r="A17" s="28" t="s">
        <v>52</v>
      </c>
      <c r="B17" s="133">
        <f>IF(DigitaNICA!I2&lt;&gt;"",DigitaNICA!I2,"")</f>
        <v>39</v>
      </c>
      <c r="C17" s="29">
        <f>IF(DigitaNICA!I16&lt;&gt;"",DigitaNICA!I16,"")</f>
        <v>18800</v>
      </c>
      <c r="D17" s="42">
        <f>IF(C17="",0,C17*J$12)</f>
        <v>2256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16544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50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20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77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57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105700</v>
      </c>
      <c r="D24" s="123">
        <f t="shared" ref="D24:G24" si="5">SUM(D5:D23)</f>
        <v>12604</v>
      </c>
      <c r="E24" s="123">
        <f t="shared" si="5"/>
        <v>0</v>
      </c>
      <c r="F24" s="123">
        <f t="shared" si="5"/>
        <v>0</v>
      </c>
      <c r="G24" s="124">
        <f t="shared" si="5"/>
        <v>93096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481700</v>
      </c>
      <c r="K4" s="233">
        <f t="shared" ref="K4" si="0">D7+D11+D15</f>
        <v>57804</v>
      </c>
      <c r="L4" s="222">
        <f>F7+F11+F15</f>
        <v>242250</v>
      </c>
    </row>
    <row r="5" spans="1:12" x14ac:dyDescent="0.35">
      <c r="A5" s="28" t="s">
        <v>43</v>
      </c>
      <c r="B5" s="133">
        <f>IF(DigitaNICA!C2&lt;&gt;"",DigitaNICA!C2,"")</f>
        <v>93</v>
      </c>
      <c r="C5" s="90">
        <f>IF(DigitaNICA!C17&lt;&gt;"",DigitaNICA!C17,"")</f>
        <v>137250</v>
      </c>
      <c r="D5" s="42">
        <f>IF(C5="",0,C5*J$16)</f>
        <v>16470</v>
      </c>
      <c r="E5" s="90">
        <f>IF(DigitaNICA!D17&lt;&gt;"",DigitaNICA!D17,"")</f>
        <v>100</v>
      </c>
      <c r="F5" s="42">
        <f>IF(E5="",0,E5*PREMIOS!F5)</f>
        <v>8500</v>
      </c>
      <c r="G5" s="91">
        <f t="shared" ref="G5:G12" si="1">IF(OR(C5="",E5=""),0,C5-D5-F5)</f>
        <v>112280</v>
      </c>
      <c r="I5" s="219" t="s">
        <v>37</v>
      </c>
      <c r="J5" s="223">
        <f>SUM(IF(C5="",0,C5),IF(C9="",0,C9),IF(C13="",0,C13),IF(C17="",0,C17))</f>
        <v>466800</v>
      </c>
      <c r="K5" s="227">
        <f t="shared" ref="K5" si="2">D5+D9+D13+D17</f>
        <v>56016</v>
      </c>
      <c r="L5" s="224">
        <f>F5+F9+F13+F17</f>
        <v>110500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127150</v>
      </c>
      <c r="K6" s="228">
        <f t="shared" ref="K6" si="3">+D8+D12+D16</f>
        <v>12715</v>
      </c>
      <c r="L6" s="229">
        <f>+F8+F12+F16</f>
        <v>80000</v>
      </c>
    </row>
    <row r="7" spans="1:12" x14ac:dyDescent="0.35">
      <c r="A7" s="28" t="s">
        <v>46</v>
      </c>
      <c r="B7" s="133">
        <f>IF(DigitaTICA!C2&lt;&gt;"",DigitaTICA!C2,"")</f>
        <v>29</v>
      </c>
      <c r="C7" s="90">
        <f>IF(DigitaTICA!C17&lt;&gt;"",DigitaTICA!C17,"")</f>
        <v>163400</v>
      </c>
      <c r="D7" s="42">
        <f>IF(C7="",0,C7*J$15)</f>
        <v>19608</v>
      </c>
      <c r="E7" s="90">
        <f>IF(DigitaTICA!D17&lt;&gt;"",DigitaTICA!D17,"")</f>
        <v>600</v>
      </c>
      <c r="F7" s="42">
        <f>IF(E7="",0,E7*PREMIOS!F7)</f>
        <v>51000</v>
      </c>
      <c r="G7" s="91">
        <f t="shared" si="1"/>
        <v>92792</v>
      </c>
      <c r="I7" s="219" t="s">
        <v>96</v>
      </c>
      <c r="J7" s="225">
        <f>SUM(IF(C19="",0,C19),IF(C20="",0,C20))</f>
        <v>124700</v>
      </c>
      <c r="K7" s="228">
        <f>+D19+D20</f>
        <v>14964</v>
      </c>
      <c r="L7" s="229">
        <f>+F19+F20</f>
        <v>114750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49700</v>
      </c>
      <c r="D8" s="42">
        <f>IF(C8="",0,C8*J$17)</f>
        <v>4970</v>
      </c>
      <c r="E8" s="90">
        <f>IF(DigitaREVENTADO!D17&lt;&gt;"",DigitaREVENTADO!D17,"")</f>
        <v>400</v>
      </c>
      <c r="F8" s="42">
        <f>IF(E8="",0,E8*PREMIOS!F8)</f>
        <v>80000</v>
      </c>
      <c r="G8" s="91">
        <f t="shared" si="1"/>
        <v>-35270</v>
      </c>
      <c r="I8" s="219" t="s">
        <v>104</v>
      </c>
      <c r="J8" s="225">
        <f>SUM(IF(C21="",0,C21),IF(C22="",0,C22),IF(C23="",0,C23))</f>
        <v>84150</v>
      </c>
      <c r="K8" s="228">
        <f t="shared" ref="K8" si="4">D21+D22+D23</f>
        <v>10098</v>
      </c>
      <c r="L8" s="229">
        <f>F21+F22+F23</f>
        <v>110500</v>
      </c>
    </row>
    <row r="9" spans="1:12" x14ac:dyDescent="0.35">
      <c r="A9" s="28" t="s">
        <v>48</v>
      </c>
      <c r="B9" s="133">
        <f>IF(DigitaNICA!E2&lt;&gt;"",DigitaNICA!E2,"")</f>
        <v>76</v>
      </c>
      <c r="C9" s="90">
        <f>IF(DigitaNICA!E17&lt;&gt;"",DigitaNICA!E17,"")</f>
        <v>77100</v>
      </c>
      <c r="D9" s="42">
        <f>IF(C9="",0,C9*J$16)</f>
        <v>9252</v>
      </c>
      <c r="E9" s="90">
        <f>IF(DigitaNICA!F17&lt;&gt;"",DigitaNICA!F17,"")</f>
        <v>0</v>
      </c>
      <c r="F9" s="42">
        <f>IF(E9="",0,E9*PREMIOS!F9)</f>
        <v>0</v>
      </c>
      <c r="G9" s="91">
        <f t="shared" si="1"/>
        <v>67848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86</v>
      </c>
      <c r="C11" s="90">
        <f>IF(DigitaTICA!E17&lt;&gt;"",DigitaTICA!E17,"")</f>
        <v>135700</v>
      </c>
      <c r="D11" s="42">
        <f>IF(C11="",0,C11*J$15)</f>
        <v>16284</v>
      </c>
      <c r="E11" s="90">
        <f>IF(DigitaTICA!F17&lt;&gt;"",DigitaTICA!F17,"")</f>
        <v>0</v>
      </c>
      <c r="F11" s="42">
        <f>IF(E11="",0,E11*PREMIOS!F11)</f>
        <v>0</v>
      </c>
      <c r="G11" s="91">
        <f t="shared" si="1"/>
        <v>119416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43900</v>
      </c>
      <c r="D12" s="42">
        <f>IF(C12="",0,C12*J$17)</f>
        <v>4390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39510</v>
      </c>
    </row>
    <row r="13" spans="1:12" ht="15" thickBot="1" x14ac:dyDescent="0.4">
      <c r="A13" s="28" t="s">
        <v>50</v>
      </c>
      <c r="B13" s="133">
        <f>IF(DigitaNICA!G2&lt;&gt;"",DigitaNICA!G2,"")</f>
        <v>71</v>
      </c>
      <c r="C13" s="90">
        <f>IF(DigitaNICA!G17&lt;&gt;"",DigitaNICA!G17,"")</f>
        <v>89750</v>
      </c>
      <c r="D13" s="42">
        <f>IF(C13="",0,C13*J$16)</f>
        <v>10770</v>
      </c>
      <c r="E13" s="90">
        <f>IF(DigitaNICA!H17&lt;&gt;"",DigitaNICA!H17,"")</f>
        <v>1000</v>
      </c>
      <c r="F13" s="42">
        <f>IF(E13="",0,E13*PREMIOS!F13)</f>
        <v>85000</v>
      </c>
      <c r="G13" s="91">
        <f>IF(OR(C13="",E13=""),0,C13-D13-F13)</f>
        <v>-6020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15</v>
      </c>
      <c r="C15" s="90">
        <f>IF(DigitaTICA!G17&lt;&gt;"",DigitaTICA!G17,"")</f>
        <v>182600</v>
      </c>
      <c r="D15" s="42">
        <f>IF(C15="",0,C15*J$15)</f>
        <v>21912</v>
      </c>
      <c r="E15" s="90">
        <f>IF(DigitaTICA!H17&lt;&gt;"",DigitaTICA!H17,"")</f>
        <v>2250</v>
      </c>
      <c r="F15" s="42">
        <f>IF(E15="",0,E15*PREMIOS!F15)</f>
        <v>191250</v>
      </c>
      <c r="G15" s="91">
        <f t="shared" si="6"/>
        <v>-30562</v>
      </c>
      <c r="I15" s="77" t="s">
        <v>36</v>
      </c>
      <c r="J15" s="78">
        <v>0.12</v>
      </c>
      <c r="K15" s="79">
        <f>MROUND(D7+D11+D15,50)</f>
        <v>57800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33550</v>
      </c>
      <c r="D16" s="42">
        <f>IF(C16="",0,C16*J$17)</f>
        <v>3355</v>
      </c>
      <c r="E16" s="90">
        <f>IF(DigitaREVENTADO!H17&lt;&gt;"",DigitaREVENTADO!H17,"")</f>
        <v>500</v>
      </c>
      <c r="F16" s="42">
        <f>IF(E16="",0,E16*PREMIOS!F16)</f>
        <v>0</v>
      </c>
      <c r="G16" s="91">
        <f t="shared" si="6"/>
        <v>30195</v>
      </c>
      <c r="I16" s="63" t="s">
        <v>37</v>
      </c>
      <c r="J16" s="64">
        <v>0.12</v>
      </c>
      <c r="K16" s="30">
        <f>MROUND(D5+D9+D13+D17,50)</f>
        <v>56000</v>
      </c>
    </row>
    <row r="17" spans="1:11" x14ac:dyDescent="0.35">
      <c r="A17" s="28" t="s">
        <v>52</v>
      </c>
      <c r="B17" s="133">
        <f>IF(DigitaNICA!I2&lt;&gt;"",DigitaNICA!I2,"")</f>
        <v>39</v>
      </c>
      <c r="C17" s="90">
        <f>IF(DigitaNICA!I17&lt;&gt;"",DigitaNICA!I17,"")</f>
        <v>162700</v>
      </c>
      <c r="D17" s="42">
        <f>IF(C17="",0,C17*J$16)</f>
        <v>19524</v>
      </c>
      <c r="E17" s="90">
        <f>IF(DigitaNICA!J17&lt;&gt;"",DigitaNICA!J17,"")</f>
        <v>200</v>
      </c>
      <c r="F17" s="42">
        <f>IF(E17="",0,E17*PREMIOS!F17)</f>
        <v>17000</v>
      </c>
      <c r="G17" s="91">
        <f t="shared" si="6"/>
        <v>126176</v>
      </c>
      <c r="I17" s="63" t="s">
        <v>38</v>
      </c>
      <c r="J17" s="64">
        <v>0.1</v>
      </c>
      <c r="K17" s="30">
        <f>MROUND(D6+D8+D10+D12+D14+D16+D18,50)</f>
        <v>12700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14950</v>
      </c>
    </row>
    <row r="19" spans="1:11" x14ac:dyDescent="0.35">
      <c r="A19" s="28" t="s">
        <v>97</v>
      </c>
      <c r="B19" s="133">
        <f>IF(DigitaPRIMERA!C2&lt;&gt;"",DigitaPRIMERA!C2,"")</f>
        <v>50</v>
      </c>
      <c r="C19" s="29">
        <f>IF(DigitaPRIMERA!$C$17&lt;&gt;"",DigitaPRIMERA!$C$17,"")</f>
        <v>97600</v>
      </c>
      <c r="D19" s="42">
        <f>IF(C19="",0,C19*J$18)</f>
        <v>11712</v>
      </c>
      <c r="E19" s="29">
        <f>IF(DigitaPRIMERA!$D$17&lt;&gt;"",DigitaPRIMERA!$D$17,"")</f>
        <v>1350</v>
      </c>
      <c r="F19" s="42">
        <f>IF(E19="",0,E19*PREMIOS!F19)</f>
        <v>114750</v>
      </c>
      <c r="G19" s="30">
        <f t="shared" si="6"/>
        <v>-28862</v>
      </c>
      <c r="I19" s="63" t="s">
        <v>104</v>
      </c>
      <c r="J19" s="64">
        <v>0.12</v>
      </c>
      <c r="K19" s="30">
        <f>MROUND(D21+D22+D23,50)</f>
        <v>10100</v>
      </c>
    </row>
    <row r="20" spans="1:11" x14ac:dyDescent="0.35">
      <c r="A20" s="28" t="s">
        <v>98</v>
      </c>
      <c r="B20" s="133">
        <f>IF(DigitaPRIMERA!E2&lt;&gt;"",DigitaPRIMERA!E2,"")</f>
        <v>45</v>
      </c>
      <c r="C20" s="29">
        <f>IF(DigitaPRIMERA!$E$17&lt;&gt;"",DigitaPRIMERA!$E$17,"")</f>
        <v>27100</v>
      </c>
      <c r="D20" s="42">
        <f>IF(C20="",0,C20*J$18)</f>
        <v>3252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23848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20</v>
      </c>
      <c r="C21" s="29">
        <f>IF(DigitaHONDURAS!$C$17&lt;&gt;"",DigitaHONDURAS!$C$17,"")</f>
        <v>43050</v>
      </c>
      <c r="D21" s="42">
        <f>IF(C21="",0,C21*J$19)</f>
        <v>5166</v>
      </c>
      <c r="E21" s="29">
        <f>IF(DigitaHONDURAS!$D$17&lt;&gt;"",DigitaHONDURAS!$D$17,"")</f>
        <v>1200</v>
      </c>
      <c r="F21" s="42">
        <f>IF(E21="",0,E21*PREMIOS!F20)</f>
        <v>102000</v>
      </c>
      <c r="G21" s="30">
        <f t="shared" si="6"/>
        <v>-64116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77</v>
      </c>
      <c r="C22" s="29">
        <f>IF(DigitaHONDURAS!$E$17&lt;&gt;"",DigitaHONDURAS!$E$17,"")</f>
        <v>5300</v>
      </c>
      <c r="D22" s="42">
        <f>IF(C22="",0,C22*J$19)</f>
        <v>636</v>
      </c>
      <c r="E22" s="29">
        <f>IF(DigitaHONDURAS!$F$17&lt;&gt;"",DigitaHONDURAS!$F$17,"")</f>
        <v>100</v>
      </c>
      <c r="F22" s="42">
        <f>IF(E22="",0,E22*PREMIOS!F20)</f>
        <v>8500</v>
      </c>
      <c r="G22" s="30">
        <f t="shared" si="6"/>
        <v>-3836</v>
      </c>
    </row>
    <row r="23" spans="1:11" x14ac:dyDescent="0.35">
      <c r="A23" s="28" t="s">
        <v>101</v>
      </c>
      <c r="B23" s="133">
        <f>IF(DigitaHONDURAS!G2&lt;&gt;"",DigitaHONDURAS!G2,"")</f>
        <v>57</v>
      </c>
      <c r="C23" s="29">
        <f>IF(DigitaHONDURAS!$G$17&lt;&gt;"",DigitaHONDURAS!$G$17,"")</f>
        <v>35800</v>
      </c>
      <c r="D23" s="42">
        <f>IF(C23="",0,C23*J$19)</f>
        <v>4296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31504</v>
      </c>
    </row>
    <row r="24" spans="1:11" x14ac:dyDescent="0.35">
      <c r="A24" s="28" t="s">
        <v>102</v>
      </c>
      <c r="B24" s="133">
        <f>IF(DigitaDOMINICANA!C2&lt;&gt;"",DigitaDOMINICANA!C2,"")</f>
        <v>66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86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55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1284500</v>
      </c>
      <c r="D27" s="68">
        <f t="shared" ref="D27:G27" si="7">SUM(D5:D26)</f>
        <v>151597</v>
      </c>
      <c r="E27" s="68">
        <f t="shared" si="7"/>
        <v>7700</v>
      </c>
      <c r="F27" s="68">
        <f t="shared" si="7"/>
        <v>658000</v>
      </c>
      <c r="G27" s="89">
        <f t="shared" si="7"/>
        <v>474903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139800</v>
      </c>
      <c r="K4" s="233">
        <f t="shared" ref="K4" si="0">D7+D11+D15</f>
        <v>16776</v>
      </c>
      <c r="L4" s="222">
        <f>F7+F11+F15</f>
        <v>97750</v>
      </c>
    </row>
    <row r="5" spans="1:12" x14ac:dyDescent="0.35">
      <c r="A5" s="28" t="str">
        <f>+Vendedor1!A5</f>
        <v>Nica 11am</v>
      </c>
      <c r="B5" s="133">
        <f>IF(DigitaNICA!C2&lt;&gt;"",DigitaNICA!C2,"")</f>
        <v>93</v>
      </c>
      <c r="C5" s="29">
        <f>IF(DigitaNICA!C18&lt;&gt;"",DigitaNICA!C18,"")</f>
        <v>42800</v>
      </c>
      <c r="D5" s="42">
        <f>IF(C5="",0,C5*J$16)</f>
        <v>5136</v>
      </c>
      <c r="E5" s="29">
        <f>IF(DigitaNICA!D18&lt;&gt;"",DigitaNICA!D18,"")</f>
        <v>150</v>
      </c>
      <c r="F5" s="42">
        <f>IF(E5="",0,E5*PREMIOS!F5)</f>
        <v>12750</v>
      </c>
      <c r="G5" s="30">
        <f t="shared" ref="G5:G12" si="1">IF(OR(C5="",E5=""),0,C5-D5-F5)</f>
        <v>24914</v>
      </c>
      <c r="I5" s="219" t="s">
        <v>37</v>
      </c>
      <c r="J5" s="223">
        <f>SUM(IF(C5="",0,C5),IF(C9="",0,C9),IF(C13="",0,C13),IF(C17="",0,C17))</f>
        <v>135650</v>
      </c>
      <c r="K5" s="227">
        <f t="shared" ref="K5" si="2">D5+D9+D13+D17</f>
        <v>16278</v>
      </c>
      <c r="L5" s="224">
        <f>F5+F9+F13+F17</f>
        <v>25500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59100</v>
      </c>
      <c r="K6" s="228">
        <f t="shared" ref="K6" si="3">+D8+D12+D16</f>
        <v>5910</v>
      </c>
      <c r="L6" s="229">
        <f>+F8+F12+F16</f>
        <v>80000</v>
      </c>
    </row>
    <row r="7" spans="1:12" x14ac:dyDescent="0.35">
      <c r="A7" s="28" t="str">
        <f>+Vendedor1!A7</f>
        <v>Tica 1pm</v>
      </c>
      <c r="B7" s="133">
        <f>IF(DigitaTICA!C2&lt;&gt;"",DigitaTICA!C2,"")</f>
        <v>29</v>
      </c>
      <c r="C7" s="29">
        <f>IF(DigitaTICA!C18&lt;&gt;"",DigitaTICA!C18,"")</f>
        <v>51050</v>
      </c>
      <c r="D7" s="42">
        <f>IF(C7="",0,C7*J$15)</f>
        <v>6126</v>
      </c>
      <c r="E7" s="29">
        <f>IF(DigitaTICA!D18&lt;&gt;"",DigitaTICA!D18,"")</f>
        <v>400</v>
      </c>
      <c r="F7" s="42">
        <f>IF(E7="",0,E7*PREMIOS!F7)</f>
        <v>34000</v>
      </c>
      <c r="G7" s="30">
        <f t="shared" si="1"/>
        <v>10924</v>
      </c>
      <c r="I7" s="219" t="s">
        <v>96</v>
      </c>
      <c r="J7" s="225">
        <f>SUM(IF(C19="",0,C19),IF(C20="",0,C20))</f>
        <v>103950</v>
      </c>
      <c r="K7" s="228">
        <f>+D19+D20</f>
        <v>12474</v>
      </c>
      <c r="L7" s="229">
        <f>+F19+F20</f>
        <v>89250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21500</v>
      </c>
      <c r="D8" s="42">
        <f>IF(C8="",0,C8*J$17)</f>
        <v>2150</v>
      </c>
      <c r="E8" s="29">
        <f>IF(DigitaREVENTADO!D18&lt;&gt;"",DigitaREVENTADO!D18,"")</f>
        <v>400</v>
      </c>
      <c r="F8" s="42">
        <f>IF(E8="",0,E8*PREMIOS!F8)</f>
        <v>80000</v>
      </c>
      <c r="G8" s="30">
        <f t="shared" si="1"/>
        <v>-60650</v>
      </c>
      <c r="I8" s="219" t="s">
        <v>104</v>
      </c>
      <c r="J8" s="225">
        <f>SUM(IF(C21="",0,C21),IF(C22="",0,C22),IF(C23="",0,C23))</f>
        <v>23700</v>
      </c>
      <c r="K8" s="228">
        <f t="shared" ref="K8" si="4">D21+D22+D23</f>
        <v>2844</v>
      </c>
      <c r="L8" s="229">
        <f>F21+F22+F23</f>
        <v>12750</v>
      </c>
    </row>
    <row r="9" spans="1:12" x14ac:dyDescent="0.35">
      <c r="A9" s="28" t="str">
        <f>+Vendedor1!A9</f>
        <v>Nica 3pm</v>
      </c>
      <c r="B9" s="133">
        <f>IF(DigitaNICA!E2&lt;&gt;"",DigitaNICA!E2,"")</f>
        <v>76</v>
      </c>
      <c r="C9" s="29">
        <f>IF(DigitaNICA!E18&lt;&gt;"",DigitaNICA!E18,"")</f>
        <v>45700</v>
      </c>
      <c r="D9" s="42">
        <f>IF(C9="",0,C9*J$16)</f>
        <v>5484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40216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86</v>
      </c>
      <c r="C11" s="29">
        <f>IF(DigitaTICA!E18&lt;&gt;"",DigitaTICA!E18,"")</f>
        <v>41550</v>
      </c>
      <c r="D11" s="42">
        <f>IF(C11="",0,C11*J$15)</f>
        <v>4986</v>
      </c>
      <c r="E11" s="29">
        <f>IF(DigitaTICA!F18&lt;&gt;"",DigitaTICA!F18,"")</f>
        <v>150</v>
      </c>
      <c r="F11" s="42">
        <f>IF(E11="",0,E11*PREMIOS!F11)</f>
        <v>12750</v>
      </c>
      <c r="G11" s="30">
        <f t="shared" si="1"/>
        <v>23814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20500</v>
      </c>
      <c r="D12" s="42">
        <f>IF(C12="",0,C12*J$17)</f>
        <v>2050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18450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71</v>
      </c>
      <c r="C13" s="29">
        <f>IF(DigitaNICA!G18&lt;&gt;"",DigitaNICA!G18,"")</f>
        <v>28600</v>
      </c>
      <c r="D13" s="42">
        <f>IF(C13="",0,C13*J$16)</f>
        <v>3432</v>
      </c>
      <c r="E13" s="29">
        <f>IF(DigitaNICA!H18&lt;&gt;"",DigitaNICA!H18,"")</f>
        <v>150</v>
      </c>
      <c r="F13" s="42">
        <f>IF(E13="",0,E13*PREMIOS!F13)</f>
        <v>12750</v>
      </c>
      <c r="G13" s="30">
        <f>IF(OR(C13="",E13=""),0,C13-D13-F13)</f>
        <v>12418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15</v>
      </c>
      <c r="C15" s="29">
        <f>IF(DigitaTICA!G18&lt;&gt;"",DigitaTICA!G18,"")</f>
        <v>47200</v>
      </c>
      <c r="D15" s="42">
        <f>IF(C15="",0,C15*J$15)</f>
        <v>5664</v>
      </c>
      <c r="E15" s="29">
        <f>IF(DigitaTICA!H18&lt;&gt;"",DigitaTICA!H18,"")</f>
        <v>600</v>
      </c>
      <c r="F15" s="42">
        <f>IF(E15="",0,E15*PREMIOS!F15)</f>
        <v>51000</v>
      </c>
      <c r="G15" s="30">
        <f t="shared" si="6"/>
        <v>-9464</v>
      </c>
      <c r="I15" s="77" t="s">
        <v>36</v>
      </c>
      <c r="J15" s="78">
        <v>0.12</v>
      </c>
      <c r="K15" s="79">
        <f>MROUND(D7+D11+D15,50)</f>
        <v>16800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17100</v>
      </c>
      <c r="D16" s="42">
        <f>IF(C16="",0,C16*J$17)</f>
        <v>1710</v>
      </c>
      <c r="E16" s="29">
        <f>IF(DigitaREVENTADO!H18&lt;&gt;"",DigitaREVENTADO!H18,"")</f>
        <v>300</v>
      </c>
      <c r="F16" s="42">
        <f>IF(E16="",0,E16*PREMIOS!F16)</f>
        <v>0</v>
      </c>
      <c r="G16" s="30">
        <f t="shared" si="6"/>
        <v>15390</v>
      </c>
      <c r="I16" s="63" t="s">
        <v>37</v>
      </c>
      <c r="J16" s="64">
        <v>0.12</v>
      </c>
      <c r="K16" s="30">
        <f>MROUND(D5+D9+D13+D17,50)</f>
        <v>16300</v>
      </c>
    </row>
    <row r="17" spans="1:11" x14ac:dyDescent="0.35">
      <c r="A17" s="28" t="str">
        <f>+Vendedor1!A17</f>
        <v>Nica 9pm</v>
      </c>
      <c r="B17" s="133">
        <f>IF(DigitaNICA!I2&lt;&gt;"",DigitaNICA!I2,"")</f>
        <v>39</v>
      </c>
      <c r="C17" s="29">
        <f>IF(DigitaNICA!I18&lt;&gt;"",DigitaNICA!I18,"")</f>
        <v>18550</v>
      </c>
      <c r="D17" s="42">
        <f>IF(C17="",0,C17*J$16)</f>
        <v>2226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16324</v>
      </c>
      <c r="I17" s="63" t="s">
        <v>38</v>
      </c>
      <c r="J17" s="64">
        <v>0.1</v>
      </c>
      <c r="K17" s="30">
        <f>MROUND(D6+D8+D10+D12+D14+D16+D18,50)</f>
        <v>5900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12450</v>
      </c>
    </row>
    <row r="19" spans="1:11" x14ac:dyDescent="0.35">
      <c r="A19" s="28" t="s">
        <v>97</v>
      </c>
      <c r="B19" s="133">
        <f>IF(DigitaPRIMERA!C2&lt;&gt;"",DigitaPRIMERA!C2,"")</f>
        <v>50</v>
      </c>
      <c r="C19" s="29">
        <f>IF(DigitaPRIMERA!$C$18&lt;&gt;"",DigitaPRIMERA!$C$18,"")</f>
        <v>54550</v>
      </c>
      <c r="D19" s="42">
        <f>IF(C19="",0,C19*J$18)</f>
        <v>6546</v>
      </c>
      <c r="E19" s="29">
        <f>IF(DigitaPRIMERA!$D$18&lt;&gt;"",DigitaPRIMERA!$D$18,"")</f>
        <v>800</v>
      </c>
      <c r="F19" s="42">
        <f>IF(E19="",0,E19*PREMIOS!F19)</f>
        <v>68000</v>
      </c>
      <c r="G19" s="30">
        <f t="shared" si="6"/>
        <v>-19996</v>
      </c>
      <c r="I19" s="63" t="s">
        <v>104</v>
      </c>
      <c r="J19" s="64">
        <v>0.12</v>
      </c>
      <c r="K19" s="30">
        <f>MROUND(D21+D22+D23,50)</f>
        <v>2850</v>
      </c>
    </row>
    <row r="20" spans="1:11" x14ac:dyDescent="0.35">
      <c r="A20" s="28" t="s">
        <v>98</v>
      </c>
      <c r="B20" s="133">
        <f>IF(DigitaPRIMERA!E2&lt;&gt;"",DigitaPRIMERA!E2,"")</f>
        <v>45</v>
      </c>
      <c r="C20" s="29">
        <f>IF(DigitaPRIMERA!$E$18&lt;&gt;"",DigitaPRIMERA!$E$18,"")</f>
        <v>49400</v>
      </c>
      <c r="D20" s="42">
        <f>IF(C20="",0,C20*J$18)</f>
        <v>5928</v>
      </c>
      <c r="E20" s="29">
        <f>IF(DigitaPRIMERA!$F$18&lt;&gt;"",DigitaPRIMERA!$F$18,"")</f>
        <v>250</v>
      </c>
      <c r="F20" s="42">
        <f>IF(E20="",0,E20*PREMIOS!F19)</f>
        <v>21250</v>
      </c>
      <c r="G20" s="30">
        <f t="shared" si="6"/>
        <v>22222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20</v>
      </c>
      <c r="C21" s="29">
        <f>IF(DigitaHONDURAS!$C$18&lt;&gt;"",DigitaHONDURAS!$C$18,"")</f>
        <v>12650</v>
      </c>
      <c r="D21" s="42">
        <f>IF(C21="",0,C21*J$19)</f>
        <v>1518</v>
      </c>
      <c r="E21" s="29">
        <f>IF(DigitaHONDURAS!$D$18&lt;&gt;"",DigitaHONDURAS!$D$18,"")</f>
        <v>100</v>
      </c>
      <c r="F21" s="42">
        <f>IF(E21="",0,E21*PREMIOS!F20)</f>
        <v>8500</v>
      </c>
      <c r="G21" s="30">
        <f t="shared" si="6"/>
        <v>2632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77</v>
      </c>
      <c r="C22" s="29">
        <f>IF(DigitaHONDURAS!$E$18&lt;&gt;"",DigitaHONDURAS!$E$18,"")</f>
        <v>6700</v>
      </c>
      <c r="D22" s="42">
        <f>IF(C22="",0,C22*J$19)</f>
        <v>804</v>
      </c>
      <c r="E22" s="29">
        <f>IF(DigitaHONDURAS!$F$18&lt;&gt;"",DigitaHONDURAS!$F$18,"")</f>
        <v>50</v>
      </c>
      <c r="F22" s="42">
        <f>IF(E22="",0,E22*PREMIOS!F20)</f>
        <v>4250</v>
      </c>
      <c r="G22" s="30">
        <f t="shared" si="6"/>
        <v>1646</v>
      </c>
    </row>
    <row r="23" spans="1:11" x14ac:dyDescent="0.35">
      <c r="A23" s="28" t="s">
        <v>101</v>
      </c>
      <c r="B23" s="133">
        <f>IF(DigitaHONDURAS!G2&lt;&gt;"",DigitaHONDURAS!G2,"")</f>
        <v>57</v>
      </c>
      <c r="C23" s="29">
        <f>IF(DigitaHONDURAS!$G$18&lt;&gt;"",DigitaHONDURAS!$G$18,"")</f>
        <v>4350</v>
      </c>
      <c r="D23" s="42">
        <f>IF(C23="",0,C23*J$19)</f>
        <v>522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3828</v>
      </c>
    </row>
    <row r="24" spans="1:11" x14ac:dyDescent="0.35">
      <c r="A24" s="28" t="s">
        <v>102</v>
      </c>
      <c r="B24" s="133">
        <f>IF(DigitaDOMINICANA!C2&lt;&gt;"",DigitaDOMINICANA!C2,"")</f>
        <v>66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86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55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462200</v>
      </c>
      <c r="D27" s="68">
        <f t="shared" ref="D27:G27" si="7">SUM(D5:D26)</f>
        <v>54282</v>
      </c>
      <c r="E27" s="68">
        <f t="shared" si="7"/>
        <v>3350</v>
      </c>
      <c r="F27" s="68">
        <f t="shared" si="7"/>
        <v>305250</v>
      </c>
      <c r="G27" s="89">
        <f t="shared" si="7"/>
        <v>102668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93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29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76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86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71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15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39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93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29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76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86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71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15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29</v>
      </c>
      <c r="D2" s="269"/>
      <c r="E2" s="268">
        <f>IF(PREMIOS!$B11="","",PREMIOS!$B11)</f>
        <v>86</v>
      </c>
      <c r="F2" s="269"/>
      <c r="G2" s="268">
        <f>IF(PREMIOS!$B15="","",PREMIOS!$B15)</f>
        <v>15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55850</v>
      </c>
      <c r="D4" s="79">
        <v>250</v>
      </c>
      <c r="E4" s="190">
        <v>38200</v>
      </c>
      <c r="F4" s="79">
        <f t="shared" ref="D4:H27" si="0">IF(E4="","",0)</f>
        <v>0</v>
      </c>
      <c r="G4" s="190">
        <v>65600</v>
      </c>
      <c r="H4" s="79">
        <v>650</v>
      </c>
      <c r="J4" s="42">
        <f t="shared" ref="J4:J8" si="1">+C4+E4+G4</f>
        <v>159650</v>
      </c>
      <c r="K4" s="42">
        <f>IF(D4="",0,IF(F4="",D4,IF(H4="",D4+F4,D4+F4+H4)))</f>
        <v>900</v>
      </c>
    </row>
    <row r="5" spans="1:11" x14ac:dyDescent="0.35">
      <c r="A5" s="47">
        <v>2</v>
      </c>
      <c r="B5" s="179" t="str">
        <f>Vendedor2!$B$2</f>
        <v>PUESTO 2</v>
      </c>
      <c r="C5" s="181">
        <v>52200</v>
      </c>
      <c r="D5" s="30">
        <v>2000</v>
      </c>
      <c r="E5" s="181">
        <v>30050</v>
      </c>
      <c r="F5" s="30">
        <f t="shared" si="0"/>
        <v>0</v>
      </c>
      <c r="G5" s="181">
        <v>63450</v>
      </c>
      <c r="H5" s="30">
        <v>500</v>
      </c>
      <c r="J5" s="42">
        <f t="shared" si="1"/>
        <v>145700</v>
      </c>
      <c r="K5" s="42">
        <f t="shared" ref="K5:K27" si="2">IF(D5="",0,IF(F5="",D5,IF(H5="",D5+F5,D5+F5+H5)))</f>
        <v>2500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/>
      <c r="D8" s="30" t="str">
        <f t="shared" si="0"/>
        <v/>
      </c>
      <c r="E8" s="181"/>
      <c r="F8" s="30" t="str">
        <f t="shared" si="0"/>
        <v/>
      </c>
      <c r="G8" s="181"/>
      <c r="H8" s="30" t="str">
        <f t="shared" si="0"/>
        <v/>
      </c>
      <c r="J8" s="42">
        <f t="shared" si="1"/>
        <v>0</v>
      </c>
      <c r="K8" s="42">
        <f t="shared" si="2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46750+108250</f>
        <v>155000</v>
      </c>
      <c r="D10" s="30">
        <f>1100+4850</f>
        <v>5950</v>
      </c>
      <c r="E10" s="181">
        <v>165350</v>
      </c>
      <c r="F10" s="30">
        <f t="shared" si="0"/>
        <v>0</v>
      </c>
      <c r="G10" s="181">
        <v>182750</v>
      </c>
      <c r="H10" s="30">
        <v>2700</v>
      </c>
      <c r="J10" s="42">
        <f t="shared" si="3"/>
        <v>503100</v>
      </c>
      <c r="K10" s="42">
        <f t="shared" si="2"/>
        <v>8650</v>
      </c>
    </row>
    <row r="11" spans="1:11" x14ac:dyDescent="0.35">
      <c r="A11" s="47">
        <v>8</v>
      </c>
      <c r="B11" s="179" t="str">
        <f>Vendedor8!$B$2</f>
        <v>ISA</v>
      </c>
      <c r="C11" s="181">
        <v>9000</v>
      </c>
      <c r="D11" s="30">
        <f t="shared" si="0"/>
        <v>0</v>
      </c>
      <c r="E11" s="181"/>
      <c r="F11" s="30" t="str">
        <f t="shared" si="0"/>
        <v/>
      </c>
      <c r="G11" s="181">
        <v>12100</v>
      </c>
      <c r="H11" s="30">
        <f t="shared" si="0"/>
        <v>0</v>
      </c>
      <c r="J11" s="42">
        <f t="shared" si="3"/>
        <v>21100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64200</v>
      </c>
      <c r="D12" s="30">
        <v>300</v>
      </c>
      <c r="E12" s="181">
        <v>36900</v>
      </c>
      <c r="F12" s="30">
        <f t="shared" si="0"/>
        <v>0</v>
      </c>
      <c r="G12" s="181">
        <v>13000</v>
      </c>
      <c r="H12" s="30">
        <f t="shared" si="0"/>
        <v>0</v>
      </c>
      <c r="J12" s="42">
        <f t="shared" si="3"/>
        <v>114100</v>
      </c>
      <c r="K12" s="42">
        <f t="shared" si="2"/>
        <v>300</v>
      </c>
    </row>
    <row r="13" spans="1:11" x14ac:dyDescent="0.35">
      <c r="A13" s="47">
        <v>10</v>
      </c>
      <c r="B13" s="179" t="str">
        <f>Vendedor10!$B$2</f>
        <v>MARIALIZ</v>
      </c>
      <c r="C13" s="181">
        <v>36950</v>
      </c>
      <c r="D13" s="30">
        <v>200</v>
      </c>
      <c r="E13" s="181">
        <v>27850</v>
      </c>
      <c r="F13" s="30">
        <f t="shared" si="0"/>
        <v>0</v>
      </c>
      <c r="G13" s="181">
        <v>52300</v>
      </c>
      <c r="H13" s="30">
        <v>500</v>
      </c>
      <c r="J13" s="42">
        <f t="shared" si="3"/>
        <v>117100</v>
      </c>
      <c r="K13" s="42">
        <f t="shared" si="2"/>
        <v>700</v>
      </c>
    </row>
    <row r="14" spans="1:11" x14ac:dyDescent="0.35">
      <c r="A14" s="47">
        <v>11</v>
      </c>
      <c r="B14" s="179" t="str">
        <f>Vendedor11!$B$2</f>
        <v>CHARLY</v>
      </c>
      <c r="C14" s="181">
        <v>41100</v>
      </c>
      <c r="D14" s="30">
        <v>1250</v>
      </c>
      <c r="E14" s="181">
        <v>23600</v>
      </c>
      <c r="F14" s="30">
        <f t="shared" si="0"/>
        <v>0</v>
      </c>
      <c r="G14" s="181">
        <v>40100</v>
      </c>
      <c r="H14" s="30">
        <f t="shared" si="0"/>
        <v>0</v>
      </c>
      <c r="J14" s="42">
        <f t="shared" si="3"/>
        <v>104800</v>
      </c>
      <c r="K14" s="42">
        <f t="shared" si="2"/>
        <v>1250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14350</v>
      </c>
      <c r="D16" s="30">
        <f t="shared" si="0"/>
        <v>0</v>
      </c>
      <c r="E16" s="181">
        <v>21500</v>
      </c>
      <c r="F16" s="30">
        <f t="shared" si="0"/>
        <v>0</v>
      </c>
      <c r="G16" s="181">
        <v>34700</v>
      </c>
      <c r="H16" s="30">
        <f t="shared" si="0"/>
        <v>0</v>
      </c>
      <c r="J16" s="42">
        <f t="shared" si="3"/>
        <v>70550</v>
      </c>
      <c r="K16" s="42">
        <f t="shared" si="2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104800+58600</f>
        <v>163400</v>
      </c>
      <c r="D17" s="30">
        <f>100+500</f>
        <v>600</v>
      </c>
      <c r="E17" s="181">
        <f>87000+48700</f>
        <v>135700</v>
      </c>
      <c r="F17" s="30">
        <f t="shared" si="0"/>
        <v>0</v>
      </c>
      <c r="G17" s="181">
        <f>144550+38050</f>
        <v>182600</v>
      </c>
      <c r="H17" s="30">
        <f>1750+500</f>
        <v>2250</v>
      </c>
      <c r="J17" s="42">
        <f t="shared" si="3"/>
        <v>481700</v>
      </c>
      <c r="K17" s="42">
        <f t="shared" si="2"/>
        <v>2850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24050+27000</f>
        <v>51050</v>
      </c>
      <c r="D18" s="30">
        <v>400</v>
      </c>
      <c r="E18" s="181">
        <f>18050+23500</f>
        <v>41550</v>
      </c>
      <c r="F18" s="30">
        <f>150+0</f>
        <v>150</v>
      </c>
      <c r="G18" s="181">
        <f>29100+18100</f>
        <v>47200</v>
      </c>
      <c r="H18" s="30">
        <f>300+300</f>
        <v>600</v>
      </c>
      <c r="J18" s="42">
        <f t="shared" si="3"/>
        <v>139800</v>
      </c>
      <c r="K18" s="42">
        <f t="shared" si="2"/>
        <v>1150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643100</v>
      </c>
      <c r="D32" s="44">
        <f t="shared" si="6"/>
        <v>10950</v>
      </c>
      <c r="E32" s="43">
        <f t="shared" si="6"/>
        <v>520700</v>
      </c>
      <c r="F32" s="44">
        <f t="shared" si="6"/>
        <v>150</v>
      </c>
      <c r="G32" s="43">
        <f t="shared" si="6"/>
        <v>693800</v>
      </c>
      <c r="H32" s="44">
        <f t="shared" si="6"/>
        <v>7200</v>
      </c>
      <c r="J32" s="96">
        <f>SUM(J4:J31)</f>
        <v>1857600</v>
      </c>
      <c r="K32" s="96"/>
    </row>
    <row r="33" spans="2:8" x14ac:dyDescent="0.35">
      <c r="D33" s="100">
        <f>+D32*85</f>
        <v>930750</v>
      </c>
      <c r="F33" s="100">
        <f>+F32*85</f>
        <v>12750</v>
      </c>
      <c r="H33" s="100">
        <f>+H32*85</f>
        <v>612000</v>
      </c>
    </row>
    <row r="34" spans="2:8" x14ac:dyDescent="0.35">
      <c r="B34" s="249" t="s">
        <v>149</v>
      </c>
      <c r="C34" s="43">
        <f t="shared" ref="C34:H34" si="7">+C4+C5+C6+C8+C13</f>
        <v>145000</v>
      </c>
      <c r="D34" s="43" t="e">
        <f t="shared" si="7"/>
        <v>#VALUE!</v>
      </c>
      <c r="E34" s="43">
        <f t="shared" si="7"/>
        <v>96100</v>
      </c>
      <c r="F34" s="43" t="e">
        <f t="shared" si="7"/>
        <v>#VALUE!</v>
      </c>
      <c r="G34" s="43">
        <f t="shared" si="7"/>
        <v>181350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264550</v>
      </c>
      <c r="D35" s="43" t="e">
        <f t="shared" ref="D35:H35" si="8">+D11+D14+D15+D17+D18</f>
        <v>#VALUE!</v>
      </c>
      <c r="E35" s="43">
        <f t="shared" si="8"/>
        <v>200850</v>
      </c>
      <c r="F35" s="43" t="e">
        <f t="shared" si="8"/>
        <v>#VALUE!</v>
      </c>
      <c r="G35" s="43">
        <f t="shared" si="8"/>
        <v>282000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219200</v>
      </c>
      <c r="D36" s="43" t="e">
        <f t="shared" ref="D36:H36" si="9">+D10+D12+D27</f>
        <v>#VALUE!</v>
      </c>
      <c r="E36" s="43">
        <f t="shared" si="9"/>
        <v>202250</v>
      </c>
      <c r="F36" s="43" t="e">
        <f t="shared" si="9"/>
        <v>#VALUE!</v>
      </c>
      <c r="G36" s="43">
        <f t="shared" si="9"/>
        <v>195750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93</v>
      </c>
      <c r="D2" s="269"/>
      <c r="E2" s="268">
        <f>IF(PREMIOS!$B9="","",PREMIOS!$B9)</f>
        <v>76</v>
      </c>
      <c r="F2" s="269"/>
      <c r="G2" s="268">
        <f>IF(PREMIOS!$B13="","",PREMIOS!$B13)</f>
        <v>71</v>
      </c>
      <c r="H2" s="269"/>
      <c r="I2" s="268">
        <f>IF(PREMIOS!$B17="","",PREMIOS!$B17)</f>
        <v>39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21650</v>
      </c>
      <c r="D4" s="79">
        <f t="shared" ref="D4:J27" si="0">IF(C4="","",0)</f>
        <v>0</v>
      </c>
      <c r="E4" s="207">
        <v>15900</v>
      </c>
      <c r="F4" s="79">
        <f t="shared" si="0"/>
        <v>0</v>
      </c>
      <c r="G4" s="190">
        <v>11350</v>
      </c>
      <c r="H4" s="79">
        <f t="shared" ref="H4:H27" si="1">IF(G4="","",0)</f>
        <v>0</v>
      </c>
      <c r="I4" s="190">
        <v>4800</v>
      </c>
      <c r="J4" s="79">
        <f t="shared" si="0"/>
        <v>0</v>
      </c>
      <c r="L4" s="42">
        <f t="shared" ref="L4:L8" si="2">+C4+E4+G4+I4</f>
        <v>53700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16550</v>
      </c>
      <c r="D5" s="30">
        <f t="shared" si="0"/>
        <v>0</v>
      </c>
      <c r="E5" s="208">
        <v>21300</v>
      </c>
      <c r="F5" s="30">
        <f t="shared" si="0"/>
        <v>0</v>
      </c>
      <c r="G5" s="181">
        <v>1800</v>
      </c>
      <c r="H5" s="30">
        <f t="shared" si="1"/>
        <v>0</v>
      </c>
      <c r="I5" s="181">
        <v>2800</v>
      </c>
      <c r="J5" s="30">
        <f t="shared" ref="J5:J27" si="3">IF(I5="","",0)</f>
        <v>0</v>
      </c>
      <c r="L5" s="42">
        <f t="shared" si="2"/>
        <v>42450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/>
      <c r="D8" s="30" t="str">
        <f t="shared" si="0"/>
        <v/>
      </c>
      <c r="E8" s="208"/>
      <c r="F8" s="30" t="str">
        <f t="shared" si="0"/>
        <v/>
      </c>
      <c r="G8" s="181"/>
      <c r="H8" s="30" t="str">
        <f t="shared" si="1"/>
        <v/>
      </c>
      <c r="I8" s="181"/>
      <c r="J8" s="30" t="str">
        <f t="shared" si="0"/>
        <v/>
      </c>
      <c r="L8" s="42">
        <f t="shared" si="2"/>
        <v>0</v>
      </c>
      <c r="M8" s="42" t="str">
        <f t="shared" si="4"/>
        <v/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43750+88050</f>
        <v>131800</v>
      </c>
      <c r="D10" s="30">
        <f>150+0</f>
        <v>150</v>
      </c>
      <c r="E10" s="208">
        <f>25650+85550</f>
        <v>111200</v>
      </c>
      <c r="F10" s="30">
        <v>1000</v>
      </c>
      <c r="G10" s="181">
        <v>107450</v>
      </c>
      <c r="H10" s="30">
        <f t="shared" si="0"/>
        <v>0</v>
      </c>
      <c r="I10" s="181">
        <v>134200</v>
      </c>
      <c r="J10" s="30">
        <v>400</v>
      </c>
      <c r="L10" s="42">
        <f t="shared" si="5"/>
        <v>484650</v>
      </c>
      <c r="M10" s="42">
        <f t="shared" si="4"/>
        <v>1550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70100</v>
      </c>
      <c r="D12" s="30">
        <v>300</v>
      </c>
      <c r="E12" s="208">
        <v>40750</v>
      </c>
      <c r="F12" s="30">
        <v>250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110850</v>
      </c>
      <c r="M12" s="42">
        <f t="shared" si="4"/>
        <v>550</v>
      </c>
    </row>
    <row r="13" spans="1:13" x14ac:dyDescent="0.35">
      <c r="A13" s="47">
        <v>10</v>
      </c>
      <c r="B13" s="179" t="str">
        <f>Vendedor10!$B$2</f>
        <v>MARIALIZ</v>
      </c>
      <c r="C13" s="181">
        <v>39250</v>
      </c>
      <c r="D13" s="30">
        <f t="shared" si="0"/>
        <v>0</v>
      </c>
      <c r="E13" s="208">
        <v>20550</v>
      </c>
      <c r="F13" s="30">
        <f t="shared" si="0"/>
        <v>0</v>
      </c>
      <c r="G13" s="181">
        <v>16650</v>
      </c>
      <c r="H13" s="30">
        <f t="shared" si="0"/>
        <v>0</v>
      </c>
      <c r="I13" s="181">
        <v>1900</v>
      </c>
      <c r="J13" s="30">
        <f t="shared" si="0"/>
        <v>0</v>
      </c>
      <c r="L13" s="42">
        <f t="shared" si="5"/>
        <v>78350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2350</v>
      </c>
      <c r="D16" s="30">
        <f t="shared" si="0"/>
        <v>0</v>
      </c>
      <c r="E16" s="208">
        <v>10000</v>
      </c>
      <c r="F16" s="30">
        <f t="shared" si="0"/>
        <v>0</v>
      </c>
      <c r="G16" s="181"/>
      <c r="H16" s="30" t="str">
        <f t="shared" si="0"/>
        <v/>
      </c>
      <c r="I16" s="181">
        <v>18800</v>
      </c>
      <c r="J16" s="30">
        <f t="shared" si="0"/>
        <v>0</v>
      </c>
      <c r="L16" s="42">
        <f t="shared" si="5"/>
        <v>31150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137250</v>
      </c>
      <c r="D17" s="30">
        <v>100</v>
      </c>
      <c r="E17" s="208">
        <v>77100</v>
      </c>
      <c r="F17" s="30">
        <f t="shared" si="0"/>
        <v>0</v>
      </c>
      <c r="G17" s="181">
        <v>89750</v>
      </c>
      <c r="H17" s="30">
        <v>1000</v>
      </c>
      <c r="I17" s="181">
        <v>162700</v>
      </c>
      <c r="J17" s="30">
        <v>200</v>
      </c>
      <c r="L17" s="42">
        <f t="shared" si="5"/>
        <v>466800</v>
      </c>
      <c r="M17" s="42">
        <f t="shared" si="4"/>
        <v>1300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42800</v>
      </c>
      <c r="D18" s="30">
        <v>150</v>
      </c>
      <c r="E18" s="208">
        <v>45700</v>
      </c>
      <c r="F18" s="30">
        <f t="shared" si="0"/>
        <v>0</v>
      </c>
      <c r="G18" s="181">
        <v>28600</v>
      </c>
      <c r="H18" s="30">
        <v>150</v>
      </c>
      <c r="I18" s="181">
        <v>18550</v>
      </c>
      <c r="J18" s="30">
        <f t="shared" si="3"/>
        <v>0</v>
      </c>
      <c r="L18" s="42">
        <f t="shared" si="5"/>
        <v>135650</v>
      </c>
      <c r="M18" s="42">
        <f t="shared" si="4"/>
        <v>300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461750</v>
      </c>
      <c r="D32" s="44">
        <f t="shared" si="7"/>
        <v>700</v>
      </c>
      <c r="E32" s="43">
        <f t="shared" si="7"/>
        <v>342500</v>
      </c>
      <c r="F32" s="44">
        <f t="shared" si="7"/>
        <v>1250</v>
      </c>
      <c r="G32" s="43">
        <f t="shared" si="7"/>
        <v>255600</v>
      </c>
      <c r="H32" s="44">
        <f t="shared" si="7"/>
        <v>1150</v>
      </c>
      <c r="I32" s="43">
        <f t="shared" si="7"/>
        <v>343750</v>
      </c>
      <c r="J32" s="44">
        <f t="shared" si="7"/>
        <v>600</v>
      </c>
      <c r="L32" s="96">
        <f>SUM(L9:L31)</f>
        <v>1307450</v>
      </c>
      <c r="M32" s="96">
        <f>SUM(M9:M31)</f>
        <v>3700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29 Roja</v>
      </c>
      <c r="D2" s="269"/>
      <c r="E2" s="268" t="str">
        <f>IF(E33=0,"",CONCATENATE(PREMIOS!$B11," ",PREMIOS!$B12))</f>
        <v>86 Blanca</v>
      </c>
      <c r="F2" s="269"/>
      <c r="G2" s="268" t="str">
        <f>IF(G33=0,"",CONCATENATE(PREMIOS!$B15," ",PREMIOS!$B16))</f>
        <v>15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16500+6650</f>
        <v>23150</v>
      </c>
      <c r="D10" s="30">
        <f>1000+250</f>
        <v>1250</v>
      </c>
      <c r="E10" s="181">
        <v>16900</v>
      </c>
      <c r="F10" s="30">
        <f t="shared" si="0"/>
        <v>0</v>
      </c>
      <c r="G10" s="181">
        <v>23200</v>
      </c>
      <c r="H10" s="30">
        <f t="shared" si="0"/>
        <v>0</v>
      </c>
      <c r="J10" s="42">
        <f t="shared" si="3"/>
        <v>63250</v>
      </c>
      <c r="K10" s="42">
        <f t="shared" si="4"/>
        <v>1250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1200</v>
      </c>
      <c r="D12" s="30">
        <f t="shared" si="0"/>
        <v>0</v>
      </c>
      <c r="E12" s="181"/>
      <c r="F12" s="30" t="str">
        <f t="shared" si="1"/>
        <v/>
      </c>
      <c r="G12" s="181"/>
      <c r="H12" s="30" t="str">
        <f t="shared" si="0"/>
        <v/>
      </c>
      <c r="J12" s="42">
        <f t="shared" si="3"/>
        <v>1200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1000</v>
      </c>
      <c r="D16" s="196">
        <f t="shared" si="0"/>
        <v>0</v>
      </c>
      <c r="E16" s="195">
        <v>1000</v>
      </c>
      <c r="F16" s="196">
        <f t="shared" si="1"/>
        <v>0</v>
      </c>
      <c r="G16" s="195">
        <v>2000</v>
      </c>
      <c r="H16" s="196">
        <f t="shared" si="0"/>
        <v>0</v>
      </c>
      <c r="J16" s="42">
        <f t="shared" si="3"/>
        <v>4000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49700</v>
      </c>
      <c r="D17" s="30">
        <v>400</v>
      </c>
      <c r="E17" s="181">
        <v>43900</v>
      </c>
      <c r="F17" s="30">
        <f t="shared" si="0"/>
        <v>0</v>
      </c>
      <c r="G17" s="181">
        <v>33550</v>
      </c>
      <c r="H17" s="30">
        <v>500</v>
      </c>
      <c r="J17" s="42">
        <f t="shared" si="3"/>
        <v>127150</v>
      </c>
      <c r="K17" s="42">
        <f t="shared" si="4"/>
        <v>900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21500</v>
      </c>
      <c r="D18" s="30">
        <v>400</v>
      </c>
      <c r="E18" s="181">
        <v>20500</v>
      </c>
      <c r="F18" s="30">
        <f t="shared" si="0"/>
        <v>0</v>
      </c>
      <c r="G18" s="181">
        <v>17100</v>
      </c>
      <c r="H18" s="30">
        <v>300</v>
      </c>
      <c r="J18" s="42">
        <f t="shared" si="3"/>
        <v>59100</v>
      </c>
      <c r="K18" s="42">
        <f t="shared" si="4"/>
        <v>700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96550</v>
      </c>
      <c r="D33" s="44">
        <f t="shared" si="7"/>
        <v>2050</v>
      </c>
      <c r="E33" s="43">
        <f t="shared" si="7"/>
        <v>82300</v>
      </c>
      <c r="F33" s="44">
        <f t="shared" si="7"/>
        <v>0</v>
      </c>
      <c r="G33" s="43">
        <f t="shared" si="7"/>
        <v>75850</v>
      </c>
      <c r="H33" s="44">
        <f t="shared" si="7"/>
        <v>800</v>
      </c>
      <c r="J33" s="45">
        <f>SUM(J4:J32)</f>
        <v>254700</v>
      </c>
      <c r="K33" s="96">
        <f>SUM(K4:K32)</f>
        <v>2850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50</v>
      </c>
      <c r="D2" s="269"/>
      <c r="E2" s="268">
        <f>IF(PREMIOS!$C19="","",PREMIOS!$C19)</f>
        <v>45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25300</v>
      </c>
      <c r="D4" s="79">
        <f t="shared" ref="D4:F27" si="0">IF(C4="","",0)</f>
        <v>0</v>
      </c>
      <c r="E4" s="190">
        <v>1300</v>
      </c>
      <c r="F4" s="79">
        <f t="shared" si="0"/>
        <v>0</v>
      </c>
      <c r="H4" s="42">
        <f>+C4+E4</f>
        <v>26600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2800</v>
      </c>
      <c r="D5" s="30">
        <f t="shared" si="0"/>
        <v>0</v>
      </c>
      <c r="E5" s="181">
        <v>3300</v>
      </c>
      <c r="F5" s="30">
        <f t="shared" ref="F5:F27" si="1">IF(E5="","",0)</f>
        <v>0</v>
      </c>
      <c r="H5" s="42">
        <f t="shared" ref="H5:H32" si="2">+C5+E5</f>
        <v>6100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/>
      <c r="D8" s="30" t="str">
        <f t="shared" si="0"/>
        <v/>
      </c>
      <c r="E8" s="195"/>
      <c r="F8" s="196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14100+10350</f>
        <v>24450</v>
      </c>
      <c r="D10" s="30">
        <v>350</v>
      </c>
      <c r="E10" s="181">
        <v>46600</v>
      </c>
      <c r="F10" s="196">
        <v>200</v>
      </c>
      <c r="H10" s="42">
        <f t="shared" si="2"/>
        <v>71050</v>
      </c>
      <c r="I10" s="42">
        <f t="shared" si="3"/>
        <v>550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42750</v>
      </c>
      <c r="D12" s="30">
        <v>1000</v>
      </c>
      <c r="E12" s="195">
        <v>4600</v>
      </c>
      <c r="F12" s="30">
        <f t="shared" si="0"/>
        <v>0</v>
      </c>
      <c r="H12" s="42">
        <f t="shared" si="2"/>
        <v>47350</v>
      </c>
      <c r="I12" s="42">
        <f t="shared" si="3"/>
        <v>1000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97600</v>
      </c>
      <c r="D17" s="196">
        <v>1350</v>
      </c>
      <c r="E17" s="181">
        <v>27100</v>
      </c>
      <c r="F17" s="30">
        <f t="shared" si="0"/>
        <v>0</v>
      </c>
      <c r="H17" s="42">
        <f t="shared" si="2"/>
        <v>124700</v>
      </c>
      <c r="I17" s="42">
        <f t="shared" si="3"/>
        <v>1350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54550</v>
      </c>
      <c r="D18" s="196">
        <v>800</v>
      </c>
      <c r="E18" s="181">
        <v>49400</v>
      </c>
      <c r="F18" s="30">
        <v>250</v>
      </c>
      <c r="H18" s="42">
        <f t="shared" si="2"/>
        <v>103950</v>
      </c>
      <c r="I18" s="42">
        <f t="shared" si="3"/>
        <v>1050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247450</v>
      </c>
      <c r="D33" s="44">
        <f>SUM(D4:D32)</f>
        <v>3500</v>
      </c>
      <c r="E33" s="43">
        <f>SUM(E4:E32)</f>
        <v>132300</v>
      </c>
      <c r="F33" s="44">
        <f>SUM(F4:F32)</f>
        <v>450</v>
      </c>
      <c r="H33" s="96">
        <f>SUM(H4:H32)</f>
        <v>379750</v>
      </c>
      <c r="I33" s="96">
        <f>SUM(I4:I32)</f>
        <v>3950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20</v>
      </c>
      <c r="D2" s="269"/>
      <c r="E2" s="268">
        <f>IF(PREMIOS!$C20="","",PREMIOS!$C20)</f>
        <v>77</v>
      </c>
      <c r="F2" s="269"/>
      <c r="G2" s="268">
        <f>IF(PREMIOS!$D20="","",PREMIOS!$D20)</f>
        <v>57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4500+9200</f>
        <v>13700</v>
      </c>
      <c r="D10" s="196">
        <f t="shared" si="0"/>
        <v>0</v>
      </c>
      <c r="E10" s="181">
        <f>3900+38850</f>
        <v>42750</v>
      </c>
      <c r="F10" s="30">
        <v>500</v>
      </c>
      <c r="G10" s="181">
        <v>13350</v>
      </c>
      <c r="H10" s="196">
        <f t="shared" si="0"/>
        <v>0</v>
      </c>
      <c r="J10" s="42">
        <f t="shared" si="3"/>
        <v>69800</v>
      </c>
      <c r="K10" s="42">
        <f t="shared" si="4"/>
        <v>500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43050</v>
      </c>
      <c r="D17" s="196">
        <v>1200</v>
      </c>
      <c r="E17" s="195">
        <v>5300</v>
      </c>
      <c r="F17" s="196">
        <v>100</v>
      </c>
      <c r="G17" s="195">
        <v>35800</v>
      </c>
      <c r="H17" s="196">
        <f t="shared" si="2"/>
        <v>0</v>
      </c>
      <c r="J17" s="42">
        <f t="shared" si="3"/>
        <v>84150</v>
      </c>
      <c r="K17" s="42">
        <f t="shared" si="4"/>
        <v>1300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12650</v>
      </c>
      <c r="D18" s="196">
        <v>100</v>
      </c>
      <c r="E18" s="181">
        <v>6700</v>
      </c>
      <c r="F18" s="30">
        <v>50</v>
      </c>
      <c r="G18" s="181">
        <v>4350</v>
      </c>
      <c r="H18" s="30">
        <f t="shared" si="2"/>
        <v>0</v>
      </c>
      <c r="J18" s="42">
        <f t="shared" si="3"/>
        <v>23700</v>
      </c>
      <c r="K18" s="42">
        <f t="shared" si="4"/>
        <v>150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69400</v>
      </c>
      <c r="D33" s="44">
        <f t="shared" si="6"/>
        <v>1300</v>
      </c>
      <c r="E33" s="43">
        <f t="shared" si="6"/>
        <v>54750</v>
      </c>
      <c r="F33" s="44">
        <f t="shared" si="6"/>
        <v>650</v>
      </c>
      <c r="G33" s="43">
        <f t="shared" si="6"/>
        <v>53500</v>
      </c>
      <c r="H33" s="44">
        <f t="shared" si="6"/>
        <v>0</v>
      </c>
      <c r="J33" s="45">
        <f>SUM(J4:J32)</f>
        <v>177650</v>
      </c>
      <c r="K33" s="96">
        <f>SUM(K4:K32)</f>
        <v>1950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66</v>
      </c>
      <c r="D2" s="269"/>
      <c r="E2" s="268">
        <f>IF(PREMIOS!$C21="","",PREMIOS!$C21)</f>
        <v>86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58250</v>
      </c>
      <c r="D10" s="30">
        <v>750</v>
      </c>
      <c r="E10" s="181">
        <v>62250</v>
      </c>
      <c r="F10" s="30">
        <f t="shared" si="0"/>
        <v>0</v>
      </c>
      <c r="H10" s="42">
        <f t="shared" si="2"/>
        <v>120500</v>
      </c>
      <c r="I10" s="42">
        <f t="shared" si="3"/>
        <v>750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58250</v>
      </c>
      <c r="D33" s="44">
        <f>SUM(D4:D32)</f>
        <v>750</v>
      </c>
      <c r="E33" s="43">
        <f>SUM(E4:E32)</f>
        <v>62250</v>
      </c>
      <c r="F33" s="44">
        <f>SUM(F4:F32)</f>
        <v>0</v>
      </c>
      <c r="H33" s="45">
        <f>SUM(H4:H32)</f>
        <v>120500</v>
      </c>
      <c r="I33" s="96">
        <f>SUM(I4:I32)</f>
        <v>750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>
        <f>IF(PREMIOS!$B22="","",PREMIOS!$B22)</f>
        <v>55</v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2026-03-27T16:00:59Z</dcterms:modified>
  <dc:language>es-CR</dc:language>
</cp:coreProperties>
</file>
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B3ED8DF0-B9E0-4AEE-9859-83766240C1F4}" xr6:coauthVersionLast="47" xr6:coauthVersionMax="47" xr10:uidLastSave="{4A2E7696-1CBE-4B17-87D3-2A84BEFBCFC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2" i="69"/>
  <c r="G10" i="62"/>
  <c r="J10" i="61"/>
  <c r="I10" i="61"/>
  <c r="H10" i="61"/>
  <c r="G10" i="61"/>
  <c r="H10" i="60"/>
  <c r="G10" i="60"/>
  <c r="H17" i="60"/>
  <c r="G17" i="60"/>
  <c r="H18" i="60"/>
  <c r="G18" i="60"/>
  <c r="E10" i="64"/>
  <c r="D10" i="64"/>
  <c r="C10" i="64"/>
  <c r="E10" i="62"/>
  <c r="C10" i="62"/>
  <c r="E10" i="61"/>
  <c r="E10" i="60"/>
  <c r="D10" i="60"/>
  <c r="C10" i="60"/>
  <c r="F17" i="60"/>
  <c r="E17" i="60"/>
  <c r="E18" i="60"/>
  <c r="D18" i="60"/>
  <c r="C18" i="60"/>
  <c r="D17" i="60"/>
  <c r="C17" i="60"/>
  <c r="D10" i="61" l="1"/>
  <c r="C10" i="61"/>
  <c r="D18" i="64" l="1"/>
  <c r="D18" i="65"/>
  <c r="D11" i="65"/>
  <c r="D9" i="61"/>
  <c r="E23" i="15"/>
  <c r="H16" i="71" s="1"/>
  <c r="F23" i="15"/>
  <c r="C23" i="15"/>
  <c r="D23" i="15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9" i="69"/>
  <c r="E16" i="71" l="1"/>
  <c r="G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1" i="60"/>
  <c r="D36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8" i="65"/>
  <c r="F18" i="62"/>
  <c r="F10" i="62"/>
  <c r="D5" i="61"/>
  <c r="F16" i="61"/>
  <c r="D6" i="60"/>
  <c r="F18" i="60"/>
  <c r="F16" i="60"/>
  <c r="F15" i="60"/>
  <c r="F14" i="60"/>
  <c r="F13" i="60"/>
  <c r="F11" i="60"/>
  <c r="F9" i="60"/>
  <c r="F7" i="60"/>
  <c r="F6" i="60"/>
  <c r="F5" i="60"/>
  <c r="F4" i="60"/>
  <c r="H15" i="60"/>
  <c r="H13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H34" i="60" l="1"/>
  <c r="F35" i="60"/>
  <c r="D35" i="60"/>
  <c r="E7" i="16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H29" i="72" s="1"/>
  <c r="I29" i="72" s="1"/>
  <c r="D29" i="72"/>
  <c r="C29" i="72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E27" i="72"/>
  <c r="J21" i="70"/>
  <c r="K21" i="70" s="1"/>
  <c r="F16" i="71"/>
  <c r="L16" i="71" s="1"/>
  <c r="M16" i="71" s="1"/>
  <c r="F22" i="15"/>
  <c r="L8" i="15" s="1"/>
  <c r="G22" i="15"/>
  <c r="L25" i="71"/>
  <c r="M25" i="71" s="1"/>
  <c r="H32" i="66"/>
  <c r="H23" i="70"/>
  <c r="I23" i="70" s="1"/>
  <c r="J26" i="70"/>
  <c r="K26" i="70" s="1"/>
  <c r="K28" i="70"/>
  <c r="H29" i="66"/>
  <c r="J23" i="70"/>
  <c r="K23" i="70" s="1"/>
  <c r="L22" i="71"/>
  <c r="M22" i="71" s="1"/>
  <c r="H23" i="72"/>
  <c r="J30" i="72"/>
  <c r="K30" i="72" s="1"/>
  <c r="J32" i="64"/>
  <c r="K20" i="19"/>
  <c r="K9" i="19"/>
  <c r="L21" i="71"/>
  <c r="M21" i="71" s="1"/>
  <c r="J31" i="71"/>
  <c r="E33" i="66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F25" i="19"/>
  <c r="L9" i="19" s="1"/>
  <c r="F18" i="72"/>
  <c r="J26" i="71"/>
  <c r="L29" i="71"/>
  <c r="M29" i="71" s="1"/>
  <c r="H20" i="72"/>
  <c r="J26" i="72"/>
  <c r="K26" i="72" s="1"/>
  <c r="D18" i="72"/>
  <c r="J18" i="72" s="1"/>
  <c r="K18" i="72" s="1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19"/>
  <c r="K10" i="19"/>
  <c r="L27" i="70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M23" i="52" l="1"/>
  <c r="J4" i="23"/>
  <c r="M22" i="52"/>
  <c r="L6" i="23"/>
  <c r="M21" i="52"/>
  <c r="M26" i="52"/>
  <c r="F17" i="52"/>
  <c r="J5" i="19"/>
  <c r="C24" i="15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I32" i="61" l="1"/>
  <c r="D32" i="61"/>
  <c r="H32" i="60"/>
  <c r="K5" i="23"/>
  <c r="L6" i="25"/>
  <c r="H32" i="61"/>
  <c r="K5" i="19"/>
  <c r="E32" i="60"/>
  <c r="J32" i="6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D7" i="25"/>
  <c r="G7" i="25" s="1"/>
  <c r="D11" i="7"/>
  <c r="D11" i="25"/>
  <c r="G11" i="25" s="1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1" i="58"/>
  <c r="P22" i="58"/>
  <c r="P20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5" i="52" l="1"/>
  <c r="C24" i="1" s="1"/>
  <c r="B24" i="1"/>
  <c r="K24" i="52"/>
  <c r="C23" i="1" s="1"/>
  <c r="B23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9" l="1"/>
  <c r="F12" i="8"/>
  <c r="F12" i="15"/>
  <c r="K4" i="52"/>
  <c r="C3" i="1" s="1"/>
  <c r="B3" i="1"/>
  <c r="K5" i="52"/>
  <c r="C4" i="1" s="1"/>
  <c r="B4" i="1"/>
  <c r="K20" i="52"/>
  <c r="C19" i="1" s="1"/>
  <c r="B19" i="1"/>
  <c r="K6" i="52"/>
  <c r="C5" i="1" s="1"/>
  <c r="B5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<sst xmlns="http://schemas.openxmlformats.org/spreadsheetml/2006/main" count="1295" uniqueCount="162">
  <si>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</si>
  <si>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</si>
  <si>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</si>
  <si>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</si>
  <si>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</si>
  <si>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</si>
  <si>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</si>
  <si>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</si>
  <si>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</si>
  <si>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</si>
  <si>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</si>
  <si>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</si>
  <si>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</si>
  <si>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</si>
  <si>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</si>
  <si>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</si>
  <si>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</si>
  <si>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</si>
  <si>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</si>
  <si>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</si>
  <si>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</si>
  <si>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</si>
  <si>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</si>
  <si>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</si>
  <si>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</si>
  <si>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</si>
  <si>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</si>
  <si>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</si>
  <si>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</si>
  <si>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</si>
  <si>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</si>
  <si>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</si>
  <si>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</si>
  <si>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</si>
  <si>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</si>
  <si>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</si>
  <si>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</si>
  <si>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</si>
  <si>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</si>
  <si>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</si>
  <si>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</si>
  <si>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</si>
  <si>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</si>
  <si>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</si>
  <si>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</si>
  <si>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</si>
  <si>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</si>
  <si>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</si>
  <si>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</si>
  <si>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</si>
  <si>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</si>
  <si>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</si>
  <si>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</si>
  <si>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</si>
  <si>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</si>
  <si>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</si>
  <si>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</si>
  <si>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</si>
  <si>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</si>
  <si>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</si>
  <si>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</si>
  <si>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</si>
  <si>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</si>
  <si>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</si>
  <si>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</si>
  <si>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</si>
  <si>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</si>
  <si>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</si>
  <si>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</si>
  <si>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</si>
  <si>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</si>
  <si>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</si>
  <si>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</si>
  <si>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</si>
  <si>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</si>
  <si>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</si>
  <si>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</si>
  <si>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</si>
  <si>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</si>
  <si>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</si>
  <si>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</si>
  <si>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</si>
  <si>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</si>
  <si>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</si>
  <si>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</si>
  <si>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</si>
  <si>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</si>
  <si>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</si>
  <si>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</si>
  <si>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</si>
  <si>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</si>
  <si>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</si>
  <si>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</si>
  <si>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</si>
  <si>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</si>
  <si>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</si>
  <si>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</si>
  <si>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</si>
  <si>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</si>
  <si>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</si>
  <si>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</si>
  <si>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</si>
  <si>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</si>
  <si>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</si>
  <si>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</si>
  <si>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</si>
  <si>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</si>
  <si>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</si>
  <si>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</si>
  <si>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</si>
  <si>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</si>
  <si>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</si>
  <si>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</si>
  <si>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</si>
  <si>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</si>
  <si>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</si>
  <si>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</si>
  <si>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</si>
  <si>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</si>
  <si>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</si>
  <si>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</si>
  <si>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</si>
  <si>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</si>
  <si>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</si>
  <si>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</si>
  <si>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</si>
  <si>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</si>
  <si>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</si>
  <si>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</si>
  <si>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</si>
  <si>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</si>
  <si>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</si>
  <si>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</si>
  <si>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</si>
  <si>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</si>
  <si>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</si>
  <si>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</si>
  <si>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</si>
  <si>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</si>
  <si>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</si>
  <si>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</si>
  <si>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</si>
  <si>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</si>
  <si>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</si>
  <si>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</si>
  <si>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</si>
  <si>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</si>
  <si>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</si>
  <si>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</si>
  <si>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</si>
  <si>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</si>
  <si>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</si>
  <si>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</si>
  <si>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</si>
  <si>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</si>
  <si>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</si>
  <si>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</si>
  <si>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</si>
  <si>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</si>
  <si>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</si>
  <si>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01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</si>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</sst>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242450</v>
      </c>
      <c r="C3" s="9">
        <f>+HojaTICA!K4+HojaNICA!M4+HojaREVENTADO!K4+HojaPrimera!I4+HojaHonduras!K4+HojaDominicana!I4+HojaPANA!G4</f>
        <v>31500</v>
      </c>
      <c r="D3" s="9">
        <f>+HojaTICA!N4+HojaNICA!P4+HojaREVENTADO!O4+HojaPrimera!L4+HojaHonduras!N4+HojaDominicana!L4+HojaPANA!J4</f>
        <v>169000</v>
      </c>
      <c r="F3" s="10">
        <f t="shared" ref="F3:F27" si="0">+B3-C3-D3</f>
        <v>41950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165350</v>
      </c>
      <c r="C4" s="9">
        <f>+HojaTICA!K5+HojaNICA!M5+HojaREVENTADO!K5+HojaPrimera!I5+HojaHonduras!K5+HojaDominicana!I5+HojaPANA!G5</f>
        <v>21500</v>
      </c>
      <c r="D4" s="9">
        <f>+HojaTICA!N5+HojaNICA!P5+HojaREVENTADO!O5+HojaPrimera!L5+HojaHonduras!N5+HojaDominicana!L5+HojaPANA!J5</f>
        <v>59500</v>
      </c>
      <c r="F4" s="14">
        <f t="shared" si="0"/>
        <v>84350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3000</v>
      </c>
      <c r="C6" s="9">
        <f>+HojaTICA!K7+HojaNICA!M7+HojaREVENTADO!K7+HojaPrimera!I7+HojaHonduras!K7+HojaDominicana!I7+HojaPANA!G7</f>
        <v>350</v>
      </c>
      <c r="D6" s="9">
        <f>+HojaTICA!N7+HojaNICA!P7+HojaREVENTADO!O7+HojaPrimera!L7+HojaHonduras!N7+HojaDominicana!L7+HojaPANA!J7</f>
        <v>0</v>
      </c>
      <c r="F6" s="14">
        <f t="shared" si="0"/>
        <v>2650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412200</v>
      </c>
      <c r="C7" s="9">
        <f>+HojaTICA!K8+HojaNICA!M8+HojaREVENTADO!K8+HojaPrimera!I8+HojaHonduras!K8+HojaDominicana!I8+HojaPANA!G8</f>
        <v>49450</v>
      </c>
      <c r="D7" s="9">
        <f>+HojaTICA!N8+HojaNICA!P8+HojaREVENTADO!O8+HojaPrimera!L8+HojaHonduras!N8+HojaDominicana!L8+HojaPANA!J8</f>
        <v>227000</v>
      </c>
      <c r="F7" s="14">
        <f t="shared" si="0"/>
        <v>135750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1100750</v>
      </c>
      <c r="C9" s="9">
        <f>+HojaTICA!K10+HojaNICA!M10+HojaREVENTADO!K10+HojaPrimera!I10+HojaHonduras!K10+HojaDominicana!I10+HojaPANA!G10</f>
        <v>130880</v>
      </c>
      <c r="D9" s="9">
        <f>+HojaTICA!N10+HojaNICA!P10+HojaREVENTADO!O10+HojaPrimera!L10+HojaHonduras!N10+HojaDominicana!L10+HojaPANA!J10</f>
        <v>939500</v>
      </c>
      <c r="F9" s="14">
        <f t="shared" si="0"/>
        <v>30370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21500</v>
      </c>
      <c r="C10" s="9">
        <f>+HojaTICA!K11+HojaNICA!M11+HojaREVENTADO!K11+HojaPrimera!I11+HojaHonduras!K11+HojaDominicana!I11+HojaPANA!G11</f>
        <v>2600</v>
      </c>
      <c r="D10" s="9">
        <f>+HojaTICA!N11+HojaNICA!P11+HojaREVENTADO!O11+HojaPrimera!L11+HojaHonduras!N11+HojaDominicana!L11+HojaPANA!J11</f>
        <v>0</v>
      </c>
      <c r="F10" s="14">
        <f t="shared" si="0"/>
        <v>18900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312500</v>
      </c>
      <c r="C11" s="9">
        <f>+HojaTICA!K12+HojaNICA!M12+HojaREVENTADO!K12+HojaPrimera!I12+HojaHonduras!K12+HojaDominicana!I12+HojaPANA!G12</f>
        <v>37405</v>
      </c>
      <c r="D11" s="9">
        <f>+HojaTICA!N12+HojaNICA!P12+HojaREVENTADO!O12+HojaPrimera!L12+HojaHonduras!N12+HojaDominicana!L12+HojaPANA!J12</f>
        <v>204000</v>
      </c>
      <c r="F11" s="14">
        <f t="shared" si="0"/>
        <v>71095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166250</v>
      </c>
      <c r="C12" s="9">
        <f>+HojaTICA!K13+HojaNICA!M13+HojaREVENTADO!K13+HojaPrimera!I13+HojaHonduras!K13+HojaDominicana!I13+HojaPANA!G13</f>
        <v>19950</v>
      </c>
      <c r="D12" s="9">
        <f>+HojaTICA!N13+HojaNICA!P13+HojaREVENTADO!O13+HojaPrimera!L13+HojaHonduras!N13+HojaDominicana!L13+HojaPANA!J13</f>
        <v>0</v>
      </c>
      <c r="F12" s="14">
        <f t="shared" si="0"/>
        <v>146300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140750</v>
      </c>
      <c r="C13" s="9">
        <f>+HojaTICA!K14+HojaNICA!M14+HojaREVENTADO!K14+HojaPrimera!I14+HojaHonduras!K14+HojaDominicana!I14+HojaPANA!G14</f>
        <v>21100</v>
      </c>
      <c r="D13" s="9">
        <f>+HojaTICA!N14+HojaNICA!P14+HojaREVENTADO!O14+HojaPrimera!L14+HojaHonduras!N14+HojaDominicana!L14+HojaPANA!J14</f>
        <v>80000</v>
      </c>
      <c r="F13" s="14">
        <f t="shared" si="0"/>
        <v>39650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93250</v>
      </c>
      <c r="C15" s="9">
        <f>+HojaTICA!K16+HojaNICA!M16+HojaREVENTADO!K16+HojaPrimera!I16+HojaHonduras!K16+HojaDominicana!I16+HojaPANA!G16</f>
        <v>11160</v>
      </c>
      <c r="D15" s="9">
        <f>+HojaTICA!N16+HojaNICA!P16+HojaREVENTADO!O16+HojaPrimera!L16+HojaHonduras!N16+HojaDominicana!L16+HojaPANA!J16</f>
        <v>276250</v>
      </c>
      <c r="F15" s="14">
        <f t="shared" si="0"/>
        <v>-194160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1201300</v>
      </c>
      <c r="C16" s="9">
        <f>+HojaTICA!K17+HojaNICA!M17+HojaREVENTADO!K17+HojaPrimera!I17+HojaHonduras!K17+HojaDominicana!I17+HojaPANA!G17</f>
        <v>142490</v>
      </c>
      <c r="D16" s="9">
        <f>+HojaTICA!N17+HojaNICA!P17+HojaREVENTADO!O17+HojaPrimera!L17+HojaHonduras!N17+HojaDominicana!L17+HojaPANA!J17</f>
        <v>1050000</v>
      </c>
      <c r="F16" s="14">
        <f t="shared" si="0"/>
        <v>8810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505700</v>
      </c>
      <c r="C17" s="9">
        <f>+HojaTICA!K18+HojaNICA!M18+HojaREVENTADO!K18+HojaPrimera!I18+HojaHonduras!K18+HojaDominicana!I18+HojaPANA!G18</f>
        <v>59330</v>
      </c>
      <c r="D17" s="9">
        <f>+HojaTICA!N18+HojaNICA!P18+HojaREVENTADO!O18+HojaPrimera!L18+HojaHonduras!N18+HojaDominicana!L18+HojaPANA!J18</f>
        <v>751000</v>
      </c>
      <c r="F17" s="14">
        <f t="shared" si="0"/>
        <v>-304630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4365000</v>
      </c>
      <c r="C28" s="17">
        <f t="shared" si="1"/>
        <v>527715</v>
      </c>
      <c r="D28" s="18">
        <f t="shared" si="1"/>
        <v>3756250</v>
      </c>
      <c r="F28" s="20">
        <f>SUM(F3:F27)</f>
        <v>81035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70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26</v>
      </c>
      <c r="C19" s="164" t="s">
        <v>160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 t="s">
        <v>159</v>
      </c>
      <c r="C20" s="164">
        <v>70</v>
      </c>
      <c r="D20" s="167">
        <v>10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98</v>
      </c>
      <c r="C21" s="165">
        <v>94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99</v>
      </c>
      <c r="D2" s="269"/>
      <c r="E2" s="268">
        <f>DigitaTICA!E2</f>
        <v>76</v>
      </c>
      <c r="F2" s="269"/>
      <c r="G2" s="268" t="str">
        <f>DigitaTICA!G2</f>
        <v>08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48400</v>
      </c>
      <c r="D4" s="30">
        <f>IF(Vendedor1!$E$7="",0,Vendedor1!$E$7)</f>
        <v>1100</v>
      </c>
      <c r="E4" s="181">
        <f>IF(Vendedor1!$C$11="",0,Vendedor1!$C$11)</f>
        <v>28700</v>
      </c>
      <c r="F4" s="30">
        <f>IF(Vendedor1!$E$11="",0,Vendedor1!$E$11)</f>
        <v>0</v>
      </c>
      <c r="G4" s="181">
        <f>IF(Vendedor1!$C$15="",0,Vendedor1!$C$15)</f>
        <v>92950</v>
      </c>
      <c r="H4" s="30">
        <f>IF(Vendedor1!$E$15="",0,Vendedor1!$E$15)</f>
        <v>700</v>
      </c>
      <c r="J4" s="42">
        <f t="shared" ref="J4:J7" si="0">+C4+E4+G4</f>
        <v>170050</v>
      </c>
      <c r="K4" s="41">
        <f>MROUND(J4*Vendedor1!J$9,50)</f>
        <v>22100</v>
      </c>
      <c r="L4" s="42">
        <f t="shared" ref="L4:L7" si="1">+D4+F4+H4</f>
        <v>1800</v>
      </c>
      <c r="M4" s="42">
        <f t="shared" ref="M4:M7" si="2">+L4*85</f>
        <v>153000</v>
      </c>
      <c r="N4" s="42">
        <f>Vendedor1!$F$7+Vendedor1!$F$11+Vendedor1!$F$15</f>
        <v>153000</v>
      </c>
      <c r="P4" s="42">
        <f t="shared" ref="P4:P7" si="3">+J4-K4-N4</f>
        <v>-5050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37650</v>
      </c>
      <c r="D5" s="30">
        <f>IF(Vendedor2!$E$7="",0,Vendedor2!$E$7)</f>
        <v>0</v>
      </c>
      <c r="E5" s="181">
        <f>IF(Vendedor2!$C$11="",0,Vendedor2!$C$11)</f>
        <v>33900</v>
      </c>
      <c r="F5" s="30">
        <f>IF(Vendedor2!$E$11="",0,Vendedor2!$E$11)</f>
        <v>0</v>
      </c>
      <c r="G5" s="181">
        <f>IF(Vendedor2!$C$15="",0,Vendedor2!$C$15)</f>
        <v>76850</v>
      </c>
      <c r="H5" s="30">
        <f>IF(Vendedor2!$E$15="",0,Vendedor2!$E$15)</f>
        <v>700</v>
      </c>
      <c r="J5" s="42">
        <f t="shared" si="0"/>
        <v>148400</v>
      </c>
      <c r="K5" s="41">
        <f>MROUND(J5*Vendedor2!J$9,50)</f>
        <v>19300</v>
      </c>
      <c r="L5" s="42">
        <f t="shared" si="1"/>
        <v>700</v>
      </c>
      <c r="M5" s="42">
        <f t="shared" si="2"/>
        <v>59500</v>
      </c>
      <c r="N5" s="42">
        <f>Vendedor2!$F$7+Vendedor2!$F$11+Vendedor2!$F$15</f>
        <v>59500</v>
      </c>
      <c r="P5" s="42">
        <f t="shared" si="3"/>
        <v>69600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1000</v>
      </c>
      <c r="D7" s="30">
        <f>IF(Vendedor4!$E$7="",0,Vendedor4!$E$7)</f>
        <v>0</v>
      </c>
      <c r="E7" s="181">
        <f>IF(Vendedor4!$C$11="",0,Vendedor4!$C$11)</f>
        <v>1000</v>
      </c>
      <c r="F7" s="30">
        <f>IF(Vendedor4!$E$11="",0,Vendedor4!$E$11)</f>
        <v>0</v>
      </c>
      <c r="G7" s="181">
        <f>IF(Vendedor4!$C$15="",0,Vendedor4!$C$15)</f>
        <v>1000</v>
      </c>
      <c r="H7" s="30">
        <f>IF(Vendedor4!$E$15="",0,Vendedor4!$E$15)</f>
        <v>0</v>
      </c>
      <c r="J7" s="42">
        <f t="shared" si="0"/>
        <v>3000</v>
      </c>
      <c r="K7" s="41">
        <f>MROUND(J7*Vendedor4!J$9,50)</f>
        <v>350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2650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70500</v>
      </c>
      <c r="D8" s="30">
        <f>IF(Vendedor5!$E$7="",0,Vendedor5!$E$7)</f>
        <v>0</v>
      </c>
      <c r="E8" s="181">
        <f>IF(Vendedor5!$C$11="",0,Vendedor5!$C$11)</f>
        <v>62500</v>
      </c>
      <c r="F8" s="30">
        <f>IF(Vendedor5!$E$11="",0,Vendedor5!$E$11)</f>
        <v>1700</v>
      </c>
      <c r="G8" s="181">
        <f>IF(Vendedor5!$C$15="",0,Vendedor5!$C$15)</f>
        <v>70300</v>
      </c>
      <c r="H8" s="30">
        <f>IF(Vendedor5!$E$15="",0,Vendedor5!$E$15)</f>
        <v>500</v>
      </c>
      <c r="J8" s="42">
        <f t="shared" ref="J8" si="4">+C8+E8+G8</f>
        <v>203300</v>
      </c>
      <c r="K8" s="41">
        <f>MROUND(J8*Vendedor5!J$11,50)</f>
        <v>24400</v>
      </c>
      <c r="L8" s="42">
        <f t="shared" ref="L8" si="5">+D8+F8+H8</f>
        <v>2200</v>
      </c>
      <c r="M8" s="42">
        <f t="shared" ref="M8" si="6">+L8*85</f>
        <v>187000</v>
      </c>
      <c r="N8" s="42">
        <f>Vendedor5!$F$7+Vendedor5!$F$11+Vendedor5!$F$15</f>
        <v>187000</v>
      </c>
      <c r="P8" s="42">
        <f t="shared" ref="P8" si="7">+J8-K8-N8</f>
        <v>-8100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185450</v>
      </c>
      <c r="D10" s="30">
        <f>IF(Vendedor7!$E$7="",0,Vendedor7!$E$7)</f>
        <v>3850</v>
      </c>
      <c r="E10" s="181">
        <f>IF(Vendedor7!$C$11="",0,Vendedor7!$C$11)</f>
        <v>163350</v>
      </c>
      <c r="F10" s="30">
        <f>IF(Vendedor7!$E$11="",0,Vendedor7!$E$11)</f>
        <v>100</v>
      </c>
      <c r="G10" s="181">
        <f>IF(Vendedor7!$C$15="",0,Vendedor7!$C$15)</f>
        <v>188850</v>
      </c>
      <c r="H10" s="30">
        <f>IF(Vendedor7!$E$15="",0,Vendedor7!$E$15)</f>
        <v>1300</v>
      </c>
      <c r="J10" s="42">
        <f t="shared" si="8"/>
        <v>537650</v>
      </c>
      <c r="K10" s="41">
        <f>MROUND(J10*Vendedor7!J$14,50)</f>
        <v>64500</v>
      </c>
      <c r="L10" s="42">
        <f t="shared" si="9"/>
        <v>5250</v>
      </c>
      <c r="M10" s="42">
        <f t="shared" si="10"/>
        <v>446250</v>
      </c>
      <c r="N10" s="42">
        <f>Vendedor7!$F$7+Vendedor7!$F$11+Vendedor7!$F$15</f>
        <v>446250</v>
      </c>
      <c r="P10" s="42">
        <f t="shared" si="11"/>
        <v>26900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19000</v>
      </c>
      <c r="H11" s="30">
        <f>IF(Vendedor8!$E$15="",0,Vendedor8!$E$15)</f>
        <v>0</v>
      </c>
      <c r="J11" s="42">
        <f t="shared" si="8"/>
        <v>21500</v>
      </c>
      <c r="K11" s="41">
        <f>MROUND(J11*Vendedor8!J$11,50)</f>
        <v>2600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18900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54650</v>
      </c>
      <c r="D12" s="30">
        <f>IF(Vendedor9!$E$7="",0,Vendedor9!$E$7)</f>
        <v>450</v>
      </c>
      <c r="E12" s="181">
        <f>IF(Vendedor9!$C$11="",0,Vendedor9!$C$11)</f>
        <v>48950</v>
      </c>
      <c r="F12" s="30">
        <f>IF(Vendedor9!$E$11="",0,Vendedor9!$E$11)</f>
        <v>300</v>
      </c>
      <c r="G12" s="181">
        <f>IF(Vendedor9!$C$15="",0,Vendedor9!$C$15)</f>
        <v>49450</v>
      </c>
      <c r="H12" s="30">
        <f>IF(Vendedor9!$E$15="",0,Vendedor9!$E$15)</f>
        <v>300</v>
      </c>
      <c r="J12" s="42">
        <f t="shared" si="8"/>
        <v>153050</v>
      </c>
      <c r="K12" s="41">
        <f>MROUND(J12*Vendedor9!J$11,50)</f>
        <v>18350</v>
      </c>
      <c r="L12" s="42">
        <f t="shared" si="9"/>
        <v>1050</v>
      </c>
      <c r="M12" s="42">
        <f t="shared" si="10"/>
        <v>89250</v>
      </c>
      <c r="N12" s="42">
        <f>Vendedor9!$F$7+Vendedor9!$F$11+Vendedor9!$F$15</f>
        <v>89250</v>
      </c>
      <c r="P12" s="42">
        <f t="shared" si="11"/>
        <v>45450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44600</v>
      </c>
      <c r="D13" s="30">
        <f>IF(Vendedor10!$E$7="",0,Vendedor10!$E$7)</f>
        <v>0</v>
      </c>
      <c r="E13" s="181">
        <f>IF(Vendedor10!$C$11="",0,Vendedor10!$C$11)</f>
        <v>28300</v>
      </c>
      <c r="F13" s="30">
        <f>IF(Vendedor10!$E$11="",0,Vendedor10!$E$11)</f>
        <v>0</v>
      </c>
      <c r="G13" s="181">
        <f>IF(Vendedor10!$C$15="",0,Vendedor10!$C$15)</f>
        <v>49500</v>
      </c>
      <c r="H13" s="30">
        <f>IF(Vendedor10!$E$15="",0,Vendedor10!$E$15)</f>
        <v>0</v>
      </c>
      <c r="J13" s="42">
        <f t="shared" si="8"/>
        <v>122400</v>
      </c>
      <c r="K13" s="41">
        <f>MROUND(J13*Vendedor10!J$9,50)</f>
        <v>14700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107700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63500</v>
      </c>
      <c r="D14" s="30">
        <f>IF(Vendedor11!$E$7="",0,Vendedor11!$E$7)</f>
        <v>500</v>
      </c>
      <c r="E14" s="181">
        <f>IF(Vendedor11!$C$11="",0,Vendedor11!$C$11)</f>
        <v>31650</v>
      </c>
      <c r="F14" s="30">
        <f>IF(Vendedor11!$E$11="",0,Vendedor11!$E$11)</f>
        <v>0</v>
      </c>
      <c r="G14" s="181">
        <f>IF(Vendedor11!$C$15="",0,Vendedor11!$C$15)</f>
        <v>45600</v>
      </c>
      <c r="H14" s="30">
        <f>IF(Vendedor11!$E$15="",0,Vendedor11!$E$15)</f>
        <v>500</v>
      </c>
      <c r="J14" s="42">
        <f t="shared" si="8"/>
        <v>140750</v>
      </c>
      <c r="K14" s="41">
        <f>MROUND(J14*Vendedor11!J$9,50)</f>
        <v>21100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39650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13000</v>
      </c>
      <c r="D16" s="30">
        <f>IF(Vendedor13!$E$7="",0,Vendedor13!$E$7)</f>
        <v>0</v>
      </c>
      <c r="E16" s="181">
        <f>IF(Vendedor13!$C$11="",0,Vendedor13!$C$11)</f>
        <v>16800</v>
      </c>
      <c r="F16" s="30">
        <f>IF(Vendedor13!$E$11="",0,Vendedor13!$E$11)</f>
        <v>0</v>
      </c>
      <c r="G16" s="181">
        <f>IF(Vendedor13!$C$15="",0,Vendedor13!$C$15)</f>
        <v>24750</v>
      </c>
      <c r="H16" s="30">
        <f>IF(Vendedor13!$E$15="",0,Vendedor13!$E$15)</f>
        <v>3250</v>
      </c>
      <c r="J16" s="42">
        <f t="shared" si="8"/>
        <v>54550</v>
      </c>
      <c r="K16" s="41">
        <f>MROUND(J16*Vendedor13!J$11,50)</f>
        <v>6550</v>
      </c>
      <c r="L16" s="42">
        <f t="shared" si="9"/>
        <v>3250</v>
      </c>
      <c r="M16" s="42">
        <f t="shared" si="10"/>
        <v>276250</v>
      </c>
      <c r="N16" s="42">
        <f>Vendedor13!$F$7+Vendedor13!$F$11+Vendedor13!$F$15</f>
        <v>276250</v>
      </c>
      <c r="P16" s="42">
        <f t="shared" si="11"/>
        <v>-228250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134950</v>
      </c>
      <c r="D17" s="30">
        <f>IF(Vendedor14!$E$7="",0,Vendedor14!$E$7)</f>
        <v>1900</v>
      </c>
      <c r="E17" s="181">
        <f>IF(Vendedor14!$C$11="",0,Vendedor14!$C$11)</f>
        <v>119100</v>
      </c>
      <c r="F17" s="30">
        <f>IF(Vendedor14!$E$11="",0,Vendedor14!$E$11)</f>
        <v>150</v>
      </c>
      <c r="G17" s="181">
        <f>IF(Vendedor14!$C$15="",0,Vendedor14!$C$15)</f>
        <v>193400</v>
      </c>
      <c r="H17" s="30">
        <f>IF(Vendedor14!$E$15="",0,Vendedor14!$E$15)</f>
        <v>1800</v>
      </c>
      <c r="J17" s="42">
        <f t="shared" si="8"/>
        <v>447450</v>
      </c>
      <c r="K17" s="41">
        <f>MROUND(J17*Vendedor14!J$15,50)</f>
        <v>53700</v>
      </c>
      <c r="L17" s="42">
        <f t="shared" si="9"/>
        <v>3850</v>
      </c>
      <c r="M17" s="42">
        <f t="shared" si="10"/>
        <v>327250</v>
      </c>
      <c r="N17" s="42">
        <f>Vendedor14!$F$7+Vendedor14!$F$11+Vendedor14!$F$15</f>
        <v>327250</v>
      </c>
      <c r="P17" s="42">
        <f t="shared" si="11"/>
        <v>66500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63800</v>
      </c>
      <c r="D18" s="30">
        <f>IF(Vendedor15!$E$7="",0,Vendedor15!$E$7)</f>
        <v>500</v>
      </c>
      <c r="E18" s="181">
        <f>IF(Vendedor15!$C$11="",0,Vendedor15!$C$11)</f>
        <v>48400</v>
      </c>
      <c r="F18" s="30">
        <f>IF(Vendedor15!$E$11="",0,Vendedor15!$E$11)</f>
        <v>0</v>
      </c>
      <c r="G18" s="181">
        <f>IF(Vendedor15!$C$15="",0,Vendedor15!$C$15)</f>
        <v>98300</v>
      </c>
      <c r="H18" s="30">
        <f>IF(Vendedor15!$E$15="",0,Vendedor15!$E$15)</f>
        <v>5900</v>
      </c>
      <c r="J18" s="42">
        <f t="shared" ref="J18" si="12">+C18+E18+G18</f>
        <v>210500</v>
      </c>
      <c r="K18" s="41">
        <f>MROUND(J18*Vendedor15!J$15,50)</f>
        <v>25250</v>
      </c>
      <c r="L18" s="42">
        <f t="shared" ref="L18" si="13">+D18+F18+H18</f>
        <v>6400</v>
      </c>
      <c r="M18" s="42">
        <f t="shared" ref="M18" si="14">+L18*85</f>
        <v>544000</v>
      </c>
      <c r="N18" s="42">
        <f>Vendedor15!$F$7+Vendedor15!$F$11+Vendedor15!$F$15</f>
        <v>544000</v>
      </c>
      <c r="P18" s="42">
        <f t="shared" ref="P18" si="15">+J18-K18-N18</f>
        <v>-358750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720000</v>
      </c>
      <c r="D32" s="44">
        <f t="shared" si="16"/>
        <v>8300</v>
      </c>
      <c r="E32" s="43">
        <f t="shared" si="16"/>
        <v>582650</v>
      </c>
      <c r="F32" s="44">
        <f t="shared" si="16"/>
        <v>2250</v>
      </c>
      <c r="G32" s="43">
        <f t="shared" si="16"/>
        <v>909950</v>
      </c>
      <c r="H32" s="44">
        <f t="shared" si="16"/>
        <v>14950</v>
      </c>
      <c r="J32" s="96">
        <f>SUM(J4:J31)</f>
        <v>2212600</v>
      </c>
      <c r="K32" s="45">
        <f>SUM(K7:K31)</f>
        <v>231500</v>
      </c>
      <c r="L32" s="96">
        <f>SUM(L4:L31)</f>
        <v>25500</v>
      </c>
      <c r="M32" s="96">
        <f>SUM(M4:M31)</f>
        <v>2167500</v>
      </c>
      <c r="N32" s="96">
        <f>SUM(N4:N31)</f>
        <v>2162500</v>
      </c>
      <c r="P32" s="80">
        <f>SUM(P4:P31)</f>
        <v>-222800</v>
      </c>
    </row>
    <row r="33" spans="3:13" x14ac:dyDescent="0.35">
      <c r="D33" s="100">
        <f>+D32*85</f>
        <v>705500</v>
      </c>
      <c r="F33" s="100">
        <f>+F32*85</f>
        <v>191250</v>
      </c>
      <c r="H33" s="100">
        <f>+H32*85</f>
        <v>1270750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2212600</v>
      </c>
      <c r="E36" s="43">
        <f>+D36-J4-J5-J6</f>
        <v>1894150</v>
      </c>
      <c r="G36" s="102"/>
    </row>
    <row r="37" spans="3:13" x14ac:dyDescent="0.35">
      <c r="C37" s="47" t="s">
        <v>33</v>
      </c>
      <c r="D37" s="48">
        <f>D36*13%</f>
        <v>287638</v>
      </c>
      <c r="E37">
        <f>+D37-K4-K5-K6</f>
        <v>246238</v>
      </c>
      <c r="G37" s="101"/>
      <c r="H37" s="101"/>
    </row>
    <row r="38" spans="3:13" ht="15" thickBot="1" x14ac:dyDescent="0.4">
      <c r="C38" s="47" t="s">
        <v>30</v>
      </c>
      <c r="D38" s="30">
        <f>M32</f>
        <v>2167500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-242538</v>
      </c>
      <c r="F39" s="99">
        <f>+P32-D39</f>
        <v>19738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-242538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60</v>
      </c>
      <c r="D2" s="269"/>
      <c r="E2" s="268">
        <f>DigitaNICA!E2</f>
        <v>88</v>
      </c>
      <c r="F2" s="269"/>
      <c r="G2" s="268">
        <f>DigitaNICA!G2</f>
        <v>71</v>
      </c>
      <c r="H2" s="269"/>
      <c r="I2" s="268">
        <f>DigitaNICA!I2</f>
        <v>70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26450</v>
      </c>
      <c r="D4" s="79">
        <f>IF(Vendedor1!$E$5="",0,Vendedor1!$E$5)</f>
        <v>0</v>
      </c>
      <c r="E4" s="190">
        <f>IF(Vendedor1!$C$9="",0,Vendedor1!$C$9)</f>
        <v>26200</v>
      </c>
      <c r="F4" s="79">
        <f>IF(Vendedor1!$E$9="",0,Vendedor1!$E$9)</f>
        <v>100</v>
      </c>
      <c r="G4" s="190">
        <f>IF(Vendedor1!$C$13="",0,Vendedor1!$C$13)</f>
        <v>3300</v>
      </c>
      <c r="H4" s="79">
        <f>IF(Vendedor1!$E$13="",0,Vendedor1!$E$13)</f>
        <v>0</v>
      </c>
      <c r="I4" s="190">
        <f>IF(Vendedor1!$C$17="",0,Vendedor1!$C$17)</f>
        <v>5900</v>
      </c>
      <c r="J4" s="79">
        <f>IF(Vendedor1!$E$17="",0,Vendedor1!$E$17)</f>
        <v>100</v>
      </c>
      <c r="L4" s="42">
        <f t="shared" ref="L4:L7" si="0">C4+E4+G4+I4</f>
        <v>61850</v>
      </c>
      <c r="M4" s="41">
        <f>MROUND(L4*Vendedor1!J$10,50)</f>
        <v>8050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36800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7900</v>
      </c>
      <c r="D5" s="30">
        <f>IF(Vendedor2!$E$5="",0,Vendedor2!$E$5)</f>
        <v>0</v>
      </c>
      <c r="E5" s="181">
        <f>IF(Vendedor2!$C$9="",0,Vendedor2!$C$9)</f>
        <v>2450</v>
      </c>
      <c r="F5" s="30">
        <f>IF(Vendedor2!$E$9="",0,Vendedor2!$E$9)</f>
        <v>0</v>
      </c>
      <c r="G5" s="181">
        <f>IF(Vendedor2!$C$13="",0,Vendedor2!$C$13)</f>
        <v>4200</v>
      </c>
      <c r="H5" s="30">
        <f>IF(Vendedor2!$E$13="",0,Vendedor2!$E$13)</f>
        <v>0</v>
      </c>
      <c r="I5" s="181">
        <f>IF(Vendedor2!$C$17="",0,Vendedor2!$C$17)</f>
        <v>900</v>
      </c>
      <c r="J5" s="30">
        <f>IF(Vendedor2!$E$17="",0,Vendedor2!$E$17)</f>
        <v>0</v>
      </c>
      <c r="L5" s="42">
        <f t="shared" si="0"/>
        <v>15450</v>
      </c>
      <c r="M5" s="41">
        <f>MROUND(L5*Vendedor2!J$10,50)</f>
        <v>2000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13450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72800</v>
      </c>
      <c r="D8" s="30">
        <f>IF(Vendedor5!$E$5="",0,Vendedor5!$E$5)</f>
        <v>100</v>
      </c>
      <c r="E8" s="181">
        <f>IF(Vendedor5!$C$9="",0,Vendedor5!$C$9)</f>
        <v>45050</v>
      </c>
      <c r="F8" s="30">
        <f>IF(Vendedor5!$E$9="",0,Vendedor5!$E$9)</f>
        <v>0</v>
      </c>
      <c r="G8" s="181">
        <f>IF(Vendedor5!$C$13="",0,Vendedor5!$C$13)</f>
        <v>11800</v>
      </c>
      <c r="H8" s="30">
        <f>IF(Vendedor5!$E$13="",0,Vendedor5!$E$13)</f>
        <v>0</v>
      </c>
      <c r="I8" s="181">
        <f>IF(Vendedor5!$C$17="",0,Vendedor5!$C$17)</f>
        <v>29200</v>
      </c>
      <c r="J8" s="30">
        <f>IF(Vendedor5!$E$17="",0,Vendedor5!$E$17)</f>
        <v>0</v>
      </c>
      <c r="L8" s="42">
        <f t="shared" ref="L8" si="4">C8+E8+G8+I8</f>
        <v>158850</v>
      </c>
      <c r="M8" s="41">
        <f>MROUND(L8*Vendedor5!J$12,50)</f>
        <v>19050</v>
      </c>
      <c r="N8" s="42">
        <f t="shared" ref="N8" si="5">D8+F8+H8+J8</f>
        <v>100</v>
      </c>
      <c r="O8" s="41">
        <f t="shared" si="3"/>
        <v>8500</v>
      </c>
      <c r="P8" s="42">
        <f>Vendedor5!$F$5+Vendedor5!$F$9+Vendedor5!$F$13+Vendedor5!$F$17</f>
        <v>8000</v>
      </c>
      <c r="Q8">
        <v>17</v>
      </c>
      <c r="R8" s="41">
        <f t="shared" ref="R8" si="6">+L8-M8-O8</f>
        <v>131300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84750</v>
      </c>
      <c r="D10" s="30">
        <f>IF(Vendedor7!$E$5="",0,Vendedor7!$E$5)</f>
        <v>100</v>
      </c>
      <c r="E10" s="181">
        <f>IF(Vendedor7!$C$9="",0,Vendedor7!$C$9)</f>
        <v>91900</v>
      </c>
      <c r="F10" s="30">
        <f>IF(Vendedor7!$E$9="",0,Vendedor7!$E$9)</f>
        <v>200</v>
      </c>
      <c r="G10" s="181">
        <f>IF(Vendedor7!$C$13="",0,Vendedor7!$C$13)</f>
        <v>46250</v>
      </c>
      <c r="H10" s="30">
        <f>IF(Vendedor7!$E$13="",0,Vendedor7!$E$13)</f>
        <v>250</v>
      </c>
      <c r="I10" s="181">
        <f>IF(Vendedor7!$C$17="",0,Vendedor7!$C$17)</f>
        <v>95450</v>
      </c>
      <c r="J10" s="30">
        <f>IF(Vendedor7!$E$17="",0,Vendedor7!$E$17)</f>
        <v>2550</v>
      </c>
      <c r="L10" s="42">
        <f t="shared" si="7"/>
        <v>318350</v>
      </c>
      <c r="M10" s="41">
        <f>MROUND(L10*Vendedor7!J$15,50)</f>
        <v>38200</v>
      </c>
      <c r="N10" s="42">
        <f t="shared" ref="N10:N27" si="9">D10+F10+H10+J10</f>
        <v>3100</v>
      </c>
      <c r="O10" s="41">
        <f t="shared" si="3"/>
        <v>263500</v>
      </c>
      <c r="P10" s="42">
        <f>Vendedor7!$F$5+Vendedor7!$F$9+Vendedor7!$F$13+Vendedor7!$F$17</f>
        <v>263500</v>
      </c>
      <c r="R10" s="41">
        <f t="shared" si="8"/>
        <v>16650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59450</v>
      </c>
      <c r="D12" s="30">
        <f>IF(Vendedor9!$E$5="",0,Vendedor9!$E$5)</f>
        <v>600</v>
      </c>
      <c r="E12" s="181">
        <f>IF(Vendedor9!$C$9="",0,Vendedor9!$C$9)</f>
        <v>44250</v>
      </c>
      <c r="F12" s="30">
        <f>IF(Vendedor9!$E$9="",0,Vendedor9!$E$9)</f>
        <v>300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103700</v>
      </c>
      <c r="M12" s="41">
        <f>MROUND(L12*Vendedor9!J$12,50)</f>
        <v>12450</v>
      </c>
      <c r="N12" s="42">
        <f t="shared" si="9"/>
        <v>900</v>
      </c>
      <c r="O12" s="41">
        <f t="shared" si="3"/>
        <v>76500</v>
      </c>
      <c r="P12" s="42">
        <f>Vendedor9!$F$5+Vendedor9!$F$9+Vendedor9!$F$13+Vendedor9!$F$17</f>
        <v>76500</v>
      </c>
      <c r="R12" s="41">
        <f t="shared" si="8"/>
        <v>14750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26450</v>
      </c>
      <c r="D13" s="30">
        <f>IF(Vendedor10!$E$5="",0,Vendedor10!$E$5)</f>
        <v>0</v>
      </c>
      <c r="E13" s="181">
        <f>IF(Vendedor10!$C$9="",0,Vendedor10!$C$9)</f>
        <v>9500</v>
      </c>
      <c r="F13" s="30">
        <f>IF(Vendedor10!$E$9="",0,Vendedor10!$E$9)</f>
        <v>0</v>
      </c>
      <c r="G13" s="181">
        <f>IF(Vendedor10!$C$13="",0,Vendedor10!$C$13)</f>
        <v>4200</v>
      </c>
      <c r="H13" s="30">
        <f>IF(Vendedor10!$E$13="",0,Vendedor10!$E$13)</f>
        <v>0</v>
      </c>
      <c r="I13" s="181">
        <f>IF(Vendedor10!$C$17="",0,Vendedor10!$C$17)</f>
        <v>3700</v>
      </c>
      <c r="J13" s="30">
        <f>IF(Vendedor10!$E$17="",0,Vendedor10!$E$17)</f>
        <v>0</v>
      </c>
      <c r="L13" s="42">
        <f t="shared" si="7"/>
        <v>43850</v>
      </c>
      <c r="M13" s="41">
        <f>MROUND(L13*Vendedor10!J$10,50)</f>
        <v>5250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38600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8100</v>
      </c>
      <c r="D16" s="30">
        <f>IF(Vendedor13!$E$5="",0,Vendedor13!$E$5)</f>
        <v>0</v>
      </c>
      <c r="E16" s="181">
        <f>IF(Vendedor13!$C$9="",0,Vendedor13!$C$9)</f>
        <v>7400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20500</v>
      </c>
      <c r="J16" s="30">
        <f>IF(Vendedor13!$E$17="",0,Vendedor13!$E$17)</f>
        <v>0</v>
      </c>
      <c r="L16" s="42">
        <f t="shared" si="7"/>
        <v>36000</v>
      </c>
      <c r="M16" s="41">
        <f>MROUND(L16*Vendedor13!J$12,50)</f>
        <v>4300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31700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105000</v>
      </c>
      <c r="D17" s="30">
        <f>IF(Vendedor14!$E$5="",0,Vendedor14!$E$5)</f>
        <v>700</v>
      </c>
      <c r="E17" s="181">
        <f>IF(Vendedor14!$C$9="",0,Vendedor14!$C$9)</f>
        <v>108500</v>
      </c>
      <c r="F17" s="30">
        <f>IF(Vendedor14!$E$9="",0,Vendedor14!$E$9)</f>
        <v>1050</v>
      </c>
      <c r="G17" s="181">
        <f>IF(Vendedor14!$C$13="",0,Vendedor14!$C$13)</f>
        <v>88900</v>
      </c>
      <c r="H17" s="30">
        <f>IF(Vendedor14!$E$13="",0,Vendedor14!$E$13)</f>
        <v>500</v>
      </c>
      <c r="I17" s="181">
        <f>IF(Vendedor14!$C$17="",0,Vendedor14!$C$17)</f>
        <v>172850</v>
      </c>
      <c r="J17" s="30">
        <f>IF(Vendedor14!$E$17="",0,Vendedor14!$E$17)</f>
        <v>2450</v>
      </c>
      <c r="L17" s="42">
        <f>C17+E17+G17+I17</f>
        <v>475250</v>
      </c>
      <c r="M17" s="41">
        <f>MROUND(L17*Vendedor14!J$16,50)</f>
        <v>57050</v>
      </c>
      <c r="N17" s="42">
        <f t="shared" si="9"/>
        <v>4700</v>
      </c>
      <c r="O17" s="41">
        <f t="shared" si="3"/>
        <v>399500</v>
      </c>
      <c r="P17" s="42">
        <f>Vendedor14!$F$5+Vendedor14!$F$9+Vendedor14!$F$13+Vendedor14!$F$17</f>
        <v>399500</v>
      </c>
      <c r="R17" s="41">
        <f t="shared" si="8"/>
        <v>18700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41100</v>
      </c>
      <c r="D18" s="30">
        <f>IF(Vendedor15!$E$5="",0,Vendedor15!$E$5)</f>
        <v>800</v>
      </c>
      <c r="E18" s="181">
        <f>IF(Vendedor15!$C$9="",0,Vendedor15!$C$9)</f>
        <v>34900</v>
      </c>
      <c r="F18" s="30">
        <f>IF(Vendedor15!$E$9="",0,Vendedor15!$E$9)</f>
        <v>400</v>
      </c>
      <c r="G18" s="181">
        <f>IF(Vendedor15!$C$13="",0,Vendedor15!$C$13)</f>
        <v>40200</v>
      </c>
      <c r="H18" s="30">
        <f>IF(Vendedor15!$E$13="",0,Vendedor15!$E$13)</f>
        <v>100</v>
      </c>
      <c r="I18" s="181">
        <f>IF(Vendedor15!$C$17="",0,Vendedor15!$C$17)</f>
        <v>6550</v>
      </c>
      <c r="J18" s="30">
        <f>IF(Vendedor15!$E$17="",0,Vendedor15!$E$17)</f>
        <v>0</v>
      </c>
      <c r="L18" s="42">
        <f t="shared" ref="L18:L27" si="10">C18+E18+G18+I18</f>
        <v>122750</v>
      </c>
      <c r="M18" s="41">
        <f>MROUND(L18*Vendedor15!J$16,50)</f>
        <v>14750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-2500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432000</v>
      </c>
      <c r="D32" s="44">
        <f t="shared" si="14"/>
        <v>2300</v>
      </c>
      <c r="E32" s="43">
        <f t="shared" si="14"/>
        <v>370150</v>
      </c>
      <c r="F32" s="44">
        <f t="shared" si="14"/>
        <v>2050</v>
      </c>
      <c r="G32" s="43">
        <f t="shared" si="14"/>
        <v>198850</v>
      </c>
      <c r="H32" s="44">
        <f t="shared" si="14"/>
        <v>850</v>
      </c>
      <c r="I32" s="43">
        <f t="shared" si="14"/>
        <v>335050</v>
      </c>
      <c r="J32" s="44">
        <f t="shared" si="14"/>
        <v>5100</v>
      </c>
      <c r="L32" s="45">
        <f>SUM(L4:L31)</f>
        <v>1336050</v>
      </c>
      <c r="M32" s="45">
        <f>SUM(M7:M31)</f>
        <v>151050</v>
      </c>
      <c r="N32" s="96">
        <f>SUM(N4:N31)</f>
        <v>10300</v>
      </c>
      <c r="O32" s="46">
        <f>SUM(O4:O31)</f>
        <v>875500</v>
      </c>
      <c r="P32" s="141">
        <f>SUM(P4:P31)</f>
        <v>874000</v>
      </c>
      <c r="R32" s="80">
        <f>SUM(R4:R31)</f>
        <v>299450</v>
      </c>
    </row>
    <row r="33" spans="3:15" x14ac:dyDescent="0.35">
      <c r="D33" s="121">
        <f>+D32*85</f>
        <v>195500</v>
      </c>
      <c r="F33" s="121">
        <f>+F32*85</f>
        <v>174250</v>
      </c>
      <c r="H33" s="121">
        <f>+H32*85</f>
        <v>72250</v>
      </c>
      <c r="J33" s="121">
        <f>+J32*85</f>
        <v>433500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1336050</v>
      </c>
      <c r="E36" s="43">
        <f>+D36-L4-L5-L6</f>
        <v>1258750</v>
      </c>
    </row>
    <row r="37" spans="3:15" x14ac:dyDescent="0.35">
      <c r="C37" s="47" t="s">
        <v>33</v>
      </c>
      <c r="D37" s="48">
        <f>D36*13%</f>
        <v>173686.5</v>
      </c>
      <c r="E37">
        <f>+D37-M4-M5-M6</f>
        <v>163636.5</v>
      </c>
    </row>
    <row r="38" spans="3:15" x14ac:dyDescent="0.35">
      <c r="C38" s="47" t="s">
        <v>30</v>
      </c>
      <c r="D38" s="30">
        <f>SUM(O4:O27)</f>
        <v>875500</v>
      </c>
      <c r="G38" s="101"/>
    </row>
    <row r="39" spans="3:15" ht="15" thickBot="1" x14ac:dyDescent="0.4">
      <c r="C39" s="49" t="s">
        <v>4</v>
      </c>
      <c r="D39" s="81">
        <f>+D36-D37-D38</f>
        <v>286863.5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286863.5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99 Roja</v>
      </c>
      <c r="D2" s="269"/>
      <c r="E2" s="268" t="str">
        <f>IF(E33=0,"",CONCATENATE(PREMIOS!$B11," ",PREMIOS!$B12))</f>
        <v>76 Blanca</v>
      </c>
      <c r="F2" s="269"/>
      <c r="G2" s="268" t="str">
        <f>IF(G33=0,"",CONCATENATE(PREMIOS!$B15," ",PREMIOS!$B16))</f>
        <v>08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23500</v>
      </c>
      <c r="D10" s="30">
        <f>IF(Vendedor7!$E$8="",0,Vendedor7!$E$8)</f>
        <v>1000</v>
      </c>
      <c r="E10" s="181">
        <f>IF(Vendedor7!$C$12="",0,Vendedor7!$C$12)</f>
        <v>19700</v>
      </c>
      <c r="F10" s="30">
        <f>IF(Vendedor7!$E$12="",0,Vendedor7!$E$12)</f>
        <v>0</v>
      </c>
      <c r="G10" s="181">
        <f>IF(Vendedor7!$C$16="",0,Vendedor7!$C$16)</f>
        <v>15600</v>
      </c>
      <c r="H10" s="30">
        <f>IF(Vendedor7!$E$16="",0,Vendedor7!$E$16)</f>
        <v>0</v>
      </c>
      <c r="J10" s="42">
        <f t="shared" si="1"/>
        <v>58800</v>
      </c>
      <c r="K10" s="41">
        <f>J10*Vendedor7!J$16</f>
        <v>5880</v>
      </c>
      <c r="L10" s="42">
        <f t="shared" si="2"/>
        <v>1000</v>
      </c>
      <c r="M10" s="42">
        <f t="shared" si="3"/>
        <v>1000</v>
      </c>
      <c r="N10" s="42">
        <f t="shared" si="0"/>
        <v>220000</v>
      </c>
      <c r="O10" s="42">
        <f>Vendedor7!$F$8+Vendedor7!$F$12+Vendedor7!$F$16</f>
        <v>200000</v>
      </c>
      <c r="Q10" s="42">
        <f t="shared" si="4"/>
        <v>-147080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3050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3050</v>
      </c>
      <c r="K12" s="41">
        <f>J12*Vendedor9!J$13</f>
        <v>305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2745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1100</v>
      </c>
      <c r="H16" s="30">
        <f>IF(Vendedor13!$E$16="",0,Vendedor13!$E$16)</f>
        <v>0</v>
      </c>
      <c r="J16" s="42">
        <f t="shared" si="1"/>
        <v>1100</v>
      </c>
      <c r="K16" s="41">
        <f>J16*Vendedor13!J$13</f>
        <v>110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990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20450</v>
      </c>
      <c r="D17" s="30">
        <f>IF(Vendedor14!$E$8="",0,Vendedor14!$E$8)</f>
        <v>1000</v>
      </c>
      <c r="E17" s="181">
        <f>IF(Vendedor14!$C$12="",0,Vendedor14!$C$12)</f>
        <v>29250</v>
      </c>
      <c r="F17" s="30">
        <f>IF(Vendedor14!$E$12="",0,Vendedor14!$E$12)</f>
        <v>0</v>
      </c>
      <c r="G17" s="181">
        <f>IF(Vendedor14!$C$16="",0,Vendedor14!$C$16)</f>
        <v>36700</v>
      </c>
      <c r="H17" s="30">
        <f>IF(Vendedor14!$E$16="",0,Vendedor14!$E$16)</f>
        <v>100</v>
      </c>
      <c r="J17" s="42">
        <f t="shared" si="1"/>
        <v>86400</v>
      </c>
      <c r="K17" s="41">
        <f>J17*Vendedor14!J$17</f>
        <v>8640</v>
      </c>
      <c r="L17" s="42">
        <f t="shared" si="2"/>
        <v>1000</v>
      </c>
      <c r="M17" s="42">
        <f t="shared" si="3"/>
        <v>1100</v>
      </c>
      <c r="N17" s="42">
        <f t="shared" si="0"/>
        <v>220000</v>
      </c>
      <c r="O17" s="42">
        <f>Vendedor14!$F$8+Vendedor14!$F$12+Vendedor14!$F$16</f>
        <v>200000</v>
      </c>
      <c r="Q17" s="42">
        <f t="shared" si="4"/>
        <v>-122240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21300</v>
      </c>
      <c r="D18" s="30">
        <f>IF(Vendedor15!$E$8="",0,Vendedor15!$E$8)</f>
        <v>100</v>
      </c>
      <c r="E18" s="181">
        <f>IF(Vendedor15!$C$12="",0,Vendedor15!$C$12)</f>
        <v>18850</v>
      </c>
      <c r="F18" s="30">
        <f>IF(Vendedor15!$E$12="",0,Vendedor15!$E$12)</f>
        <v>0</v>
      </c>
      <c r="G18" s="181">
        <f>IF(Vendedor15!$C$16="",0,Vendedor15!$C$16)</f>
        <v>28650</v>
      </c>
      <c r="H18" s="30">
        <f>IF(Vendedor15!$E$16="",0,Vendedor15!$E$16)</f>
        <v>200</v>
      </c>
      <c r="J18" s="42">
        <f t="shared" ref="J18" si="5">+C18+E18+G18</f>
        <v>68800</v>
      </c>
      <c r="K18" s="41">
        <f>J18*Vendedor15!J$17</f>
        <v>6880</v>
      </c>
      <c r="L18" s="42">
        <f t="shared" si="2"/>
        <v>100</v>
      </c>
      <c r="M18" s="42">
        <f t="shared" si="3"/>
        <v>300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41920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68300</v>
      </c>
      <c r="D33" s="44">
        <f>IF(PREMIOS!E8&lt;&gt;0,SUM(D4:D32),0)</f>
        <v>2100</v>
      </c>
      <c r="E33" s="43">
        <f>SUM(E4:E32)</f>
        <v>67800</v>
      </c>
      <c r="F33" s="44">
        <f>IF(PREMIOS!E12&lt;&gt;0,SUM(F4:F32),0)</f>
        <v>0</v>
      </c>
      <c r="G33" s="43">
        <f>SUM(G4:G32)</f>
        <v>82050</v>
      </c>
      <c r="H33" s="44">
        <f>IF(PREMIOS!E16&lt;&gt;0,SUM(H4:H32),0)</f>
        <v>0</v>
      </c>
      <c r="J33" s="45">
        <f>SUM(J4:J32)</f>
        <v>218150</v>
      </c>
      <c r="K33" s="45">
        <f>SUM(K7:K32)</f>
        <v>21815</v>
      </c>
      <c r="L33" s="96">
        <f>SUM(L7:L32)</f>
        <v>2100</v>
      </c>
      <c r="M33" s="96">
        <f>SUM(M7:M32)</f>
        <v>2400</v>
      </c>
      <c r="N33" s="96">
        <f>SUM(N4:N27)</f>
        <v>462000</v>
      </c>
      <c r="O33" s="96">
        <f>SUM(O4:O27)</f>
        <v>420000</v>
      </c>
      <c r="Q33" s="80">
        <f>SUM(Q4:Q32)</f>
        <v>-223665</v>
      </c>
    </row>
    <row r="34" spans="3:17" x14ac:dyDescent="0.35">
      <c r="D34" s="119">
        <f>IF(PREMIOS!$D8=PREMIOS!$J$10,D33*$G$38,IF(PREMIOS!$D8=PREMIOS!$J$11,D33*$F$38,IF(PREMIOS!$D8=PREMIOS!$J$12,0,"")))</f>
        <v>462000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218150</v>
      </c>
      <c r="E37" s="43">
        <f>+D37-J4-J5-J6</f>
        <v>218150</v>
      </c>
      <c r="F37" s="276"/>
      <c r="G37" s="276"/>
    </row>
    <row r="38" spans="3:17" ht="15" thickBot="1" x14ac:dyDescent="0.4">
      <c r="C38" s="47" t="s">
        <v>33</v>
      </c>
      <c r="D38" s="30">
        <f>D37*10%</f>
        <v>21815</v>
      </c>
      <c r="E38" s="43">
        <f>+D38-K4-K5-K6</f>
        <v>21815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462000</v>
      </c>
    </row>
    <row r="40" spans="3:17" ht="15" thickBot="1" x14ac:dyDescent="0.4">
      <c r="C40" s="49" t="s">
        <v>4</v>
      </c>
      <c r="D40" s="81">
        <f>+D37-D38-D39</f>
        <v>-265665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-265665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26</v>
      </c>
      <c r="D2" s="269"/>
      <c r="E2" s="268" t="str">
        <f>DigitaPRIMERA!E2</f>
        <v>01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10150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10550</v>
      </c>
      <c r="I4" s="41">
        <f>MROUND(H4*Vendedor1!J$9,50)</f>
        <v>1350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9200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1500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1500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1300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29400</v>
      </c>
      <c r="D8" s="30">
        <f>IF(Vendedor5!$E$19="",0,Vendedor5!$E$19)</f>
        <v>400</v>
      </c>
      <c r="E8" s="181">
        <f>IF(Vendedor5!$C$20="",0,Vendedor5!$C$20)</f>
        <v>20650</v>
      </c>
      <c r="F8" s="30">
        <f>IF(Vendedor5!$E$20="",0,Vendedor5!$E$20)</f>
        <v>0</v>
      </c>
      <c r="H8" s="134">
        <f t="shared" si="1"/>
        <v>50050</v>
      </c>
      <c r="I8" s="149">
        <f>MROUND(H8*Vendedor5!J$11,50)</f>
        <v>6000</v>
      </c>
      <c r="J8" s="134">
        <f t="shared" si="2"/>
        <v>400</v>
      </c>
      <c r="K8" s="134">
        <f t="shared" si="3"/>
        <v>34000</v>
      </c>
      <c r="L8" s="134">
        <f>Vendedor5!$F$19+Vendedor5!$F$20</f>
        <v>32000</v>
      </c>
      <c r="M8" s="156"/>
      <c r="N8" s="134">
        <f t="shared" si="0"/>
        <v>12050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16200</v>
      </c>
      <c r="D10" s="30">
        <f>IF(Vendedor7!$E$19="",0,Vendedor7!$E$19)</f>
        <v>200</v>
      </c>
      <c r="E10" s="181">
        <f>IF(Vendedor7!$C$20="",0,Vendedor7!$C$20)</f>
        <v>14350</v>
      </c>
      <c r="F10" s="30">
        <f>IF(Vendedor7!$E$20="",0,Vendedor7!$E$20)</f>
        <v>0</v>
      </c>
      <c r="H10" s="42">
        <f t="shared" si="1"/>
        <v>30550</v>
      </c>
      <c r="I10" s="41">
        <f>MROUND(H10*Vendedor7!J$14,50)</f>
        <v>3650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9900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52700</v>
      </c>
      <c r="D12" s="30">
        <f>IF(Vendedor9!$E$19="",0,Vendedor9!$E$19)</f>
        <v>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52700</v>
      </c>
      <c r="I12" s="149">
        <f>MROUND(H12*Vendedor9!J$11,50)</f>
        <v>6300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6"/>
      <c r="N12" s="134">
        <f t="shared" si="0"/>
        <v>8150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1200</v>
      </c>
      <c r="D16" s="30">
        <f>IF(Vendedor13!$E$19="",0,Vendedor13!$E$19)</f>
        <v>0</v>
      </c>
      <c r="E16" s="181">
        <f>IF(Vendedor13!$C$20="",0,Vendedor13!$C$20)</f>
        <v>400</v>
      </c>
      <c r="F16" s="30">
        <f>IF(Vendedor13!$E$20="",0,Vendedor13!$E$20)</f>
        <v>0</v>
      </c>
      <c r="H16" s="134">
        <f t="shared" si="1"/>
        <v>1600</v>
      </c>
      <c r="I16" s="149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1400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83000</v>
      </c>
      <c r="D17" s="30">
        <f>IF(Vendedor14!$E$19="",0,Vendedor14!$E$19)</f>
        <v>300</v>
      </c>
      <c r="E17" s="181">
        <f>IF(Vendedor14!$C$20="",0,Vendedor14!$C$20)</f>
        <v>40550</v>
      </c>
      <c r="F17" s="30">
        <f>IF(Vendedor14!$E$20="",0,Vendedor14!$E$20)</f>
        <v>300</v>
      </c>
      <c r="H17" s="42">
        <f t="shared" si="1"/>
        <v>123550</v>
      </c>
      <c r="I17" s="41">
        <f>MROUND(H17*Vendedor14!J$15,50)</f>
        <v>14850</v>
      </c>
      <c r="J17" s="42">
        <f t="shared" si="2"/>
        <v>600</v>
      </c>
      <c r="K17" s="42">
        <f t="shared" si="3"/>
        <v>51000</v>
      </c>
      <c r="L17" s="42">
        <f>Vendedor14!$F$19+Vendedor14!$F$20</f>
        <v>51000</v>
      </c>
      <c r="N17" s="42">
        <f t="shared" si="0"/>
        <v>57700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49000</v>
      </c>
      <c r="D18" s="30">
        <f>IF(Vendedor15!$E$19="",0,Vendedor15!$E$19)</f>
        <v>0</v>
      </c>
      <c r="E18" s="181">
        <f>IF(Vendedor15!$C$20="",0,Vendedor15!$C$20)</f>
        <v>39650</v>
      </c>
      <c r="F18" s="30">
        <f>IF(Vendedor15!$E$20="",0,Vendedor15!$E$20)</f>
        <v>900</v>
      </c>
      <c r="H18" s="42">
        <f t="shared" si="1"/>
        <v>88650</v>
      </c>
      <c r="I18" s="41">
        <f>MROUND(H18*Vendedor15!J$15,50)</f>
        <v>10650</v>
      </c>
      <c r="J18" s="42">
        <f t="shared" si="2"/>
        <v>900</v>
      </c>
      <c r="K18" s="42">
        <f t="shared" si="3"/>
        <v>76500</v>
      </c>
      <c r="L18" s="42">
        <f>Vendedor15!$F$19+Vendedor15!$F$20</f>
        <v>76500</v>
      </c>
      <c r="N18" s="42">
        <f t="shared" si="0"/>
        <v>1500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243150</v>
      </c>
      <c r="D32" s="44">
        <f>SUM(D4:D31)</f>
        <v>1350</v>
      </c>
      <c r="E32" s="43">
        <f>SUM(E4:E31)</f>
        <v>116000</v>
      </c>
      <c r="F32" s="44">
        <f>SUM(F4:F31)</f>
        <v>1200</v>
      </c>
      <c r="H32" s="96">
        <f>SUM(H4:H31)</f>
        <v>359150</v>
      </c>
      <c r="I32" s="45">
        <f>SUM(I7:I31)</f>
        <v>41650</v>
      </c>
      <c r="J32" s="96"/>
      <c r="K32" s="96">
        <f>SUM(K4:K31)</f>
        <v>216750</v>
      </c>
      <c r="L32" s="96">
        <f>SUM(L4:L31)</f>
        <v>214750</v>
      </c>
      <c r="N32" s="80">
        <f>SUM(N4:N31)</f>
        <v>101200</v>
      </c>
    </row>
    <row r="33" spans="3:6" x14ac:dyDescent="0.35">
      <c r="D33" s="100">
        <f>+D32*85</f>
        <v>114750</v>
      </c>
      <c r="F33" s="100">
        <f>+F32*85</f>
        <v>102000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359150</v>
      </c>
      <c r="E36" s="43">
        <f>+D36-H4-H5-H6</f>
        <v>347100</v>
      </c>
    </row>
    <row r="37" spans="3:6" x14ac:dyDescent="0.35">
      <c r="C37" s="47" t="s">
        <v>33</v>
      </c>
      <c r="D37" s="48">
        <f>D36*13%</f>
        <v>46689.5</v>
      </c>
      <c r="E37">
        <f>+D37-I4-I5-I6</f>
        <v>45139.5</v>
      </c>
    </row>
    <row r="38" spans="3:6" ht="15" thickBot="1" x14ac:dyDescent="0.4">
      <c r="C38" s="47" t="s">
        <v>30</v>
      </c>
      <c r="D38" s="30">
        <f>SUM(K4:K27)</f>
        <v>216750</v>
      </c>
    </row>
    <row r="39" spans="3:6" ht="15" thickBot="1" x14ac:dyDescent="0.4">
      <c r="C39" s="49" t="s">
        <v>4</v>
      </c>
      <c r="D39" s="81">
        <f>+D36-D37-D38</f>
        <v>95710.5</v>
      </c>
      <c r="F39" s="99">
        <f>+N32-D39</f>
        <v>5489.5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95710.5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>04</v>
      </c>
      <c r="D2" s="269"/>
      <c r="E2" s="268">
        <f>DigitaHONDURAS!E2</f>
        <v>70</v>
      </c>
      <c r="F2" s="269"/>
      <c r="G2" s="268">
        <f>DigitaHONDURAS!G2</f>
        <v>10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20000</v>
      </c>
      <c r="D10" s="30">
        <f>IF(Vendedor7!$E$21="",0,Vendedor7!$E$21)</f>
        <v>150</v>
      </c>
      <c r="E10" s="181">
        <f>IF(Vendedor7!$C$22="",0,Vendedor7!$C$22)</f>
        <v>16100</v>
      </c>
      <c r="F10" s="30">
        <f>IF(Vendedor7!$E$22="",0,Vendedor7!$E$22)</f>
        <v>0</v>
      </c>
      <c r="G10" s="181">
        <f>IF(Vendedor7!$C$23="",0,Vendedor7!$C$23)</f>
        <v>12300</v>
      </c>
      <c r="H10" s="30">
        <f>IF(Vendedor7!$E$23="",0,Vendedor7!$E$23)</f>
        <v>0</v>
      </c>
      <c r="J10" s="42">
        <f t="shared" si="0"/>
        <v>48400</v>
      </c>
      <c r="K10" s="41">
        <f>MROUND(J10*Vendedor7!J$14,50)</f>
        <v>5800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29850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34800</v>
      </c>
      <c r="D17" s="30">
        <f>IF(Vendedor14!$E$21="",0,Vendedor14!$E$21)</f>
        <v>100</v>
      </c>
      <c r="E17" s="181">
        <f>IF(Vendedor14!$C$22="",0,Vendedor14!$C$22)</f>
        <v>4650</v>
      </c>
      <c r="F17" s="30">
        <f>IF(Vendedor14!$E$22="",0,Vendedor14!$E$22)</f>
        <v>250</v>
      </c>
      <c r="G17" s="181">
        <f>IF(Vendedor14!$C$23="",0,Vendedor14!$C$23)</f>
        <v>29200</v>
      </c>
      <c r="H17" s="30">
        <f>IF(Vendedor14!$E$23="",0,Vendedor14!$E$23)</f>
        <v>500</v>
      </c>
      <c r="J17" s="42">
        <f t="shared" si="0"/>
        <v>68650</v>
      </c>
      <c r="K17" s="41">
        <f>MROUND(J17*Vendedor14!J$15,50)</f>
        <v>8250</v>
      </c>
      <c r="L17" s="42">
        <f t="shared" si="1"/>
        <v>850</v>
      </c>
      <c r="M17" s="42">
        <f t="shared" si="3"/>
        <v>72250</v>
      </c>
      <c r="N17" s="42">
        <f>Vendedor14!$F$21+Vendedor14!$F$22+Vendedor14!$F$23</f>
        <v>72250</v>
      </c>
      <c r="P17" s="42">
        <f t="shared" si="2"/>
        <v>-11850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12100</v>
      </c>
      <c r="D18" s="30">
        <f>IF(Vendedor15!$E$21="",0,Vendedor15!$E$21)</f>
        <v>0</v>
      </c>
      <c r="E18" s="181">
        <f>IF(Vendedor15!$C$22="",0,Vendedor15!$C$22)</f>
        <v>300</v>
      </c>
      <c r="F18" s="30">
        <f>IF(Vendedor15!$E$22="",0,Vendedor15!$E$22)</f>
        <v>0</v>
      </c>
      <c r="G18" s="181">
        <f>IF(Vendedor15!$C$23="",0,Vendedor15!$C$23)</f>
        <v>2600</v>
      </c>
      <c r="H18" s="30">
        <f>IF(Vendedor15!$E$23="",0,Vendedor15!$E$23)</f>
        <v>0</v>
      </c>
      <c r="J18" s="42">
        <f t="shared" si="0"/>
        <v>15000</v>
      </c>
      <c r="K18" s="41">
        <f>MROUND(J18*Vendedor15!J$15,50)</f>
        <v>1800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13200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66900</v>
      </c>
      <c r="D32" s="44">
        <f t="shared" si="8"/>
        <v>250</v>
      </c>
      <c r="E32" s="43">
        <f t="shared" si="8"/>
        <v>21050</v>
      </c>
      <c r="F32" s="44">
        <f t="shared" si="8"/>
        <v>250</v>
      </c>
      <c r="G32" s="43">
        <f t="shared" si="8"/>
        <v>44100</v>
      </c>
      <c r="H32" s="44">
        <f t="shared" si="8"/>
        <v>500</v>
      </c>
      <c r="J32" s="96">
        <f>SUM(J4:J31)</f>
        <v>132050</v>
      </c>
      <c r="K32" s="45">
        <f>SUM(K7:K31)</f>
        <v>15850</v>
      </c>
      <c r="L32" s="96"/>
      <c r="M32" s="96">
        <f>SUM(M4:M31)</f>
        <v>85000</v>
      </c>
      <c r="N32" s="96">
        <f>SUM(N4:N31)</f>
        <v>85000</v>
      </c>
      <c r="P32" s="80">
        <f>SUM(P4:P31)</f>
        <v>31200</v>
      </c>
    </row>
    <row r="33" spans="3:8" x14ac:dyDescent="0.35">
      <c r="D33" s="100">
        <f>+D32*85</f>
        <v>21250</v>
      </c>
      <c r="F33" s="100">
        <f>+F32*85</f>
        <v>21250</v>
      </c>
      <c r="H33" s="100">
        <f>+H32*85</f>
        <v>42500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132050</v>
      </c>
      <c r="E36" s="43">
        <f>+D36-J4-J5-J6</f>
        <v>132050</v>
      </c>
    </row>
    <row r="37" spans="3:8" x14ac:dyDescent="0.35">
      <c r="C37" s="47" t="s">
        <v>33</v>
      </c>
      <c r="D37" s="48">
        <f>D36*13%</f>
        <v>17166.5</v>
      </c>
      <c r="E37">
        <f>+D37-K4-K5-K6</f>
        <v>17166.5</v>
      </c>
    </row>
    <row r="38" spans="3:8" ht="15" thickBot="1" x14ac:dyDescent="0.4">
      <c r="C38" s="47" t="s">
        <v>30</v>
      </c>
      <c r="D38" s="30">
        <f>SUM(M4:M27)</f>
        <v>85000</v>
      </c>
      <c r="G38" s="101"/>
    </row>
    <row r="39" spans="3:8" ht="15" thickBot="1" x14ac:dyDescent="0.4">
      <c r="C39" s="49" t="s">
        <v>4</v>
      </c>
      <c r="D39" s="81">
        <f>+D36-D37-D38</f>
        <v>29883.5</v>
      </c>
      <c r="F39" s="99">
        <f>+P32-D39</f>
        <v>1316.5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29883.5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98</v>
      </c>
      <c r="D2" s="269"/>
      <c r="E2" s="268">
        <f>DigitaDOMINICANA!E2</f>
        <v>94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49500</v>
      </c>
      <c r="D10" s="30">
        <f>IF(Vendedor7!$E$24="",0,Vendedor7!$E$24)</f>
        <v>0</v>
      </c>
      <c r="E10" s="181">
        <f>IF(Vendedor7!$C$25="",0,Vendedor7!$C$25)</f>
        <v>57500</v>
      </c>
      <c r="F10" s="30">
        <f>IF(Vendedor7!$E$25="",0,Vendedor7!$E$25)</f>
        <v>0</v>
      </c>
      <c r="H10" s="42">
        <f t="shared" si="1"/>
        <v>107000</v>
      </c>
      <c r="I10" s="41">
        <f>MROUND(H10*Vendedor7!J$14,50)</f>
        <v>12850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94150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49500</v>
      </c>
      <c r="D32" s="44">
        <f>SUM(D4:D31)</f>
        <v>0</v>
      </c>
      <c r="E32" s="43">
        <f>SUM(E4:E31)</f>
        <v>57500</v>
      </c>
      <c r="F32" s="44">
        <f>SUM(F4:F31)</f>
        <v>0</v>
      </c>
      <c r="H32" s="96">
        <f>SUM(H4:H31)</f>
        <v>107000</v>
      </c>
      <c r="I32" s="45">
        <f>SUM(I7:I31)</f>
        <v>12850</v>
      </c>
      <c r="J32" s="96"/>
      <c r="K32" s="96">
        <f>SUM(K4:K31)</f>
        <v>0</v>
      </c>
      <c r="L32" s="96">
        <f>SUM(L4:L31)</f>
        <v>0</v>
      </c>
      <c r="N32" s="80">
        <f>SUM(N4:N31)</f>
        <v>94150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107000</v>
      </c>
      <c r="E36" s="43">
        <f>+D36-H4-H5-H6</f>
        <v>107000</v>
      </c>
    </row>
    <row r="37" spans="3:6" x14ac:dyDescent="0.35">
      <c r="C37" s="47" t="s">
        <v>33</v>
      </c>
      <c r="D37" s="48">
        <f>D36*13%</f>
        <v>13910</v>
      </c>
      <c r="E37">
        <f>+D37-I4-I5-I6</f>
        <v>13910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93090</v>
      </c>
      <c r="F39" s="99">
        <f>+N32-D39</f>
        <v>1060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93090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1258750</v>
      </c>
      <c r="C4" s="158">
        <f>HojaNICA!M32</f>
        <v>151050</v>
      </c>
      <c r="D4" s="151">
        <f>HojaNICA!E37</f>
        <v>163636.5</v>
      </c>
      <c r="E4" s="151">
        <f>HojaNICA!P32</f>
        <v>874000</v>
      </c>
      <c r="F4" s="151">
        <f>HojaNICA!O32</f>
        <v>875500</v>
      </c>
      <c r="G4" s="152">
        <f t="shared" ref="G4:G10" si="0">+D4-C4+F4-E4</f>
        <v>14086.5</v>
      </c>
      <c r="H4" s="21"/>
      <c r="I4" s="183"/>
    </row>
    <row r="5" spans="1:9" x14ac:dyDescent="0.35">
      <c r="A5" s="28" t="s">
        <v>19</v>
      </c>
      <c r="B5" s="157">
        <f>HojaTICA!$E$36</f>
        <v>1894150</v>
      </c>
      <c r="C5" s="158">
        <f>HojaTICA!K32</f>
        <v>231500</v>
      </c>
      <c r="D5" s="151">
        <f>HojaTICA!E37</f>
        <v>246238</v>
      </c>
      <c r="E5" s="151">
        <f>HojaTICA!N32</f>
        <v>2162500</v>
      </c>
      <c r="F5" s="151">
        <f>HojaTICA!D38</f>
        <v>2167500</v>
      </c>
      <c r="G5" s="152">
        <f t="shared" si="0"/>
        <v>19738</v>
      </c>
      <c r="H5" s="21"/>
      <c r="I5" s="183"/>
    </row>
    <row r="6" spans="1:9" x14ac:dyDescent="0.35">
      <c r="A6" s="28" t="s">
        <v>125</v>
      </c>
      <c r="B6" s="157">
        <f>HojaREVENTADO!$E$37</f>
        <v>218150</v>
      </c>
      <c r="C6" s="158">
        <f>HojaREVENTADO!K33</f>
        <v>21815</v>
      </c>
      <c r="D6" s="151">
        <f>HojaREVENTADO!E38</f>
        <v>21815</v>
      </c>
      <c r="E6" s="151">
        <f>HojaREVENTADO!O33</f>
        <v>420000</v>
      </c>
      <c r="F6" s="151">
        <f>HojaREVENTADO!N33</f>
        <v>462000</v>
      </c>
      <c r="G6" s="152">
        <f t="shared" si="0"/>
        <v>42000</v>
      </c>
      <c r="H6" s="21"/>
      <c r="I6" s="183"/>
    </row>
    <row r="7" spans="1:9" x14ac:dyDescent="0.35">
      <c r="A7" s="28" t="s">
        <v>96</v>
      </c>
      <c r="B7" s="157">
        <f>HojaPrimera!$E$36</f>
        <v>347100</v>
      </c>
      <c r="C7" s="158">
        <f>HojaPrimera!I32</f>
        <v>41650</v>
      </c>
      <c r="D7" s="151">
        <f>HojaPrimera!E37</f>
        <v>45139.5</v>
      </c>
      <c r="E7" s="151">
        <f>HojaPrimera!L32</f>
        <v>214750</v>
      </c>
      <c r="F7" s="151">
        <f>HojaPrimera!K32</f>
        <v>216750</v>
      </c>
      <c r="G7" s="152">
        <f t="shared" si="0"/>
        <v>5489.5</v>
      </c>
      <c r="H7" s="21"/>
      <c r="I7" s="21"/>
    </row>
    <row r="8" spans="1:9" x14ac:dyDescent="0.35">
      <c r="A8" s="28" t="s">
        <v>104</v>
      </c>
      <c r="B8" s="157">
        <f>HojaHonduras!$E$36</f>
        <v>132050</v>
      </c>
      <c r="C8" s="158">
        <f>HojaHonduras!K32</f>
        <v>15850</v>
      </c>
      <c r="D8" s="151">
        <f>HojaHonduras!E37</f>
        <v>17166.5</v>
      </c>
      <c r="E8" s="151">
        <f>HojaHonduras!N32</f>
        <v>85000</v>
      </c>
      <c r="F8" s="151">
        <f>HojaHonduras!M32</f>
        <v>85000</v>
      </c>
      <c r="G8" s="152">
        <f t="shared" si="0"/>
        <v>1316.5</v>
      </c>
      <c r="H8" s="21"/>
      <c r="I8" s="21"/>
    </row>
    <row r="9" spans="1:9" x14ac:dyDescent="0.35">
      <c r="A9" s="28" t="s">
        <v>20</v>
      </c>
      <c r="B9" s="157">
        <f>HojaDominicana!$E$36</f>
        <v>107000</v>
      </c>
      <c r="C9" s="158">
        <f>HojaDominicana!I32</f>
        <v>12850</v>
      </c>
      <c r="D9" s="151">
        <f>HojaDominicana!E37</f>
        <v>13910</v>
      </c>
      <c r="E9" s="151">
        <f>HojaDominicana!L32</f>
        <v>0</v>
      </c>
      <c r="F9" s="151">
        <f>HojaDominicana!K32</f>
        <v>0</v>
      </c>
      <c r="G9" s="152">
        <f t="shared" si="0"/>
        <v>1060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3957200</v>
      </c>
      <c r="C11" s="176">
        <f>SUM(C4:C10)</f>
        <v>474715</v>
      </c>
      <c r="D11" s="176">
        <f t="shared" ref="D11:F11" si="1">SUM(D4:D10)</f>
        <v>507905.5</v>
      </c>
      <c r="E11" s="176">
        <f t="shared" si="1"/>
        <v>3756250</v>
      </c>
      <c r="F11" s="176">
        <f t="shared" si="1"/>
        <v>3806750</v>
      </c>
      <c r="G11" s="177">
        <f>SUM(G4:G10)</f>
        <v>83690.5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48690.5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242450</v>
      </c>
      <c r="E16" s="158">
        <f>+Vendedor1!D21</f>
        <v>31518.5</v>
      </c>
      <c r="F16" s="159">
        <f>IF(D16&lt;&gt;0,15000,0)</f>
        <v>15000</v>
      </c>
      <c r="G16" s="152">
        <f>+E16-F16</f>
        <v>16518.5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165350</v>
      </c>
      <c r="E17" s="158">
        <f>+Vendedor2!D21</f>
        <v>21495.5</v>
      </c>
      <c r="F17" s="159">
        <f>IF(D17&lt;&gt;0,15000,0)</f>
        <v>15000</v>
      </c>
      <c r="G17" s="152">
        <f>+E17-F17</f>
        <v>6495.5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407800</v>
      </c>
      <c r="E19" s="160">
        <f>SUM(E16:E18)</f>
        <v>53014</v>
      </c>
      <c r="F19" s="161">
        <f>SUM(F16:F18)</f>
        <v>30000</v>
      </c>
      <c r="G19" s="162">
        <f>SUM(G16:G18)</f>
        <v>23014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71704.5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1336050</v>
      </c>
      <c r="C5" s="151">
        <f>HojaNICA!D37</f>
        <v>173686.5</v>
      </c>
      <c r="D5" s="151">
        <f>HojaNICA!D38</f>
        <v>875500</v>
      </c>
      <c r="E5" s="151"/>
      <c r="F5" s="152">
        <f>+B5-C5-D5+E5</f>
        <v>286863.5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2212600</v>
      </c>
      <c r="C6" s="151">
        <f>HojaTICA!D37</f>
        <v>287638</v>
      </c>
      <c r="D6" s="151">
        <f>HojaTICA!D38</f>
        <v>2167500</v>
      </c>
      <c r="E6" s="151"/>
      <c r="F6" s="152">
        <f t="shared" ref="F6:F11" si="0">+B6-C6-D6+E6</f>
        <v>-242538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218150</v>
      </c>
      <c r="C7" s="151">
        <f>HojaREVENTADO!D38</f>
        <v>21815</v>
      </c>
      <c r="D7" s="151">
        <f>HojaREVENTADO!D39</f>
        <v>462000</v>
      </c>
      <c r="E7" s="151"/>
      <c r="F7" s="152">
        <f t="shared" si="0"/>
        <v>-265665</v>
      </c>
    </row>
    <row r="8" spans="1:15" x14ac:dyDescent="0.35">
      <c r="A8" s="47" t="s">
        <v>96</v>
      </c>
      <c r="B8" s="151">
        <f>HojaPrimera!$D36</f>
        <v>359150</v>
      </c>
      <c r="C8" s="151">
        <f>HojaPrimera!$D37</f>
        <v>46689.5</v>
      </c>
      <c r="D8" s="151">
        <f>HojaPrimera!$D38</f>
        <v>216750</v>
      </c>
      <c r="E8" s="151"/>
      <c r="F8" s="152">
        <f t="shared" si="0"/>
        <v>95710.5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132050</v>
      </c>
      <c r="C9" s="151">
        <f>HojaHonduras!$D37</f>
        <v>17166.5</v>
      </c>
      <c r="D9" s="151">
        <f>HojaHonduras!$D38</f>
        <v>85000</v>
      </c>
      <c r="E9" s="151"/>
      <c r="F9" s="152">
        <f t="shared" si="0"/>
        <v>29883.5</v>
      </c>
      <c r="H9" s="252">
        <f>+K12-K10-H6</f>
        <v>14344.5</v>
      </c>
    </row>
    <row r="10" spans="1:15" ht="15" thickBot="1" x14ac:dyDescent="0.4">
      <c r="A10" s="47" t="s">
        <v>20</v>
      </c>
      <c r="B10" s="151">
        <f>HojaDominicana!$D36</f>
        <v>107000</v>
      </c>
      <c r="C10" s="151">
        <f>HojaDominicana!$D37</f>
        <v>13910</v>
      </c>
      <c r="D10" s="151">
        <f>HojaDominicana!$D38</f>
        <v>0</v>
      </c>
      <c r="E10" s="151"/>
      <c r="F10" s="152">
        <f t="shared" si="0"/>
        <v>93090</v>
      </c>
      <c r="H10" s="155"/>
      <c r="J10" t="s">
        <v>148</v>
      </c>
      <c r="K10" s="254">
        <v>7426796.4399999995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7424140.9399999995</v>
      </c>
    </row>
    <row r="12" spans="1:15" ht="16" thickBot="1" x14ac:dyDescent="0.4">
      <c r="A12" s="145" t="s">
        <v>5</v>
      </c>
      <c r="B12" s="153">
        <f>SUM(B5:B11)</f>
        <v>4365000</v>
      </c>
      <c r="C12" s="153">
        <f>SUM(C5:C11)</f>
        <v>560905.5</v>
      </c>
      <c r="D12" s="153">
        <f>SUM(D5:D11)</f>
        <v>3806750</v>
      </c>
      <c r="E12" s="153"/>
      <c r="F12" s="257">
        <f>SUM(F5:F11)</f>
        <v>-2655.5</v>
      </c>
      <c r="H12" s="253">
        <f>K11</f>
        <v>7424140.9399999995</v>
      </c>
      <c r="J12" t="s">
        <v>140</v>
      </c>
      <c r="K12" s="256">
        <f>3056867.07-1137888.01+3154714.8+2367447.08</f>
        <v>7441140.9399999995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170050</v>
      </c>
      <c r="K4" s="233">
        <f t="shared" ref="K4" si="0">D7+D11+D15</f>
        <v>22106.5</v>
      </c>
      <c r="L4" s="222">
        <f>F7+F11+F15</f>
        <v>153000</v>
      </c>
    </row>
    <row r="5" spans="1:12" x14ac:dyDescent="0.35">
      <c r="A5" s="28" t="s">
        <v>43</v>
      </c>
      <c r="B5" s="133">
        <f>IF(DigitaNICA!C2&lt;&gt;"",DigitaNICA!C2,"")</f>
        <v>60</v>
      </c>
      <c r="C5" s="29">
        <f>IF(DigitaNICA!C4&lt;&gt;"",DigitaNICA!C4,"")</f>
        <v>26450</v>
      </c>
      <c r="D5" s="42">
        <f>IF(C5="",0,C5*J$10)</f>
        <v>3438.5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23011.5</v>
      </c>
      <c r="I5" s="243" t="s">
        <v>37</v>
      </c>
      <c r="J5" s="223">
        <f>SUM(IF(C5="",0,C5),IF(C9="",0,C9),IF(C13="",0,C13),IF(C17="",0,C17))</f>
        <v>61850</v>
      </c>
      <c r="K5" s="227">
        <f t="shared" ref="K5" si="2">D5+D9+D13+D17</f>
        <v>8040.5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10550</v>
      </c>
      <c r="K6" s="230">
        <f>D19+D20</f>
        <v>1371.5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IF(DigitaTICA!C4&lt;&gt;"",DigitaTICA!C4,"")</f>
        <v>48400</v>
      </c>
      <c r="D7" s="42">
        <f>IF(C7="",0,C7*J$9)</f>
        <v>6292</v>
      </c>
      <c r="E7" s="29">
        <f>IF(DigitaTICA!D4&lt;&gt;"",DigitaTICA!D4,"")</f>
        <v>1100</v>
      </c>
      <c r="F7" s="42">
        <f>IF(E7="",0,E7*PREMIOS!F7)</f>
        <v>93500</v>
      </c>
      <c r="G7" s="30">
        <f t="shared" si="1"/>
        <v>-51392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IF(DigitaNICA!E4&lt;&gt;"",DigitaNICA!E4,"")</f>
        <v>26200</v>
      </c>
      <c r="D9" s="42">
        <f>IF(C9="",0,C9*J$10)</f>
        <v>3406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14794</v>
      </c>
      <c r="I9" s="77" t="s">
        <v>36</v>
      </c>
      <c r="J9" s="78">
        <v>0.13</v>
      </c>
      <c r="K9" s="79">
        <f>MROUND(D7+D11+D15,50)</f>
        <v>22100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8050</v>
      </c>
    </row>
    <row r="11" spans="1:12" x14ac:dyDescent="0.35">
      <c r="A11" s="28" t="s">
        <v>59</v>
      </c>
      <c r="B11" s="133">
        <f>IF(DigitaTICA!E2&lt;&gt;"",DigitaTICA!E2,"")</f>
        <v>76</v>
      </c>
      <c r="C11" s="29">
        <f>IF(DigitaTICA!E4&lt;&gt;"",DigitaTICA!E4,"")</f>
        <v>28700</v>
      </c>
      <c r="D11" s="42">
        <f>IF(C11="",0,C11*J$9)</f>
        <v>3731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24969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 x14ac:dyDescent="0.35">
      <c r="A13" s="28" t="s">
        <v>50</v>
      </c>
      <c r="B13" s="133">
        <f>IF(DigitaNICA!G2&lt;&gt;"",DigitaNICA!G2,"")</f>
        <v>71</v>
      </c>
      <c r="C13" s="29">
        <f>IF(DigitaNICA!G4&lt;&gt;"",DigitaNICA!G4,"")</f>
        <v>3300</v>
      </c>
      <c r="D13" s="42">
        <f>IF(C13="",0,C13*J$10)</f>
        <v>429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2871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IF(DigitaTICA!G4&lt;&gt;"",DigitaTICA!G4,"")</f>
        <v>92950</v>
      </c>
      <c r="D15" s="42">
        <f>IF(C15="",0,C15*J$9)</f>
        <v>12083.5</v>
      </c>
      <c r="E15" s="29">
        <f>IF(DigitaTICA!H4&lt;&gt;"",DigitaTICA!H4,"")</f>
        <v>700</v>
      </c>
      <c r="F15" s="42">
        <f>IF(E15="",0,E15*PREMIOS!F15)</f>
        <v>59500</v>
      </c>
      <c r="G15" s="30">
        <f t="shared" si="3"/>
        <v>21366.5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>
        <f>IF(DigitaNICA!I4&lt;&gt;"",DigitaNICA!I4,"")</f>
        <v>5900</v>
      </c>
      <c r="D17" s="42">
        <f>IF(C17="",0,C17*J$10)</f>
        <v>767</v>
      </c>
      <c r="E17" s="29">
        <f>IF(DigitaNICA!J4&lt;&gt;"",DigitaNICA!J4,"")</f>
        <v>100</v>
      </c>
      <c r="F17" s="42">
        <f>IF(E17="",0,E17*PREMIOS!E17)</f>
        <v>8000</v>
      </c>
      <c r="G17" s="30">
        <f t="shared" si="3"/>
        <v>-2867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IF(DigitaPRIMERA!C4&lt;&gt;"",DigitaPRIMERA!C4,"")</f>
        <v>10150</v>
      </c>
      <c r="D19" s="42">
        <f>IF(C19="",0,C19*J$12)</f>
        <v>1319.5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8830.5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242450</v>
      </c>
      <c r="D21" s="123">
        <f t="shared" ref="D21:G21" si="6">SUM(D5:D20)</f>
        <v>31518.5</v>
      </c>
      <c r="E21" s="123">
        <f t="shared" si="6"/>
        <v>2000</v>
      </c>
      <c r="F21" s="123">
        <f t="shared" si="6"/>
        <v>169000</v>
      </c>
      <c r="G21" s="124">
        <f t="shared" si="6"/>
        <v>41931.5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148400</v>
      </c>
      <c r="K4" s="233">
        <f t="shared" ref="K4" si="0">D7+D11+D15</f>
        <v>19292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60</v>
      </c>
      <c r="C5" s="29">
        <f>IF(DigitaNICA!C5&lt;&gt;"",DigitaNICA!C5,"")</f>
        <v>7900</v>
      </c>
      <c r="D5" s="42">
        <f>IF(C5="",0,C5*J$10)</f>
        <v>1027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6873</v>
      </c>
      <c r="I5" s="243" t="s">
        <v>37</v>
      </c>
      <c r="J5" s="223">
        <f>SUM(IF(C5="",0,C5),IF(C9="",0,C9),IF(C13="",0,C13),IF(C17="",0,C17))</f>
        <v>15450</v>
      </c>
      <c r="K5" s="227">
        <f t="shared" ref="K5" si="2">D5+D9+D13+D17</f>
        <v>2008.5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1500</v>
      </c>
      <c r="K6" s="230">
        <f>D19+D20</f>
        <v>195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IF(DigitaTICA!C5&lt;&gt;"",DigitaTICA!C5,"")</f>
        <v>37650</v>
      </c>
      <c r="D7" s="42">
        <f>IF(C7="",0,C7*J$9)</f>
        <v>4894.5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32755.5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IF(DigitaNICA!E5&lt;&gt;"",DigitaNICA!E5,"")</f>
        <v>2450</v>
      </c>
      <c r="D9" s="42">
        <f>IF(C9="",0,C9*J$10)</f>
        <v>318.5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2131.5</v>
      </c>
      <c r="I9" s="60" t="s">
        <v>36</v>
      </c>
      <c r="J9" s="61">
        <v>0.13</v>
      </c>
      <c r="K9" s="62">
        <f>MROUND(D7+D11+D15,50)</f>
        <v>19300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2000</v>
      </c>
    </row>
    <row r="11" spans="1:12" x14ac:dyDescent="0.35">
      <c r="A11" s="28" t="s">
        <v>59</v>
      </c>
      <c r="B11" s="133">
        <f>IF(DigitaTICA!E2&lt;&gt;"",DigitaTICA!E2,"")</f>
        <v>76</v>
      </c>
      <c r="C11" s="29">
        <f>IF(DigitaTICA!E5&lt;&gt;"",DigitaTICA!E5,"")</f>
        <v>33900</v>
      </c>
      <c r="D11" s="42">
        <f>IF(C11="",0,C11*J$9)</f>
        <v>4407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29493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71</v>
      </c>
      <c r="C13" s="29">
        <f>IF(DigitaNICA!G5&lt;&gt;"",DigitaNICA!G5,"")</f>
        <v>4200</v>
      </c>
      <c r="D13" s="42">
        <f>IF(C13="",0,C13*J$10)</f>
        <v>546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3654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IF(DigitaTICA!G5&lt;&gt;"",DigitaTICA!G5,"")</f>
        <v>76850</v>
      </c>
      <c r="D15" s="42">
        <f>IF(C15="",0,C15*J$9)</f>
        <v>9990.5</v>
      </c>
      <c r="E15" s="29">
        <f>IF(DigitaTICA!H5&lt;&gt;"",DigitaTICA!H5,"")</f>
        <v>700</v>
      </c>
      <c r="F15" s="42">
        <f>IF(E15="",0,E15*PREMIOS!F15)</f>
        <v>59500</v>
      </c>
      <c r="G15" s="30">
        <f t="shared" si="3"/>
        <v>7359.5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>
        <f>IF(DigitaNICA!I5&lt;&gt;"",DigitaNICA!I5,"")</f>
        <v>900</v>
      </c>
      <c r="D17" s="42">
        <f>IF(C17="",0,C17*J$10)</f>
        <v>117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783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IF(DigitaPRIMERA!C5&lt;&gt;"",DigitaPRIMERA!C5,"")</f>
        <v>1500</v>
      </c>
      <c r="D19" s="42">
        <f>IF(C19="",0,C19*J$12)</f>
        <v>195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1305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165350</v>
      </c>
      <c r="D21" s="68">
        <f t="shared" ref="D21:G21" si="4">SUM(D5:D20)</f>
        <v>21495.5</v>
      </c>
      <c r="E21" s="68">
        <f t="shared" si="4"/>
        <v>700</v>
      </c>
      <c r="F21" s="68">
        <f t="shared" si="4"/>
        <v>59500</v>
      </c>
      <c r="G21" s="89">
        <f t="shared" si="4"/>
        <v>84354.5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3000</v>
      </c>
      <c r="K4" s="233">
        <f t="shared" ref="K4" si="0">D7+D11+D15</f>
        <v>360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95">
        <f>IF(DigitaTICA!C7&lt;&gt;"",DigitaTICA!C7,"")</f>
        <v>1000</v>
      </c>
      <c r="D7" s="113">
        <f>IF(C7="",0,C7*J$9)</f>
        <v>120</v>
      </c>
      <c r="E7" s="114">
        <f>IF(DigitaTICA!D7&lt;&gt;"",DigitaTICA!D7,"")</f>
        <v>0</v>
      </c>
      <c r="F7" s="113">
        <f>IF(E7="",0,E7*PREMIOS!F7)</f>
        <v>0</v>
      </c>
      <c r="G7" s="115">
        <f t="shared" si="1"/>
        <v>880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76</v>
      </c>
      <c r="C11" s="95">
        <f>IF(DigitaTICA!E7&lt;&gt;"",DigitaTICA!E7,"")</f>
        <v>1000</v>
      </c>
      <c r="D11" s="113">
        <f>IF(C11="",0,C11*J$9)</f>
        <v>120</v>
      </c>
      <c r="E11" s="114">
        <f>IF(DigitaTICA!F7&lt;&gt;"",DigitaTICA!F7,"")</f>
        <v>0</v>
      </c>
      <c r="F11" s="113">
        <f>IF(E11="",0,E11*PREMIOS!F11)</f>
        <v>0</v>
      </c>
      <c r="G11" s="115">
        <f t="shared" si="1"/>
        <v>880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95">
        <f>IF(DigitaTICA!G7&lt;&gt;"",DigitaTICA!G7,"")</f>
        <v>1000</v>
      </c>
      <c r="D15" s="113">
        <f>IF(C15="",0,C15*J$9)</f>
        <v>120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880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3000</v>
      </c>
      <c r="D19" s="68">
        <f>SUM(D5:D18)</f>
        <v>360</v>
      </c>
      <c r="E19" s="68">
        <f>SUM(E5:E18)</f>
        <v>0</v>
      </c>
      <c r="F19" s="68">
        <f>SUM(F5:F18)</f>
        <v>0</v>
      </c>
      <c r="G19" s="89">
        <f>SUM(G5:G18)</f>
        <v>2640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203300</v>
      </c>
      <c r="K4" s="233">
        <f t="shared" ref="K4" si="0">D7+D11+D15</f>
        <v>24396</v>
      </c>
      <c r="L4" s="222">
        <f>F7+F11+F15</f>
        <v>187000</v>
      </c>
    </row>
    <row r="5" spans="1:12" x14ac:dyDescent="0.35">
      <c r="A5" s="28" t="s">
        <v>43</v>
      </c>
      <c r="B5" s="133">
        <f>IF(DigitaNICA!C2&lt;&gt;"",DigitaNICA!C2,"")</f>
        <v>60</v>
      </c>
      <c r="C5" s="29">
        <f>IF(DigitaNICA!C8&lt;&gt;"",DigitaNICA!C8,"")</f>
        <v>72800</v>
      </c>
      <c r="D5" s="42">
        <f>IF(C5="",0,C5*J$12)</f>
        <v>8736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56064</v>
      </c>
      <c r="I5" s="243" t="s">
        <v>37</v>
      </c>
      <c r="J5" s="223">
        <f>SUM(IF(C5="",0,C5),IF(C9="",0,C9),IF(C13="",0,C13),IF(C17="",0,C17))</f>
        <v>158850</v>
      </c>
      <c r="K5" s="227">
        <f t="shared" ref="K5" si="2">D5+D9+D13+D17</f>
        <v>19062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IF(DigitaTICA!C8&lt;&gt;"",DigitaTICA!C8,"")</f>
        <v>70500</v>
      </c>
      <c r="D7" s="42">
        <f>IF(C7="",0,C7*J$11)</f>
        <v>8460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62040</v>
      </c>
      <c r="I7" s="244" t="s">
        <v>96</v>
      </c>
      <c r="J7" s="226">
        <f>SUM(IF(C19="",0,C19),IF(C20="",0,C20))</f>
        <v>50050</v>
      </c>
      <c r="K7" s="230">
        <f>+D19+D20</f>
        <v>6006</v>
      </c>
      <c r="L7" s="231">
        <f>+F19+F20</f>
        <v>32000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IF(DigitaNICA!E8&lt;&gt;"",DigitaNICA!E8,"")</f>
        <v>45050</v>
      </c>
      <c r="D9" s="42">
        <f>IF(C9="",0,C9*J$12)</f>
        <v>5406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39644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76</v>
      </c>
      <c r="C11" s="29">
        <f>IF(DigitaTICA!E8&lt;&gt;"",DigitaTICA!E8,"")</f>
        <v>62500</v>
      </c>
      <c r="D11" s="42">
        <f>IF(C11="",0,C11*J$11)</f>
        <v>7500</v>
      </c>
      <c r="E11" s="29">
        <f>IF(DigitaTICA!F8&lt;&gt;"",DigitaTICA!F8,"")</f>
        <v>1700</v>
      </c>
      <c r="F11" s="42">
        <f>IF(E11="",0,E11*PREMIOS!F11)</f>
        <v>144500</v>
      </c>
      <c r="G11" s="30">
        <f t="shared" si="1"/>
        <v>-89500</v>
      </c>
      <c r="I11" s="60" t="s">
        <v>36</v>
      </c>
      <c r="J11" s="61">
        <v>0.12</v>
      </c>
      <c r="K11" s="62">
        <f>MROUND(D7+D11+D15,50)</f>
        <v>24400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19050</v>
      </c>
    </row>
    <row r="13" spans="1:12" x14ac:dyDescent="0.35">
      <c r="A13" s="28" t="s">
        <v>50</v>
      </c>
      <c r="B13" s="133">
        <f>IF(DigitaNICA!G2&lt;&gt;"",DigitaNICA!G2,"")</f>
        <v>71</v>
      </c>
      <c r="C13" s="29">
        <f>IF(DigitaNICA!G8&lt;&gt;"",DigitaNICA!G8,"")</f>
        <v>11800</v>
      </c>
      <c r="D13" s="42">
        <f>IF(C13="",0,C13*J$12)</f>
        <v>1416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10384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6000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IF(DigitaTICA!G8&lt;&gt;"",DigitaTICA!G8,"")</f>
        <v>70300</v>
      </c>
      <c r="D15" s="42">
        <f>IF(C15="",0,C15*J$11)</f>
        <v>8436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19364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>
        <f>IF(DigitaNICA!I8&lt;&gt;"",DigitaNICA!I8,"")</f>
        <v>29200</v>
      </c>
      <c r="D17" s="42">
        <f>IF(C17="",0,C17*J$12)</f>
        <v>3504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25696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IF(DigitaPRIMERA!C8&lt;&gt;"",DigitaPRIMERA!C8,"")</f>
        <v>29400</v>
      </c>
      <c r="D19" s="42">
        <f>IF(C19="",0,C19*J$14)</f>
        <v>3528</v>
      </c>
      <c r="E19" s="29">
        <f>IF(DigitaPRIMERA!D8&lt;&gt;"",DigitaPRIMERA!D8,"")</f>
        <v>400</v>
      </c>
      <c r="F19" s="42">
        <f>IF(E19="",0,E19*PREMIOS!E19)</f>
        <v>32000</v>
      </c>
      <c r="G19" s="30">
        <f t="shared" si="4"/>
        <v>-6128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>
        <f>IF(DigitaPRIMERA!E8&lt;&gt;"",DigitaPRIMERA!E8,"")</f>
        <v>20650</v>
      </c>
      <c r="D20" s="42">
        <f>IF(C20="",0,C20*J$14)</f>
        <v>2478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18172</v>
      </c>
    </row>
    <row r="21" spans="1:7" ht="15" thickBot="1" x14ac:dyDescent="0.4">
      <c r="A21" s="122" t="s">
        <v>5</v>
      </c>
      <c r="B21" s="129"/>
      <c r="C21" s="123">
        <f>SUM(C5:C20)</f>
        <v>412200</v>
      </c>
      <c r="D21" s="123">
        <f t="shared" ref="D21:G21" si="5">SUM(D5:D20)</f>
        <v>49464</v>
      </c>
      <c r="E21" s="123">
        <f t="shared" si="5"/>
        <v>2700</v>
      </c>
      <c r="F21" s="123">
        <f t="shared" si="5"/>
        <v>227000</v>
      </c>
      <c r="G21" s="124">
        <f t="shared" si="5"/>
        <v>135736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537650</v>
      </c>
      <c r="K4" s="233">
        <f t="shared" ref="K4" si="0">D7+D11+D15</f>
        <v>64518</v>
      </c>
      <c r="L4" s="222">
        <f>F7+F11+F15</f>
        <v>446250</v>
      </c>
    </row>
    <row r="5" spans="1:12" x14ac:dyDescent="0.35">
      <c r="A5" s="28" t="s">
        <v>43</v>
      </c>
      <c r="B5" s="133">
        <f>IF(DigitaNICA!C2&lt;&gt;"",DigitaNICA!C2,"")</f>
        <v>60</v>
      </c>
      <c r="C5" s="29">
        <f>IF(DigitaNICA!C10&lt;&gt;"",DigitaNICA!C10,"")</f>
        <v>84750</v>
      </c>
      <c r="D5" s="42">
        <f>IF(C5="",0,C5*J$15)</f>
        <v>10170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66080</v>
      </c>
      <c r="I5" s="219" t="s">
        <v>37</v>
      </c>
      <c r="J5" s="223">
        <f>SUM(IF(C5="",0,C5),IF(C9="",0,C9),IF(C13="",0,C13),IF(C17="",0,C17))</f>
        <v>318350</v>
      </c>
      <c r="K5" s="227">
        <f t="shared" ref="K5" si="2">D5+D9+D13+D17</f>
        <v>38202</v>
      </c>
      <c r="L5" s="224">
        <f>F5+F9+F13+F17</f>
        <v>263500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58800</v>
      </c>
      <c r="K6" s="228">
        <f t="shared" ref="K6" si="3">+D8+D12+D16</f>
        <v>5880</v>
      </c>
      <c r="L6" s="229">
        <f>F8+F12+F16</f>
        <v>200000</v>
      </c>
    </row>
    <row r="7" spans="1:12" x14ac:dyDescent="0.35">
      <c r="A7" s="28" t="s">
        <v>46</v>
      </c>
      <c r="B7" s="133">
        <f>IF(DigitaTICA!C2&lt;&gt;"",DigitaTICA!C2,"")</f>
        <v>99</v>
      </c>
      <c r="C7" s="29">
        <f>IF(DigitaTICA!C10&lt;&gt;"",DigitaTICA!C10,"")</f>
        <v>185450</v>
      </c>
      <c r="D7" s="42">
        <f>IF(C7="",0,C7*J$14)</f>
        <v>22254</v>
      </c>
      <c r="E7" s="29">
        <f>IF(DigitaTICA!D10&lt;&gt;"",DigitaTICA!D10,"")</f>
        <v>3850</v>
      </c>
      <c r="F7" s="42">
        <f>IF(E7="",0,E7*PREMIOS!F7)</f>
        <v>327250</v>
      </c>
      <c r="G7" s="30">
        <f t="shared" si="1"/>
        <v>-164054</v>
      </c>
      <c r="I7" s="219" t="s">
        <v>96</v>
      </c>
      <c r="J7" s="225">
        <f>SUM(IF(C19="",0,C19),IF(C20="",0,C20))</f>
        <v>30550</v>
      </c>
      <c r="K7" s="228">
        <f>+D19+D20</f>
        <v>3666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23500</v>
      </c>
      <c r="D8" s="42">
        <f>IF(C8="",0,C8*J$16)</f>
        <v>2350</v>
      </c>
      <c r="E8" s="29">
        <f>IF(DigitaREVENTADO!D10&lt;&gt;"",DigitaREVENTADO!D10,"")</f>
        <v>1000</v>
      </c>
      <c r="F8" s="42">
        <f>IF(E8="",0,E8*PREMIOS!F8)</f>
        <v>200000</v>
      </c>
      <c r="G8" s="30">
        <f t="shared" si="1"/>
        <v>-178850</v>
      </c>
      <c r="I8" s="219" t="s">
        <v>104</v>
      </c>
      <c r="J8" s="225">
        <f>SUM(IF(C21="",0,C21),IF(C22="",0,C22),IF(C23="",0,C23))</f>
        <v>48400</v>
      </c>
      <c r="K8" s="228">
        <f t="shared" ref="K8" si="4">D21+D22+D23</f>
        <v>5808</v>
      </c>
      <c r="L8" s="229">
        <f>F21+F22+F23</f>
        <v>12750</v>
      </c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IF(DigitaNICA!E10&lt;&gt;"",DigitaNICA!E10,"")</f>
        <v>91900</v>
      </c>
      <c r="D9" s="42">
        <f>IF(C9="",0,C9*J$15)</f>
        <v>11028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63872</v>
      </c>
      <c r="I9" s="219" t="s">
        <v>20</v>
      </c>
      <c r="J9" s="225">
        <f>SUM(IF(C24="",0,C24),IF(C25="",0,C25))</f>
        <v>107000</v>
      </c>
      <c r="K9" s="228">
        <f t="shared" ref="K9" si="5">+D24+D25</f>
        <v>12840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76</v>
      </c>
      <c r="C11" s="29">
        <f>IF(DigitaTICA!E10&lt;&gt;"",DigitaTICA!E10,"")</f>
        <v>163350</v>
      </c>
      <c r="D11" s="42">
        <f>IF(C11="",0,C11*J$14)</f>
        <v>19602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135248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19700</v>
      </c>
      <c r="D12" s="42">
        <f>IF(C12="",0,C12*J$16)</f>
        <v>1970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17730</v>
      </c>
    </row>
    <row r="13" spans="1:12" ht="15" thickBot="1" x14ac:dyDescent="0.4">
      <c r="A13" s="28" t="s">
        <v>50</v>
      </c>
      <c r="B13" s="133">
        <f>IF(DigitaNICA!G2&lt;&gt;"",DigitaNICA!G2,"")</f>
        <v>71</v>
      </c>
      <c r="C13" s="29">
        <f>IF(DigitaNICA!G10&lt;&gt;"",DigitaNICA!G10,"")</f>
        <v>46250</v>
      </c>
      <c r="D13" s="42">
        <f>IF(C13="",0,C13*J$15)</f>
        <v>5550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19450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64500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IF(DigitaTICA!G10&lt;&gt;"",DigitaTICA!G10,"")</f>
        <v>188850</v>
      </c>
      <c r="D15" s="42">
        <f>IF(C15="",0,C15*J$14)</f>
        <v>22662</v>
      </c>
      <c r="E15" s="29">
        <f>IF(DigitaTICA!H10&lt;&gt;"",DigitaTICA!H10,"")</f>
        <v>1300</v>
      </c>
      <c r="F15" s="42">
        <f>IF(E15="",0,E15*PREMIOS!F15)</f>
        <v>110500</v>
      </c>
      <c r="G15" s="30">
        <f t="shared" si="6"/>
        <v>55688</v>
      </c>
      <c r="I15" s="63" t="s">
        <v>37</v>
      </c>
      <c r="J15" s="64">
        <v>0.12</v>
      </c>
      <c r="K15" s="30">
        <f>MROUND(D5+D9+D13+D17,50)</f>
        <v>38200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15600</v>
      </c>
      <c r="D16" s="42">
        <f>IF(C16="",0,C16*J$16)</f>
        <v>1560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14040</v>
      </c>
      <c r="I16" s="63" t="s">
        <v>38</v>
      </c>
      <c r="J16" s="64">
        <v>0.1</v>
      </c>
      <c r="K16" s="30">
        <f>MROUND(D6+D8+D10+D12+D14+D16+D18,50)</f>
        <v>5900</v>
      </c>
    </row>
    <row r="17" spans="1:11" x14ac:dyDescent="0.35">
      <c r="A17" s="28" t="s">
        <v>52</v>
      </c>
      <c r="B17" s="133">
        <f>IF(DigitaNICA!I2&lt;&gt;"",DigitaNICA!I2,"")</f>
        <v>70</v>
      </c>
      <c r="C17" s="29">
        <f>IF(DigitaNICA!I10&lt;&gt;"",DigitaNICA!I10,"")</f>
        <v>95450</v>
      </c>
      <c r="D17" s="42">
        <f>IF(C17="",0,C17*J$15)</f>
        <v>11454</v>
      </c>
      <c r="E17" s="29">
        <f>IF(DigitaNICA!J10&lt;&gt;"",DigitaNICA!J10,"")</f>
        <v>2550</v>
      </c>
      <c r="F17" s="42">
        <f>IF(E17="",0,E17*PREMIOS!F17)</f>
        <v>216750</v>
      </c>
      <c r="G17" s="30">
        <f t="shared" si="6"/>
        <v>-132754</v>
      </c>
      <c r="I17" s="63" t="s">
        <v>96</v>
      </c>
      <c r="J17" s="64">
        <v>0.12</v>
      </c>
      <c r="K17" s="30">
        <f>MROUND(D19+D20,50)</f>
        <v>3650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5800</v>
      </c>
    </row>
    <row r="19" spans="1:11" x14ac:dyDescent="0.35">
      <c r="A19" s="28" t="s">
        <v>97</v>
      </c>
      <c r="B19" s="133">
        <f>IF(DigitaPRIMERA!C2&lt;&gt;"",DigitaPRIMERA!C2,"")</f>
        <v>26</v>
      </c>
      <c r="C19" s="29">
        <f>IF(DigitaPRIMERA!$C$10&lt;&gt;"",DigitaPRIMERA!$C$10,"")</f>
        <v>16200</v>
      </c>
      <c r="D19" s="42">
        <f>IF(C19="",0,C19*J$17)</f>
        <v>1944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-2744</v>
      </c>
      <c r="I19" s="63" t="s">
        <v>20</v>
      </c>
      <c r="J19" s="64">
        <v>0.12</v>
      </c>
      <c r="K19" s="30">
        <f>MROUND(D24+D25,50)</f>
        <v>12850</v>
      </c>
    </row>
    <row r="20" spans="1:11" ht="15" thickBot="1" x14ac:dyDescent="0.4">
      <c r="A20" s="28" t="s">
        <v>98</v>
      </c>
      <c r="B20" s="133" t="str">
        <f>IF(DigitaPRIMERA!E2&lt;&gt;"",DigitaPRIMERA!E2,"")</f>
        <v>01</v>
      </c>
      <c r="C20" s="29">
        <f>IF(DigitaPRIMERA!$E$10&lt;&gt;"",DigitaPRIMERA!$E$10,"")</f>
        <v>14350</v>
      </c>
      <c r="D20" s="42">
        <f>IF(C20="",0,C20*J$17)</f>
        <v>1722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12628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>04</v>
      </c>
      <c r="C21" s="29">
        <f>IF(DigitaHONDURAS!$C$10&lt;&gt;"",DigitaHONDURAS!$C$10,"")</f>
        <v>20000</v>
      </c>
      <c r="D21" s="42">
        <f>IF(C21="",0,C21*J$18)</f>
        <v>2400</v>
      </c>
      <c r="E21" s="29">
        <f>IF(DigitaHONDURAS!$D$10&lt;&gt;"",DigitaHONDURAS!$D$10,"")</f>
        <v>150</v>
      </c>
      <c r="F21" s="42">
        <f>IF(E21="",0,E21*PREMIOS!F20)</f>
        <v>12750</v>
      </c>
      <c r="G21" s="30">
        <f t="shared" si="7"/>
        <v>4850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IF(DigitaHONDURAS!$E$10&lt;&gt;"",DigitaHONDURAS!$E$10,"")</f>
        <v>16100</v>
      </c>
      <c r="D22" s="42">
        <f>IF(C22="",0,C22*J$18)</f>
        <v>1932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14168</v>
      </c>
    </row>
    <row r="23" spans="1:11" x14ac:dyDescent="0.35">
      <c r="A23" s="28" t="s">
        <v>101</v>
      </c>
      <c r="B23" s="133">
        <f>IF(DigitaHONDURAS!G2&lt;&gt;"",DigitaHONDURAS!G2,"")</f>
        <v>10</v>
      </c>
      <c r="C23" s="29">
        <f>IF(DigitaHONDURAS!$G$10&lt;&gt;"",DigitaHONDURAS!$G$10,"")</f>
        <v>12300</v>
      </c>
      <c r="D23" s="42">
        <f>IF(C23="",0,C23*J$18)</f>
        <v>1476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10824</v>
      </c>
    </row>
    <row r="24" spans="1:11" x14ac:dyDescent="0.35">
      <c r="A24" s="28" t="s">
        <v>107</v>
      </c>
      <c r="B24" s="133">
        <f>IF(DigitaDOMINICANA!C2&lt;&gt;"",DigitaDOMINICANA!C2,"")</f>
        <v>98</v>
      </c>
      <c r="C24" s="29">
        <f>IF(DigitaDOMINICANA!$C$10&lt;&gt;"",DigitaDOMINICANA!$C$10,"")</f>
        <v>49500</v>
      </c>
      <c r="D24" s="42">
        <f>IF(C24="",0,C24*J$19)</f>
        <v>5940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43560</v>
      </c>
    </row>
    <row r="25" spans="1:11" x14ac:dyDescent="0.35">
      <c r="A25" s="28" t="s">
        <v>108</v>
      </c>
      <c r="B25" s="133">
        <f>IF(DigitaDOMINICANA!E2&lt;&gt;"",DigitaDOMINICANA!E2,"")</f>
        <v>94</v>
      </c>
      <c r="C25" s="29">
        <f>IF(DigitaDOMINICANA!$E$10&lt;&gt;"",DigitaDOMINICANA!$E$10,"")</f>
        <v>57500</v>
      </c>
      <c r="D25" s="42">
        <f>IF(C25="",0,C25*J$19)</f>
        <v>6900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50600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1100750</v>
      </c>
      <c r="D27" s="68">
        <f t="shared" ref="D27:F27" si="9">SUM(D5:D26)</f>
        <v>130914</v>
      </c>
      <c r="E27" s="68">
        <f t="shared" si="9"/>
        <v>9700</v>
      </c>
      <c r="F27" s="68">
        <f t="shared" si="9"/>
        <v>939500</v>
      </c>
      <c r="G27" s="89">
        <f>SUM(G5:G26)</f>
        <v>30336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21500</v>
      </c>
      <c r="K4" s="233">
        <f t="shared" ref="K4" si="0">D7+D11+D15</f>
        <v>2580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2200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2600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IF(DigitaTICA!G11&lt;&gt;"",DigitaTICA!G11,"")</f>
        <v>19000</v>
      </c>
      <c r="D15" s="42">
        <f>IF(C15="",0,C15*J$11)</f>
        <v>2280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16720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21500</v>
      </c>
      <c r="D21" s="123">
        <f t="shared" ref="D21:G21" si="5">SUM(D5:D20)</f>
        <v>2580</v>
      </c>
      <c r="E21" s="123">
        <f t="shared" si="5"/>
        <v>0</v>
      </c>
      <c r="F21" s="123">
        <f t="shared" si="5"/>
        <v>0</v>
      </c>
      <c r="G21" s="124">
        <f t="shared" si="5"/>
        <v>18920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7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153050</v>
      </c>
      <c r="K4" s="233">
        <f>D7+D11+D15</f>
        <v>18366</v>
      </c>
      <c r="L4" s="222">
        <f>F7+F11+F15</f>
        <v>89250</v>
      </c>
    </row>
    <row r="5" spans="1:12" x14ac:dyDescent="0.35">
      <c r="A5" s="28" t="s">
        <v>43</v>
      </c>
      <c r="B5" s="133">
        <f>IF(DigitaNICA!C2&lt;&gt;"",DigitaNICA!C2,"")</f>
        <v>60</v>
      </c>
      <c r="C5" s="29">
        <f>IF(DigitaNICA!C12&lt;&gt;"",DigitaNICA!C12,"")</f>
        <v>59450</v>
      </c>
      <c r="D5" s="42">
        <f>IF(C5="",0,C5*J$12)</f>
        <v>7134</v>
      </c>
      <c r="E5" s="29">
        <f>IF(DigitaNICA!D12&lt;&gt;"",DigitaNICA!D12,"")</f>
        <v>600</v>
      </c>
      <c r="F5" s="42">
        <f>IF(E5="",0,E5*PREMIOS!F5)</f>
        <v>51000</v>
      </c>
      <c r="G5" s="30">
        <f t="shared" ref="G5:G12" si="0">IF(OR(C5="",E5=""),0,C5-D5-F5)</f>
        <v>1316</v>
      </c>
      <c r="I5" s="219" t="s">
        <v>37</v>
      </c>
      <c r="J5" s="223">
        <f>SUM(IF(C5="",0,C5),IF(C9="",0,C9),IF(C13="",0,C13),IF(C17="",0,C17))</f>
        <v>103700</v>
      </c>
      <c r="K5" s="227">
        <f t="shared" ref="K5" si="1">D5+D9+D13+D17</f>
        <v>12444</v>
      </c>
      <c r="L5" s="224">
        <f>F5+F9+F13+F17</f>
        <v>76500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3050</v>
      </c>
      <c r="K6" s="228">
        <f t="shared" ref="K6" si="2">+D8+D12+D16</f>
        <v>305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99</v>
      </c>
      <c r="C7" s="29">
        <f>IF(DigitaTICA!C12&lt;&gt;"",DigitaTICA!C12,"")</f>
        <v>54650</v>
      </c>
      <c r="D7" s="42">
        <f>IF(C7="",0,C7*J$11)</f>
        <v>6558</v>
      </c>
      <c r="E7" s="29">
        <f>IF(DigitaTICA!D12&lt;&gt;"",DigitaTICA!D12,"")</f>
        <v>450</v>
      </c>
      <c r="F7" s="42">
        <f>IF(E7="",0,E7*PREMIOS!F7)</f>
        <v>38250</v>
      </c>
      <c r="G7" s="30">
        <f t="shared" si="0"/>
        <v>9842</v>
      </c>
      <c r="I7" s="219" t="s">
        <v>96</v>
      </c>
      <c r="J7" s="225">
        <f>SUM(IF(C19="",0,C19),IF(C20="",0,C20))</f>
        <v>52700</v>
      </c>
      <c r="K7" s="228">
        <f>+D19+D20</f>
        <v>6324</v>
      </c>
      <c r="L7" s="229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3050</v>
      </c>
      <c r="D8" s="42">
        <f>IF(C8="",0,C8*J$13)</f>
        <v>305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2745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IF(DigitaNICA!E12&lt;&gt;"",DigitaNICA!E12,"")</f>
        <v>44250</v>
      </c>
      <c r="D9" s="42">
        <f>IF(C9="",0,C9*J$12)</f>
        <v>5310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13440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76</v>
      </c>
      <c r="C11" s="29">
        <f>IF(DigitaTICA!E12&lt;&gt;"",DigitaTICA!E12,"")</f>
        <v>48950</v>
      </c>
      <c r="D11" s="42">
        <f>IF(C11="",0,C11*J$11)</f>
        <v>5874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17576</v>
      </c>
      <c r="I11" s="60" t="s">
        <v>36</v>
      </c>
      <c r="J11" s="61">
        <v>0.12</v>
      </c>
      <c r="K11" s="62">
        <f>MROUND(D7+D11+D15,50)</f>
        <v>18350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12450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6300</v>
      </c>
    </row>
    <row r="15" spans="1:12" ht="15" thickBot="1" x14ac:dyDescent="0.4">
      <c r="A15" s="28" t="s">
        <v>61</v>
      </c>
      <c r="B15" s="133" t="str">
        <f>IF(DigitaTICA!G2&lt;&gt;"",DigitaTICA!G2,"")</f>
        <v>08</v>
      </c>
      <c r="C15" s="29">
        <f>IF(DigitaTICA!G12&lt;&gt;"",DigitaTICA!G12,"")</f>
        <v>49450</v>
      </c>
      <c r="D15" s="42">
        <f>IF(C15="",0,C15*J$11)</f>
        <v>5934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18016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IF(DigitaPRIMERA!$C$12&lt;&gt;"",DigitaPRIMERA!$C$12,"")</f>
        <v>52700</v>
      </c>
      <c r="D19" s="42">
        <f>IF(C19="",0,C19*J$14)</f>
        <v>6324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8126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312500</v>
      </c>
      <c r="D24" s="68">
        <f t="shared" ref="D24:G24" si="4">SUM(D5:D23)</f>
        <v>37439</v>
      </c>
      <c r="E24" s="68">
        <f t="shared" si="4"/>
        <v>2400</v>
      </c>
      <c r="F24" s="68">
        <f t="shared" si="4"/>
        <v>204000</v>
      </c>
      <c r="G24" s="89">
        <f t="shared" si="4"/>
        <v>71061</v>
      </c>
    </row>
    <row r="27" spans="1:7" x14ac:dyDescent="0.35">
      <c r="G27" s="21">
        <v>22551</v>
      </c>
    </row>
    <row r="28" spans="1:7" x14ac:dyDescent="0.35">
      <c r="G28" s="142">
        <f>+G24+G27</f>
        <v>93612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122400</v>
      </c>
      <c r="K4" s="233">
        <f t="shared" ref="K4" si="0">D7+D11+D15</f>
        <v>14688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60</v>
      </c>
      <c r="C5" s="29">
        <f>IF(DigitaNICA!C13&lt;&gt;"",DigitaNICA!C13,"")</f>
        <v>26450</v>
      </c>
      <c r="D5" s="42">
        <f>IF(C5="",0,C5*J$10)</f>
        <v>3174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23276</v>
      </c>
      <c r="I5" s="220" t="s">
        <v>37</v>
      </c>
      <c r="J5" s="234">
        <f>SUM(IF(C5="",0,C5),IF(C9="",0,C9),IF(C13="",0,C13),IF(C17="",0,C17))</f>
        <v>43850</v>
      </c>
      <c r="K5" s="235">
        <f t="shared" ref="K5" si="2">D5+D9+D13+D17</f>
        <v>5262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IF(DigitaTICA!C13&lt;&gt;"",DigitaTICA!C13,"")</f>
        <v>44600</v>
      </c>
      <c r="D7" s="42">
        <f>IF(C7="",0,C7*J$9)</f>
        <v>5352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39248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IF(DigitaNICA!E13&lt;&gt;"",DigitaNICA!E13,"")</f>
        <v>9500</v>
      </c>
      <c r="D9" s="42">
        <f>IF(C9="",0,C9*J$10)</f>
        <v>1140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8360</v>
      </c>
      <c r="I9" s="60" t="s">
        <v>36</v>
      </c>
      <c r="J9" s="61">
        <v>0.12</v>
      </c>
      <c r="K9" s="62">
        <f>MROUND(D7+D11+D15,50)</f>
        <v>14700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5250</v>
      </c>
    </row>
    <row r="11" spans="1:12" ht="15" thickBot="1" x14ac:dyDescent="0.4">
      <c r="A11" s="28" t="s">
        <v>59</v>
      </c>
      <c r="B11" s="133">
        <f>IF(DigitaTICA!E2&lt;&gt;"",DigitaTICA!E2,"")</f>
        <v>76</v>
      </c>
      <c r="C11" s="29">
        <f>IF(DigitaTICA!E13&lt;&gt;"",DigitaTICA!E13,"")</f>
        <v>28300</v>
      </c>
      <c r="D11" s="42">
        <f>IF(C11="",0,C11*J$9)</f>
        <v>3396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24904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>
        <f>IF(DigitaNICA!G13&lt;&gt;"",DigitaNICA!G13,"")</f>
        <v>4200</v>
      </c>
      <c r="D13" s="42">
        <f>IF(C13="",0,C13*J$10)</f>
        <v>504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3696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IF(DigitaTICA!G13&lt;&gt;"",DigitaTICA!G13,"")</f>
        <v>49500</v>
      </c>
      <c r="D15" s="42">
        <f>IF(C15="",0,C15*J$9)</f>
        <v>5940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43560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>
        <f>IF(DigitaNICA!I13&lt;&gt;"",DigitaNICA!I13,"")</f>
        <v>3700</v>
      </c>
      <c r="D17" s="42">
        <f>IF(C17="",0,C17*J$10)</f>
        <v>444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3256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166250</v>
      </c>
      <c r="D19" s="68">
        <f>MROUND(SUM(D5:D18),50)</f>
        <v>19950</v>
      </c>
      <c r="E19" s="68">
        <f>SUM(E5:E18)</f>
        <v>0</v>
      </c>
      <c r="F19" s="68">
        <f>SUM(F5:F18)</f>
        <v>0</v>
      </c>
      <c r="G19" s="89">
        <f>SUM(G5:G18)</f>
        <v>146300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140750</v>
      </c>
      <c r="K4" s="238">
        <f t="shared" ref="K4" si="0">D7+D11+D15</f>
        <v>21112.5</v>
      </c>
      <c r="L4" s="239">
        <f>F7+F11+F15</f>
        <v>80000</v>
      </c>
    </row>
    <row r="5" spans="1:12" x14ac:dyDescent="0.35">
      <c r="A5" s="28" t="s">
        <v>43</v>
      </c>
      <c r="B5" s="133">
        <f>IF(DigitaNICA!C2&lt;&gt;"",DigitaNICA!C2,"")</f>
        <v>60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>
        <f>IF(DigitaTICA!C14&lt;&gt;"",DigitaTICA!C14,"")</f>
        <v>63500</v>
      </c>
      <c r="D7" s="42">
        <f>IF(C7="",0,C7*J$9)</f>
        <v>9525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13975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21100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76</v>
      </c>
      <c r="C11" s="29">
        <f>IF(DigitaTICA!E14&lt;&gt;"",DigitaTICA!E14,"")</f>
        <v>31650</v>
      </c>
      <c r="D11" s="42">
        <f>IF(C11="",0,C11*J$9)</f>
        <v>4747.5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26902.5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>
        <f>IF(DigitaTICA!G14&lt;&gt;"",DigitaTICA!G14,"")</f>
        <v>45600</v>
      </c>
      <c r="D15" s="42">
        <f>IF(C15="",0,C15*J$9)</f>
        <v>6840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-1240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140750</v>
      </c>
      <c r="D19" s="68">
        <f>MROUND(SUM(D5:D18),50)</f>
        <v>21100</v>
      </c>
      <c r="E19" s="68">
        <f>SUM(E5:E18)</f>
        <v>1000</v>
      </c>
      <c r="F19" s="68">
        <f>SUM(F5:F18)</f>
        <v>80000</v>
      </c>
      <c r="G19" s="89">
        <f>SUM(G5:G18)</f>
        <v>39637.5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54550</v>
      </c>
      <c r="K4" s="233">
        <f>D7+D11+D15</f>
        <v>6546</v>
      </c>
      <c r="L4" s="222">
        <f>F7+F11+F15</f>
        <v>276250</v>
      </c>
    </row>
    <row r="5" spans="1:12" x14ac:dyDescent="0.35">
      <c r="A5" s="28" t="s">
        <v>43</v>
      </c>
      <c r="B5" s="133">
        <f>IF(DigitaNICA!C2&lt;&gt;"",DigitaNICA!C2,"")</f>
        <v>60</v>
      </c>
      <c r="C5" s="29">
        <f>IF(DigitaNICA!C16&lt;&gt;"",DigitaNICA!C16,"")</f>
        <v>8100</v>
      </c>
      <c r="D5" s="42">
        <f>IF(C5="",0,C5*J$12)</f>
        <v>972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7128</v>
      </c>
      <c r="I5" s="63" t="s">
        <v>37</v>
      </c>
      <c r="J5" s="227">
        <f>SUM(IF(C5="",0,C5),IF(C9="",0,C9),IF(C13="",0,C13),IF(C17="",0,C17))</f>
        <v>36000</v>
      </c>
      <c r="K5" s="227">
        <f t="shared" ref="K5" si="1">D5+D9+D13+D17</f>
        <v>4320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1100</v>
      </c>
      <c r="K6" s="228">
        <f t="shared" ref="K6" si="2">+D8+D12+D16</f>
        <v>110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99</v>
      </c>
      <c r="C7" s="29">
        <f>IF(DigitaTICA!C16&lt;&gt;"",DigitaTICA!C16,"")</f>
        <v>13000</v>
      </c>
      <c r="D7" s="42">
        <f>IF(C7="",0,C7*J$11)</f>
        <v>1560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11440</v>
      </c>
      <c r="I7" s="63" t="s">
        <v>96</v>
      </c>
      <c r="J7" s="228">
        <f>SUM(IF(C19="",0,C19),IF(C20="",0,C20))</f>
        <v>1600</v>
      </c>
      <c r="K7" s="228">
        <f>+D19+D20</f>
        <v>192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IF(DigitaNICA!E16&lt;&gt;"",DigitaNICA!E16,"")</f>
        <v>7400</v>
      </c>
      <c r="D9" s="42">
        <f>IF(C9="",0,C9*J$12)</f>
        <v>888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6512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76</v>
      </c>
      <c r="C11" s="29">
        <f>IF(DigitaTICA!E16&lt;&gt;"",DigitaTICA!E16,"")</f>
        <v>16800</v>
      </c>
      <c r="D11" s="42">
        <f>IF(C11="",0,C11*J$11)</f>
        <v>2016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14784</v>
      </c>
      <c r="I11" s="77" t="s">
        <v>36</v>
      </c>
      <c r="J11" s="78">
        <v>0.12</v>
      </c>
      <c r="K11" s="79">
        <f>MROUND(D7+D11+D15,50)</f>
        <v>6550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4300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3" t="str">
        <f>IF(DigitaTICA!G2&lt;&gt;"",DigitaTICA!G2,"")</f>
        <v>08</v>
      </c>
      <c r="C15" s="29">
        <f>IF(DigitaTICA!G16&lt;&gt;"",DigitaTICA!G16,"")</f>
        <v>24750</v>
      </c>
      <c r="D15" s="42">
        <f>IF(C15="",0,C15*J$11)</f>
        <v>2970</v>
      </c>
      <c r="E15" s="29">
        <f>IF(DigitaTICA!H16&lt;&gt;"",DigitaTICA!H16,"")</f>
        <v>3250</v>
      </c>
      <c r="F15" s="134">
        <f>IF(E15="",0,E15*PREMIOS!F15)</f>
        <v>276250</v>
      </c>
      <c r="G15" s="30">
        <f t="shared" si="3"/>
        <v>-254470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1100</v>
      </c>
      <c r="D16" s="42">
        <f>IF(C16="",0,C16*J$13)</f>
        <v>110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990</v>
      </c>
    </row>
    <row r="17" spans="1:7" x14ac:dyDescent="0.35">
      <c r="A17" s="28" t="s">
        <v>52</v>
      </c>
      <c r="B17" s="133">
        <f>IF(DigitaNICA!I2&lt;&gt;"",DigitaNICA!I2,"")</f>
        <v>70</v>
      </c>
      <c r="C17" s="29">
        <f>IF(DigitaNICA!I16&lt;&gt;"",DigitaNICA!I16,"")</f>
        <v>20500</v>
      </c>
      <c r="D17" s="42">
        <f>IF(C17="",0,C17*J$12)</f>
        <v>2460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18040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IF(DigitaPRIMERA!C16&lt;&gt;"",DigitaPRIMERA!C16,"")</f>
        <v>1200</v>
      </c>
      <c r="D19" s="42">
        <f>IF(C19="",0,C19*J$14)</f>
        <v>144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1056</v>
      </c>
    </row>
    <row r="20" spans="1:7" x14ac:dyDescent="0.35">
      <c r="A20" s="28" t="s">
        <v>98</v>
      </c>
      <c r="B20" s="133" t="str">
        <f>IF(DigitaPRIMERA!E2&lt;&gt;"",DigitaPRIMERA!E2,"")</f>
        <v>01</v>
      </c>
      <c r="C20" s="29">
        <f>IF(DigitaPRIMERA!E16&lt;&gt;"",DigitaPRIMERA!E16,"")</f>
        <v>400</v>
      </c>
      <c r="D20" s="42">
        <f>IF(C20="",0,C20*J$14)</f>
        <v>48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352</v>
      </c>
    </row>
    <row r="21" spans="1:7" x14ac:dyDescent="0.35">
      <c r="A21" s="28" t="s">
        <v>99</v>
      </c>
      <c r="B21" s="133" t="str">
        <f>IF(DigitaHONDURAS!C2&lt;&gt;"",DigitaHONDURAS!C2,"")</f>
        <v>04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93250</v>
      </c>
      <c r="D24" s="123">
        <f t="shared" ref="D24:G24" si="5">SUM(D5:D23)</f>
        <v>11168</v>
      </c>
      <c r="E24" s="123">
        <f t="shared" si="5"/>
        <v>3250</v>
      </c>
      <c r="F24" s="123">
        <f t="shared" si="5"/>
        <v>276250</v>
      </c>
      <c r="G24" s="124">
        <f t="shared" si="5"/>
        <v>-194168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447450</v>
      </c>
      <c r="K4" s="233">
        <f t="shared" ref="K4" si="0">D7+D11+D15</f>
        <v>53694</v>
      </c>
      <c r="L4" s="222">
        <f>F7+F11+F15</f>
        <v>327250</v>
      </c>
    </row>
    <row r="5" spans="1:12" x14ac:dyDescent="0.35">
      <c r="A5" s="28" t="s">
        <v>43</v>
      </c>
      <c r="B5" s="133">
        <f>IF(DigitaNICA!C2&lt;&gt;"",DigitaNICA!C2,"")</f>
        <v>60</v>
      </c>
      <c r="C5" s="90">
        <f>IF(DigitaNICA!C17&lt;&gt;"",DigitaNICA!C17,"")</f>
        <v>105000</v>
      </c>
      <c r="D5" s="42">
        <f>IF(C5="",0,C5*J$16)</f>
        <v>12600</v>
      </c>
      <c r="E5" s="90">
        <f>IF(DigitaNICA!D17&lt;&gt;"",DigitaNICA!D17,"")</f>
        <v>700</v>
      </c>
      <c r="F5" s="42">
        <f>IF(E5="",0,E5*PREMIOS!F5)</f>
        <v>59500</v>
      </c>
      <c r="G5" s="91">
        <f t="shared" ref="G5:G12" si="1">IF(OR(C5="",E5=""),0,C5-D5-F5)</f>
        <v>32900</v>
      </c>
      <c r="I5" s="219" t="s">
        <v>37</v>
      </c>
      <c r="J5" s="223">
        <f>SUM(IF(C5="",0,C5),IF(C9="",0,C9),IF(C13="",0,C13),IF(C17="",0,C17))</f>
        <v>475250</v>
      </c>
      <c r="K5" s="227">
        <f t="shared" ref="K5" si="2">D5+D9+D13+D17</f>
        <v>57030</v>
      </c>
      <c r="L5" s="224">
        <f>F5+F9+F13+F17</f>
        <v>399500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86400</v>
      </c>
      <c r="K6" s="228">
        <f t="shared" ref="K6" si="3">+D8+D12+D16</f>
        <v>8640</v>
      </c>
      <c r="L6" s="229">
        <f>+F8+F12+F16</f>
        <v>200000</v>
      </c>
    </row>
    <row r="7" spans="1:12" x14ac:dyDescent="0.35">
      <c r="A7" s="28" t="s">
        <v>46</v>
      </c>
      <c r="B7" s="133">
        <f>IF(DigitaTICA!C2&lt;&gt;"",DigitaTICA!C2,"")</f>
        <v>99</v>
      </c>
      <c r="C7" s="90">
        <f>IF(DigitaTICA!C17&lt;&gt;"",DigitaTICA!C17,"")</f>
        <v>134950</v>
      </c>
      <c r="D7" s="42">
        <f>IF(C7="",0,C7*J$15)</f>
        <v>16194</v>
      </c>
      <c r="E7" s="90">
        <f>IF(DigitaTICA!D17&lt;&gt;"",DigitaTICA!D17,"")</f>
        <v>1900</v>
      </c>
      <c r="F7" s="42">
        <f>IF(E7="",0,E7*PREMIOS!F7)</f>
        <v>161500</v>
      </c>
      <c r="G7" s="91">
        <f t="shared" si="1"/>
        <v>-42744</v>
      </c>
      <c r="I7" s="219" t="s">
        <v>96</v>
      </c>
      <c r="J7" s="225">
        <f>SUM(IF(C19="",0,C19),IF(C20="",0,C20))</f>
        <v>123550</v>
      </c>
      <c r="K7" s="228">
        <f>+D19+D20</f>
        <v>14826</v>
      </c>
      <c r="L7" s="229">
        <f>+F19+F20</f>
        <v>51000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20450</v>
      </c>
      <c r="D8" s="42">
        <f>IF(C8="",0,C8*J$17)</f>
        <v>2045</v>
      </c>
      <c r="E8" s="90">
        <f>IF(DigitaREVENTADO!D17&lt;&gt;"",DigitaREVENTADO!D17,"")</f>
        <v>1000</v>
      </c>
      <c r="F8" s="42">
        <f>IF(E8="",0,E8*PREMIOS!F8)</f>
        <v>200000</v>
      </c>
      <c r="G8" s="91">
        <f t="shared" si="1"/>
        <v>-181595</v>
      </c>
      <c r="I8" s="219" t="s">
        <v>104</v>
      </c>
      <c r="J8" s="225">
        <f>SUM(IF(C21="",0,C21),IF(C22="",0,C22),IF(C23="",0,C23))</f>
        <v>68650</v>
      </c>
      <c r="K8" s="228">
        <f t="shared" ref="K8" si="4">D21+D22+D23</f>
        <v>8238</v>
      </c>
      <c r="L8" s="229">
        <f>F21+F22+F23</f>
        <v>72250</v>
      </c>
    </row>
    <row r="9" spans="1:12" x14ac:dyDescent="0.35">
      <c r="A9" s="28" t="s">
        <v>48</v>
      </c>
      <c r="B9" s="133">
        <f>IF(DigitaNICA!E2&lt;&gt;"",DigitaNICA!E2,"")</f>
        <v>88</v>
      </c>
      <c r="C9" s="90">
        <f>IF(DigitaNICA!E17&lt;&gt;"",DigitaNICA!E17,"")</f>
        <v>108500</v>
      </c>
      <c r="D9" s="42">
        <f>IF(C9="",0,C9*J$16)</f>
        <v>13020</v>
      </c>
      <c r="E9" s="90">
        <f>IF(DigitaNICA!F17&lt;&gt;"",DigitaNICA!F17,"")</f>
        <v>1050</v>
      </c>
      <c r="F9" s="42">
        <f>IF(E9="",0,E9*PREMIOS!F9)</f>
        <v>89250</v>
      </c>
      <c r="G9" s="91">
        <f t="shared" si="1"/>
        <v>6230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76</v>
      </c>
      <c r="C11" s="90">
        <f>IF(DigitaTICA!E17&lt;&gt;"",DigitaTICA!E17,"")</f>
        <v>119100</v>
      </c>
      <c r="D11" s="42">
        <f>IF(C11="",0,C11*J$15)</f>
        <v>14292</v>
      </c>
      <c r="E11" s="90">
        <f>IF(DigitaTICA!F17&lt;&gt;"",DigitaTICA!F17,"")</f>
        <v>150</v>
      </c>
      <c r="F11" s="42">
        <f>IF(E11="",0,E11*PREMIOS!F11)</f>
        <v>12750</v>
      </c>
      <c r="G11" s="91">
        <f t="shared" si="1"/>
        <v>92058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29250</v>
      </c>
      <c r="D12" s="42">
        <f>IF(C12="",0,C12*J$17)</f>
        <v>2925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26325</v>
      </c>
    </row>
    <row r="13" spans="1:12" ht="15" thickBot="1" x14ac:dyDescent="0.4">
      <c r="A13" s="28" t="s">
        <v>50</v>
      </c>
      <c r="B13" s="133">
        <f>IF(DigitaNICA!G2&lt;&gt;"",DigitaNICA!G2,"")</f>
        <v>71</v>
      </c>
      <c r="C13" s="90">
        <f>IF(DigitaNICA!G17&lt;&gt;"",DigitaNICA!G17,"")</f>
        <v>88900</v>
      </c>
      <c r="D13" s="42">
        <f>IF(C13="",0,C13*J$16)</f>
        <v>10668</v>
      </c>
      <c r="E13" s="90">
        <f>IF(DigitaNICA!H17&lt;&gt;"",DigitaNICA!H17,"")</f>
        <v>500</v>
      </c>
      <c r="F13" s="42">
        <f>IF(E13="",0,E13*PREMIOS!F13)</f>
        <v>42500</v>
      </c>
      <c r="G13" s="91">
        <f>IF(OR(C13="",E13=""),0,C13-D13-F13)</f>
        <v>35732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08</v>
      </c>
      <c r="C15" s="90">
        <f>IF(DigitaTICA!G17&lt;&gt;"",DigitaTICA!G17,"")</f>
        <v>193400</v>
      </c>
      <c r="D15" s="42">
        <f>IF(C15="",0,C15*J$15)</f>
        <v>23208</v>
      </c>
      <c r="E15" s="90">
        <f>IF(DigitaTICA!H17&lt;&gt;"",DigitaTICA!H17,"")</f>
        <v>1800</v>
      </c>
      <c r="F15" s="42">
        <f>IF(E15="",0,E15*PREMIOS!F15)</f>
        <v>153000</v>
      </c>
      <c r="G15" s="91">
        <f t="shared" si="6"/>
        <v>17192</v>
      </c>
      <c r="I15" s="77" t="s">
        <v>36</v>
      </c>
      <c r="J15" s="78">
        <v>0.12</v>
      </c>
      <c r="K15" s="79">
        <f>MROUND(D7+D11+D15,50)</f>
        <v>53700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36700</v>
      </c>
      <c r="D16" s="42">
        <f>IF(C16="",0,C16*J$17)</f>
        <v>3670</v>
      </c>
      <c r="E16" s="90">
        <f>IF(DigitaREVENTADO!H17&lt;&gt;"",DigitaREVENTADO!H17,"")</f>
        <v>100</v>
      </c>
      <c r="F16" s="42">
        <f>IF(E16="",0,E16*PREMIOS!F16)</f>
        <v>0</v>
      </c>
      <c r="G16" s="91">
        <f t="shared" si="6"/>
        <v>33030</v>
      </c>
      <c r="I16" s="63" t="s">
        <v>37</v>
      </c>
      <c r="J16" s="64">
        <v>0.12</v>
      </c>
      <c r="K16" s="30">
        <f>MROUND(D5+D9+D13+D17,50)</f>
        <v>57050</v>
      </c>
    </row>
    <row r="17" spans="1:11" x14ac:dyDescent="0.35">
      <c r="A17" s="28" t="s">
        <v>52</v>
      </c>
      <c r="B17" s="133">
        <f>IF(DigitaNICA!I2&lt;&gt;"",DigitaNICA!I2,"")</f>
        <v>70</v>
      </c>
      <c r="C17" s="90">
        <f>IF(DigitaNICA!I17&lt;&gt;"",DigitaNICA!I17,"")</f>
        <v>172850</v>
      </c>
      <c r="D17" s="42">
        <f>IF(C17="",0,C17*J$16)</f>
        <v>20742</v>
      </c>
      <c r="E17" s="90">
        <f>IF(DigitaNICA!J17&lt;&gt;"",DigitaNICA!J17,"")</f>
        <v>2450</v>
      </c>
      <c r="F17" s="42">
        <f>IF(E17="",0,E17*PREMIOS!F17)</f>
        <v>208250</v>
      </c>
      <c r="G17" s="91">
        <f t="shared" si="6"/>
        <v>-56142</v>
      </c>
      <c r="I17" s="63" t="s">
        <v>38</v>
      </c>
      <c r="J17" s="64">
        <v>0.1</v>
      </c>
      <c r="K17" s="30">
        <f>MROUND(D6+D8+D10+D12+D14+D16+D18,50)</f>
        <v>8650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14850</v>
      </c>
    </row>
    <row r="19" spans="1:11" x14ac:dyDescent="0.35">
      <c r="A19" s="28" t="s">
        <v>97</v>
      </c>
      <c r="B19" s="133">
        <f>IF(DigitaPRIMERA!C2&lt;&gt;"",DigitaPRIMERA!C2,"")</f>
        <v>26</v>
      </c>
      <c r="C19" s="29">
        <f>IF(DigitaPRIMERA!$C$17&lt;&gt;"",DigitaPRIMERA!$C$17,"")</f>
        <v>83000</v>
      </c>
      <c r="D19" s="42">
        <f>IF(C19="",0,C19*J$18)</f>
        <v>9960</v>
      </c>
      <c r="E19" s="29">
        <f>IF(DigitaPRIMERA!$D$17&lt;&gt;"",DigitaPRIMERA!$D$17,"")</f>
        <v>300</v>
      </c>
      <c r="F19" s="42">
        <f>IF(E19="",0,E19*PREMIOS!F19)</f>
        <v>25500</v>
      </c>
      <c r="G19" s="30">
        <f t="shared" si="6"/>
        <v>47540</v>
      </c>
      <c r="I19" s="63" t="s">
        <v>104</v>
      </c>
      <c r="J19" s="64">
        <v>0.12</v>
      </c>
      <c r="K19" s="30">
        <f>MROUND(D21+D22+D23,50)</f>
        <v>8250</v>
      </c>
    </row>
    <row r="20" spans="1:11" x14ac:dyDescent="0.35">
      <c r="A20" s="28" t="s">
        <v>98</v>
      </c>
      <c r="B20" s="133" t="str">
        <f>IF(DigitaPRIMERA!E2&lt;&gt;"",DigitaPRIMERA!E2,"")</f>
        <v>01</v>
      </c>
      <c r="C20" s="29">
        <f>IF(DigitaPRIMERA!$E$17&lt;&gt;"",DigitaPRIMERA!$E$17,"")</f>
        <v>40550</v>
      </c>
      <c r="D20" s="42">
        <f>IF(C20="",0,C20*J$18)</f>
        <v>4866</v>
      </c>
      <c r="E20" s="29">
        <f>IF(DigitaPRIMERA!$F$17&lt;&gt;"",DigitaPRIMERA!$F$17,"")</f>
        <v>300</v>
      </c>
      <c r="F20" s="42">
        <f>IF(E20="",0,E20*PREMIOS!F19)</f>
        <v>25500</v>
      </c>
      <c r="G20" s="30">
        <f t="shared" si="6"/>
        <v>10184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04</v>
      </c>
      <c r="C21" s="29">
        <f>IF(DigitaHONDURAS!$C$17&lt;&gt;"",DigitaHONDURAS!$C$17,"")</f>
        <v>34800</v>
      </c>
      <c r="D21" s="42">
        <f>IF(C21="",0,C21*J$19)</f>
        <v>4176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22124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IF(DigitaHONDURAS!$E$17&lt;&gt;"",DigitaHONDURAS!$E$17,"")</f>
        <v>4650</v>
      </c>
      <c r="D22" s="42">
        <f>IF(C22="",0,C22*J$19)</f>
        <v>558</v>
      </c>
      <c r="E22" s="29">
        <f>IF(DigitaHONDURAS!$F$17&lt;&gt;"",DigitaHONDURAS!$F$17,"")</f>
        <v>250</v>
      </c>
      <c r="F22" s="42">
        <f>IF(E22="",0,E22*PREMIOS!F20)</f>
        <v>21250</v>
      </c>
      <c r="G22" s="30">
        <f t="shared" si="6"/>
        <v>-17158</v>
      </c>
    </row>
    <row r="23" spans="1:11" x14ac:dyDescent="0.35">
      <c r="A23" s="28" t="s">
        <v>101</v>
      </c>
      <c r="B23" s="133">
        <f>IF(DigitaHONDURAS!G2&lt;&gt;"",DigitaHONDURAS!G2,"")</f>
        <v>10</v>
      </c>
      <c r="C23" s="29">
        <f>IF(DigitaHONDURAS!$G$17&lt;&gt;"",DigitaHONDURAS!$G$17,"")</f>
        <v>29200</v>
      </c>
      <c r="D23" s="42">
        <f>IF(C23="",0,C23*J$19)</f>
        <v>3504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-16804</v>
      </c>
    </row>
    <row r="24" spans="1:11" x14ac:dyDescent="0.35">
      <c r="A24" s="28" t="s">
        <v>102</v>
      </c>
      <c r="B24" s="133">
        <f>IF(DigitaDOMINICANA!C2&lt;&gt;"",DigitaDOMINICANA!C2,"")</f>
        <v>98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1201300</v>
      </c>
      <c r="D27" s="68">
        <f t="shared" ref="D27:G27" si="7">SUM(D5:D26)</f>
        <v>142428</v>
      </c>
      <c r="E27" s="68">
        <f t="shared" si="7"/>
        <v>11100</v>
      </c>
      <c r="F27" s="68">
        <f t="shared" si="7"/>
        <v>1050000</v>
      </c>
      <c r="G27" s="89">
        <f t="shared" si="7"/>
        <v>8872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210500</v>
      </c>
      <c r="K4" s="233">
        <f t="shared" ref="K4" si="0">D7+D11+D15</f>
        <v>25260</v>
      </c>
      <c r="L4" s="222">
        <f>F7+F11+F15</f>
        <v>544000</v>
      </c>
    </row>
    <row r="5" spans="1:12" x14ac:dyDescent="0.35">
      <c r="A5" s="28" t="str">
        <f>+Vendedor1!A5</f>
        <v>Nica 11am</v>
      </c>
      <c r="B5" s="133">
        <f>IF(DigitaNICA!C2&lt;&gt;"",DigitaNICA!C2,"")</f>
        <v>60</v>
      </c>
      <c r="C5" s="29">
        <f>IF(DigitaNICA!C18&lt;&gt;"",DigitaNICA!C18,"")</f>
        <v>41100</v>
      </c>
      <c r="D5" s="42">
        <f>IF(C5="",0,C5*J$16)</f>
        <v>4932</v>
      </c>
      <c r="E5" s="29">
        <f>IF(DigitaNICA!D18&lt;&gt;"",DigitaNICA!D18,"")</f>
        <v>800</v>
      </c>
      <c r="F5" s="42">
        <f>IF(E5="",0,E5*PREMIOS!F5)</f>
        <v>68000</v>
      </c>
      <c r="G5" s="30">
        <f t="shared" ref="G5:G12" si="1">IF(OR(C5="",E5=""),0,C5-D5-F5)</f>
        <v>-31832</v>
      </c>
      <c r="I5" s="219" t="s">
        <v>37</v>
      </c>
      <c r="J5" s="223">
        <f>SUM(IF(C5="",0,C5),IF(C9="",0,C9),IF(C13="",0,C13),IF(C17="",0,C17))</f>
        <v>122750</v>
      </c>
      <c r="K5" s="227">
        <f t="shared" ref="K5" si="2">D5+D9+D13+D17</f>
        <v>14730</v>
      </c>
      <c r="L5" s="224">
        <f>F5+F9+F13+F17</f>
        <v>110500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68800</v>
      </c>
      <c r="K6" s="228">
        <f t="shared" ref="K6" si="3">+D8+D12+D16</f>
        <v>6880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99</v>
      </c>
      <c r="C7" s="29">
        <f>IF(DigitaTICA!C18&lt;&gt;"",DigitaTICA!C18,"")</f>
        <v>63800</v>
      </c>
      <c r="D7" s="42">
        <f>IF(C7="",0,C7*J$15)</f>
        <v>7656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13644</v>
      </c>
      <c r="I7" s="219" t="s">
        <v>96</v>
      </c>
      <c r="J7" s="225">
        <f>SUM(IF(C19="",0,C19),IF(C20="",0,C20))</f>
        <v>88650</v>
      </c>
      <c r="K7" s="228">
        <f>+D19+D20</f>
        <v>10638</v>
      </c>
      <c r="L7" s="229">
        <f>+F19+F20</f>
        <v>76500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21300</v>
      </c>
      <c r="D8" s="42">
        <f>IF(C8="",0,C8*J$17)</f>
        <v>2130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-830</v>
      </c>
      <c r="I8" s="219" t="s">
        <v>104</v>
      </c>
      <c r="J8" s="225">
        <f>SUM(IF(C21="",0,C21),IF(C22="",0,C22),IF(C23="",0,C23))</f>
        <v>15000</v>
      </c>
      <c r="K8" s="228">
        <f t="shared" ref="K8" si="4">D21+D22+D23</f>
        <v>1800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88</v>
      </c>
      <c r="C9" s="29">
        <f>IF(DigitaNICA!E18&lt;&gt;"",DigitaNICA!E18,"")</f>
        <v>34900</v>
      </c>
      <c r="D9" s="42">
        <f>IF(C9="",0,C9*J$16)</f>
        <v>4188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-3288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76</v>
      </c>
      <c r="C11" s="29">
        <f>IF(DigitaTICA!E18&lt;&gt;"",DigitaTICA!E18,"")</f>
        <v>48400</v>
      </c>
      <c r="D11" s="42">
        <f>IF(C11="",0,C11*J$15)</f>
        <v>5808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42592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18850</v>
      </c>
      <c r="D12" s="42">
        <f>IF(C12="",0,C12*J$17)</f>
        <v>1885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16965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71</v>
      </c>
      <c r="C13" s="29">
        <f>IF(DigitaNICA!G18&lt;&gt;"",DigitaNICA!G18,"")</f>
        <v>40200</v>
      </c>
      <c r="D13" s="42">
        <f>IF(C13="",0,C13*J$16)</f>
        <v>4824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26876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08</v>
      </c>
      <c r="C15" s="29">
        <f>IF(DigitaTICA!G18&lt;&gt;"",DigitaTICA!G18,"")</f>
        <v>98300</v>
      </c>
      <c r="D15" s="42">
        <f>IF(C15="",0,C15*J$15)</f>
        <v>11796</v>
      </c>
      <c r="E15" s="29">
        <f>IF(DigitaTICA!H18&lt;&gt;"",DigitaTICA!H18,"")</f>
        <v>5900</v>
      </c>
      <c r="F15" s="42">
        <f>IF(E15="",0,E15*PREMIOS!F15)</f>
        <v>501500</v>
      </c>
      <c r="G15" s="30">
        <f t="shared" si="6"/>
        <v>-414996</v>
      </c>
      <c r="I15" s="77" t="s">
        <v>36</v>
      </c>
      <c r="J15" s="78">
        <v>0.12</v>
      </c>
      <c r="K15" s="79">
        <f>MROUND(D7+D11+D15,50)</f>
        <v>25250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28650</v>
      </c>
      <c r="D16" s="42">
        <f>IF(C16="",0,C16*J$17)</f>
        <v>2865</v>
      </c>
      <c r="E16" s="29">
        <f>IF(DigitaREVENTADO!H18&lt;&gt;"",DigitaREVENTADO!H18,"")</f>
        <v>200</v>
      </c>
      <c r="F16" s="42">
        <f>IF(E16="",0,E16*PREMIOS!F16)</f>
        <v>0</v>
      </c>
      <c r="G16" s="30">
        <f t="shared" si="6"/>
        <v>25785</v>
      </c>
      <c r="I16" s="63" t="s">
        <v>37</v>
      </c>
      <c r="J16" s="64">
        <v>0.12</v>
      </c>
      <c r="K16" s="30">
        <f>MROUND(D5+D9+D13+D17,50)</f>
        <v>14750</v>
      </c>
    </row>
    <row r="17" spans="1:11" x14ac:dyDescent="0.35">
      <c r="A17" s="28" t="str">
        <f>+Vendedor1!A17</f>
        <v>Nica 9pm</v>
      </c>
      <c r="B17" s="133">
        <f>IF(DigitaNICA!I2&lt;&gt;"",DigitaNICA!I2,"")</f>
        <v>70</v>
      </c>
      <c r="C17" s="29">
        <f>IF(DigitaNICA!I18&lt;&gt;"",DigitaNICA!I18,"")</f>
        <v>6550</v>
      </c>
      <c r="D17" s="42">
        <f>IF(C17="",0,C17*J$16)</f>
        <v>786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5764</v>
      </c>
      <c r="I17" s="63" t="s">
        <v>38</v>
      </c>
      <c r="J17" s="64">
        <v>0.1</v>
      </c>
      <c r="K17" s="30">
        <f>MROUND(D6+D8+D10+D12+D14+D16+D18,50)</f>
        <v>6900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10650</v>
      </c>
    </row>
    <row r="19" spans="1:11" x14ac:dyDescent="0.35">
      <c r="A19" s="28" t="s">
        <v>97</v>
      </c>
      <c r="B19" s="133">
        <f>IF(DigitaPRIMERA!C2&lt;&gt;"",DigitaPRIMERA!C2,"")</f>
        <v>26</v>
      </c>
      <c r="C19" s="29">
        <f>IF(DigitaPRIMERA!$C$18&lt;&gt;"",DigitaPRIMERA!$C$18,"")</f>
        <v>49000</v>
      </c>
      <c r="D19" s="42">
        <f>IF(C19="",0,C19*J$18)</f>
        <v>5880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43120</v>
      </c>
      <c r="I19" s="63" t="s">
        <v>104</v>
      </c>
      <c r="J19" s="64">
        <v>0.12</v>
      </c>
      <c r="K19" s="30">
        <f>MROUND(D21+D22+D23,50)</f>
        <v>1800</v>
      </c>
    </row>
    <row r="20" spans="1:11" x14ac:dyDescent="0.35">
      <c r="A20" s="28" t="s">
        <v>98</v>
      </c>
      <c r="B20" s="133" t="str">
        <f>IF(DigitaPRIMERA!E2&lt;&gt;"",DigitaPRIMERA!E2,"")</f>
        <v>01</v>
      </c>
      <c r="C20" s="29">
        <f>IF(DigitaPRIMERA!$E$18&lt;&gt;"",DigitaPRIMERA!$E$18,"")</f>
        <v>39650</v>
      </c>
      <c r="D20" s="42">
        <f>IF(C20="",0,C20*J$18)</f>
        <v>4758</v>
      </c>
      <c r="E20" s="29">
        <f>IF(DigitaPRIMERA!$F$18&lt;&gt;"",DigitaPRIMERA!$F$18,"")</f>
        <v>900</v>
      </c>
      <c r="F20" s="42">
        <f>IF(E20="",0,E20*PREMIOS!F19)</f>
        <v>76500</v>
      </c>
      <c r="G20" s="30">
        <f t="shared" si="6"/>
        <v>-41608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04</v>
      </c>
      <c r="C21" s="29">
        <f>IF(DigitaHONDURAS!$C$18&lt;&gt;"",DigitaHONDURAS!$C$18,"")</f>
        <v>12100</v>
      </c>
      <c r="D21" s="42">
        <f>IF(C21="",0,C21*J$19)</f>
        <v>1452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10648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IF(DigitaHONDURAS!$E$18&lt;&gt;"",DigitaHONDURAS!$E$18,"")</f>
        <v>300</v>
      </c>
      <c r="D22" s="42">
        <f>IF(C22="",0,C22*J$19)</f>
        <v>36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264</v>
      </c>
    </row>
    <row r="23" spans="1:11" x14ac:dyDescent="0.35">
      <c r="A23" s="28" t="s">
        <v>101</v>
      </c>
      <c r="B23" s="133">
        <f>IF(DigitaHONDURAS!G2&lt;&gt;"",DigitaHONDURAS!G2,"")</f>
        <v>10</v>
      </c>
      <c r="C23" s="29">
        <f>IF(DigitaHONDURAS!$G$18&lt;&gt;"",DigitaHONDURAS!$G$18,"")</f>
        <v>2600</v>
      </c>
      <c r="D23" s="42">
        <f>IF(C23="",0,C23*J$19)</f>
        <v>312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2288</v>
      </c>
    </row>
    <row r="24" spans="1:11" x14ac:dyDescent="0.35">
      <c r="A24" s="28" t="s">
        <v>102</v>
      </c>
      <c r="B24" s="133">
        <f>IF(DigitaDOMINICANA!C2&lt;&gt;"",DigitaDOMINICANA!C2,"")</f>
        <v>98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505700</v>
      </c>
      <c r="D27" s="68">
        <f t="shared" ref="D27:G27" si="7">SUM(D5:D26)</f>
        <v>59308</v>
      </c>
      <c r="E27" s="68">
        <f t="shared" si="7"/>
        <v>8900</v>
      </c>
      <c r="F27" s="68">
        <f t="shared" si="7"/>
        <v>751000</v>
      </c>
      <c r="G27" s="89">
        <f t="shared" si="7"/>
        <v>-304608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88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70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99</v>
      </c>
      <c r="D2" s="269"/>
      <c r="E2" s="268">
        <f>IF(PREMIOS!$B11="","",PREMIOS!$B11)</f>
        <v>76</v>
      </c>
      <c r="F2" s="269"/>
      <c r="G2" s="268" t="str">
        <f>IF(PREMIOS!$B15="","",PREMIOS!$B15)</f>
        <v>08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48400</v>
      </c>
      <c r="D4" s="79">
        <v>1100</v>
      </c>
      <c r="E4" s="190">
        <v>28700</v>
      </c>
      <c r="F4" s="79">
        <f t="shared" ref="D4:H27" si="0">IF(E4="","",0)</f>
        <v>0</v>
      </c>
      <c r="G4" s="190">
        <v>92950</v>
      </c>
      <c r="H4" s="79">
        <v>700</v>
      </c>
      <c r="J4" s="42">
        <f t="shared" ref="J4:J8" si="1">+C4+E4+G4</f>
        <v>170050</v>
      </c>
      <c r="K4" s="42">
        <f>IF(D4="",0,IF(F4="",D4,IF(H4="",D4+F4,D4+F4+H4)))</f>
        <v>1800</v>
      </c>
    </row>
    <row r="5" spans="1:11" x14ac:dyDescent="0.35">
      <c r="A5" s="47">
        <v>2</v>
      </c>
      <c r="B5" s="179" t="str">
        <f>Vendedor2!$B$2</f>
        <v>PUESTO 2</v>
      </c>
      <c r="C5" s="181">
        <v>37650</v>
      </c>
      <c r="D5" s="30">
        <f t="shared" si="0"/>
        <v>0</v>
      </c>
      <c r="E5" s="181">
        <v>33900</v>
      </c>
      <c r="F5" s="30">
        <f t="shared" si="0"/>
        <v>0</v>
      </c>
      <c r="G5" s="181">
        <v>76850</v>
      </c>
      <c r="H5" s="30">
        <v>700</v>
      </c>
      <c r="J5" s="42">
        <f t="shared" si="1"/>
        <v>148400</v>
      </c>
      <c r="K5" s="42">
        <f t="shared" ref="K5:K27" si="2">IF(D5="",0,IF(F5="",D5,IF(H5="",D5+F5,D5+F5+H5)))</f>
        <v>700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>
        <v>1000</v>
      </c>
      <c r="D7" s="30">
        <f t="shared" si="0"/>
        <v>0</v>
      </c>
      <c r="E7" s="181">
        <v>1000</v>
      </c>
      <c r="F7" s="30">
        <f t="shared" si="0"/>
        <v>0</v>
      </c>
      <c r="G7" s="181">
        <v>1000</v>
      </c>
      <c r="H7" s="30">
        <f t="shared" si="0"/>
        <v>0</v>
      </c>
      <c r="J7" s="42">
        <f t="shared" si="1"/>
        <v>3000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70500</v>
      </c>
      <c r="D8" s="30">
        <f t="shared" si="0"/>
        <v>0</v>
      </c>
      <c r="E8" s="181">
        <v>62500</v>
      </c>
      <c r="F8" s="30">
        <v>1700</v>
      </c>
      <c r="G8" s="181">
        <v>70300</v>
      </c>
      <c r="H8" s="30">
        <v>500</v>
      </c>
      <c r="J8" s="42">
        <f t="shared" si="1"/>
        <v>203300</v>
      </c>
      <c r="K8" s="42">
        <f t="shared" si="2"/>
        <v>2200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46100+139350</f>
        <v>185450</v>
      </c>
      <c r="D10" s="30">
        <f>1300+2550</f>
        <v>3850</v>
      </c>
      <c r="E10" s="181">
        <f>40850+122500</f>
        <v>163350</v>
      </c>
      <c r="F10" s="30">
        <v>100</v>
      </c>
      <c r="G10" s="181">
        <f>51800+137050</f>
        <v>188850</v>
      </c>
      <c r="H10" s="30">
        <f>250+1050</f>
        <v>1300</v>
      </c>
      <c r="J10" s="42">
        <f t="shared" si="3"/>
        <v>537650</v>
      </c>
      <c r="K10" s="42">
        <f t="shared" si="2"/>
        <v>5250</v>
      </c>
    </row>
    <row r="11" spans="1:11" x14ac:dyDescent="0.35">
      <c r="A11" s="47">
        <v>8</v>
      </c>
      <c r="B11" s="179" t="str">
        <f>Vendedor8!$B$2</f>
        <v>ISA</v>
      </c>
      <c r="C11" s="181">
        <v>2500</v>
      </c>
      <c r="D11" s="30">
        <f t="shared" si="0"/>
        <v>0</v>
      </c>
      <c r="E11" s="181"/>
      <c r="F11" s="30" t="str">
        <f t="shared" si="0"/>
        <v/>
      </c>
      <c r="G11" s="181">
        <v>19000</v>
      </c>
      <c r="H11" s="30">
        <f t="shared" si="0"/>
        <v>0</v>
      </c>
      <c r="J11" s="42">
        <f t="shared" si="3"/>
        <v>21500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54650</v>
      </c>
      <c r="D12" s="30">
        <v>450</v>
      </c>
      <c r="E12" s="181">
        <v>48950</v>
      </c>
      <c r="F12" s="30">
        <v>300</v>
      </c>
      <c r="G12" s="181">
        <v>49450</v>
      </c>
      <c r="H12" s="30">
        <v>300</v>
      </c>
      <c r="J12" s="42">
        <f t="shared" si="3"/>
        <v>153050</v>
      </c>
      <c r="K12" s="42">
        <f t="shared" si="2"/>
        <v>1050</v>
      </c>
    </row>
    <row r="13" spans="1:11" x14ac:dyDescent="0.35">
      <c r="A13" s="47">
        <v>10</v>
      </c>
      <c r="B13" s="179" t="str">
        <f>Vendedor10!$B$2</f>
        <v>MARIALIZ</v>
      </c>
      <c r="C13" s="181">
        <v>44600</v>
      </c>
      <c r="D13" s="30">
        <f t="shared" si="0"/>
        <v>0</v>
      </c>
      <c r="E13" s="181">
        <v>28300</v>
      </c>
      <c r="F13" s="30">
        <f t="shared" si="0"/>
        <v>0</v>
      </c>
      <c r="G13" s="181">
        <v>49500</v>
      </c>
      <c r="H13" s="30">
        <f t="shared" si="0"/>
        <v>0</v>
      </c>
      <c r="J13" s="42">
        <f t="shared" si="3"/>
        <v>122400</v>
      </c>
      <c r="K13" s="42">
        <f t="shared" si="2"/>
        <v>0</v>
      </c>
    </row>
    <row r="14" spans="1:11" x14ac:dyDescent="0.35">
      <c r="A14" s="47">
        <v>11</v>
      </c>
      <c r="B14" s="179" t="str">
        <f>Vendedor11!$B$2</f>
        <v>CHARLY</v>
      </c>
      <c r="C14" s="181">
        <v>63500</v>
      </c>
      <c r="D14" s="30">
        <v>500</v>
      </c>
      <c r="E14" s="181">
        <v>31650</v>
      </c>
      <c r="F14" s="30">
        <f t="shared" si="0"/>
        <v>0</v>
      </c>
      <c r="G14" s="181">
        <v>45600</v>
      </c>
      <c r="H14" s="30">
        <v>500</v>
      </c>
      <c r="J14" s="42">
        <f t="shared" si="3"/>
        <v>140750</v>
      </c>
      <c r="K14" s="42">
        <f t="shared" si="2"/>
        <v>1000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13000</v>
      </c>
      <c r="D16" s="30">
        <f t="shared" si="0"/>
        <v>0</v>
      </c>
      <c r="E16" s="181">
        <v>16800</v>
      </c>
      <c r="F16" s="30">
        <f t="shared" si="0"/>
        <v>0</v>
      </c>
      <c r="G16" s="181">
        <v>24750</v>
      </c>
      <c r="H16" s="30">
        <v>3250</v>
      </c>
      <c r="J16" s="42">
        <f t="shared" si="3"/>
        <v>54550</v>
      </c>
      <c r="K16" s="42">
        <f t="shared" si="2"/>
        <v>3250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110400+24550</f>
        <v>134950</v>
      </c>
      <c r="D17" s="30">
        <f>100+1800</f>
        <v>1900</v>
      </c>
      <c r="E17" s="181">
        <f>83550+35550</f>
        <v>119100</v>
      </c>
      <c r="F17" s="30">
        <f>150+0</f>
        <v>150</v>
      </c>
      <c r="G17" s="181">
        <f>149300+44100</f>
        <v>193400</v>
      </c>
      <c r="H17" s="30">
        <f>1700+100</f>
        <v>1800</v>
      </c>
      <c r="J17" s="42">
        <f t="shared" si="3"/>
        <v>447450</v>
      </c>
      <c r="K17" s="42">
        <f t="shared" si="2"/>
        <v>3850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36400+27400</f>
        <v>63800</v>
      </c>
      <c r="D18" s="30">
        <f>400+100</f>
        <v>500</v>
      </c>
      <c r="E18" s="181">
        <f>18850+29550</f>
        <v>48400</v>
      </c>
      <c r="F18" s="30">
        <f t="shared" si="0"/>
        <v>0</v>
      </c>
      <c r="G18" s="181">
        <f>65650+32650</f>
        <v>98300</v>
      </c>
      <c r="H18" s="30">
        <f>5700+200</f>
        <v>5900</v>
      </c>
      <c r="J18" s="42">
        <f t="shared" si="3"/>
        <v>210500</v>
      </c>
      <c r="K18" s="42">
        <f t="shared" si="2"/>
        <v>6400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720000</v>
      </c>
      <c r="D32" s="44">
        <f t="shared" si="6"/>
        <v>8300</v>
      </c>
      <c r="E32" s="43">
        <f t="shared" si="6"/>
        <v>582650</v>
      </c>
      <c r="F32" s="44">
        <f t="shared" si="6"/>
        <v>2250</v>
      </c>
      <c r="G32" s="43">
        <f t="shared" si="6"/>
        <v>909950</v>
      </c>
      <c r="H32" s="44">
        <f t="shared" si="6"/>
        <v>14950</v>
      </c>
      <c r="J32" s="96">
        <f>SUM(J4:J31)</f>
        <v>2212600</v>
      </c>
      <c r="K32" s="96"/>
    </row>
    <row r="33" spans="2:8" x14ac:dyDescent="0.35">
      <c r="D33" s="100">
        <f>+D32*85</f>
        <v>705500</v>
      </c>
      <c r="F33" s="100">
        <f>+F32*85</f>
        <v>191250</v>
      </c>
      <c r="H33" s="100">
        <f>+H32*85</f>
        <v>1270750</v>
      </c>
    </row>
    <row r="34" spans="2:8" x14ac:dyDescent="0.35">
      <c r="B34" s="249" t="s">
        <v>149</v>
      </c>
      <c r="C34" s="43">
        <f t="shared" ref="C34:H34" si="7">+C4+C5+C6+C8+C13</f>
        <v>201150</v>
      </c>
      <c r="D34" s="43" t="e">
        <f t="shared" si="7"/>
        <v>#VALUE!</v>
      </c>
      <c r="E34" s="43">
        <f t="shared" si="7"/>
        <v>153400</v>
      </c>
      <c r="F34" s="43" t="e">
        <f t="shared" si="7"/>
        <v>#VALUE!</v>
      </c>
      <c r="G34" s="43">
        <f t="shared" si="7"/>
        <v>289600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264750</v>
      </c>
      <c r="D35" s="43" t="e">
        <f t="shared" ref="D35:H35" si="8">+D11+D14+D15+D17+D18</f>
        <v>#VALUE!</v>
      </c>
      <c r="E35" s="43">
        <f t="shared" si="8"/>
        <v>199150</v>
      </c>
      <c r="F35" s="43" t="e">
        <f t="shared" si="8"/>
        <v>#VALUE!</v>
      </c>
      <c r="G35" s="43">
        <f t="shared" si="8"/>
        <v>356300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240100</v>
      </c>
      <c r="D36" s="43" t="e">
        <f t="shared" ref="D36:H36" si="9">+D10+D12+D27</f>
        <v>#VALUE!</v>
      </c>
      <c r="E36" s="43">
        <f t="shared" si="9"/>
        <v>212300</v>
      </c>
      <c r="F36" s="43" t="e">
        <f t="shared" si="9"/>
        <v>#VALUE!</v>
      </c>
      <c r="G36" s="43">
        <f t="shared" si="9"/>
        <v>238300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60</v>
      </c>
      <c r="D2" s="269"/>
      <c r="E2" s="268">
        <f>IF(PREMIOS!$B9="","",PREMIOS!$B9)</f>
        <v>88</v>
      </c>
      <c r="F2" s="269"/>
      <c r="G2" s="268">
        <f>IF(PREMIOS!$B13="","",PREMIOS!$B13)</f>
        <v>71</v>
      </c>
      <c r="H2" s="269"/>
      <c r="I2" s="268">
        <f>IF(PREMIOS!$B17="","",PREMIOS!$B17)</f>
        <v>70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26450</v>
      </c>
      <c r="D4" s="79">
        <f t="shared" ref="D4:J27" si="0">IF(C4="","",0)</f>
        <v>0</v>
      </c>
      <c r="E4" s="207">
        <v>26200</v>
      </c>
      <c r="F4" s="79">
        <v>100</v>
      </c>
      <c r="G4" s="190">
        <v>3300</v>
      </c>
      <c r="H4" s="79">
        <f t="shared" ref="H4:H27" si="1">IF(G4="","",0)</f>
        <v>0</v>
      </c>
      <c r="I4" s="190">
        <v>5900</v>
      </c>
      <c r="J4" s="79">
        <v>100</v>
      </c>
      <c r="L4" s="42">
        <f t="shared" ref="L4:L8" si="2">+C4+E4+G4+I4</f>
        <v>61850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7900</v>
      </c>
      <c r="D5" s="30">
        <f t="shared" si="0"/>
        <v>0</v>
      </c>
      <c r="E5" s="208">
        <v>2450</v>
      </c>
      <c r="F5" s="30">
        <f t="shared" si="0"/>
        <v>0</v>
      </c>
      <c r="G5" s="181">
        <v>4200</v>
      </c>
      <c r="H5" s="30">
        <f t="shared" si="1"/>
        <v>0</v>
      </c>
      <c r="I5" s="181">
        <v>900</v>
      </c>
      <c r="J5" s="30">
        <f t="shared" ref="J5:J27" si="3">IF(I5="","",0)</f>
        <v>0</v>
      </c>
      <c r="L5" s="42">
        <f t="shared" si="2"/>
        <v>15450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72800</v>
      </c>
      <c r="D8" s="30">
        <v>100</v>
      </c>
      <c r="E8" s="208">
        <v>45050</v>
      </c>
      <c r="F8" s="30">
        <f t="shared" si="0"/>
        <v>0</v>
      </c>
      <c r="G8" s="181">
        <v>11800</v>
      </c>
      <c r="H8" s="30">
        <f t="shared" si="1"/>
        <v>0</v>
      </c>
      <c r="I8" s="181">
        <v>29200</v>
      </c>
      <c r="J8" s="30">
        <f t="shared" si="0"/>
        <v>0</v>
      </c>
      <c r="L8" s="42">
        <f t="shared" si="2"/>
        <v>158850</v>
      </c>
      <c r="M8" s="42">
        <f t="shared" si="4"/>
        <v>100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24000+60750</f>
        <v>84750</v>
      </c>
      <c r="D10" s="30">
        <f>100+0</f>
        <v>100</v>
      </c>
      <c r="E10" s="208">
        <f>28100+63800</f>
        <v>91900</v>
      </c>
      <c r="F10" s="30">
        <v>200</v>
      </c>
      <c r="G10" s="181">
        <f>17350+28900</f>
        <v>46250</v>
      </c>
      <c r="H10" s="30">
        <f>250+0</f>
        <v>250</v>
      </c>
      <c r="I10" s="181">
        <f>28050+67400</f>
        <v>95450</v>
      </c>
      <c r="J10" s="30">
        <f>1100+1450</f>
        <v>2550</v>
      </c>
      <c r="L10" s="42">
        <f t="shared" si="5"/>
        <v>318350</v>
      </c>
      <c r="M10" s="42">
        <f t="shared" si="4"/>
        <v>3100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59450</v>
      </c>
      <c r="D12" s="30">
        <v>600</v>
      </c>
      <c r="E12" s="208">
        <v>44250</v>
      </c>
      <c r="F12" s="30">
        <v>300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103700</v>
      </c>
      <c r="M12" s="42">
        <f t="shared" si="4"/>
        <v>900</v>
      </c>
    </row>
    <row r="13" spans="1:13" x14ac:dyDescent="0.35">
      <c r="A13" s="47">
        <v>10</v>
      </c>
      <c r="B13" s="179" t="str">
        <f>Vendedor10!$B$2</f>
        <v>MARIALIZ</v>
      </c>
      <c r="C13" s="181">
        <v>26450</v>
      </c>
      <c r="D13" s="30">
        <f t="shared" si="0"/>
        <v>0</v>
      </c>
      <c r="E13" s="208">
        <v>9500</v>
      </c>
      <c r="F13" s="30">
        <f t="shared" si="0"/>
        <v>0</v>
      </c>
      <c r="G13" s="181">
        <v>4200</v>
      </c>
      <c r="H13" s="30">
        <f t="shared" si="0"/>
        <v>0</v>
      </c>
      <c r="I13" s="181">
        <v>3700</v>
      </c>
      <c r="J13" s="30">
        <f t="shared" si="0"/>
        <v>0</v>
      </c>
      <c r="L13" s="42">
        <f t="shared" si="5"/>
        <v>43850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8100</v>
      </c>
      <c r="D16" s="30">
        <f t="shared" si="0"/>
        <v>0</v>
      </c>
      <c r="E16" s="208">
        <v>7400</v>
      </c>
      <c r="F16" s="30">
        <f t="shared" si="0"/>
        <v>0</v>
      </c>
      <c r="G16" s="181"/>
      <c r="H16" s="30" t="str">
        <f t="shared" si="0"/>
        <v/>
      </c>
      <c r="I16" s="181">
        <v>20500</v>
      </c>
      <c r="J16" s="30">
        <f t="shared" si="0"/>
        <v>0</v>
      </c>
      <c r="L16" s="42">
        <f t="shared" si="5"/>
        <v>36000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105000</v>
      </c>
      <c r="D17" s="30">
        <v>700</v>
      </c>
      <c r="E17" s="208">
        <v>108500</v>
      </c>
      <c r="F17" s="30">
        <v>1050</v>
      </c>
      <c r="G17" s="181">
        <v>88900</v>
      </c>
      <c r="H17" s="30">
        <v>500</v>
      </c>
      <c r="I17" s="181">
        <v>172850</v>
      </c>
      <c r="J17" s="30">
        <v>2450</v>
      </c>
      <c r="L17" s="42">
        <f t="shared" si="5"/>
        <v>475250</v>
      </c>
      <c r="M17" s="42">
        <f t="shared" si="4"/>
        <v>4700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41100</v>
      </c>
      <c r="D18" s="30">
        <v>800</v>
      </c>
      <c r="E18" s="208">
        <v>34900</v>
      </c>
      <c r="F18" s="30">
        <v>400</v>
      </c>
      <c r="G18" s="181">
        <v>40200</v>
      </c>
      <c r="H18" s="30">
        <v>100</v>
      </c>
      <c r="I18" s="181">
        <v>6550</v>
      </c>
      <c r="J18" s="30">
        <f t="shared" si="3"/>
        <v>0</v>
      </c>
      <c r="L18" s="42">
        <f t="shared" si="5"/>
        <v>122750</v>
      </c>
      <c r="M18" s="42">
        <f t="shared" si="4"/>
        <v>1300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432000</v>
      </c>
      <c r="D32" s="44">
        <f t="shared" si="7"/>
        <v>2300</v>
      </c>
      <c r="E32" s="43">
        <f t="shared" si="7"/>
        <v>370150</v>
      </c>
      <c r="F32" s="44">
        <f t="shared" si="7"/>
        <v>2050</v>
      </c>
      <c r="G32" s="43">
        <f t="shared" si="7"/>
        <v>198850</v>
      </c>
      <c r="H32" s="44">
        <f t="shared" si="7"/>
        <v>850</v>
      </c>
      <c r="I32" s="43">
        <f t="shared" si="7"/>
        <v>335050</v>
      </c>
      <c r="J32" s="44">
        <f t="shared" si="7"/>
        <v>5100</v>
      </c>
      <c r="L32" s="96">
        <f>SUM(L9:L31)</f>
        <v>1099900</v>
      </c>
      <c r="M32" s="96">
        <f>SUM(M9:M31)</f>
        <v>10000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99 Roja</v>
      </c>
      <c r="D2" s="269"/>
      <c r="E2" s="268" t="str">
        <f>IF(E33=0,"",CONCATENATE(PREMIOS!$B11," ",PREMIOS!$B12))</f>
        <v>76 Blanca</v>
      </c>
      <c r="F2" s="269"/>
      <c r="G2" s="268" t="str">
        <f>IF(G33=0,"",CONCATENATE(PREMIOS!$B15," ",PREMIOS!$B16))</f>
        <v>08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16500+7000</f>
        <v>23500</v>
      </c>
      <c r="D10" s="30">
        <v>1000</v>
      </c>
      <c r="E10" s="181">
        <f>9750+9950</f>
        <v>19700</v>
      </c>
      <c r="F10" s="30">
        <f t="shared" si="0"/>
        <v>0</v>
      </c>
      <c r="G10" s="181">
        <f>8000+7600</f>
        <v>15600</v>
      </c>
      <c r="H10" s="30">
        <f t="shared" si="0"/>
        <v>0</v>
      </c>
      <c r="J10" s="42">
        <f t="shared" si="3"/>
        <v>58800</v>
      </c>
      <c r="K10" s="42">
        <f t="shared" si="4"/>
        <v>1000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3050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3050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1100</v>
      </c>
      <c r="H16" s="196">
        <f t="shared" si="0"/>
        <v>0</v>
      </c>
      <c r="J16" s="42">
        <f t="shared" si="3"/>
        <v>1100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20450</v>
      </c>
      <c r="D17" s="30">
        <v>1000</v>
      </c>
      <c r="E17" s="181">
        <v>29250</v>
      </c>
      <c r="F17" s="30">
        <f t="shared" si="0"/>
        <v>0</v>
      </c>
      <c r="G17" s="181">
        <v>36700</v>
      </c>
      <c r="H17" s="30">
        <v>100</v>
      </c>
      <c r="J17" s="42">
        <f t="shared" si="3"/>
        <v>86400</v>
      </c>
      <c r="K17" s="42">
        <f t="shared" si="4"/>
        <v>1100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21300</v>
      </c>
      <c r="D18" s="30">
        <v>100</v>
      </c>
      <c r="E18" s="181">
        <v>18850</v>
      </c>
      <c r="F18" s="30">
        <f t="shared" si="0"/>
        <v>0</v>
      </c>
      <c r="G18" s="181">
        <v>28650</v>
      </c>
      <c r="H18" s="30">
        <v>200</v>
      </c>
      <c r="J18" s="42">
        <f t="shared" si="3"/>
        <v>68800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68300</v>
      </c>
      <c r="D33" s="44">
        <f t="shared" si="7"/>
        <v>2100</v>
      </c>
      <c r="E33" s="43">
        <f t="shared" si="7"/>
        <v>67800</v>
      </c>
      <c r="F33" s="44">
        <f t="shared" si="7"/>
        <v>0</v>
      </c>
      <c r="G33" s="43">
        <f t="shared" si="7"/>
        <v>82050</v>
      </c>
      <c r="H33" s="44">
        <f t="shared" si="7"/>
        <v>300</v>
      </c>
      <c r="J33" s="45">
        <f>SUM(J4:J32)</f>
        <v>218150</v>
      </c>
      <c r="K33" s="96">
        <f>SUM(K4:K32)</f>
        <v>2400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26</v>
      </c>
      <c r="D2" s="269"/>
      <c r="E2" s="268" t="str">
        <f>IF(PREMIOS!$C19="","",PREMIOS!$C19)</f>
        <v>01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10150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10550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1500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29400</v>
      </c>
      <c r="D8" s="30">
        <v>400</v>
      </c>
      <c r="E8" s="195">
        <v>20650</v>
      </c>
      <c r="F8" s="196">
        <f t="shared" si="1"/>
        <v>0</v>
      </c>
      <c r="H8" s="42">
        <f t="shared" si="2"/>
        <v>50050</v>
      </c>
      <c r="I8" s="42">
        <f t="shared" si="3"/>
        <v>400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16200</v>
      </c>
      <c r="D10" s="30">
        <v>200</v>
      </c>
      <c r="E10" s="181">
        <v>14350</v>
      </c>
      <c r="F10" s="196">
        <f t="shared" si="1"/>
        <v>0</v>
      </c>
      <c r="H10" s="42">
        <f t="shared" si="2"/>
        <v>30550</v>
      </c>
      <c r="I10" s="42">
        <f t="shared" si="3"/>
        <v>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52700</v>
      </c>
      <c r="D12" s="30">
        <v>450</v>
      </c>
      <c r="E12" s="195"/>
      <c r="F12" s="30" t="str">
        <f t="shared" si="0"/>
        <v/>
      </c>
      <c r="H12" s="42">
        <f t="shared" si="2"/>
        <v>52700</v>
      </c>
      <c r="I12" s="42">
        <f t="shared" si="3"/>
        <v>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1200</v>
      </c>
      <c r="D16" s="196">
        <f t="shared" si="0"/>
        <v>0</v>
      </c>
      <c r="E16" s="195">
        <v>400</v>
      </c>
      <c r="F16" s="196">
        <f t="shared" si="0"/>
        <v>0</v>
      </c>
      <c r="H16" s="42">
        <f t="shared" si="2"/>
        <v>1600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83000</v>
      </c>
      <c r="D17" s="196">
        <v>300</v>
      </c>
      <c r="E17" s="181">
        <v>40550</v>
      </c>
      <c r="F17" s="30">
        <v>300</v>
      </c>
      <c r="H17" s="42">
        <f t="shared" si="2"/>
        <v>123550</v>
      </c>
      <c r="I17" s="42">
        <f t="shared" si="3"/>
        <v>600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49000</v>
      </c>
      <c r="D18" s="196">
        <f t="shared" si="0"/>
        <v>0</v>
      </c>
      <c r="E18" s="181">
        <v>39650</v>
      </c>
      <c r="F18" s="30">
        <v>900</v>
      </c>
      <c r="H18" s="42">
        <f t="shared" si="2"/>
        <v>88650</v>
      </c>
      <c r="I18" s="42">
        <f t="shared" si="3"/>
        <v>900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243150</v>
      </c>
      <c r="D33" s="44">
        <f>SUM(D4:D32)</f>
        <v>1350</v>
      </c>
      <c r="E33" s="43">
        <f>SUM(E4:E32)</f>
        <v>116000</v>
      </c>
      <c r="F33" s="44">
        <f>SUM(F4:F32)</f>
        <v>1200</v>
      </c>
      <c r="H33" s="96">
        <f>SUM(H4:H32)</f>
        <v>359150</v>
      </c>
      <c r="I33" s="96">
        <f>SUM(I4:I32)</f>
        <v>2550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>04</v>
      </c>
      <c r="D2" s="269"/>
      <c r="E2" s="268">
        <f>IF(PREMIOS!$C20="","",PREMIOS!$C20)</f>
        <v>70</v>
      </c>
      <c r="F2" s="269"/>
      <c r="G2" s="268">
        <f>IF(PREMIOS!$D20="","",PREMIOS!$D20)</f>
        <v>10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10200+9800</f>
        <v>20000</v>
      </c>
      <c r="D10" s="196">
        <f>150+0</f>
        <v>150</v>
      </c>
      <c r="E10" s="181">
        <f>11400+4700</f>
        <v>16100</v>
      </c>
      <c r="F10" s="30">
        <f t="shared" si="0"/>
        <v>0</v>
      </c>
      <c r="G10" s="181">
        <v>12300</v>
      </c>
      <c r="H10" s="196">
        <f t="shared" si="0"/>
        <v>0</v>
      </c>
      <c r="J10" s="42">
        <f t="shared" si="3"/>
        <v>48400</v>
      </c>
      <c r="K10" s="42">
        <f t="shared" si="4"/>
        <v>150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34800</v>
      </c>
      <c r="D17" s="196">
        <v>100</v>
      </c>
      <c r="E17" s="195">
        <v>4650</v>
      </c>
      <c r="F17" s="196">
        <v>250</v>
      </c>
      <c r="G17" s="195">
        <v>29200</v>
      </c>
      <c r="H17" s="196">
        <v>500</v>
      </c>
      <c r="J17" s="42">
        <f t="shared" si="3"/>
        <v>68650</v>
      </c>
      <c r="K17" s="42">
        <f t="shared" si="4"/>
        <v>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12100</v>
      </c>
      <c r="D18" s="196">
        <f t="shared" si="0"/>
        <v>0</v>
      </c>
      <c r="E18" s="181">
        <v>300</v>
      </c>
      <c r="F18" s="30">
        <f t="shared" si="1"/>
        <v>0</v>
      </c>
      <c r="G18" s="181">
        <v>2600</v>
      </c>
      <c r="H18" s="30">
        <f t="shared" si="2"/>
        <v>0</v>
      </c>
      <c r="J18" s="42">
        <f t="shared" si="3"/>
        <v>15000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66900</v>
      </c>
      <c r="D33" s="44">
        <f t="shared" si="6"/>
        <v>250</v>
      </c>
      <c r="E33" s="43">
        <f t="shared" si="6"/>
        <v>21050</v>
      </c>
      <c r="F33" s="44">
        <f t="shared" si="6"/>
        <v>250</v>
      </c>
      <c r="G33" s="43">
        <f t="shared" si="6"/>
        <v>44100</v>
      </c>
      <c r="H33" s="44">
        <f t="shared" si="6"/>
        <v>500</v>
      </c>
      <c r="J33" s="45">
        <f>SUM(J4:J32)</f>
        <v>132050</v>
      </c>
      <c r="K33" s="96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98</v>
      </c>
      <c r="D2" s="269"/>
      <c r="E2" s="268">
        <f>IF(PREMIOS!$C21="","",PREMIOS!$C21)</f>
        <v>94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49500</v>
      </c>
      <c r="D10" s="30">
        <f t="shared" si="0"/>
        <v>0</v>
      </c>
      <c r="E10" s="181">
        <v>57500</v>
      </c>
      <c r="F10" s="30">
        <f t="shared" si="0"/>
        <v>0</v>
      </c>
      <c r="H10" s="42">
        <f t="shared" si="2"/>
        <v>107000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49500</v>
      </c>
      <c r="D33" s="44">
        <f>SUM(D4:D32)</f>
        <v>0</v>
      </c>
      <c r="E33" s="43">
        <f>SUM(E4:E32)</f>
        <v>57500</v>
      </c>
      <c r="F33" s="44">
        <f>SUM(F4:F32)</f>
        <v>0</v>
      </c>
      <c r="H33" s="45">
        <f>SUM(H4:H32)</f>
        <v>107000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2026-03-27T15:57:30Z</dcterms:modified>
  <dc:language>es-CR</dc:language>
</cp:coreProperties>
</file>
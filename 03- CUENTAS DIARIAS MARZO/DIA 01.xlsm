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3- CUENTAS DIARIAS MARZO\"/>
    </mc:Choice>
  </mc:AlternateContent>
  <xr:revisionPtr revIDLastSave="0" documentId="13_ncr:1_{2302BEA9-4A00-4D19-81FC-CC489B5C4227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30" i="14" l="1"/>
  <c r="B2" i="7"/>
  <c r="B2" i="6"/>
  <c r="B2" i="15"/>
  <c r="B2" i="14"/>
  <c r="B2" i="16"/>
  <c r="B2" i="21"/>
  <c r="B2" i="22"/>
  <c r="I5" i="69"/>
  <c r="H12" i="69"/>
  <c r="K12" i="69"/>
  <c r="G36" i="61"/>
  <c r="G34" i="61"/>
  <c r="H17" i="60"/>
  <c r="G17" i="60"/>
  <c r="G18" i="60"/>
  <c r="G4" i="60"/>
  <c r="E10" i="65"/>
  <c r="E10" i="62"/>
  <c r="F17" i="60"/>
  <c r="E17" i="60"/>
  <c r="F10" i="60"/>
  <c r="E10" i="60"/>
  <c r="E18" i="60"/>
  <c r="F10" i="64"/>
  <c r="E10" i="64"/>
  <c r="E10" i="61"/>
  <c r="D10" i="62"/>
  <c r="C10" i="62"/>
  <c r="C10" i="61"/>
  <c r="D17" i="60"/>
  <c r="C17" i="60"/>
  <c r="D18" i="60"/>
  <c r="C18" i="60"/>
  <c r="D10" i="60"/>
  <c r="C10" i="60"/>
  <c r="C10" i="64"/>
  <c r="D18" i="64" l="1"/>
  <c r="D11" i="65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F11" i="14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3" i="60"/>
  <c r="D12" i="60"/>
  <c r="D36" i="60" s="1"/>
  <c r="D11" i="60"/>
  <c r="D9" i="60"/>
  <c r="D8" i="60"/>
  <c r="D7" i="60"/>
  <c r="D5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D10" i="64"/>
  <c r="F17" i="64"/>
  <c r="F8" i="65"/>
  <c r="F18" i="62"/>
  <c r="F10" i="62"/>
  <c r="D5" i="61"/>
  <c r="F18" i="61"/>
  <c r="J17" i="61"/>
  <c r="D6" i="60"/>
  <c r="F18" i="60"/>
  <c r="F16" i="60"/>
  <c r="F15" i="60"/>
  <c r="F13" i="60"/>
  <c r="F12" i="60"/>
  <c r="F11" i="60"/>
  <c r="F36" i="60"/>
  <c r="F9" i="60"/>
  <c r="F8" i="60"/>
  <c r="F7" i="60"/>
  <c r="F6" i="60"/>
  <c r="H16" i="60"/>
  <c r="H15" i="60"/>
  <c r="H14" i="60"/>
  <c r="H36" i="60"/>
  <c r="H11" i="60"/>
  <c r="H9" i="60"/>
  <c r="H8" i="60"/>
  <c r="H7" i="60"/>
  <c r="H6" i="60"/>
  <c r="F18" i="21"/>
  <c r="F14" i="21"/>
  <c r="F10" i="21"/>
  <c r="F6" i="21"/>
  <c r="K10" i="19"/>
  <c r="J10" i="19"/>
  <c r="L9" i="19"/>
  <c r="K9" i="19"/>
  <c r="J9" i="19"/>
  <c r="L10" i="8"/>
  <c r="K10" i="8"/>
  <c r="J10" i="8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5" i="60"/>
  <c r="F34" i="60"/>
  <c r="D35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E11" i="16"/>
  <c r="K6" i="25"/>
  <c r="K6" i="22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5" i="61"/>
  <c r="H14" i="61"/>
  <c r="H12" i="61"/>
  <c r="H11" i="61"/>
  <c r="E13" i="16" s="1"/>
  <c r="H18" i="60"/>
  <c r="H35" i="60" s="1"/>
  <c r="M26" i="52"/>
  <c r="M25" i="52"/>
  <c r="M24" i="52"/>
  <c r="M23" i="52"/>
  <c r="M22" i="52"/>
  <c r="M21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E26" i="21"/>
  <c r="F26" i="21" s="1"/>
  <c r="L10" i="21" s="1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26" i="21"/>
  <c r="J10" i="2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L6" i="23" l="1"/>
  <c r="F17" i="52"/>
  <c r="F12" i="8"/>
  <c r="C24" i="15"/>
  <c r="J5" i="19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<sst xmlns="http://schemas.openxmlformats.org/spreadsheetml/2006/main" count="1293" uniqueCount="160">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</sst>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302050</v>
      </c>
      <c r="C3" s="9">
        <f>+HojaTICA!K4+HojaNICA!M4+HojaREVENTADO!K4+HojaPrimera!I4+HojaHonduras!K4+HojaDominicana!I4+HojaPANA!G4</f>
        <v>39300</v>
      </c>
      <c r="D3" s="9">
        <f>+HojaTICA!N4+HojaNICA!P4+HojaREVENTADO!O4+HojaPrimera!L4+HojaHonduras!N4+HojaDominicana!L4+HojaPANA!J4</f>
        <v>38250</v>
      </c>
      <c r="F3" s="10">
        <f t="shared" ref="F3:F27" si="0">+B3-C3-D3</f>
        <v>224500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270900</v>
      </c>
      <c r="C4" s="9">
        <f>+HojaTICA!K5+HojaNICA!M5+HojaREVENTADO!K5+HojaPrimera!I5+HojaHonduras!K5+HojaDominicana!I5+HojaPANA!G5</f>
        <v>35200</v>
      </c>
      <c r="D4" s="9">
        <f>+HojaTICA!N5+HojaNICA!P5+HojaREVENTADO!O5+HojaPrimera!L5+HojaHonduras!N5+HojaDominicana!L5+HojaPANA!J5</f>
        <v>59500</v>
      </c>
      <c r="F4" s="14">
        <f t="shared" si="0"/>
        <v>176200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427050</v>
      </c>
      <c r="C7" s="9">
        <f>+HojaTICA!K8+HojaNICA!M8+HojaREVENTADO!K8+HojaPrimera!I8+HojaHonduras!K8+HojaDominicana!I8+HojaPANA!G8</f>
        <v>51300</v>
      </c>
      <c r="D7" s="9">
        <f>+HojaTICA!N8+HojaNICA!P8+HojaREVENTADO!O8+HojaPrimera!L8+HojaHonduras!N8+HojaDominicana!L8+HojaPANA!J8</f>
        <v>232000</v>
      </c>
      <c r="F7" s="14">
        <f t="shared" si="0"/>
        <v>143750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1136200</v>
      </c>
      <c r="C9" s="9">
        <f>+HojaTICA!K10+HojaNICA!M10+HojaREVENTADO!K10+HojaPrimera!I10+HojaHonduras!K10+HojaDominicana!I10+HojaPANA!G10</f>
        <v>134870</v>
      </c>
      <c r="D9" s="9">
        <f>+HojaTICA!N10+HojaNICA!P10+HojaREVENTADO!O10+HojaPrimera!L10+HojaHonduras!N10+HojaDominicana!L10+HojaPANA!J10</f>
        <v>1334500</v>
      </c>
      <c r="F9" s="14">
        <f t="shared" si="0"/>
        <v>-333170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26800</v>
      </c>
      <c r="C10" s="9">
        <f>+HojaTICA!K11+HojaNICA!M11+HojaREVENTADO!K11+HojaPrimera!I11+HojaHonduras!K11+HojaDominicana!I11+HojaPANA!G11</f>
        <v>3200</v>
      </c>
      <c r="D10" s="9">
        <f>+HojaTICA!N11+HojaNICA!P11+HojaREVENTADO!O11+HojaPrimera!L11+HojaHonduras!N11+HojaDominicana!L11+HojaPANA!J11</f>
        <v>0</v>
      </c>
      <c r="F10" s="14">
        <f t="shared" si="0"/>
        <v>23600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130550</v>
      </c>
      <c r="C11" s="9">
        <f>+HojaTICA!K12+HojaNICA!M12+HojaREVENTADO!K12+HojaPrimera!I12+HojaHonduras!K12+HojaDominicana!I12+HojaPANA!G12</f>
        <v>15700</v>
      </c>
      <c r="D11" s="9">
        <f>+HojaTICA!N12+HojaNICA!P12+HojaREVENTADO!O12+HojaPrimera!L12+HojaHonduras!N12+HojaDominicana!L12+HojaPANA!J12</f>
        <v>114750</v>
      </c>
      <c r="F11" s="14">
        <f t="shared" si="0"/>
        <v>100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190500</v>
      </c>
      <c r="C12" s="9">
        <f>+HojaTICA!K13+HojaNICA!M13+HojaREVENTADO!K13+HojaPrimera!I13+HojaHonduras!K13+HojaDominicana!I13+HojaPANA!G13</f>
        <v>22850</v>
      </c>
      <c r="D12" s="9">
        <f>+HojaTICA!N13+HojaNICA!P13+HojaREVENTADO!O13+HojaPrimera!L13+HojaHonduras!N13+HojaDominicana!L13+HojaPANA!J13</f>
        <v>133500</v>
      </c>
      <c r="F12" s="14">
        <f t="shared" si="0"/>
        <v>34150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82000</v>
      </c>
      <c r="C13" s="9">
        <f>+HojaTICA!K14+HojaNICA!M14+HojaREVENTADO!K14+HojaPrimera!I14+HojaHonduras!K14+HojaDominicana!I14+HojaPANA!G14</f>
        <v>12300</v>
      </c>
      <c r="D13" s="9">
        <f>+HojaTICA!N14+HojaNICA!P14+HojaREVENTADO!O14+HojaPrimera!L14+HojaHonduras!N14+HojaDominicana!L14+HojaPANA!J14</f>
        <v>72000</v>
      </c>
      <c r="F13" s="14">
        <f t="shared" si="0"/>
        <v>-2300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110400</v>
      </c>
      <c r="C15" s="9">
        <f>+HojaTICA!K16+HojaNICA!M16+HojaREVENTADO!K16+HojaPrimera!I16+HojaHonduras!K16+HojaDominicana!I16+HojaPANA!G16</f>
        <v>13150</v>
      </c>
      <c r="D15" s="9">
        <f>+HojaTICA!N16+HojaNICA!P16+HojaREVENTADO!O16+HojaPrimera!L16+HojaHonduras!N16+HojaDominicana!L16+HojaPANA!J16</f>
        <v>16000</v>
      </c>
      <c r="F15" s="14">
        <f t="shared" si="0"/>
        <v>81250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1317900</v>
      </c>
      <c r="C16" s="9">
        <f>+HojaTICA!K17+HojaNICA!M17+HojaREVENTADO!K17+HojaPrimera!I17+HojaHonduras!K17+HojaDominicana!I17+HojaPANA!G17</f>
        <v>156595</v>
      </c>
      <c r="D16" s="9">
        <f>+HojaTICA!N17+HojaNICA!P17+HojaREVENTADO!O17+HojaPrimera!L17+HojaHonduras!N17+HojaDominicana!L17+HojaPANA!J17</f>
        <v>1129000</v>
      </c>
      <c r="F16" s="14">
        <f t="shared" si="0"/>
        <v>32305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463800</v>
      </c>
      <c r="C17" s="9">
        <f>+HojaTICA!K18+HojaNICA!M18+HojaREVENTADO!K18+HojaPrimera!I18+HojaHonduras!K18+HojaDominicana!I18+HojaPANA!G18</f>
        <v>54555</v>
      </c>
      <c r="D17" s="9">
        <f>+HojaTICA!N18+HojaNICA!P18+HojaREVENTADO!O18+HojaPrimera!L18+HojaHonduras!N18+HojaDominicana!L18+HojaPANA!J18</f>
        <v>250750</v>
      </c>
      <c r="F17" s="14">
        <f t="shared" si="0"/>
        <v>158495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4458150</v>
      </c>
      <c r="C28" s="17">
        <f t="shared" si="1"/>
        <v>539020</v>
      </c>
      <c r="D28" s="18">
        <f t="shared" si="1"/>
        <v>3380250</v>
      </c>
      <c r="F28" s="20">
        <f>SUM(F3:F27)</f>
        <v>538880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40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88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52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16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61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59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67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 t="s">
        <v>159</v>
      </c>
      <c r="C19" s="133">
        <v>84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16</v>
      </c>
      <c r="C20" s="164">
        <v>12</v>
      </c>
      <c r="D20" s="167">
        <v>34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57</v>
      </c>
      <c r="C21" s="165">
        <v>11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47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88</v>
      </c>
      <c r="D2" s="269"/>
      <c r="E2" s="268">
        <f>DigitaTICA!E2</f>
        <v>16</v>
      </c>
      <c r="F2" s="269"/>
      <c r="G2" s="268">
        <f>DigitaTICA!G2</f>
        <v>59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66050</v>
      </c>
      <c r="D4" s="30">
        <f>IF(Vendedor1!$E$7="",0,Vendedor1!$E$7)</f>
        <v>0</v>
      </c>
      <c r="E4" s="181">
        <f>IF(Vendedor1!$C$11="",0,Vendedor1!$C$11)</f>
        <v>47150</v>
      </c>
      <c r="F4" s="30">
        <f>IF(Vendedor1!$E$11="",0,Vendedor1!$E$11)</f>
        <v>250</v>
      </c>
      <c r="G4" s="181">
        <f>IF(Vendedor1!$C$15="",0,Vendedor1!$C$15)</f>
        <v>128050</v>
      </c>
      <c r="H4" s="30">
        <f>IF(Vendedor1!$E$15="",0,Vendedor1!$E$15)</f>
        <v>200</v>
      </c>
      <c r="J4" s="42">
        <f t="shared" ref="J4:J7" si="0">+C4+E4+G4</f>
        <v>241250</v>
      </c>
      <c r="K4" s="41">
        <f>MROUND(J4*Vendedor1!J$9,50)</f>
        <v>31350</v>
      </c>
      <c r="L4" s="42">
        <f t="shared" ref="L4:L7" si="1">+D4+F4+H4</f>
        <v>450</v>
      </c>
      <c r="M4" s="42">
        <f t="shared" ref="M4:M7" si="2">+L4*85</f>
        <v>38250</v>
      </c>
      <c r="N4" s="42">
        <f>Vendedor1!$F$7+Vendedor1!$F$11+Vendedor1!$F$15</f>
        <v>38250</v>
      </c>
      <c r="P4" s="42">
        <f t="shared" ref="P4:P7" si="3">+J4-K4-N4</f>
        <v>171650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88550</v>
      </c>
      <c r="D5" s="30">
        <f>IF(Vendedor2!$E$7="",0,Vendedor2!$E$7)</f>
        <v>0</v>
      </c>
      <c r="E5" s="181">
        <f>IF(Vendedor2!$C$11="",0,Vendedor2!$C$11)</f>
        <v>34700</v>
      </c>
      <c r="F5" s="30">
        <f>IF(Vendedor2!$E$11="",0,Vendedor2!$E$11)</f>
        <v>200</v>
      </c>
      <c r="G5" s="181">
        <f>IF(Vendedor2!$C$15="",0,Vendedor2!$C$15)</f>
        <v>106700</v>
      </c>
      <c r="H5" s="30">
        <f>IF(Vendedor2!$E$15="",0,Vendedor2!$E$15)</f>
        <v>500</v>
      </c>
      <c r="J5" s="42">
        <f t="shared" si="0"/>
        <v>229950</v>
      </c>
      <c r="K5" s="41">
        <f>MROUND(J5*Vendedor2!J$9,50)</f>
        <v>29900</v>
      </c>
      <c r="L5" s="42">
        <f t="shared" si="1"/>
        <v>700</v>
      </c>
      <c r="M5" s="42">
        <f t="shared" si="2"/>
        <v>59500</v>
      </c>
      <c r="N5" s="42">
        <f>Vendedor2!$F$7+Vendedor2!$F$11+Vendedor2!$F$15</f>
        <v>59500</v>
      </c>
      <c r="P5" s="42">
        <f t="shared" si="3"/>
        <v>140550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83850</v>
      </c>
      <c r="D8" s="30">
        <f>IF(Vendedor5!$E$7="",0,Vendedor5!$E$7)</f>
        <v>0</v>
      </c>
      <c r="E8" s="181">
        <f>IF(Vendedor5!$C$11="",0,Vendedor5!$C$11)</f>
        <v>61000</v>
      </c>
      <c r="F8" s="30">
        <f>IF(Vendedor5!$E$11="",0,Vendedor5!$E$11)</f>
        <v>0</v>
      </c>
      <c r="G8" s="181">
        <f>IF(Vendedor5!$C$15="",0,Vendedor5!$C$15)</f>
        <v>60000</v>
      </c>
      <c r="H8" s="30">
        <f>IF(Vendedor5!$E$15="",0,Vendedor5!$E$15)</f>
        <v>0</v>
      </c>
      <c r="J8" s="42">
        <f t="shared" ref="J8" si="4">+C8+E8+G8</f>
        <v>204850</v>
      </c>
      <c r="K8" s="41">
        <f>MROUND(J8*Vendedor5!J$11,50)</f>
        <v>24600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180250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151550</v>
      </c>
      <c r="D10" s="30">
        <f>IF(Vendedor7!$E$7="",0,Vendedor7!$E$7)</f>
        <v>1650</v>
      </c>
      <c r="E10" s="181">
        <f>IF(Vendedor7!$C$11="",0,Vendedor7!$C$11)</f>
        <v>107300</v>
      </c>
      <c r="F10" s="30">
        <f>IF(Vendedor7!$E$11="",0,Vendedor7!$E$11)</f>
        <v>1450</v>
      </c>
      <c r="G10" s="181">
        <f>IF(Vendedor7!$C$15="",0,Vendedor7!$C$15)</f>
        <v>187550</v>
      </c>
      <c r="H10" s="30">
        <f>IF(Vendedor7!$E$15="",0,Vendedor7!$E$15)</f>
        <v>2150</v>
      </c>
      <c r="J10" s="42">
        <f t="shared" si="8"/>
        <v>446400</v>
      </c>
      <c r="K10" s="41">
        <f>MROUND(J10*Vendedor7!J$14,50)</f>
        <v>53550</v>
      </c>
      <c r="L10" s="42">
        <f t="shared" si="9"/>
        <v>5250</v>
      </c>
      <c r="M10" s="42">
        <f t="shared" si="10"/>
        <v>446250</v>
      </c>
      <c r="N10" s="42">
        <f>Vendedor7!$F$7+Vendedor7!$F$11+Vendedor7!$F$15</f>
        <v>446250</v>
      </c>
      <c r="P10" s="42">
        <f t="shared" si="11"/>
        <v>-53400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7300</v>
      </c>
      <c r="D11" s="30">
        <f>IF(Vendedor8!$E$7="",0,Vendedor8!$E$7)</f>
        <v>0</v>
      </c>
      <c r="E11" s="181">
        <f>IF(Vendedor8!$C$11="",0,Vendedor8!$C$11)</f>
        <v>2000</v>
      </c>
      <c r="F11" s="30">
        <f>IF(Vendedor8!$E$11="",0,Vendedor8!$E$11)</f>
        <v>0</v>
      </c>
      <c r="G11" s="181">
        <f>IF(Vendedor8!$C$15="",0,Vendedor8!$C$15)</f>
        <v>17500</v>
      </c>
      <c r="H11" s="30">
        <f>IF(Vendedor8!$E$15="",0,Vendedor8!$E$15)</f>
        <v>0</v>
      </c>
      <c r="J11" s="42">
        <f t="shared" si="8"/>
        <v>26800</v>
      </c>
      <c r="K11" s="41">
        <f>MROUND(J11*Vendedor8!J$11,50)</f>
        <v>3200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23600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20200</v>
      </c>
      <c r="D12" s="30">
        <f>IF(Vendedor9!$E$7="",0,Vendedor9!$E$7)</f>
        <v>0</v>
      </c>
      <c r="E12" s="181">
        <f>IF(Vendedor9!$C$11="",0,Vendedor9!$C$11)</f>
        <v>0</v>
      </c>
      <c r="F12" s="30">
        <f>IF(Vendedor9!$E$11="",0,Vendedor9!$E$11)</f>
        <v>0</v>
      </c>
      <c r="G12" s="181">
        <f>IF(Vendedor9!$C$15="",0,Vendedor9!$C$15)</f>
        <v>34200</v>
      </c>
      <c r="H12" s="30">
        <f>IF(Vendedor9!$E$15="",0,Vendedor9!$E$15)</f>
        <v>300</v>
      </c>
      <c r="J12" s="42">
        <f t="shared" si="8"/>
        <v>54400</v>
      </c>
      <c r="K12" s="41">
        <f>MROUND(J12*Vendedor9!J$11,50)</f>
        <v>6550</v>
      </c>
      <c r="L12" s="42">
        <f t="shared" si="9"/>
        <v>300</v>
      </c>
      <c r="M12" s="42">
        <f t="shared" si="10"/>
        <v>25500</v>
      </c>
      <c r="N12" s="42">
        <f>Vendedor9!$F$7+Vendedor9!$F$11+Vendedor9!$F$15</f>
        <v>25500</v>
      </c>
      <c r="P12" s="42">
        <f t="shared" si="11"/>
        <v>22350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44650</v>
      </c>
      <c r="D13" s="30">
        <f>IF(Vendedor10!$E$7="",0,Vendedor10!$E$7)</f>
        <v>0</v>
      </c>
      <c r="E13" s="181">
        <f>IF(Vendedor10!$C$11="",0,Vendedor10!$C$11)</f>
        <v>19600</v>
      </c>
      <c r="F13" s="30">
        <f>IF(Vendedor10!$E$11="",0,Vendedor10!$E$11)</f>
        <v>0</v>
      </c>
      <c r="G13" s="181">
        <f>IF(Vendedor10!$C$15="",0,Vendedor10!$C$15)</f>
        <v>66950</v>
      </c>
      <c r="H13" s="30">
        <f>IF(Vendedor10!$E$15="",0,Vendedor10!$E$15)</f>
        <v>300</v>
      </c>
      <c r="J13" s="42">
        <f t="shared" si="8"/>
        <v>131200</v>
      </c>
      <c r="K13" s="41">
        <f>MROUND(J13*Vendedor10!J$9,50)</f>
        <v>15750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89950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31500</v>
      </c>
      <c r="D14" s="30">
        <f>IF(Vendedor11!$E$7="",0,Vendedor11!$E$7)</f>
        <v>500</v>
      </c>
      <c r="E14" s="181">
        <f>IF(Vendedor11!$C$11="",0,Vendedor11!$C$11)</f>
        <v>13250</v>
      </c>
      <c r="F14" s="30">
        <f>IF(Vendedor11!$E$11="",0,Vendedor11!$E$11)</f>
        <v>400</v>
      </c>
      <c r="G14" s="181">
        <f>IF(Vendedor11!$C$15="",0,Vendedor11!$C$15)</f>
        <v>37250</v>
      </c>
      <c r="H14" s="30">
        <f>IF(Vendedor11!$E$15="",0,Vendedor11!$E$15)</f>
        <v>0</v>
      </c>
      <c r="J14" s="42">
        <f t="shared" si="8"/>
        <v>82000</v>
      </c>
      <c r="K14" s="41">
        <f>MROUND(J14*Vendedor11!J$9,50)</f>
        <v>12300</v>
      </c>
      <c r="L14" s="42">
        <f t="shared" si="9"/>
        <v>900</v>
      </c>
      <c r="M14" s="42">
        <f t="shared" si="10"/>
        <v>76500</v>
      </c>
      <c r="N14" s="42">
        <f>Vendedor11!$F$7+Vendedor11!$F$11+Vendedor11!$F$15</f>
        <v>72000</v>
      </c>
      <c r="P14" s="42">
        <f t="shared" si="11"/>
        <v>-2300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25500</v>
      </c>
      <c r="D16" s="30">
        <f>IF(Vendedor13!$E$7="",0,Vendedor13!$E$7)</f>
        <v>0</v>
      </c>
      <c r="E16" s="181">
        <f>IF(Vendedor13!$C$11="",0,Vendedor13!$C$11)</f>
        <v>21000</v>
      </c>
      <c r="F16" s="30">
        <f>IF(Vendedor13!$E$11="",0,Vendedor13!$E$11)</f>
        <v>0</v>
      </c>
      <c r="G16" s="181">
        <f>IF(Vendedor13!$C$15="",0,Vendedor13!$C$15)</f>
        <v>37950</v>
      </c>
      <c r="H16" s="30">
        <f>IF(Vendedor13!$E$15="",0,Vendedor13!$E$15)</f>
        <v>0</v>
      </c>
      <c r="J16" s="42">
        <f t="shared" si="8"/>
        <v>84450</v>
      </c>
      <c r="K16" s="41">
        <f>MROUND(J16*Vendedor13!J$11,50)</f>
        <v>10150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74300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139450</v>
      </c>
      <c r="D17" s="30">
        <f>IF(Vendedor14!$E$7="",0,Vendedor14!$E$7)</f>
        <v>550</v>
      </c>
      <c r="E17" s="181">
        <f>IF(Vendedor14!$C$11="",0,Vendedor14!$C$11)</f>
        <v>123050</v>
      </c>
      <c r="F17" s="30">
        <f>IF(Vendedor14!$E$11="",0,Vendedor14!$E$11)</f>
        <v>4900</v>
      </c>
      <c r="G17" s="181">
        <f>IF(Vendedor14!$C$15="",0,Vendedor14!$C$15)</f>
        <v>228600</v>
      </c>
      <c r="H17" s="30">
        <f>IF(Vendedor14!$E$15="",0,Vendedor14!$E$15)</f>
        <v>100</v>
      </c>
      <c r="J17" s="42">
        <f t="shared" si="8"/>
        <v>491100</v>
      </c>
      <c r="K17" s="41">
        <f>MROUND(J17*Vendedor14!J$15,50)</f>
        <v>58950</v>
      </c>
      <c r="L17" s="42">
        <f t="shared" si="9"/>
        <v>5550</v>
      </c>
      <c r="M17" s="42">
        <f t="shared" si="10"/>
        <v>471750</v>
      </c>
      <c r="N17" s="42">
        <f>Vendedor14!$F$7+Vendedor14!$F$11+Vendedor14!$F$15</f>
        <v>471750</v>
      </c>
      <c r="P17" s="42">
        <f t="shared" si="11"/>
        <v>-39600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58300</v>
      </c>
      <c r="D18" s="30">
        <f>IF(Vendedor15!$E$7="",0,Vendedor15!$E$7)</f>
        <v>150</v>
      </c>
      <c r="E18" s="181">
        <f>IF(Vendedor15!$C$11="",0,Vendedor15!$C$11)</f>
        <v>33400</v>
      </c>
      <c r="F18" s="30">
        <f>IF(Vendedor15!$E$11="",0,Vendedor15!$E$11)</f>
        <v>0</v>
      </c>
      <c r="G18" s="181">
        <f>IF(Vendedor15!$C$15="",0,Vendedor15!$C$15)</f>
        <v>49900</v>
      </c>
      <c r="H18" s="30">
        <f>IF(Vendedor15!$E$15="",0,Vendedor15!$E$15)</f>
        <v>0</v>
      </c>
      <c r="J18" s="42">
        <f t="shared" ref="J18" si="12">+C18+E18+G18</f>
        <v>141600</v>
      </c>
      <c r="K18" s="41">
        <f>MROUND(J18*Vendedor15!J$15,50)</f>
        <v>17000</v>
      </c>
      <c r="L18" s="42">
        <f t="shared" ref="L18" si="13">+D18+F18+H18</f>
        <v>150</v>
      </c>
      <c r="M18" s="42">
        <f t="shared" ref="M18" si="14">+L18*85</f>
        <v>12750</v>
      </c>
      <c r="N18" s="42">
        <f>Vendedor15!$F$7+Vendedor15!$F$11+Vendedor15!$F$15</f>
        <v>12750</v>
      </c>
      <c r="P18" s="42">
        <f t="shared" ref="P18" si="15">+J18-K18-N18</f>
        <v>111850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716900</v>
      </c>
      <c r="D32" s="44">
        <f t="shared" si="16"/>
        <v>2850</v>
      </c>
      <c r="E32" s="43">
        <f t="shared" si="16"/>
        <v>462450</v>
      </c>
      <c r="F32" s="44">
        <f t="shared" si="16"/>
        <v>7200</v>
      </c>
      <c r="G32" s="43">
        <f t="shared" si="16"/>
        <v>954650</v>
      </c>
      <c r="H32" s="44">
        <f t="shared" si="16"/>
        <v>3550</v>
      </c>
      <c r="J32" s="96">
        <f>SUM(J4:J31)</f>
        <v>2134000</v>
      </c>
      <c r="K32" s="45">
        <f>SUM(K7:K31)</f>
        <v>202050</v>
      </c>
      <c r="L32" s="96">
        <f>SUM(L4:L31)</f>
        <v>13600</v>
      </c>
      <c r="M32" s="96">
        <f>SUM(M4:M31)</f>
        <v>1156000</v>
      </c>
      <c r="N32" s="96">
        <f>SUM(N4:N31)</f>
        <v>1151500</v>
      </c>
      <c r="P32" s="80">
        <f>SUM(P4:P31)</f>
        <v>719200</v>
      </c>
    </row>
    <row r="33" spans="3:13" x14ac:dyDescent="0.35">
      <c r="D33" s="100">
        <f>+D32*85</f>
        <v>242250</v>
      </c>
      <c r="F33" s="100">
        <f>+F32*85</f>
        <v>612000</v>
      </c>
      <c r="H33" s="100">
        <f>+H32*85</f>
        <v>301750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2134000</v>
      </c>
      <c r="E36" s="43">
        <f>+D36-J4-J5-J6</f>
        <v>1662800</v>
      </c>
      <c r="G36" s="102"/>
    </row>
    <row r="37" spans="3:13" x14ac:dyDescent="0.35">
      <c r="C37" s="47" t="s">
        <v>33</v>
      </c>
      <c r="D37" s="48">
        <f>D36*13%</f>
        <v>277420</v>
      </c>
      <c r="E37">
        <f>+D37-K4-K5-K6</f>
        <v>216170</v>
      </c>
      <c r="G37" s="101"/>
      <c r="H37" s="101"/>
    </row>
    <row r="38" spans="3:13" ht="15" thickBot="1" x14ac:dyDescent="0.4">
      <c r="C38" s="47" t="s">
        <v>30</v>
      </c>
      <c r="D38" s="30">
        <f>M32</f>
        <v>1156000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700580</v>
      </c>
      <c r="F39" s="99">
        <f>+P32-D39</f>
        <v>18620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700580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40</v>
      </c>
      <c r="D2" s="269"/>
      <c r="E2" s="268">
        <f>DigitaNICA!E2</f>
        <v>52</v>
      </c>
      <c r="F2" s="269"/>
      <c r="G2" s="268">
        <f>DigitaNICA!G2</f>
        <v>61</v>
      </c>
      <c r="H2" s="269"/>
      <c r="I2" s="268">
        <f>DigitaNICA!I2</f>
        <v>67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24000</v>
      </c>
      <c r="D4" s="79">
        <f>IF(Vendedor1!$E$5="",0,Vendedor1!$E$5)</f>
        <v>0</v>
      </c>
      <c r="E4" s="190">
        <f>IF(Vendedor1!$C$9="",0,Vendedor1!$C$9)</f>
        <v>17100</v>
      </c>
      <c r="F4" s="79">
        <f>IF(Vendedor1!$E$9="",0,Vendedor1!$E$9)</f>
        <v>0</v>
      </c>
      <c r="G4" s="190">
        <f>IF(Vendedor1!$C$13="",0,Vendedor1!$C$13)</f>
        <v>6300</v>
      </c>
      <c r="H4" s="79">
        <f>IF(Vendedor1!$E$13="",0,Vendedor1!$E$13)</f>
        <v>0</v>
      </c>
      <c r="I4" s="190">
        <f>IF(Vendedor1!$C$17="",0,Vendedor1!$C$17)</f>
        <v>5500</v>
      </c>
      <c r="J4" s="79">
        <f>IF(Vendedor1!$E$17="",0,Vendedor1!$E$17)</f>
        <v>0</v>
      </c>
      <c r="L4" s="42">
        <f t="shared" ref="L4:L7" si="0">C4+E4+G4+I4</f>
        <v>52900</v>
      </c>
      <c r="M4" s="41">
        <f>MROUND(L4*Vendedor1!J$10,50)</f>
        <v>6900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46000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27650</v>
      </c>
      <c r="D5" s="30">
        <f>IF(Vendedor2!$E$5="",0,Vendedor2!$E$5)</f>
        <v>0</v>
      </c>
      <c r="E5" s="181">
        <f>IF(Vendedor2!$C$9="",0,Vendedor2!$C$9)</f>
        <v>4400</v>
      </c>
      <c r="F5" s="30">
        <f>IF(Vendedor2!$E$9="",0,Vendedor2!$E$9)</f>
        <v>0</v>
      </c>
      <c r="G5" s="181">
        <f>IF(Vendedor2!$C$13="",0,Vendedor2!$C$13)</f>
        <v>400</v>
      </c>
      <c r="H5" s="30">
        <f>IF(Vendedor2!$E$13="",0,Vendedor2!$E$13)</f>
        <v>0</v>
      </c>
      <c r="I5" s="181">
        <f>IF(Vendedor2!$C$17="",0,Vendedor2!$C$17)</f>
        <v>5400</v>
      </c>
      <c r="J5" s="30">
        <f>IF(Vendedor2!$E$17="",0,Vendedor2!$E$17)</f>
        <v>0</v>
      </c>
      <c r="L5" s="42">
        <f t="shared" si="0"/>
        <v>37850</v>
      </c>
      <c r="M5" s="41">
        <f>MROUND(L5*Vendedor2!J$10,50)</f>
        <v>4900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32950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87850</v>
      </c>
      <c r="D8" s="30">
        <f>IF(Vendedor5!$E$5="",0,Vendedor5!$E$5)</f>
        <v>1600</v>
      </c>
      <c r="E8" s="181">
        <f>IF(Vendedor5!$C$9="",0,Vendedor5!$C$9)</f>
        <v>79450</v>
      </c>
      <c r="F8" s="30">
        <f>IF(Vendedor5!$E$9="",0,Vendedor5!$E$9)</f>
        <v>0</v>
      </c>
      <c r="G8" s="181">
        <f>IF(Vendedor5!$C$13="",0,Vendedor5!$C$13)</f>
        <v>8450</v>
      </c>
      <c r="H8" s="30">
        <f>IF(Vendedor5!$E$13="",0,Vendedor5!$E$13)</f>
        <v>0</v>
      </c>
      <c r="I8" s="181">
        <f>IF(Vendedor5!$C$17="",0,Vendedor5!$C$17)</f>
        <v>24050</v>
      </c>
      <c r="J8" s="30">
        <f>IF(Vendedor5!$E$17="",0,Vendedor5!$E$17)</f>
        <v>700</v>
      </c>
      <c r="L8" s="42">
        <f t="shared" ref="L8" si="4">C8+E8+G8+I8</f>
        <v>199800</v>
      </c>
      <c r="M8" s="41">
        <f>MROUND(L8*Vendedor5!J$12,50)</f>
        <v>24000</v>
      </c>
      <c r="N8" s="42">
        <f t="shared" ref="N8" si="5">D8+F8+H8+J8</f>
        <v>2300</v>
      </c>
      <c r="O8" s="41">
        <f t="shared" si="3"/>
        <v>195500</v>
      </c>
      <c r="P8" s="42">
        <f>Vendedor5!$F$5+Vendedor5!$F$9+Vendedor5!$F$13+Vendedor5!$F$17</f>
        <v>184000</v>
      </c>
      <c r="Q8">
        <v>17</v>
      </c>
      <c r="R8" s="41">
        <f t="shared" ref="R8" si="6">+L8-M8-O8</f>
        <v>-19700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116500</v>
      </c>
      <c r="D10" s="30">
        <f>IF(Vendedor7!$E$5="",0,Vendedor7!$E$5)</f>
        <v>650</v>
      </c>
      <c r="E10" s="181">
        <f>IF(Vendedor7!$C$9="",0,Vendedor7!$C$9)</f>
        <v>122500</v>
      </c>
      <c r="F10" s="30">
        <f>IF(Vendedor7!$E$9="",0,Vendedor7!$E$9)</f>
        <v>750</v>
      </c>
      <c r="G10" s="181">
        <f>IF(Vendedor7!$C$13="",0,Vendedor7!$C$13)</f>
        <v>88000</v>
      </c>
      <c r="H10" s="30">
        <f>IF(Vendedor7!$E$13="",0,Vendedor7!$E$13)</f>
        <v>100</v>
      </c>
      <c r="I10" s="181">
        <f>IF(Vendedor7!$C$17="",0,Vendedor7!$C$17)</f>
        <v>94750</v>
      </c>
      <c r="J10" s="30">
        <f>IF(Vendedor7!$E$17="",0,Vendedor7!$E$17)</f>
        <v>7850</v>
      </c>
      <c r="L10" s="42">
        <f t="shared" si="7"/>
        <v>421750</v>
      </c>
      <c r="M10" s="41">
        <f>MROUND(L10*Vendedor7!J$15,50)</f>
        <v>50600</v>
      </c>
      <c r="N10" s="42">
        <f t="shared" ref="N10:N27" si="9">D10+F10+H10+J10</f>
        <v>9350</v>
      </c>
      <c r="O10" s="41">
        <f t="shared" si="3"/>
        <v>794750</v>
      </c>
      <c r="P10" s="42">
        <f>Vendedor7!$F$5+Vendedor7!$F$9+Vendedor7!$F$13+Vendedor7!$F$17</f>
        <v>794750</v>
      </c>
      <c r="R10" s="41">
        <f t="shared" si="8"/>
        <v>-423600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34900</v>
      </c>
      <c r="D12" s="30">
        <f>IF(Vendedor9!$E$5="",0,Vendedor9!$E$5)</f>
        <v>0</v>
      </c>
      <c r="E12" s="181">
        <f>IF(Vendedor9!$C$9="",0,Vendedor9!$C$9)</f>
        <v>12500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47400</v>
      </c>
      <c r="M12" s="41">
        <f>MROUND(L12*Vendedor9!J$12,50)</f>
        <v>5700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41700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40300</v>
      </c>
      <c r="D13" s="30">
        <f>IF(Vendedor10!$E$5="",0,Vendedor10!$E$5)</f>
        <v>1100</v>
      </c>
      <c r="E13" s="181">
        <f>IF(Vendedor10!$C$9="",0,Vendedor10!$C$9)</f>
        <v>10250</v>
      </c>
      <c r="F13" s="30">
        <f>IF(Vendedor10!$E$9="",0,Vendedor10!$E$9)</f>
        <v>0</v>
      </c>
      <c r="G13" s="181">
        <f>IF(Vendedor10!$C$13="",0,Vendedor10!$C$13)</f>
        <v>7050</v>
      </c>
      <c r="H13" s="30">
        <f>IF(Vendedor10!$E$13="",0,Vendedor10!$E$13)</f>
        <v>150</v>
      </c>
      <c r="I13" s="181">
        <f>IF(Vendedor10!$C$17="",0,Vendedor10!$C$17)</f>
        <v>1700</v>
      </c>
      <c r="J13" s="30">
        <f>IF(Vendedor10!$E$17="",0,Vendedor10!$E$17)</f>
        <v>100</v>
      </c>
      <c r="L13" s="42">
        <f t="shared" si="7"/>
        <v>59300</v>
      </c>
      <c r="M13" s="41">
        <f>MROUND(L13*Vendedor10!J$10,50)</f>
        <v>7100</v>
      </c>
      <c r="N13" s="42">
        <f t="shared" si="9"/>
        <v>1350</v>
      </c>
      <c r="O13" s="41">
        <f t="shared" si="3"/>
        <v>114750</v>
      </c>
      <c r="P13" s="42">
        <f>Vendedor10!$F$5+Vendedor10!$F$9+Vendedor10!$F$13+Vendedor10!$F$17</f>
        <v>108000</v>
      </c>
      <c r="R13" s="41">
        <f t="shared" si="8"/>
        <v>-62550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2500</v>
      </c>
      <c r="D16" s="30">
        <f>IF(Vendedor13!$E$5="",0,Vendedor13!$E$5)</f>
        <v>0</v>
      </c>
      <c r="E16" s="181">
        <f>IF(Vendedor13!$C$9="",0,Vendedor13!$C$9)</f>
        <v>3300</v>
      </c>
      <c r="F16" s="30">
        <f>IF(Vendedor13!$E$9="",0,Vendedor13!$E$9)</f>
        <v>100</v>
      </c>
      <c r="G16" s="181">
        <f>IF(Vendedor13!$C$13="",0,Vendedor13!$C$13)</f>
        <v>2600</v>
      </c>
      <c r="H16" s="30">
        <f>IF(Vendedor13!$E$13="",0,Vendedor13!$E$13)</f>
        <v>100</v>
      </c>
      <c r="I16" s="181">
        <f>IF(Vendedor13!$C$17="",0,Vendedor13!$C$17)</f>
        <v>4850</v>
      </c>
      <c r="J16" s="30">
        <f>IF(Vendedor13!$E$17="",0,Vendedor13!$E$17)</f>
        <v>0</v>
      </c>
      <c r="L16" s="42">
        <f t="shared" si="7"/>
        <v>13250</v>
      </c>
      <c r="M16" s="41">
        <f>MROUND(L16*Vendedor13!J$12,50)</f>
        <v>1600</v>
      </c>
      <c r="N16" s="42">
        <f t="shared" si="9"/>
        <v>200</v>
      </c>
      <c r="O16" s="41">
        <f t="shared" si="3"/>
        <v>17000</v>
      </c>
      <c r="P16" s="42">
        <f>Vendedor13!$F$5+Vendedor13!$F$9+Vendedor13!$F$13+Vendedor13!$F$17</f>
        <v>16000</v>
      </c>
      <c r="R16" s="41">
        <f t="shared" si="8"/>
        <v>-5350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115700</v>
      </c>
      <c r="D17" s="30">
        <f>IF(Vendedor14!$E$5="",0,Vendedor14!$E$5)</f>
        <v>1550</v>
      </c>
      <c r="E17" s="181">
        <f>IF(Vendedor14!$C$9="",0,Vendedor14!$C$9)</f>
        <v>119400</v>
      </c>
      <c r="F17" s="30">
        <f>IF(Vendedor14!$E$9="",0,Vendedor14!$E$9)</f>
        <v>500</v>
      </c>
      <c r="G17" s="181">
        <f>IF(Vendedor14!$C$13="",0,Vendedor14!$C$13)</f>
        <v>83250</v>
      </c>
      <c r="H17" s="30">
        <f>IF(Vendedor14!$E$13="",0,Vendedor14!$E$13)</f>
        <v>700</v>
      </c>
      <c r="I17" s="181">
        <f>IF(Vendedor14!$C$17="",0,Vendedor14!$C$17)</f>
        <v>150700</v>
      </c>
      <c r="J17" s="30">
        <f>IF(Vendedor14!$E$17="",0,Vendedor14!$E$17)</f>
        <v>0</v>
      </c>
      <c r="L17" s="42">
        <f>C17+E17+G17+I17</f>
        <v>469050</v>
      </c>
      <c r="M17" s="41">
        <f>MROUND(L17*Vendedor14!J$16,50)</f>
        <v>56300</v>
      </c>
      <c r="N17" s="42">
        <f t="shared" si="9"/>
        <v>2750</v>
      </c>
      <c r="O17" s="41">
        <f t="shared" si="3"/>
        <v>233750</v>
      </c>
      <c r="P17" s="42">
        <f>Vendedor14!$F$5+Vendedor14!$F$9+Vendedor14!$F$13+Vendedor14!$F$17</f>
        <v>233750</v>
      </c>
      <c r="R17" s="41">
        <f t="shared" si="8"/>
        <v>179000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65200</v>
      </c>
      <c r="D18" s="30">
        <f>IF(Vendedor15!$E$5="",0,Vendedor15!$E$5)</f>
        <v>1350</v>
      </c>
      <c r="E18" s="181">
        <f>IF(Vendedor15!$C$9="",0,Vendedor15!$C$9)</f>
        <v>47800</v>
      </c>
      <c r="F18" s="30">
        <f>IF(Vendedor15!$E$9="",0,Vendedor15!$E$9)</f>
        <v>0</v>
      </c>
      <c r="G18" s="181">
        <f>IF(Vendedor15!$C$13="",0,Vendedor15!$C$13)</f>
        <v>21750</v>
      </c>
      <c r="H18" s="30">
        <f>IF(Vendedor15!$E$13="",0,Vendedor15!$E$13)</f>
        <v>200</v>
      </c>
      <c r="I18" s="181">
        <f>IF(Vendedor15!$C$17="",0,Vendedor15!$C$17)</f>
        <v>4900</v>
      </c>
      <c r="J18" s="30">
        <f>IF(Vendedor15!$E$17="",0,Vendedor15!$E$17)</f>
        <v>0</v>
      </c>
      <c r="L18" s="42">
        <f t="shared" ref="L18:L27" si="10">C18+E18+G18+I18</f>
        <v>139650</v>
      </c>
      <c r="M18" s="41">
        <f>MROUND(L18*Vendedor15!J$16,50)</f>
        <v>16750</v>
      </c>
      <c r="N18" s="42">
        <f t="shared" si="9"/>
        <v>1550</v>
      </c>
      <c r="O18" s="41">
        <f t="shared" si="3"/>
        <v>131750</v>
      </c>
      <c r="P18" s="42">
        <f>Vendedor15!$F$5+Vendedor15!$F$9+Vendedor15!$F$13+Vendedor15!$F$17</f>
        <v>131750</v>
      </c>
      <c r="R18" s="41">
        <f t="shared" si="8"/>
        <v>-8850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514600</v>
      </c>
      <c r="D32" s="44">
        <f t="shared" si="14"/>
        <v>6250</v>
      </c>
      <c r="E32" s="43">
        <f t="shared" si="14"/>
        <v>416700</v>
      </c>
      <c r="F32" s="44">
        <f t="shared" si="14"/>
        <v>1350</v>
      </c>
      <c r="G32" s="43">
        <f t="shared" si="14"/>
        <v>217800</v>
      </c>
      <c r="H32" s="44">
        <f t="shared" si="14"/>
        <v>1250</v>
      </c>
      <c r="I32" s="43">
        <f t="shared" si="14"/>
        <v>291850</v>
      </c>
      <c r="J32" s="44">
        <f t="shared" si="14"/>
        <v>8650</v>
      </c>
      <c r="L32" s="45">
        <f>SUM(L4:L31)</f>
        <v>1440950</v>
      </c>
      <c r="M32" s="45">
        <f>SUM(M7:M31)</f>
        <v>162050</v>
      </c>
      <c r="N32" s="96">
        <f>SUM(N4:N31)</f>
        <v>17500</v>
      </c>
      <c r="O32" s="46">
        <f>SUM(O4:O31)</f>
        <v>1487500</v>
      </c>
      <c r="P32" s="141">
        <f>SUM(P4:P31)</f>
        <v>1468250</v>
      </c>
      <c r="R32" s="80">
        <f>SUM(R4:R31)</f>
        <v>-220400</v>
      </c>
    </row>
    <row r="33" spans="3:15" x14ac:dyDescent="0.35">
      <c r="D33" s="121">
        <f>+D32*85</f>
        <v>531250</v>
      </c>
      <c r="F33" s="121">
        <f>+F32*85</f>
        <v>114750</v>
      </c>
      <c r="H33" s="121">
        <f>+H32*85</f>
        <v>106250</v>
      </c>
      <c r="J33" s="121">
        <f>+J32*85</f>
        <v>735250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1440950</v>
      </c>
      <c r="E36" s="43">
        <f>+D36-L4-L5-L6</f>
        <v>1350200</v>
      </c>
    </row>
    <row r="37" spans="3:15" x14ac:dyDescent="0.35">
      <c r="C37" s="47" t="s">
        <v>33</v>
      </c>
      <c r="D37" s="48">
        <f>D36*13%</f>
        <v>187323.5</v>
      </c>
      <c r="E37">
        <f>+D37-M4-M5-M6</f>
        <v>175523.5</v>
      </c>
    </row>
    <row r="38" spans="3:15" x14ac:dyDescent="0.35">
      <c r="C38" s="47" t="s">
        <v>30</v>
      </c>
      <c r="D38" s="30">
        <f>SUM(O4:O27)</f>
        <v>1487500</v>
      </c>
      <c r="G38" s="101"/>
    </row>
    <row r="39" spans="3:15" ht="15" thickBot="1" x14ac:dyDescent="0.4">
      <c r="C39" s="49" t="s">
        <v>4</v>
      </c>
      <c r="D39" s="81">
        <f>+D36-D37-D38</f>
        <v>-233873.5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-233873.5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88 Blanca</v>
      </c>
      <c r="D2" s="269"/>
      <c r="E2" s="268" t="str">
        <f>IF(E33=0,"",CONCATENATE(PREMIOS!$B11," ",PREMIOS!$B12))</f>
        <v>16 Roja</v>
      </c>
      <c r="F2" s="269"/>
      <c r="G2" s="268" t="str">
        <f>IF(G33=0,"",CONCATENATE(PREMIOS!$B15," ",PREMIOS!$B16))</f>
        <v>59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15950</v>
      </c>
      <c r="D10" s="30">
        <f>IF(Vendedor7!$E$8="",0,Vendedor7!$E$8)</f>
        <v>1500</v>
      </c>
      <c r="E10" s="181">
        <f>IF(Vendedor7!$C$12="",0,Vendedor7!$C$12)</f>
        <v>24750</v>
      </c>
      <c r="F10" s="30">
        <f>IF(Vendedor7!$E$12="",0,Vendedor7!$E$12)</f>
        <v>0</v>
      </c>
      <c r="G10" s="181">
        <f>IF(Vendedor7!$C$16="",0,Vendedor7!$C$16)</f>
        <v>31000</v>
      </c>
      <c r="H10" s="30">
        <f>IF(Vendedor7!$E$16="",0,Vendedor7!$E$16)</f>
        <v>0</v>
      </c>
      <c r="J10" s="42">
        <f t="shared" si="1"/>
        <v>71700</v>
      </c>
      <c r="K10" s="41">
        <f>J10*Vendedor7!J$16</f>
        <v>7170</v>
      </c>
      <c r="L10" s="42">
        <f t="shared" si="2"/>
        <v>0</v>
      </c>
      <c r="M10" s="42">
        <f t="shared" si="3"/>
        <v>1500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64530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1500</v>
      </c>
      <c r="D16" s="30">
        <f>IF(Vendedor13!$E$8="",0,Vendedor13!$E$8)</f>
        <v>0</v>
      </c>
      <c r="E16" s="181">
        <f>IF(Vendedor13!$C$12="",0,Vendedor13!$C$12)</f>
        <v>3500</v>
      </c>
      <c r="F16" s="30">
        <f>IF(Vendedor13!$E$12="",0,Vendedor13!$E$12)</f>
        <v>0</v>
      </c>
      <c r="G16" s="181">
        <f>IF(Vendedor13!$C$16="",0,Vendedor13!$C$16)</f>
        <v>2000</v>
      </c>
      <c r="H16" s="30">
        <f>IF(Vendedor13!$E$16="",0,Vendedor13!$E$16)</f>
        <v>0</v>
      </c>
      <c r="J16" s="42">
        <f t="shared" si="1"/>
        <v>7000</v>
      </c>
      <c r="K16" s="41">
        <f>J16*Vendedor13!J$13</f>
        <v>700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6300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22000</v>
      </c>
      <c r="D17" s="30">
        <f>IF(Vendedor14!$E$8="",0,Vendedor14!$E$8)</f>
        <v>0</v>
      </c>
      <c r="E17" s="181">
        <f>IF(Vendedor14!$C$12="",0,Vendedor14!$C$12)</f>
        <v>19750</v>
      </c>
      <c r="F17" s="30">
        <f>IF(Vendedor14!$E$12="",0,Vendedor14!$E$12)</f>
        <v>800</v>
      </c>
      <c r="G17" s="181">
        <f>IF(Vendedor14!$C$16="",0,Vendedor14!$C$16)</f>
        <v>38200</v>
      </c>
      <c r="H17" s="30">
        <f>IF(Vendedor14!$E$16="",0,Vendedor14!$E$16)</f>
        <v>0</v>
      </c>
      <c r="J17" s="42">
        <f t="shared" si="1"/>
        <v>79950</v>
      </c>
      <c r="K17" s="41">
        <f>J17*Vendedor14!J$17</f>
        <v>7995</v>
      </c>
      <c r="L17" s="42">
        <f t="shared" si="2"/>
        <v>800</v>
      </c>
      <c r="M17" s="42">
        <f t="shared" si="3"/>
        <v>800</v>
      </c>
      <c r="N17" s="42">
        <f t="shared" si="0"/>
        <v>176000</v>
      </c>
      <c r="O17" s="42">
        <f>Vendedor14!$F$8+Vendedor14!$F$12+Vendedor14!$F$16</f>
        <v>160000</v>
      </c>
      <c r="Q17" s="42">
        <f t="shared" si="4"/>
        <v>-88045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24350</v>
      </c>
      <c r="D18" s="30">
        <f>IF(Vendedor15!$E$8="",0,Vendedor15!$E$8)</f>
        <v>0</v>
      </c>
      <c r="E18" s="181">
        <f>IF(Vendedor15!$C$12="",0,Vendedor15!$C$12)</f>
        <v>14800</v>
      </c>
      <c r="F18" s="30">
        <f>IF(Vendedor15!$E$12="",0,Vendedor15!$E$12)</f>
        <v>0</v>
      </c>
      <c r="G18" s="181">
        <f>IF(Vendedor15!$C$16="",0,Vendedor15!$C$16)</f>
        <v>14900</v>
      </c>
      <c r="H18" s="30">
        <f>IF(Vendedor15!$E$16="",0,Vendedor15!$E$16)</f>
        <v>0</v>
      </c>
      <c r="J18" s="42">
        <f t="shared" ref="J18" si="5">+C18+E18+G18</f>
        <v>54050</v>
      </c>
      <c r="K18" s="41">
        <f>J18*Vendedor15!J$17</f>
        <v>5405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48645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63800</v>
      </c>
      <c r="D33" s="44">
        <f>IF(PREMIOS!E8&lt;&gt;0,SUM(D4:D32),0)</f>
        <v>0</v>
      </c>
      <c r="E33" s="43">
        <f>SUM(E4:E32)</f>
        <v>62800</v>
      </c>
      <c r="F33" s="44">
        <f>IF(PREMIOS!E12&lt;&gt;0,SUM(F4:F32),0)</f>
        <v>800</v>
      </c>
      <c r="G33" s="43">
        <f>SUM(G4:G32)</f>
        <v>86100</v>
      </c>
      <c r="H33" s="44">
        <f>IF(PREMIOS!E16&lt;&gt;0,SUM(H4:H32),0)</f>
        <v>0</v>
      </c>
      <c r="J33" s="45">
        <f>SUM(J4:J32)</f>
        <v>212700</v>
      </c>
      <c r="K33" s="45">
        <f>SUM(K7:K32)</f>
        <v>21270</v>
      </c>
      <c r="L33" s="96">
        <f>SUM(L7:L32)</f>
        <v>800</v>
      </c>
      <c r="M33" s="96">
        <f>SUM(M7:M32)</f>
        <v>2300</v>
      </c>
      <c r="N33" s="96">
        <f>SUM(N4:N27)</f>
        <v>176000</v>
      </c>
      <c r="O33" s="96">
        <f>SUM(O4:O27)</f>
        <v>160000</v>
      </c>
      <c r="Q33" s="80">
        <f>SUM(Q4:Q32)</f>
        <v>31430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176000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212700</v>
      </c>
      <c r="E37" s="43">
        <f>+D37-J4-J5-J6</f>
        <v>212700</v>
      </c>
      <c r="F37" s="276"/>
      <c r="G37" s="276"/>
    </row>
    <row r="38" spans="3:17" ht="15" thickBot="1" x14ac:dyDescent="0.4">
      <c r="C38" s="47" t="s">
        <v>33</v>
      </c>
      <c r="D38" s="30">
        <f>D37*10%</f>
        <v>21270</v>
      </c>
      <c r="E38" s="43">
        <f>+D38-K4-K5-K6</f>
        <v>21270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176000</v>
      </c>
    </row>
    <row r="40" spans="3:17" ht="15" thickBot="1" x14ac:dyDescent="0.4">
      <c r="C40" s="49" t="s">
        <v>4</v>
      </c>
      <c r="D40" s="81">
        <f>+D37-D38-D39</f>
        <v>15430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15430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 t="str">
        <f>DigitaPRIMERA!C2</f>
        <v>04</v>
      </c>
      <c r="D2" s="269"/>
      <c r="E2" s="268">
        <f>DigitaPRIMERA!E2</f>
        <v>84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7700</v>
      </c>
      <c r="D4" s="79">
        <f>IF(Vendedor1!$E$19="",0,Vendedor1!$E$19)</f>
        <v>0</v>
      </c>
      <c r="E4" s="190">
        <f>IF(Vendedor1!$C$20="",0,Vendedor1!$C$20)</f>
        <v>200</v>
      </c>
      <c r="F4" s="79">
        <f>IF(Vendedor1!$E$20="",0,Vendedor1!$E$20)</f>
        <v>0</v>
      </c>
      <c r="H4" s="42">
        <f>+C4+E4</f>
        <v>7900</v>
      </c>
      <c r="I4" s="41">
        <f>MROUND(H4*Vendedor1!J$9,50)</f>
        <v>1050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6850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3100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3100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2700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10750</v>
      </c>
      <c r="D8" s="30">
        <f>IF(Vendedor5!$E$19="",0,Vendedor5!$E$19)</f>
        <v>600</v>
      </c>
      <c r="E8" s="181">
        <f>IF(Vendedor5!$C$20="",0,Vendedor5!$C$20)</f>
        <v>11650</v>
      </c>
      <c r="F8" s="30">
        <f>IF(Vendedor5!$E$20="",0,Vendedor5!$E$20)</f>
        <v>0</v>
      </c>
      <c r="H8" s="134">
        <f t="shared" si="1"/>
        <v>22400</v>
      </c>
      <c r="I8" s="149">
        <f>MROUND(H8*Vendedor5!J$11,50)</f>
        <v>2700</v>
      </c>
      <c r="J8" s="134">
        <f t="shared" si="2"/>
        <v>600</v>
      </c>
      <c r="K8" s="134">
        <f t="shared" si="3"/>
        <v>51000</v>
      </c>
      <c r="L8" s="134">
        <f>Vendedor5!$F$19+Vendedor5!$F$20</f>
        <v>48000</v>
      </c>
      <c r="M8" s="156"/>
      <c r="N8" s="134">
        <f t="shared" si="0"/>
        <v>-28300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12150</v>
      </c>
      <c r="D10" s="30">
        <f>IF(Vendedor7!$E$19="",0,Vendedor7!$E$19)</f>
        <v>300</v>
      </c>
      <c r="E10" s="181">
        <f>IF(Vendedor7!$C$20="",0,Vendedor7!$C$20)</f>
        <v>25900</v>
      </c>
      <c r="F10" s="30">
        <f>IF(Vendedor7!$E$20="",0,Vendedor7!$E$20)</f>
        <v>0</v>
      </c>
      <c r="H10" s="42">
        <f t="shared" si="1"/>
        <v>38050</v>
      </c>
      <c r="I10" s="41">
        <f>MROUND(H10*Vendedor7!J$14,50)</f>
        <v>4550</v>
      </c>
      <c r="J10" s="42">
        <f t="shared" si="2"/>
        <v>300</v>
      </c>
      <c r="K10" s="42">
        <f t="shared" si="3"/>
        <v>25500</v>
      </c>
      <c r="L10" s="42">
        <f>Vendedor7!$F$19+Vendedor7!$F$20</f>
        <v>25500</v>
      </c>
      <c r="N10" s="42">
        <f t="shared" si="0"/>
        <v>8000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28750</v>
      </c>
      <c r="D12" s="30">
        <f>IF(Vendedor9!$E$19="",0,Vendedor9!$E$19)</f>
        <v>1050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28750</v>
      </c>
      <c r="I12" s="149">
        <f>MROUND(H12*Vendedor9!J$11,50)</f>
        <v>3450</v>
      </c>
      <c r="J12" s="134">
        <f t="shared" si="2"/>
        <v>1050</v>
      </c>
      <c r="K12" s="134">
        <f t="shared" si="3"/>
        <v>89250</v>
      </c>
      <c r="L12" s="134">
        <f>Vendedor9!$F$19+Vendedor9!$F$20</f>
        <v>89250</v>
      </c>
      <c r="M12" s="156"/>
      <c r="N12" s="134">
        <f t="shared" si="0"/>
        <v>-63950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4600</v>
      </c>
      <c r="D16" s="30">
        <f>IF(Vendedor13!$E$19="",0,Vendedor13!$E$19)</f>
        <v>0</v>
      </c>
      <c r="E16" s="181">
        <f>IF(Vendedor13!$C$20="",0,Vendedor13!$C$20)</f>
        <v>1100</v>
      </c>
      <c r="F16" s="30">
        <f>IF(Vendedor13!$E$20="",0,Vendedor13!$E$20)</f>
        <v>0</v>
      </c>
      <c r="H16" s="134">
        <f t="shared" si="1"/>
        <v>5700</v>
      </c>
      <c r="I16" s="149">
        <f>MROUND(H16*Vendedor13!J$11,50)</f>
        <v>700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5000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99150</v>
      </c>
      <c r="D17" s="30">
        <f>IF(Vendedor14!$E$19="",0,Vendedor14!$E$19)</f>
        <v>2000</v>
      </c>
      <c r="E17" s="181">
        <f>IF(Vendedor14!$C$20="",0,Vendedor14!$C$20)</f>
        <v>39100</v>
      </c>
      <c r="F17" s="30">
        <f>IF(Vendedor14!$E$20="",0,Vendedor14!$E$20)</f>
        <v>100</v>
      </c>
      <c r="H17" s="42">
        <f t="shared" si="1"/>
        <v>138250</v>
      </c>
      <c r="I17" s="41">
        <f>MROUND(H17*Vendedor14!J$15,50)</f>
        <v>16600</v>
      </c>
      <c r="J17" s="42">
        <f t="shared" si="2"/>
        <v>2100</v>
      </c>
      <c r="K17" s="42">
        <f t="shared" si="3"/>
        <v>178500</v>
      </c>
      <c r="L17" s="42">
        <f>Vendedor14!$F$19+Vendedor14!$F$20</f>
        <v>178500</v>
      </c>
      <c r="N17" s="42">
        <f t="shared" si="0"/>
        <v>-56850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57700</v>
      </c>
      <c r="D18" s="30">
        <f>IF(Vendedor15!$E$19="",0,Vendedor15!$E$19)</f>
        <v>1250</v>
      </c>
      <c r="E18" s="181">
        <f>IF(Vendedor15!$C$20="",0,Vendedor15!$C$20)</f>
        <v>32700</v>
      </c>
      <c r="F18" s="30">
        <f>IF(Vendedor15!$E$20="",0,Vendedor15!$E$20)</f>
        <v>0</v>
      </c>
      <c r="H18" s="42">
        <f t="shared" si="1"/>
        <v>90400</v>
      </c>
      <c r="I18" s="41">
        <f>MROUND(H18*Vendedor15!J$15,50)</f>
        <v>10850</v>
      </c>
      <c r="J18" s="42">
        <f t="shared" si="2"/>
        <v>1250</v>
      </c>
      <c r="K18" s="42">
        <f t="shared" si="3"/>
        <v>106250</v>
      </c>
      <c r="L18" s="42">
        <f>Vendedor15!$F$19+Vendedor15!$F$20</f>
        <v>106250</v>
      </c>
      <c r="N18" s="42">
        <f t="shared" si="0"/>
        <v>-26700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223900</v>
      </c>
      <c r="D32" s="44">
        <f>SUM(D4:D31)</f>
        <v>5200</v>
      </c>
      <c r="E32" s="43">
        <f>SUM(E4:E31)</f>
        <v>110650</v>
      </c>
      <c r="F32" s="44">
        <f>SUM(F4:F31)</f>
        <v>100</v>
      </c>
      <c r="H32" s="96">
        <f>SUM(H4:H31)</f>
        <v>334550</v>
      </c>
      <c r="I32" s="45">
        <f>SUM(I7:I31)</f>
        <v>38850</v>
      </c>
      <c r="J32" s="96"/>
      <c r="K32" s="96">
        <f>SUM(K4:K31)</f>
        <v>450500</v>
      </c>
      <c r="L32" s="96">
        <f>SUM(L4:L31)</f>
        <v>447500</v>
      </c>
      <c r="N32" s="80">
        <f>SUM(N4:N31)</f>
        <v>-153250</v>
      </c>
    </row>
    <row r="33" spans="3:6" x14ac:dyDescent="0.35">
      <c r="D33" s="100">
        <f>+D32*85</f>
        <v>442000</v>
      </c>
      <c r="F33" s="100">
        <f>+F32*85</f>
        <v>8500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334550</v>
      </c>
      <c r="E36" s="43">
        <f>+D36-H4-H5-H6</f>
        <v>323550</v>
      </c>
    </row>
    <row r="37" spans="3:6" x14ac:dyDescent="0.35">
      <c r="C37" s="47" t="s">
        <v>33</v>
      </c>
      <c r="D37" s="48">
        <f>D36*13%</f>
        <v>43491.5</v>
      </c>
      <c r="E37">
        <f>+D37-I4-I5-I6</f>
        <v>42041.5</v>
      </c>
    </row>
    <row r="38" spans="3:6" ht="15" thickBot="1" x14ac:dyDescent="0.4">
      <c r="C38" s="47" t="s">
        <v>30</v>
      </c>
      <c r="D38" s="30">
        <f>SUM(K4:K27)</f>
        <v>450500</v>
      </c>
    </row>
    <row r="39" spans="3:6" ht="15" thickBot="1" x14ac:dyDescent="0.4">
      <c r="C39" s="49" t="s">
        <v>4</v>
      </c>
      <c r="D39" s="81">
        <f>+D36-D37-D38</f>
        <v>-159441.5</v>
      </c>
      <c r="F39" s="99">
        <f>+N32-D39</f>
        <v>6191.5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-159441.5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16</v>
      </c>
      <c r="D2" s="269"/>
      <c r="E2" s="268">
        <f>DigitaHONDURAS!E2</f>
        <v>12</v>
      </c>
      <c r="F2" s="269"/>
      <c r="G2" s="268">
        <f>DigitaHONDURAS!G2</f>
        <v>34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21050</v>
      </c>
      <c r="D10" s="30">
        <f>IF(Vendedor7!$E$21="",0,Vendedor7!$E$21)</f>
        <v>0</v>
      </c>
      <c r="E10" s="181">
        <f>IF(Vendedor7!$C$22="",0,Vendedor7!$C$22)</f>
        <v>21750</v>
      </c>
      <c r="F10" s="30">
        <f>IF(Vendedor7!$E$22="",0,Vendedor7!$E$22)</f>
        <v>100</v>
      </c>
      <c r="G10" s="181">
        <f>IF(Vendedor7!$C$23="",0,Vendedor7!$C$23)</f>
        <v>15000</v>
      </c>
      <c r="H10" s="30">
        <f>IF(Vendedor7!$E$23="",0,Vendedor7!$E$23)</f>
        <v>0</v>
      </c>
      <c r="J10" s="42">
        <f t="shared" si="0"/>
        <v>57800</v>
      </c>
      <c r="K10" s="41">
        <f>MROUND(J10*Vendedor7!J$14,50)</f>
        <v>6950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42350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102850</v>
      </c>
      <c r="D17" s="30">
        <f>IF(Vendedor14!$E$21="",0,Vendedor14!$E$21)</f>
        <v>450</v>
      </c>
      <c r="E17" s="181">
        <f>IF(Vendedor14!$C$22="",0,Vendedor14!$C$22)</f>
        <v>8000</v>
      </c>
      <c r="F17" s="30">
        <f>IF(Vendedor14!$E$22="",0,Vendedor14!$E$22)</f>
        <v>0</v>
      </c>
      <c r="G17" s="181">
        <f>IF(Vendedor14!$C$23="",0,Vendedor14!$C$23)</f>
        <v>28700</v>
      </c>
      <c r="H17" s="30">
        <f>IF(Vendedor14!$E$23="",0,Vendedor14!$E$23)</f>
        <v>550</v>
      </c>
      <c r="J17" s="42">
        <f t="shared" si="0"/>
        <v>139550</v>
      </c>
      <c r="K17" s="41">
        <f>MROUND(J17*Vendedor14!J$15,50)</f>
        <v>16750</v>
      </c>
      <c r="L17" s="42">
        <f t="shared" si="1"/>
        <v>1000</v>
      </c>
      <c r="M17" s="42">
        <f t="shared" si="3"/>
        <v>85000</v>
      </c>
      <c r="N17" s="42">
        <f>Vendedor14!$F$21+Vendedor14!$F$22+Vendedor14!$F$23</f>
        <v>85000</v>
      </c>
      <c r="P17" s="42">
        <f t="shared" si="2"/>
        <v>37800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32600</v>
      </c>
      <c r="D18" s="30">
        <f>IF(Vendedor15!$E$21="",0,Vendedor15!$E$21)</f>
        <v>0</v>
      </c>
      <c r="E18" s="181">
        <f>IF(Vendedor15!$C$22="",0,Vendedor15!$C$22)</f>
        <v>5500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38100</v>
      </c>
      <c r="K18" s="41">
        <f>MROUND(J18*Vendedor15!J$15,50)</f>
        <v>4550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33550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156500</v>
      </c>
      <c r="D32" s="44">
        <f t="shared" si="8"/>
        <v>450</v>
      </c>
      <c r="E32" s="43">
        <f t="shared" si="8"/>
        <v>35250</v>
      </c>
      <c r="F32" s="44">
        <f t="shared" si="8"/>
        <v>100</v>
      </c>
      <c r="G32" s="43">
        <f t="shared" si="8"/>
        <v>43700</v>
      </c>
      <c r="H32" s="44">
        <f t="shared" si="8"/>
        <v>550</v>
      </c>
      <c r="J32" s="96">
        <f>SUM(J4:J31)</f>
        <v>235450</v>
      </c>
      <c r="K32" s="45">
        <f>SUM(K7:K31)</f>
        <v>28250</v>
      </c>
      <c r="L32" s="96"/>
      <c r="M32" s="96">
        <f>SUM(M4:M31)</f>
        <v>93500</v>
      </c>
      <c r="N32" s="96">
        <f>SUM(N4:N31)</f>
        <v>93500</v>
      </c>
      <c r="P32" s="80">
        <f>SUM(P4:P31)</f>
        <v>113700</v>
      </c>
    </row>
    <row r="33" spans="3:8" x14ac:dyDescent="0.35">
      <c r="D33" s="100">
        <f>+D32*85</f>
        <v>38250</v>
      </c>
      <c r="F33" s="100">
        <f>+F32*85</f>
        <v>8500</v>
      </c>
      <c r="H33" s="100">
        <f>+H32*85</f>
        <v>46750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235450</v>
      </c>
      <c r="E36" s="43">
        <f>+D36-J4-J5-J6</f>
        <v>235450</v>
      </c>
    </row>
    <row r="37" spans="3:8" x14ac:dyDescent="0.35">
      <c r="C37" s="47" t="s">
        <v>33</v>
      </c>
      <c r="D37" s="48">
        <f>D36*13%</f>
        <v>30608.5</v>
      </c>
      <c r="E37">
        <f>+D37-K4-K5-K6</f>
        <v>30608.5</v>
      </c>
    </row>
    <row r="38" spans="3:8" ht="15" thickBot="1" x14ac:dyDescent="0.4">
      <c r="C38" s="47" t="s">
        <v>30</v>
      </c>
      <c r="D38" s="30">
        <f>SUM(M4:M27)</f>
        <v>93500</v>
      </c>
      <c r="G38" s="101"/>
    </row>
    <row r="39" spans="3:8" ht="15" thickBot="1" x14ac:dyDescent="0.4">
      <c r="C39" s="49" t="s">
        <v>4</v>
      </c>
      <c r="D39" s="81">
        <f>+D36-D37-D38</f>
        <v>111341.5</v>
      </c>
      <c r="F39" s="99">
        <f>+P32-D39</f>
        <v>2358.5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111341.5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57</v>
      </c>
      <c r="D2" s="269"/>
      <c r="E2" s="268">
        <f>DigitaDOMINICANA!E2</f>
        <v>11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50100</v>
      </c>
      <c r="D10" s="30">
        <f>IF(Vendedor7!$E$24="",0,Vendedor7!$E$24)</f>
        <v>500</v>
      </c>
      <c r="E10" s="181">
        <f>IF(Vendedor7!$C$25="",0,Vendedor7!$C$25)</f>
        <v>47500</v>
      </c>
      <c r="F10" s="30">
        <f>IF(Vendedor7!$E$25="",0,Vendedor7!$E$25)</f>
        <v>0</v>
      </c>
      <c r="H10" s="42">
        <f t="shared" si="1"/>
        <v>97600</v>
      </c>
      <c r="I10" s="41">
        <f>MROUND(H10*Vendedor7!J$14,50)</f>
        <v>11700</v>
      </c>
      <c r="J10" s="42">
        <f t="shared" si="2"/>
        <v>500</v>
      </c>
      <c r="K10" s="42">
        <f t="shared" si="3"/>
        <v>42500</v>
      </c>
      <c r="L10" s="42">
        <f>Vendedor7!$F$24+Vendedor7!$F$25</f>
        <v>42500</v>
      </c>
      <c r="N10" s="42">
        <f t="shared" si="0"/>
        <v>43400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50100</v>
      </c>
      <c r="D32" s="44">
        <f>SUM(D4:D31)</f>
        <v>500</v>
      </c>
      <c r="E32" s="43">
        <f>SUM(E4:E31)</f>
        <v>47500</v>
      </c>
      <c r="F32" s="44">
        <f>SUM(F4:F31)</f>
        <v>0</v>
      </c>
      <c r="H32" s="96">
        <f>SUM(H4:H31)</f>
        <v>97600</v>
      </c>
      <c r="I32" s="45">
        <f>SUM(I7:I31)</f>
        <v>11700</v>
      </c>
      <c r="J32" s="96"/>
      <c r="K32" s="96">
        <f>SUM(K4:K31)</f>
        <v>42500</v>
      </c>
      <c r="L32" s="96">
        <f>SUM(L4:L31)</f>
        <v>42500</v>
      </c>
      <c r="N32" s="80">
        <f>SUM(N4:N31)</f>
        <v>43400</v>
      </c>
    </row>
    <row r="33" spans="3:6" x14ac:dyDescent="0.35">
      <c r="D33" s="100">
        <f>+D32*85</f>
        <v>42500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97600</v>
      </c>
      <c r="E36" s="43">
        <f>+D36-H4-H5-H6</f>
        <v>97600</v>
      </c>
    </row>
    <row r="37" spans="3:6" x14ac:dyDescent="0.35">
      <c r="C37" s="47" t="s">
        <v>33</v>
      </c>
      <c r="D37" s="48">
        <f>D36*13%</f>
        <v>12688</v>
      </c>
      <c r="E37">
        <f>+D37-I4-I5-I6</f>
        <v>12688</v>
      </c>
    </row>
    <row r="38" spans="3:6" ht="15" thickBot="1" x14ac:dyDescent="0.4">
      <c r="C38" s="47" t="s">
        <v>30</v>
      </c>
      <c r="D38" s="30">
        <f>SUM(K4:K27)</f>
        <v>42500</v>
      </c>
    </row>
    <row r="39" spans="3:6" ht="15" thickBot="1" x14ac:dyDescent="0.4">
      <c r="C39" s="49" t="s">
        <v>4</v>
      </c>
      <c r="D39" s="81">
        <f>+D36-D37-D38</f>
        <v>42412</v>
      </c>
      <c r="F39" s="99">
        <f>+N32-D39</f>
        <v>988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42412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47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2900</v>
      </c>
      <c r="D10" s="30">
        <f>IF(Vendedor7!$E$26="",0,Vendedor7!$E$26)</f>
        <v>200</v>
      </c>
      <c r="F10" s="42">
        <f t="shared" si="1"/>
        <v>2900</v>
      </c>
      <c r="G10" s="41">
        <f>MROUND(F10*Vendedor7!J$14,50)</f>
        <v>350</v>
      </c>
      <c r="H10" s="42">
        <f t="shared" si="2"/>
        <v>200</v>
      </c>
      <c r="I10" s="42">
        <f t="shared" si="3"/>
        <v>17000</v>
      </c>
      <c r="J10" s="42">
        <f>Vendedor7!$F$26</f>
        <v>17000</v>
      </c>
      <c r="L10" s="42">
        <f t="shared" si="0"/>
        <v>-14450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2900</v>
      </c>
      <c r="D32" s="44">
        <f>SUM(D4:D31)</f>
        <v>200</v>
      </c>
      <c r="F32" s="96">
        <f>SUM(F4:F31)</f>
        <v>2900</v>
      </c>
      <c r="G32" s="96">
        <f>SUM(G7:G31)</f>
        <v>350</v>
      </c>
      <c r="H32" s="96"/>
      <c r="I32" s="96">
        <f>SUM(I4:I31)</f>
        <v>17000</v>
      </c>
      <c r="J32" s="96">
        <f>SUM(J4:J31)</f>
        <v>17000</v>
      </c>
      <c r="L32" s="92">
        <f>SUM(L4:L31)</f>
        <v>-14450</v>
      </c>
    </row>
    <row r="33" spans="3:6" ht="16" customHeight="1" x14ac:dyDescent="0.35">
      <c r="D33" s="100">
        <f>+D32*85</f>
        <v>17000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2900</v>
      </c>
      <c r="F36" s="43">
        <f>+D36-F4-F5-F6</f>
        <v>2900</v>
      </c>
    </row>
    <row r="37" spans="3:6" x14ac:dyDescent="0.35">
      <c r="C37" s="47" t="s">
        <v>33</v>
      </c>
      <c r="D37" s="30">
        <f>D36*14%</f>
        <v>406.00000000000006</v>
      </c>
      <c r="E37" s="43"/>
      <c r="F37" s="43">
        <f>+D37-G4-G5-G6</f>
        <v>406.00000000000006</v>
      </c>
    </row>
    <row r="38" spans="3:6" x14ac:dyDescent="0.35">
      <c r="C38" s="47" t="s">
        <v>30</v>
      </c>
      <c r="D38" s="30">
        <f>SUM(I4:I27)</f>
        <v>17000</v>
      </c>
    </row>
    <row r="39" spans="3:6" ht="15" thickBot="1" x14ac:dyDescent="0.4">
      <c r="C39" s="49" t="s">
        <v>4</v>
      </c>
      <c r="D39" s="81">
        <f>+D36-D37-D38</f>
        <v>-14506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-14506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09-03-2026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1350200</v>
      </c>
      <c r="C4" s="158">
        <f>HojaNICA!M32</f>
        <v>162050</v>
      </c>
      <c r="D4" s="151">
        <f>HojaNICA!E37</f>
        <v>175523.5</v>
      </c>
      <c r="E4" s="151">
        <f>HojaNICA!P32</f>
        <v>1468250</v>
      </c>
      <c r="F4" s="151">
        <f>HojaNICA!O32</f>
        <v>1487500</v>
      </c>
      <c r="G4" s="152">
        <f t="shared" ref="G4:G10" si="0">+D4-C4+F4-E4</f>
        <v>32723.5</v>
      </c>
      <c r="H4" s="21"/>
      <c r="I4" s="183"/>
    </row>
    <row r="5" spans="1:9" x14ac:dyDescent="0.35">
      <c r="A5" s="28" t="s">
        <v>19</v>
      </c>
      <c r="B5" s="157">
        <f>HojaTICA!$E$36</f>
        <v>1662800</v>
      </c>
      <c r="C5" s="158">
        <f>HojaTICA!K32</f>
        <v>202050</v>
      </c>
      <c r="D5" s="151">
        <f>HojaTICA!E37</f>
        <v>216170</v>
      </c>
      <c r="E5" s="151">
        <f>HojaTICA!N32</f>
        <v>1151500</v>
      </c>
      <c r="F5" s="151">
        <f>HojaTICA!D38</f>
        <v>1156000</v>
      </c>
      <c r="G5" s="152">
        <f t="shared" si="0"/>
        <v>18620</v>
      </c>
      <c r="H5" s="21"/>
      <c r="I5" s="183"/>
    </row>
    <row r="6" spans="1:9" x14ac:dyDescent="0.35">
      <c r="A6" s="28" t="s">
        <v>125</v>
      </c>
      <c r="B6" s="157">
        <f>HojaREVENTADO!$E$37</f>
        <v>212700</v>
      </c>
      <c r="C6" s="158">
        <f>HojaREVENTADO!K33</f>
        <v>21270</v>
      </c>
      <c r="D6" s="151">
        <f>HojaREVENTADO!E38</f>
        <v>21270</v>
      </c>
      <c r="E6" s="151">
        <f>HojaREVENTADO!O33</f>
        <v>160000</v>
      </c>
      <c r="F6" s="151">
        <f>HojaREVENTADO!N33</f>
        <v>176000</v>
      </c>
      <c r="G6" s="152">
        <f t="shared" si="0"/>
        <v>16000</v>
      </c>
      <c r="H6" s="21"/>
      <c r="I6" s="183"/>
    </row>
    <row r="7" spans="1:9" x14ac:dyDescent="0.35">
      <c r="A7" s="28" t="s">
        <v>96</v>
      </c>
      <c r="B7" s="157">
        <f>HojaPrimera!$E$36</f>
        <v>323550</v>
      </c>
      <c r="C7" s="158">
        <f>HojaPrimera!I32</f>
        <v>38850</v>
      </c>
      <c r="D7" s="151">
        <f>HojaPrimera!E37</f>
        <v>42041.5</v>
      </c>
      <c r="E7" s="151">
        <f>HojaPrimera!L32</f>
        <v>447500</v>
      </c>
      <c r="F7" s="151">
        <f>HojaPrimera!K32</f>
        <v>450500</v>
      </c>
      <c r="G7" s="152">
        <f t="shared" si="0"/>
        <v>6191.5</v>
      </c>
      <c r="H7" s="21"/>
      <c r="I7" s="21"/>
    </row>
    <row r="8" spans="1:9" x14ac:dyDescent="0.35">
      <c r="A8" s="28" t="s">
        <v>104</v>
      </c>
      <c r="B8" s="157">
        <f>HojaHonduras!$E$36</f>
        <v>235450</v>
      </c>
      <c r="C8" s="158">
        <f>HojaHonduras!K32</f>
        <v>28250</v>
      </c>
      <c r="D8" s="151">
        <f>HojaHonduras!E37</f>
        <v>30608.5</v>
      </c>
      <c r="E8" s="151">
        <f>HojaHonduras!N32</f>
        <v>93500</v>
      </c>
      <c r="F8" s="151">
        <f>HojaHonduras!M32</f>
        <v>93500</v>
      </c>
      <c r="G8" s="152">
        <f t="shared" si="0"/>
        <v>2358.5</v>
      </c>
      <c r="H8" s="21"/>
      <c r="I8" s="21"/>
    </row>
    <row r="9" spans="1:9" x14ac:dyDescent="0.35">
      <c r="A9" s="28" t="s">
        <v>20</v>
      </c>
      <c r="B9" s="157">
        <f>HojaDominicana!$E$36</f>
        <v>97600</v>
      </c>
      <c r="C9" s="158">
        <f>HojaDominicana!I32</f>
        <v>11700</v>
      </c>
      <c r="D9" s="151">
        <f>HojaDominicana!E37</f>
        <v>12688</v>
      </c>
      <c r="E9" s="151">
        <f>HojaDominicana!L32</f>
        <v>42500</v>
      </c>
      <c r="F9" s="151">
        <f>HojaDominicana!K32</f>
        <v>42500</v>
      </c>
      <c r="G9" s="152">
        <f t="shared" si="0"/>
        <v>988</v>
      </c>
      <c r="H9" s="21"/>
      <c r="I9" s="21"/>
    </row>
    <row r="10" spans="1:9" ht="15" thickBot="1" x14ac:dyDescent="0.4">
      <c r="A10" s="168" t="s">
        <v>21</v>
      </c>
      <c r="B10" s="169">
        <f>HojaPANA!F36</f>
        <v>2900</v>
      </c>
      <c r="C10" s="170">
        <f>HojaPANA!G32</f>
        <v>350</v>
      </c>
      <c r="D10" s="171">
        <f>HojaPANA!F37</f>
        <v>406.00000000000006</v>
      </c>
      <c r="E10" s="171">
        <f>HojaPANA!J32</f>
        <v>17000</v>
      </c>
      <c r="F10" s="171">
        <f>HojaPANA!I32</f>
        <v>17000</v>
      </c>
      <c r="G10" s="172">
        <f t="shared" si="0"/>
        <v>56</v>
      </c>
      <c r="H10" s="21"/>
      <c r="I10" s="21"/>
    </row>
    <row r="11" spans="1:9" ht="19" thickBot="1" x14ac:dyDescent="0.5">
      <c r="A11" s="175" t="s">
        <v>32</v>
      </c>
      <c r="B11" s="176">
        <f>SUM(B4:B10)</f>
        <v>3885200</v>
      </c>
      <c r="C11" s="176">
        <f>SUM(C4:C10)</f>
        <v>464520</v>
      </c>
      <c r="D11" s="176">
        <f t="shared" ref="D11:F11" si="1">SUM(D4:D10)</f>
        <v>498707.5</v>
      </c>
      <c r="E11" s="176">
        <f t="shared" si="1"/>
        <v>3380250</v>
      </c>
      <c r="F11" s="176">
        <f t="shared" si="1"/>
        <v>3423000</v>
      </c>
      <c r="G11" s="177">
        <f>SUM(G4:G10)</f>
        <v>76937.5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20000</v>
      </c>
      <c r="H12" s="142">
        <f>+G11-G12</f>
        <v>56937.5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302050</v>
      </c>
      <c r="E16" s="158">
        <f>+Vendedor1!D21</f>
        <v>39266.5</v>
      </c>
      <c r="F16" s="159">
        <f>IF(D16&lt;&gt;0,15000,0)</f>
        <v>15000</v>
      </c>
      <c r="G16" s="152">
        <f>+E16-F16</f>
        <v>24266.5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270900</v>
      </c>
      <c r="E17" s="158">
        <f>+Vendedor2!D21</f>
        <v>35217</v>
      </c>
      <c r="F17" s="159">
        <f>IF(D17&lt;&gt;0,15000,0)</f>
        <v>15000</v>
      </c>
      <c r="G17" s="152">
        <f>+E17-F17</f>
        <v>20217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572950</v>
      </c>
      <c r="E19" s="160">
        <f>SUM(E16:E18)</f>
        <v>74483.5</v>
      </c>
      <c r="F19" s="161">
        <f>SUM(F16:F18)</f>
        <v>30000</v>
      </c>
      <c r="G19" s="162">
        <f>SUM(G16:G18)</f>
        <v>44483.5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101421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K14" sqref="K14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09-03-2026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1440950</v>
      </c>
      <c r="C5" s="151">
        <f>HojaNICA!D37</f>
        <v>187323.5</v>
      </c>
      <c r="D5" s="151">
        <f>HojaNICA!D38</f>
        <v>1487500</v>
      </c>
      <c r="E5" s="151"/>
      <c r="F5" s="152">
        <f>+B5-C5-D5+E5</f>
        <v>-233873.5</v>
      </c>
      <c r="H5" s="251" t="s">
        <v>105</v>
      </c>
      <c r="I5" s="245">
        <f ca="1">TODAY()-2</f>
        <v>46090</v>
      </c>
      <c r="O5" s="120"/>
    </row>
    <row r="6" spans="1:15" ht="15" thickBot="1" x14ac:dyDescent="0.4">
      <c r="A6" s="47" t="s">
        <v>36</v>
      </c>
      <c r="B6" s="151">
        <f>HojaTICA!D36</f>
        <v>2134000</v>
      </c>
      <c r="C6" s="151">
        <f>HojaTICA!D37</f>
        <v>277420</v>
      </c>
      <c r="D6" s="151">
        <f>HojaTICA!D38</f>
        <v>1156000</v>
      </c>
      <c r="E6" s="151"/>
      <c r="F6" s="152">
        <f t="shared" ref="F6:F11" si="0">+B6-C6-D6+E6</f>
        <v>700580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212700</v>
      </c>
      <c r="C7" s="151">
        <f>HojaREVENTADO!D38</f>
        <v>21270</v>
      </c>
      <c r="D7" s="151">
        <f>HojaREVENTADO!D39</f>
        <v>176000</v>
      </c>
      <c r="E7" s="151"/>
      <c r="F7" s="152">
        <f t="shared" si="0"/>
        <v>15430</v>
      </c>
    </row>
    <row r="8" spans="1:15" x14ac:dyDescent="0.35">
      <c r="A8" s="47" t="s">
        <v>96</v>
      </c>
      <c r="B8" s="151">
        <f>HojaPrimera!$D36</f>
        <v>334550</v>
      </c>
      <c r="C8" s="151">
        <f>HojaPrimera!$D37</f>
        <v>43491.5</v>
      </c>
      <c r="D8" s="151">
        <f>HojaPrimera!$D38</f>
        <v>450500</v>
      </c>
      <c r="E8" s="151"/>
      <c r="F8" s="152">
        <f t="shared" si="0"/>
        <v>-159441.5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235450</v>
      </c>
      <c r="C9" s="151">
        <f>HojaHonduras!$D37</f>
        <v>30608.5</v>
      </c>
      <c r="D9" s="151">
        <f>HojaHonduras!$D38</f>
        <v>93500</v>
      </c>
      <c r="E9" s="151"/>
      <c r="F9" s="152">
        <f t="shared" si="0"/>
        <v>111341.5</v>
      </c>
      <c r="H9" s="252">
        <f>+K12-K10-H6</f>
        <v>561557.5</v>
      </c>
    </row>
    <row r="10" spans="1:15" ht="15" thickBot="1" x14ac:dyDescent="0.4">
      <c r="A10" s="47" t="s">
        <v>20</v>
      </c>
      <c r="B10" s="151">
        <f>HojaDominicana!$D36</f>
        <v>97600</v>
      </c>
      <c r="C10" s="151">
        <f>HojaDominicana!$D37</f>
        <v>12688</v>
      </c>
      <c r="D10" s="151">
        <f>HojaDominicana!$D38</f>
        <v>42500</v>
      </c>
      <c r="E10" s="151"/>
      <c r="F10" s="152">
        <f t="shared" si="0"/>
        <v>42412</v>
      </c>
      <c r="H10" s="155"/>
      <c r="J10" t="s">
        <v>148</v>
      </c>
      <c r="K10" s="254">
        <v>6605363.9399999995</v>
      </c>
    </row>
    <row r="11" spans="1:15" ht="15" thickBot="1" x14ac:dyDescent="0.4">
      <c r="A11" s="47" t="s">
        <v>21</v>
      </c>
      <c r="B11" s="151">
        <f>HojaPANA!$D36</f>
        <v>2900</v>
      </c>
      <c r="C11" s="151">
        <f>HojaPANA!$D37</f>
        <v>406.00000000000006</v>
      </c>
      <c r="D11" s="166">
        <f>HojaPANA!$D38</f>
        <v>17000</v>
      </c>
      <c r="E11" s="151"/>
      <c r="F11" s="152">
        <f t="shared" si="0"/>
        <v>-14506</v>
      </c>
      <c r="H11" s="215" t="s">
        <v>154</v>
      </c>
      <c r="J11" t="s">
        <v>158</v>
      </c>
      <c r="K11" s="255">
        <f>+K10+F12+H6</f>
        <v>7067306.4399999995</v>
      </c>
    </row>
    <row r="12" spans="1:15" ht="16" thickBot="1" x14ac:dyDescent="0.4">
      <c r="A12" s="145" t="s">
        <v>5</v>
      </c>
      <c r="B12" s="153">
        <f>SUM(B5:B11)</f>
        <v>4458150</v>
      </c>
      <c r="C12" s="153">
        <f>SUM(C5:C11)</f>
        <v>573207.5</v>
      </c>
      <c r="D12" s="153">
        <f>SUM(D5:D11)</f>
        <v>3423000</v>
      </c>
      <c r="E12" s="153"/>
      <c r="F12" s="257">
        <f>SUM(F5:F11)</f>
        <v>461942.5</v>
      </c>
      <c r="H12" s="253">
        <f>K11</f>
        <v>7067306.4399999995</v>
      </c>
      <c r="J12" t="s">
        <v>140</v>
      </c>
      <c r="K12" s="256">
        <f>3451036.07-1324221.01+3241329.8+1798776.58</f>
        <v>7166921.4399999995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241250</v>
      </c>
      <c r="K4" s="233">
        <f t="shared" ref="K4" si="0">D7+D11+D15</f>
        <v>31362.5</v>
      </c>
      <c r="L4" s="222">
        <f>F7+F11+F15</f>
        <v>38250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IF(DigitaNICA!C4&lt;&gt;"",DigitaNICA!C4,"")</f>
        <v>24000</v>
      </c>
      <c r="D5" s="42">
        <f>IF(C5="",0,C5*J$10)</f>
        <v>3120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20880</v>
      </c>
      <c r="I5" s="243" t="s">
        <v>37</v>
      </c>
      <c r="J5" s="223">
        <f>SUM(IF(C5="",0,C5),IF(C9="",0,C9),IF(C13="",0,C13),IF(C17="",0,C17))</f>
        <v>52900</v>
      </c>
      <c r="K5" s="227">
        <f t="shared" ref="K5" si="2">D5+D9+D13+D17</f>
        <v>6877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7900</v>
      </c>
      <c r="K6" s="230">
        <f>D19+D20</f>
        <v>1027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>
        <f>IF(DigitaTICA!C4&lt;&gt;"",DigitaTICA!C4,"")</f>
        <v>66050</v>
      </c>
      <c r="D7" s="42">
        <f>IF(C7="",0,C7*J$9)</f>
        <v>8586.5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57463.5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52</v>
      </c>
      <c r="C9" s="29">
        <f>IF(DigitaNICA!E4&lt;&gt;"",DigitaNICA!E4,"")</f>
        <v>17100</v>
      </c>
      <c r="D9" s="42">
        <f>IF(C9="",0,C9*J$10)</f>
        <v>2223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14877</v>
      </c>
      <c r="I9" s="77" t="s">
        <v>36</v>
      </c>
      <c r="J9" s="78">
        <v>0.13</v>
      </c>
      <c r="K9" s="79">
        <f>MROUND(D7+D11+D15,50)</f>
        <v>31350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6900</v>
      </c>
    </row>
    <row r="11" spans="1:12" x14ac:dyDescent="0.35">
      <c r="A11" s="28" t="s">
        <v>59</v>
      </c>
      <c r="B11" s="133">
        <f>IF(DigitaTICA!E2&lt;&gt;"",DigitaTICA!E2,"")</f>
        <v>16</v>
      </c>
      <c r="C11" s="29">
        <f>IF(DigitaTICA!E4&lt;&gt;"",DigitaTICA!E4,"")</f>
        <v>47150</v>
      </c>
      <c r="D11" s="42">
        <f>IF(C11="",0,C11*J$9)</f>
        <v>6129.5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19770.5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1050</v>
      </c>
    </row>
    <row r="13" spans="1:12" x14ac:dyDescent="0.35">
      <c r="A13" s="28" t="s">
        <v>50</v>
      </c>
      <c r="B13" s="133">
        <f>IF(DigitaNICA!G2&lt;&gt;"",DigitaNICA!G2,"")</f>
        <v>61</v>
      </c>
      <c r="C13" s="29">
        <f>IF(DigitaNICA!G4&lt;&gt;"",DigitaNICA!G4,"")</f>
        <v>6300</v>
      </c>
      <c r="D13" s="42">
        <f>IF(C13="",0,C13*J$10)</f>
        <v>819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5481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59</v>
      </c>
      <c r="C15" s="29">
        <f>IF(DigitaTICA!G4&lt;&gt;"",DigitaTICA!G4,"")</f>
        <v>128050</v>
      </c>
      <c r="D15" s="42">
        <f>IF(C15="",0,C15*J$9)</f>
        <v>16646.5</v>
      </c>
      <c r="E15" s="29">
        <f>IF(DigitaTICA!H4&lt;&gt;"",DigitaTICA!H4,"")</f>
        <v>200</v>
      </c>
      <c r="F15" s="42">
        <f>IF(E15="",0,E15*PREMIOS!F15)</f>
        <v>17000</v>
      </c>
      <c r="G15" s="30">
        <f t="shared" si="3"/>
        <v>94403.5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29">
        <f>IF(DigitaNICA!I4&lt;&gt;"",DigitaNICA!I4,"")</f>
        <v>5500</v>
      </c>
      <c r="D17" s="42">
        <f>IF(C17="",0,C17*J$10)</f>
        <v>715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4785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>
        <f>IF(DigitaPRIMERA!C4&lt;&gt;"",DigitaPRIMERA!C4,"")</f>
        <v>7700</v>
      </c>
      <c r="D19" s="42">
        <f>IF(C19="",0,C19*J$12)</f>
        <v>1001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6699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>
        <f>IF(DigitaPRIMERA!E4&lt;&gt;"",DigitaPRIMERA!E4,"")</f>
        <v>200</v>
      </c>
      <c r="D20" s="42">
        <f>IF(C20="",0,C20*J$12)</f>
        <v>26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174</v>
      </c>
    </row>
    <row r="21" spans="1:7" ht="15" thickBot="1" x14ac:dyDescent="0.4">
      <c r="A21" s="122" t="s">
        <v>5</v>
      </c>
      <c r="B21" s="129"/>
      <c r="C21" s="123">
        <f>SUM(C5:C20)</f>
        <v>302050</v>
      </c>
      <c r="D21" s="123">
        <f t="shared" ref="D21:G21" si="6">SUM(D5:D20)</f>
        <v>39266.5</v>
      </c>
      <c r="E21" s="123">
        <f t="shared" si="6"/>
        <v>450</v>
      </c>
      <c r="F21" s="123">
        <f t="shared" si="6"/>
        <v>38250</v>
      </c>
      <c r="G21" s="124">
        <f t="shared" si="6"/>
        <v>224533.5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229950</v>
      </c>
      <c r="K4" s="233">
        <f t="shared" ref="K4" si="0">D7+D11+D15</f>
        <v>29893.5</v>
      </c>
      <c r="L4" s="222">
        <f>F7+F11+F15</f>
        <v>59500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IF(DigitaNICA!C5&lt;&gt;"",DigitaNICA!C5,"")</f>
        <v>27650</v>
      </c>
      <c r="D5" s="42">
        <f>IF(C5="",0,C5*J$10)</f>
        <v>3594.5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24055.5</v>
      </c>
      <c r="I5" s="243" t="s">
        <v>37</v>
      </c>
      <c r="J5" s="223">
        <f>SUM(IF(C5="",0,C5),IF(C9="",0,C9),IF(C13="",0,C13),IF(C17="",0,C17))</f>
        <v>37850</v>
      </c>
      <c r="K5" s="227">
        <f t="shared" ref="K5" si="2">D5+D9+D13+D17</f>
        <v>4920.5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3100</v>
      </c>
      <c r="K6" s="230">
        <f>D19+D20</f>
        <v>403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>
        <f>IF(DigitaTICA!C5&lt;&gt;"",DigitaTICA!C5,"")</f>
        <v>88550</v>
      </c>
      <c r="D7" s="42">
        <f>IF(C7="",0,C7*J$9)</f>
        <v>11511.5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77038.5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29">
        <f>IF(DigitaNICA!E5&lt;&gt;"",DigitaNICA!E5,"")</f>
        <v>4400</v>
      </c>
      <c r="D9" s="42">
        <f>IF(C9="",0,C9*J$10)</f>
        <v>572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3828</v>
      </c>
      <c r="I9" s="60" t="s">
        <v>36</v>
      </c>
      <c r="J9" s="61">
        <v>0.13</v>
      </c>
      <c r="K9" s="62">
        <f>MROUND(D7+D11+D15,50)</f>
        <v>29900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4900</v>
      </c>
    </row>
    <row r="11" spans="1:12" x14ac:dyDescent="0.35">
      <c r="A11" s="28" t="s">
        <v>59</v>
      </c>
      <c r="B11" s="133">
        <f>IF(DigitaTICA!E2&lt;&gt;"",DigitaTICA!E2,"")</f>
        <v>16</v>
      </c>
      <c r="C11" s="29">
        <f>IF(DigitaTICA!E5&lt;&gt;"",DigitaTICA!E5,"")</f>
        <v>34700</v>
      </c>
      <c r="D11" s="42">
        <f>IF(C11="",0,C11*J$9)</f>
        <v>4511</v>
      </c>
      <c r="E11" s="29">
        <f>IF(DigitaTICA!F5&lt;&gt;"",DigitaTICA!F5,"")</f>
        <v>200</v>
      </c>
      <c r="F11" s="42">
        <f>IF(E11="",0,E11*PREMIOS!F11)</f>
        <v>17000</v>
      </c>
      <c r="G11" s="30">
        <f t="shared" si="1"/>
        <v>13189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3">
        <f>IF(DigitaNICA!G2&lt;&gt;"",DigitaNICA!G2,"")</f>
        <v>61</v>
      </c>
      <c r="C13" s="29">
        <f>IF(DigitaNICA!G5&lt;&gt;"",DigitaNICA!G5,"")</f>
        <v>400</v>
      </c>
      <c r="D13" s="42">
        <f>IF(C13="",0,C13*J$10)</f>
        <v>52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348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59</v>
      </c>
      <c r="C15" s="29">
        <f>IF(DigitaTICA!G5&lt;&gt;"",DigitaTICA!G5,"")</f>
        <v>106700</v>
      </c>
      <c r="D15" s="42">
        <f>IF(C15="",0,C15*J$9)</f>
        <v>13871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50329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29">
        <f>IF(DigitaNICA!I5&lt;&gt;"",DigitaNICA!I5,"")</f>
        <v>5400</v>
      </c>
      <c r="D17" s="42">
        <f>IF(C17="",0,C17*J$10)</f>
        <v>702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4698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>
        <f>IF(DigitaPRIMERA!C5&lt;&gt;"",DigitaPRIMERA!C5,"")</f>
        <v>3100</v>
      </c>
      <c r="D19" s="42">
        <f>IF(C19="",0,C19*J$12)</f>
        <v>403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2697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270900</v>
      </c>
      <c r="D21" s="68">
        <f t="shared" ref="D21:G21" si="4">SUM(D5:D20)</f>
        <v>35217</v>
      </c>
      <c r="E21" s="68">
        <f t="shared" si="4"/>
        <v>700</v>
      </c>
      <c r="F21" s="68">
        <f t="shared" si="4"/>
        <v>59500</v>
      </c>
      <c r="G21" s="89">
        <f t="shared" si="4"/>
        <v>176183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16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61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16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59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204850</v>
      </c>
      <c r="K4" s="233">
        <f t="shared" ref="K4" si="0">D7+D11+D15</f>
        <v>24582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IF(DigitaNICA!C8&lt;&gt;"",DigitaNICA!C8,"")</f>
        <v>87850</v>
      </c>
      <c r="D5" s="42">
        <f>IF(C5="",0,C5*J$12)</f>
        <v>10542</v>
      </c>
      <c r="E5" s="29">
        <f>IF(DigitaNICA!D8&lt;&gt;"",DigitaNICA!D8,"")</f>
        <v>1600</v>
      </c>
      <c r="F5" s="42">
        <f>IF(E5="",0,E5*PREMIOS!E5)</f>
        <v>128000</v>
      </c>
      <c r="G5" s="30">
        <f t="shared" ref="G5:G12" si="1">IF(OR(C5="",E5=""),0,C5-D5-F5)</f>
        <v>-50692</v>
      </c>
      <c r="I5" s="243" t="s">
        <v>37</v>
      </c>
      <c r="J5" s="223">
        <f>SUM(IF(C5="",0,C5),IF(C9="",0,C9),IF(C13="",0,C13),IF(C17="",0,C17))</f>
        <v>199800</v>
      </c>
      <c r="K5" s="227">
        <f t="shared" ref="K5" si="2">D5+D9+D13+D17</f>
        <v>23976</v>
      </c>
      <c r="L5" s="224">
        <f>F5+F9+F13+F17</f>
        <v>184000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>
        <f>IF(DigitaTICA!C8&lt;&gt;"",DigitaTICA!C8,"")</f>
        <v>83850</v>
      </c>
      <c r="D7" s="42">
        <f>IF(C7="",0,C7*J$11)</f>
        <v>10062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73788</v>
      </c>
      <c r="I7" s="244" t="s">
        <v>96</v>
      </c>
      <c r="J7" s="226">
        <f>SUM(IF(C19="",0,C19),IF(C20="",0,C20))</f>
        <v>22400</v>
      </c>
      <c r="K7" s="230">
        <f>+D19+D20</f>
        <v>2688</v>
      </c>
      <c r="L7" s="231">
        <f>+F19+F20</f>
        <v>48000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52</v>
      </c>
      <c r="C9" s="29">
        <f>IF(DigitaNICA!E8&lt;&gt;"",DigitaNICA!E8,"")</f>
        <v>79450</v>
      </c>
      <c r="D9" s="42">
        <f>IF(C9="",0,C9*J$12)</f>
        <v>9534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69916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16</v>
      </c>
      <c r="C11" s="29">
        <f>IF(DigitaTICA!E8&lt;&gt;"",DigitaTICA!E8,"")</f>
        <v>61000</v>
      </c>
      <c r="D11" s="42">
        <f>IF(C11="",0,C11*J$11)</f>
        <v>7320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53680</v>
      </c>
      <c r="I11" s="60" t="s">
        <v>36</v>
      </c>
      <c r="J11" s="61">
        <v>0.12</v>
      </c>
      <c r="K11" s="62">
        <f>MROUND(D7+D11+D15,50)</f>
        <v>24600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24000</v>
      </c>
    </row>
    <row r="13" spans="1:12" x14ac:dyDescent="0.35">
      <c r="A13" s="28" t="s">
        <v>50</v>
      </c>
      <c r="B13" s="133">
        <f>IF(DigitaNICA!G2&lt;&gt;"",DigitaNICA!G2,"")</f>
        <v>61</v>
      </c>
      <c r="C13" s="29">
        <f>IF(DigitaNICA!G8&lt;&gt;"",DigitaNICA!G8,"")</f>
        <v>8450</v>
      </c>
      <c r="D13" s="42">
        <f>IF(C13="",0,C13*J$12)</f>
        <v>1014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7436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2700</v>
      </c>
    </row>
    <row r="15" spans="1:12" x14ac:dyDescent="0.35">
      <c r="A15" s="28" t="s">
        <v>61</v>
      </c>
      <c r="B15" s="133">
        <f>IF(DigitaTICA!G2&lt;&gt;"",DigitaTICA!G2,"")</f>
        <v>59</v>
      </c>
      <c r="C15" s="29">
        <f>IF(DigitaTICA!G8&lt;&gt;"",DigitaTICA!G8,"")</f>
        <v>60000</v>
      </c>
      <c r="D15" s="42">
        <f>IF(C15="",0,C15*J$11)</f>
        <v>7200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52800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29">
        <f>IF(DigitaNICA!I8&lt;&gt;"",DigitaNICA!I8,"")</f>
        <v>24050</v>
      </c>
      <c r="D17" s="42">
        <f>IF(C17="",0,C17*J$12)</f>
        <v>2886</v>
      </c>
      <c r="E17" s="29">
        <f>IF(DigitaNICA!J8&lt;&gt;"",DigitaNICA!J8,"")</f>
        <v>700</v>
      </c>
      <c r="F17" s="42">
        <f>IF(E17="",0,E17*PREMIOS!E17)</f>
        <v>56000</v>
      </c>
      <c r="G17" s="30">
        <f t="shared" si="4"/>
        <v>-34836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>
        <f>IF(DigitaPRIMERA!C8&lt;&gt;"",DigitaPRIMERA!C8,"")</f>
        <v>10750</v>
      </c>
      <c r="D19" s="42">
        <f>IF(C19="",0,C19*J$14)</f>
        <v>1290</v>
      </c>
      <c r="E19" s="29">
        <f>IF(DigitaPRIMERA!D8&lt;&gt;"",DigitaPRIMERA!D8,"")</f>
        <v>600</v>
      </c>
      <c r="F19" s="42">
        <f>IF(E19="",0,E19*PREMIOS!E19)</f>
        <v>48000</v>
      </c>
      <c r="G19" s="30">
        <f t="shared" si="4"/>
        <v>-38540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>
        <f>IF(DigitaPRIMERA!E8&lt;&gt;"",DigitaPRIMERA!E8,"")</f>
        <v>11650</v>
      </c>
      <c r="D20" s="42">
        <f>IF(C20="",0,C20*J$14)</f>
        <v>1398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10252</v>
      </c>
    </row>
    <row r="21" spans="1:7" ht="15" thickBot="1" x14ac:dyDescent="0.4">
      <c r="A21" s="122" t="s">
        <v>5</v>
      </c>
      <c r="B21" s="129"/>
      <c r="C21" s="123">
        <f>SUM(C5:C20)</f>
        <v>427050</v>
      </c>
      <c r="D21" s="123">
        <f t="shared" ref="D21:G21" si="5">SUM(D5:D20)</f>
        <v>51246</v>
      </c>
      <c r="E21" s="123">
        <f t="shared" si="5"/>
        <v>2900</v>
      </c>
      <c r="F21" s="123">
        <f t="shared" si="5"/>
        <v>232000</v>
      </c>
      <c r="G21" s="124">
        <f t="shared" si="5"/>
        <v>143804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59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446400</v>
      </c>
      <c r="K4" s="233">
        <f t="shared" ref="K4" si="0">D7+D11+D15</f>
        <v>53568</v>
      </c>
      <c r="L4" s="222">
        <f>F7+F11+F15</f>
        <v>446250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IF(DigitaNICA!C10&lt;&gt;"",DigitaNICA!C10,"")</f>
        <v>116500</v>
      </c>
      <c r="D5" s="42">
        <f>IF(C5="",0,C5*J$15)</f>
        <v>13980</v>
      </c>
      <c r="E5" s="29">
        <f>IF(DigitaNICA!D10&lt;&gt;"",DigitaNICA!D10,"")</f>
        <v>650</v>
      </c>
      <c r="F5" s="42">
        <f>IF(E5="",0,E5*PREMIOS!F5)</f>
        <v>55250</v>
      </c>
      <c r="G5" s="30">
        <f t="shared" ref="G5:G12" si="1">IF(OR(C5="",E5=""),0,C5-D5-F5)</f>
        <v>47270</v>
      </c>
      <c r="I5" s="219" t="s">
        <v>37</v>
      </c>
      <c r="J5" s="223">
        <f>SUM(IF(C5="",0,C5),IF(C9="",0,C9),IF(C13="",0,C13),IF(C17="",0,C17))</f>
        <v>421750</v>
      </c>
      <c r="K5" s="227">
        <f t="shared" ref="K5" si="2">D5+D9+D13+D17</f>
        <v>50610</v>
      </c>
      <c r="L5" s="224">
        <f>F5+F9+F13+F17</f>
        <v>794750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71700</v>
      </c>
      <c r="K6" s="228">
        <f t="shared" ref="K6" si="3">+D8+D12+D16</f>
        <v>7170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88</v>
      </c>
      <c r="C7" s="29">
        <f>IF(DigitaTICA!C10&lt;&gt;"",DigitaTICA!C10,"")</f>
        <v>151550</v>
      </c>
      <c r="D7" s="42">
        <f>IF(C7="",0,C7*J$14)</f>
        <v>18186</v>
      </c>
      <c r="E7" s="29">
        <f>IF(DigitaTICA!D10&lt;&gt;"",DigitaTICA!D10,"")</f>
        <v>1650</v>
      </c>
      <c r="F7" s="42">
        <f>IF(E7="",0,E7*PREMIOS!F7)</f>
        <v>140250</v>
      </c>
      <c r="G7" s="30">
        <f t="shared" si="1"/>
        <v>-6886</v>
      </c>
      <c r="I7" s="219" t="s">
        <v>96</v>
      </c>
      <c r="J7" s="225">
        <f>SUM(IF(C19="",0,C19),IF(C20="",0,C20))</f>
        <v>38050</v>
      </c>
      <c r="K7" s="228">
        <f>+D19+D20</f>
        <v>4566</v>
      </c>
      <c r="L7" s="229">
        <f>+F19+F20</f>
        <v>25500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15950</v>
      </c>
      <c r="D8" s="42">
        <f>IF(C8="",0,C8*J$16)</f>
        <v>1595</v>
      </c>
      <c r="E8" s="29">
        <f>IF(DigitaREVENTADO!D10&lt;&gt;"",DigitaREVENTADO!D10,"")</f>
        <v>1500</v>
      </c>
      <c r="F8" s="42">
        <f>IF(E8="",0,E8*PREMIOS!F8)</f>
        <v>0</v>
      </c>
      <c r="G8" s="30">
        <f t="shared" si="1"/>
        <v>14355</v>
      </c>
      <c r="I8" s="219" t="s">
        <v>104</v>
      </c>
      <c r="J8" s="225">
        <f>SUM(IF(C21="",0,C21),IF(C22="",0,C22),IF(C23="",0,C23))</f>
        <v>57800</v>
      </c>
      <c r="K8" s="228">
        <f t="shared" ref="K8" si="4">D21+D22+D23</f>
        <v>6936</v>
      </c>
      <c r="L8" s="229">
        <f>F21+F22+F23</f>
        <v>8500</v>
      </c>
    </row>
    <row r="9" spans="1:12" x14ac:dyDescent="0.35">
      <c r="A9" s="28" t="s">
        <v>48</v>
      </c>
      <c r="B9" s="133">
        <f>IF(DigitaNICA!E2&lt;&gt;"",DigitaNICA!E2,"")</f>
        <v>52</v>
      </c>
      <c r="C9" s="29">
        <f>IF(DigitaNICA!E10&lt;&gt;"",DigitaNICA!E10,"")</f>
        <v>122500</v>
      </c>
      <c r="D9" s="42">
        <f>IF(C9="",0,C9*J$15)</f>
        <v>14700</v>
      </c>
      <c r="E9" s="29">
        <f>IF(DigitaNICA!F10&lt;&gt;"",DigitaNICA!F10,"")</f>
        <v>750</v>
      </c>
      <c r="F9" s="42">
        <f>IF(E9="",0,E9*PREMIOS!F9)</f>
        <v>63750</v>
      </c>
      <c r="G9" s="30">
        <f t="shared" si="1"/>
        <v>44050</v>
      </c>
      <c r="I9" s="219" t="s">
        <v>20</v>
      </c>
      <c r="J9" s="225">
        <f>SUM(IF(C24="",0,C24),IF(C25="",0,C25))</f>
        <v>97600</v>
      </c>
      <c r="K9" s="228">
        <f t="shared" ref="K9" si="5">+D24+D25</f>
        <v>11712</v>
      </c>
      <c r="L9" s="229">
        <f>F24+F25</f>
        <v>42500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2900</v>
      </c>
      <c r="K10" s="230">
        <f>+D26</f>
        <v>348</v>
      </c>
      <c r="L10" s="231">
        <f>F26</f>
        <v>17000</v>
      </c>
    </row>
    <row r="11" spans="1:12" x14ac:dyDescent="0.35">
      <c r="A11" s="28" t="s">
        <v>59</v>
      </c>
      <c r="B11" s="133">
        <f>IF(DigitaTICA!E2&lt;&gt;"",DigitaTICA!E2,"")</f>
        <v>16</v>
      </c>
      <c r="C11" s="29">
        <f>IF(DigitaTICA!E10&lt;&gt;"",DigitaTICA!E10,"")</f>
        <v>107300</v>
      </c>
      <c r="D11" s="42">
        <f>IF(C11="",0,C11*J$14)</f>
        <v>12876</v>
      </c>
      <c r="E11" s="29">
        <f>IF(DigitaTICA!F10&lt;&gt;"",DigitaTICA!F10,"")</f>
        <v>1450</v>
      </c>
      <c r="F11" s="42">
        <f>IF(E11="",0,E11*PREMIOS!F11)</f>
        <v>123250</v>
      </c>
      <c r="G11" s="30">
        <f t="shared" si="1"/>
        <v>-28826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24750</v>
      </c>
      <c r="D12" s="42">
        <f>IF(C12="",0,C12*J$16)</f>
        <v>2475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22275</v>
      </c>
    </row>
    <row r="13" spans="1:12" ht="15" thickBot="1" x14ac:dyDescent="0.4">
      <c r="A13" s="28" t="s">
        <v>50</v>
      </c>
      <c r="B13" s="133">
        <f>IF(DigitaNICA!G2&lt;&gt;"",DigitaNICA!G2,"")</f>
        <v>61</v>
      </c>
      <c r="C13" s="29">
        <f>IF(DigitaNICA!G10&lt;&gt;"",DigitaNICA!G10,"")</f>
        <v>88000</v>
      </c>
      <c r="D13" s="42">
        <f>IF(C13="",0,C13*J$15)</f>
        <v>10560</v>
      </c>
      <c r="E13" s="29">
        <f>IF(DigitaNICA!H10&lt;&gt;"",DigitaNICA!H10,"")</f>
        <v>100</v>
      </c>
      <c r="F13" s="42">
        <f>IF(E13="",0,E13*PREMIOS!F13)</f>
        <v>8500</v>
      </c>
      <c r="G13" s="30">
        <f>IF(OR(C13="",E13=""),0,C13-D13-F13)</f>
        <v>68940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53550</v>
      </c>
    </row>
    <row r="15" spans="1:12" x14ac:dyDescent="0.35">
      <c r="A15" s="28" t="s">
        <v>61</v>
      </c>
      <c r="B15" s="133">
        <f>IF(DigitaTICA!G2&lt;&gt;"",DigitaTICA!G2,"")</f>
        <v>59</v>
      </c>
      <c r="C15" s="29">
        <f>IF(DigitaTICA!G10&lt;&gt;"",DigitaTICA!G10,"")</f>
        <v>187550</v>
      </c>
      <c r="D15" s="42">
        <f>IF(C15="",0,C15*J$14)</f>
        <v>22506</v>
      </c>
      <c r="E15" s="29">
        <f>IF(DigitaTICA!H10&lt;&gt;"",DigitaTICA!H10,"")</f>
        <v>2150</v>
      </c>
      <c r="F15" s="42">
        <f>IF(E15="",0,E15*PREMIOS!F15)</f>
        <v>182750</v>
      </c>
      <c r="G15" s="30">
        <f t="shared" si="6"/>
        <v>-17706</v>
      </c>
      <c r="I15" s="63" t="s">
        <v>37</v>
      </c>
      <c r="J15" s="64">
        <v>0.12</v>
      </c>
      <c r="K15" s="30">
        <f>MROUND(D5+D9+D13+D17,50)</f>
        <v>50600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31000</v>
      </c>
      <c r="D16" s="42">
        <f>IF(C16="",0,C16*J$16)</f>
        <v>3100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27900</v>
      </c>
      <c r="I16" s="63" t="s">
        <v>38</v>
      </c>
      <c r="J16" s="64">
        <v>0.1</v>
      </c>
      <c r="K16" s="30">
        <f>MROUND(D6+D8+D10+D12+D14+D16+D18,50)</f>
        <v>7150</v>
      </c>
    </row>
    <row r="17" spans="1:11" x14ac:dyDescent="0.35">
      <c r="A17" s="28" t="s">
        <v>52</v>
      </c>
      <c r="B17" s="133">
        <f>IF(DigitaNICA!I2&lt;&gt;"",DigitaNICA!I2,"")</f>
        <v>67</v>
      </c>
      <c r="C17" s="29">
        <f>IF(DigitaNICA!I10&lt;&gt;"",DigitaNICA!I10,"")</f>
        <v>94750</v>
      </c>
      <c r="D17" s="42">
        <f>IF(C17="",0,C17*J$15)</f>
        <v>11370</v>
      </c>
      <c r="E17" s="29">
        <f>IF(DigitaNICA!J10&lt;&gt;"",DigitaNICA!J10,"")</f>
        <v>7850</v>
      </c>
      <c r="F17" s="42">
        <f>IF(E17="",0,E17*PREMIOS!F17)</f>
        <v>667250</v>
      </c>
      <c r="G17" s="30">
        <f t="shared" si="6"/>
        <v>-583870</v>
      </c>
      <c r="I17" s="63" t="s">
        <v>96</v>
      </c>
      <c r="J17" s="64">
        <v>0.12</v>
      </c>
      <c r="K17" s="30">
        <f>MROUND(D19+D20,50)</f>
        <v>4550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6950</v>
      </c>
    </row>
    <row r="19" spans="1:11" x14ac:dyDescent="0.35">
      <c r="A19" s="28" t="s">
        <v>97</v>
      </c>
      <c r="B19" s="133" t="str">
        <f>IF(DigitaPRIMERA!C2&lt;&gt;"",DigitaPRIMERA!C2,"")</f>
        <v>04</v>
      </c>
      <c r="C19" s="29">
        <f>IF(DigitaPRIMERA!$C$10&lt;&gt;"",DigitaPRIMERA!$C$10,"")</f>
        <v>12150</v>
      </c>
      <c r="D19" s="42">
        <f>IF(C19="",0,C19*J$17)</f>
        <v>1458</v>
      </c>
      <c r="E19" s="29">
        <f>IF(DigitaPRIMERA!$D$10&lt;&gt;"",DigitaPRIMERA!$D$10,"")</f>
        <v>300</v>
      </c>
      <c r="F19" s="42">
        <f>IF(E19="",0,E19*PREMIOS!F19)</f>
        <v>25500</v>
      </c>
      <c r="G19" s="30">
        <f t="shared" ref="G19:G22" si="7">IF(OR(C19="",E19=""),0,C19-D19-F19)</f>
        <v>-14808</v>
      </c>
      <c r="I19" s="63" t="s">
        <v>20</v>
      </c>
      <c r="J19" s="64">
        <v>0.12</v>
      </c>
      <c r="K19" s="30">
        <f>MROUND(D24+D25,50)</f>
        <v>11700</v>
      </c>
    </row>
    <row r="20" spans="1:11" ht="15" thickBot="1" x14ac:dyDescent="0.4">
      <c r="A20" s="28" t="s">
        <v>98</v>
      </c>
      <c r="B20" s="133">
        <f>IF(DigitaPRIMERA!E2&lt;&gt;"",DigitaPRIMERA!E2,"")</f>
        <v>84</v>
      </c>
      <c r="C20" s="29">
        <f>IF(DigitaPRIMERA!$E$10&lt;&gt;"",DigitaPRIMERA!$E$10,"")</f>
        <v>25900</v>
      </c>
      <c r="D20" s="42">
        <f>IF(C20="",0,C20*J$17)</f>
        <v>3108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22792</v>
      </c>
      <c r="I20" s="65" t="s">
        <v>21</v>
      </c>
      <c r="J20" s="66">
        <v>0.12</v>
      </c>
      <c r="K20" s="50">
        <f>MROUND(D26,50)</f>
        <v>350</v>
      </c>
    </row>
    <row r="21" spans="1:11" x14ac:dyDescent="0.35">
      <c r="A21" s="28" t="s">
        <v>99</v>
      </c>
      <c r="B21" s="133">
        <f>IF(DigitaHONDURAS!C2&lt;&gt;"",DigitaHONDURAS!C2,"")</f>
        <v>16</v>
      </c>
      <c r="C21" s="29">
        <f>IF(DigitaHONDURAS!$C$10&lt;&gt;"",DigitaHONDURAS!$C$10,"")</f>
        <v>21050</v>
      </c>
      <c r="D21" s="42">
        <f>IF(C21="",0,C21*J$18)</f>
        <v>2526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18524</v>
      </c>
    </row>
    <row r="22" spans="1:11" x14ac:dyDescent="0.35">
      <c r="A22" s="28" t="s">
        <v>100</v>
      </c>
      <c r="B22" s="133">
        <f>IF(DigitaHONDURAS!E2&lt;&gt;"",DigitaHONDURAS!E2,"")</f>
        <v>12</v>
      </c>
      <c r="C22" s="29">
        <f>IF(DigitaHONDURAS!$E$10&lt;&gt;"",DigitaHONDURAS!$E$10,"")</f>
        <v>21750</v>
      </c>
      <c r="D22" s="42">
        <f>IF(C22="",0,C22*J$18)</f>
        <v>2610</v>
      </c>
      <c r="E22" s="29">
        <f>IF(DigitaHONDURAS!$F$10&lt;&gt;"",DigitaHONDURAS!$F$10,"")</f>
        <v>100</v>
      </c>
      <c r="F22" s="42">
        <f>IF(E22="",0,E22*PREMIOS!F20)</f>
        <v>8500</v>
      </c>
      <c r="G22" s="30">
        <f t="shared" si="7"/>
        <v>10640</v>
      </c>
    </row>
    <row r="23" spans="1:11" x14ac:dyDescent="0.35">
      <c r="A23" s="28" t="s">
        <v>101</v>
      </c>
      <c r="B23" s="133">
        <f>IF(DigitaHONDURAS!G2&lt;&gt;"",DigitaHONDURAS!G2,"")</f>
        <v>34</v>
      </c>
      <c r="C23" s="29">
        <f>IF(DigitaHONDURAS!$G$10&lt;&gt;"",DigitaHONDURAS!$G$10,"")</f>
        <v>15000</v>
      </c>
      <c r="D23" s="42">
        <f>IF(C23="",0,C23*J$18)</f>
        <v>1800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13200</v>
      </c>
    </row>
    <row r="24" spans="1:11" x14ac:dyDescent="0.35">
      <c r="A24" s="28" t="s">
        <v>107</v>
      </c>
      <c r="B24" s="133">
        <f>IF(DigitaDOMINICANA!C2&lt;&gt;"",DigitaDOMINICANA!C2,"")</f>
        <v>57</v>
      </c>
      <c r="C24" s="29">
        <f>IF(DigitaDOMINICANA!$C$10&lt;&gt;"",DigitaDOMINICANA!$C$10,"")</f>
        <v>50100</v>
      </c>
      <c r="D24" s="42">
        <f>IF(C24="",0,C24*J$19)</f>
        <v>6012</v>
      </c>
      <c r="E24" s="29">
        <f>IF(DigitaDOMINICANA!$D$10&lt;&gt;"",DigitaDOMINICANA!$D$10,"")</f>
        <v>500</v>
      </c>
      <c r="F24" s="42">
        <f>IF(E24="",0,E24*PREMIOS!F21)</f>
        <v>42500</v>
      </c>
      <c r="G24" s="30">
        <f t="shared" si="8"/>
        <v>1588</v>
      </c>
    </row>
    <row r="25" spans="1:11" x14ac:dyDescent="0.35">
      <c r="A25" s="28" t="s">
        <v>108</v>
      </c>
      <c r="B25" s="133">
        <f>IF(DigitaDOMINICANA!E2&lt;&gt;"",DigitaDOMINICANA!E2,"")</f>
        <v>11</v>
      </c>
      <c r="C25" s="29">
        <f>IF(DigitaDOMINICANA!$E$10&lt;&gt;"",DigitaDOMINICANA!$E$10,"")</f>
        <v>47500</v>
      </c>
      <c r="D25" s="42">
        <f>IF(C25="",0,C25*J$19)</f>
        <v>5700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41800</v>
      </c>
    </row>
    <row r="26" spans="1:11" x14ac:dyDescent="0.35">
      <c r="A26" s="28" t="s">
        <v>21</v>
      </c>
      <c r="B26" s="133">
        <f>IF(DigitaPANAMENA!C2&lt;&gt;"",DigitaPANAMENA!C2,"")</f>
        <v>47</v>
      </c>
      <c r="C26" s="29">
        <f>IF(DigitaPANAMENA!$C$10&lt;&gt;"",DigitaPANAMENA!$C$10,"")</f>
        <v>2900</v>
      </c>
      <c r="D26" s="42">
        <f>IF(C26="",0,C26*J$20)</f>
        <v>348</v>
      </c>
      <c r="E26" s="29">
        <f>IF(DigitaPANAMENA!$D$10&lt;&gt;"",DigitaPANAMENA!$D$10,"")</f>
        <v>200</v>
      </c>
      <c r="F26" s="42">
        <f>IF(E26="",0,E26*PREMIOS!F22)</f>
        <v>17000</v>
      </c>
      <c r="G26" s="30">
        <f t="shared" si="8"/>
        <v>-14448</v>
      </c>
    </row>
    <row r="27" spans="1:11" ht="15" thickBot="1" x14ac:dyDescent="0.4">
      <c r="A27" s="67" t="s">
        <v>5</v>
      </c>
      <c r="B27" s="128"/>
      <c r="C27" s="68">
        <f>SUM(C5:C26)</f>
        <v>1136200</v>
      </c>
      <c r="D27" s="68">
        <f t="shared" ref="D27:F27" si="9">SUM(D5:D26)</f>
        <v>134910</v>
      </c>
      <c r="E27" s="68">
        <f t="shared" si="9"/>
        <v>17200</v>
      </c>
      <c r="F27" s="68">
        <f t="shared" si="9"/>
        <v>1334500</v>
      </c>
      <c r="G27" s="89">
        <f>SUM(G5:G26)</f>
        <v>-333210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26800</v>
      </c>
      <c r="K4" s="233">
        <f t="shared" ref="K4" si="0">D7+D11+D15</f>
        <v>3216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>
        <f>IF(DigitaTICA!C11&lt;&gt;"",DigitaTICA!C11,"")</f>
        <v>7300</v>
      </c>
      <c r="D7" s="42">
        <f>IF(C7="",0,C7*J$11)</f>
        <v>876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6424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16</v>
      </c>
      <c r="C11" s="29">
        <f>IF(DigitaTICA!E11&lt;&gt;"",DigitaTICA!E11,"")</f>
        <v>2000</v>
      </c>
      <c r="D11" s="42">
        <f>IF(C11="",0,C11*J$11)</f>
        <v>240</v>
      </c>
      <c r="E11" s="29">
        <f>IF(DigitaTICA!F11&lt;&gt;"",DigitaTICA!F11,"")</f>
        <v>0</v>
      </c>
      <c r="F11" s="134">
        <f>IF(E11="",0,E11*PREMIOS!F11)</f>
        <v>0</v>
      </c>
      <c r="G11" s="30">
        <f t="shared" si="1"/>
        <v>1760</v>
      </c>
      <c r="I11" s="77" t="s">
        <v>36</v>
      </c>
      <c r="J11" s="78">
        <v>0.12</v>
      </c>
      <c r="K11" s="79">
        <f>MROUND(D7+D11+D15,50)</f>
        <v>3200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59</v>
      </c>
      <c r="C15" s="29">
        <f>IF(DigitaTICA!G11&lt;&gt;"",DigitaTICA!G11,"")</f>
        <v>17500</v>
      </c>
      <c r="D15" s="42">
        <f>IF(C15="",0,C15*J$11)</f>
        <v>2100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15400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26800</v>
      </c>
      <c r="D21" s="123">
        <f t="shared" ref="D21:G21" si="5">SUM(D5:D20)</f>
        <v>3216</v>
      </c>
      <c r="E21" s="123">
        <f t="shared" si="5"/>
        <v>0</v>
      </c>
      <c r="F21" s="123">
        <f t="shared" si="5"/>
        <v>0</v>
      </c>
      <c r="G21" s="124">
        <f t="shared" si="5"/>
        <v>23584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30"/>
  <sheetViews>
    <sheetView showGridLines="0" topLeftCell="A11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54400</v>
      </c>
      <c r="K4" s="233">
        <f>D7+D11+D15</f>
        <v>6528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IF(DigitaNICA!C12&lt;&gt;"",DigitaNICA!C12,"")</f>
        <v>34900</v>
      </c>
      <c r="D5" s="42">
        <f>IF(C5="",0,C5*J$12)</f>
        <v>4188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30712</v>
      </c>
      <c r="I5" s="219" t="s">
        <v>37</v>
      </c>
      <c r="J5" s="223">
        <f>SUM(IF(C5="",0,C5),IF(C9="",0,C9),IF(C13="",0,C13),IF(C17="",0,C17))</f>
        <v>47400</v>
      </c>
      <c r="K5" s="227">
        <f t="shared" ref="K5" si="1">D5+D9+D13+D17</f>
        <v>5688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0</v>
      </c>
      <c r="K6" s="228">
        <f t="shared" ref="K6" si="2">+D8+D12+D16</f>
        <v>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88</v>
      </c>
      <c r="C7" s="29">
        <f>IF(DigitaTICA!C12&lt;&gt;"",DigitaTICA!C12,"")</f>
        <v>20200</v>
      </c>
      <c r="D7" s="42">
        <f>IF(C7="",0,C7*J$11)</f>
        <v>2424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17776</v>
      </c>
      <c r="I7" s="219" t="s">
        <v>96</v>
      </c>
      <c r="J7" s="225">
        <f>SUM(IF(C19="",0,C19),IF(C20="",0,C20))</f>
        <v>28750</v>
      </c>
      <c r="K7" s="228">
        <f>+D19+D20</f>
        <v>3450</v>
      </c>
      <c r="L7" s="229">
        <f>+F19+F20</f>
        <v>89250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52</v>
      </c>
      <c r="C9" s="29">
        <f>IF(DigitaNICA!E12&lt;&gt;"",DigitaNICA!E12,"")</f>
        <v>12500</v>
      </c>
      <c r="D9" s="42">
        <f>IF(C9="",0,C9*J$12)</f>
        <v>1500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11000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16</v>
      </c>
      <c r="C11" s="29" t="str">
        <f>IF(DigitaTICA!E12&lt;&gt;"",DigitaTICA!E12,"")</f>
        <v/>
      </c>
      <c r="D11" s="42">
        <f>IF(C11="",0,C11*J$11)</f>
        <v>0</v>
      </c>
      <c r="E11" s="29" t="str">
        <f>IF(DigitaTICA!F12&lt;&gt;"",DigitaTICA!F12,"")</f>
        <v/>
      </c>
      <c r="F11" s="42">
        <f>IF(E11="",0,E11*PREMIOS!F11)</f>
        <v>0</v>
      </c>
      <c r="G11" s="30">
        <f t="shared" si="0"/>
        <v>0</v>
      </c>
      <c r="I11" s="60" t="s">
        <v>36</v>
      </c>
      <c r="J11" s="61">
        <v>0.12</v>
      </c>
      <c r="K11" s="62">
        <f>MROUND(D7+D11+D15,50)</f>
        <v>6550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5700</v>
      </c>
    </row>
    <row r="13" spans="1:12" x14ac:dyDescent="0.35">
      <c r="A13" s="28" t="s">
        <v>50</v>
      </c>
      <c r="B13" s="133">
        <f>IF(DigitaNICA!G2&lt;&gt;"",DigitaNICA!G2,"")</f>
        <v>61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3450</v>
      </c>
    </row>
    <row r="15" spans="1:12" ht="15" thickBot="1" x14ac:dyDescent="0.4">
      <c r="A15" s="28" t="s">
        <v>61</v>
      </c>
      <c r="B15" s="133">
        <f>IF(DigitaTICA!G2&lt;&gt;"",DigitaTICA!G2,"")</f>
        <v>59</v>
      </c>
      <c r="C15" s="29">
        <f>IF(DigitaTICA!G12&lt;&gt;"",DigitaTICA!G12,"")</f>
        <v>34200</v>
      </c>
      <c r="D15" s="42">
        <f>IF(C15="",0,C15*J$11)</f>
        <v>4104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4596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>
        <f>IF(DigitaPRIMERA!$C$12&lt;&gt;"",DigitaPRIMERA!$C$12,"")</f>
        <v>28750</v>
      </c>
      <c r="D19" s="42">
        <f>IF(C19="",0,C19*J$14)</f>
        <v>3450</v>
      </c>
      <c r="E19" s="29">
        <f>IF(DigitaPRIMERA!$D$12&lt;&gt;"",DigitaPRIMERA!$D$12,"")</f>
        <v>1050</v>
      </c>
      <c r="F19" s="42">
        <f>IF(E19="",0,E19*PREMIOS!F19)</f>
        <v>89250</v>
      </c>
      <c r="G19" s="30">
        <f t="shared" si="3"/>
        <v>-63950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12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34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130550</v>
      </c>
      <c r="D24" s="68">
        <f t="shared" ref="D24:G24" si="4">SUM(D5:D23)</f>
        <v>15666</v>
      </c>
      <c r="E24" s="68">
        <f t="shared" si="4"/>
        <v>1350</v>
      </c>
      <c r="F24" s="68">
        <f t="shared" si="4"/>
        <v>114750</v>
      </c>
      <c r="G24" s="89">
        <f t="shared" si="4"/>
        <v>134</v>
      </c>
    </row>
    <row r="27" spans="1:7" x14ac:dyDescent="0.35">
      <c r="G27" s="21">
        <v>397244</v>
      </c>
    </row>
    <row r="28" spans="1:7" x14ac:dyDescent="0.35">
      <c r="G28" s="142">
        <f>+G24+G27</f>
        <v>397378</v>
      </c>
    </row>
    <row r="30" spans="1:7" x14ac:dyDescent="0.35">
      <c r="F30" s="142">
        <f>+F24-110500</f>
        <v>4250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131200</v>
      </c>
      <c r="K4" s="233">
        <f t="shared" ref="K4" si="0">D7+D11+D15</f>
        <v>15744</v>
      </c>
      <c r="L4" s="222">
        <f>F7+F11+F15</f>
        <v>25500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>
        <f>IF(DigitaNICA!C13&lt;&gt;"",DigitaNICA!C13,"")</f>
        <v>40300</v>
      </c>
      <c r="D5" s="42">
        <f>IF(C5="",0,C5*J$10)</f>
        <v>4836</v>
      </c>
      <c r="E5" s="29">
        <f>IF(DigitaNICA!D13&lt;&gt;"",DigitaNICA!D13,"")</f>
        <v>1100</v>
      </c>
      <c r="F5" s="42">
        <f>IF(E5="",0,E5*PREMIOS!E5)</f>
        <v>88000</v>
      </c>
      <c r="G5" s="30">
        <f t="shared" ref="G5:G12" si="1">IF(OR(C5="",E5=""),0,C5-D5-F5)</f>
        <v>-52536</v>
      </c>
      <c r="I5" s="220" t="s">
        <v>37</v>
      </c>
      <c r="J5" s="234">
        <f>SUM(IF(C5="",0,C5),IF(C9="",0,C9),IF(C13="",0,C13),IF(C17="",0,C17))</f>
        <v>59300</v>
      </c>
      <c r="K5" s="235">
        <f t="shared" ref="K5" si="2">D5+D9+D13+D17</f>
        <v>7116</v>
      </c>
      <c r="L5" s="236">
        <f>F5+F9+F13+F17</f>
        <v>108000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>
        <f>IF(DigitaTICA!C13&lt;&gt;"",DigitaTICA!C13,"")</f>
        <v>44650</v>
      </c>
      <c r="D7" s="42">
        <f>IF(C7="",0,C7*J$9)</f>
        <v>5358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39292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29">
        <f>IF(DigitaNICA!E13&lt;&gt;"",DigitaNICA!E13,"")</f>
        <v>10250</v>
      </c>
      <c r="D9" s="42">
        <f>IF(C9="",0,C9*J$10)</f>
        <v>1230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9020</v>
      </c>
      <c r="I9" s="60" t="s">
        <v>36</v>
      </c>
      <c r="J9" s="61">
        <v>0.12</v>
      </c>
      <c r="K9" s="62">
        <f>MROUND(D7+D11+D15,50)</f>
        <v>15750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7100</v>
      </c>
    </row>
    <row r="11" spans="1:12" ht="15" thickBot="1" x14ac:dyDescent="0.4">
      <c r="A11" s="28" t="s">
        <v>59</v>
      </c>
      <c r="B11" s="133">
        <f>IF(DigitaTICA!E2&lt;&gt;"",DigitaTICA!E2,"")</f>
        <v>16</v>
      </c>
      <c r="C11" s="29">
        <f>IF(DigitaTICA!E13&lt;&gt;"",DigitaTICA!E13,"")</f>
        <v>19600</v>
      </c>
      <c r="D11" s="42">
        <f>IF(C11="",0,C11*J$9)</f>
        <v>2352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17248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61</v>
      </c>
      <c r="C13" s="29">
        <f>IF(DigitaNICA!G13&lt;&gt;"",DigitaNICA!G13,"")</f>
        <v>7050</v>
      </c>
      <c r="D13" s="42">
        <f>IF(C13="",0,C13*J$10)</f>
        <v>846</v>
      </c>
      <c r="E13" s="29">
        <f>IF(DigitaNICA!H13&lt;&gt;"",DigitaNICA!H13,"")</f>
        <v>150</v>
      </c>
      <c r="F13" s="134">
        <f>IF(E13="",0,E13*PREMIOS!E13)</f>
        <v>12000</v>
      </c>
      <c r="G13" s="30">
        <f>IF(OR(C13="",E13=""),0,C13-D13-F13)</f>
        <v>-5796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59</v>
      </c>
      <c r="C15" s="29">
        <f>IF(DigitaTICA!G13&lt;&gt;"",DigitaTICA!G13,"")</f>
        <v>66950</v>
      </c>
      <c r="D15" s="42">
        <f>IF(C15="",0,C15*J$9)</f>
        <v>8034</v>
      </c>
      <c r="E15" s="29">
        <f>IF(DigitaTICA!H13&lt;&gt;"",DigitaTICA!H13,"")</f>
        <v>300</v>
      </c>
      <c r="F15" s="134">
        <f>IF(E15="",0,E15*PREMIOS!F15)</f>
        <v>25500</v>
      </c>
      <c r="G15" s="30">
        <f t="shared" si="3"/>
        <v>33416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29">
        <f>IF(DigitaNICA!I13&lt;&gt;"",DigitaNICA!I13,"")</f>
        <v>1700</v>
      </c>
      <c r="D17" s="42">
        <f>IF(C17="",0,C17*J$10)</f>
        <v>204</v>
      </c>
      <c r="E17" s="29">
        <f>IF(DigitaNICA!J13&lt;&gt;"",DigitaNICA!J13,"")</f>
        <v>100</v>
      </c>
      <c r="F17" s="42">
        <f>IF(E17="",0,E17*PREMIOS!E17)</f>
        <v>8000</v>
      </c>
      <c r="G17" s="30">
        <f t="shared" si="3"/>
        <v>-6504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190500</v>
      </c>
      <c r="D19" s="68">
        <f>MROUND(SUM(D5:D18),50)</f>
        <v>22850</v>
      </c>
      <c r="E19" s="68">
        <f>SUM(E5:E18)</f>
        <v>1650</v>
      </c>
      <c r="F19" s="68">
        <f>SUM(F5:F18)</f>
        <v>133500</v>
      </c>
      <c r="G19" s="89">
        <f>SUM(G5:G18)</f>
        <v>34140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82000</v>
      </c>
      <c r="K4" s="238">
        <f t="shared" ref="K4" si="0">D7+D11+D15</f>
        <v>12300</v>
      </c>
      <c r="L4" s="239">
        <f>F7+F11+F15</f>
        <v>72000</v>
      </c>
    </row>
    <row r="5" spans="1:12" x14ac:dyDescent="0.35">
      <c r="A5" s="28" t="s">
        <v>43</v>
      </c>
      <c r="B5" s="133">
        <f>IF(DigitaNICA!C2&lt;&gt;"",DigitaNICA!C2,"")</f>
        <v>40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>
        <f>IF(DigitaTICA!C14&lt;&gt;"",DigitaTICA!C14,"")</f>
        <v>31500</v>
      </c>
      <c r="D7" s="42">
        <f>IF(C7="",0,C7*J$9)</f>
        <v>4725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-13225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12300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16</v>
      </c>
      <c r="C11" s="29">
        <f>IF(DigitaTICA!E14&lt;&gt;"",DigitaTICA!E14,"")</f>
        <v>13250</v>
      </c>
      <c r="D11" s="42">
        <f>IF(C11="",0,C11*J$9)</f>
        <v>1987.5</v>
      </c>
      <c r="E11" s="29">
        <f>IF(DigitaTICA!F14&lt;&gt;"",DigitaTICA!F14,"")</f>
        <v>400</v>
      </c>
      <c r="F11" s="42">
        <f>IF(E11="",0,E11*PREMIOS!E11)</f>
        <v>32000</v>
      </c>
      <c r="G11" s="30">
        <f t="shared" si="1"/>
        <v>-20737.5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61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59</v>
      </c>
      <c r="C15" s="29">
        <f>IF(DigitaTICA!G14&lt;&gt;"",DigitaTICA!G14,"")</f>
        <v>37250</v>
      </c>
      <c r="D15" s="42">
        <f>IF(C15="",0,C15*J$9)</f>
        <v>5587.5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31662.5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82000</v>
      </c>
      <c r="D19" s="68">
        <f>MROUND(SUM(D5:D18),50)</f>
        <v>12300</v>
      </c>
      <c r="E19" s="68">
        <f>SUM(E5:E18)</f>
        <v>900</v>
      </c>
      <c r="F19" s="68">
        <f>SUM(F5:F18)</f>
        <v>72000</v>
      </c>
      <c r="G19" s="89">
        <f>SUM(G5:G18)</f>
        <v>-2300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84450</v>
      </c>
      <c r="K4" s="233">
        <f>D7+D11+D15</f>
        <v>10134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IF(DigitaNICA!C16&lt;&gt;"",DigitaNICA!C16,"")</f>
        <v>2500</v>
      </c>
      <c r="D5" s="42">
        <f>IF(C5="",0,C5*J$12)</f>
        <v>300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2200</v>
      </c>
      <c r="I5" s="63" t="s">
        <v>37</v>
      </c>
      <c r="J5" s="227">
        <f>SUM(IF(C5="",0,C5),IF(C9="",0,C9),IF(C13="",0,C13),IF(C17="",0,C17))</f>
        <v>13250</v>
      </c>
      <c r="K5" s="227">
        <f t="shared" ref="K5" si="1">D5+D9+D13+D17</f>
        <v>1590</v>
      </c>
      <c r="L5" s="224">
        <f>F5+F9+F13+F17</f>
        <v>16000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7000</v>
      </c>
      <c r="K6" s="228">
        <f t="shared" ref="K6" si="2">+D8+D12+D16</f>
        <v>700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88</v>
      </c>
      <c r="C7" s="29">
        <f>IF(DigitaTICA!C16&lt;&gt;"",DigitaTICA!C16,"")</f>
        <v>25500</v>
      </c>
      <c r="D7" s="42">
        <f>IF(C7="",0,C7*J$11)</f>
        <v>3060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22440</v>
      </c>
      <c r="I7" s="63" t="s">
        <v>96</v>
      </c>
      <c r="J7" s="228">
        <f>SUM(IF(C19="",0,C19),IF(C20="",0,C20))</f>
        <v>5700</v>
      </c>
      <c r="K7" s="228">
        <f>+D19+D20</f>
        <v>684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1500</v>
      </c>
      <c r="D8" s="42">
        <f>IF(C8="",0,C8*J$13)</f>
        <v>150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1350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52</v>
      </c>
      <c r="C9" s="29">
        <f>IF(DigitaNICA!E16&lt;&gt;"",DigitaNICA!E16,"")</f>
        <v>3300</v>
      </c>
      <c r="D9" s="42">
        <f>IF(C9="",0,C9*J$12)</f>
        <v>396</v>
      </c>
      <c r="E9" s="29">
        <f>IF(DigitaNICA!F16&lt;&gt;"",DigitaNICA!F16,"")</f>
        <v>100</v>
      </c>
      <c r="F9" s="134">
        <f>IF(E9="",0,E9*PREMIOS!E9)</f>
        <v>8000</v>
      </c>
      <c r="G9" s="30">
        <f t="shared" si="0"/>
        <v>-5096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16</v>
      </c>
      <c r="C11" s="29">
        <f>IF(DigitaTICA!E16&lt;&gt;"",DigitaTICA!E16,"")</f>
        <v>21000</v>
      </c>
      <c r="D11" s="42">
        <f>IF(C11="",0,C11*J$11)</f>
        <v>2520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18480</v>
      </c>
      <c r="I11" s="77" t="s">
        <v>36</v>
      </c>
      <c r="J11" s="78">
        <v>0.12</v>
      </c>
      <c r="K11" s="79">
        <f>MROUND(D7+D11+D15,50)</f>
        <v>10150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3500</v>
      </c>
      <c r="D12" s="42">
        <f>IF(C12="",0,C12*J$13)</f>
        <v>350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3150</v>
      </c>
      <c r="I12" s="63" t="s">
        <v>37</v>
      </c>
      <c r="J12" s="64">
        <v>0.12</v>
      </c>
      <c r="K12" s="30">
        <f>MROUND(D5+D9+D13+D17,50)</f>
        <v>1600</v>
      </c>
    </row>
    <row r="13" spans="1:12" x14ac:dyDescent="0.35">
      <c r="A13" s="28" t="s">
        <v>50</v>
      </c>
      <c r="B13" s="133">
        <f>IF(DigitaNICA!G2&lt;&gt;"",DigitaNICA!G2,"")</f>
        <v>61</v>
      </c>
      <c r="C13" s="29">
        <f>IF(DigitaNICA!G16&lt;&gt;"",DigitaNICA!G16,"")</f>
        <v>2600</v>
      </c>
      <c r="D13" s="42">
        <f>IF(C13="",0,C13*J$12)</f>
        <v>312</v>
      </c>
      <c r="E13" s="29">
        <f>IF(DigitaNICA!H16&lt;&gt;"",DigitaNICA!H16,"")</f>
        <v>100</v>
      </c>
      <c r="F13" s="134">
        <f>IF(E13="",0,E13*PREMIOS!E13)</f>
        <v>8000</v>
      </c>
      <c r="G13" s="30">
        <f>IF(OR(C13="",E13=""),0,C13-D13-F13)</f>
        <v>-5712</v>
      </c>
      <c r="I13" s="63" t="s">
        <v>38</v>
      </c>
      <c r="J13" s="64">
        <v>0.1</v>
      </c>
      <c r="K13" s="30">
        <f>MROUND(D6+D8+D10+D12+D14+D16+D18,50)</f>
        <v>700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700</v>
      </c>
    </row>
    <row r="15" spans="1:12" ht="15" thickBot="1" x14ac:dyDescent="0.4">
      <c r="A15" s="28" t="s">
        <v>61</v>
      </c>
      <c r="B15" s="133">
        <f>IF(DigitaTICA!G2&lt;&gt;"",DigitaTICA!G2,"")</f>
        <v>59</v>
      </c>
      <c r="C15" s="29">
        <f>IF(DigitaTICA!G16&lt;&gt;"",DigitaTICA!G16,"")</f>
        <v>37950</v>
      </c>
      <c r="D15" s="42">
        <f>IF(C15="",0,C15*J$11)</f>
        <v>4554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33396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2000</v>
      </c>
      <c r="D16" s="42">
        <f>IF(C16="",0,C16*J$13)</f>
        <v>200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1800</v>
      </c>
    </row>
    <row r="17" spans="1:7" x14ac:dyDescent="0.35">
      <c r="A17" s="28" t="s">
        <v>52</v>
      </c>
      <c r="B17" s="133">
        <f>IF(DigitaNICA!I2&lt;&gt;"",DigitaNICA!I2,"")</f>
        <v>67</v>
      </c>
      <c r="C17" s="29">
        <f>IF(DigitaNICA!I16&lt;&gt;"",DigitaNICA!I16,"")</f>
        <v>4850</v>
      </c>
      <c r="D17" s="42">
        <f>IF(C17="",0,C17*J$12)</f>
        <v>582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4268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>
        <f>IF(DigitaPRIMERA!C16&lt;&gt;"",DigitaPRIMERA!C16,"")</f>
        <v>4600</v>
      </c>
      <c r="D19" s="42">
        <f>IF(C19="",0,C19*J$14)</f>
        <v>552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4048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>
        <f>IF(DigitaPRIMERA!E16&lt;&gt;"",DigitaPRIMERA!E16,"")</f>
        <v>1100</v>
      </c>
      <c r="D20" s="42">
        <f>IF(C20="",0,C20*J$14)</f>
        <v>132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968</v>
      </c>
    </row>
    <row r="21" spans="1:7" x14ac:dyDescent="0.35">
      <c r="A21" s="28" t="s">
        <v>99</v>
      </c>
      <c r="B21" s="133">
        <f>IF(DigitaHONDURAS!C2&lt;&gt;"",DigitaHONDURAS!C2,"")</f>
        <v>16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12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34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110400</v>
      </c>
      <c r="D24" s="123">
        <f t="shared" ref="D24:G24" si="5">SUM(D5:D23)</f>
        <v>13108</v>
      </c>
      <c r="E24" s="123">
        <f t="shared" si="5"/>
        <v>200</v>
      </c>
      <c r="F24" s="123">
        <f t="shared" si="5"/>
        <v>16000</v>
      </c>
      <c r="G24" s="124">
        <f t="shared" si="5"/>
        <v>81292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491100</v>
      </c>
      <c r="K4" s="233">
        <f t="shared" ref="K4" si="0">D7+D11+D15</f>
        <v>58932</v>
      </c>
      <c r="L4" s="222">
        <f>F7+F11+F15</f>
        <v>471750</v>
      </c>
    </row>
    <row r="5" spans="1:12" x14ac:dyDescent="0.35">
      <c r="A5" s="28" t="s">
        <v>43</v>
      </c>
      <c r="B5" s="133">
        <f>IF(DigitaNICA!C2&lt;&gt;"",DigitaNICA!C2,"")</f>
        <v>40</v>
      </c>
      <c r="C5" s="90">
        <f>IF(DigitaNICA!C17&lt;&gt;"",DigitaNICA!C17,"")</f>
        <v>115700</v>
      </c>
      <c r="D5" s="42">
        <f>IF(C5="",0,C5*J$16)</f>
        <v>13884</v>
      </c>
      <c r="E5" s="90">
        <f>IF(DigitaNICA!D17&lt;&gt;"",DigitaNICA!D17,"")</f>
        <v>1550</v>
      </c>
      <c r="F5" s="42">
        <f>IF(E5="",0,E5*PREMIOS!F5)</f>
        <v>131750</v>
      </c>
      <c r="G5" s="91">
        <f t="shared" ref="G5:G12" si="1">IF(OR(C5="",E5=""),0,C5-D5-F5)</f>
        <v>-29934</v>
      </c>
      <c r="I5" s="219" t="s">
        <v>37</v>
      </c>
      <c r="J5" s="223">
        <f>SUM(IF(C5="",0,C5),IF(C9="",0,C9),IF(C13="",0,C13),IF(C17="",0,C17))</f>
        <v>469050</v>
      </c>
      <c r="K5" s="227">
        <f t="shared" ref="K5" si="2">D5+D9+D13+D17</f>
        <v>56286</v>
      </c>
      <c r="L5" s="224">
        <f>F5+F9+F13+F17</f>
        <v>233750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79950</v>
      </c>
      <c r="K6" s="228">
        <f t="shared" ref="K6" si="3">+D8+D12+D16</f>
        <v>7995</v>
      </c>
      <c r="L6" s="229">
        <f>+F8+F12+F16</f>
        <v>160000</v>
      </c>
    </row>
    <row r="7" spans="1:12" x14ac:dyDescent="0.35">
      <c r="A7" s="28" t="s">
        <v>46</v>
      </c>
      <c r="B7" s="133">
        <f>IF(DigitaTICA!C2&lt;&gt;"",DigitaTICA!C2,"")</f>
        <v>88</v>
      </c>
      <c r="C7" s="90">
        <f>IF(DigitaTICA!C17&lt;&gt;"",DigitaTICA!C17,"")</f>
        <v>139450</v>
      </c>
      <c r="D7" s="42">
        <f>IF(C7="",0,C7*J$15)</f>
        <v>16734</v>
      </c>
      <c r="E7" s="90">
        <f>IF(DigitaTICA!D17&lt;&gt;"",DigitaTICA!D17,"")</f>
        <v>550</v>
      </c>
      <c r="F7" s="42">
        <f>IF(E7="",0,E7*PREMIOS!F7)</f>
        <v>46750</v>
      </c>
      <c r="G7" s="91">
        <f t="shared" si="1"/>
        <v>75966</v>
      </c>
      <c r="I7" s="219" t="s">
        <v>96</v>
      </c>
      <c r="J7" s="225">
        <f>SUM(IF(C19="",0,C19),IF(C20="",0,C20))</f>
        <v>138250</v>
      </c>
      <c r="K7" s="228">
        <f>+D19+D20</f>
        <v>16590</v>
      </c>
      <c r="L7" s="229">
        <f>+F19+F20</f>
        <v>178500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22000</v>
      </c>
      <c r="D8" s="42">
        <f>IF(C8="",0,C8*J$17)</f>
        <v>2200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19800</v>
      </c>
      <c r="I8" s="219" t="s">
        <v>104</v>
      </c>
      <c r="J8" s="225">
        <f>SUM(IF(C21="",0,C21),IF(C22="",0,C22),IF(C23="",0,C23))</f>
        <v>139550</v>
      </c>
      <c r="K8" s="228">
        <f t="shared" ref="K8" si="4">D21+D22+D23</f>
        <v>16746</v>
      </c>
      <c r="L8" s="229">
        <f>F21+F22+F23</f>
        <v>85000</v>
      </c>
    </row>
    <row r="9" spans="1:12" x14ac:dyDescent="0.35">
      <c r="A9" s="28" t="s">
        <v>48</v>
      </c>
      <c r="B9" s="133">
        <f>IF(DigitaNICA!E2&lt;&gt;"",DigitaNICA!E2,"")</f>
        <v>52</v>
      </c>
      <c r="C9" s="90">
        <f>IF(DigitaNICA!E17&lt;&gt;"",DigitaNICA!E17,"")</f>
        <v>119400</v>
      </c>
      <c r="D9" s="42">
        <f>IF(C9="",0,C9*J$16)</f>
        <v>14328</v>
      </c>
      <c r="E9" s="90">
        <f>IF(DigitaNICA!F17&lt;&gt;"",DigitaNICA!F17,"")</f>
        <v>500</v>
      </c>
      <c r="F9" s="42">
        <f>IF(E9="",0,E9*PREMIOS!F9)</f>
        <v>42500</v>
      </c>
      <c r="G9" s="91">
        <f t="shared" si="1"/>
        <v>62572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16</v>
      </c>
      <c r="C11" s="90">
        <f>IF(DigitaTICA!E17&lt;&gt;"",DigitaTICA!E17,"")</f>
        <v>123050</v>
      </c>
      <c r="D11" s="42">
        <f>IF(C11="",0,C11*J$15)</f>
        <v>14766</v>
      </c>
      <c r="E11" s="90">
        <f>IF(DigitaTICA!F17&lt;&gt;"",DigitaTICA!F17,"")</f>
        <v>4900</v>
      </c>
      <c r="F11" s="42">
        <f>IF(E11="",0,E11*PREMIOS!F11)</f>
        <v>416500</v>
      </c>
      <c r="G11" s="91">
        <f t="shared" si="1"/>
        <v>-308216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19750</v>
      </c>
      <c r="D12" s="42">
        <f>IF(C12="",0,C12*J$17)</f>
        <v>1975</v>
      </c>
      <c r="E12" s="90">
        <f>IF(DigitaREVENTADO!F17&lt;&gt;"",DigitaREVENTADO!F17,"")</f>
        <v>800</v>
      </c>
      <c r="F12" s="42">
        <f>IF(E12="",0,E12*PREMIOS!F12)</f>
        <v>160000</v>
      </c>
      <c r="G12" s="91">
        <f t="shared" si="1"/>
        <v>-142225</v>
      </c>
    </row>
    <row r="13" spans="1:12" ht="15" thickBot="1" x14ac:dyDescent="0.4">
      <c r="A13" s="28" t="s">
        <v>50</v>
      </c>
      <c r="B13" s="133">
        <f>IF(DigitaNICA!G2&lt;&gt;"",DigitaNICA!G2,"")</f>
        <v>61</v>
      </c>
      <c r="C13" s="90">
        <f>IF(DigitaNICA!G17&lt;&gt;"",DigitaNICA!G17,"")</f>
        <v>83250</v>
      </c>
      <c r="D13" s="42">
        <f>IF(C13="",0,C13*J$16)</f>
        <v>9990</v>
      </c>
      <c r="E13" s="90">
        <f>IF(DigitaNICA!H17&lt;&gt;"",DigitaNICA!H17,"")</f>
        <v>700</v>
      </c>
      <c r="F13" s="42">
        <f>IF(E13="",0,E13*PREMIOS!F13)</f>
        <v>59500</v>
      </c>
      <c r="G13" s="91">
        <f>IF(OR(C13="",E13=""),0,C13-D13-F13)</f>
        <v>13760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59</v>
      </c>
      <c r="C15" s="90">
        <f>IF(DigitaTICA!G17&lt;&gt;"",DigitaTICA!G17,"")</f>
        <v>228600</v>
      </c>
      <c r="D15" s="42">
        <f>IF(C15="",0,C15*J$15)</f>
        <v>27432</v>
      </c>
      <c r="E15" s="90">
        <f>IF(DigitaTICA!H17&lt;&gt;"",DigitaTICA!H17,"")</f>
        <v>100</v>
      </c>
      <c r="F15" s="42">
        <f>IF(E15="",0,E15*PREMIOS!F15)</f>
        <v>8500</v>
      </c>
      <c r="G15" s="91">
        <f t="shared" si="6"/>
        <v>192668</v>
      </c>
      <c r="I15" s="77" t="s">
        <v>36</v>
      </c>
      <c r="J15" s="78">
        <v>0.12</v>
      </c>
      <c r="K15" s="79">
        <f>MROUND(D7+D11+D15,50)</f>
        <v>58950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38200</v>
      </c>
      <c r="D16" s="42">
        <f>IF(C16="",0,C16*J$17)</f>
        <v>3820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34380</v>
      </c>
      <c r="I16" s="63" t="s">
        <v>37</v>
      </c>
      <c r="J16" s="64">
        <v>0.12</v>
      </c>
      <c r="K16" s="30">
        <f>MROUND(D5+D9+D13+D17,50)</f>
        <v>56300</v>
      </c>
    </row>
    <row r="17" spans="1:11" x14ac:dyDescent="0.35">
      <c r="A17" s="28" t="s">
        <v>52</v>
      </c>
      <c r="B17" s="133">
        <f>IF(DigitaNICA!I2&lt;&gt;"",DigitaNICA!I2,"")</f>
        <v>67</v>
      </c>
      <c r="C17" s="90">
        <f>IF(DigitaNICA!I17&lt;&gt;"",DigitaNICA!I17,"")</f>
        <v>150700</v>
      </c>
      <c r="D17" s="42">
        <f>IF(C17="",0,C17*J$16)</f>
        <v>18084</v>
      </c>
      <c r="E17" s="90">
        <f>IF(DigitaNICA!J17&lt;&gt;"",DigitaNICA!J17,"")</f>
        <v>0</v>
      </c>
      <c r="F17" s="42">
        <f>IF(E17="",0,E17*PREMIOS!F17)</f>
        <v>0</v>
      </c>
      <c r="G17" s="91">
        <f t="shared" si="6"/>
        <v>132616</v>
      </c>
      <c r="I17" s="63" t="s">
        <v>38</v>
      </c>
      <c r="J17" s="64">
        <v>0.1</v>
      </c>
      <c r="K17" s="30">
        <f>MROUND(D6+D8+D10+D12+D14+D16+D18,50)</f>
        <v>8000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16600</v>
      </c>
    </row>
    <row r="19" spans="1:11" x14ac:dyDescent="0.35">
      <c r="A19" s="28" t="s">
        <v>97</v>
      </c>
      <c r="B19" s="133" t="str">
        <f>IF(DigitaPRIMERA!C2&lt;&gt;"",DigitaPRIMERA!C2,"")</f>
        <v>04</v>
      </c>
      <c r="C19" s="29">
        <f>IF(DigitaPRIMERA!$C$17&lt;&gt;"",DigitaPRIMERA!$C$17,"")</f>
        <v>99150</v>
      </c>
      <c r="D19" s="42">
        <f>IF(C19="",0,C19*J$18)</f>
        <v>11898</v>
      </c>
      <c r="E19" s="29">
        <f>IF(DigitaPRIMERA!$D$17&lt;&gt;"",DigitaPRIMERA!$D$17,"")</f>
        <v>2000</v>
      </c>
      <c r="F19" s="42">
        <f>IF(E19="",0,E19*PREMIOS!F19)</f>
        <v>170000</v>
      </c>
      <c r="G19" s="30">
        <f t="shared" si="6"/>
        <v>-82748</v>
      </c>
      <c r="I19" s="63" t="s">
        <v>104</v>
      </c>
      <c r="J19" s="64">
        <v>0.12</v>
      </c>
      <c r="K19" s="30">
        <f>MROUND(D21+D22+D23,50)</f>
        <v>16750</v>
      </c>
    </row>
    <row r="20" spans="1:11" x14ac:dyDescent="0.35">
      <c r="A20" s="28" t="s">
        <v>98</v>
      </c>
      <c r="B20" s="133">
        <f>IF(DigitaPRIMERA!E2&lt;&gt;"",DigitaPRIMERA!E2,"")</f>
        <v>84</v>
      </c>
      <c r="C20" s="29">
        <f>IF(DigitaPRIMERA!$E$17&lt;&gt;"",DigitaPRIMERA!$E$17,"")</f>
        <v>39100</v>
      </c>
      <c r="D20" s="42">
        <f>IF(C20="",0,C20*J$18)</f>
        <v>4692</v>
      </c>
      <c r="E20" s="29">
        <f>IF(DigitaPRIMERA!$F$17&lt;&gt;"",DigitaPRIMERA!$F$17,"")</f>
        <v>100</v>
      </c>
      <c r="F20" s="42">
        <f>IF(E20="",0,E20*PREMIOS!F19)</f>
        <v>8500</v>
      </c>
      <c r="G20" s="30">
        <f t="shared" si="6"/>
        <v>25908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16</v>
      </c>
      <c r="C21" s="29">
        <f>IF(DigitaHONDURAS!$C$17&lt;&gt;"",DigitaHONDURAS!$C$17,"")</f>
        <v>102850</v>
      </c>
      <c r="D21" s="42">
        <f>IF(C21="",0,C21*J$19)</f>
        <v>12342</v>
      </c>
      <c r="E21" s="29">
        <f>IF(DigitaHONDURAS!$D$17&lt;&gt;"",DigitaHONDURAS!$D$17,"")</f>
        <v>450</v>
      </c>
      <c r="F21" s="42">
        <f>IF(E21="",0,E21*PREMIOS!F20)</f>
        <v>38250</v>
      </c>
      <c r="G21" s="30">
        <f t="shared" si="6"/>
        <v>52258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12</v>
      </c>
      <c r="C22" s="29">
        <f>IF(DigitaHONDURAS!$E$17&lt;&gt;"",DigitaHONDURAS!$E$17,"")</f>
        <v>8000</v>
      </c>
      <c r="D22" s="42">
        <f>IF(C22="",0,C22*J$19)</f>
        <v>960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7040</v>
      </c>
    </row>
    <row r="23" spans="1:11" x14ac:dyDescent="0.35">
      <c r="A23" s="28" t="s">
        <v>101</v>
      </c>
      <c r="B23" s="133">
        <f>IF(DigitaHONDURAS!G2&lt;&gt;"",DigitaHONDURAS!G2,"")</f>
        <v>34</v>
      </c>
      <c r="C23" s="29">
        <f>IF(DigitaHONDURAS!$G$17&lt;&gt;"",DigitaHONDURAS!$G$17,"")</f>
        <v>28700</v>
      </c>
      <c r="D23" s="42">
        <f>IF(C23="",0,C23*J$19)</f>
        <v>3444</v>
      </c>
      <c r="E23" s="29">
        <f>IF(DigitaHONDURAS!$H$17&lt;&gt;"",DigitaHONDURAS!$H$17,"")</f>
        <v>550</v>
      </c>
      <c r="F23" s="42">
        <f>IF(E23="",0,E23*PREMIOS!F20)</f>
        <v>46750</v>
      </c>
      <c r="G23" s="30">
        <f t="shared" si="6"/>
        <v>-21494</v>
      </c>
    </row>
    <row r="24" spans="1:11" x14ac:dyDescent="0.35">
      <c r="A24" s="28" t="s">
        <v>102</v>
      </c>
      <c r="B24" s="133">
        <f>IF(DigitaDOMINICANA!C2&lt;&gt;"",DigitaDOMINICANA!C2,"")</f>
        <v>57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11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47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1317900</v>
      </c>
      <c r="D27" s="68">
        <f t="shared" ref="D27:G27" si="7">SUM(D5:D26)</f>
        <v>156549</v>
      </c>
      <c r="E27" s="68">
        <f t="shared" si="7"/>
        <v>12200</v>
      </c>
      <c r="F27" s="68">
        <f t="shared" si="7"/>
        <v>1129000</v>
      </c>
      <c r="G27" s="89">
        <f t="shared" si="7"/>
        <v>32351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141600</v>
      </c>
      <c r="K4" s="233">
        <f t="shared" ref="K4" si="0">D7+D11+D15</f>
        <v>16992</v>
      </c>
      <c r="L4" s="222">
        <f>F7+F11+F15</f>
        <v>12750</v>
      </c>
    </row>
    <row r="5" spans="1:12" x14ac:dyDescent="0.35">
      <c r="A5" s="28" t="str">
        <f>+Vendedor1!A5</f>
        <v>Nica 11am</v>
      </c>
      <c r="B5" s="133">
        <f>IF(DigitaNICA!C2&lt;&gt;"",DigitaNICA!C2,"")</f>
        <v>40</v>
      </c>
      <c r="C5" s="29">
        <f>IF(DigitaNICA!C18&lt;&gt;"",DigitaNICA!C18,"")</f>
        <v>65200</v>
      </c>
      <c r="D5" s="42">
        <f>IF(C5="",0,C5*J$16)</f>
        <v>7824</v>
      </c>
      <c r="E5" s="29">
        <f>IF(DigitaNICA!D18&lt;&gt;"",DigitaNICA!D18,"")</f>
        <v>1350</v>
      </c>
      <c r="F5" s="42">
        <f>IF(E5="",0,E5*PREMIOS!F5)</f>
        <v>114750</v>
      </c>
      <c r="G5" s="30">
        <f t="shared" ref="G5:G12" si="1">IF(OR(C5="",E5=""),0,C5-D5-F5)</f>
        <v>-57374</v>
      </c>
      <c r="I5" s="219" t="s">
        <v>37</v>
      </c>
      <c r="J5" s="223">
        <f>SUM(IF(C5="",0,C5),IF(C9="",0,C9),IF(C13="",0,C13),IF(C17="",0,C17))</f>
        <v>139650</v>
      </c>
      <c r="K5" s="227">
        <f t="shared" ref="K5" si="2">D5+D9+D13+D17</f>
        <v>16758</v>
      </c>
      <c r="L5" s="224">
        <f>F5+F9+F13+F17</f>
        <v>131750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54050</v>
      </c>
      <c r="K6" s="228">
        <f t="shared" ref="K6" si="3">+D8+D12+D16</f>
        <v>5405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88</v>
      </c>
      <c r="C7" s="29">
        <f>IF(DigitaTICA!C18&lt;&gt;"",DigitaTICA!C18,"")</f>
        <v>58300</v>
      </c>
      <c r="D7" s="42">
        <f>IF(C7="",0,C7*J$15)</f>
        <v>6996</v>
      </c>
      <c r="E7" s="29">
        <f>IF(DigitaTICA!D18&lt;&gt;"",DigitaTICA!D18,"")</f>
        <v>150</v>
      </c>
      <c r="F7" s="42">
        <f>IF(E7="",0,E7*PREMIOS!F7)</f>
        <v>12750</v>
      </c>
      <c r="G7" s="30">
        <f t="shared" si="1"/>
        <v>38554</v>
      </c>
      <c r="I7" s="219" t="s">
        <v>96</v>
      </c>
      <c r="J7" s="225">
        <f>SUM(IF(C19="",0,C19),IF(C20="",0,C20))</f>
        <v>90400</v>
      </c>
      <c r="K7" s="228">
        <f>+D19+D20</f>
        <v>10848</v>
      </c>
      <c r="L7" s="229">
        <f>+F19+F20</f>
        <v>106250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24350</v>
      </c>
      <c r="D8" s="42">
        <f>IF(C8="",0,C8*J$17)</f>
        <v>2435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21915</v>
      </c>
      <c r="I8" s="219" t="s">
        <v>104</v>
      </c>
      <c r="J8" s="225">
        <f>SUM(IF(C21="",0,C21),IF(C22="",0,C22),IF(C23="",0,C23))</f>
        <v>38100</v>
      </c>
      <c r="K8" s="228">
        <f t="shared" ref="K8" si="4">D21+D22+D23</f>
        <v>4572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52</v>
      </c>
      <c r="C9" s="29">
        <f>IF(DigitaNICA!E18&lt;&gt;"",DigitaNICA!E18,"")</f>
        <v>47800</v>
      </c>
      <c r="D9" s="42">
        <f>IF(C9="",0,C9*J$16)</f>
        <v>5736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42064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16</v>
      </c>
      <c r="C11" s="29">
        <f>IF(DigitaTICA!E18&lt;&gt;"",DigitaTICA!E18,"")</f>
        <v>33400</v>
      </c>
      <c r="D11" s="42">
        <f>IF(C11="",0,C11*J$15)</f>
        <v>4008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29392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14800</v>
      </c>
      <c r="D12" s="42">
        <f>IF(C12="",0,C12*J$17)</f>
        <v>1480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13320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61</v>
      </c>
      <c r="C13" s="29">
        <f>IF(DigitaNICA!G18&lt;&gt;"",DigitaNICA!G18,"")</f>
        <v>21750</v>
      </c>
      <c r="D13" s="42">
        <f>IF(C13="",0,C13*J$16)</f>
        <v>2610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2140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59</v>
      </c>
      <c r="C15" s="29">
        <f>IF(DigitaTICA!G18&lt;&gt;"",DigitaTICA!G18,"")</f>
        <v>49900</v>
      </c>
      <c r="D15" s="42">
        <f>IF(C15="",0,C15*J$15)</f>
        <v>5988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43912</v>
      </c>
      <c r="I15" s="77" t="s">
        <v>36</v>
      </c>
      <c r="J15" s="78">
        <v>0.12</v>
      </c>
      <c r="K15" s="79">
        <f>MROUND(D7+D11+D15,50)</f>
        <v>17000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14900</v>
      </c>
      <c r="D16" s="42">
        <f>IF(C16="",0,C16*J$17)</f>
        <v>1490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13410</v>
      </c>
      <c r="I16" s="63" t="s">
        <v>37</v>
      </c>
      <c r="J16" s="64">
        <v>0.12</v>
      </c>
      <c r="K16" s="30">
        <f>MROUND(D5+D9+D13+D17,50)</f>
        <v>16750</v>
      </c>
    </row>
    <row r="17" spans="1:11" x14ac:dyDescent="0.35">
      <c r="A17" s="28" t="str">
        <f>+Vendedor1!A17</f>
        <v>Nica 9pm</v>
      </c>
      <c r="B17" s="133">
        <f>IF(DigitaNICA!I2&lt;&gt;"",DigitaNICA!I2,"")</f>
        <v>67</v>
      </c>
      <c r="C17" s="29">
        <f>IF(DigitaNICA!I18&lt;&gt;"",DigitaNICA!I18,"")</f>
        <v>4900</v>
      </c>
      <c r="D17" s="42">
        <f>IF(C17="",0,C17*J$16)</f>
        <v>588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4312</v>
      </c>
      <c r="I17" s="63" t="s">
        <v>38</v>
      </c>
      <c r="J17" s="64">
        <v>0.1</v>
      </c>
      <c r="K17" s="30">
        <f>MROUND(D6+D8+D10+D12+D14+D16+D18,50)</f>
        <v>5400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10850</v>
      </c>
    </row>
    <row r="19" spans="1:11" x14ac:dyDescent="0.35">
      <c r="A19" s="28" t="s">
        <v>97</v>
      </c>
      <c r="B19" s="133" t="str">
        <f>IF(DigitaPRIMERA!C2&lt;&gt;"",DigitaPRIMERA!C2,"")</f>
        <v>04</v>
      </c>
      <c r="C19" s="29">
        <f>IF(DigitaPRIMERA!$C$18&lt;&gt;"",DigitaPRIMERA!$C$18,"")</f>
        <v>57700</v>
      </c>
      <c r="D19" s="42">
        <f>IF(C19="",0,C19*J$18)</f>
        <v>6924</v>
      </c>
      <c r="E19" s="29">
        <f>IF(DigitaPRIMERA!$D$18&lt;&gt;"",DigitaPRIMERA!$D$18,"")</f>
        <v>1250</v>
      </c>
      <c r="F19" s="42">
        <f>IF(E19="",0,E19*PREMIOS!F19)</f>
        <v>106250</v>
      </c>
      <c r="G19" s="30">
        <f t="shared" si="6"/>
        <v>-55474</v>
      </c>
      <c r="I19" s="63" t="s">
        <v>104</v>
      </c>
      <c r="J19" s="64">
        <v>0.12</v>
      </c>
      <c r="K19" s="30">
        <f>MROUND(D21+D22+D23,50)</f>
        <v>4550</v>
      </c>
    </row>
    <row r="20" spans="1:11" x14ac:dyDescent="0.35">
      <c r="A20" s="28" t="s">
        <v>98</v>
      </c>
      <c r="B20" s="133">
        <f>IF(DigitaPRIMERA!E2&lt;&gt;"",DigitaPRIMERA!E2,"")</f>
        <v>84</v>
      </c>
      <c r="C20" s="29">
        <f>IF(DigitaPRIMERA!$E$18&lt;&gt;"",DigitaPRIMERA!$E$18,"")</f>
        <v>32700</v>
      </c>
      <c r="D20" s="42">
        <f>IF(C20="",0,C20*J$18)</f>
        <v>3924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28776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16</v>
      </c>
      <c r="C21" s="29">
        <f>IF(DigitaHONDURAS!$C$18&lt;&gt;"",DigitaHONDURAS!$C$18,"")</f>
        <v>32600</v>
      </c>
      <c r="D21" s="42">
        <f>IF(C21="",0,C21*J$19)</f>
        <v>3912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28688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12</v>
      </c>
      <c r="C22" s="29">
        <f>IF(DigitaHONDURAS!$E$18&lt;&gt;"",DigitaHONDURAS!$E$18,"")</f>
        <v>5500</v>
      </c>
      <c r="D22" s="42">
        <f>IF(C22="",0,C22*J$19)</f>
        <v>660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4840</v>
      </c>
    </row>
    <row r="23" spans="1:11" x14ac:dyDescent="0.35">
      <c r="A23" s="28" t="s">
        <v>101</v>
      </c>
      <c r="B23" s="133">
        <f>IF(DigitaHONDURAS!G2&lt;&gt;"",DigitaHONDURAS!G2,"")</f>
        <v>34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57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11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47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463800</v>
      </c>
      <c r="D27" s="68">
        <f t="shared" ref="D27:G27" si="7">SUM(D5:D26)</f>
        <v>54575</v>
      </c>
      <c r="E27" s="68">
        <f t="shared" si="7"/>
        <v>2950</v>
      </c>
      <c r="F27" s="68">
        <f t="shared" si="7"/>
        <v>250750</v>
      </c>
      <c r="G27" s="89">
        <f t="shared" si="7"/>
        <v>158475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40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88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52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16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61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59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67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88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61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88</v>
      </c>
      <c r="D2" s="269"/>
      <c r="E2" s="268">
        <f>IF(PREMIOS!$B11="","",PREMIOS!$B11)</f>
        <v>16</v>
      </c>
      <c r="F2" s="269"/>
      <c r="G2" s="268">
        <f>IF(PREMIOS!$B15="","",PREMIOS!$B15)</f>
        <v>59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66050</v>
      </c>
      <c r="D4" s="79">
        <f t="shared" ref="D4:H27" si="0">IF(C4="","",0)</f>
        <v>0</v>
      </c>
      <c r="E4" s="190">
        <v>47150</v>
      </c>
      <c r="F4" s="79">
        <v>250</v>
      </c>
      <c r="G4" s="190">
        <f>125050+3000</f>
        <v>128050</v>
      </c>
      <c r="H4" s="79">
        <v>200</v>
      </c>
      <c r="J4" s="42">
        <f t="shared" ref="J4:J8" si="1">+C4+E4+G4</f>
        <v>241250</v>
      </c>
      <c r="K4" s="42">
        <f>IF(D4="",0,IF(F4="",D4,IF(H4="",D4+F4,D4+F4+H4)))</f>
        <v>450</v>
      </c>
    </row>
    <row r="5" spans="1:11" x14ac:dyDescent="0.35">
      <c r="A5" s="47">
        <v>2</v>
      </c>
      <c r="B5" s="179" t="str">
        <f>Vendedor2!$B$2</f>
        <v>PUESTO 2</v>
      </c>
      <c r="C5" s="181">
        <v>88550</v>
      </c>
      <c r="D5" s="30">
        <f t="shared" si="0"/>
        <v>0</v>
      </c>
      <c r="E5" s="181">
        <v>34700</v>
      </c>
      <c r="F5" s="30">
        <v>200</v>
      </c>
      <c r="G5" s="181">
        <v>106700</v>
      </c>
      <c r="H5" s="30">
        <v>500</v>
      </c>
      <c r="J5" s="42">
        <f t="shared" si="1"/>
        <v>229950</v>
      </c>
      <c r="K5" s="42">
        <f t="shared" ref="K5:K27" si="2">IF(D5="",0,IF(F5="",D5,IF(H5="",D5+F5,D5+F5+H5)))</f>
        <v>700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83850</v>
      </c>
      <c r="D8" s="30">
        <f t="shared" si="0"/>
        <v>0</v>
      </c>
      <c r="E8" s="181">
        <v>61000</v>
      </c>
      <c r="F8" s="30">
        <f t="shared" si="0"/>
        <v>0</v>
      </c>
      <c r="G8" s="181">
        <v>60000</v>
      </c>
      <c r="H8" s="30">
        <f t="shared" si="0"/>
        <v>0</v>
      </c>
      <c r="J8" s="42">
        <f t="shared" si="1"/>
        <v>204850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43500+108050</f>
        <v>151550</v>
      </c>
      <c r="D10" s="30">
        <f>1600+50</f>
        <v>1650</v>
      </c>
      <c r="E10" s="181">
        <f>54150+53150</f>
        <v>107300</v>
      </c>
      <c r="F10" s="30">
        <f>800+650</f>
        <v>1450</v>
      </c>
      <c r="G10" s="181">
        <v>187550</v>
      </c>
      <c r="H10" s="30">
        <v>2150</v>
      </c>
      <c r="J10" s="42">
        <f t="shared" si="3"/>
        <v>446400</v>
      </c>
      <c r="K10" s="42">
        <f t="shared" si="2"/>
        <v>5250</v>
      </c>
    </row>
    <row r="11" spans="1:11" x14ac:dyDescent="0.35">
      <c r="A11" s="47">
        <v>8</v>
      </c>
      <c r="B11" s="179" t="str">
        <f>Vendedor8!$B$2</f>
        <v>ISA</v>
      </c>
      <c r="C11" s="181">
        <v>7300</v>
      </c>
      <c r="D11" s="30">
        <f t="shared" si="0"/>
        <v>0</v>
      </c>
      <c r="E11" s="181">
        <v>2000</v>
      </c>
      <c r="F11" s="30">
        <f t="shared" si="0"/>
        <v>0</v>
      </c>
      <c r="G11" s="181">
        <v>17500</v>
      </c>
      <c r="H11" s="30">
        <f t="shared" si="0"/>
        <v>0</v>
      </c>
      <c r="J11" s="42">
        <f t="shared" si="3"/>
        <v>26800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20200</v>
      </c>
      <c r="D12" s="30">
        <f t="shared" si="0"/>
        <v>0</v>
      </c>
      <c r="E12" s="181"/>
      <c r="F12" s="30" t="str">
        <f t="shared" si="0"/>
        <v/>
      </c>
      <c r="G12" s="181">
        <v>34200</v>
      </c>
      <c r="H12" s="30">
        <v>300</v>
      </c>
      <c r="J12" s="42">
        <f t="shared" si="3"/>
        <v>54400</v>
      </c>
      <c r="K12" s="42">
        <f t="shared" si="2"/>
        <v>0</v>
      </c>
    </row>
    <row r="13" spans="1:11" x14ac:dyDescent="0.35">
      <c r="A13" s="47">
        <v>10</v>
      </c>
      <c r="B13" s="179" t="str">
        <f>Vendedor10!$B$2</f>
        <v>MARIALIZ</v>
      </c>
      <c r="C13" s="181">
        <v>44650</v>
      </c>
      <c r="D13" s="30">
        <f t="shared" si="0"/>
        <v>0</v>
      </c>
      <c r="E13" s="181">
        <v>19600</v>
      </c>
      <c r="F13" s="30">
        <f t="shared" si="0"/>
        <v>0</v>
      </c>
      <c r="G13" s="181">
        <v>66950</v>
      </c>
      <c r="H13" s="30">
        <v>300</v>
      </c>
      <c r="J13" s="42">
        <f t="shared" si="3"/>
        <v>131200</v>
      </c>
      <c r="K13" s="42">
        <f t="shared" si="2"/>
        <v>300</v>
      </c>
    </row>
    <row r="14" spans="1:11" x14ac:dyDescent="0.35">
      <c r="A14" s="47">
        <v>11</v>
      </c>
      <c r="B14" s="179" t="str">
        <f>Vendedor11!$B$2</f>
        <v>CHARLY</v>
      </c>
      <c r="C14" s="181">
        <v>31500</v>
      </c>
      <c r="D14" s="30">
        <v>500</v>
      </c>
      <c r="E14" s="181">
        <v>13250</v>
      </c>
      <c r="F14" s="30">
        <v>400</v>
      </c>
      <c r="G14" s="181">
        <v>37250</v>
      </c>
      <c r="H14" s="30">
        <f t="shared" si="0"/>
        <v>0</v>
      </c>
      <c r="J14" s="42">
        <f t="shared" si="3"/>
        <v>82000</v>
      </c>
      <c r="K14" s="42">
        <f t="shared" si="2"/>
        <v>900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25500</v>
      </c>
      <c r="D16" s="30">
        <f t="shared" si="0"/>
        <v>0</v>
      </c>
      <c r="E16" s="181">
        <v>21000</v>
      </c>
      <c r="F16" s="30">
        <f t="shared" si="0"/>
        <v>0</v>
      </c>
      <c r="G16" s="181">
        <v>37950</v>
      </c>
      <c r="H16" s="30">
        <f t="shared" si="0"/>
        <v>0</v>
      </c>
      <c r="J16" s="42">
        <f t="shared" si="3"/>
        <v>84450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112300+27150</f>
        <v>139450</v>
      </c>
      <c r="D17" s="30">
        <f>550+0</f>
        <v>550</v>
      </c>
      <c r="E17" s="181">
        <f>100900+22150</f>
        <v>123050</v>
      </c>
      <c r="F17" s="30">
        <f>4100+800</f>
        <v>4900</v>
      </c>
      <c r="G17" s="181">
        <f>183700+44900</f>
        <v>228600</v>
      </c>
      <c r="H17" s="30">
        <f>100+0</f>
        <v>100</v>
      </c>
      <c r="J17" s="42">
        <f t="shared" si="3"/>
        <v>491100</v>
      </c>
      <c r="K17" s="42">
        <f t="shared" si="2"/>
        <v>5550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31550+26750</f>
        <v>58300</v>
      </c>
      <c r="D18" s="30">
        <f>150+0</f>
        <v>150</v>
      </c>
      <c r="E18" s="181">
        <f>17800+15600</f>
        <v>33400</v>
      </c>
      <c r="F18" s="30">
        <f t="shared" si="0"/>
        <v>0</v>
      </c>
      <c r="G18" s="181">
        <f>34000+15900</f>
        <v>49900</v>
      </c>
      <c r="H18" s="30">
        <f t="shared" si="0"/>
        <v>0</v>
      </c>
      <c r="J18" s="42">
        <f t="shared" si="3"/>
        <v>141600</v>
      </c>
      <c r="K18" s="42">
        <f t="shared" si="2"/>
        <v>150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716900</v>
      </c>
      <c r="D32" s="44">
        <f t="shared" si="6"/>
        <v>2850</v>
      </c>
      <c r="E32" s="43">
        <f t="shared" si="6"/>
        <v>462450</v>
      </c>
      <c r="F32" s="44">
        <f t="shared" si="6"/>
        <v>7200</v>
      </c>
      <c r="G32" s="43">
        <f t="shared" si="6"/>
        <v>954650</v>
      </c>
      <c r="H32" s="44">
        <f t="shared" si="6"/>
        <v>3550</v>
      </c>
      <c r="J32" s="96">
        <f>SUM(J4:J31)</f>
        <v>2134000</v>
      </c>
      <c r="K32" s="96"/>
    </row>
    <row r="33" spans="2:8" x14ac:dyDescent="0.35">
      <c r="D33" s="100">
        <f>+D32*85</f>
        <v>242250</v>
      </c>
      <c r="F33" s="100">
        <f>+F32*85</f>
        <v>612000</v>
      </c>
      <c r="H33" s="100">
        <f>+H32*85</f>
        <v>301750</v>
      </c>
    </row>
    <row r="34" spans="2:8" x14ac:dyDescent="0.35">
      <c r="B34" s="249" t="s">
        <v>149</v>
      </c>
      <c r="C34" s="43">
        <f t="shared" ref="C34:H34" si="7">+C4+C5+C6+C8+C13</f>
        <v>283100</v>
      </c>
      <c r="D34" s="43" t="e">
        <f t="shared" si="7"/>
        <v>#VALUE!</v>
      </c>
      <c r="E34" s="43">
        <f t="shared" si="7"/>
        <v>162450</v>
      </c>
      <c r="F34" s="43" t="e">
        <f t="shared" si="7"/>
        <v>#VALUE!</v>
      </c>
      <c r="G34" s="43">
        <f t="shared" si="7"/>
        <v>361700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236550</v>
      </c>
      <c r="D35" s="43" t="e">
        <f t="shared" ref="D35:H35" si="8">+D11+D14+D15+D17+D18</f>
        <v>#VALUE!</v>
      </c>
      <c r="E35" s="43">
        <f t="shared" si="8"/>
        <v>171700</v>
      </c>
      <c r="F35" s="43" t="e">
        <f t="shared" si="8"/>
        <v>#VALUE!</v>
      </c>
      <c r="G35" s="43">
        <f t="shared" si="8"/>
        <v>333250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171750</v>
      </c>
      <c r="D36" s="43" t="e">
        <f t="shared" ref="D36:H36" si="9">+D10+D12+D27</f>
        <v>#VALUE!</v>
      </c>
      <c r="E36" s="43">
        <f t="shared" si="9"/>
        <v>107300</v>
      </c>
      <c r="F36" s="43" t="e">
        <f t="shared" si="9"/>
        <v>#VALUE!</v>
      </c>
      <c r="G36" s="43">
        <f t="shared" si="9"/>
        <v>221750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6"/>
  <sheetViews>
    <sheetView showGridLines="0" zoomScale="90" zoomScaleNormal="90" workbookViewId="0">
      <selection activeCell="G37" sqref="G3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40</v>
      </c>
      <c r="D2" s="269"/>
      <c r="E2" s="268">
        <f>IF(PREMIOS!$B9="","",PREMIOS!$B9)</f>
        <v>52</v>
      </c>
      <c r="F2" s="269"/>
      <c r="G2" s="268">
        <f>IF(PREMIOS!$B13="","",PREMIOS!$B13)</f>
        <v>61</v>
      </c>
      <c r="H2" s="269"/>
      <c r="I2" s="268">
        <f>IF(PREMIOS!$B17="","",PREMIOS!$B17)</f>
        <v>67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24000</v>
      </c>
      <c r="D4" s="79">
        <f t="shared" ref="D4:J27" si="0">IF(C4="","",0)</f>
        <v>0</v>
      </c>
      <c r="E4" s="207">
        <v>17100</v>
      </c>
      <c r="F4" s="79">
        <f t="shared" si="0"/>
        <v>0</v>
      </c>
      <c r="G4" s="190">
        <v>6300</v>
      </c>
      <c r="H4" s="79">
        <f t="shared" ref="H4:H27" si="1">IF(G4="","",0)</f>
        <v>0</v>
      </c>
      <c r="I4" s="190">
        <v>5500</v>
      </c>
      <c r="J4" s="79">
        <f t="shared" si="0"/>
        <v>0</v>
      </c>
      <c r="L4" s="42">
        <f t="shared" ref="L4:L8" si="2">+C4+E4+G4+I4</f>
        <v>52900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27650</v>
      </c>
      <c r="D5" s="30">
        <f t="shared" si="0"/>
        <v>0</v>
      </c>
      <c r="E5" s="208">
        <v>4400</v>
      </c>
      <c r="F5" s="30">
        <f t="shared" si="0"/>
        <v>0</v>
      </c>
      <c r="G5" s="181">
        <v>400</v>
      </c>
      <c r="H5" s="30">
        <f t="shared" si="1"/>
        <v>0</v>
      </c>
      <c r="I5" s="181">
        <v>5400</v>
      </c>
      <c r="J5" s="30">
        <f t="shared" ref="J5:J27" si="3">IF(I5="","",0)</f>
        <v>0</v>
      </c>
      <c r="L5" s="42">
        <f t="shared" si="2"/>
        <v>37850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87850</v>
      </c>
      <c r="D8" s="30">
        <v>1600</v>
      </c>
      <c r="E8" s="208">
        <v>79450</v>
      </c>
      <c r="F8" s="30">
        <f t="shared" si="0"/>
        <v>0</v>
      </c>
      <c r="G8" s="181">
        <v>8450</v>
      </c>
      <c r="H8" s="30">
        <f t="shared" si="1"/>
        <v>0</v>
      </c>
      <c r="I8" s="181">
        <v>24050</v>
      </c>
      <c r="J8" s="30">
        <v>700</v>
      </c>
      <c r="L8" s="42">
        <f t="shared" si="2"/>
        <v>199800</v>
      </c>
      <c r="M8" s="42">
        <f t="shared" si="4"/>
        <v>2300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37850+78650</f>
        <v>116500</v>
      </c>
      <c r="D10" s="30">
        <v>650</v>
      </c>
      <c r="E10" s="208">
        <f>53200+69300</f>
        <v>122500</v>
      </c>
      <c r="F10" s="30">
        <v>750</v>
      </c>
      <c r="G10" s="181">
        <v>88000</v>
      </c>
      <c r="H10" s="30">
        <v>100</v>
      </c>
      <c r="I10" s="181">
        <v>94750</v>
      </c>
      <c r="J10" s="30">
        <v>7850</v>
      </c>
      <c r="L10" s="42">
        <f t="shared" si="5"/>
        <v>421750</v>
      </c>
      <c r="M10" s="42">
        <f t="shared" si="4"/>
        <v>9350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34900</v>
      </c>
      <c r="D12" s="30">
        <f t="shared" si="0"/>
        <v>0</v>
      </c>
      <c r="E12" s="208">
        <v>12500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47400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40300</v>
      </c>
      <c r="D13" s="30">
        <v>1100</v>
      </c>
      <c r="E13" s="208">
        <v>10250</v>
      </c>
      <c r="F13" s="30">
        <f t="shared" si="0"/>
        <v>0</v>
      </c>
      <c r="G13" s="181">
        <v>7050</v>
      </c>
      <c r="H13" s="30">
        <v>150</v>
      </c>
      <c r="I13" s="181">
        <v>1700</v>
      </c>
      <c r="J13" s="30">
        <v>100</v>
      </c>
      <c r="L13" s="42">
        <f t="shared" si="5"/>
        <v>59300</v>
      </c>
      <c r="M13" s="42">
        <f t="shared" si="4"/>
        <v>1350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2500</v>
      </c>
      <c r="D16" s="30">
        <f t="shared" si="0"/>
        <v>0</v>
      </c>
      <c r="E16" s="208">
        <v>3300</v>
      </c>
      <c r="F16" s="30">
        <v>100</v>
      </c>
      <c r="G16" s="181">
        <v>2600</v>
      </c>
      <c r="H16" s="30">
        <v>100</v>
      </c>
      <c r="I16" s="181">
        <v>4850</v>
      </c>
      <c r="J16" s="30">
        <f t="shared" si="0"/>
        <v>0</v>
      </c>
      <c r="L16" s="42">
        <f t="shared" si="5"/>
        <v>13250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115700</v>
      </c>
      <c r="D17" s="30">
        <v>1550</v>
      </c>
      <c r="E17" s="208">
        <v>119400</v>
      </c>
      <c r="F17" s="30">
        <v>500</v>
      </c>
      <c r="G17" s="181">
        <v>83250</v>
      </c>
      <c r="H17" s="30">
        <v>700</v>
      </c>
      <c r="I17" s="181">
        <v>150700</v>
      </c>
      <c r="J17" s="30">
        <f t="shared" si="0"/>
        <v>0</v>
      </c>
      <c r="L17" s="42">
        <f t="shared" si="5"/>
        <v>469050</v>
      </c>
      <c r="M17" s="42">
        <f t="shared" si="4"/>
        <v>2750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65200</v>
      </c>
      <c r="D18" s="30">
        <v>1350</v>
      </c>
      <c r="E18" s="208">
        <v>47800</v>
      </c>
      <c r="F18" s="30">
        <f t="shared" si="0"/>
        <v>0</v>
      </c>
      <c r="G18" s="181">
        <v>21750</v>
      </c>
      <c r="H18" s="30">
        <v>200</v>
      </c>
      <c r="I18" s="181">
        <v>4900</v>
      </c>
      <c r="J18" s="30">
        <f t="shared" si="3"/>
        <v>0</v>
      </c>
      <c r="L18" s="42">
        <f t="shared" si="5"/>
        <v>139650</v>
      </c>
      <c r="M18" s="42">
        <f t="shared" si="4"/>
        <v>1550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514600</v>
      </c>
      <c r="D32" s="44">
        <f t="shared" si="7"/>
        <v>6250</v>
      </c>
      <c r="E32" s="43">
        <f t="shared" si="7"/>
        <v>416700</v>
      </c>
      <c r="F32" s="44">
        <f t="shared" si="7"/>
        <v>1350</v>
      </c>
      <c r="G32" s="43">
        <f t="shared" si="7"/>
        <v>217800</v>
      </c>
      <c r="H32" s="44">
        <f t="shared" si="7"/>
        <v>1250</v>
      </c>
      <c r="I32" s="43">
        <f t="shared" si="7"/>
        <v>291850</v>
      </c>
      <c r="J32" s="44">
        <f t="shared" si="7"/>
        <v>8650</v>
      </c>
      <c r="L32" s="96">
        <f>SUM(L9:L31)</f>
        <v>1150400</v>
      </c>
      <c r="M32" s="96">
        <f>SUM(M9:M31)</f>
        <v>15000</v>
      </c>
    </row>
    <row r="34" spans="7:7" x14ac:dyDescent="0.35">
      <c r="G34">
        <f>88000+83250+21750+24800</f>
        <v>217800</v>
      </c>
    </row>
    <row r="35" spans="7:7" x14ac:dyDescent="0.35">
      <c r="G35">
        <v>332300</v>
      </c>
    </row>
    <row r="36" spans="7:7" x14ac:dyDescent="0.35">
      <c r="G36">
        <f>+G35-G34</f>
        <v>114500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88 Blanca</v>
      </c>
      <c r="D2" s="269"/>
      <c r="E2" s="268" t="str">
        <f>IF(E33=0,"",CONCATENATE(PREMIOS!$B11," ",PREMIOS!$B12))</f>
        <v>16 Roja</v>
      </c>
      <c r="F2" s="269"/>
      <c r="G2" s="268" t="str">
        <f>IF(G33=0,"",CONCATENATE(PREMIOS!$B15," ",PREMIOS!$B16))</f>
        <v>59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13000+2950</f>
        <v>15950</v>
      </c>
      <c r="D10" s="30">
        <f>1500+0</f>
        <v>1500</v>
      </c>
      <c r="E10" s="181">
        <f>19750+5000</f>
        <v>24750</v>
      </c>
      <c r="F10" s="30">
        <f t="shared" si="0"/>
        <v>0</v>
      </c>
      <c r="G10" s="181">
        <v>31000</v>
      </c>
      <c r="H10" s="30">
        <f t="shared" si="0"/>
        <v>0</v>
      </c>
      <c r="J10" s="42">
        <f t="shared" si="3"/>
        <v>71700</v>
      </c>
      <c r="K10" s="42">
        <f t="shared" si="4"/>
        <v>1500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181"/>
      <c r="F12" s="30" t="str">
        <f t="shared" si="1"/>
        <v/>
      </c>
      <c r="G12" s="181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1500</v>
      </c>
      <c r="D16" s="196">
        <f t="shared" si="0"/>
        <v>0</v>
      </c>
      <c r="E16" s="195">
        <v>3500</v>
      </c>
      <c r="F16" s="196">
        <f t="shared" si="1"/>
        <v>0</v>
      </c>
      <c r="G16" s="195">
        <v>2000</v>
      </c>
      <c r="H16" s="196">
        <f t="shared" si="0"/>
        <v>0</v>
      </c>
      <c r="J16" s="42">
        <f t="shared" si="3"/>
        <v>7000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22000</v>
      </c>
      <c r="D17" s="30">
        <f t="shared" si="0"/>
        <v>0</v>
      </c>
      <c r="E17" s="181">
        <v>19750</v>
      </c>
      <c r="F17" s="30">
        <v>800</v>
      </c>
      <c r="G17" s="181">
        <v>38200</v>
      </c>
      <c r="H17" s="30">
        <f t="shared" si="0"/>
        <v>0</v>
      </c>
      <c r="J17" s="42">
        <f t="shared" si="3"/>
        <v>79950</v>
      </c>
      <c r="K17" s="42">
        <f t="shared" si="4"/>
        <v>800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24350</v>
      </c>
      <c r="D18" s="30">
        <f t="shared" si="0"/>
        <v>0</v>
      </c>
      <c r="E18" s="181">
        <v>14800</v>
      </c>
      <c r="F18" s="30">
        <f t="shared" si="0"/>
        <v>0</v>
      </c>
      <c r="G18" s="181">
        <v>14900</v>
      </c>
      <c r="H18" s="30">
        <f t="shared" si="0"/>
        <v>0</v>
      </c>
      <c r="J18" s="42">
        <f t="shared" si="3"/>
        <v>54050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63800</v>
      </c>
      <c r="D33" s="44">
        <f t="shared" si="7"/>
        <v>1500</v>
      </c>
      <c r="E33" s="43">
        <f t="shared" si="7"/>
        <v>62800</v>
      </c>
      <c r="F33" s="44">
        <f t="shared" si="7"/>
        <v>800</v>
      </c>
      <c r="G33" s="43">
        <f t="shared" si="7"/>
        <v>86100</v>
      </c>
      <c r="H33" s="44">
        <f t="shared" si="7"/>
        <v>0</v>
      </c>
      <c r="J33" s="45">
        <f>SUM(J4:J32)</f>
        <v>212700</v>
      </c>
      <c r="K33" s="96">
        <f>SUM(K4:K32)</f>
        <v>2300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 t="str">
        <f>IF(PREMIOS!$B19="","",PREMIOS!$B19)</f>
        <v>04</v>
      </c>
      <c r="D2" s="269"/>
      <c r="E2" s="268">
        <f>IF(PREMIOS!$C19="","",PREMIOS!$C19)</f>
        <v>84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7700</v>
      </c>
      <c r="D4" s="79">
        <f t="shared" ref="D4:F27" si="0">IF(C4="","",0)</f>
        <v>0</v>
      </c>
      <c r="E4" s="190">
        <v>200</v>
      </c>
      <c r="F4" s="79">
        <f t="shared" si="0"/>
        <v>0</v>
      </c>
      <c r="H4" s="42">
        <f>+C4+E4</f>
        <v>7900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3100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3100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10750</v>
      </c>
      <c r="D8" s="30">
        <v>600</v>
      </c>
      <c r="E8" s="195">
        <v>11650</v>
      </c>
      <c r="F8" s="196">
        <f t="shared" si="1"/>
        <v>0</v>
      </c>
      <c r="H8" s="42">
        <f t="shared" si="2"/>
        <v>22400</v>
      </c>
      <c r="I8" s="42">
        <f t="shared" si="3"/>
        <v>600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12150</v>
      </c>
      <c r="D10" s="30">
        <v>300</v>
      </c>
      <c r="E10" s="181">
        <f>17000+8900</f>
        <v>25900</v>
      </c>
      <c r="F10" s="196">
        <f t="shared" si="1"/>
        <v>0</v>
      </c>
      <c r="H10" s="42">
        <f t="shared" si="2"/>
        <v>38050</v>
      </c>
      <c r="I10" s="42">
        <f t="shared" si="3"/>
        <v>300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28750</v>
      </c>
      <c r="D12" s="30">
        <v>1050</v>
      </c>
      <c r="E12" s="195"/>
      <c r="F12" s="30" t="str">
        <f t="shared" si="0"/>
        <v/>
      </c>
      <c r="H12" s="42">
        <f t="shared" si="2"/>
        <v>28750</v>
      </c>
      <c r="I12" s="42">
        <f t="shared" si="3"/>
        <v>1050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4600</v>
      </c>
      <c r="D16" s="196">
        <f t="shared" si="0"/>
        <v>0</v>
      </c>
      <c r="E16" s="195">
        <v>1100</v>
      </c>
      <c r="F16" s="196">
        <f t="shared" si="0"/>
        <v>0</v>
      </c>
      <c r="H16" s="42">
        <f t="shared" si="2"/>
        <v>5700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99150</v>
      </c>
      <c r="D17" s="196">
        <v>2000</v>
      </c>
      <c r="E17" s="181">
        <v>39100</v>
      </c>
      <c r="F17" s="30">
        <v>100</v>
      </c>
      <c r="H17" s="42">
        <f t="shared" si="2"/>
        <v>138250</v>
      </c>
      <c r="I17" s="42">
        <f t="shared" si="3"/>
        <v>2100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57700</v>
      </c>
      <c r="D18" s="196">
        <v>1250</v>
      </c>
      <c r="E18" s="181">
        <v>32700</v>
      </c>
      <c r="F18" s="30">
        <f t="shared" si="0"/>
        <v>0</v>
      </c>
      <c r="H18" s="42">
        <f t="shared" si="2"/>
        <v>90400</v>
      </c>
      <c r="I18" s="42">
        <f t="shared" si="3"/>
        <v>1250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223900</v>
      </c>
      <c r="D33" s="44">
        <f>SUM(D4:D32)</f>
        <v>5200</v>
      </c>
      <c r="E33" s="43">
        <f>SUM(E4:E32)</f>
        <v>110650</v>
      </c>
      <c r="F33" s="44">
        <f>SUM(F4:F32)</f>
        <v>100</v>
      </c>
      <c r="H33" s="96">
        <f>SUM(H4:H32)</f>
        <v>334550</v>
      </c>
      <c r="I33" s="96">
        <f>SUM(I4:I32)</f>
        <v>5300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16</v>
      </c>
      <c r="D2" s="269"/>
      <c r="E2" s="268">
        <f>IF(PREMIOS!$C20="","",PREMIOS!$C20)</f>
        <v>12</v>
      </c>
      <c r="F2" s="269"/>
      <c r="G2" s="268">
        <f>IF(PREMIOS!$D20="","",PREMIOS!$D20)</f>
        <v>34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7300+13750</f>
        <v>21050</v>
      </c>
      <c r="D10" s="196">
        <f t="shared" si="0"/>
        <v>0</v>
      </c>
      <c r="E10" s="181">
        <f>5000+16750</f>
        <v>21750</v>
      </c>
      <c r="F10" s="30">
        <f>100+0</f>
        <v>100</v>
      </c>
      <c r="G10" s="181">
        <v>15000</v>
      </c>
      <c r="H10" s="196">
        <f t="shared" si="0"/>
        <v>0</v>
      </c>
      <c r="J10" s="42">
        <f t="shared" si="3"/>
        <v>57800</v>
      </c>
      <c r="K10" s="42">
        <f t="shared" si="4"/>
        <v>100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102850</v>
      </c>
      <c r="D17" s="196">
        <v>450</v>
      </c>
      <c r="E17" s="195">
        <v>8000</v>
      </c>
      <c r="F17" s="196">
        <f t="shared" si="0"/>
        <v>0</v>
      </c>
      <c r="G17" s="195">
        <v>28700</v>
      </c>
      <c r="H17" s="196">
        <v>550</v>
      </c>
      <c r="J17" s="42">
        <f t="shared" si="3"/>
        <v>139550</v>
      </c>
      <c r="K17" s="42">
        <f t="shared" si="4"/>
        <v>1000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32600</v>
      </c>
      <c r="D18" s="196">
        <f t="shared" si="0"/>
        <v>0</v>
      </c>
      <c r="E18" s="181">
        <v>5500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38100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156500</v>
      </c>
      <c r="D33" s="44">
        <f t="shared" si="6"/>
        <v>450</v>
      </c>
      <c r="E33" s="43">
        <f t="shared" si="6"/>
        <v>35250</v>
      </c>
      <c r="F33" s="44">
        <f t="shared" si="6"/>
        <v>100</v>
      </c>
      <c r="G33" s="43">
        <f t="shared" si="6"/>
        <v>43700</v>
      </c>
      <c r="H33" s="44">
        <f t="shared" si="6"/>
        <v>550</v>
      </c>
      <c r="J33" s="45">
        <f>SUM(J4:J32)</f>
        <v>235450</v>
      </c>
      <c r="K33" s="96">
        <f>SUM(K4:K32)</f>
        <v>1100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F10" sqref="F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57</v>
      </c>
      <c r="D2" s="269"/>
      <c r="E2" s="268">
        <f>IF(PREMIOS!$C21="","",PREMIOS!$C21)</f>
        <v>11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50100</v>
      </c>
      <c r="D10" s="30">
        <v>500</v>
      </c>
      <c r="E10" s="181">
        <v>47500</v>
      </c>
      <c r="F10" s="30">
        <f t="shared" si="0"/>
        <v>0</v>
      </c>
      <c r="H10" s="42">
        <f t="shared" si="2"/>
        <v>97600</v>
      </c>
      <c r="I10" s="42">
        <f t="shared" si="3"/>
        <v>500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50100</v>
      </c>
      <c r="D33" s="44">
        <f>SUM(D4:D32)</f>
        <v>500</v>
      </c>
      <c r="E33" s="43">
        <f>SUM(E4:E32)</f>
        <v>47500</v>
      </c>
      <c r="F33" s="44">
        <f>SUM(F4:F32)</f>
        <v>0</v>
      </c>
      <c r="H33" s="45">
        <f>SUM(H4:H32)</f>
        <v>97600</v>
      </c>
      <c r="I33" s="96">
        <f>SUM(I4:I32)</f>
        <v>500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47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>
        <v>2900</v>
      </c>
      <c r="D10" s="30">
        <v>200</v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2900</v>
      </c>
      <c r="D33" s="44">
        <f>SUM(D4:D32)</f>
        <v>200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2026-03-11T18:31:58Z</dcterms:modified>
  <dc:language>es-CR</dc:language>
</cp:coreProperties>
</file>
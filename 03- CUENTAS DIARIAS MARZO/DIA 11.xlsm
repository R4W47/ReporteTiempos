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5F7A4A38-00E1-4743-8C4E-46FA3B94C8DD}" xr6:coauthVersionLast="47" xr6:coauthVersionMax="47" xr10:uidLastSave="{41DD06BE-A6D7-4C6F-814E-714477A14CB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J10" i="61"/>
  <c r="I10" i="61"/>
  <c r="H17" i="60"/>
  <c r="G17" i="60"/>
  <c r="G18" i="60"/>
  <c r="G10" i="60"/>
  <c r="H7" i="60"/>
  <c r="E10" i="64"/>
  <c r="C10" i="62"/>
  <c r="F10" i="61"/>
  <c r="E10" i="61"/>
  <c r="C10" i="60"/>
  <c r="F17" i="60"/>
  <c r="E17" i="60"/>
  <c r="F18" i="60"/>
  <c r="E18" i="60"/>
  <c r="C17" i="60"/>
  <c r="D18" i="60"/>
  <c r="C18" i="60"/>
  <c r="D10" i="61" l="1"/>
  <c r="C10" i="61"/>
  <c r="D10" i="64"/>
  <c r="C10" i="64"/>
  <c r="D11" i="65" l="1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6" i="60"/>
  <c r="D15" i="60"/>
  <c r="D14" i="60"/>
  <c r="D35" i="60" s="1"/>
  <c r="D13" i="60"/>
  <c r="D11" i="60"/>
  <c r="D9" i="60"/>
  <c r="D8" i="60"/>
  <c r="D7" i="60"/>
  <c r="F18" i="23"/>
  <c r="F14" i="23"/>
  <c r="F10" i="23"/>
  <c r="F6" i="23"/>
  <c r="F6" i="14"/>
  <c r="F10" i="14"/>
  <c r="F14" i="14"/>
  <c r="F18" i="14"/>
  <c r="D10" i="66"/>
  <c r="F17" i="64"/>
  <c r="F8" i="65"/>
  <c r="F10" i="62"/>
  <c r="D5" i="61"/>
  <c r="F18" i="61"/>
  <c r="F16" i="61"/>
  <c r="D6" i="60"/>
  <c r="F15" i="60"/>
  <c r="F14" i="60"/>
  <c r="F11" i="60"/>
  <c r="F35" i="60" s="1"/>
  <c r="F9" i="60"/>
  <c r="F8" i="60"/>
  <c r="F7" i="60"/>
  <c r="F6" i="60"/>
  <c r="H16" i="60"/>
  <c r="H15" i="60"/>
  <c r="H11" i="60"/>
  <c r="H9" i="60"/>
  <c r="H8" i="60"/>
  <c r="H6" i="60"/>
  <c r="H5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F8" i="61"/>
  <c r="F7" i="61"/>
  <c r="F6" i="61"/>
  <c r="F5" i="61"/>
  <c r="F4" i="61"/>
  <c r="E5" i="16"/>
  <c r="H34" i="60" l="1"/>
  <c r="F34" i="60"/>
  <c r="D34" i="60"/>
  <c r="J8" i="14"/>
  <c r="D21" i="14"/>
  <c r="C12" i="71"/>
  <c r="D22" i="14"/>
  <c r="G12" i="71"/>
  <c r="E19" i="16"/>
  <c r="D20" i="16"/>
  <c r="F18" i="64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5" i="61"/>
  <c r="H14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2" i="73"/>
  <c r="F16" i="73"/>
  <c r="F15" i="73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B31" i="72"/>
  <c r="F30" i="72"/>
  <c r="E30" i="72"/>
  <c r="D30" i="72"/>
  <c r="C30" i="72"/>
  <c r="H30" i="72" s="1"/>
  <c r="B30" i="72"/>
  <c r="F29" i="72"/>
  <c r="E29" i="72"/>
  <c r="H29" i="72" s="1"/>
  <c r="I29" i="72" s="1"/>
  <c r="D29" i="72"/>
  <c r="J29" i="72" s="1"/>
  <c r="K29" i="72" s="1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K26" i="72" s="1"/>
  <c r="C26" i="72"/>
  <c r="B26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B23" i="72"/>
  <c r="F22" i="72"/>
  <c r="E22" i="72"/>
  <c r="D22" i="72"/>
  <c r="J22" i="72" s="1"/>
  <c r="K22" i="72" s="1"/>
  <c r="C22" i="72"/>
  <c r="H22" i="72" s="1"/>
  <c r="B22" i="72"/>
  <c r="J21" i="72"/>
  <c r="K21" i="72" s="1"/>
  <c r="F21" i="72"/>
  <c r="E21" i="72"/>
  <c r="D21" i="72"/>
  <c r="C21" i="72"/>
  <c r="H21" i="72" s="1"/>
  <c r="B21" i="72"/>
  <c r="F20" i="72"/>
  <c r="J20" i="72" s="1"/>
  <c r="K20" i="72" s="1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I23" i="66" s="1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2" i="66"/>
  <c r="I21" i="66"/>
  <c r="I19" i="66"/>
  <c r="I16" i="66"/>
  <c r="I14" i="66"/>
  <c r="I13" i="66"/>
  <c r="I12" i="66"/>
  <c r="I11" i="66"/>
  <c r="I9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H31" i="70" s="1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1" i="72"/>
  <c r="N21" i="72" s="1"/>
  <c r="H30" i="66"/>
  <c r="H21" i="70"/>
  <c r="J24" i="70"/>
  <c r="K24" i="70" s="1"/>
  <c r="L28" i="71"/>
  <c r="M28" i="71" s="1"/>
  <c r="H24" i="72"/>
  <c r="H31" i="72"/>
  <c r="E27" i="72"/>
  <c r="K27" i="64"/>
  <c r="F22" i="15"/>
  <c r="L8" i="15" s="1"/>
  <c r="F16" i="71"/>
  <c r="L16" i="71" s="1"/>
  <c r="M16" i="71" s="1"/>
  <c r="G22" i="15"/>
  <c r="L25" i="71"/>
  <c r="M25" i="71" s="1"/>
  <c r="K28" i="70"/>
  <c r="H29" i="66"/>
  <c r="J23" i="70"/>
  <c r="K23" i="70" s="1"/>
  <c r="L22" i="71"/>
  <c r="M22" i="71" s="1"/>
  <c r="H23" i="72"/>
  <c r="I25" i="72"/>
  <c r="N25" i="72" s="1"/>
  <c r="J30" i="72"/>
  <c r="K30" i="72" s="1"/>
  <c r="J32" i="64"/>
  <c r="K20" i="19"/>
  <c r="K9" i="19"/>
  <c r="J22" i="71"/>
  <c r="E33" i="66"/>
  <c r="D17" i="72"/>
  <c r="L7" i="23"/>
  <c r="J22" i="70"/>
  <c r="K22" i="70" s="1"/>
  <c r="D26" i="21"/>
  <c r="J10" i="21"/>
  <c r="C17" i="73"/>
  <c r="F17" i="73" s="1"/>
  <c r="J10" i="8"/>
  <c r="J29" i="71"/>
  <c r="F25" i="19"/>
  <c r="L9" i="19" s="1"/>
  <c r="F18" i="72"/>
  <c r="D18" i="72"/>
  <c r="J7" i="19"/>
  <c r="D26" i="19"/>
  <c r="J10" i="19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K20" i="21"/>
  <c r="K10" i="21"/>
  <c r="L27" i="70"/>
  <c r="K21" i="8"/>
  <c r="K10" i="8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J4" i="23"/>
  <c r="J6" i="23"/>
  <c r="L5" i="23"/>
  <c r="M25" i="52"/>
  <c r="L4" i="23"/>
  <c r="M22" i="52"/>
  <c r="M21" i="52"/>
  <c r="M26" i="52"/>
  <c r="F17" i="52"/>
  <c r="J5" i="19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J32" i="61"/>
  <c r="M19" i="52"/>
  <c r="F32" i="60"/>
  <c r="K4" i="23"/>
  <c r="L19" i="59"/>
  <c r="G32" i="60"/>
  <c r="H32" i="60"/>
  <c r="H33" i="60" s="1"/>
  <c r="K5" i="23"/>
  <c r="G32" i="61"/>
  <c r="F32" i="61"/>
  <c r="L6" i="25"/>
  <c r="H32" i="61"/>
  <c r="D24" i="15"/>
  <c r="K5" i="19"/>
  <c r="K5" i="8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3" i="58"/>
  <c r="P25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5" i="52"/>
  <c r="C24" i="1" s="1"/>
  <c r="B24" i="1"/>
  <c r="K24" i="52"/>
  <c r="C23" i="1" s="1"/>
  <c r="B23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F12" i="14"/>
  <c r="F12" i="19"/>
  <c r="F12" i="15"/>
  <c r="F12" i="8"/>
  <c r="K4" i="52"/>
  <c r="C3" i="1" s="1"/>
  <c r="B3" i="1"/>
  <c r="K5" i="52"/>
  <c r="C4" i="1" s="1"/>
  <c r="B4" i="1"/>
  <c r="K21" i="52"/>
  <c r="C20" i="1" s="1"/>
  <c r="B20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L6" i="15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<sst xmlns="http://schemas.openxmlformats.org/spreadsheetml/2006/main" count="1294" uniqueCount="161">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</sst>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333100</v>
      </c>
      <c r="C3" s="9">
        <f>+HojaTICA!K4+HojaNICA!M4+HojaREVENTADO!K4+HojaPrimera!I4+HojaHonduras!K4+HojaDominicana!I4+HojaPANA!G4</f>
        <v>43300</v>
      </c>
      <c r="D3" s="9">
        <f>+HojaTICA!N4+HojaNICA!P4+HojaREVENTADO!O4+HojaPrimera!L4+HojaHonduras!N4+HojaDominicana!L4+HojaPANA!J4</f>
        <v>186500</v>
      </c>
      <c r="F3" s="10">
        <f t="shared" ref="F3:F27" si="0">+B3-C3-D3</f>
        <v>103300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194150</v>
      </c>
      <c r="C4" s="9">
        <f>+HojaTICA!K5+HojaNICA!M5+HojaREVENTADO!K5+HojaPrimera!I5+HojaHonduras!K5+HojaDominicana!I5+HojaPANA!G5</f>
        <v>25250</v>
      </c>
      <c r="D4" s="9">
        <f>+HojaTICA!N5+HojaNICA!P5+HojaREVENTADO!O5+HojaPrimera!L5+HojaHonduras!N5+HojaDominicana!L5+HojaPANA!J5</f>
        <v>72250</v>
      </c>
      <c r="F4" s="14">
        <f t="shared" si="0"/>
        <v>96650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31950</v>
      </c>
      <c r="C7" s="9">
        <f>+HojaTICA!K8+HojaNICA!M8+HojaREVENTADO!K8+HojaPrimera!I8+HojaHonduras!K8+HojaDominicana!I8+HojaPANA!G8</f>
        <v>3800</v>
      </c>
      <c r="D7" s="9">
        <f>+HojaTICA!N8+HojaNICA!P8+HojaREVENTADO!O8+HojaPrimera!L8+HojaHonduras!N8+HojaDominicana!L8+HojaPANA!J8</f>
        <v>16000</v>
      </c>
      <c r="F7" s="14">
        <f t="shared" si="0"/>
        <v>12150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957250</v>
      </c>
      <c r="C9" s="9">
        <f>+HojaTICA!K10+HojaNICA!M10+HojaREVENTADO!K10+HojaPrimera!I10+HojaHonduras!K10+HojaDominicana!I10+HojaPANA!G10</f>
        <v>113560</v>
      </c>
      <c r="D9" s="9">
        <f>+HojaTICA!N10+HojaNICA!P10+HojaREVENTADO!O10+HojaPrimera!L10+HojaHonduras!N10+HojaDominicana!L10+HojaPANA!J10</f>
        <v>667250</v>
      </c>
      <c r="F9" s="14">
        <f t="shared" si="0"/>
        <v>176440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28600</v>
      </c>
      <c r="C10" s="9">
        <f>+HojaTICA!K11+HojaNICA!M11+HojaREVENTADO!K11+HojaPrimera!I11+HojaHonduras!K11+HojaDominicana!I11+HojaPANA!G11</f>
        <v>3450</v>
      </c>
      <c r="D10" s="9">
        <f>+HojaTICA!N11+HojaNICA!P11+HojaREVENTADO!O11+HojaPrimera!L11+HojaHonduras!N11+HojaDominicana!L11+HojaPANA!J11</f>
        <v>0</v>
      </c>
      <c r="F10" s="14">
        <f t="shared" si="0"/>
        <v>25150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306000</v>
      </c>
      <c r="C11" s="9">
        <f>+HojaTICA!K12+HojaNICA!M12+HojaREVENTADO!K12+HojaPrimera!I12+HojaHonduras!K12+HojaDominicana!I12+HojaPANA!G12</f>
        <v>36390</v>
      </c>
      <c r="D11" s="9">
        <f>+HojaTICA!N12+HojaNICA!P12+HojaREVENTADO!O12+HojaPrimera!L12+HojaHonduras!N12+HojaDominicana!L12+HojaPANA!J12</f>
        <v>310250</v>
      </c>
      <c r="F11" s="14">
        <f t="shared" si="0"/>
        <v>-40640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234500</v>
      </c>
      <c r="C12" s="9">
        <f>+HojaTICA!K13+HojaNICA!M13+HojaREVENTADO!K13+HojaPrimera!I13+HojaHonduras!K13+HojaDominicana!I13+HojaPANA!G13</f>
        <v>28150</v>
      </c>
      <c r="D12" s="9">
        <f>+HojaTICA!N13+HojaNICA!P13+HojaREVENTADO!O13+HojaPrimera!L13+HojaHonduras!N13+HojaDominicana!L13+HojaPANA!J13</f>
        <v>193500</v>
      </c>
      <c r="F12" s="14">
        <f t="shared" si="0"/>
        <v>12850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105750</v>
      </c>
      <c r="C13" s="9">
        <f>+HojaTICA!K14+HojaNICA!M14+HojaREVENTADO!K14+HojaPrimera!I14+HojaHonduras!K14+HojaDominicana!I14+HojaPANA!G14</f>
        <v>15850</v>
      </c>
      <c r="D13" s="9">
        <f>+HojaTICA!N14+HojaNICA!P14+HojaREVENTADO!O14+HojaPrimera!L14+HojaHonduras!N14+HojaDominicana!L14+HojaPANA!J14</f>
        <v>40000</v>
      </c>
      <c r="F13" s="14">
        <f t="shared" si="0"/>
        <v>49900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113000</v>
      </c>
      <c r="C15" s="9">
        <f>+HojaTICA!K16+HojaNICA!M16+HojaREVENTADO!K16+HojaPrimera!I16+HojaHonduras!K16+HojaDominicana!I16+HojaPANA!G16</f>
        <v>13510</v>
      </c>
      <c r="D15" s="9">
        <f>+HojaTICA!N16+HojaNICA!P16+HojaREVENTADO!O16+HojaPrimera!L16+HojaHonduras!N16+HojaDominicana!L16+HojaPANA!J16</f>
        <v>98500</v>
      </c>
      <c r="F15" s="14">
        <f t="shared" si="0"/>
        <v>990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1230950</v>
      </c>
      <c r="C16" s="9">
        <f>+HojaTICA!K17+HojaNICA!M17+HojaREVENTADO!K17+HojaPrimera!I17+HojaHonduras!K17+HojaDominicana!I17+HojaPANA!G17</f>
        <v>146335</v>
      </c>
      <c r="D16" s="9">
        <f>+HojaTICA!N17+HojaNICA!P17+HojaREVENTADO!O17+HojaPrimera!L17+HojaHonduras!N17+HojaDominicana!L17+HojaPANA!J17</f>
        <v>1156000</v>
      </c>
      <c r="F16" s="14">
        <f t="shared" si="0"/>
        <v>-71385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414200</v>
      </c>
      <c r="C17" s="9">
        <f>+HojaTICA!K18+HojaNICA!M18+HojaREVENTADO!K18+HojaPrimera!I18+HojaHonduras!K18+HojaDominicana!I18+HojaPANA!G18</f>
        <v>48730</v>
      </c>
      <c r="D17" s="9">
        <f>+HojaTICA!N18+HojaNICA!P18+HojaREVENTADO!O18+HojaPrimera!L18+HojaHonduras!N18+HojaDominicana!L18+HojaPANA!J18</f>
        <v>276250</v>
      </c>
      <c r="F17" s="14">
        <f t="shared" si="0"/>
        <v>89220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3949450</v>
      </c>
      <c r="C28" s="17">
        <f t="shared" si="1"/>
        <v>478325</v>
      </c>
      <c r="D28" s="18">
        <f t="shared" si="1"/>
        <v>3016500</v>
      </c>
      <c r="F28" s="20">
        <f>SUM(F3:F27)</f>
        <v>454625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25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63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38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12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48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56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50</v>
      </c>
      <c r="C19" s="133">
        <v>83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 t="s">
        <v>159</v>
      </c>
      <c r="C20" s="164">
        <v>86</v>
      </c>
      <c r="D20" s="167">
        <v>49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59</v>
      </c>
      <c r="C21" s="165">
        <v>35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54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63</v>
      </c>
      <c r="D2" s="269"/>
      <c r="E2" s="268">
        <f>DigitaTICA!E2</f>
        <v>12</v>
      </c>
      <c r="F2" s="269"/>
      <c r="G2" s="268" t="str">
        <f>DigitaTICA!G2</f>
        <v>02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59050</v>
      </c>
      <c r="D4" s="30">
        <f>IF(Vendedor1!$E$7="",0,Vendedor1!$E$7)</f>
        <v>200</v>
      </c>
      <c r="E4" s="181">
        <f>IF(Vendedor1!$C$11="",0,Vendedor1!$C$11)</f>
        <v>67700</v>
      </c>
      <c r="F4" s="30">
        <f>IF(Vendedor1!$E$11="",0,Vendedor1!$E$11)</f>
        <v>750</v>
      </c>
      <c r="G4" s="181">
        <f>IF(Vendedor1!$C$15="",0,Vendedor1!$C$15)</f>
        <v>124700</v>
      </c>
      <c r="H4" s="30">
        <f>IF(Vendedor1!$E$15="",0,Vendedor1!$E$15)</f>
        <v>350</v>
      </c>
      <c r="J4" s="42">
        <f t="shared" ref="J4:J7" si="0">+C4+E4+G4</f>
        <v>251450</v>
      </c>
      <c r="K4" s="41">
        <f>MROUND(J4*Vendedor1!J$9,50)</f>
        <v>32700</v>
      </c>
      <c r="L4" s="42">
        <f t="shared" ref="L4:L7" si="1">+D4+F4+H4</f>
        <v>1300</v>
      </c>
      <c r="M4" s="42">
        <f t="shared" ref="M4:M7" si="2">+L4*85</f>
        <v>110500</v>
      </c>
      <c r="N4" s="42">
        <f>Vendedor1!$F$7+Vendedor1!$F$11+Vendedor1!$F$15</f>
        <v>110500</v>
      </c>
      <c r="P4" s="42">
        <f t="shared" ref="P4:P7" si="3">+J4-K4-N4</f>
        <v>108250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49100</v>
      </c>
      <c r="D5" s="30">
        <f>IF(Vendedor2!$E$7="",0,Vendedor2!$E$7)</f>
        <v>400</v>
      </c>
      <c r="E5" s="181">
        <f>IF(Vendedor2!$C$11="",0,Vendedor2!$C$11)</f>
        <v>38400</v>
      </c>
      <c r="F5" s="30">
        <f>IF(Vendedor2!$E$11="",0,Vendedor2!$E$11)</f>
        <v>450</v>
      </c>
      <c r="G5" s="181">
        <f>IF(Vendedor2!$C$15="",0,Vendedor2!$C$15)</f>
        <v>76200</v>
      </c>
      <c r="H5" s="30">
        <f>IF(Vendedor2!$E$15="",0,Vendedor2!$E$15)</f>
        <v>0</v>
      </c>
      <c r="J5" s="42">
        <f t="shared" si="0"/>
        <v>163700</v>
      </c>
      <c r="K5" s="41">
        <f>MROUND(J5*Vendedor2!J$9,50)</f>
        <v>21300</v>
      </c>
      <c r="L5" s="42">
        <f t="shared" si="1"/>
        <v>850</v>
      </c>
      <c r="M5" s="42">
        <f t="shared" si="2"/>
        <v>72250</v>
      </c>
      <c r="N5" s="42">
        <f>Vendedor2!$F$7+Vendedor2!$F$11+Vendedor2!$F$15</f>
        <v>72250</v>
      </c>
      <c r="P5" s="42">
        <f t="shared" si="3"/>
        <v>70150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4000</v>
      </c>
      <c r="D8" s="30">
        <f>IF(Vendedor5!$E$7="",0,Vendedor5!$E$7)</f>
        <v>0</v>
      </c>
      <c r="E8" s="181">
        <f>IF(Vendedor5!$C$11="",0,Vendedor5!$C$11)</f>
        <v>3900</v>
      </c>
      <c r="F8" s="30">
        <f>IF(Vendedor5!$E$11="",0,Vendedor5!$E$11)</f>
        <v>0</v>
      </c>
      <c r="G8" s="181">
        <f>IF(Vendedor5!$C$15="",0,Vendedor5!$C$15)</f>
        <v>3900</v>
      </c>
      <c r="H8" s="30">
        <f>IF(Vendedor5!$E$15="",0,Vendedor5!$E$15)</f>
        <v>0</v>
      </c>
      <c r="J8" s="42">
        <f t="shared" ref="J8" si="4">+C8+E8+G8</f>
        <v>11800</v>
      </c>
      <c r="K8" s="41">
        <f>MROUND(J8*Vendedor5!J$11,50)</f>
        <v>1400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10400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137500</v>
      </c>
      <c r="D10" s="30">
        <f>IF(Vendedor7!$E$7="",0,Vendedor7!$E$7)</f>
        <v>500</v>
      </c>
      <c r="E10" s="181">
        <f>IF(Vendedor7!$C$11="",0,Vendedor7!$C$11)</f>
        <v>130300</v>
      </c>
      <c r="F10" s="30">
        <f>IF(Vendedor7!$E$11="",0,Vendedor7!$E$11)</f>
        <v>2850</v>
      </c>
      <c r="G10" s="181">
        <f>IF(Vendedor7!$C$15="",0,Vendedor7!$C$15)</f>
        <v>174950</v>
      </c>
      <c r="H10" s="30">
        <f>IF(Vendedor7!$E$15="",0,Vendedor7!$E$15)</f>
        <v>300</v>
      </c>
      <c r="J10" s="42">
        <f t="shared" si="8"/>
        <v>442750</v>
      </c>
      <c r="K10" s="41">
        <f>MROUND(J10*Vendedor7!J$14,50)</f>
        <v>53150</v>
      </c>
      <c r="L10" s="42">
        <f t="shared" si="9"/>
        <v>3650</v>
      </c>
      <c r="M10" s="42">
        <f t="shared" si="10"/>
        <v>310250</v>
      </c>
      <c r="N10" s="42">
        <f>Vendedor7!$F$7+Vendedor7!$F$11+Vendedor7!$F$15</f>
        <v>310250</v>
      </c>
      <c r="P10" s="42">
        <f t="shared" si="11"/>
        <v>79350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16500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12100</v>
      </c>
      <c r="H11" s="30">
        <f>IF(Vendedor8!$E$15="",0,Vendedor8!$E$15)</f>
        <v>0</v>
      </c>
      <c r="J11" s="42">
        <f t="shared" si="8"/>
        <v>28600</v>
      </c>
      <c r="K11" s="41">
        <f>MROUND(J11*Vendedor8!J$11,50)</f>
        <v>3450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25150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74400</v>
      </c>
      <c r="D12" s="30">
        <f>IF(Vendedor9!$E$7="",0,Vendedor9!$E$7)</f>
        <v>750</v>
      </c>
      <c r="E12" s="181">
        <f>IF(Vendedor9!$C$11="",0,Vendedor9!$C$11)</f>
        <v>36000</v>
      </c>
      <c r="F12" s="30">
        <f>IF(Vendedor9!$E$11="",0,Vendedor9!$E$11)</f>
        <v>100</v>
      </c>
      <c r="G12" s="181">
        <f>IF(Vendedor9!$C$15="",0,Vendedor9!$C$15)</f>
        <v>18500</v>
      </c>
      <c r="H12" s="30">
        <f>IF(Vendedor9!$E$15="",0,Vendedor9!$E$15)</f>
        <v>250</v>
      </c>
      <c r="J12" s="42">
        <f t="shared" si="8"/>
        <v>128900</v>
      </c>
      <c r="K12" s="41">
        <f>MROUND(J12*Vendedor9!J$11,50)</f>
        <v>15450</v>
      </c>
      <c r="L12" s="42">
        <f t="shared" si="9"/>
        <v>1100</v>
      </c>
      <c r="M12" s="42">
        <f t="shared" si="10"/>
        <v>93500</v>
      </c>
      <c r="N12" s="42">
        <f>Vendedor9!$F$7+Vendedor9!$F$11+Vendedor9!$F$15</f>
        <v>93500</v>
      </c>
      <c r="P12" s="42">
        <f t="shared" si="11"/>
        <v>19950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49800</v>
      </c>
      <c r="D13" s="30">
        <f>IF(Vendedor10!$E$7="",0,Vendedor10!$E$7)</f>
        <v>0</v>
      </c>
      <c r="E13" s="181">
        <f>IF(Vendedor10!$C$11="",0,Vendedor10!$C$11)</f>
        <v>27150</v>
      </c>
      <c r="F13" s="30">
        <f>IF(Vendedor10!$E$11="",0,Vendedor10!$E$11)</f>
        <v>900</v>
      </c>
      <c r="G13" s="181">
        <f>IF(Vendedor10!$C$15="",0,Vendedor10!$C$15)</f>
        <v>59400</v>
      </c>
      <c r="H13" s="30">
        <f>IF(Vendedor10!$E$15="",0,Vendedor10!$E$15)</f>
        <v>1000</v>
      </c>
      <c r="J13" s="42">
        <f t="shared" si="8"/>
        <v>136350</v>
      </c>
      <c r="K13" s="41">
        <f>MROUND(J13*Vendedor10!J$9,50)</f>
        <v>16350</v>
      </c>
      <c r="L13" s="42">
        <f t="shared" si="9"/>
        <v>1900</v>
      </c>
      <c r="M13" s="42">
        <f t="shared" si="10"/>
        <v>161500</v>
      </c>
      <c r="N13" s="42">
        <f>Vendedor10!$F$7+Vendedor10!$F$11+Vendedor10!$F$15</f>
        <v>161500</v>
      </c>
      <c r="P13" s="42">
        <f t="shared" si="11"/>
        <v>-41500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37900</v>
      </c>
      <c r="D14" s="30">
        <f>IF(Vendedor11!$E$7="",0,Vendedor11!$E$7)</f>
        <v>0</v>
      </c>
      <c r="E14" s="181">
        <f>IF(Vendedor11!$C$11="",0,Vendedor11!$C$11)</f>
        <v>25550</v>
      </c>
      <c r="F14" s="30">
        <f>IF(Vendedor11!$E$11="",0,Vendedor11!$E$11)</f>
        <v>0</v>
      </c>
      <c r="G14" s="181">
        <f>IF(Vendedor11!$C$15="",0,Vendedor11!$C$15)</f>
        <v>42300</v>
      </c>
      <c r="H14" s="30">
        <f>IF(Vendedor11!$E$15="",0,Vendedor11!$E$15)</f>
        <v>500</v>
      </c>
      <c r="J14" s="42">
        <f t="shared" si="8"/>
        <v>105750</v>
      </c>
      <c r="K14" s="41">
        <f>MROUND(J14*Vendedor11!J$9,50)</f>
        <v>15850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49900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26400</v>
      </c>
      <c r="D16" s="30">
        <f>IF(Vendedor13!$E$7="",0,Vendedor13!$E$7)</f>
        <v>0</v>
      </c>
      <c r="E16" s="181">
        <f>IF(Vendedor13!$C$11="",0,Vendedor13!$C$11)</f>
        <v>17000</v>
      </c>
      <c r="F16" s="30">
        <f>IF(Vendedor13!$E$11="",0,Vendedor13!$E$11)</f>
        <v>500</v>
      </c>
      <c r="G16" s="181">
        <f>IF(Vendedor13!$C$15="",0,Vendedor13!$C$15)</f>
        <v>22400</v>
      </c>
      <c r="H16" s="30">
        <f>IF(Vendedor13!$E$15="",0,Vendedor13!$E$15)</f>
        <v>0</v>
      </c>
      <c r="J16" s="42">
        <f t="shared" si="8"/>
        <v>65800</v>
      </c>
      <c r="K16" s="41">
        <f>MROUND(J16*Vendedor13!J$11,50)</f>
        <v>7900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15400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156300</v>
      </c>
      <c r="D17" s="30">
        <f>IF(Vendedor14!$E$7="",0,Vendedor14!$E$7)</f>
        <v>100</v>
      </c>
      <c r="E17" s="181">
        <f>IF(Vendedor14!$C$11="",0,Vendedor14!$C$11)</f>
        <v>105650</v>
      </c>
      <c r="F17" s="30">
        <f>IF(Vendedor14!$E$11="",0,Vendedor14!$E$11)</f>
        <v>1000</v>
      </c>
      <c r="G17" s="181">
        <f>IF(Vendedor14!$C$15="",0,Vendedor14!$C$15)</f>
        <v>158050</v>
      </c>
      <c r="H17" s="30">
        <f>IF(Vendedor14!$E$15="",0,Vendedor14!$E$15)</f>
        <v>1350</v>
      </c>
      <c r="J17" s="42">
        <f t="shared" si="8"/>
        <v>420000</v>
      </c>
      <c r="K17" s="41">
        <f>MROUND(J17*Vendedor14!J$15,50)</f>
        <v>50400</v>
      </c>
      <c r="L17" s="42">
        <f t="shared" si="9"/>
        <v>2450</v>
      </c>
      <c r="M17" s="42">
        <f t="shared" si="10"/>
        <v>208250</v>
      </c>
      <c r="N17" s="42">
        <f>Vendedor14!$F$7+Vendedor14!$F$11+Vendedor14!$F$15</f>
        <v>208250</v>
      </c>
      <c r="P17" s="42">
        <f t="shared" si="11"/>
        <v>161350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46100</v>
      </c>
      <c r="D18" s="30">
        <f>IF(Vendedor15!$E$7="",0,Vendedor15!$E$7)</f>
        <v>250</v>
      </c>
      <c r="E18" s="181">
        <f>IF(Vendedor15!$C$11="",0,Vendedor15!$C$11)</f>
        <v>41850</v>
      </c>
      <c r="F18" s="30">
        <f>IF(Vendedor15!$E$11="",0,Vendedor15!$E$11)</f>
        <v>750</v>
      </c>
      <c r="G18" s="181">
        <f>IF(Vendedor15!$C$15="",0,Vendedor15!$C$15)</f>
        <v>43400</v>
      </c>
      <c r="H18" s="30">
        <f>IF(Vendedor15!$E$15="",0,Vendedor15!$E$15)</f>
        <v>300</v>
      </c>
      <c r="J18" s="42">
        <f t="shared" ref="J18" si="12">+C18+E18+G18</f>
        <v>131350</v>
      </c>
      <c r="K18" s="41">
        <f>MROUND(J18*Vendedor15!J$15,50)</f>
        <v>15750</v>
      </c>
      <c r="L18" s="42">
        <f t="shared" ref="L18" si="13">+D18+F18+H18</f>
        <v>1300</v>
      </c>
      <c r="M18" s="42">
        <f t="shared" ref="M18" si="14">+L18*85</f>
        <v>110500</v>
      </c>
      <c r="N18" s="42">
        <f>Vendedor15!$F$7+Vendedor15!$F$11+Vendedor15!$F$15</f>
        <v>110500</v>
      </c>
      <c r="P18" s="42">
        <f t="shared" ref="P18" si="15">+J18-K18-N18</f>
        <v>5100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657050</v>
      </c>
      <c r="D32" s="44">
        <f t="shared" si="16"/>
        <v>2200</v>
      </c>
      <c r="E32" s="43">
        <f t="shared" si="16"/>
        <v>493500</v>
      </c>
      <c r="F32" s="44">
        <f t="shared" si="16"/>
        <v>7300</v>
      </c>
      <c r="G32" s="43">
        <f t="shared" si="16"/>
        <v>735900</v>
      </c>
      <c r="H32" s="44">
        <f t="shared" si="16"/>
        <v>4050</v>
      </c>
      <c r="J32" s="96">
        <f>SUM(J4:J31)</f>
        <v>1886450</v>
      </c>
      <c r="K32" s="45">
        <f>SUM(K7:K31)</f>
        <v>179700</v>
      </c>
      <c r="L32" s="96">
        <f>SUM(L4:L31)</f>
        <v>13550</v>
      </c>
      <c r="M32" s="96">
        <f>SUM(M4:M31)</f>
        <v>1151750</v>
      </c>
      <c r="N32" s="96">
        <f>SUM(N4:N31)</f>
        <v>1149250</v>
      </c>
      <c r="P32" s="80">
        <f>SUM(P4:P31)</f>
        <v>503500</v>
      </c>
    </row>
    <row r="33" spans="3:13" x14ac:dyDescent="0.35">
      <c r="D33" s="100">
        <f>+D32*85</f>
        <v>187000</v>
      </c>
      <c r="F33" s="100">
        <f>+F32*85</f>
        <v>620500</v>
      </c>
      <c r="H33" s="100">
        <f>+H32*85</f>
        <v>344250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1886450</v>
      </c>
      <c r="E36" s="43">
        <f>+D36-J4-J5-J6</f>
        <v>1471300</v>
      </c>
      <c r="G36" s="102"/>
    </row>
    <row r="37" spans="3:13" x14ac:dyDescent="0.35">
      <c r="C37" s="47" t="s">
        <v>33</v>
      </c>
      <c r="D37" s="48">
        <f>D36*13%</f>
        <v>245238.5</v>
      </c>
      <c r="E37">
        <f>+D37-K4-K5-K6</f>
        <v>191238.5</v>
      </c>
      <c r="G37" s="101"/>
      <c r="H37" s="101"/>
    </row>
    <row r="38" spans="3:13" ht="15" thickBot="1" x14ac:dyDescent="0.4">
      <c r="C38" s="47" t="s">
        <v>30</v>
      </c>
      <c r="D38" s="30">
        <f>M32</f>
        <v>1151750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489461.5</v>
      </c>
      <c r="F39" s="99">
        <f>+P32-D39</f>
        <v>14038.5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489461.5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25</v>
      </c>
      <c r="D2" s="269"/>
      <c r="E2" s="268">
        <f>DigitaNICA!E2</f>
        <v>38</v>
      </c>
      <c r="F2" s="269"/>
      <c r="G2" s="268">
        <f>DigitaNICA!G2</f>
        <v>48</v>
      </c>
      <c r="H2" s="269"/>
      <c r="I2" s="268">
        <f>DigitaNICA!I2</f>
        <v>56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32150</v>
      </c>
      <c r="D4" s="79">
        <f>IF(Vendedor1!$E$5="",0,Vendedor1!$E$5)</f>
        <v>200</v>
      </c>
      <c r="E4" s="190">
        <f>IF(Vendedor1!$C$9="",0,Vendedor1!$C$9)</f>
        <v>21150</v>
      </c>
      <c r="F4" s="79">
        <f>IF(Vendedor1!$E$9="",0,Vendedor1!$E$9)</f>
        <v>0</v>
      </c>
      <c r="G4" s="190">
        <f>IF(Vendedor1!$C$13="",0,Vendedor1!$C$13)</f>
        <v>8950</v>
      </c>
      <c r="H4" s="79">
        <f>IF(Vendedor1!$E$13="",0,Vendedor1!$E$13)</f>
        <v>500</v>
      </c>
      <c r="I4" s="190">
        <f>IF(Vendedor1!$C$17="",0,Vendedor1!$C$17)</f>
        <v>6400</v>
      </c>
      <c r="J4" s="79">
        <f>IF(Vendedor1!$E$17="",0,Vendedor1!$E$17)</f>
        <v>0</v>
      </c>
      <c r="L4" s="42">
        <f t="shared" ref="L4:L7" si="0">C4+E4+G4+I4</f>
        <v>68650</v>
      </c>
      <c r="M4" s="41">
        <f>MROUND(L4*Vendedor1!J$10,50)</f>
        <v>8900</v>
      </c>
      <c r="N4" s="42">
        <f t="shared" ref="N4:N7" si="1">D4+F4+H4+J4</f>
        <v>700</v>
      </c>
      <c r="O4" s="41">
        <f>IFERROR(N4*85,0)</f>
        <v>59500</v>
      </c>
      <c r="P4" s="42">
        <f>Vendedor1!$F$5+Vendedor1!$F$9+Vendedor1!$F$13+Vendedor1!$F$17</f>
        <v>56000</v>
      </c>
      <c r="R4" s="41">
        <f t="shared" ref="R4:R7" si="2">+L4-M4-O4</f>
        <v>250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14400</v>
      </c>
      <c r="D5" s="30">
        <f>IF(Vendedor2!$E$5="",0,Vendedor2!$E$5)</f>
        <v>0</v>
      </c>
      <c r="E5" s="181">
        <f>IF(Vendedor2!$C$9="",0,Vendedor2!$C$9)</f>
        <v>12750</v>
      </c>
      <c r="F5" s="30">
        <f>IF(Vendedor2!$E$9="",0,Vendedor2!$E$9)</f>
        <v>0</v>
      </c>
      <c r="G5" s="181">
        <f>IF(Vendedor2!$C$13="",0,Vendedor2!$C$13)</f>
        <v>500</v>
      </c>
      <c r="H5" s="30">
        <f>IF(Vendedor2!$E$13="",0,Vendedor2!$E$13)</f>
        <v>0</v>
      </c>
      <c r="I5" s="181">
        <f>IF(Vendedor2!$C$17="",0,Vendedor2!$C$17)</f>
        <v>800</v>
      </c>
      <c r="J5" s="30">
        <f>IF(Vendedor2!$E$17="",0,Vendedor2!$E$17)</f>
        <v>0</v>
      </c>
      <c r="L5" s="42">
        <f t="shared" si="0"/>
        <v>28450</v>
      </c>
      <c r="M5" s="41">
        <f>MROUND(L5*Vendedor2!J$10,50)</f>
        <v>3700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24750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3500</v>
      </c>
      <c r="D8" s="30">
        <f>IF(Vendedor5!$E$5="",0,Vendedor5!$E$5)</f>
        <v>0</v>
      </c>
      <c r="E8" s="181">
        <f>IF(Vendedor5!$C$9="",0,Vendedor5!$C$9)</f>
        <v>3900</v>
      </c>
      <c r="F8" s="30">
        <f>IF(Vendedor5!$E$9="",0,Vendedor5!$E$9)</f>
        <v>0</v>
      </c>
      <c r="G8" s="181">
        <f>IF(Vendedor5!$C$13="",0,Vendedor5!$C$13)</f>
        <v>2800</v>
      </c>
      <c r="H8" s="30">
        <f>IF(Vendedor5!$E$13="",0,Vendedor5!$E$13)</f>
        <v>0</v>
      </c>
      <c r="I8" s="181">
        <f>IF(Vendedor5!$C$17="",0,Vendedor5!$C$17)</f>
        <v>4000</v>
      </c>
      <c r="J8" s="30">
        <f>IF(Vendedor5!$E$17="",0,Vendedor5!$E$17)</f>
        <v>0</v>
      </c>
      <c r="L8" s="42">
        <f t="shared" ref="L8" si="4">C8+E8+G8+I8</f>
        <v>14200</v>
      </c>
      <c r="M8" s="41">
        <f>MROUND(L8*Vendedor5!J$12,50)</f>
        <v>1700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12500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84600</v>
      </c>
      <c r="D10" s="30">
        <f>IF(Vendedor7!$E$5="",0,Vendedor7!$E$5)</f>
        <v>800</v>
      </c>
      <c r="E10" s="181">
        <f>IF(Vendedor7!$C$9="",0,Vendedor7!$C$9)</f>
        <v>71950</v>
      </c>
      <c r="F10" s="30">
        <f>IF(Vendedor7!$E$9="",0,Vendedor7!$E$9)</f>
        <v>250</v>
      </c>
      <c r="G10" s="181">
        <f>IF(Vendedor7!$C$13="",0,Vendedor7!$C$13)</f>
        <v>85850</v>
      </c>
      <c r="H10" s="30">
        <f>IF(Vendedor7!$E$13="",0,Vendedor7!$E$13)</f>
        <v>1000</v>
      </c>
      <c r="I10" s="181">
        <f>IF(Vendedor7!$C$17="",0,Vendedor7!$C$17)</f>
        <v>123950</v>
      </c>
      <c r="J10" s="30">
        <f>IF(Vendedor7!$E$17="",0,Vendedor7!$E$17)</f>
        <v>200</v>
      </c>
      <c r="L10" s="42">
        <f t="shared" si="7"/>
        <v>366350</v>
      </c>
      <c r="M10" s="41">
        <f>MROUND(L10*Vendedor7!J$15,50)</f>
        <v>43950</v>
      </c>
      <c r="N10" s="42">
        <f t="shared" ref="N10:N27" si="9">D10+F10+H10+J10</f>
        <v>2250</v>
      </c>
      <c r="O10" s="41">
        <f t="shared" si="3"/>
        <v>191250</v>
      </c>
      <c r="P10" s="42">
        <f>Vendedor7!$F$5+Vendedor7!$F$9+Vendedor7!$F$13+Vendedor7!$F$17</f>
        <v>191250</v>
      </c>
      <c r="R10" s="41">
        <f t="shared" si="8"/>
        <v>131150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57700</v>
      </c>
      <c r="D12" s="30">
        <f>IF(Vendedor9!$E$5="",0,Vendedor9!$E$5)</f>
        <v>450</v>
      </c>
      <c r="E12" s="181">
        <f>IF(Vendedor9!$C$9="",0,Vendedor9!$C$9)</f>
        <v>42400</v>
      </c>
      <c r="F12" s="30">
        <f>IF(Vendedor9!$E$9="",0,Vendedor9!$E$9)</f>
        <v>300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6250</v>
      </c>
      <c r="J12" s="30">
        <f>IF(Vendedor9!$E$17="",0,Vendedor9!$E$17)</f>
        <v>0</v>
      </c>
      <c r="L12" s="42">
        <f t="shared" si="7"/>
        <v>106350</v>
      </c>
      <c r="M12" s="41">
        <f>MROUND(L12*Vendedor9!J$12,50)</f>
        <v>12750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29850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42750</v>
      </c>
      <c r="D13" s="30">
        <f>IF(Vendedor10!$E$5="",0,Vendedor10!$E$5)</f>
        <v>100</v>
      </c>
      <c r="E13" s="181">
        <f>IF(Vendedor10!$C$9="",0,Vendedor10!$C$9)</f>
        <v>33600</v>
      </c>
      <c r="F13" s="30">
        <f>IF(Vendedor10!$E$9="",0,Vendedor10!$E$9)</f>
        <v>0</v>
      </c>
      <c r="G13" s="181">
        <f>IF(Vendedor10!$C$13="",0,Vendedor10!$C$13)</f>
        <v>18200</v>
      </c>
      <c r="H13" s="30">
        <f>IF(Vendedor10!$E$13="",0,Vendedor10!$E$13)</f>
        <v>300</v>
      </c>
      <c r="I13" s="181">
        <f>IF(Vendedor10!$C$17="",0,Vendedor10!$C$17)</f>
        <v>3600</v>
      </c>
      <c r="J13" s="30">
        <f>IF(Vendedor10!$E$17="",0,Vendedor10!$E$17)</f>
        <v>0</v>
      </c>
      <c r="L13" s="42">
        <f t="shared" si="7"/>
        <v>98150</v>
      </c>
      <c r="M13" s="41">
        <f>MROUND(L13*Vendedor10!J$10,50)</f>
        <v>11800</v>
      </c>
      <c r="N13" s="42">
        <f t="shared" si="9"/>
        <v>400</v>
      </c>
      <c r="O13" s="41">
        <f t="shared" si="3"/>
        <v>34000</v>
      </c>
      <c r="P13" s="42">
        <f>Vendedor10!$F$5+Vendedor10!$F$9+Vendedor10!$F$13+Vendedor10!$F$17</f>
        <v>32000</v>
      </c>
      <c r="R13" s="41">
        <f t="shared" si="8"/>
        <v>52350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1700</v>
      </c>
      <c r="D16" s="30">
        <f>IF(Vendedor13!$E$5="",0,Vendedor13!$E$5)</f>
        <v>0</v>
      </c>
      <c r="E16" s="181">
        <f>IF(Vendedor13!$C$9="",0,Vendedor13!$C$9)</f>
        <v>0</v>
      </c>
      <c r="F16" s="30">
        <f>IF(Vendedor13!$E$9="",0,Vendedor13!$E$9)</f>
        <v>0</v>
      </c>
      <c r="G16" s="181">
        <f>IF(Vendedor13!$C$13="",0,Vendedor13!$C$13)</f>
        <v>6000</v>
      </c>
      <c r="H16" s="30">
        <f>IF(Vendedor13!$E$13="",0,Vendedor13!$E$13)</f>
        <v>500</v>
      </c>
      <c r="I16" s="181">
        <f>IF(Vendedor13!$C$17="",0,Vendedor13!$C$17)</f>
        <v>30650</v>
      </c>
      <c r="J16" s="30">
        <f>IF(Vendedor13!$E$17="",0,Vendedor13!$E$17)</f>
        <v>200</v>
      </c>
      <c r="L16" s="42">
        <f t="shared" si="7"/>
        <v>38350</v>
      </c>
      <c r="M16" s="41">
        <f>MROUND(L16*Vendedor13!J$12,50)</f>
        <v>4600</v>
      </c>
      <c r="N16" s="42">
        <f t="shared" si="9"/>
        <v>700</v>
      </c>
      <c r="O16" s="41">
        <f t="shared" si="3"/>
        <v>59500</v>
      </c>
      <c r="P16" s="42">
        <f>Vendedor13!$F$5+Vendedor13!$F$9+Vendedor13!$F$13+Vendedor13!$F$17</f>
        <v>56000</v>
      </c>
      <c r="R16" s="41">
        <f t="shared" si="8"/>
        <v>-25750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115450</v>
      </c>
      <c r="D17" s="30">
        <f>IF(Vendedor14!$E$5="",0,Vendedor14!$E$5)</f>
        <v>5300</v>
      </c>
      <c r="E17" s="181">
        <f>IF(Vendedor14!$C$9="",0,Vendedor14!$C$9)</f>
        <v>119250</v>
      </c>
      <c r="F17" s="30">
        <f>IF(Vendedor14!$E$9="",0,Vendedor14!$E$9)</f>
        <v>50</v>
      </c>
      <c r="G17" s="181">
        <f>IF(Vendedor14!$C$13="",0,Vendedor14!$C$13)</f>
        <v>67200</v>
      </c>
      <c r="H17" s="30">
        <f>IF(Vendedor14!$E$13="",0,Vendedor14!$E$13)</f>
        <v>600</v>
      </c>
      <c r="I17" s="181">
        <f>IF(Vendedor14!$C$17="",0,Vendedor14!$C$17)</f>
        <v>184500</v>
      </c>
      <c r="J17" s="30">
        <f>IF(Vendedor14!$E$17="",0,Vendedor14!$E$17)</f>
        <v>950</v>
      </c>
      <c r="L17" s="42">
        <f>C17+E17+G17+I17</f>
        <v>486400</v>
      </c>
      <c r="M17" s="41">
        <f>MROUND(L17*Vendedor14!J$16,50)</f>
        <v>58350</v>
      </c>
      <c r="N17" s="42">
        <f t="shared" si="9"/>
        <v>6900</v>
      </c>
      <c r="O17" s="41">
        <f t="shared" si="3"/>
        <v>586500</v>
      </c>
      <c r="P17" s="42">
        <f>Vendedor14!$F$5+Vendedor14!$F$9+Vendedor14!$F$13+Vendedor14!$F$17</f>
        <v>586500</v>
      </c>
      <c r="R17" s="41">
        <f t="shared" si="8"/>
        <v>-158450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41400</v>
      </c>
      <c r="D18" s="30">
        <f>IF(Vendedor15!$E$5="",0,Vendedor15!$E$5)</f>
        <v>400</v>
      </c>
      <c r="E18" s="181">
        <f>IF(Vendedor15!$C$9="",0,Vendedor15!$C$9)</f>
        <v>32200</v>
      </c>
      <c r="F18" s="30">
        <f>IF(Vendedor15!$E$9="",0,Vendedor15!$E$9)</f>
        <v>0</v>
      </c>
      <c r="G18" s="181">
        <f>IF(Vendedor15!$C$13="",0,Vendedor15!$C$13)</f>
        <v>42300</v>
      </c>
      <c r="H18" s="30">
        <f>IF(Vendedor15!$E$13="",0,Vendedor15!$E$13)</f>
        <v>200</v>
      </c>
      <c r="I18" s="181">
        <f>IF(Vendedor15!$C$17="",0,Vendedor15!$C$17)</f>
        <v>10000</v>
      </c>
      <c r="J18" s="30">
        <f>IF(Vendedor15!$E$17="",0,Vendedor15!$E$17)</f>
        <v>0</v>
      </c>
      <c r="L18" s="42">
        <f t="shared" ref="L18:L27" si="10">C18+E18+G18+I18</f>
        <v>125900</v>
      </c>
      <c r="M18" s="41">
        <f>MROUND(L18*Vendedor15!J$16,50)</f>
        <v>15100</v>
      </c>
      <c r="N18" s="42">
        <f t="shared" si="9"/>
        <v>600</v>
      </c>
      <c r="O18" s="41">
        <f t="shared" si="3"/>
        <v>51000</v>
      </c>
      <c r="P18" s="42">
        <f>Vendedor15!$F$5+Vendedor15!$F$9+Vendedor15!$F$13+Vendedor15!$F$17</f>
        <v>51000</v>
      </c>
      <c r="R18" s="41">
        <f t="shared" si="8"/>
        <v>59800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393650</v>
      </c>
      <c r="D32" s="44">
        <f t="shared" si="14"/>
        <v>7250</v>
      </c>
      <c r="E32" s="43">
        <f t="shared" si="14"/>
        <v>337200</v>
      </c>
      <c r="F32" s="44">
        <f t="shared" si="14"/>
        <v>600</v>
      </c>
      <c r="G32" s="43">
        <f t="shared" si="14"/>
        <v>231800</v>
      </c>
      <c r="H32" s="44">
        <f t="shared" si="14"/>
        <v>3100</v>
      </c>
      <c r="I32" s="43">
        <f t="shared" si="14"/>
        <v>370150</v>
      </c>
      <c r="J32" s="44">
        <f t="shared" si="14"/>
        <v>1350</v>
      </c>
      <c r="L32" s="45">
        <f>SUM(L4:L31)</f>
        <v>1332800</v>
      </c>
      <c r="M32" s="45">
        <f>SUM(M7:M31)</f>
        <v>148250</v>
      </c>
      <c r="N32" s="96">
        <f>SUM(N4:N31)</f>
        <v>12300</v>
      </c>
      <c r="O32" s="46">
        <f>SUM(O4:O31)</f>
        <v>1045500</v>
      </c>
      <c r="P32" s="141">
        <f>SUM(P4:P31)</f>
        <v>1036500</v>
      </c>
      <c r="R32" s="80">
        <f>SUM(R4:R31)</f>
        <v>126450</v>
      </c>
    </row>
    <row r="33" spans="3:15" x14ac:dyDescent="0.35">
      <c r="D33" s="121">
        <f>+D32*85</f>
        <v>616250</v>
      </c>
      <c r="F33" s="121">
        <f>+F32*85</f>
        <v>51000</v>
      </c>
      <c r="H33" s="121">
        <f>+H32*85</f>
        <v>263500</v>
      </c>
      <c r="J33" s="121">
        <f>+J32*85</f>
        <v>114750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1332800</v>
      </c>
      <c r="E36" s="43">
        <f>+D36-L4-L5-L6</f>
        <v>1235700</v>
      </c>
    </row>
    <row r="37" spans="3:15" x14ac:dyDescent="0.35">
      <c r="C37" s="47" t="s">
        <v>33</v>
      </c>
      <c r="D37" s="48">
        <f>D36*13%</f>
        <v>173264</v>
      </c>
      <c r="E37">
        <f>+D37-M4-M5-M6</f>
        <v>160664</v>
      </c>
    </row>
    <row r="38" spans="3:15" x14ac:dyDescent="0.35">
      <c r="C38" s="47" t="s">
        <v>30</v>
      </c>
      <c r="D38" s="30">
        <f>SUM(O4:O27)</f>
        <v>1045500</v>
      </c>
      <c r="G38" s="101"/>
    </row>
    <row r="39" spans="3:15" ht="15" thickBot="1" x14ac:dyDescent="0.4">
      <c r="C39" s="49" t="s">
        <v>4</v>
      </c>
      <c r="D39" s="81">
        <f>+D36-D37-D38</f>
        <v>114036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114036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63 Blanca</v>
      </c>
      <c r="D2" s="269"/>
      <c r="E2" s="268" t="str">
        <f>IF(E33=0,"",CONCATENATE(PREMIOS!$B11," ",PREMIOS!$B12))</f>
        <v>12 Blanca</v>
      </c>
      <c r="F2" s="269"/>
      <c r="G2" s="268" t="str">
        <f>IF(G33=0,"",CONCATENATE(PREMIOS!$B15," ",PREMIOS!$B16))</f>
        <v>02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24200</v>
      </c>
      <c r="D10" s="30">
        <f>IF(Vendedor7!$E$8="",0,Vendedor7!$E$8)</f>
        <v>0</v>
      </c>
      <c r="E10" s="181">
        <f>IF(Vendedor7!$C$12="",0,Vendedor7!$C$12)</f>
        <v>22050</v>
      </c>
      <c r="F10" s="30">
        <f>IF(Vendedor7!$E$12="",0,Vendedor7!$E$12)</f>
        <v>0</v>
      </c>
      <c r="G10" s="181">
        <f>IF(Vendedor7!$C$16="",0,Vendedor7!$C$16)</f>
        <v>19850</v>
      </c>
      <c r="H10" s="30">
        <f>IF(Vendedor7!$E$16="",0,Vendedor7!$E$16)</f>
        <v>0</v>
      </c>
      <c r="J10" s="42">
        <f t="shared" si="1"/>
        <v>66100</v>
      </c>
      <c r="K10" s="41">
        <f>J10*Vendedor7!J$16</f>
        <v>6610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59490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6700</v>
      </c>
      <c r="D12" s="30">
        <f>IF(Vendedor9!$E$8="",0,Vendedor9!$E$8)</f>
        <v>0</v>
      </c>
      <c r="E12" s="181">
        <f>IF(Vendedor9!$C$12="",0,Vendedor9!$C$12)</f>
        <v>5700</v>
      </c>
      <c r="F12" s="30">
        <f>IF(Vendedor9!$E$12="",0,Vendedor9!$E$12)</f>
        <v>0</v>
      </c>
      <c r="G12" s="181">
        <f>IF(Vendedor9!$C$16="",0,Vendedor9!$C$16)</f>
        <v>2500</v>
      </c>
      <c r="H12" s="30">
        <f>IF(Vendedor9!$E$16="",0,Vendedor9!$E$16)</f>
        <v>0</v>
      </c>
      <c r="J12" s="42">
        <f t="shared" si="1"/>
        <v>14900</v>
      </c>
      <c r="K12" s="41">
        <f>J12*Vendedor9!J$13</f>
        <v>1490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13410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2000</v>
      </c>
      <c r="D16" s="30">
        <f>IF(Vendedor13!$E$8="",0,Vendedor13!$E$8)</f>
        <v>0</v>
      </c>
      <c r="E16" s="181">
        <f>IF(Vendedor13!$C$12="",0,Vendedor13!$C$12)</f>
        <v>600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3600</v>
      </c>
      <c r="K16" s="41">
        <f>J16*Vendedor13!J$13</f>
        <v>360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3240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23850</v>
      </c>
      <c r="D17" s="30">
        <f>IF(Vendedor14!$E$8="",0,Vendedor14!$E$8)</f>
        <v>0</v>
      </c>
      <c r="E17" s="181">
        <f>IF(Vendedor14!$C$12="",0,Vendedor14!$C$12)</f>
        <v>20650</v>
      </c>
      <c r="F17" s="30">
        <f>IF(Vendedor14!$E$12="",0,Vendedor14!$E$12)</f>
        <v>100</v>
      </c>
      <c r="G17" s="181">
        <f>IF(Vendedor14!$C$16="",0,Vendedor14!$C$16)</f>
        <v>24350</v>
      </c>
      <c r="H17" s="30">
        <f>IF(Vendedor14!$E$16="",0,Vendedor14!$E$16)</f>
        <v>550</v>
      </c>
      <c r="J17" s="42">
        <f t="shared" si="1"/>
        <v>68850</v>
      </c>
      <c r="K17" s="41">
        <f>J17*Vendedor14!J$17</f>
        <v>6885</v>
      </c>
      <c r="L17" s="42">
        <f t="shared" si="2"/>
        <v>0</v>
      </c>
      <c r="M17" s="42">
        <f t="shared" si="3"/>
        <v>650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61965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16700</v>
      </c>
      <c r="D18" s="30">
        <f>IF(Vendedor15!$E$8="",0,Vendedor15!$E$8)</f>
        <v>100</v>
      </c>
      <c r="E18" s="181">
        <f>IF(Vendedor15!$C$12="",0,Vendedor15!$C$12)</f>
        <v>12150</v>
      </c>
      <c r="F18" s="30">
        <f>IF(Vendedor15!$E$12="",0,Vendedor15!$E$12)</f>
        <v>400</v>
      </c>
      <c r="G18" s="181">
        <f>IF(Vendedor15!$C$16="",0,Vendedor15!$C$16)</f>
        <v>19450</v>
      </c>
      <c r="H18" s="30">
        <f>IF(Vendedor15!$E$16="",0,Vendedor15!$E$16)</f>
        <v>300</v>
      </c>
      <c r="J18" s="42">
        <f t="shared" ref="J18" si="5">+C18+E18+G18</f>
        <v>48300</v>
      </c>
      <c r="K18" s="41">
        <f>J18*Vendedor15!J$17</f>
        <v>4830</v>
      </c>
      <c r="L18" s="42">
        <f t="shared" si="2"/>
        <v>0</v>
      </c>
      <c r="M18" s="42">
        <f t="shared" si="3"/>
        <v>800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43470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73450</v>
      </c>
      <c r="D33" s="44">
        <f>IF(PREMIOS!E8&lt;&gt;0,SUM(D4:D32),0)</f>
        <v>0</v>
      </c>
      <c r="E33" s="43">
        <f>SUM(E4:E32)</f>
        <v>61150</v>
      </c>
      <c r="F33" s="44">
        <f>IF(PREMIOS!E12&lt;&gt;0,SUM(F4:F32),0)</f>
        <v>0</v>
      </c>
      <c r="G33" s="43">
        <f>SUM(G4:G32)</f>
        <v>67150</v>
      </c>
      <c r="H33" s="44">
        <f>IF(PREMIOS!E16&lt;&gt;0,SUM(H4:H32),0)</f>
        <v>0</v>
      </c>
      <c r="J33" s="45">
        <f>SUM(J4:J32)</f>
        <v>201750</v>
      </c>
      <c r="K33" s="45">
        <f>SUM(K7:K32)</f>
        <v>20175</v>
      </c>
      <c r="L33" s="96">
        <f>SUM(L7:L32)</f>
        <v>0</v>
      </c>
      <c r="M33" s="96">
        <f>SUM(M7:M32)</f>
        <v>1450</v>
      </c>
      <c r="N33" s="96">
        <f>SUM(N4:N27)</f>
        <v>0</v>
      </c>
      <c r="O33" s="96">
        <f>SUM(O4:O27)</f>
        <v>0</v>
      </c>
      <c r="Q33" s="80">
        <f>SUM(Q4:Q32)</f>
        <v>181575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201750</v>
      </c>
      <c r="E37" s="43">
        <f>+D37-J4-J5-J6</f>
        <v>201750</v>
      </c>
      <c r="F37" s="276"/>
      <c r="G37" s="276"/>
    </row>
    <row r="38" spans="3:17" ht="15" thickBot="1" x14ac:dyDescent="0.4">
      <c r="C38" s="47" t="s">
        <v>33</v>
      </c>
      <c r="D38" s="30">
        <f>D37*10%</f>
        <v>20175</v>
      </c>
      <c r="E38" s="43">
        <f>+D38-K4-K5-K6</f>
        <v>20175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181575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181575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50</v>
      </c>
      <c r="D2" s="269"/>
      <c r="E2" s="268">
        <f>DigitaPRIMERA!E2</f>
        <v>83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8100</v>
      </c>
      <c r="D4" s="79">
        <f>IF(Vendedor1!$E$19="",0,Vendedor1!$E$19)</f>
        <v>250</v>
      </c>
      <c r="E4" s="190">
        <f>IF(Vendedor1!$C$20="",0,Vendedor1!$C$20)</f>
        <v>4900</v>
      </c>
      <c r="F4" s="79">
        <f>IF(Vendedor1!$E$20="",0,Vendedor1!$E$20)</f>
        <v>0</v>
      </c>
      <c r="H4" s="42">
        <f>+C4+E4</f>
        <v>13000</v>
      </c>
      <c r="I4" s="41">
        <f>MROUND(H4*Vendedor1!J$9,50)</f>
        <v>1700</v>
      </c>
      <c r="J4" s="42">
        <f>+D4+F4</f>
        <v>250</v>
      </c>
      <c r="K4" s="42">
        <f>+J4*85</f>
        <v>21250</v>
      </c>
      <c r="L4" s="42">
        <f>Vendedor1!$F$19+Vendedor1!$F$20</f>
        <v>20000</v>
      </c>
      <c r="N4" s="42">
        <f t="shared" ref="N4:N31" si="0">+H4-I4-L4</f>
        <v>-8700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2000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2000</v>
      </c>
      <c r="I5" s="41">
        <f>MROUND(H5*Vendedor2!J$9,50)</f>
        <v>250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1750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2450</v>
      </c>
      <c r="D8" s="30">
        <f>IF(Vendedor5!$E$19="",0,Vendedor5!$E$19)</f>
        <v>200</v>
      </c>
      <c r="E8" s="181">
        <f>IF(Vendedor5!$C$20="",0,Vendedor5!$C$20)</f>
        <v>3500</v>
      </c>
      <c r="F8" s="30">
        <f>IF(Vendedor5!$E$20="",0,Vendedor5!$E$20)</f>
        <v>0</v>
      </c>
      <c r="H8" s="134">
        <f t="shared" si="1"/>
        <v>5950</v>
      </c>
      <c r="I8" s="149">
        <f>MROUND(H8*Vendedor5!J$11,50)</f>
        <v>700</v>
      </c>
      <c r="J8" s="134">
        <f t="shared" si="2"/>
        <v>200</v>
      </c>
      <c r="K8" s="134">
        <f t="shared" si="3"/>
        <v>17000</v>
      </c>
      <c r="L8" s="134">
        <f>Vendedor5!$F$19+Vendedor5!$F$20</f>
        <v>16000</v>
      </c>
      <c r="M8" s="156"/>
      <c r="N8" s="134">
        <f t="shared" si="0"/>
        <v>-10750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28900</v>
      </c>
      <c r="D10" s="30">
        <f>IF(Vendedor7!$E$19="",0,Vendedor7!$E$19)</f>
        <v>1100</v>
      </c>
      <c r="E10" s="181">
        <f>IF(Vendedor7!$C$20="",0,Vendedor7!$C$20)</f>
        <v>23450</v>
      </c>
      <c r="F10" s="30">
        <f>IF(Vendedor7!$E$20="",0,Vendedor7!$E$20)</f>
        <v>0</v>
      </c>
      <c r="H10" s="42">
        <f t="shared" si="1"/>
        <v>52350</v>
      </c>
      <c r="I10" s="41">
        <f>MROUND(H10*Vendedor7!J$14,50)</f>
        <v>6300</v>
      </c>
      <c r="J10" s="42">
        <f t="shared" si="2"/>
        <v>1100</v>
      </c>
      <c r="K10" s="42">
        <f t="shared" si="3"/>
        <v>93500</v>
      </c>
      <c r="L10" s="42">
        <f>Vendedor7!$F$19+Vendedor7!$F$20</f>
        <v>93500</v>
      </c>
      <c r="N10" s="42">
        <f t="shared" si="0"/>
        <v>-47450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55850</v>
      </c>
      <c r="D12" s="30">
        <f>IF(Vendedor9!$E$19="",0,Vendedor9!$E$19)</f>
        <v>1800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55850</v>
      </c>
      <c r="I12" s="149">
        <f>MROUND(H12*Vendedor9!J$11,50)</f>
        <v>6700</v>
      </c>
      <c r="J12" s="134">
        <f t="shared" si="2"/>
        <v>1800</v>
      </c>
      <c r="K12" s="134">
        <f t="shared" si="3"/>
        <v>153000</v>
      </c>
      <c r="L12" s="134">
        <f>Vendedor9!$F$19+Vendedor9!$F$20</f>
        <v>153000</v>
      </c>
      <c r="M12" s="156"/>
      <c r="N12" s="134">
        <f t="shared" si="0"/>
        <v>-103850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5000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5000</v>
      </c>
      <c r="I16" s="149">
        <f>MROUND(H16*Vendedor13!J$11,50)</f>
        <v>600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4400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102300</v>
      </c>
      <c r="D17" s="30">
        <f>IF(Vendedor14!$E$19="",0,Vendedor14!$E$19)</f>
        <v>2950</v>
      </c>
      <c r="E17" s="181">
        <f>IF(Vendedor14!$C$20="",0,Vendedor14!$C$20)</f>
        <v>55950</v>
      </c>
      <c r="F17" s="30">
        <f>IF(Vendedor14!$E$20="",0,Vendedor14!$E$20)</f>
        <v>600</v>
      </c>
      <c r="H17" s="42">
        <f t="shared" si="1"/>
        <v>158250</v>
      </c>
      <c r="I17" s="41">
        <f>MROUND(H17*Vendedor14!J$15,50)</f>
        <v>19000</v>
      </c>
      <c r="J17" s="42">
        <f t="shared" si="2"/>
        <v>3550</v>
      </c>
      <c r="K17" s="42">
        <f t="shared" si="3"/>
        <v>301750</v>
      </c>
      <c r="L17" s="42">
        <f>Vendedor14!$F$19+Vendedor14!$F$20</f>
        <v>301750</v>
      </c>
      <c r="N17" s="42">
        <f t="shared" si="0"/>
        <v>-162500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43100</v>
      </c>
      <c r="D18" s="30">
        <f>IF(Vendedor15!$E$19="",0,Vendedor15!$E$19)</f>
        <v>850</v>
      </c>
      <c r="E18" s="181">
        <f>IF(Vendedor15!$C$20="",0,Vendedor15!$C$20)</f>
        <v>42000</v>
      </c>
      <c r="F18" s="30">
        <f>IF(Vendedor15!$E$20="",0,Vendedor15!$E$20)</f>
        <v>150</v>
      </c>
      <c r="H18" s="42">
        <f t="shared" si="1"/>
        <v>85100</v>
      </c>
      <c r="I18" s="41">
        <f>MROUND(H18*Vendedor15!J$15,50)</f>
        <v>10200</v>
      </c>
      <c r="J18" s="42">
        <f t="shared" si="2"/>
        <v>1000</v>
      </c>
      <c r="K18" s="42">
        <f t="shared" si="3"/>
        <v>85000</v>
      </c>
      <c r="L18" s="42">
        <f>Vendedor15!$F$19+Vendedor15!$F$20</f>
        <v>85000</v>
      </c>
      <c r="N18" s="42">
        <f t="shared" si="0"/>
        <v>-10100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247700</v>
      </c>
      <c r="D32" s="44">
        <f>SUM(D4:D31)</f>
        <v>7150</v>
      </c>
      <c r="E32" s="43">
        <f>SUM(E4:E31)</f>
        <v>129800</v>
      </c>
      <c r="F32" s="44">
        <f>SUM(F4:F31)</f>
        <v>750</v>
      </c>
      <c r="H32" s="96">
        <f>SUM(H4:H31)</f>
        <v>377500</v>
      </c>
      <c r="I32" s="45">
        <f>SUM(I7:I31)</f>
        <v>43500</v>
      </c>
      <c r="J32" s="96"/>
      <c r="K32" s="96">
        <f>SUM(K4:K31)</f>
        <v>671500</v>
      </c>
      <c r="L32" s="96">
        <f>SUM(L4:L31)</f>
        <v>669250</v>
      </c>
      <c r="N32" s="80">
        <f>SUM(N4:N31)</f>
        <v>-337200</v>
      </c>
    </row>
    <row r="33" spans="3:6" x14ac:dyDescent="0.35">
      <c r="D33" s="100">
        <f>+D32*85</f>
        <v>607750</v>
      </c>
      <c r="F33" s="100">
        <f>+F32*85</f>
        <v>63750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377500</v>
      </c>
      <c r="E36" s="43">
        <f>+D36-H4-H5-H6</f>
        <v>362500</v>
      </c>
    </row>
    <row r="37" spans="3:6" x14ac:dyDescent="0.35">
      <c r="C37" s="47" t="s">
        <v>33</v>
      </c>
      <c r="D37" s="48">
        <f>D36*13%</f>
        <v>49075</v>
      </c>
      <c r="E37">
        <f>+D37-I4-I5-I6</f>
        <v>47125</v>
      </c>
    </row>
    <row r="38" spans="3:6" ht="15" thickBot="1" x14ac:dyDescent="0.4">
      <c r="C38" s="47" t="s">
        <v>30</v>
      </c>
      <c r="D38" s="30">
        <f>SUM(K4:K27)</f>
        <v>671500</v>
      </c>
    </row>
    <row r="39" spans="3:6" ht="15" thickBot="1" x14ac:dyDescent="0.4">
      <c r="C39" s="49" t="s">
        <v>4</v>
      </c>
      <c r="D39" s="81">
        <f>+D36-D37-D38</f>
        <v>-343075</v>
      </c>
      <c r="F39" s="99">
        <f>+N32-D39</f>
        <v>5875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-343075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 t="str">
        <f>DigitaHONDURAS!C2</f>
        <v>03</v>
      </c>
      <c r="D2" s="269"/>
      <c r="E2" s="268">
        <f>DigitaHONDURAS!E2</f>
        <v>86</v>
      </c>
      <c r="F2" s="269"/>
      <c r="G2" s="268">
        <f>DigitaHONDURAS!G2</f>
        <v>49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5500</v>
      </c>
      <c r="D10" s="30">
        <f>IF(Vendedor7!$E$21="",0,Vendedor7!$E$21)</f>
        <v>150</v>
      </c>
      <c r="E10" s="181">
        <f>IF(Vendedor7!$C$22="",0,Vendedor7!$C$22)</f>
        <v>4850</v>
      </c>
      <c r="F10" s="30">
        <f>IF(Vendedor7!$E$22="",0,Vendedor7!$E$22)</f>
        <v>0</v>
      </c>
      <c r="G10" s="181">
        <f>IF(Vendedor7!$C$23="",0,Vendedor7!$C$23)</f>
        <v>3350</v>
      </c>
      <c r="H10" s="30">
        <f>IF(Vendedor7!$E$23="",0,Vendedor7!$E$23)</f>
        <v>700</v>
      </c>
      <c r="J10" s="42">
        <f t="shared" si="0"/>
        <v>13700</v>
      </c>
      <c r="K10" s="41">
        <f>MROUND(J10*Vendedor7!J$14,50)</f>
        <v>1650</v>
      </c>
      <c r="L10" s="42">
        <f t="shared" si="1"/>
        <v>850</v>
      </c>
      <c r="M10" s="42">
        <f t="shared" si="3"/>
        <v>72250</v>
      </c>
      <c r="N10" s="42">
        <f>Vendedor7!$F$21+Vendedor7!$F$22+Vendedor7!$F$23</f>
        <v>72250</v>
      </c>
      <c r="P10" s="42">
        <f t="shared" si="2"/>
        <v>-60200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250</v>
      </c>
      <c r="H16" s="30">
        <f>IF(Vendedor13!$E$23="",0,Vendedor13!$E$23)</f>
        <v>0</v>
      </c>
      <c r="J16" s="134">
        <f t="shared" si="0"/>
        <v>250</v>
      </c>
      <c r="K16" s="149">
        <f>MROUND(J16*Vendedor13!J$11,50)</f>
        <v>50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200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44350</v>
      </c>
      <c r="D17" s="30">
        <f>IF(Vendedor14!$E$21="",0,Vendedor14!$E$21)</f>
        <v>550</v>
      </c>
      <c r="E17" s="181">
        <f>IF(Vendedor14!$C$22="",0,Vendedor14!$C$22)</f>
        <v>12450</v>
      </c>
      <c r="F17" s="30">
        <f>IF(Vendedor14!$E$22="",0,Vendedor14!$E$22)</f>
        <v>0</v>
      </c>
      <c r="G17" s="181">
        <f>IF(Vendedor14!$C$23="",0,Vendedor14!$C$23)</f>
        <v>40650</v>
      </c>
      <c r="H17" s="30">
        <f>IF(Vendedor14!$E$23="",0,Vendedor14!$E$23)</f>
        <v>150</v>
      </c>
      <c r="J17" s="42">
        <f t="shared" si="0"/>
        <v>97450</v>
      </c>
      <c r="K17" s="41">
        <f>MROUND(J17*Vendedor14!J$15,50)</f>
        <v>11700</v>
      </c>
      <c r="L17" s="42">
        <f t="shared" si="1"/>
        <v>700</v>
      </c>
      <c r="M17" s="42">
        <f t="shared" si="3"/>
        <v>59500</v>
      </c>
      <c r="N17" s="42">
        <f>Vendedor14!$F$21+Vendedor14!$F$22+Vendedor14!$F$23</f>
        <v>59500</v>
      </c>
      <c r="P17" s="42">
        <f t="shared" si="2"/>
        <v>26250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13950</v>
      </c>
      <c r="D18" s="30">
        <f>IF(Vendedor15!$E$21="",0,Vendedor15!$E$21)</f>
        <v>100</v>
      </c>
      <c r="E18" s="181">
        <f>IF(Vendedor15!$C$22="",0,Vendedor15!$C$22)</f>
        <v>4000</v>
      </c>
      <c r="F18" s="30">
        <f>IF(Vendedor15!$E$22="",0,Vendedor15!$E$22)</f>
        <v>0</v>
      </c>
      <c r="G18" s="181">
        <f>IF(Vendedor15!$C$23="",0,Vendedor15!$C$23)</f>
        <v>2850</v>
      </c>
      <c r="H18" s="30">
        <f>IF(Vendedor15!$E$23="",0,Vendedor15!$E$23)</f>
        <v>0</v>
      </c>
      <c r="J18" s="42">
        <f t="shared" si="0"/>
        <v>20800</v>
      </c>
      <c r="K18" s="41">
        <f>MROUND(J18*Vendedor15!J$15,50)</f>
        <v>2500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9800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63800</v>
      </c>
      <c r="D32" s="44">
        <f t="shared" si="8"/>
        <v>800</v>
      </c>
      <c r="E32" s="43">
        <f t="shared" si="8"/>
        <v>21300</v>
      </c>
      <c r="F32" s="44">
        <f t="shared" si="8"/>
        <v>0</v>
      </c>
      <c r="G32" s="43">
        <f t="shared" si="8"/>
        <v>47100</v>
      </c>
      <c r="H32" s="44">
        <f t="shared" si="8"/>
        <v>850</v>
      </c>
      <c r="J32" s="96">
        <f>SUM(J4:J31)</f>
        <v>132200</v>
      </c>
      <c r="K32" s="45">
        <f>SUM(K7:K31)</f>
        <v>15900</v>
      </c>
      <c r="L32" s="96"/>
      <c r="M32" s="96">
        <f>SUM(M4:M31)</f>
        <v>140250</v>
      </c>
      <c r="N32" s="96">
        <f>SUM(N4:N31)</f>
        <v>140250</v>
      </c>
      <c r="P32" s="80">
        <f>SUM(P4:P31)</f>
        <v>-23950</v>
      </c>
    </row>
    <row r="33" spans="3:8" x14ac:dyDescent="0.35">
      <c r="D33" s="100">
        <f>+D32*85</f>
        <v>68000</v>
      </c>
      <c r="F33" s="100">
        <f>+F32*85</f>
        <v>0</v>
      </c>
      <c r="H33" s="100">
        <f>+H32*85</f>
        <v>72250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132200</v>
      </c>
      <c r="E36" s="43">
        <f>+D36-J4-J5-J6</f>
        <v>132200</v>
      </c>
    </row>
    <row r="37" spans="3:8" x14ac:dyDescent="0.35">
      <c r="C37" s="47" t="s">
        <v>33</v>
      </c>
      <c r="D37" s="48">
        <f>D36*13%</f>
        <v>17186</v>
      </c>
      <c r="E37">
        <f>+D37-K4-K5-K6</f>
        <v>17186</v>
      </c>
    </row>
    <row r="38" spans="3:8" ht="15" thickBot="1" x14ac:dyDescent="0.4">
      <c r="C38" s="47" t="s">
        <v>30</v>
      </c>
      <c r="D38" s="30">
        <f>SUM(M4:M27)</f>
        <v>140250</v>
      </c>
      <c r="G38" s="101"/>
    </row>
    <row r="39" spans="3:8" ht="15" thickBot="1" x14ac:dyDescent="0.4">
      <c r="C39" s="49" t="s">
        <v>4</v>
      </c>
      <c r="D39" s="81">
        <f>+D36-D37-D38</f>
        <v>-25236</v>
      </c>
      <c r="F39" s="99">
        <f>+P32-D39</f>
        <v>1286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-25236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59</v>
      </c>
      <c r="D2" s="269"/>
      <c r="E2" s="268">
        <f>DigitaDOMINICANA!E2</f>
        <v>35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0</v>
      </c>
      <c r="D10" s="30">
        <f>IF(Vendedor7!$E$24="",0,Vendedor7!$E$24)</f>
        <v>0</v>
      </c>
      <c r="E10" s="181">
        <f>IF(Vendedor7!$C$25="",0,Vendedor7!$C$25)</f>
        <v>16000</v>
      </c>
      <c r="F10" s="30">
        <f>IF(Vendedor7!$E$25="",0,Vendedor7!$E$25)</f>
        <v>0</v>
      </c>
      <c r="H10" s="42">
        <f t="shared" si="1"/>
        <v>16000</v>
      </c>
      <c r="I10" s="41">
        <f>MROUND(H10*Vendedor7!J$14,50)</f>
        <v>1900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14100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16000</v>
      </c>
      <c r="F32" s="44">
        <f>SUM(F4:F31)</f>
        <v>0</v>
      </c>
      <c r="H32" s="96">
        <f>SUM(H4:H31)</f>
        <v>16000</v>
      </c>
      <c r="I32" s="45">
        <f>SUM(I7:I31)</f>
        <v>1900</v>
      </c>
      <c r="J32" s="96"/>
      <c r="K32" s="96">
        <f>SUM(K4:K31)</f>
        <v>0</v>
      </c>
      <c r="L32" s="96">
        <f>SUM(L4:L31)</f>
        <v>0</v>
      </c>
      <c r="N32" s="80">
        <f>SUM(N4:N31)</f>
        <v>14100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16000</v>
      </c>
      <c r="E36" s="43">
        <f>+D36-H4-H5-H6</f>
        <v>16000</v>
      </c>
    </row>
    <row r="37" spans="3:6" x14ac:dyDescent="0.35">
      <c r="C37" s="47" t="s">
        <v>33</v>
      </c>
      <c r="D37" s="48">
        <f>D36*13%</f>
        <v>2080</v>
      </c>
      <c r="E37">
        <f>+D37-I4-I5-I6</f>
        <v>2080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13920</v>
      </c>
      <c r="F39" s="99">
        <f>+N32-D39</f>
        <v>180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13920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54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2750</v>
      </c>
      <c r="D18" s="30">
        <f>IF(Vendedor15!$E$26="",0,Vendedor15!$E$26)</f>
        <v>250</v>
      </c>
      <c r="F18" s="42">
        <f t="shared" si="1"/>
        <v>2750</v>
      </c>
      <c r="G18" s="41">
        <f>MROUND(F18*Vendedor15!J$15,50)</f>
        <v>350</v>
      </c>
      <c r="H18" s="42">
        <f t="shared" si="2"/>
        <v>250</v>
      </c>
      <c r="I18" s="42">
        <f t="shared" si="3"/>
        <v>21250</v>
      </c>
      <c r="J18" s="42">
        <f>Vendedor15!$F$26</f>
        <v>21250</v>
      </c>
      <c r="L18" s="42">
        <f t="shared" si="0"/>
        <v>-18850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2750</v>
      </c>
      <c r="D32" s="44">
        <f>SUM(D4:D31)</f>
        <v>250</v>
      </c>
      <c r="F32" s="96">
        <f>SUM(F4:F31)</f>
        <v>2750</v>
      </c>
      <c r="G32" s="96">
        <f>SUM(G7:G31)</f>
        <v>350</v>
      </c>
      <c r="H32" s="96"/>
      <c r="I32" s="96">
        <f>SUM(I4:I31)</f>
        <v>21250</v>
      </c>
      <c r="J32" s="96">
        <f>SUM(J4:J31)</f>
        <v>21250</v>
      </c>
      <c r="L32" s="92">
        <f>SUM(L4:L31)</f>
        <v>-18850</v>
      </c>
    </row>
    <row r="33" spans="3:6" ht="16" customHeight="1" x14ac:dyDescent="0.35">
      <c r="D33" s="100">
        <f>+D32*85</f>
        <v>21250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2750</v>
      </c>
      <c r="F36" s="43">
        <f>+D36-F4-F5-F6</f>
        <v>2750</v>
      </c>
    </row>
    <row r="37" spans="3:6" x14ac:dyDescent="0.35">
      <c r="C37" s="47" t="s">
        <v>33</v>
      </c>
      <c r="D37" s="30">
        <f>D36*14%</f>
        <v>385.00000000000006</v>
      </c>
      <c r="E37" s="43"/>
      <c r="F37" s="43">
        <f>+D37-G4-G5-G6</f>
        <v>385.00000000000006</v>
      </c>
    </row>
    <row r="38" spans="3:6" x14ac:dyDescent="0.35">
      <c r="C38" s="47" t="s">
        <v>30</v>
      </c>
      <c r="D38" s="30">
        <f>SUM(I4:I27)</f>
        <v>21250</v>
      </c>
    </row>
    <row r="39" spans="3:6" ht="15" thickBot="1" x14ac:dyDescent="0.4">
      <c r="C39" s="49" t="s">
        <v>4</v>
      </c>
      <c r="D39" s="81">
        <f>+D36-D37-D38</f>
        <v>-18885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-18885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26-03-2026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1235700</v>
      </c>
      <c r="C4" s="158">
        <f>HojaNICA!M32</f>
        <v>148250</v>
      </c>
      <c r="D4" s="151">
        <f>HojaNICA!E37</f>
        <v>160664</v>
      </c>
      <c r="E4" s="151">
        <f>HojaNICA!P32</f>
        <v>1036500</v>
      </c>
      <c r="F4" s="151">
        <f>HojaNICA!O32</f>
        <v>1045500</v>
      </c>
      <c r="G4" s="152">
        <f t="shared" ref="G4:G10" si="0">+D4-C4+F4-E4</f>
        <v>21414</v>
      </c>
      <c r="H4" s="21"/>
      <c r="I4" s="183"/>
    </row>
    <row r="5" spans="1:9" x14ac:dyDescent="0.35">
      <c r="A5" s="28" t="s">
        <v>19</v>
      </c>
      <c r="B5" s="157">
        <f>HojaTICA!$E$36</f>
        <v>1471300</v>
      </c>
      <c r="C5" s="158">
        <f>HojaTICA!K32</f>
        <v>179700</v>
      </c>
      <c r="D5" s="151">
        <f>HojaTICA!E37</f>
        <v>191238.5</v>
      </c>
      <c r="E5" s="151">
        <f>HojaTICA!N32</f>
        <v>1149250</v>
      </c>
      <c r="F5" s="151">
        <f>HojaTICA!D38</f>
        <v>1151750</v>
      </c>
      <c r="G5" s="152">
        <f t="shared" si="0"/>
        <v>14038.5</v>
      </c>
      <c r="H5" s="21"/>
      <c r="I5" s="183"/>
    </row>
    <row r="6" spans="1:9" x14ac:dyDescent="0.35">
      <c r="A6" s="28" t="s">
        <v>125</v>
      </c>
      <c r="B6" s="157">
        <f>HojaREVENTADO!$E$37</f>
        <v>201750</v>
      </c>
      <c r="C6" s="158">
        <f>HojaREVENTADO!K33</f>
        <v>20175</v>
      </c>
      <c r="D6" s="151">
        <f>HojaREVENTADO!E38</f>
        <v>20175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362500</v>
      </c>
      <c r="C7" s="158">
        <f>HojaPrimera!I32</f>
        <v>43500</v>
      </c>
      <c r="D7" s="151">
        <f>HojaPrimera!E37</f>
        <v>47125</v>
      </c>
      <c r="E7" s="151">
        <f>HojaPrimera!L32</f>
        <v>669250</v>
      </c>
      <c r="F7" s="151">
        <f>HojaPrimera!K32</f>
        <v>671500</v>
      </c>
      <c r="G7" s="152">
        <f t="shared" si="0"/>
        <v>5875</v>
      </c>
      <c r="H7" s="21"/>
      <c r="I7" s="21"/>
    </row>
    <row r="8" spans="1:9" x14ac:dyDescent="0.35">
      <c r="A8" s="28" t="s">
        <v>104</v>
      </c>
      <c r="B8" s="157">
        <f>HojaHonduras!$E$36</f>
        <v>132200</v>
      </c>
      <c r="C8" s="158">
        <f>HojaHonduras!K32</f>
        <v>15900</v>
      </c>
      <c r="D8" s="151">
        <f>HojaHonduras!E37</f>
        <v>17186</v>
      </c>
      <c r="E8" s="151">
        <f>HojaHonduras!N32</f>
        <v>140250</v>
      </c>
      <c r="F8" s="151">
        <f>HojaHonduras!M32</f>
        <v>140250</v>
      </c>
      <c r="G8" s="152">
        <f t="shared" si="0"/>
        <v>1286</v>
      </c>
      <c r="H8" s="21"/>
      <c r="I8" s="21"/>
    </row>
    <row r="9" spans="1:9" x14ac:dyDescent="0.35">
      <c r="A9" s="28" t="s">
        <v>20</v>
      </c>
      <c r="B9" s="157">
        <f>HojaDominicana!$E$36</f>
        <v>16000</v>
      </c>
      <c r="C9" s="158">
        <f>HojaDominicana!I32</f>
        <v>1900</v>
      </c>
      <c r="D9" s="151">
        <f>HojaDominicana!E37</f>
        <v>2080</v>
      </c>
      <c r="E9" s="151">
        <f>HojaDominicana!L32</f>
        <v>0</v>
      </c>
      <c r="F9" s="151">
        <f>HojaDominicana!K32</f>
        <v>0</v>
      </c>
      <c r="G9" s="152">
        <f t="shared" si="0"/>
        <v>180</v>
      </c>
      <c r="H9" s="21"/>
      <c r="I9" s="21"/>
    </row>
    <row r="10" spans="1:9" ht="15" thickBot="1" x14ac:dyDescent="0.4">
      <c r="A10" s="168" t="s">
        <v>21</v>
      </c>
      <c r="B10" s="169">
        <f>HojaPANA!F36</f>
        <v>2750</v>
      </c>
      <c r="C10" s="170">
        <f>HojaPANA!G32</f>
        <v>350</v>
      </c>
      <c r="D10" s="171">
        <f>HojaPANA!F37</f>
        <v>385.00000000000006</v>
      </c>
      <c r="E10" s="171">
        <f>HojaPANA!J32</f>
        <v>21250</v>
      </c>
      <c r="F10" s="171">
        <f>HojaPANA!I32</f>
        <v>21250</v>
      </c>
      <c r="G10" s="172">
        <f t="shared" si="0"/>
        <v>35</v>
      </c>
      <c r="H10" s="21"/>
      <c r="I10" s="21"/>
    </row>
    <row r="11" spans="1:9" ht="19" thickBot="1" x14ac:dyDescent="0.5">
      <c r="A11" s="175" t="s">
        <v>32</v>
      </c>
      <c r="B11" s="176">
        <f>SUM(B4:B10)</f>
        <v>3422200</v>
      </c>
      <c r="C11" s="176">
        <f>SUM(C4:C10)</f>
        <v>409775</v>
      </c>
      <c r="D11" s="176">
        <f t="shared" ref="D11:F11" si="1">SUM(D4:D10)</f>
        <v>438853.5</v>
      </c>
      <c r="E11" s="176">
        <f t="shared" si="1"/>
        <v>3016500</v>
      </c>
      <c r="F11" s="176">
        <f t="shared" si="1"/>
        <v>3030250</v>
      </c>
      <c r="G11" s="177">
        <f>SUM(G4:G10)</f>
        <v>42828.5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7828.5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333100</v>
      </c>
      <c r="E16" s="158">
        <f>+Vendedor1!D21</f>
        <v>43303</v>
      </c>
      <c r="F16" s="159">
        <f>IF(D16&lt;&gt;0,15000,0)</f>
        <v>15000</v>
      </c>
      <c r="G16" s="152">
        <f>+E16-F16</f>
        <v>28303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194150</v>
      </c>
      <c r="E17" s="158">
        <f>+Vendedor2!D21</f>
        <v>25239.5</v>
      </c>
      <c r="F17" s="159">
        <f>IF(D17&lt;&gt;0,15000,0)</f>
        <v>15000</v>
      </c>
      <c r="G17" s="152">
        <f>+E17-F17</f>
        <v>10239.5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527250</v>
      </c>
      <c r="E19" s="160">
        <f>SUM(E16:E18)</f>
        <v>68542.5</v>
      </c>
      <c r="F19" s="161">
        <f>SUM(F16:F18)</f>
        <v>30000</v>
      </c>
      <c r="G19" s="162">
        <f>SUM(G16:G18)</f>
        <v>38542.5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46371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26-03-2026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1332800</v>
      </c>
      <c r="C5" s="151">
        <f>HojaNICA!D37</f>
        <v>173264</v>
      </c>
      <c r="D5" s="151">
        <f>HojaNICA!D38</f>
        <v>1045500</v>
      </c>
      <c r="E5" s="151"/>
      <c r="F5" s="152">
        <f>+B5-C5-D5+E5</f>
        <v>114036</v>
      </c>
      <c r="H5" s="251" t="s">
        <v>105</v>
      </c>
      <c r="I5" s="245">
        <f ca="1">TODAY()-1</f>
        <v>46107</v>
      </c>
      <c r="O5" s="120"/>
    </row>
    <row r="6" spans="1:15" ht="15" thickBot="1" x14ac:dyDescent="0.4">
      <c r="A6" s="47" t="s">
        <v>36</v>
      </c>
      <c r="B6" s="151">
        <f>HojaTICA!D36</f>
        <v>1886450</v>
      </c>
      <c r="C6" s="151">
        <f>HojaTICA!D37</f>
        <v>245238.5</v>
      </c>
      <c r="D6" s="151">
        <f>HojaTICA!D38</f>
        <v>1151750</v>
      </c>
      <c r="E6" s="151"/>
      <c r="F6" s="152">
        <f t="shared" ref="F6:F11" si="0">+B6-C6-D6+E6</f>
        <v>489461.5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201750</v>
      </c>
      <c r="C7" s="151">
        <f>HojaREVENTADO!D38</f>
        <v>20175</v>
      </c>
      <c r="D7" s="151">
        <f>HojaREVENTADO!D39</f>
        <v>0</v>
      </c>
      <c r="E7" s="151"/>
      <c r="F7" s="152">
        <f t="shared" si="0"/>
        <v>181575</v>
      </c>
    </row>
    <row r="8" spans="1:15" x14ac:dyDescent="0.35">
      <c r="A8" s="47" t="s">
        <v>96</v>
      </c>
      <c r="B8" s="151">
        <f>HojaPrimera!$D36</f>
        <v>377500</v>
      </c>
      <c r="C8" s="151">
        <f>HojaPrimera!$D37</f>
        <v>49075</v>
      </c>
      <c r="D8" s="151">
        <f>HojaPrimera!$D38</f>
        <v>671500</v>
      </c>
      <c r="E8" s="151"/>
      <c r="F8" s="152">
        <f t="shared" si="0"/>
        <v>-343075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132200</v>
      </c>
      <c r="C9" s="151">
        <f>HojaHonduras!$D37</f>
        <v>17186</v>
      </c>
      <c r="D9" s="151">
        <f>HojaHonduras!$D38</f>
        <v>140250</v>
      </c>
      <c r="E9" s="151"/>
      <c r="F9" s="152">
        <f t="shared" si="0"/>
        <v>-25236</v>
      </c>
      <c r="H9" s="252">
        <f>+K12-K10-H6</f>
        <v>411796.5</v>
      </c>
    </row>
    <row r="10" spans="1:15" ht="15" thickBot="1" x14ac:dyDescent="0.4">
      <c r="A10" s="47" t="s">
        <v>20</v>
      </c>
      <c r="B10" s="151">
        <f>HojaDominicana!$D36</f>
        <v>16000</v>
      </c>
      <c r="C10" s="151">
        <f>HojaDominicana!$D37</f>
        <v>2080</v>
      </c>
      <c r="D10" s="151">
        <f>HojaDominicana!$D38</f>
        <v>0</v>
      </c>
      <c r="E10" s="151"/>
      <c r="F10" s="152">
        <f t="shared" si="0"/>
        <v>13920</v>
      </c>
      <c r="H10" s="155"/>
      <c r="J10" t="s">
        <v>148</v>
      </c>
      <c r="K10" s="254">
        <v>7673529.9399999995</v>
      </c>
    </row>
    <row r="11" spans="1:15" ht="15" thickBot="1" x14ac:dyDescent="0.4">
      <c r="A11" s="47" t="s">
        <v>21</v>
      </c>
      <c r="B11" s="151">
        <f>HojaPANA!$D36</f>
        <v>2750</v>
      </c>
      <c r="C11" s="151">
        <f>HojaPANA!$D37</f>
        <v>385.00000000000006</v>
      </c>
      <c r="D11" s="166">
        <f>HojaPANA!$D38</f>
        <v>21250</v>
      </c>
      <c r="E11" s="151"/>
      <c r="F11" s="152">
        <f t="shared" si="0"/>
        <v>-18885</v>
      </c>
      <c r="H11" s="215" t="s">
        <v>154</v>
      </c>
      <c r="J11" t="s">
        <v>158</v>
      </c>
      <c r="K11" s="255">
        <f>+K10+F12+H6</f>
        <v>8085326.4399999995</v>
      </c>
    </row>
    <row r="12" spans="1:15" ht="16" thickBot="1" x14ac:dyDescent="0.4">
      <c r="A12" s="145" t="s">
        <v>5</v>
      </c>
      <c r="B12" s="153">
        <f>SUM(B5:B11)</f>
        <v>3949450</v>
      </c>
      <c r="C12" s="153">
        <f>SUM(C5:C11)</f>
        <v>507403.5</v>
      </c>
      <c r="D12" s="153">
        <f>SUM(D5:D11)</f>
        <v>3030250</v>
      </c>
      <c r="E12" s="153"/>
      <c r="F12" s="257">
        <f>SUM(F5:F11)</f>
        <v>411796.5</v>
      </c>
      <c r="H12" s="253">
        <f>K12</f>
        <v>8085326.4399999995</v>
      </c>
      <c r="J12" t="s">
        <v>140</v>
      </c>
      <c r="K12" s="256">
        <f>3827012.57-1759740.01+3763229.8+2254824.08</f>
        <v>8085326.4399999995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251450</v>
      </c>
      <c r="K4" s="233">
        <f t="shared" ref="K4" si="0">D7+D11+D15</f>
        <v>32688.5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IF(DigitaNICA!C4&lt;&gt;"",DigitaNICA!C4,"")</f>
        <v>32150</v>
      </c>
      <c r="D5" s="42">
        <f>IF(C5="",0,C5*J$10)</f>
        <v>4179.5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11970.5</v>
      </c>
      <c r="I5" s="243" t="s">
        <v>37</v>
      </c>
      <c r="J5" s="223">
        <f>SUM(IF(C5="",0,C5),IF(C9="",0,C9),IF(C13="",0,C13),IF(C17="",0,C17))</f>
        <v>68650</v>
      </c>
      <c r="K5" s="227">
        <f t="shared" ref="K5" si="2">D5+D9+D13+D17</f>
        <v>8924.5</v>
      </c>
      <c r="L5" s="224">
        <f>F5+F9+F13+F17</f>
        <v>56000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13000</v>
      </c>
      <c r="K6" s="230">
        <f>D19+D20</f>
        <v>1690</v>
      </c>
      <c r="L6" s="231">
        <f>F19+F20</f>
        <v>20000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IF(DigitaTICA!C4&lt;&gt;"",DigitaTICA!C4,"")</f>
        <v>59050</v>
      </c>
      <c r="D7" s="42">
        <f>IF(C7="",0,C7*J$9)</f>
        <v>7676.5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34373.5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38</v>
      </c>
      <c r="C9" s="29">
        <f>IF(DigitaNICA!E4&lt;&gt;"",DigitaNICA!E4,"")</f>
        <v>21150</v>
      </c>
      <c r="D9" s="42">
        <f>IF(C9="",0,C9*J$10)</f>
        <v>2749.5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18400.5</v>
      </c>
      <c r="I9" s="77" t="s">
        <v>36</v>
      </c>
      <c r="J9" s="78">
        <v>0.13</v>
      </c>
      <c r="K9" s="79">
        <f>MROUND(D7+D11+D15,50)</f>
        <v>32700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8900</v>
      </c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IF(DigitaTICA!E4&lt;&gt;"",DigitaTICA!E4,"")</f>
        <v>67700</v>
      </c>
      <c r="D11" s="42">
        <f>IF(C11="",0,C11*J$9)</f>
        <v>8801</v>
      </c>
      <c r="E11" s="29">
        <f>IF(DigitaTICA!F4&lt;&gt;"",DigitaTICA!F4,"")</f>
        <v>750</v>
      </c>
      <c r="F11" s="42">
        <f>IF(E11="",0,E11*PREMIOS!F11)</f>
        <v>63750</v>
      </c>
      <c r="G11" s="30">
        <f t="shared" si="1"/>
        <v>-4851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1700</v>
      </c>
    </row>
    <row r="13" spans="1:12" x14ac:dyDescent="0.35">
      <c r="A13" s="28" t="s">
        <v>50</v>
      </c>
      <c r="B13" s="133">
        <f>IF(DigitaNICA!G2&lt;&gt;"",DigitaNICA!G2,"")</f>
        <v>48</v>
      </c>
      <c r="C13" s="29">
        <f>IF(DigitaNICA!G4&lt;&gt;"",DigitaNICA!G4,"")</f>
        <v>8950</v>
      </c>
      <c r="D13" s="42">
        <f>IF(C13="",0,C13*J$10)</f>
        <v>1163.5</v>
      </c>
      <c r="E13" s="29">
        <f>IF(DigitaNICA!H4&lt;&gt;"",DigitaNICA!H4,"")</f>
        <v>500</v>
      </c>
      <c r="F13" s="42">
        <f>IF(E13="",0,E13*PREMIOS!E13)</f>
        <v>40000</v>
      </c>
      <c r="G13" s="30">
        <f>IF(OR(C13="",E13=""),0,C13-D13-F13)</f>
        <v>-32213.5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IF(DigitaTICA!G4&lt;&gt;"",DigitaTICA!G4,"")</f>
        <v>124700</v>
      </c>
      <c r="D15" s="42">
        <f>IF(C15="",0,C15*J$9)</f>
        <v>16211</v>
      </c>
      <c r="E15" s="29">
        <f>IF(DigitaTICA!H4&lt;&gt;"",DigitaTICA!H4,"")</f>
        <v>350</v>
      </c>
      <c r="F15" s="42">
        <f>IF(E15="",0,E15*PREMIOS!F15)</f>
        <v>29750</v>
      </c>
      <c r="G15" s="30">
        <f t="shared" si="3"/>
        <v>78739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IF(DigitaNICA!I4&lt;&gt;"",DigitaNICA!I4,"")</f>
        <v>6400</v>
      </c>
      <c r="D17" s="42">
        <f>IF(C17="",0,C17*J$10)</f>
        <v>832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5568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IF(DigitaPRIMERA!C4&lt;&gt;"",DigitaPRIMERA!C4,"")</f>
        <v>8100</v>
      </c>
      <c r="D19" s="42">
        <f>IF(C19="",0,C19*J$12)</f>
        <v>1053</v>
      </c>
      <c r="E19" s="29">
        <f>IF(DigitaPRIMERA!D4&lt;&gt;"",DigitaPRIMERA!D4,"")</f>
        <v>250</v>
      </c>
      <c r="F19" s="42">
        <f>IF(E19="",0,E19*PREMIOS!E19)</f>
        <v>20000</v>
      </c>
      <c r="G19" s="30">
        <f t="shared" ref="G19" si="4">IF(OR(C19="",E19=""),0,C19-D19-F19)</f>
        <v>-12953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>
        <f>IF(DigitaPRIMERA!E4&lt;&gt;"",DigitaPRIMERA!E4,"")</f>
        <v>4900</v>
      </c>
      <c r="D20" s="42">
        <f>IF(C20="",0,C20*J$12)</f>
        <v>637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4263</v>
      </c>
    </row>
    <row r="21" spans="1:7" ht="15" thickBot="1" x14ac:dyDescent="0.4">
      <c r="A21" s="122" t="s">
        <v>5</v>
      </c>
      <c r="B21" s="129"/>
      <c r="C21" s="123">
        <f>SUM(C5:C20)</f>
        <v>333100</v>
      </c>
      <c r="D21" s="123">
        <f t="shared" ref="D21:G21" si="6">SUM(D5:D20)</f>
        <v>43303</v>
      </c>
      <c r="E21" s="123">
        <f t="shared" si="6"/>
        <v>2250</v>
      </c>
      <c r="F21" s="123">
        <f t="shared" si="6"/>
        <v>186500</v>
      </c>
      <c r="G21" s="124">
        <f t="shared" si="6"/>
        <v>103297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163700</v>
      </c>
      <c r="K4" s="233">
        <f t="shared" ref="K4" si="0">D7+D11+D15</f>
        <v>21281</v>
      </c>
      <c r="L4" s="222">
        <f>F7+F11+F15</f>
        <v>72250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IF(DigitaNICA!C5&lt;&gt;"",DigitaNICA!C5,"")</f>
        <v>14400</v>
      </c>
      <c r="D5" s="42">
        <f>IF(C5="",0,C5*J$10)</f>
        <v>1872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12528</v>
      </c>
      <c r="I5" s="243" t="s">
        <v>37</v>
      </c>
      <c r="J5" s="223">
        <f>SUM(IF(C5="",0,C5),IF(C9="",0,C9),IF(C13="",0,C13),IF(C17="",0,C17))</f>
        <v>28450</v>
      </c>
      <c r="K5" s="227">
        <f t="shared" ref="K5" si="2">D5+D9+D13+D17</f>
        <v>3698.5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2000</v>
      </c>
      <c r="K6" s="230">
        <f>D19+D20</f>
        <v>260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IF(DigitaTICA!C5&lt;&gt;"",DigitaTICA!C5,"")</f>
        <v>49100</v>
      </c>
      <c r="D7" s="42">
        <f>IF(C7="",0,C7*J$9)</f>
        <v>6383</v>
      </c>
      <c r="E7" s="29">
        <f>IF(DigitaTICA!D5&lt;&gt;"",DigitaTICA!D5,"")</f>
        <v>400</v>
      </c>
      <c r="F7" s="42">
        <f>IF(E7="",0,E7*PREMIOS!F7)</f>
        <v>34000</v>
      </c>
      <c r="G7" s="30">
        <f t="shared" si="1"/>
        <v>8717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38</v>
      </c>
      <c r="C9" s="29">
        <f>IF(DigitaNICA!E5&lt;&gt;"",DigitaNICA!E5,"")</f>
        <v>12750</v>
      </c>
      <c r="D9" s="42">
        <f>IF(C9="",0,C9*J$10)</f>
        <v>1657.5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11092.5</v>
      </c>
      <c r="I9" s="60" t="s">
        <v>36</v>
      </c>
      <c r="J9" s="61">
        <v>0.13</v>
      </c>
      <c r="K9" s="62">
        <f>MROUND(D7+D11+D15,50)</f>
        <v>21300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3700</v>
      </c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IF(DigitaTICA!E5&lt;&gt;"",DigitaTICA!E5,"")</f>
        <v>38400</v>
      </c>
      <c r="D11" s="42">
        <f>IF(C11="",0,C11*J$9)</f>
        <v>4992</v>
      </c>
      <c r="E11" s="29">
        <f>IF(DigitaTICA!F5&lt;&gt;"",DigitaTICA!F5,"")</f>
        <v>450</v>
      </c>
      <c r="F11" s="42">
        <f>IF(E11="",0,E11*PREMIOS!F11)</f>
        <v>38250</v>
      </c>
      <c r="G11" s="30">
        <f t="shared" si="1"/>
        <v>-4842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>
        <f>IF(DigitaNICA!G2&lt;&gt;"",DigitaNICA!G2,"")</f>
        <v>48</v>
      </c>
      <c r="C13" s="29">
        <f>IF(DigitaNICA!G5&lt;&gt;"",DigitaNICA!G5,"")</f>
        <v>500</v>
      </c>
      <c r="D13" s="42">
        <f>IF(C13="",0,C13*J$10)</f>
        <v>65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435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IF(DigitaTICA!G5&lt;&gt;"",DigitaTICA!G5,"")</f>
        <v>76200</v>
      </c>
      <c r="D15" s="42">
        <f>IF(C15="",0,C15*J$9)</f>
        <v>9906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66294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IF(DigitaNICA!I5&lt;&gt;"",DigitaNICA!I5,"")</f>
        <v>800</v>
      </c>
      <c r="D17" s="42">
        <f>IF(C17="",0,C17*J$10)</f>
        <v>104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696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IF(DigitaPRIMERA!C5&lt;&gt;"",DigitaPRIMERA!C5,"")</f>
        <v>2000</v>
      </c>
      <c r="D19" s="42">
        <f>IF(C19="",0,C19*J$12)</f>
        <v>260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1740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194150</v>
      </c>
      <c r="D21" s="68">
        <f t="shared" ref="D21:G21" si="4">SUM(D5:D20)</f>
        <v>25239.5</v>
      </c>
      <c r="E21" s="68">
        <f t="shared" si="4"/>
        <v>850</v>
      </c>
      <c r="F21" s="68">
        <f t="shared" si="4"/>
        <v>72250</v>
      </c>
      <c r="G21" s="89">
        <f t="shared" si="4"/>
        <v>96660.5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38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11800</v>
      </c>
      <c r="K4" s="233">
        <f t="shared" ref="K4" si="0">D7+D11+D15</f>
        <v>1416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IF(DigitaNICA!C8&lt;&gt;"",DigitaNICA!C8,"")</f>
        <v>3500</v>
      </c>
      <c r="D5" s="42">
        <f>IF(C5="",0,C5*J$12)</f>
        <v>420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3080</v>
      </c>
      <c r="I5" s="243" t="s">
        <v>37</v>
      </c>
      <c r="J5" s="223">
        <f>SUM(IF(C5="",0,C5),IF(C9="",0,C9),IF(C13="",0,C13),IF(C17="",0,C17))</f>
        <v>14200</v>
      </c>
      <c r="K5" s="227">
        <f t="shared" ref="K5" si="2">D5+D9+D13+D17</f>
        <v>1704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IF(DigitaTICA!C8&lt;&gt;"",DigitaTICA!C8,"")</f>
        <v>4000</v>
      </c>
      <c r="D7" s="42">
        <f>IF(C7="",0,C7*J$11)</f>
        <v>480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3520</v>
      </c>
      <c r="I7" s="244" t="s">
        <v>96</v>
      </c>
      <c r="J7" s="226">
        <f>SUM(IF(C19="",0,C19),IF(C20="",0,C20))</f>
        <v>5950</v>
      </c>
      <c r="K7" s="230">
        <f>+D19+D20</f>
        <v>714</v>
      </c>
      <c r="L7" s="231">
        <f>+F19+F20</f>
        <v>16000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38</v>
      </c>
      <c r="C9" s="29">
        <f>IF(DigitaNICA!E8&lt;&gt;"",DigitaNICA!E8,"")</f>
        <v>3900</v>
      </c>
      <c r="D9" s="42">
        <f>IF(C9="",0,C9*J$12)</f>
        <v>468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3432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IF(DigitaTICA!E8&lt;&gt;"",DigitaTICA!E8,"")</f>
        <v>3900</v>
      </c>
      <c r="D11" s="42">
        <f>IF(C11="",0,C11*J$11)</f>
        <v>468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3432</v>
      </c>
      <c r="I11" s="60" t="s">
        <v>36</v>
      </c>
      <c r="J11" s="61">
        <v>0.12</v>
      </c>
      <c r="K11" s="62">
        <f>MROUND(D7+D11+D15,50)</f>
        <v>1400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1700</v>
      </c>
    </row>
    <row r="13" spans="1:12" x14ac:dyDescent="0.35">
      <c r="A13" s="28" t="s">
        <v>50</v>
      </c>
      <c r="B13" s="133">
        <f>IF(DigitaNICA!G2&lt;&gt;"",DigitaNICA!G2,"")</f>
        <v>48</v>
      </c>
      <c r="C13" s="29">
        <f>IF(DigitaNICA!G8&lt;&gt;"",DigitaNICA!G8,"")</f>
        <v>2800</v>
      </c>
      <c r="D13" s="42">
        <f>IF(C13="",0,C13*J$12)</f>
        <v>336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2464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700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IF(DigitaTICA!G8&lt;&gt;"",DigitaTICA!G8,"")</f>
        <v>3900</v>
      </c>
      <c r="D15" s="42">
        <f>IF(C15="",0,C15*J$11)</f>
        <v>468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3432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IF(DigitaNICA!I8&lt;&gt;"",DigitaNICA!I8,"")</f>
        <v>4000</v>
      </c>
      <c r="D17" s="42">
        <f>IF(C17="",0,C17*J$12)</f>
        <v>480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3520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IF(DigitaPRIMERA!C8&lt;&gt;"",DigitaPRIMERA!C8,"")</f>
        <v>2450</v>
      </c>
      <c r="D19" s="42">
        <f>IF(C19="",0,C19*J$14)</f>
        <v>294</v>
      </c>
      <c r="E19" s="29">
        <f>IF(DigitaPRIMERA!D8&lt;&gt;"",DigitaPRIMERA!D8,"")</f>
        <v>200</v>
      </c>
      <c r="F19" s="42">
        <f>IF(E19="",0,E19*PREMIOS!E19)</f>
        <v>16000</v>
      </c>
      <c r="G19" s="30">
        <f t="shared" si="4"/>
        <v>-13844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>
        <f>IF(DigitaPRIMERA!E8&lt;&gt;"",DigitaPRIMERA!E8,"")</f>
        <v>3500</v>
      </c>
      <c r="D20" s="42">
        <f>IF(C20="",0,C20*J$14)</f>
        <v>420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3080</v>
      </c>
    </row>
    <row r="21" spans="1:7" ht="15" thickBot="1" x14ac:dyDescent="0.4">
      <c r="A21" s="122" t="s">
        <v>5</v>
      </c>
      <c r="B21" s="129"/>
      <c r="C21" s="123">
        <f>SUM(C5:C20)</f>
        <v>31950</v>
      </c>
      <c r="D21" s="123">
        <f t="shared" ref="D21:G21" si="5">SUM(D5:D20)</f>
        <v>3834</v>
      </c>
      <c r="E21" s="123">
        <f t="shared" si="5"/>
        <v>200</v>
      </c>
      <c r="F21" s="123">
        <f t="shared" si="5"/>
        <v>16000</v>
      </c>
      <c r="G21" s="124">
        <f t="shared" si="5"/>
        <v>12116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25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442750</v>
      </c>
      <c r="K4" s="233">
        <f t="shared" ref="K4" si="0">D7+D11+D15</f>
        <v>53130</v>
      </c>
      <c r="L4" s="222">
        <f>F7+F11+F15</f>
        <v>310250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IF(DigitaNICA!C10&lt;&gt;"",DigitaNICA!C10,"")</f>
        <v>84600</v>
      </c>
      <c r="D5" s="42">
        <f>IF(C5="",0,C5*J$15)</f>
        <v>10152</v>
      </c>
      <c r="E5" s="29">
        <f>IF(DigitaNICA!D10&lt;&gt;"",DigitaNICA!D10,"")</f>
        <v>800</v>
      </c>
      <c r="F5" s="42">
        <f>IF(E5="",0,E5*PREMIOS!F5)</f>
        <v>68000</v>
      </c>
      <c r="G5" s="30">
        <f t="shared" ref="G5:G12" si="1">IF(OR(C5="",E5=""),0,C5-D5-F5)</f>
        <v>6448</v>
      </c>
      <c r="I5" s="219" t="s">
        <v>37</v>
      </c>
      <c r="J5" s="223">
        <f>SUM(IF(C5="",0,C5),IF(C9="",0,C9),IF(C13="",0,C13),IF(C17="",0,C17))</f>
        <v>366350</v>
      </c>
      <c r="K5" s="227">
        <f t="shared" ref="K5" si="2">D5+D9+D13+D17</f>
        <v>43962</v>
      </c>
      <c r="L5" s="224">
        <f>F5+F9+F13+F17</f>
        <v>191250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66100</v>
      </c>
      <c r="K6" s="228">
        <f t="shared" ref="K6" si="3">+D8+D12+D16</f>
        <v>6610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63</v>
      </c>
      <c r="C7" s="29">
        <f>IF(DigitaTICA!C10&lt;&gt;"",DigitaTICA!C10,"")</f>
        <v>137500</v>
      </c>
      <c r="D7" s="42">
        <f>IF(C7="",0,C7*J$14)</f>
        <v>16500</v>
      </c>
      <c r="E7" s="29">
        <f>IF(DigitaTICA!D10&lt;&gt;"",DigitaTICA!D10,"")</f>
        <v>500</v>
      </c>
      <c r="F7" s="42">
        <f>IF(E7="",0,E7*PREMIOS!F7)</f>
        <v>42500</v>
      </c>
      <c r="G7" s="30">
        <f t="shared" si="1"/>
        <v>78500</v>
      </c>
      <c r="I7" s="219" t="s">
        <v>96</v>
      </c>
      <c r="J7" s="225">
        <f>SUM(IF(C19="",0,C19),IF(C20="",0,C20))</f>
        <v>52350</v>
      </c>
      <c r="K7" s="228">
        <f>+D19+D20</f>
        <v>6282</v>
      </c>
      <c r="L7" s="229">
        <f>+F19+F20</f>
        <v>93500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24200</v>
      </c>
      <c r="D8" s="42">
        <f>IF(C8="",0,C8*J$16)</f>
        <v>2420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21780</v>
      </c>
      <c r="I8" s="219" t="s">
        <v>104</v>
      </c>
      <c r="J8" s="225">
        <f>SUM(IF(C21="",0,C21),IF(C22="",0,C22),IF(C23="",0,C23))</f>
        <v>13700</v>
      </c>
      <c r="K8" s="228">
        <f t="shared" ref="K8" si="4">D21+D22+D23</f>
        <v>1644</v>
      </c>
      <c r="L8" s="229">
        <f>F21+F22+F23</f>
        <v>72250</v>
      </c>
    </row>
    <row r="9" spans="1:12" x14ac:dyDescent="0.35">
      <c r="A9" s="28" t="s">
        <v>48</v>
      </c>
      <c r="B9" s="133">
        <f>IF(DigitaNICA!E2&lt;&gt;"",DigitaNICA!E2,"")</f>
        <v>38</v>
      </c>
      <c r="C9" s="29">
        <f>IF(DigitaNICA!E10&lt;&gt;"",DigitaNICA!E10,"")</f>
        <v>71950</v>
      </c>
      <c r="D9" s="42">
        <f>IF(C9="",0,C9*J$15)</f>
        <v>8634</v>
      </c>
      <c r="E9" s="29">
        <f>IF(DigitaNICA!F10&lt;&gt;"",DigitaNICA!F10,"")</f>
        <v>250</v>
      </c>
      <c r="F9" s="42">
        <f>IF(E9="",0,E9*PREMIOS!F9)</f>
        <v>21250</v>
      </c>
      <c r="G9" s="30">
        <f t="shared" si="1"/>
        <v>42066</v>
      </c>
      <c r="I9" s="219" t="s">
        <v>20</v>
      </c>
      <c r="J9" s="225">
        <f>SUM(IF(C24="",0,C24),IF(C25="",0,C25))</f>
        <v>16000</v>
      </c>
      <c r="K9" s="228">
        <f t="shared" ref="K9" si="5">+D24+D25</f>
        <v>1920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IF(DigitaTICA!E10&lt;&gt;"",DigitaTICA!E10,"")</f>
        <v>130300</v>
      </c>
      <c r="D11" s="42">
        <f>IF(C11="",0,C11*J$14)</f>
        <v>15636</v>
      </c>
      <c r="E11" s="29">
        <f>IF(DigitaTICA!F10&lt;&gt;"",DigitaTICA!F10,"")</f>
        <v>2850</v>
      </c>
      <c r="F11" s="42">
        <f>IF(E11="",0,E11*PREMIOS!F11)</f>
        <v>242250</v>
      </c>
      <c r="G11" s="30">
        <f t="shared" si="1"/>
        <v>-127586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22050</v>
      </c>
      <c r="D12" s="42">
        <f>IF(C12="",0,C12*J$16)</f>
        <v>2205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19845</v>
      </c>
    </row>
    <row r="13" spans="1:12" ht="15" thickBot="1" x14ac:dyDescent="0.4">
      <c r="A13" s="28" t="s">
        <v>50</v>
      </c>
      <c r="B13" s="133">
        <f>IF(DigitaNICA!G2&lt;&gt;"",DigitaNICA!G2,"")</f>
        <v>48</v>
      </c>
      <c r="C13" s="29">
        <f>IF(DigitaNICA!G10&lt;&gt;"",DigitaNICA!G10,"")</f>
        <v>85850</v>
      </c>
      <c r="D13" s="42">
        <f>IF(C13="",0,C13*J$15)</f>
        <v>10302</v>
      </c>
      <c r="E13" s="29">
        <f>IF(DigitaNICA!H10&lt;&gt;"",DigitaNICA!H10,"")</f>
        <v>1000</v>
      </c>
      <c r="F13" s="42">
        <f>IF(E13="",0,E13*PREMIOS!F13)</f>
        <v>85000</v>
      </c>
      <c r="G13" s="30">
        <f>IF(OR(C13="",E13=""),0,C13-D13-F13)</f>
        <v>-9452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53150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IF(DigitaTICA!G10&lt;&gt;"",DigitaTICA!G10,"")</f>
        <v>174950</v>
      </c>
      <c r="D15" s="42">
        <f>IF(C15="",0,C15*J$14)</f>
        <v>20994</v>
      </c>
      <c r="E15" s="29">
        <f>IF(DigitaTICA!H10&lt;&gt;"",DigitaTICA!H10,"")</f>
        <v>300</v>
      </c>
      <c r="F15" s="42">
        <f>IF(E15="",0,E15*PREMIOS!F15)</f>
        <v>25500</v>
      </c>
      <c r="G15" s="30">
        <f t="shared" si="6"/>
        <v>128456</v>
      </c>
      <c r="I15" s="63" t="s">
        <v>37</v>
      </c>
      <c r="J15" s="64">
        <v>0.12</v>
      </c>
      <c r="K15" s="30">
        <f>MROUND(D5+D9+D13+D17,50)</f>
        <v>43950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19850</v>
      </c>
      <c r="D16" s="42">
        <f>IF(C16="",0,C16*J$16)</f>
        <v>1985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17865</v>
      </c>
      <c r="I16" s="63" t="s">
        <v>38</v>
      </c>
      <c r="J16" s="64">
        <v>0.1</v>
      </c>
      <c r="K16" s="30">
        <f>MROUND(D6+D8+D10+D12+D14+D16+D18,50)</f>
        <v>6600</v>
      </c>
    </row>
    <row r="17" spans="1:11" x14ac:dyDescent="0.35">
      <c r="A17" s="28" t="s">
        <v>52</v>
      </c>
      <c r="B17" s="133">
        <f>IF(DigitaNICA!I2&lt;&gt;"",DigitaNICA!I2,"")</f>
        <v>56</v>
      </c>
      <c r="C17" s="29">
        <f>IF(DigitaNICA!I10&lt;&gt;"",DigitaNICA!I10,"")</f>
        <v>123950</v>
      </c>
      <c r="D17" s="42">
        <f>IF(C17="",0,C17*J$15)</f>
        <v>14874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92076</v>
      </c>
      <c r="I17" s="63" t="s">
        <v>96</v>
      </c>
      <c r="J17" s="64">
        <v>0.12</v>
      </c>
      <c r="K17" s="30">
        <f>MROUND(D19+D20,50)</f>
        <v>6300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1650</v>
      </c>
    </row>
    <row r="19" spans="1:11" x14ac:dyDescent="0.35">
      <c r="A19" s="28" t="s">
        <v>97</v>
      </c>
      <c r="B19" s="133">
        <f>IF(DigitaPRIMERA!C2&lt;&gt;"",DigitaPRIMERA!C2,"")</f>
        <v>50</v>
      </c>
      <c r="C19" s="29">
        <f>IF(DigitaPRIMERA!$C$10&lt;&gt;"",DigitaPRIMERA!$C$10,"")</f>
        <v>28900</v>
      </c>
      <c r="D19" s="42">
        <f>IF(C19="",0,C19*J$17)</f>
        <v>3468</v>
      </c>
      <c r="E19" s="29">
        <f>IF(DigitaPRIMERA!$D$10&lt;&gt;"",DigitaPRIMERA!$D$10,"")</f>
        <v>1100</v>
      </c>
      <c r="F19" s="42">
        <f>IF(E19="",0,E19*PREMIOS!F19)</f>
        <v>93500</v>
      </c>
      <c r="G19" s="30">
        <f t="shared" ref="G19:G22" si="7">IF(OR(C19="",E19=""),0,C19-D19-F19)</f>
        <v>-68068</v>
      </c>
      <c r="I19" s="63" t="s">
        <v>20</v>
      </c>
      <c r="J19" s="64">
        <v>0.12</v>
      </c>
      <c r="K19" s="30">
        <f>MROUND(D24+D25,50)</f>
        <v>1900</v>
      </c>
    </row>
    <row r="20" spans="1:11" ht="15" thickBot="1" x14ac:dyDescent="0.4">
      <c r="A20" s="28" t="s">
        <v>98</v>
      </c>
      <c r="B20" s="133">
        <f>IF(DigitaPRIMERA!E2&lt;&gt;"",DigitaPRIMERA!E2,"")</f>
        <v>83</v>
      </c>
      <c r="C20" s="29">
        <f>IF(DigitaPRIMERA!$E$10&lt;&gt;"",DigitaPRIMERA!$E$10,"")</f>
        <v>23450</v>
      </c>
      <c r="D20" s="42">
        <f>IF(C20="",0,C20*J$17)</f>
        <v>2814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20636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 t="str">
        <f>IF(DigitaHONDURAS!C2&lt;&gt;"",DigitaHONDURAS!C2,"")</f>
        <v>03</v>
      </c>
      <c r="C21" s="29">
        <f>IF(DigitaHONDURAS!$C$10&lt;&gt;"",DigitaHONDURAS!$C$10,"")</f>
        <v>5500</v>
      </c>
      <c r="D21" s="42">
        <f>IF(C21="",0,C21*J$18)</f>
        <v>660</v>
      </c>
      <c r="E21" s="29">
        <f>IF(DigitaHONDURAS!$D$10&lt;&gt;"",DigitaHONDURAS!$D$10,"")</f>
        <v>150</v>
      </c>
      <c r="F21" s="42">
        <f>IF(E21="",0,E21*PREMIOS!F20)</f>
        <v>12750</v>
      </c>
      <c r="G21" s="30">
        <f t="shared" si="7"/>
        <v>-7910</v>
      </c>
    </row>
    <row r="22" spans="1:11" x14ac:dyDescent="0.35">
      <c r="A22" s="28" t="s">
        <v>100</v>
      </c>
      <c r="B22" s="133">
        <f>IF(DigitaHONDURAS!E2&lt;&gt;"",DigitaHONDURAS!E2,"")</f>
        <v>86</v>
      </c>
      <c r="C22" s="29">
        <f>IF(DigitaHONDURAS!$E$10&lt;&gt;"",DigitaHONDURAS!$E$10,"")</f>
        <v>4850</v>
      </c>
      <c r="D22" s="42">
        <f>IF(C22="",0,C22*J$18)</f>
        <v>582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4268</v>
      </c>
    </row>
    <row r="23" spans="1:11" x14ac:dyDescent="0.35">
      <c r="A23" s="28" t="s">
        <v>101</v>
      </c>
      <c r="B23" s="133">
        <f>IF(DigitaHONDURAS!G2&lt;&gt;"",DigitaHONDURAS!G2,"")</f>
        <v>49</v>
      </c>
      <c r="C23" s="29">
        <f>IF(DigitaHONDURAS!$G$10&lt;&gt;"",DigitaHONDURAS!$G$10,"")</f>
        <v>3350</v>
      </c>
      <c r="D23" s="42">
        <f>IF(C23="",0,C23*J$18)</f>
        <v>402</v>
      </c>
      <c r="E23" s="29">
        <f>IF(DigitaHONDURAS!$H$10&lt;&gt;"",DigitaHONDURAS!$H$10,"")</f>
        <v>700</v>
      </c>
      <c r="F23" s="42">
        <f>IF(E23="",0,E23*PREMIOS!F20)</f>
        <v>59500</v>
      </c>
      <c r="G23" s="30">
        <f t="shared" ref="G23:G26" si="8">IF(OR(C23="",E23=""),0,C23-D23-F23)</f>
        <v>-56552</v>
      </c>
    </row>
    <row r="24" spans="1:11" x14ac:dyDescent="0.35">
      <c r="A24" s="28" t="s">
        <v>107</v>
      </c>
      <c r="B24" s="133">
        <f>IF(DigitaDOMINICANA!C2&lt;&gt;"",DigitaDOMINICANA!C2,"")</f>
        <v>59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3">
        <f>IF(DigitaDOMINICANA!E2&lt;&gt;"",DigitaDOMINICANA!E2,"")</f>
        <v>35</v>
      </c>
      <c r="C25" s="29">
        <f>IF(DigitaDOMINICANA!$E$10&lt;&gt;"",DigitaDOMINICANA!$E$10,"")</f>
        <v>16000</v>
      </c>
      <c r="D25" s="42">
        <f>IF(C25="",0,C25*J$19)</f>
        <v>1920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14080</v>
      </c>
    </row>
    <row r="26" spans="1:11" x14ac:dyDescent="0.35">
      <c r="A26" s="28" t="s">
        <v>21</v>
      </c>
      <c r="B26" s="133">
        <f>IF(DigitaPANAMENA!C2&lt;&gt;"",DigitaPANAMENA!C2,"")</f>
        <v>54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957250</v>
      </c>
      <c r="D27" s="68">
        <f t="shared" ref="D27:F27" si="9">SUM(D5:D26)</f>
        <v>113548</v>
      </c>
      <c r="E27" s="68">
        <f t="shared" si="9"/>
        <v>7850</v>
      </c>
      <c r="F27" s="68">
        <f t="shared" si="9"/>
        <v>667250</v>
      </c>
      <c r="G27" s="89">
        <f>SUM(G5:G26)</f>
        <v>176452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28600</v>
      </c>
      <c r="K4" s="233">
        <f t="shared" ref="K4" si="0">D7+D11+D15</f>
        <v>3432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25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IF(DigitaTICA!C11&lt;&gt;"",DigitaTICA!C11,"")</f>
        <v>16500</v>
      </c>
      <c r="D7" s="42">
        <f>IF(C7="",0,C7*J$11)</f>
        <v>1980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14520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3450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IF(DigitaTICA!G11&lt;&gt;"",DigitaTICA!G11,"")</f>
        <v>12100</v>
      </c>
      <c r="D15" s="42">
        <f>IF(C15="",0,C15*J$11)</f>
        <v>1452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10648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28600</v>
      </c>
      <c r="D21" s="123">
        <f t="shared" ref="D21:G21" si="5">SUM(D5:D20)</f>
        <v>3432</v>
      </c>
      <c r="E21" s="123">
        <f t="shared" si="5"/>
        <v>0</v>
      </c>
      <c r="F21" s="123">
        <f t="shared" si="5"/>
        <v>0</v>
      </c>
      <c r="G21" s="124">
        <f t="shared" si="5"/>
        <v>25168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128900</v>
      </c>
      <c r="K4" s="233">
        <f>D7+D11+D15</f>
        <v>15468</v>
      </c>
      <c r="L4" s="222">
        <f>F7+F11+F15</f>
        <v>93500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IF(DigitaNICA!C12&lt;&gt;"",DigitaNICA!C12,"")</f>
        <v>57700</v>
      </c>
      <c r="D5" s="42">
        <f>IF(C5="",0,C5*J$12)</f>
        <v>6924</v>
      </c>
      <c r="E5" s="29">
        <f>IF(DigitaNICA!D12&lt;&gt;"",DigitaNICA!D12,"")</f>
        <v>450</v>
      </c>
      <c r="F5" s="42">
        <f>IF(E5="",0,E5*PREMIOS!F5)</f>
        <v>38250</v>
      </c>
      <c r="G5" s="30">
        <f t="shared" ref="G5:G12" si="0">IF(OR(C5="",E5=""),0,C5-D5-F5)</f>
        <v>12526</v>
      </c>
      <c r="I5" s="219" t="s">
        <v>37</v>
      </c>
      <c r="J5" s="223">
        <f>SUM(IF(C5="",0,C5),IF(C9="",0,C9),IF(C13="",0,C13),IF(C17="",0,C17))</f>
        <v>106350</v>
      </c>
      <c r="K5" s="227">
        <f t="shared" ref="K5" si="1">D5+D9+D13+D17</f>
        <v>12762</v>
      </c>
      <c r="L5" s="224">
        <f>F5+F9+F13+F17</f>
        <v>63750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14900</v>
      </c>
      <c r="K6" s="228">
        <f t="shared" ref="K6" si="2">+D8+D12+D16</f>
        <v>1490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63</v>
      </c>
      <c r="C7" s="29">
        <f>IF(DigitaTICA!C12&lt;&gt;"",DigitaTICA!C12,"")</f>
        <v>74400</v>
      </c>
      <c r="D7" s="42">
        <f>IF(C7="",0,C7*J$11)</f>
        <v>8928</v>
      </c>
      <c r="E7" s="29">
        <f>IF(DigitaTICA!D12&lt;&gt;"",DigitaTICA!D12,"")</f>
        <v>750</v>
      </c>
      <c r="F7" s="42">
        <f>IF(E7="",0,E7*PREMIOS!F7)</f>
        <v>63750</v>
      </c>
      <c r="G7" s="30">
        <f t="shared" si="0"/>
        <v>1722</v>
      </c>
      <c r="I7" s="219" t="s">
        <v>96</v>
      </c>
      <c r="J7" s="225">
        <f>SUM(IF(C19="",0,C19),IF(C20="",0,C20))</f>
        <v>55850</v>
      </c>
      <c r="K7" s="228">
        <f>+D19+D20</f>
        <v>6702</v>
      </c>
      <c r="L7" s="229">
        <f>+F19+F20</f>
        <v>153000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6700</v>
      </c>
      <c r="D8" s="42">
        <f>IF(C8="",0,C8*J$13)</f>
        <v>670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6030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38</v>
      </c>
      <c r="C9" s="29">
        <f>IF(DigitaNICA!E12&lt;&gt;"",DigitaNICA!E12,"")</f>
        <v>42400</v>
      </c>
      <c r="D9" s="42">
        <f>IF(C9="",0,C9*J$12)</f>
        <v>5088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11812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IF(DigitaTICA!E12&lt;&gt;"",DigitaTICA!E12,"")</f>
        <v>36000</v>
      </c>
      <c r="D11" s="42">
        <f>IF(C11="",0,C11*J$11)</f>
        <v>4320</v>
      </c>
      <c r="E11" s="29">
        <f>IF(DigitaTICA!F12&lt;&gt;"",DigitaTICA!F12,"")</f>
        <v>100</v>
      </c>
      <c r="F11" s="42">
        <f>IF(E11="",0,E11*PREMIOS!F11)</f>
        <v>8500</v>
      </c>
      <c r="G11" s="30">
        <f t="shared" si="0"/>
        <v>23180</v>
      </c>
      <c r="I11" s="60" t="s">
        <v>36</v>
      </c>
      <c r="J11" s="61">
        <v>0.12</v>
      </c>
      <c r="K11" s="62">
        <f>MROUND(D7+D11+D15,50)</f>
        <v>15450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5700</v>
      </c>
      <c r="D12" s="42">
        <f>IF(C12="",0,C12*J$13)</f>
        <v>570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5130</v>
      </c>
      <c r="I12" s="63" t="s">
        <v>37</v>
      </c>
      <c r="J12" s="64">
        <v>0.12</v>
      </c>
      <c r="K12" s="30">
        <f>MROUND(D5+D9+D13+D17,50)</f>
        <v>12750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6700</v>
      </c>
    </row>
    <row r="15" spans="1:12" ht="15" thickBot="1" x14ac:dyDescent="0.4">
      <c r="A15" s="28" t="s">
        <v>61</v>
      </c>
      <c r="B15" s="133" t="str">
        <f>IF(DigitaTICA!G2&lt;&gt;"",DigitaTICA!G2,"")</f>
        <v>02</v>
      </c>
      <c r="C15" s="29">
        <f>IF(DigitaTICA!G12&lt;&gt;"",DigitaTICA!G12,"")</f>
        <v>18500</v>
      </c>
      <c r="D15" s="42">
        <f>IF(C15="",0,C15*J$11)</f>
        <v>2220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-4970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2500</v>
      </c>
      <c r="D16" s="42">
        <f>IF(C16="",0,C16*J$13)</f>
        <v>250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2250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IF(DigitaNICA!I12&lt;&gt;"",DigitaNICA!I12,"")</f>
        <v>6250</v>
      </c>
      <c r="D17" s="42">
        <f>IF(C17="",0,C17*J$12)</f>
        <v>750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5500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IF(DigitaPRIMERA!$C$12&lt;&gt;"",DigitaPRIMERA!$C$12,"")</f>
        <v>55850</v>
      </c>
      <c r="D19" s="42">
        <f>IF(C19="",0,C19*J$14)</f>
        <v>6702</v>
      </c>
      <c r="E19" s="29">
        <f>IF(DigitaPRIMERA!$D$12&lt;&gt;"",DigitaPRIMERA!$D$12,"")</f>
        <v>1800</v>
      </c>
      <c r="F19" s="42">
        <f>IF(E19="",0,E19*PREMIOS!F19)</f>
        <v>153000</v>
      </c>
      <c r="G19" s="30">
        <f t="shared" si="3"/>
        <v>-103852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>03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306000</v>
      </c>
      <c r="D24" s="68">
        <f t="shared" ref="D24:G24" si="4">SUM(D5:D23)</f>
        <v>36422</v>
      </c>
      <c r="E24" s="68">
        <f t="shared" si="4"/>
        <v>3650</v>
      </c>
      <c r="F24" s="68">
        <f t="shared" si="4"/>
        <v>310250</v>
      </c>
      <c r="G24" s="89">
        <f t="shared" si="4"/>
        <v>-40672</v>
      </c>
    </row>
    <row r="27" spans="1:7" x14ac:dyDescent="0.35">
      <c r="G27" s="21">
        <v>239339</v>
      </c>
    </row>
    <row r="28" spans="1:7" x14ac:dyDescent="0.35">
      <c r="G28" s="142">
        <f>+G24+G27</f>
        <v>198667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136350</v>
      </c>
      <c r="K4" s="233">
        <f t="shared" ref="K4" si="0">D7+D11+D15</f>
        <v>16362</v>
      </c>
      <c r="L4" s="222">
        <f>F7+F11+F15</f>
        <v>161500</v>
      </c>
    </row>
    <row r="5" spans="1:12" ht="15" thickBot="1" x14ac:dyDescent="0.4">
      <c r="A5" s="28" t="s">
        <v>43</v>
      </c>
      <c r="B5" s="133">
        <f>IF(DigitaNICA!C2&lt;&gt;"",DigitaNICA!C2,"")</f>
        <v>25</v>
      </c>
      <c r="C5" s="29">
        <f>IF(DigitaNICA!C13&lt;&gt;"",DigitaNICA!C13,"")</f>
        <v>42750</v>
      </c>
      <c r="D5" s="42">
        <f>IF(C5="",0,C5*J$10)</f>
        <v>5130</v>
      </c>
      <c r="E5" s="29">
        <f>IF(DigitaNICA!D13&lt;&gt;"",DigitaNICA!D13,"")</f>
        <v>100</v>
      </c>
      <c r="F5" s="42">
        <f>IF(E5="",0,E5*PREMIOS!E5)</f>
        <v>8000</v>
      </c>
      <c r="G5" s="30">
        <f t="shared" ref="G5:G12" si="1">IF(OR(C5="",E5=""),0,C5-D5-F5)</f>
        <v>29620</v>
      </c>
      <c r="I5" s="220" t="s">
        <v>37</v>
      </c>
      <c r="J5" s="234">
        <f>SUM(IF(C5="",0,C5),IF(C9="",0,C9),IF(C13="",0,C13),IF(C17="",0,C17))</f>
        <v>98150</v>
      </c>
      <c r="K5" s="235">
        <f t="shared" ref="K5" si="2">D5+D9+D13+D17</f>
        <v>11778</v>
      </c>
      <c r="L5" s="236">
        <f>F5+F9+F13+F17</f>
        <v>32000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IF(DigitaTICA!C13&lt;&gt;"",DigitaTICA!C13,"")</f>
        <v>49800</v>
      </c>
      <c r="D7" s="42">
        <f>IF(C7="",0,C7*J$9)</f>
        <v>5976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43824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38</v>
      </c>
      <c r="C9" s="29">
        <f>IF(DigitaNICA!E13&lt;&gt;"",DigitaNICA!E13,"")</f>
        <v>33600</v>
      </c>
      <c r="D9" s="42">
        <f>IF(C9="",0,C9*J$10)</f>
        <v>4032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29568</v>
      </c>
      <c r="I9" s="60" t="s">
        <v>36</v>
      </c>
      <c r="J9" s="61">
        <v>0.12</v>
      </c>
      <c r="K9" s="62">
        <f>MROUND(D7+D11+D15,50)</f>
        <v>16350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11800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>
        <f>IF(DigitaTICA!E13&lt;&gt;"",DigitaTICA!E13,"")</f>
        <v>27150</v>
      </c>
      <c r="D11" s="42">
        <f>IF(C11="",0,C11*J$9)</f>
        <v>3258</v>
      </c>
      <c r="E11" s="29">
        <f>IF(DigitaTICA!F13&lt;&gt;"",DigitaTICA!F13,"")</f>
        <v>900</v>
      </c>
      <c r="F11" s="134">
        <f>IF(E11="",0,E11*PREMIOS!F11)</f>
        <v>76500</v>
      </c>
      <c r="G11" s="30">
        <f t="shared" si="1"/>
        <v>-52608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>
        <f>IF(DigitaNICA!G13&lt;&gt;"",DigitaNICA!G13,"")</f>
        <v>18200</v>
      </c>
      <c r="D13" s="42">
        <f>IF(C13="",0,C13*J$10)</f>
        <v>2184</v>
      </c>
      <c r="E13" s="29">
        <f>IF(DigitaNICA!H13&lt;&gt;"",DigitaNICA!H13,"")</f>
        <v>300</v>
      </c>
      <c r="F13" s="134">
        <f>IF(E13="",0,E13*PREMIOS!E13)</f>
        <v>24000</v>
      </c>
      <c r="G13" s="30">
        <f>IF(OR(C13="",E13=""),0,C13-D13-F13)</f>
        <v>-7984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IF(DigitaTICA!G13&lt;&gt;"",DigitaTICA!G13,"")</f>
        <v>59400</v>
      </c>
      <c r="D15" s="42">
        <f>IF(C15="",0,C15*J$9)</f>
        <v>7128</v>
      </c>
      <c r="E15" s="29">
        <f>IF(DigitaTICA!H13&lt;&gt;"",DigitaTICA!H13,"")</f>
        <v>1000</v>
      </c>
      <c r="F15" s="134">
        <f>IF(E15="",0,E15*PREMIOS!F15)</f>
        <v>85000</v>
      </c>
      <c r="G15" s="30">
        <f t="shared" si="3"/>
        <v>-32728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IF(DigitaNICA!I13&lt;&gt;"",DigitaNICA!I13,"")</f>
        <v>3600</v>
      </c>
      <c r="D17" s="42">
        <f>IF(C17="",0,C17*J$10)</f>
        <v>432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3168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234500</v>
      </c>
      <c r="D19" s="68">
        <f>MROUND(SUM(D5:D18),50)</f>
        <v>28150</v>
      </c>
      <c r="E19" s="68">
        <f>SUM(E5:E18)</f>
        <v>2300</v>
      </c>
      <c r="F19" s="68">
        <f>SUM(F5:F18)</f>
        <v>193500</v>
      </c>
      <c r="G19" s="89">
        <f>SUM(G5:G18)</f>
        <v>12860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105750</v>
      </c>
      <c r="K4" s="238">
        <f t="shared" ref="K4" si="0">D7+D11+D15</f>
        <v>15862.5</v>
      </c>
      <c r="L4" s="239">
        <f>F7+F11+F15</f>
        <v>40000</v>
      </c>
    </row>
    <row r="5" spans="1:12" x14ac:dyDescent="0.35">
      <c r="A5" s="28" t="s">
        <v>43</v>
      </c>
      <c r="B5" s="133">
        <f>IF(DigitaNICA!C2&lt;&gt;"",DigitaNICA!C2,"")</f>
        <v>25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IF(DigitaTICA!C14&lt;&gt;"",DigitaTICA!C14,"")</f>
        <v>37900</v>
      </c>
      <c r="D7" s="42">
        <f>IF(C7="",0,C7*J$9)</f>
        <v>5685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32215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15850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>
        <f>IF(DigitaTICA!E14&lt;&gt;"",DigitaTICA!E14,"")</f>
        <v>25550</v>
      </c>
      <c r="D11" s="42">
        <f>IF(C11="",0,C11*J$9)</f>
        <v>3832.5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21717.5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IF(DigitaTICA!G14&lt;&gt;"",DigitaTICA!G14,"")</f>
        <v>42300</v>
      </c>
      <c r="D15" s="42">
        <f>IF(C15="",0,C15*J$9)</f>
        <v>6345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-4045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105750</v>
      </c>
      <c r="D19" s="68">
        <f>MROUND(SUM(D5:D18),50)</f>
        <v>15850</v>
      </c>
      <c r="E19" s="68">
        <f>SUM(E5:E18)</f>
        <v>500</v>
      </c>
      <c r="F19" s="68">
        <f>SUM(F5:F18)</f>
        <v>40000</v>
      </c>
      <c r="G19" s="89">
        <f>SUM(G5:G18)</f>
        <v>49887.5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25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65800</v>
      </c>
      <c r="K4" s="233">
        <f>D7+D11+D15</f>
        <v>7896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25</v>
      </c>
      <c r="C5" s="29">
        <f>IF(DigitaNICA!C16&lt;&gt;"",DigitaNICA!C16,"")</f>
        <v>1700</v>
      </c>
      <c r="D5" s="42">
        <f>IF(C5="",0,C5*J$12)</f>
        <v>204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1496</v>
      </c>
      <c r="I5" s="63" t="s">
        <v>37</v>
      </c>
      <c r="J5" s="227">
        <f>SUM(IF(C5="",0,C5),IF(C9="",0,C9),IF(C13="",0,C13),IF(C17="",0,C17))</f>
        <v>38350</v>
      </c>
      <c r="K5" s="227">
        <f t="shared" ref="K5" si="1">D5+D9+D13+D17</f>
        <v>4602</v>
      </c>
      <c r="L5" s="224">
        <f>F5+F9+F13+F17</f>
        <v>56000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3600</v>
      </c>
      <c r="K6" s="228">
        <f t="shared" ref="K6" si="2">+D8+D12+D16</f>
        <v>360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63</v>
      </c>
      <c r="C7" s="29">
        <f>IF(DigitaTICA!C16&lt;&gt;"",DigitaTICA!C16,"")</f>
        <v>26400</v>
      </c>
      <c r="D7" s="42">
        <f>IF(C7="",0,C7*J$11)</f>
        <v>3168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23232</v>
      </c>
      <c r="I7" s="63" t="s">
        <v>96</v>
      </c>
      <c r="J7" s="228">
        <f>SUM(IF(C19="",0,C19),IF(C20="",0,C20))</f>
        <v>5000</v>
      </c>
      <c r="K7" s="228">
        <f>+D19+D20</f>
        <v>600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1800</v>
      </c>
      <c r="I8" s="65" t="s">
        <v>104</v>
      </c>
      <c r="J8" s="230">
        <f>SUM(IF(C21="",0,C21),IF(C22="",0,C22),IF(C23="",0,C23))</f>
        <v>250</v>
      </c>
      <c r="K8" s="230">
        <f>D21+D22+D23</f>
        <v>30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38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4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IF(DigitaTICA!E16&lt;&gt;"",DigitaTICA!E16,"")</f>
        <v>17000</v>
      </c>
      <c r="D11" s="42">
        <f>IF(C11="",0,C11*J$11)</f>
        <v>2040</v>
      </c>
      <c r="E11" s="29">
        <f>IF(DigitaTICA!F16&lt;&gt;"",DigitaTICA!F16,"")</f>
        <v>500</v>
      </c>
      <c r="F11" s="134">
        <f>IF(E11="",0,E11*PREMIOS!F11)</f>
        <v>42500</v>
      </c>
      <c r="G11" s="30">
        <f t="shared" si="0"/>
        <v>-27540</v>
      </c>
      <c r="I11" s="77" t="s">
        <v>36</v>
      </c>
      <c r="J11" s="78">
        <v>0.12</v>
      </c>
      <c r="K11" s="79">
        <f>MROUND(D7+D11+D15,50)</f>
        <v>7900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600</v>
      </c>
      <c r="D12" s="42">
        <f>IF(C12="",0,C12*J$13)</f>
        <v>60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540</v>
      </c>
      <c r="I12" s="63" t="s">
        <v>37</v>
      </c>
      <c r="J12" s="64">
        <v>0.12</v>
      </c>
      <c r="K12" s="30">
        <f>MROUND(D5+D9+D13+D17,50)</f>
        <v>4600</v>
      </c>
    </row>
    <row r="13" spans="1:12" x14ac:dyDescent="0.35">
      <c r="A13" s="28" t="s">
        <v>50</v>
      </c>
      <c r="B13" s="133">
        <f>IF(DigitaNICA!G2&lt;&gt;"",DigitaNICA!G2,"")</f>
        <v>48</v>
      </c>
      <c r="C13" s="29">
        <f>IF(DigitaNICA!G16&lt;&gt;"",DigitaNICA!G16,"")</f>
        <v>6000</v>
      </c>
      <c r="D13" s="42">
        <f>IF(C13="",0,C13*J$12)</f>
        <v>720</v>
      </c>
      <c r="E13" s="29">
        <f>IF(DigitaNICA!H16&lt;&gt;"",DigitaNICA!H16,"")</f>
        <v>500</v>
      </c>
      <c r="F13" s="134">
        <f>IF(E13="",0,E13*PREMIOS!E13)</f>
        <v>40000</v>
      </c>
      <c r="G13" s="30">
        <f>IF(OR(C13="",E13=""),0,C13-D13-F13)</f>
        <v>-34720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600</v>
      </c>
    </row>
    <row r="15" spans="1:12" ht="15" thickBot="1" x14ac:dyDescent="0.4">
      <c r="A15" s="28" t="s">
        <v>61</v>
      </c>
      <c r="B15" s="133" t="str">
        <f>IF(DigitaTICA!G2&lt;&gt;"",DigitaTICA!G2,"")</f>
        <v>02</v>
      </c>
      <c r="C15" s="29">
        <f>IF(DigitaTICA!G16&lt;&gt;"",DigitaTICA!G16,"")</f>
        <v>22400</v>
      </c>
      <c r="D15" s="42">
        <f>IF(C15="",0,C15*J$11)</f>
        <v>2688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19712</v>
      </c>
      <c r="I15" s="65" t="s">
        <v>104</v>
      </c>
      <c r="J15" s="66">
        <v>0.12</v>
      </c>
      <c r="K15" s="50">
        <f>MROUND(D21+D22+D23,50)</f>
        <v>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IF(DigitaNICA!I16&lt;&gt;"",DigitaNICA!I16,"")</f>
        <v>30650</v>
      </c>
      <c r="D17" s="42">
        <f>IF(C17="",0,C17*J$12)</f>
        <v>3678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10972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IF(DigitaPRIMERA!C16&lt;&gt;"",DigitaPRIMERA!C16,"")</f>
        <v>5000</v>
      </c>
      <c r="D19" s="42">
        <f>IF(C19="",0,C19*J$14)</f>
        <v>600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4400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>03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49</v>
      </c>
      <c r="C23" s="29">
        <f>IF(DigitaHONDURAS!$G$16&lt;&gt;"",DigitaHONDURAS!$G$16,"")</f>
        <v>250</v>
      </c>
      <c r="D23" s="42">
        <f t="shared" si="4"/>
        <v>30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220</v>
      </c>
    </row>
    <row r="24" spans="1:7" ht="15" thickBot="1" x14ac:dyDescent="0.4">
      <c r="A24" s="122" t="s">
        <v>5</v>
      </c>
      <c r="B24" s="129"/>
      <c r="C24" s="123">
        <f>SUM(C5:C23)</f>
        <v>113000</v>
      </c>
      <c r="D24" s="123">
        <f t="shared" ref="D24:G24" si="5">SUM(D5:D23)</f>
        <v>13488</v>
      </c>
      <c r="E24" s="123">
        <f t="shared" si="5"/>
        <v>1200</v>
      </c>
      <c r="F24" s="123">
        <f t="shared" si="5"/>
        <v>98500</v>
      </c>
      <c r="G24" s="124">
        <f t="shared" si="5"/>
        <v>1012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420000</v>
      </c>
      <c r="K4" s="233">
        <f t="shared" ref="K4" si="0">D7+D11+D15</f>
        <v>50400</v>
      </c>
      <c r="L4" s="222">
        <f>F7+F11+F15</f>
        <v>208250</v>
      </c>
    </row>
    <row r="5" spans="1:12" x14ac:dyDescent="0.35">
      <c r="A5" s="28" t="s">
        <v>43</v>
      </c>
      <c r="B5" s="133">
        <f>IF(DigitaNICA!C2&lt;&gt;"",DigitaNICA!C2,"")</f>
        <v>25</v>
      </c>
      <c r="C5" s="90">
        <f>IF(DigitaNICA!C17&lt;&gt;"",DigitaNICA!C17,"")</f>
        <v>115450</v>
      </c>
      <c r="D5" s="42">
        <f>IF(C5="",0,C5*J$16)</f>
        <v>13854</v>
      </c>
      <c r="E5" s="90">
        <f>IF(DigitaNICA!D17&lt;&gt;"",DigitaNICA!D17,"")</f>
        <v>5300</v>
      </c>
      <c r="F5" s="42">
        <f>IF(E5="",0,E5*PREMIOS!F5)</f>
        <v>450500</v>
      </c>
      <c r="G5" s="91">
        <f t="shared" ref="G5:G12" si="1">IF(OR(C5="",E5=""),0,C5-D5-F5)</f>
        <v>-348904</v>
      </c>
      <c r="I5" s="219" t="s">
        <v>37</v>
      </c>
      <c r="J5" s="223">
        <f>SUM(IF(C5="",0,C5),IF(C9="",0,C9),IF(C13="",0,C13),IF(C17="",0,C17))</f>
        <v>486400</v>
      </c>
      <c r="K5" s="227">
        <f t="shared" ref="K5" si="2">D5+D9+D13+D17</f>
        <v>58368</v>
      </c>
      <c r="L5" s="224">
        <f>F5+F9+F13+F17</f>
        <v>586500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68850</v>
      </c>
      <c r="K6" s="228">
        <f t="shared" ref="K6" si="3">+D8+D12+D16</f>
        <v>6885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63</v>
      </c>
      <c r="C7" s="90">
        <f>IF(DigitaTICA!C17&lt;&gt;"",DigitaTICA!C17,"")</f>
        <v>156300</v>
      </c>
      <c r="D7" s="42">
        <f>IF(C7="",0,C7*J$15)</f>
        <v>18756</v>
      </c>
      <c r="E7" s="90">
        <f>IF(DigitaTICA!D17&lt;&gt;"",DigitaTICA!D17,"")</f>
        <v>100</v>
      </c>
      <c r="F7" s="42">
        <f>IF(E7="",0,E7*PREMIOS!F7)</f>
        <v>8500</v>
      </c>
      <c r="G7" s="91">
        <f t="shared" si="1"/>
        <v>129044</v>
      </c>
      <c r="I7" s="219" t="s">
        <v>96</v>
      </c>
      <c r="J7" s="225">
        <f>SUM(IF(C19="",0,C19),IF(C20="",0,C20))</f>
        <v>158250</v>
      </c>
      <c r="K7" s="228">
        <f>+D19+D20</f>
        <v>18990</v>
      </c>
      <c r="L7" s="229">
        <f>+F19+F20</f>
        <v>301750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23850</v>
      </c>
      <c r="D8" s="42">
        <f>IF(C8="",0,C8*J$17)</f>
        <v>2385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21465</v>
      </c>
      <c r="I8" s="219" t="s">
        <v>104</v>
      </c>
      <c r="J8" s="225">
        <f>SUM(IF(C21="",0,C21),IF(C22="",0,C22),IF(C23="",0,C23))</f>
        <v>97450</v>
      </c>
      <c r="K8" s="228">
        <f t="shared" ref="K8" si="4">D21+D22+D23</f>
        <v>11694</v>
      </c>
      <c r="L8" s="229">
        <f>F21+F22+F23</f>
        <v>59500</v>
      </c>
    </row>
    <row r="9" spans="1:12" x14ac:dyDescent="0.35">
      <c r="A9" s="28" t="s">
        <v>48</v>
      </c>
      <c r="B9" s="133">
        <f>IF(DigitaNICA!E2&lt;&gt;"",DigitaNICA!E2,"")</f>
        <v>38</v>
      </c>
      <c r="C9" s="90">
        <f>IF(DigitaNICA!E17&lt;&gt;"",DigitaNICA!E17,"")</f>
        <v>119250</v>
      </c>
      <c r="D9" s="42">
        <f>IF(C9="",0,C9*J$16)</f>
        <v>14310</v>
      </c>
      <c r="E9" s="90">
        <f>IF(DigitaNICA!F17&lt;&gt;"",DigitaNICA!F17,"")</f>
        <v>50</v>
      </c>
      <c r="F9" s="42">
        <f>IF(E9="",0,E9*PREMIOS!F9)</f>
        <v>4250</v>
      </c>
      <c r="G9" s="91">
        <f t="shared" si="1"/>
        <v>100690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12</v>
      </c>
      <c r="C11" s="90">
        <f>IF(DigitaTICA!E17&lt;&gt;"",DigitaTICA!E17,"")</f>
        <v>105650</v>
      </c>
      <c r="D11" s="42">
        <f>IF(C11="",0,C11*J$15)</f>
        <v>12678</v>
      </c>
      <c r="E11" s="90">
        <f>IF(DigitaTICA!F17&lt;&gt;"",DigitaTICA!F17,"")</f>
        <v>1000</v>
      </c>
      <c r="F11" s="42">
        <f>IF(E11="",0,E11*PREMIOS!F11)</f>
        <v>85000</v>
      </c>
      <c r="G11" s="91">
        <f t="shared" si="1"/>
        <v>7972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20650</v>
      </c>
      <c r="D12" s="42">
        <f>IF(C12="",0,C12*J$17)</f>
        <v>2065</v>
      </c>
      <c r="E12" s="90">
        <f>IF(DigitaREVENTADO!F17&lt;&gt;"",DigitaREVENTADO!F17,"")</f>
        <v>100</v>
      </c>
      <c r="F12" s="42">
        <f>IF(E12="",0,E12*PREMIOS!F12)</f>
        <v>0</v>
      </c>
      <c r="G12" s="91">
        <f t="shared" si="1"/>
        <v>18585</v>
      </c>
    </row>
    <row r="13" spans="1:12" ht="15" thickBot="1" x14ac:dyDescent="0.4">
      <c r="A13" s="28" t="s">
        <v>50</v>
      </c>
      <c r="B13" s="133">
        <f>IF(DigitaNICA!G2&lt;&gt;"",DigitaNICA!G2,"")</f>
        <v>48</v>
      </c>
      <c r="C13" s="90">
        <f>IF(DigitaNICA!G17&lt;&gt;"",DigitaNICA!G17,"")</f>
        <v>67200</v>
      </c>
      <c r="D13" s="42">
        <f>IF(C13="",0,C13*J$16)</f>
        <v>8064</v>
      </c>
      <c r="E13" s="90">
        <f>IF(DigitaNICA!H17&lt;&gt;"",DigitaNICA!H17,"")</f>
        <v>600</v>
      </c>
      <c r="F13" s="42">
        <f>IF(E13="",0,E13*PREMIOS!F13)</f>
        <v>51000</v>
      </c>
      <c r="G13" s="91">
        <f>IF(OR(C13="",E13=""),0,C13-D13-F13)</f>
        <v>8136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02</v>
      </c>
      <c r="C15" s="90">
        <f>IF(DigitaTICA!G17&lt;&gt;"",DigitaTICA!G17,"")</f>
        <v>158050</v>
      </c>
      <c r="D15" s="42">
        <f>IF(C15="",0,C15*J$15)</f>
        <v>18966</v>
      </c>
      <c r="E15" s="90">
        <f>IF(DigitaTICA!H17&lt;&gt;"",DigitaTICA!H17,"")</f>
        <v>1350</v>
      </c>
      <c r="F15" s="42">
        <f>IF(E15="",0,E15*PREMIOS!F15)</f>
        <v>114750</v>
      </c>
      <c r="G15" s="91">
        <f t="shared" si="6"/>
        <v>24334</v>
      </c>
      <c r="I15" s="77" t="s">
        <v>36</v>
      </c>
      <c r="J15" s="78">
        <v>0.12</v>
      </c>
      <c r="K15" s="79">
        <f>MROUND(D7+D11+D15,50)</f>
        <v>50400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24350</v>
      </c>
      <c r="D16" s="42">
        <f>IF(C16="",0,C16*J$17)</f>
        <v>2435</v>
      </c>
      <c r="E16" s="90">
        <f>IF(DigitaREVENTADO!H17&lt;&gt;"",DigitaREVENTADO!H17,"")</f>
        <v>550</v>
      </c>
      <c r="F16" s="42">
        <f>IF(E16="",0,E16*PREMIOS!F16)</f>
        <v>0</v>
      </c>
      <c r="G16" s="91">
        <f t="shared" si="6"/>
        <v>21915</v>
      </c>
      <c r="I16" s="63" t="s">
        <v>37</v>
      </c>
      <c r="J16" s="64">
        <v>0.12</v>
      </c>
      <c r="K16" s="30">
        <f>MROUND(D5+D9+D13+D17,50)</f>
        <v>58350</v>
      </c>
    </row>
    <row r="17" spans="1:11" x14ac:dyDescent="0.35">
      <c r="A17" s="28" t="s">
        <v>52</v>
      </c>
      <c r="B17" s="133">
        <f>IF(DigitaNICA!I2&lt;&gt;"",DigitaNICA!I2,"")</f>
        <v>56</v>
      </c>
      <c r="C17" s="90">
        <f>IF(DigitaNICA!I17&lt;&gt;"",DigitaNICA!I17,"")</f>
        <v>184500</v>
      </c>
      <c r="D17" s="42">
        <f>IF(C17="",0,C17*J$16)</f>
        <v>22140</v>
      </c>
      <c r="E17" s="90">
        <f>IF(DigitaNICA!J17&lt;&gt;"",DigitaNICA!J17,"")</f>
        <v>950</v>
      </c>
      <c r="F17" s="42">
        <f>IF(E17="",0,E17*PREMIOS!F17)</f>
        <v>80750</v>
      </c>
      <c r="G17" s="91">
        <f t="shared" si="6"/>
        <v>81610</v>
      </c>
      <c r="I17" s="63" t="s">
        <v>38</v>
      </c>
      <c r="J17" s="64">
        <v>0.1</v>
      </c>
      <c r="K17" s="30">
        <f>MROUND(D6+D8+D10+D12+D14+D16+D18,50)</f>
        <v>6900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19000</v>
      </c>
    </row>
    <row r="19" spans="1:11" x14ac:dyDescent="0.35">
      <c r="A19" s="28" t="s">
        <v>97</v>
      </c>
      <c r="B19" s="133">
        <f>IF(DigitaPRIMERA!C2&lt;&gt;"",DigitaPRIMERA!C2,"")</f>
        <v>50</v>
      </c>
      <c r="C19" s="29">
        <f>IF(DigitaPRIMERA!$C$17&lt;&gt;"",DigitaPRIMERA!$C$17,"")</f>
        <v>102300</v>
      </c>
      <c r="D19" s="42">
        <f>IF(C19="",0,C19*J$18)</f>
        <v>12276</v>
      </c>
      <c r="E19" s="29">
        <f>IF(DigitaPRIMERA!$D$17&lt;&gt;"",DigitaPRIMERA!$D$17,"")</f>
        <v>2950</v>
      </c>
      <c r="F19" s="42">
        <f>IF(E19="",0,E19*PREMIOS!F19)</f>
        <v>250750</v>
      </c>
      <c r="G19" s="30">
        <f t="shared" si="6"/>
        <v>-160726</v>
      </c>
      <c r="I19" s="63" t="s">
        <v>104</v>
      </c>
      <c r="J19" s="64">
        <v>0.12</v>
      </c>
      <c r="K19" s="30">
        <f>MROUND(D21+D22+D23,50)</f>
        <v>11700</v>
      </c>
    </row>
    <row r="20" spans="1:11" x14ac:dyDescent="0.35">
      <c r="A20" s="28" t="s">
        <v>98</v>
      </c>
      <c r="B20" s="133">
        <f>IF(DigitaPRIMERA!E2&lt;&gt;"",DigitaPRIMERA!E2,"")</f>
        <v>83</v>
      </c>
      <c r="C20" s="29">
        <f>IF(DigitaPRIMERA!$E$17&lt;&gt;"",DigitaPRIMERA!$E$17,"")</f>
        <v>55950</v>
      </c>
      <c r="D20" s="42">
        <f>IF(C20="",0,C20*J$18)</f>
        <v>6714</v>
      </c>
      <c r="E20" s="29">
        <f>IF(DigitaPRIMERA!$F$17&lt;&gt;"",DigitaPRIMERA!$F$17,"")</f>
        <v>600</v>
      </c>
      <c r="F20" s="42">
        <f>IF(E20="",0,E20*PREMIOS!F19)</f>
        <v>51000</v>
      </c>
      <c r="G20" s="30">
        <f t="shared" si="6"/>
        <v>-1764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03</v>
      </c>
      <c r="C21" s="29">
        <f>IF(DigitaHONDURAS!$C$17&lt;&gt;"",DigitaHONDURAS!$C$17,"")</f>
        <v>44350</v>
      </c>
      <c r="D21" s="42">
        <f>IF(C21="",0,C21*J$19)</f>
        <v>5322</v>
      </c>
      <c r="E21" s="29">
        <f>IF(DigitaHONDURAS!$D$17&lt;&gt;"",DigitaHONDURAS!$D$17,"")</f>
        <v>550</v>
      </c>
      <c r="F21" s="42">
        <f>IF(E21="",0,E21*PREMIOS!F20)</f>
        <v>46750</v>
      </c>
      <c r="G21" s="30">
        <f t="shared" si="6"/>
        <v>-7722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86</v>
      </c>
      <c r="C22" s="29">
        <f>IF(DigitaHONDURAS!$E$17&lt;&gt;"",DigitaHONDURAS!$E$17,"")</f>
        <v>12450</v>
      </c>
      <c r="D22" s="42">
        <f>IF(C22="",0,C22*J$19)</f>
        <v>1494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10956</v>
      </c>
    </row>
    <row r="23" spans="1:11" x14ac:dyDescent="0.35">
      <c r="A23" s="28" t="s">
        <v>101</v>
      </c>
      <c r="B23" s="133">
        <f>IF(DigitaHONDURAS!G2&lt;&gt;"",DigitaHONDURAS!G2,"")</f>
        <v>49</v>
      </c>
      <c r="C23" s="29">
        <f>IF(DigitaHONDURAS!$G$17&lt;&gt;"",DigitaHONDURAS!$G$17,"")</f>
        <v>40650</v>
      </c>
      <c r="D23" s="42">
        <f>IF(C23="",0,C23*J$19)</f>
        <v>4878</v>
      </c>
      <c r="E23" s="29">
        <f>IF(DigitaHONDURAS!$H$17&lt;&gt;"",DigitaHONDURAS!$H$17,"")</f>
        <v>150</v>
      </c>
      <c r="F23" s="42">
        <f>IF(E23="",0,E23*PREMIOS!F20)</f>
        <v>12750</v>
      </c>
      <c r="G23" s="30">
        <f t="shared" si="6"/>
        <v>23022</v>
      </c>
    </row>
    <row r="24" spans="1:11" x14ac:dyDescent="0.35">
      <c r="A24" s="28" t="s">
        <v>102</v>
      </c>
      <c r="B24" s="133">
        <f>IF(DigitaDOMINICANA!C2&lt;&gt;"",DigitaDOMINICANA!C2,"")</f>
        <v>59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54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1230950</v>
      </c>
      <c r="D27" s="68">
        <f t="shared" ref="D27:G27" si="7">SUM(D5:D26)</f>
        <v>146337</v>
      </c>
      <c r="E27" s="68">
        <f t="shared" si="7"/>
        <v>14250</v>
      </c>
      <c r="F27" s="68">
        <f t="shared" si="7"/>
        <v>1156000</v>
      </c>
      <c r="G27" s="89">
        <f t="shared" si="7"/>
        <v>-71387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131350</v>
      </c>
      <c r="K4" s="233">
        <f t="shared" ref="K4" si="0">D7+D11+D15</f>
        <v>15762</v>
      </c>
      <c r="L4" s="222">
        <f>F7+F11+F15</f>
        <v>110500</v>
      </c>
    </row>
    <row r="5" spans="1:12" x14ac:dyDescent="0.35">
      <c r="A5" s="28" t="str">
        <f>+Vendedor1!A5</f>
        <v>Nica 11am</v>
      </c>
      <c r="B5" s="133">
        <f>IF(DigitaNICA!C2&lt;&gt;"",DigitaNICA!C2,"")</f>
        <v>25</v>
      </c>
      <c r="C5" s="29">
        <f>IF(DigitaNICA!C18&lt;&gt;"",DigitaNICA!C18,"")</f>
        <v>41400</v>
      </c>
      <c r="D5" s="42">
        <f>IF(C5="",0,C5*J$16)</f>
        <v>4968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2432</v>
      </c>
      <c r="I5" s="219" t="s">
        <v>37</v>
      </c>
      <c r="J5" s="223">
        <f>SUM(IF(C5="",0,C5),IF(C9="",0,C9),IF(C13="",0,C13),IF(C17="",0,C17))</f>
        <v>125900</v>
      </c>
      <c r="K5" s="227">
        <f t="shared" ref="K5" si="2">D5+D9+D13+D17</f>
        <v>15108</v>
      </c>
      <c r="L5" s="224">
        <f>F5+F9+F13+F17</f>
        <v>51000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48300</v>
      </c>
      <c r="K6" s="228">
        <f t="shared" ref="K6" si="3">+D8+D12+D16</f>
        <v>4830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63</v>
      </c>
      <c r="C7" s="29">
        <f>IF(DigitaTICA!C18&lt;&gt;"",DigitaTICA!C18,"")</f>
        <v>46100</v>
      </c>
      <c r="D7" s="42">
        <f>IF(C7="",0,C7*J$15)</f>
        <v>5532</v>
      </c>
      <c r="E7" s="29">
        <f>IF(DigitaTICA!D18&lt;&gt;"",DigitaTICA!D18,"")</f>
        <v>250</v>
      </c>
      <c r="F7" s="42">
        <f>IF(E7="",0,E7*PREMIOS!F7)</f>
        <v>21250</v>
      </c>
      <c r="G7" s="30">
        <f t="shared" si="1"/>
        <v>19318</v>
      </c>
      <c r="I7" s="219" t="s">
        <v>96</v>
      </c>
      <c r="J7" s="225">
        <f>SUM(IF(C19="",0,C19),IF(C20="",0,C20))</f>
        <v>85100</v>
      </c>
      <c r="K7" s="228">
        <f>+D19+D20</f>
        <v>10212</v>
      </c>
      <c r="L7" s="229">
        <f>+F19+F20</f>
        <v>85000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16700</v>
      </c>
      <c r="D8" s="42">
        <f>IF(C8="",0,C8*J$17)</f>
        <v>1670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15030</v>
      </c>
      <c r="I8" s="219" t="s">
        <v>104</v>
      </c>
      <c r="J8" s="225">
        <f>SUM(IF(C21="",0,C21),IF(C22="",0,C22),IF(C23="",0,C23))</f>
        <v>20800</v>
      </c>
      <c r="K8" s="228">
        <f t="shared" ref="K8" si="4">D21+D22+D23</f>
        <v>2496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38</v>
      </c>
      <c r="C9" s="29">
        <f>IF(DigitaNICA!E18&lt;&gt;"",DigitaNICA!E18,"")</f>
        <v>32200</v>
      </c>
      <c r="D9" s="42">
        <f>IF(C9="",0,C9*J$16)</f>
        <v>3864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28336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2750</v>
      </c>
      <c r="K10" s="230">
        <f>+D26</f>
        <v>330</v>
      </c>
      <c r="L10" s="231">
        <f>F26</f>
        <v>21250</v>
      </c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IF(DigitaTICA!E18&lt;&gt;"",DigitaTICA!E18,"")</f>
        <v>41850</v>
      </c>
      <c r="D11" s="42">
        <f>IF(C11="",0,C11*J$15)</f>
        <v>5022</v>
      </c>
      <c r="E11" s="29">
        <f>IF(DigitaTICA!F18&lt;&gt;"",DigitaTICA!F18,"")</f>
        <v>750</v>
      </c>
      <c r="F11" s="42">
        <f>IF(E11="",0,E11*PREMIOS!F11)</f>
        <v>63750</v>
      </c>
      <c r="G11" s="30">
        <f t="shared" si="1"/>
        <v>-26922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12150</v>
      </c>
      <c r="D12" s="42">
        <f>IF(C12="",0,C12*J$17)</f>
        <v>1215</v>
      </c>
      <c r="E12" s="29">
        <f>IF(DigitaREVENTADO!F18&lt;&gt;"",DigitaREVENTADO!F18,"")</f>
        <v>400</v>
      </c>
      <c r="F12" s="42">
        <f>IF(E12="",0,E12*PREMIOS!F12)</f>
        <v>0</v>
      </c>
      <c r="G12" s="30">
        <f t="shared" si="1"/>
        <v>10935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48</v>
      </c>
      <c r="C13" s="29">
        <f>IF(DigitaNICA!G18&lt;&gt;"",DigitaNICA!G18,"")</f>
        <v>42300</v>
      </c>
      <c r="D13" s="42">
        <f>IF(C13="",0,C13*J$16)</f>
        <v>5076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20224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02</v>
      </c>
      <c r="C15" s="29">
        <f>IF(DigitaTICA!G18&lt;&gt;"",DigitaTICA!G18,"")</f>
        <v>43400</v>
      </c>
      <c r="D15" s="42">
        <f>IF(C15="",0,C15*J$15)</f>
        <v>5208</v>
      </c>
      <c r="E15" s="29">
        <f>IF(DigitaTICA!H18&lt;&gt;"",DigitaTICA!H18,"")</f>
        <v>300</v>
      </c>
      <c r="F15" s="42">
        <f>IF(E15="",0,E15*PREMIOS!F15)</f>
        <v>25500</v>
      </c>
      <c r="G15" s="30">
        <f t="shared" si="6"/>
        <v>12692</v>
      </c>
      <c r="I15" s="77" t="s">
        <v>36</v>
      </c>
      <c r="J15" s="78">
        <v>0.12</v>
      </c>
      <c r="K15" s="79">
        <f>MROUND(D7+D11+D15,50)</f>
        <v>15750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19450</v>
      </c>
      <c r="D16" s="42">
        <f>IF(C16="",0,C16*J$17)</f>
        <v>1945</v>
      </c>
      <c r="E16" s="29">
        <f>IF(DigitaREVENTADO!H18&lt;&gt;"",DigitaREVENTADO!H18,"")</f>
        <v>300</v>
      </c>
      <c r="F16" s="42">
        <f>IF(E16="",0,E16*PREMIOS!F16)</f>
        <v>0</v>
      </c>
      <c r="G16" s="30">
        <f t="shared" si="6"/>
        <v>17505</v>
      </c>
      <c r="I16" s="63" t="s">
        <v>37</v>
      </c>
      <c r="J16" s="64">
        <v>0.12</v>
      </c>
      <c r="K16" s="30">
        <f>MROUND(D5+D9+D13+D17,50)</f>
        <v>15100</v>
      </c>
    </row>
    <row r="17" spans="1:11" x14ac:dyDescent="0.35">
      <c r="A17" s="28" t="str">
        <f>+Vendedor1!A17</f>
        <v>Nica 9pm</v>
      </c>
      <c r="B17" s="133">
        <f>IF(DigitaNICA!I2&lt;&gt;"",DigitaNICA!I2,"")</f>
        <v>56</v>
      </c>
      <c r="C17" s="29">
        <f>IF(DigitaNICA!I18&lt;&gt;"",DigitaNICA!I18,"")</f>
        <v>10000</v>
      </c>
      <c r="D17" s="42">
        <f>IF(C17="",0,C17*J$16)</f>
        <v>1200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8800</v>
      </c>
      <c r="I17" s="63" t="s">
        <v>38</v>
      </c>
      <c r="J17" s="64">
        <v>0.1</v>
      </c>
      <c r="K17" s="30">
        <f>MROUND(D6+D8+D10+D12+D14+D16+D18,50)</f>
        <v>4850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10200</v>
      </c>
    </row>
    <row r="19" spans="1:11" x14ac:dyDescent="0.35">
      <c r="A19" s="28" t="s">
        <v>97</v>
      </c>
      <c r="B19" s="133">
        <f>IF(DigitaPRIMERA!C2&lt;&gt;"",DigitaPRIMERA!C2,"")</f>
        <v>50</v>
      </c>
      <c r="C19" s="29">
        <f>IF(DigitaPRIMERA!$C$18&lt;&gt;"",DigitaPRIMERA!$C$18,"")</f>
        <v>43100</v>
      </c>
      <c r="D19" s="42">
        <f>IF(C19="",0,C19*J$18)</f>
        <v>5172</v>
      </c>
      <c r="E19" s="29">
        <f>IF(DigitaPRIMERA!$D$18&lt;&gt;"",DigitaPRIMERA!$D$18,"")</f>
        <v>850</v>
      </c>
      <c r="F19" s="42">
        <f>IF(E19="",0,E19*PREMIOS!F19)</f>
        <v>72250</v>
      </c>
      <c r="G19" s="30">
        <f t="shared" si="6"/>
        <v>-34322</v>
      </c>
      <c r="I19" s="63" t="s">
        <v>104</v>
      </c>
      <c r="J19" s="64">
        <v>0.12</v>
      </c>
      <c r="K19" s="30">
        <f>MROUND(D21+D22+D23,50)</f>
        <v>2500</v>
      </c>
    </row>
    <row r="20" spans="1:11" x14ac:dyDescent="0.35">
      <c r="A20" s="28" t="s">
        <v>98</v>
      </c>
      <c r="B20" s="133">
        <f>IF(DigitaPRIMERA!E2&lt;&gt;"",DigitaPRIMERA!E2,"")</f>
        <v>83</v>
      </c>
      <c r="C20" s="29">
        <f>IF(DigitaPRIMERA!$E$18&lt;&gt;"",DigitaPRIMERA!$E$18,"")</f>
        <v>42000</v>
      </c>
      <c r="D20" s="42">
        <f>IF(C20="",0,C20*J$18)</f>
        <v>5040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24210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03</v>
      </c>
      <c r="C21" s="29">
        <f>IF(DigitaHONDURAS!$C$18&lt;&gt;"",DigitaHONDURAS!$C$18,"")</f>
        <v>13950</v>
      </c>
      <c r="D21" s="42">
        <f>IF(C21="",0,C21*J$19)</f>
        <v>1674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3776</v>
      </c>
      <c r="I21" s="65" t="s">
        <v>21</v>
      </c>
      <c r="J21" s="66">
        <v>0.12</v>
      </c>
      <c r="K21" s="50">
        <f>MROUND(D26,50)</f>
        <v>350</v>
      </c>
    </row>
    <row r="22" spans="1:11" x14ac:dyDescent="0.35">
      <c r="A22" s="28" t="s">
        <v>100</v>
      </c>
      <c r="B22" s="133">
        <f>IF(DigitaHONDURAS!E2&lt;&gt;"",DigitaHONDURAS!E2,"")</f>
        <v>86</v>
      </c>
      <c r="C22" s="29">
        <f>IF(DigitaHONDURAS!$E$18&lt;&gt;"",DigitaHONDURAS!$E$18,"")</f>
        <v>4000</v>
      </c>
      <c r="D22" s="42">
        <f>IF(C22="",0,C22*J$19)</f>
        <v>480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3520</v>
      </c>
    </row>
    <row r="23" spans="1:11" x14ac:dyDescent="0.35">
      <c r="A23" s="28" t="s">
        <v>101</v>
      </c>
      <c r="B23" s="133">
        <f>IF(DigitaHONDURAS!G2&lt;&gt;"",DigitaHONDURAS!G2,"")</f>
        <v>49</v>
      </c>
      <c r="C23" s="29">
        <f>IF(DigitaHONDURAS!$G$18&lt;&gt;"",DigitaHONDURAS!$G$18,"")</f>
        <v>2850</v>
      </c>
      <c r="D23" s="42">
        <f>IF(C23="",0,C23*J$19)</f>
        <v>342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2508</v>
      </c>
    </row>
    <row r="24" spans="1:11" x14ac:dyDescent="0.35">
      <c r="A24" s="28" t="s">
        <v>102</v>
      </c>
      <c r="B24" s="133">
        <f>IF(DigitaDOMINICANA!C2&lt;&gt;"",DigitaDOMINICANA!C2,"")</f>
        <v>59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54</v>
      </c>
      <c r="C26" s="29">
        <f>IF(DigitaPANAMENA!$C$18&lt;&gt;"",DigitaPANAMENA!$C$18,"")</f>
        <v>2750</v>
      </c>
      <c r="D26" s="42">
        <f>IF(C26="",0,C26*J$21)</f>
        <v>330</v>
      </c>
      <c r="E26" s="29">
        <f>IF(DigitaPANAMENA!$D$18&lt;&gt;"",DigitaPANAMENA!$D$18,"")</f>
        <v>250</v>
      </c>
      <c r="F26" s="42">
        <f>IF(E26="",0,E26*PREMIOS!F22)</f>
        <v>21250</v>
      </c>
      <c r="G26" s="30">
        <f t="shared" si="6"/>
        <v>-18830</v>
      </c>
    </row>
    <row r="27" spans="1:11" ht="15" thickBot="1" x14ac:dyDescent="0.4">
      <c r="A27" s="67" t="s">
        <v>5</v>
      </c>
      <c r="B27" s="128"/>
      <c r="C27" s="68">
        <f>SUM(C5:C26)</f>
        <v>414200</v>
      </c>
      <c r="D27" s="68">
        <f t="shared" ref="D27:G27" si="7">SUM(D5:D26)</f>
        <v>48738</v>
      </c>
      <c r="E27" s="68">
        <f t="shared" si="7"/>
        <v>4050</v>
      </c>
      <c r="F27" s="68">
        <f t="shared" si="7"/>
        <v>276250</v>
      </c>
      <c r="G27" s="89">
        <f t="shared" si="7"/>
        <v>89212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25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63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38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12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25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63</v>
      </c>
      <c r="D2" s="269"/>
      <c r="E2" s="268">
        <f>IF(PREMIOS!$B11="","",PREMIOS!$B11)</f>
        <v>12</v>
      </c>
      <c r="F2" s="269"/>
      <c r="G2" s="268" t="str">
        <f>IF(PREMIOS!$B15="","",PREMIOS!$B15)</f>
        <v>02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59050</v>
      </c>
      <c r="D4" s="79">
        <v>200</v>
      </c>
      <c r="E4" s="190">
        <v>67700</v>
      </c>
      <c r="F4" s="79">
        <v>750</v>
      </c>
      <c r="G4" s="190">
        <v>124700</v>
      </c>
      <c r="H4" s="79">
        <v>350</v>
      </c>
      <c r="J4" s="42">
        <f t="shared" ref="J4:J8" si="0">+C4+E4+G4</f>
        <v>251450</v>
      </c>
      <c r="K4" s="42">
        <f>IF(D4="",0,IF(F4="",D4,IF(H4="",D4+F4,D4+F4+H4)))</f>
        <v>1300</v>
      </c>
    </row>
    <row r="5" spans="1:11" x14ac:dyDescent="0.35">
      <c r="A5" s="47">
        <v>2</v>
      </c>
      <c r="B5" s="179" t="str">
        <f>Vendedor2!$B$2</f>
        <v>PUESTO 2</v>
      </c>
      <c r="C5" s="181">
        <v>49100</v>
      </c>
      <c r="D5" s="30">
        <v>400</v>
      </c>
      <c r="E5" s="181">
        <v>38400</v>
      </c>
      <c r="F5" s="30">
        <v>450</v>
      </c>
      <c r="G5" s="181">
        <v>76200</v>
      </c>
      <c r="H5" s="30">
        <f t="shared" ref="D5:H27" si="1">IF(G5="","",0)</f>
        <v>0</v>
      </c>
      <c r="J5" s="42">
        <f t="shared" si="0"/>
        <v>163700</v>
      </c>
      <c r="K5" s="42">
        <f t="shared" ref="K5:K27" si="2">IF(D5="",0,IF(F5="",D5,IF(H5="",D5+F5,D5+F5+H5)))</f>
        <v>850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4000</v>
      </c>
      <c r="D8" s="30">
        <f t="shared" si="1"/>
        <v>0</v>
      </c>
      <c r="E8" s="181">
        <v>3900</v>
      </c>
      <c r="F8" s="30">
        <f t="shared" si="1"/>
        <v>0</v>
      </c>
      <c r="G8" s="181">
        <v>3900</v>
      </c>
      <c r="H8" s="30">
        <f t="shared" si="1"/>
        <v>0</v>
      </c>
      <c r="J8" s="42">
        <f t="shared" si="0"/>
        <v>11800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45750+91750</f>
        <v>137500</v>
      </c>
      <c r="D10" s="30">
        <v>500</v>
      </c>
      <c r="E10" s="181">
        <v>130300</v>
      </c>
      <c r="F10" s="30">
        <v>2850</v>
      </c>
      <c r="G10" s="181">
        <f>42750+132200</f>
        <v>174950</v>
      </c>
      <c r="H10" s="30">
        <v>300</v>
      </c>
      <c r="J10" s="42">
        <f t="shared" si="3"/>
        <v>442750</v>
      </c>
      <c r="K10" s="42">
        <f t="shared" si="2"/>
        <v>3650</v>
      </c>
    </row>
    <row r="11" spans="1:11" x14ac:dyDescent="0.35">
      <c r="A11" s="47">
        <v>8</v>
      </c>
      <c r="B11" s="179" t="str">
        <f>Vendedor8!$B$2</f>
        <v>ISA</v>
      </c>
      <c r="C11" s="181">
        <v>16500</v>
      </c>
      <c r="D11" s="30">
        <f t="shared" si="1"/>
        <v>0</v>
      </c>
      <c r="E11" s="181"/>
      <c r="F11" s="30" t="str">
        <f t="shared" si="1"/>
        <v/>
      </c>
      <c r="G11" s="181">
        <v>12100</v>
      </c>
      <c r="H11" s="30">
        <f t="shared" si="1"/>
        <v>0</v>
      </c>
      <c r="J11" s="42">
        <f t="shared" si="3"/>
        <v>28600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74400</v>
      </c>
      <c r="D12" s="30">
        <v>750</v>
      </c>
      <c r="E12" s="181">
        <v>36000</v>
      </c>
      <c r="F12" s="30">
        <v>100</v>
      </c>
      <c r="G12" s="181">
        <v>18500</v>
      </c>
      <c r="H12" s="30">
        <v>250</v>
      </c>
      <c r="J12" s="42">
        <f t="shared" si="3"/>
        <v>128900</v>
      </c>
      <c r="K12" s="42">
        <f t="shared" si="2"/>
        <v>1100</v>
      </c>
    </row>
    <row r="13" spans="1:11" x14ac:dyDescent="0.35">
      <c r="A13" s="47">
        <v>10</v>
      </c>
      <c r="B13" s="179" t="str">
        <f>Vendedor10!$B$2</f>
        <v>MARIALIZ</v>
      </c>
      <c r="C13" s="181">
        <v>49800</v>
      </c>
      <c r="D13" s="30">
        <f t="shared" si="1"/>
        <v>0</v>
      </c>
      <c r="E13" s="181">
        <v>27150</v>
      </c>
      <c r="F13" s="30">
        <v>900</v>
      </c>
      <c r="G13" s="181">
        <v>59400</v>
      </c>
      <c r="H13" s="30">
        <v>1000</v>
      </c>
      <c r="J13" s="42">
        <f t="shared" si="3"/>
        <v>136350</v>
      </c>
      <c r="K13" s="42">
        <f t="shared" si="2"/>
        <v>1900</v>
      </c>
    </row>
    <row r="14" spans="1:11" x14ac:dyDescent="0.35">
      <c r="A14" s="47">
        <v>11</v>
      </c>
      <c r="B14" s="179" t="str">
        <f>Vendedor11!$B$2</f>
        <v>CHARLY</v>
      </c>
      <c r="C14" s="181">
        <v>37900</v>
      </c>
      <c r="D14" s="30">
        <f t="shared" si="1"/>
        <v>0</v>
      </c>
      <c r="E14" s="181">
        <v>25550</v>
      </c>
      <c r="F14" s="30">
        <f t="shared" si="1"/>
        <v>0</v>
      </c>
      <c r="G14" s="181">
        <v>42300</v>
      </c>
      <c r="H14" s="30">
        <v>500</v>
      </c>
      <c r="J14" s="42">
        <f t="shared" si="3"/>
        <v>105750</v>
      </c>
      <c r="K14" s="42">
        <f t="shared" si="2"/>
        <v>500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181"/>
      <c r="F15" s="30" t="str">
        <f t="shared" si="1"/>
        <v/>
      </c>
      <c r="G15" s="181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26400</v>
      </c>
      <c r="D16" s="30">
        <f t="shared" si="1"/>
        <v>0</v>
      </c>
      <c r="E16" s="181">
        <v>17000</v>
      </c>
      <c r="F16" s="30">
        <v>500</v>
      </c>
      <c r="G16" s="181">
        <v>22400</v>
      </c>
      <c r="H16" s="30">
        <f t="shared" si="1"/>
        <v>0</v>
      </c>
      <c r="J16" s="42">
        <f t="shared" si="3"/>
        <v>65800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33650+122650</f>
        <v>156300</v>
      </c>
      <c r="D17" s="30">
        <v>100</v>
      </c>
      <c r="E17" s="181">
        <f>82750+22900</f>
        <v>105650</v>
      </c>
      <c r="F17" s="30">
        <f>900+100</f>
        <v>1000</v>
      </c>
      <c r="G17" s="181">
        <f>130150+27900</f>
        <v>158050</v>
      </c>
      <c r="H17" s="30">
        <f>700+650</f>
        <v>1350</v>
      </c>
      <c r="J17" s="42">
        <f t="shared" si="3"/>
        <v>420000</v>
      </c>
      <c r="K17" s="42">
        <f t="shared" si="2"/>
        <v>2450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29400+16700</f>
        <v>46100</v>
      </c>
      <c r="D18" s="30">
        <f>150+100</f>
        <v>250</v>
      </c>
      <c r="E18" s="181">
        <f>24700+17150</f>
        <v>41850</v>
      </c>
      <c r="F18" s="30">
        <f>350+400</f>
        <v>750</v>
      </c>
      <c r="G18" s="181">
        <f>23950+19450</f>
        <v>43400</v>
      </c>
      <c r="H18" s="30">
        <v>300</v>
      </c>
      <c r="J18" s="42">
        <f t="shared" si="3"/>
        <v>131350</v>
      </c>
      <c r="K18" s="42">
        <f t="shared" si="2"/>
        <v>1300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657050</v>
      </c>
      <c r="D32" s="44">
        <f t="shared" si="6"/>
        <v>2200</v>
      </c>
      <c r="E32" s="43">
        <f t="shared" si="6"/>
        <v>493500</v>
      </c>
      <c r="F32" s="44">
        <f t="shared" si="6"/>
        <v>7300</v>
      </c>
      <c r="G32" s="43">
        <f t="shared" si="6"/>
        <v>735900</v>
      </c>
      <c r="H32" s="44">
        <f t="shared" si="6"/>
        <v>4050</v>
      </c>
      <c r="J32" s="96">
        <f>SUM(J4:J31)</f>
        <v>1886450</v>
      </c>
      <c r="K32" s="96"/>
    </row>
    <row r="33" spans="2:8" x14ac:dyDescent="0.35">
      <c r="D33" s="100">
        <f>+D32*85</f>
        <v>187000</v>
      </c>
      <c r="F33" s="100">
        <f>+F32*85</f>
        <v>620500</v>
      </c>
      <c r="H33" s="100">
        <f>+H32*85</f>
        <v>344250</v>
      </c>
    </row>
    <row r="34" spans="2:8" x14ac:dyDescent="0.35">
      <c r="B34" s="249" t="s">
        <v>149</v>
      </c>
      <c r="C34" s="43">
        <f t="shared" ref="C34:H34" si="7">+C4+C5+C6+C8+C13</f>
        <v>161950</v>
      </c>
      <c r="D34" s="43" t="e">
        <f t="shared" si="7"/>
        <v>#VALUE!</v>
      </c>
      <c r="E34" s="43">
        <f t="shared" si="7"/>
        <v>137150</v>
      </c>
      <c r="F34" s="43" t="e">
        <f t="shared" si="7"/>
        <v>#VALUE!</v>
      </c>
      <c r="G34" s="43">
        <f t="shared" si="7"/>
        <v>264200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256800</v>
      </c>
      <c r="D35" s="43" t="e">
        <f t="shared" ref="D35:H35" si="8">+D11+D14+D15+D17+D18</f>
        <v>#VALUE!</v>
      </c>
      <c r="E35" s="43">
        <f t="shared" si="8"/>
        <v>173050</v>
      </c>
      <c r="F35" s="43" t="e">
        <f t="shared" si="8"/>
        <v>#VALUE!</v>
      </c>
      <c r="G35" s="43">
        <f t="shared" si="8"/>
        <v>255850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211900</v>
      </c>
      <c r="D36" s="43" t="e">
        <f t="shared" ref="D36:H36" si="9">+D10+D12+D27</f>
        <v>#VALUE!</v>
      </c>
      <c r="E36" s="43">
        <f t="shared" si="9"/>
        <v>166300</v>
      </c>
      <c r="F36" s="43" t="e">
        <f t="shared" si="9"/>
        <v>#VALUE!</v>
      </c>
      <c r="G36" s="43">
        <f t="shared" si="9"/>
        <v>193450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25</v>
      </c>
      <c r="D2" s="269"/>
      <c r="E2" s="268">
        <f>IF(PREMIOS!$B9="","",PREMIOS!$B9)</f>
        <v>38</v>
      </c>
      <c r="F2" s="269"/>
      <c r="G2" s="268">
        <f>IF(PREMIOS!$B13="","",PREMIOS!$B13)</f>
        <v>48</v>
      </c>
      <c r="H2" s="269"/>
      <c r="I2" s="268">
        <f>IF(PREMIOS!$B17="","",PREMIOS!$B17)</f>
        <v>56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32150</v>
      </c>
      <c r="D4" s="79">
        <v>200</v>
      </c>
      <c r="E4" s="207">
        <v>21150</v>
      </c>
      <c r="F4" s="79">
        <f t="shared" ref="D4:J27" si="0">IF(E4="","",0)</f>
        <v>0</v>
      </c>
      <c r="G4" s="190">
        <v>8950</v>
      </c>
      <c r="H4" s="79">
        <v>500</v>
      </c>
      <c r="I4" s="190">
        <v>6400</v>
      </c>
      <c r="J4" s="79">
        <f t="shared" si="0"/>
        <v>0</v>
      </c>
      <c r="L4" s="42">
        <f t="shared" ref="L4:L8" si="1">+C4+E4+G4+I4</f>
        <v>68650</v>
      </c>
      <c r="M4" s="42">
        <f>IF(D4=0,0,IF(F4="",D4,IF(H4="",D4+F4,IF(J4="",D4+F4+H4,D4+F4+H4+J4))))</f>
        <v>700</v>
      </c>
    </row>
    <row r="5" spans="1:13" x14ac:dyDescent="0.35">
      <c r="A5" s="47">
        <v>2</v>
      </c>
      <c r="B5" s="179" t="str">
        <f>Vendedor2!$B$2</f>
        <v>PUESTO 2</v>
      </c>
      <c r="C5" s="181">
        <v>14400</v>
      </c>
      <c r="D5" s="30">
        <f t="shared" si="0"/>
        <v>0</v>
      </c>
      <c r="E5" s="208">
        <v>12750</v>
      </c>
      <c r="F5" s="30">
        <f t="shared" si="0"/>
        <v>0</v>
      </c>
      <c r="G5" s="181">
        <v>500</v>
      </c>
      <c r="H5" s="30">
        <f t="shared" ref="H5:H27" si="2">IF(G5="","",0)</f>
        <v>0</v>
      </c>
      <c r="I5" s="181">
        <v>800</v>
      </c>
      <c r="J5" s="30">
        <f t="shared" ref="J5:J27" si="3">IF(I5="","",0)</f>
        <v>0</v>
      </c>
      <c r="L5" s="42">
        <f t="shared" si="1"/>
        <v>28450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2"/>
        <v/>
      </c>
      <c r="I6" s="181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2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3500</v>
      </c>
      <c r="D8" s="30">
        <f t="shared" si="0"/>
        <v>0</v>
      </c>
      <c r="E8" s="208">
        <v>3900</v>
      </c>
      <c r="F8" s="30">
        <f t="shared" si="0"/>
        <v>0</v>
      </c>
      <c r="G8" s="181">
        <v>2800</v>
      </c>
      <c r="H8" s="30">
        <f t="shared" si="2"/>
        <v>0</v>
      </c>
      <c r="I8" s="181">
        <v>4000</v>
      </c>
      <c r="J8" s="30">
        <f t="shared" si="0"/>
        <v>0</v>
      </c>
      <c r="L8" s="42">
        <f t="shared" si="1"/>
        <v>14200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2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28100+56500</f>
        <v>84600</v>
      </c>
      <c r="D10" s="30">
        <f>600+200</f>
        <v>800</v>
      </c>
      <c r="E10" s="208">
        <f>23550+48400</f>
        <v>71950</v>
      </c>
      <c r="F10" s="30">
        <f>200+50</f>
        <v>250</v>
      </c>
      <c r="G10" s="181">
        <v>85850</v>
      </c>
      <c r="H10" s="30">
        <v>1000</v>
      </c>
      <c r="I10" s="181">
        <f>42300+81650</f>
        <v>123950</v>
      </c>
      <c r="J10" s="30">
        <f>100+100</f>
        <v>200</v>
      </c>
      <c r="L10" s="42">
        <f t="shared" si="5"/>
        <v>366350</v>
      </c>
      <c r="M10" s="42">
        <f t="shared" si="4"/>
        <v>2250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57700</v>
      </c>
      <c r="D12" s="30">
        <v>450</v>
      </c>
      <c r="E12" s="208">
        <v>42400</v>
      </c>
      <c r="F12" s="30">
        <v>300</v>
      </c>
      <c r="G12" s="181"/>
      <c r="H12" s="30" t="str">
        <f t="shared" si="0"/>
        <v/>
      </c>
      <c r="I12" s="181">
        <v>6250</v>
      </c>
      <c r="J12" s="30">
        <f t="shared" si="0"/>
        <v>0</v>
      </c>
      <c r="L12" s="42">
        <f t="shared" si="5"/>
        <v>106350</v>
      </c>
      <c r="M12" s="42">
        <f t="shared" si="4"/>
        <v>750</v>
      </c>
    </row>
    <row r="13" spans="1:13" x14ac:dyDescent="0.35">
      <c r="A13" s="47">
        <v>10</v>
      </c>
      <c r="B13" s="179" t="str">
        <f>Vendedor10!$B$2</f>
        <v>MARIALIZ</v>
      </c>
      <c r="C13" s="181">
        <v>42750</v>
      </c>
      <c r="D13" s="30">
        <v>100</v>
      </c>
      <c r="E13" s="208">
        <v>33600</v>
      </c>
      <c r="F13" s="30">
        <f t="shared" si="0"/>
        <v>0</v>
      </c>
      <c r="G13" s="181">
        <v>18200</v>
      </c>
      <c r="H13" s="30">
        <v>300</v>
      </c>
      <c r="I13" s="181">
        <v>3600</v>
      </c>
      <c r="J13" s="30">
        <f t="shared" si="0"/>
        <v>0</v>
      </c>
      <c r="L13" s="42">
        <f t="shared" si="5"/>
        <v>98150</v>
      </c>
      <c r="M13" s="42">
        <f t="shared" si="4"/>
        <v>400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1700</v>
      </c>
      <c r="D16" s="30">
        <f t="shared" si="0"/>
        <v>0</v>
      </c>
      <c r="E16" s="208"/>
      <c r="F16" s="30" t="str">
        <f t="shared" si="0"/>
        <v/>
      </c>
      <c r="G16" s="181">
        <v>6000</v>
      </c>
      <c r="H16" s="30">
        <v>500</v>
      </c>
      <c r="I16" s="181">
        <v>30650</v>
      </c>
      <c r="J16" s="30">
        <v>200</v>
      </c>
      <c r="L16" s="42">
        <f t="shared" si="5"/>
        <v>38350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115450</v>
      </c>
      <c r="D17" s="30">
        <v>5300</v>
      </c>
      <c r="E17" s="208">
        <v>119250</v>
      </c>
      <c r="F17" s="30">
        <v>50</v>
      </c>
      <c r="G17" s="181">
        <v>67200</v>
      </c>
      <c r="H17" s="30">
        <v>600</v>
      </c>
      <c r="I17" s="181">
        <v>184500</v>
      </c>
      <c r="J17" s="30">
        <v>950</v>
      </c>
      <c r="L17" s="42">
        <f t="shared" si="5"/>
        <v>486400</v>
      </c>
      <c r="M17" s="42">
        <f t="shared" si="4"/>
        <v>6900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41400</v>
      </c>
      <c r="D18" s="30">
        <v>400</v>
      </c>
      <c r="E18" s="208">
        <v>32200</v>
      </c>
      <c r="F18" s="30">
        <f t="shared" si="0"/>
        <v>0</v>
      </c>
      <c r="G18" s="181">
        <v>42300</v>
      </c>
      <c r="H18" s="30">
        <v>200</v>
      </c>
      <c r="I18" s="181">
        <v>10000</v>
      </c>
      <c r="J18" s="30">
        <f t="shared" si="3"/>
        <v>0</v>
      </c>
      <c r="L18" s="42">
        <f t="shared" si="5"/>
        <v>125900</v>
      </c>
      <c r="M18" s="42">
        <f t="shared" si="4"/>
        <v>600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2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2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2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2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2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2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2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2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2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393650</v>
      </c>
      <c r="D32" s="44">
        <f t="shared" si="7"/>
        <v>7250</v>
      </c>
      <c r="E32" s="43">
        <f t="shared" si="7"/>
        <v>337200</v>
      </c>
      <c r="F32" s="44">
        <f t="shared" si="7"/>
        <v>600</v>
      </c>
      <c r="G32" s="43">
        <f t="shared" si="7"/>
        <v>231800</v>
      </c>
      <c r="H32" s="44">
        <f t="shared" si="7"/>
        <v>3100</v>
      </c>
      <c r="I32" s="43">
        <f t="shared" si="7"/>
        <v>370150</v>
      </c>
      <c r="J32" s="44">
        <f t="shared" si="7"/>
        <v>1350</v>
      </c>
      <c r="L32" s="96">
        <f>SUM(L9:L31)</f>
        <v>1221500</v>
      </c>
      <c r="M32" s="96">
        <f>SUM(M9:M31)</f>
        <v>10900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63 Blanca</v>
      </c>
      <c r="D2" s="269"/>
      <c r="E2" s="268" t="str">
        <f>IF(E33=0,"",CONCATENATE(PREMIOS!$B11," ",PREMIOS!$B12))</f>
        <v>12 Blanca</v>
      </c>
      <c r="F2" s="269"/>
      <c r="G2" s="268" t="str">
        <f>IF(G33=0,"",CONCATENATE(PREMIOS!$B15," ",PREMIOS!$B16))</f>
        <v>02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21100+3100</f>
        <v>24200</v>
      </c>
      <c r="D10" s="30">
        <f t="shared" si="0"/>
        <v>0</v>
      </c>
      <c r="E10" s="181">
        <v>22050</v>
      </c>
      <c r="F10" s="30">
        <f t="shared" si="0"/>
        <v>0</v>
      </c>
      <c r="G10" s="181">
        <f>17000+2850</f>
        <v>19850</v>
      </c>
      <c r="H10" s="30">
        <f t="shared" si="0"/>
        <v>0</v>
      </c>
      <c r="J10" s="42">
        <f t="shared" si="3"/>
        <v>66100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6700</v>
      </c>
      <c r="D12" s="30">
        <f t="shared" si="0"/>
        <v>0</v>
      </c>
      <c r="E12" s="181">
        <v>5700</v>
      </c>
      <c r="F12" s="30">
        <f t="shared" si="1"/>
        <v>0</v>
      </c>
      <c r="G12" s="181">
        <v>2500</v>
      </c>
      <c r="H12" s="30">
        <f t="shared" si="0"/>
        <v>0</v>
      </c>
      <c r="J12" s="42">
        <f t="shared" si="3"/>
        <v>14900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2000</v>
      </c>
      <c r="D16" s="196">
        <f t="shared" si="0"/>
        <v>0</v>
      </c>
      <c r="E16" s="195">
        <v>600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3600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23850</v>
      </c>
      <c r="D17" s="30">
        <f t="shared" si="0"/>
        <v>0</v>
      </c>
      <c r="E17" s="181">
        <v>20650</v>
      </c>
      <c r="F17" s="30">
        <v>100</v>
      </c>
      <c r="G17" s="181">
        <v>24350</v>
      </c>
      <c r="H17" s="30">
        <v>550</v>
      </c>
      <c r="J17" s="42">
        <f t="shared" si="3"/>
        <v>68850</v>
      </c>
      <c r="K17" s="42">
        <f t="shared" si="4"/>
        <v>650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16700</v>
      </c>
      <c r="D18" s="30">
        <v>100</v>
      </c>
      <c r="E18" s="181">
        <v>12150</v>
      </c>
      <c r="F18" s="30">
        <v>400</v>
      </c>
      <c r="G18" s="181">
        <v>19450</v>
      </c>
      <c r="H18" s="30">
        <v>300</v>
      </c>
      <c r="J18" s="42">
        <f t="shared" si="3"/>
        <v>48300</v>
      </c>
      <c r="K18" s="42">
        <f t="shared" si="4"/>
        <v>800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73450</v>
      </c>
      <c r="D33" s="44">
        <f t="shared" si="7"/>
        <v>100</v>
      </c>
      <c r="E33" s="43">
        <f t="shared" si="7"/>
        <v>61150</v>
      </c>
      <c r="F33" s="44">
        <f t="shared" si="7"/>
        <v>500</v>
      </c>
      <c r="G33" s="43">
        <f t="shared" si="7"/>
        <v>67150</v>
      </c>
      <c r="H33" s="44">
        <f t="shared" si="7"/>
        <v>850</v>
      </c>
      <c r="J33" s="45">
        <f>SUM(J4:J32)</f>
        <v>201750</v>
      </c>
      <c r="K33" s="96">
        <f>SUM(K4:K32)</f>
        <v>1450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50</v>
      </c>
      <c r="D2" s="269"/>
      <c r="E2" s="268">
        <f>IF(PREMIOS!$C19="","",PREMIOS!$C19)</f>
        <v>83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8100</v>
      </c>
      <c r="D4" s="79">
        <v>250</v>
      </c>
      <c r="E4" s="190">
        <v>4900</v>
      </c>
      <c r="F4" s="79">
        <f t="shared" ref="D4:F27" si="0">IF(E4="","",0)</f>
        <v>0</v>
      </c>
      <c r="H4" s="42">
        <f>+C4+E4</f>
        <v>13000</v>
      </c>
      <c r="I4" s="42">
        <f>IF(D4="",0,IF(F4="",D4,D4+F4))</f>
        <v>250</v>
      </c>
    </row>
    <row r="5" spans="1:9" x14ac:dyDescent="0.35">
      <c r="A5" s="47">
        <v>2</v>
      </c>
      <c r="B5" s="179" t="str">
        <f>Vendedor2!$B$2</f>
        <v>PUESTO 2</v>
      </c>
      <c r="C5" s="181">
        <v>2000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2000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2450</v>
      </c>
      <c r="D8" s="30">
        <v>200</v>
      </c>
      <c r="E8" s="195">
        <v>3500</v>
      </c>
      <c r="F8" s="196">
        <f t="shared" si="1"/>
        <v>0</v>
      </c>
      <c r="H8" s="42">
        <f t="shared" si="2"/>
        <v>5950</v>
      </c>
      <c r="I8" s="42">
        <f t="shared" si="3"/>
        <v>200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28900</v>
      </c>
      <c r="D10" s="30">
        <v>1100</v>
      </c>
      <c r="E10" s="181">
        <v>23450</v>
      </c>
      <c r="F10" s="196">
        <f t="shared" si="1"/>
        <v>0</v>
      </c>
      <c r="H10" s="42">
        <f t="shared" si="2"/>
        <v>52350</v>
      </c>
      <c r="I10" s="42">
        <f t="shared" si="3"/>
        <v>1100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55850</v>
      </c>
      <c r="D12" s="30">
        <v>1800</v>
      </c>
      <c r="E12" s="195"/>
      <c r="F12" s="30" t="str">
        <f t="shared" si="0"/>
        <v/>
      </c>
      <c r="H12" s="42">
        <f t="shared" si="2"/>
        <v>55850</v>
      </c>
      <c r="I12" s="42">
        <f t="shared" si="3"/>
        <v>1800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5000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5000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102300</v>
      </c>
      <c r="D17" s="196">
        <v>2950</v>
      </c>
      <c r="E17" s="181">
        <v>55950</v>
      </c>
      <c r="F17" s="30">
        <v>600</v>
      </c>
      <c r="H17" s="42">
        <f t="shared" si="2"/>
        <v>158250</v>
      </c>
      <c r="I17" s="42">
        <f t="shared" si="3"/>
        <v>3550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43100</v>
      </c>
      <c r="D18" s="196">
        <v>850</v>
      </c>
      <c r="E18" s="181">
        <v>42000</v>
      </c>
      <c r="F18" s="30">
        <v>150</v>
      </c>
      <c r="H18" s="42">
        <f t="shared" si="2"/>
        <v>85100</v>
      </c>
      <c r="I18" s="42">
        <f t="shared" si="3"/>
        <v>1000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247700</v>
      </c>
      <c r="D33" s="44">
        <f>SUM(D4:D32)</f>
        <v>7150</v>
      </c>
      <c r="E33" s="43">
        <f>SUM(E4:E32)</f>
        <v>129800</v>
      </c>
      <c r="F33" s="44">
        <f>SUM(F4:F32)</f>
        <v>750</v>
      </c>
      <c r="H33" s="96">
        <f>SUM(H4:H32)</f>
        <v>377500</v>
      </c>
      <c r="I33" s="96">
        <f>SUM(I4:I32)</f>
        <v>7900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H16" sqref="H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 t="str">
        <f>IF(PREMIOS!$B20="","",PREMIOS!$B20)</f>
        <v>03</v>
      </c>
      <c r="D2" s="269"/>
      <c r="E2" s="268">
        <f>IF(PREMIOS!$C20="","",PREMIOS!$C20)</f>
        <v>86</v>
      </c>
      <c r="F2" s="269"/>
      <c r="G2" s="268">
        <f>IF(PREMIOS!$D20="","",PREMIOS!$D20)</f>
        <v>49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2700+2800</f>
        <v>5500</v>
      </c>
      <c r="D10" s="196">
        <f>150+0</f>
        <v>150</v>
      </c>
      <c r="E10" s="181">
        <f>2000+2850</f>
        <v>4850</v>
      </c>
      <c r="F10" s="30">
        <f t="shared" si="0"/>
        <v>0</v>
      </c>
      <c r="G10" s="181">
        <v>3350</v>
      </c>
      <c r="H10" s="196">
        <v>700</v>
      </c>
      <c r="J10" s="42">
        <f t="shared" si="3"/>
        <v>13700</v>
      </c>
      <c r="K10" s="42">
        <f t="shared" si="4"/>
        <v>850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>
        <v>250</v>
      </c>
      <c r="H16" s="196">
        <f>IF(G16="","",0)</f>
        <v>0</v>
      </c>
      <c r="J16" s="42">
        <f t="shared" si="3"/>
        <v>250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44350</v>
      </c>
      <c r="D17" s="196">
        <v>550</v>
      </c>
      <c r="E17" s="195">
        <v>12450</v>
      </c>
      <c r="F17" s="196">
        <f t="shared" si="0"/>
        <v>0</v>
      </c>
      <c r="G17" s="195">
        <v>40650</v>
      </c>
      <c r="H17" s="196">
        <v>150</v>
      </c>
      <c r="J17" s="42">
        <f t="shared" si="3"/>
        <v>97450</v>
      </c>
      <c r="K17" s="42">
        <f t="shared" si="4"/>
        <v>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13950</v>
      </c>
      <c r="D18" s="196">
        <v>100</v>
      </c>
      <c r="E18" s="181">
        <v>4000</v>
      </c>
      <c r="F18" s="30">
        <f t="shared" si="1"/>
        <v>0</v>
      </c>
      <c r="G18" s="181">
        <v>2850</v>
      </c>
      <c r="H18" s="30">
        <f t="shared" si="2"/>
        <v>0</v>
      </c>
      <c r="J18" s="42">
        <f t="shared" si="3"/>
        <v>20800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63800</v>
      </c>
      <c r="D33" s="44">
        <f t="shared" si="6"/>
        <v>800</v>
      </c>
      <c r="E33" s="43">
        <f t="shared" si="6"/>
        <v>21300</v>
      </c>
      <c r="F33" s="44">
        <f t="shared" si="6"/>
        <v>0</v>
      </c>
      <c r="G33" s="43">
        <f t="shared" si="6"/>
        <v>47100</v>
      </c>
      <c r="H33" s="44">
        <f t="shared" si="6"/>
        <v>850</v>
      </c>
      <c r="J33" s="45">
        <f>SUM(J4:J32)</f>
        <v>132200</v>
      </c>
      <c r="K33" s="96">
        <f>SUM(K4:K32)</f>
        <v>1650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59</v>
      </c>
      <c r="D2" s="269"/>
      <c r="E2" s="268">
        <f>IF(PREMIOS!$C21="","",PREMIOS!$C21)</f>
        <v>35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>
        <v>16000</v>
      </c>
      <c r="F10" s="30">
        <f t="shared" si="0"/>
        <v>0</v>
      </c>
      <c r="H10" s="42">
        <f t="shared" si="2"/>
        <v>16000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16000</v>
      </c>
      <c r="F33" s="44">
        <f>SUM(F4:F32)</f>
        <v>0</v>
      </c>
      <c r="H33" s="45">
        <f>SUM(H4:H32)</f>
        <v>16000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D17" sqref="D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54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>
        <v>2750</v>
      </c>
      <c r="D18" s="30">
        <v>250</v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2750</v>
      </c>
      <c r="D33" s="44">
        <f>SUM(D4:D32)</f>
        <v>250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2026-03-27T15:54:26Z</dcterms:modified>
  <dc:language>es-CR</dc:language>
</cp:coreProperties>
</file>
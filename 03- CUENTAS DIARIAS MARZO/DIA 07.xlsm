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03- CUENTAS DIARIAS MARZ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H17" i="60"/>
  <c r="G17" i="60"/>
  <c r="H18" i="60"/>
  <c r="G18" i="60"/>
  <c r="F17" i="60"/>
  <c r="E17" i="60"/>
  <c r="F18" i="60"/>
  <c r="E18" i="60"/>
  <c r="F10" i="61"/>
  <c r="E10" i="61"/>
  <c r="D10" i="61"/>
  <c r="C10" i="61"/>
  <c r="E10" i="64"/>
  <c r="C10" i="62"/>
  <c r="D17" i="60"/>
  <c r="C17" i="60"/>
  <c r="D10" i="60"/>
  <c r="C10" i="60"/>
  <c r="D18" i="60"/>
  <c r="C18" i="60"/>
  <c r="C10" i="64"/>
  <c r="D18" i="64" l="1"/>
  <c r="D18" i="65"/>
  <c r="D11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36" i="60"/>
  <c r="D11" i="60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5"/>
  <c r="F8" i="65"/>
  <c r="F10" i="62"/>
  <c r="D5" i="61"/>
  <c r="F16" i="61"/>
  <c r="D6" i="60"/>
  <c r="F16" i="60"/>
  <c r="F15" i="60"/>
  <c r="F35" i="60"/>
  <c r="F11" i="60"/>
  <c r="F36" i="60"/>
  <c r="F9" i="60"/>
  <c r="F7" i="60"/>
  <c r="F6" i="60"/>
  <c r="F5" i="60"/>
  <c r="H15" i="60"/>
  <c r="H12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6" i="60" l="1"/>
  <c r="H34" i="60"/>
  <c r="F34" i="60"/>
  <c r="D35" i="60"/>
  <c r="E7" i="16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F10" i="65"/>
  <c r="F4" i="65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E12" i="14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<sst xmlns="http://schemas.openxmlformats.org/spreadsheetml/2006/main" count="1298" uniqueCount="164">
  <si>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</si>
  <si>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</si>
  <si>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</si>
  <si>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</si>
  <si>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</si>
  <si>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</si>
  <si>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</si>
  <si>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</si>
  <si>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</si>
  <si>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</si>
  <si>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</si>
  <si>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</si>
  <si>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</si>
  <si>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</si>
  <si>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</si>
  <si>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</si>
  <si>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</si>
  <si>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</si>
  <si>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</si>
  <si>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</si>
  <si>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</si>
  <si>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</si>
  <si>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</si>
  <si>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</si>
  <si>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</si>
  <si>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</si>
  <si>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</si>
  <si>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</si>
  <si>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</si>
  <si>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</si>
  <si>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</si>
  <si>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</si>
  <si>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</si>
  <si>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</si>
  <si>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</si>
  <si>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</si>
  <si>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</si>
  <si>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</si>
  <si>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</si>
  <si>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</si>
  <si>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</si>
  <si>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</si>
  <si>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</si>
  <si>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</si>
  <si>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</si>
  <si>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</si>
  <si>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</si>
  <si>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</si>
  <si>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</si>
  <si>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</si>
  <si>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</si>
  <si>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</si>
  <si>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</si>
  <si>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</si>
  <si>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</si>
  <si>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</si>
  <si>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</si>
  <si>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</si>
  <si>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</si>
  <si>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</si>
  <si>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</si>
  <si>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</si>
  <si>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</si>
  <si>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</si>
  <si>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</si>
  <si>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</si>
  <si>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</si>
  <si>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</si>
  <si>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</si>
  <si>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</si>
  <si>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</si>
  <si>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</si>
  <si>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</si>
  <si>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</si>
  <si>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</si>
  <si>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</si>
  <si>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</si>
  <si>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</si>
  <si>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</si>
  <si>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</si>
  <si>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</si>
  <si>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</si>
  <si>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</si>
  <si>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</si>
  <si>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</si>
  <si>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</si>
  <si>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</si>
  <si>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</si>
  <si>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</si>
  <si>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</si>
  <si>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</si>
  <si>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</si>
  <si>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</si>
  <si>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</si>
  <si>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</si>
  <si>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</si>
  <si>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</si>
  <si>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</si>
  <si>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</si>
  <si>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</si>
  <si>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</si>
  <si>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</si>
  <si>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</si>
  <si>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</si>
  <si>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</si>
  <si>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</si>
  <si>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</si>
  <si>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</si>
  <si>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</si>
  <si>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</si>
  <si>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</si>
  <si>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</si>
  <si>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</si>
  <si>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</si>
  <si>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</si>
  <si>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</si>
  <si>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</si>
  <si>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</si>
  <si>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</si>
  <si>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</si>
  <si>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</si>
  <si>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</si>
  <si>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</si>
  <si>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</si>
  <si>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</si>
  <si>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</si>
  <si>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</si>
  <si>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</si>
  <si>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</si>
  <si>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</si>
  <si>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</si>
  <si>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</si>
  <si>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</si>
  <si>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</si>
  <si>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</si>
  <si>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</si>
  <si>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</si>
  <si>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</si>
  <si>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</si>
  <si>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</si>
  <si>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</si>
  <si>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</si>
  <si>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</si>
  <si>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</si>
  <si>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</si>
  <si>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</si>
  <si>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</si>
  <si>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</si>
  <si>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</si>
  <si>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</si>
  <si>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</si>
  <si>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</si>
  <si>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</si>
  <si>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</si>
  <si>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</si>
  <si>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</si>
  <si>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</si>
  <si>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</si>
  <si>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</si>
  <si>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</si>
  <si>
    <t>01</t>
  </si>
  <si>
    <t>09</t>
  </si>
  <si>
    <t>02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</si>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</sst>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0.28515625" style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11" width="9.140625" style="1"/>
    <col min="12" max="17" width="11.5703125" style="1" hidden="1" customWidth="1"/>
    <col min="18" max="1015" width="9.140625" style="1" hidden="1"/>
  </cols>
  <sheetData>
    <row r="1" spans="1:1024" ht="15.75" thickBot="1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75">
      <c r="A3" s="15" t="str">
        <f>Vendedor1!B$2</f>
        <v>VENTANA</v>
      </c>
      <c r="B3" s="9">
        <f>+HojaTICA!J4+HojaNICA!L4+HojaREVENTADO!J4+HojaPrimera!H4+HojaHonduras!J4+HojaDominicana!H4+HojaPANA!F4</f>
        <v>225950</v>
      </c>
      <c r="C3" s="9">
        <f>+HojaTICA!K4+HojaNICA!M4+HojaREVENTADO!K4+HojaPrimera!I4+HojaHonduras!K4+HojaDominicana!I4+HojaPANA!G4</f>
        <v>29350</v>
      </c>
      <c r="D3" s="9">
        <f>+HojaTICA!N4+HojaNICA!P4+HojaREVENTADO!O4+HojaPrimera!L4+HojaHonduras!N4+HojaDominicana!L4+HojaPANA!J4</f>
        <v>178250</v>
      </c>
      <c r="F3" s="10">
        <f t="shared" ref="F3:F27" si="0">+B3-C3-D3</f>
        <v>18350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75">
      <c r="A4" s="15" t="str">
        <f>Vendedor2!B$2</f>
        <v>PUESTO 2</v>
      </c>
      <c r="B4" s="9">
        <f>+HojaTICA!J5+HojaNICA!L5+HojaREVENTADO!J5+HojaPrimera!H5+HojaHonduras!J5+HojaDominicana!H5+HojaPANA!F5</f>
        <v>150950</v>
      </c>
      <c r="C4" s="9">
        <f>+HojaTICA!K5+HojaNICA!M5+HojaREVENTADO!K5+HojaPrimera!I5+HojaHonduras!K5+HojaDominicana!I5+HojaPANA!G5</f>
        <v>19600</v>
      </c>
      <c r="D4" s="9">
        <f>+HojaTICA!N5+HojaNICA!P5+HojaREVENTADO!O5+HojaPrimera!L5+HojaHonduras!N5+HojaDominicana!L5+HojaPANA!J5</f>
        <v>21250</v>
      </c>
      <c r="F4" s="14">
        <f t="shared" si="0"/>
        <v>110100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75">
      <c r="A7" s="15" t="str">
        <f>Vendedor5!B$2</f>
        <v>YOYO</v>
      </c>
      <c r="B7" s="9">
        <f>+HojaTICA!J8+HojaNICA!L8+HojaREVENTADO!J8+HojaPrimera!H8+HojaHonduras!J8+HojaDominicana!H8+HojaPANA!F8</f>
        <v>415100</v>
      </c>
      <c r="C7" s="9">
        <f>+HojaTICA!K8+HojaNICA!M8+HojaREVENTADO!K8+HojaPrimera!I8+HojaHonduras!K8+HojaDominicana!I8+HojaPANA!G8</f>
        <v>49850</v>
      </c>
      <c r="D7" s="9">
        <f>+HojaTICA!N8+HojaNICA!P8+HojaREVENTADO!O8+HojaPrimera!L8+HojaHonduras!N8+HojaDominicana!L8+HojaPANA!J8</f>
        <v>462750</v>
      </c>
      <c r="F7" s="14">
        <f t="shared" si="0"/>
        <v>-97500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7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75">
      <c r="A9" s="15" t="str">
        <f>Vendedor7!B$2</f>
        <v>PIKIS</v>
      </c>
      <c r="B9" s="9">
        <f>+HojaTICA!J10+HojaNICA!L10+HojaREVENTADO!J10+HojaPrimera!H10+HojaHonduras!J10+HojaDominicana!H10+HojaPANA!F10</f>
        <v>1047250</v>
      </c>
      <c r="C9" s="9">
        <f>+HojaTICA!K10+HojaNICA!M10+HojaREVENTADO!K10+HojaPrimera!I10+HojaHonduras!K10+HojaDominicana!I10+HojaPANA!G10</f>
        <v>124185</v>
      </c>
      <c r="D9" s="9">
        <f>+HojaTICA!N10+HojaNICA!P10+HojaREVENTADO!O10+HojaPrimera!L10+HojaHonduras!N10+HojaDominicana!L10+HojaPANA!J10</f>
        <v>641750</v>
      </c>
      <c r="F9" s="14">
        <f t="shared" si="0"/>
        <v>281315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75">
      <c r="A10" s="15" t="str">
        <f>Vendedor8!B$2</f>
        <v>ISA</v>
      </c>
      <c r="B10" s="9">
        <f>+HojaTICA!J11+HojaNICA!L11+HojaREVENTADO!J11+HojaPrimera!H11+HojaHonduras!J11+HojaDominicana!H11+HojaPANA!F11</f>
        <v>59900</v>
      </c>
      <c r="C10" s="9">
        <f>+HojaTICA!K11+HojaNICA!M11+HojaREVENTADO!K11+HojaPrimera!I11+HojaHonduras!K11+HojaDominicana!I11+HojaPANA!G11</f>
        <v>7200</v>
      </c>
      <c r="D10" s="9">
        <f>+HojaTICA!N11+HojaNICA!P11+HojaREVENTADO!O11+HojaPrimera!L11+HojaHonduras!N11+HojaDominicana!L11+HojaPANA!J11</f>
        <v>0</v>
      </c>
      <c r="F10" s="14">
        <f t="shared" si="0"/>
        <v>52700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75">
      <c r="A11" s="15" t="str">
        <f>Vendedor9!B$2</f>
        <v>JUAN FELIX</v>
      </c>
      <c r="B11" s="9">
        <f>+HojaTICA!J12+HojaNICA!L12+HojaREVENTADO!J12+HojaPrimera!H12+HojaHonduras!J12+HojaDominicana!H12+HojaPANA!F12</f>
        <v>214450</v>
      </c>
      <c r="C11" s="9">
        <f>+HojaTICA!K12+HojaNICA!M12+HojaREVENTADO!K12+HojaPrimera!I12+HojaHonduras!K12+HojaDominicana!I12+HojaPANA!G12</f>
        <v>25490</v>
      </c>
      <c r="D11" s="9">
        <f>+HojaTICA!N12+HojaNICA!P12+HojaREVENTADO!O12+HojaPrimera!L12+HojaHonduras!N12+HojaDominicana!L12+HojaPANA!J12</f>
        <v>191750</v>
      </c>
      <c r="F11" s="14">
        <f t="shared" si="0"/>
        <v>-2790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75">
      <c r="A12" s="15" t="str">
        <f>Vendedor10!B$2</f>
        <v>MARIALIZ</v>
      </c>
      <c r="B12" s="9">
        <f>+HojaTICA!J13+HojaNICA!L13+HojaREVENTADO!J13+HojaPrimera!H13+HojaHonduras!J13+HojaDominicana!H13+HojaPANA!F13</f>
        <v>194300</v>
      </c>
      <c r="C12" s="9">
        <f>+HojaTICA!K13+HojaNICA!M13+HojaREVENTADO!K13+HojaPrimera!I13+HojaHonduras!K13+HojaDominicana!I13+HojaPANA!G13</f>
        <v>23300</v>
      </c>
      <c r="D12" s="9">
        <f>+HojaTICA!N13+HojaNICA!P13+HojaREVENTADO!O13+HojaPrimera!L13+HojaHonduras!N13+HojaDominicana!L13+HojaPANA!J13</f>
        <v>82500</v>
      </c>
      <c r="F12" s="14">
        <f t="shared" si="0"/>
        <v>88500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75">
      <c r="A13" s="15" t="str">
        <f>Vendedor11!B$2</f>
        <v>CHARLY</v>
      </c>
      <c r="B13" s="9">
        <f>+HojaTICA!J14+HojaNICA!L14+HojaREVENTADO!J14+HojaPrimera!H14+HojaHonduras!J14+HojaDominicana!H14+HojaPANA!F14</f>
        <v>134150</v>
      </c>
      <c r="C13" s="9">
        <f>+HojaTICA!K14+HojaNICA!M14+HojaREVENTADO!K14+HojaPrimera!I14+HojaHonduras!K14+HojaDominicana!I14+HojaPANA!G14</f>
        <v>20100</v>
      </c>
      <c r="D13" s="9">
        <f>+HojaTICA!N14+HojaNICA!P14+HojaREVENTADO!O14+HojaPrimera!L14+HojaHonduras!N14+HojaDominicana!L14+HojaPANA!J14</f>
        <v>240000</v>
      </c>
      <c r="F13" s="14">
        <f t="shared" si="0"/>
        <v>-125950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75">
      <c r="A15" s="15" t="str">
        <f>Vendedor13!B$2</f>
        <v>MINERO</v>
      </c>
      <c r="B15" s="9">
        <f>+HojaTICA!J16+HojaNICA!L16+HojaREVENTADO!J16+HojaPrimera!H16+HojaHonduras!J16+HojaDominicana!H16+HojaPANA!F16</f>
        <v>80650</v>
      </c>
      <c r="C15" s="9">
        <f>+HojaTICA!K16+HojaNICA!M16+HojaREVENTADO!K16+HojaPrimera!I16+HojaHonduras!K16+HojaDominicana!I16+HojaPANA!G16</f>
        <v>9650</v>
      </c>
      <c r="D15" s="9">
        <f>+HojaTICA!N16+HojaNICA!P16+HojaREVENTADO!O16+HojaPrimera!L16+HojaHonduras!N16+HojaDominicana!L16+HojaPANA!J16</f>
        <v>42500</v>
      </c>
      <c r="F15" s="14">
        <f t="shared" si="0"/>
        <v>28500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1273200</v>
      </c>
      <c r="C16" s="9">
        <f>+HojaTICA!K17+HojaNICA!M17+HojaREVENTADO!K17+HojaPrimera!I17+HojaHonduras!K17+HojaDominicana!I17+HojaPANA!G17</f>
        <v>151620</v>
      </c>
      <c r="D16" s="9">
        <f>+HojaTICA!N17+HojaNICA!P17+HojaREVENTADO!O17+HojaPrimera!L17+HojaHonduras!N17+HojaDominicana!L17+HojaPANA!J17</f>
        <v>1262250</v>
      </c>
      <c r="F16" s="14">
        <f t="shared" si="0"/>
        <v>-140670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378250</v>
      </c>
      <c r="C17" s="9">
        <f>+HojaTICA!K18+HojaNICA!M18+HojaREVENTADO!K18+HojaPrimera!I18+HojaHonduras!K18+HojaDominicana!I18+HojaPANA!G18</f>
        <v>44530</v>
      </c>
      <c r="D17" s="9">
        <f>+HojaTICA!N18+HojaNICA!P18+HojaREVENTADO!O18+HojaPrimera!L18+HojaHonduras!N18+HojaDominicana!L18+HojaPANA!J18</f>
        <v>703000</v>
      </c>
      <c r="F17" s="14">
        <f t="shared" si="0"/>
        <v>-369280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>
      <c r="A28" s="16" t="s">
        <v>5</v>
      </c>
      <c r="B28" s="19">
        <f t="shared" ref="B28:D28" si="1">SUM(B3:B27)</f>
        <v>4174150</v>
      </c>
      <c r="C28" s="17">
        <f t="shared" si="1"/>
        <v>504875</v>
      </c>
      <c r="D28" s="18">
        <f t="shared" si="1"/>
        <v>3826000</v>
      </c>
      <c r="F28" s="20">
        <f>SUM(F3:F27)</f>
        <v>-156725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.75" thickBot="1"/>
    <row r="4" spans="1:13" ht="15.75" thickBot="1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157</v>
      </c>
      <c r="B5" s="164" t="s">
        <v>160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.75" thickBot="1">
      <c r="A7" s="28" t="s">
        <v>46</v>
      </c>
      <c r="B7" s="164">
        <v>26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.75" thickBot="1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.75" thickBot="1">
      <c r="A9" s="28" t="s">
        <v>48</v>
      </c>
      <c r="B9" s="164">
        <v>18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4" t="s">
        <v>162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3">
        <v>13</v>
      </c>
      <c r="C13" s="133"/>
      <c r="D13" s="138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155</v>
      </c>
      <c r="B15" s="164" t="s">
        <v>163</v>
      </c>
      <c r="C15" s="133"/>
      <c r="D15" s="138"/>
      <c r="E15" s="30">
        <v>80</v>
      </c>
      <c r="F15" s="30">
        <v>85</v>
      </c>
      <c r="G15" s="30">
        <v>85</v>
      </c>
    </row>
    <row r="16" spans="1:13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4" t="s">
        <v>159</v>
      </c>
      <c r="C17" s="133"/>
      <c r="D17" s="138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4">
        <v>52</v>
      </c>
      <c r="C19" s="133">
        <v>79</v>
      </c>
      <c r="D19" s="138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4" t="s">
        <v>159</v>
      </c>
      <c r="C20" s="164" t="s">
        <v>161</v>
      </c>
      <c r="D20" s="167">
        <v>50</v>
      </c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36">
        <v>41</v>
      </c>
      <c r="C21" s="165">
        <v>84</v>
      </c>
      <c r="D21" s="139"/>
      <c r="E21" s="30">
        <v>80</v>
      </c>
      <c r="F21" s="30">
        <v>85</v>
      </c>
      <c r="G21" s="30">
        <v>85</v>
      </c>
    </row>
    <row r="22" spans="1:7" ht="15.75" thickBot="1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>
      <c r="C2" s="268">
        <f>DigitaTICA!C2</f>
        <v>26</v>
      </c>
      <c r="D2" s="269"/>
      <c r="E2" s="268" t="str">
        <f>DigitaTICA!E2</f>
        <v>02</v>
      </c>
      <c r="F2" s="269"/>
      <c r="G2" s="268" t="str">
        <f>DigitaTICA!G2</f>
        <v>04</v>
      </c>
      <c r="H2" s="269"/>
    </row>
    <row r="3" spans="1:16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8" t="str">
        <f>Vendedor1!$B$2</f>
        <v>VENTANA</v>
      </c>
      <c r="C4" s="181">
        <f>IF(Vendedor1!$C$7="",0,Vendedor1!$C$7)</f>
        <v>61250</v>
      </c>
      <c r="D4" s="30">
        <f>IF(Vendedor1!$E$7="",0,Vendedor1!$E$7)</f>
        <v>0</v>
      </c>
      <c r="E4" s="181">
        <f>IF(Vendedor1!$C$11="",0,Vendedor1!$C$11)</f>
        <v>34450</v>
      </c>
      <c r="F4" s="30">
        <f>IF(Vendedor1!$E$11="",0,Vendedor1!$E$11)</f>
        <v>250</v>
      </c>
      <c r="G4" s="181">
        <f>IF(Vendedor1!$C$15="",0,Vendedor1!$C$15)</f>
        <v>81150</v>
      </c>
      <c r="H4" s="30">
        <f>IF(Vendedor1!$E$15="",0,Vendedor1!$E$15)</f>
        <v>1000</v>
      </c>
      <c r="J4" s="42">
        <f t="shared" ref="J4:J7" si="0">+C4+E4+G4</f>
        <v>176850</v>
      </c>
      <c r="K4" s="41">
        <f>MROUND(J4*Vendedor1!J$9,50)</f>
        <v>23000</v>
      </c>
      <c r="L4" s="42">
        <f t="shared" ref="L4:L7" si="1">+D4+F4+H4</f>
        <v>1250</v>
      </c>
      <c r="M4" s="42">
        <f t="shared" ref="M4:M7" si="2">+L4*85</f>
        <v>106250</v>
      </c>
      <c r="N4" s="42">
        <f>Vendedor1!$F$7+Vendedor1!$F$11+Vendedor1!$F$15</f>
        <v>106250</v>
      </c>
      <c r="P4" s="42">
        <f t="shared" ref="P4:P7" si="3">+J4-K4-N4</f>
        <v>47600</v>
      </c>
    </row>
    <row r="5" spans="1:16">
      <c r="A5" s="41">
        <v>2</v>
      </c>
      <c r="B5" s="178" t="str">
        <f>Vendedor2!$B$2</f>
        <v>PUESTO 2</v>
      </c>
      <c r="C5" s="181">
        <f>IF(Vendedor2!$C$7="",0,Vendedor2!$C$7)</f>
        <v>46350</v>
      </c>
      <c r="D5" s="30">
        <f>IF(Vendedor2!$E$7="",0,Vendedor2!$E$7)</f>
        <v>0</v>
      </c>
      <c r="E5" s="181">
        <f>IF(Vendedor2!$C$11="",0,Vendedor2!$C$11)</f>
        <v>31900</v>
      </c>
      <c r="F5" s="30">
        <f>IF(Vendedor2!$E$11="",0,Vendedor2!$E$11)</f>
        <v>0</v>
      </c>
      <c r="G5" s="181">
        <f>IF(Vendedor2!$C$15="",0,Vendedor2!$C$15)</f>
        <v>48400</v>
      </c>
      <c r="H5" s="30">
        <f>IF(Vendedor2!$E$15="",0,Vendedor2!$E$15)</f>
        <v>250</v>
      </c>
      <c r="J5" s="42">
        <f t="shared" si="0"/>
        <v>126650</v>
      </c>
      <c r="K5" s="41">
        <f>MROUND(J5*Vendedor2!J$9,50)</f>
        <v>16450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88950</v>
      </c>
    </row>
    <row r="6" spans="1:16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8" t="str">
        <f>Vendedor5!$B$2</f>
        <v>YOYO</v>
      </c>
      <c r="C8" s="181">
        <f>IF(Vendedor5!$C$7="",0,Vendedor5!$C$7)</f>
        <v>85650</v>
      </c>
      <c r="D8" s="30">
        <f>IF(Vendedor5!$E$7="",0,Vendedor5!$E$7)</f>
        <v>950</v>
      </c>
      <c r="E8" s="181">
        <f>IF(Vendedor5!$C$11="",0,Vendedor5!$C$11)</f>
        <v>54250</v>
      </c>
      <c r="F8" s="30">
        <f>IF(Vendedor5!$E$11="",0,Vendedor5!$E$11)</f>
        <v>1700</v>
      </c>
      <c r="G8" s="181">
        <f>IF(Vendedor5!$C$15="",0,Vendedor5!$C$15)</f>
        <v>60100</v>
      </c>
      <c r="H8" s="30">
        <f>IF(Vendedor5!$E$15="",0,Vendedor5!$E$15)</f>
        <v>300</v>
      </c>
      <c r="J8" s="42">
        <f t="shared" ref="J8" si="4">+C8+E8+G8</f>
        <v>200000</v>
      </c>
      <c r="K8" s="41">
        <f>MROUND(J8*Vendedor5!J$11,50)</f>
        <v>24000</v>
      </c>
      <c r="L8" s="42">
        <f t="shared" ref="L8" si="5">+D8+F8+H8</f>
        <v>2950</v>
      </c>
      <c r="M8" s="42">
        <f t="shared" ref="M8" si="6">+L8*85</f>
        <v>250750</v>
      </c>
      <c r="N8" s="42">
        <f>Vendedor5!$F$7+Vendedor5!$F$11+Vendedor5!$F$15</f>
        <v>250750</v>
      </c>
      <c r="P8" s="42">
        <f t="shared" ref="P8" si="7">+J8-K8-N8</f>
        <v>-74750</v>
      </c>
    </row>
    <row r="9" spans="1:16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9" t="str">
        <f>Vendedor7!$B$2</f>
        <v>PIKIS</v>
      </c>
      <c r="C10" s="181">
        <f>IF(Vendedor7!$C$7="",0,Vendedor7!$C$7)</f>
        <v>158850</v>
      </c>
      <c r="D10" s="30">
        <f>IF(Vendedor7!$E$7="",0,Vendedor7!$E$7)</f>
        <v>300</v>
      </c>
      <c r="E10" s="181">
        <f>IF(Vendedor7!$C$11="",0,Vendedor7!$C$11)</f>
        <v>142550</v>
      </c>
      <c r="F10" s="30">
        <f>IF(Vendedor7!$E$11="",0,Vendedor7!$E$11)</f>
        <v>1500</v>
      </c>
      <c r="G10" s="181">
        <f>IF(Vendedor7!$C$15="",0,Vendedor7!$C$15)</f>
        <v>186250</v>
      </c>
      <c r="H10" s="30">
        <f>IF(Vendedor7!$E$15="",0,Vendedor7!$E$15)</f>
        <v>1750</v>
      </c>
      <c r="J10" s="42">
        <f t="shared" si="8"/>
        <v>487650</v>
      </c>
      <c r="K10" s="41">
        <f>MROUND(J10*Vendedor7!J$14,50)</f>
        <v>58500</v>
      </c>
      <c r="L10" s="42">
        <f t="shared" si="9"/>
        <v>3550</v>
      </c>
      <c r="M10" s="42">
        <f t="shared" si="10"/>
        <v>301750</v>
      </c>
      <c r="N10" s="42">
        <f>Vendedor7!$F$7+Vendedor7!$F$11+Vendedor7!$F$15</f>
        <v>301750</v>
      </c>
      <c r="P10" s="42">
        <f t="shared" si="11"/>
        <v>127400</v>
      </c>
    </row>
    <row r="11" spans="1:16">
      <c r="A11" s="41">
        <v>8</v>
      </c>
      <c r="B11" s="179" t="str">
        <f>Vendedor8!$B$2</f>
        <v>ISA</v>
      </c>
      <c r="C11" s="181">
        <f>IF(Vendedor8!$C$7="",0,Vendedor8!$C$7)</f>
        <v>30900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29000</v>
      </c>
      <c r="H11" s="30">
        <f>IF(Vendedor8!$E$15="",0,Vendedor8!$E$15)</f>
        <v>0</v>
      </c>
      <c r="J11" s="42">
        <f t="shared" si="8"/>
        <v>59900</v>
      </c>
      <c r="K11" s="41">
        <f>MROUND(J11*Vendedor8!J$11,50)</f>
        <v>7200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52700</v>
      </c>
    </row>
    <row r="12" spans="1:16">
      <c r="A12" s="41">
        <v>9</v>
      </c>
      <c r="B12" s="179" t="str">
        <f>Vendedor9!$B$2</f>
        <v>JUAN FELIX</v>
      </c>
      <c r="C12" s="181">
        <f>IF(Vendedor9!$C$7="",0,Vendedor9!$C$7)</f>
        <v>46600</v>
      </c>
      <c r="D12" s="30">
        <f>IF(Vendedor9!$E$7="",0,Vendedor9!$E$7)</f>
        <v>200</v>
      </c>
      <c r="E12" s="181">
        <f>IF(Vendedor9!$C$11="",0,Vendedor9!$C$11)</f>
        <v>32600</v>
      </c>
      <c r="F12" s="30">
        <f>IF(Vendedor9!$E$11="",0,Vendedor9!$E$11)</f>
        <v>500</v>
      </c>
      <c r="G12" s="181">
        <f>IF(Vendedor9!$C$15="",0,Vendedor9!$C$15)</f>
        <v>13500</v>
      </c>
      <c r="H12" s="30">
        <f>IF(Vendedor9!$E$15="",0,Vendedor9!$E$15)</f>
        <v>0</v>
      </c>
      <c r="J12" s="42">
        <f t="shared" si="8"/>
        <v>92700</v>
      </c>
      <c r="K12" s="41">
        <f>MROUND(J12*Vendedor9!J$11,50)</f>
        <v>11100</v>
      </c>
      <c r="L12" s="42">
        <f t="shared" si="9"/>
        <v>700</v>
      </c>
      <c r="M12" s="42">
        <f t="shared" si="10"/>
        <v>59500</v>
      </c>
      <c r="N12" s="42">
        <f>Vendedor9!$F$7+Vendedor9!$F$11+Vendedor9!$F$15</f>
        <v>59500</v>
      </c>
      <c r="P12" s="42">
        <f t="shared" si="11"/>
        <v>22100</v>
      </c>
    </row>
    <row r="13" spans="1:16">
      <c r="A13" s="41">
        <v>10</v>
      </c>
      <c r="B13" s="179" t="str">
        <f>Vendedor10!$B$2</f>
        <v>MARIALIZ</v>
      </c>
      <c r="C13" s="181">
        <f>IF(Vendedor10!$C$7="",0,Vendedor10!$C$7)</f>
        <v>39100</v>
      </c>
      <c r="D13" s="30">
        <f>IF(Vendedor10!$E$7="",0,Vendedor10!$E$7)</f>
        <v>0</v>
      </c>
      <c r="E13" s="181">
        <f>IF(Vendedor10!$C$11="",0,Vendedor10!$C$11)</f>
        <v>23600</v>
      </c>
      <c r="F13" s="30">
        <f>IF(Vendedor10!$E$11="",0,Vendedor10!$E$11)</f>
        <v>200</v>
      </c>
      <c r="G13" s="181">
        <f>IF(Vendedor10!$C$15="",0,Vendedor10!$C$15)</f>
        <v>52900</v>
      </c>
      <c r="H13" s="30">
        <f>IF(Vendedor10!$E$15="",0,Vendedor10!$E$15)</f>
        <v>300</v>
      </c>
      <c r="J13" s="42">
        <f t="shared" si="8"/>
        <v>115600</v>
      </c>
      <c r="K13" s="41">
        <f>MROUND(J13*Vendedor10!J$9,50)</f>
        <v>13850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59250</v>
      </c>
    </row>
    <row r="14" spans="1:16">
      <c r="A14" s="41">
        <v>11</v>
      </c>
      <c r="B14" s="179" t="str">
        <f>Vendedor11!$B$2</f>
        <v>CHARLY</v>
      </c>
      <c r="C14" s="181">
        <f>IF(Vendedor11!$C$7="",0,Vendedor11!$C$7)</f>
        <v>81200</v>
      </c>
      <c r="D14" s="30">
        <f>IF(Vendedor11!$E$7="",0,Vendedor11!$E$7)</f>
        <v>500</v>
      </c>
      <c r="E14" s="181">
        <f>IF(Vendedor11!$C$11="",0,Vendedor11!$C$11)</f>
        <v>24200</v>
      </c>
      <c r="F14" s="30">
        <f>IF(Vendedor11!$E$11="",0,Vendedor11!$E$11)</f>
        <v>2000</v>
      </c>
      <c r="G14" s="181">
        <f>IF(Vendedor11!$C$15="",0,Vendedor11!$C$15)</f>
        <v>28750</v>
      </c>
      <c r="H14" s="30">
        <f>IF(Vendedor11!$E$15="",0,Vendedor11!$E$15)</f>
        <v>500</v>
      </c>
      <c r="J14" s="42">
        <f t="shared" si="8"/>
        <v>134150</v>
      </c>
      <c r="K14" s="41">
        <f>MROUND(J14*Vendedor11!J$9,50)</f>
        <v>20100</v>
      </c>
      <c r="L14" s="42">
        <f t="shared" si="9"/>
        <v>3000</v>
      </c>
      <c r="M14" s="42">
        <f t="shared" si="10"/>
        <v>255000</v>
      </c>
      <c r="N14" s="42">
        <f>Vendedor11!$F$7+Vendedor11!$F$11+Vendedor11!$F$15</f>
        <v>240000</v>
      </c>
      <c r="P14" s="42">
        <f t="shared" si="11"/>
        <v>-125950</v>
      </c>
    </row>
    <row r="15" spans="1:16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9" t="str">
        <f>Vendedor13!$B$2</f>
        <v>MINERO</v>
      </c>
      <c r="C16" s="181">
        <f>IF(Vendedor13!$C$7="",0,Vendedor13!$C$7)</f>
        <v>22050</v>
      </c>
      <c r="D16" s="30">
        <f>IF(Vendedor13!$E$7="",0,Vendedor13!$E$7)</f>
        <v>0</v>
      </c>
      <c r="E16" s="181">
        <f>IF(Vendedor13!$C$11="",0,Vendedor13!$C$11)</f>
        <v>14100</v>
      </c>
      <c r="F16" s="30">
        <f>IF(Vendedor13!$E$11="",0,Vendedor13!$E$11)</f>
        <v>0</v>
      </c>
      <c r="G16" s="181">
        <f>IF(Vendedor13!$C$15="",0,Vendedor13!$C$15)</f>
        <v>19900</v>
      </c>
      <c r="H16" s="30">
        <f>IF(Vendedor13!$E$15="",0,Vendedor13!$E$15)</f>
        <v>500</v>
      </c>
      <c r="J16" s="42">
        <f t="shared" si="8"/>
        <v>56050</v>
      </c>
      <c r="K16" s="41">
        <f>MROUND(J16*Vendedor13!J$11,50)</f>
        <v>6750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6800</v>
      </c>
    </row>
    <row r="17" spans="1:16">
      <c r="A17" s="41">
        <v>14</v>
      </c>
      <c r="B17" s="179" t="str">
        <f>Vendedor14!$B$2</f>
        <v>EDUARDO TIEMPOS LICORERA</v>
      </c>
      <c r="C17" s="181">
        <f>IF(Vendedor14!$C$7="",0,Vendedor14!$C$7)</f>
        <v>142650</v>
      </c>
      <c r="D17" s="30">
        <f>IF(Vendedor14!$E$7="",0,Vendedor14!$E$7)</f>
        <v>600</v>
      </c>
      <c r="E17" s="181">
        <f>IF(Vendedor14!$C$11="",0,Vendedor14!$C$11)</f>
        <v>137150</v>
      </c>
      <c r="F17" s="30">
        <f>IF(Vendedor14!$E$11="",0,Vendedor14!$E$11)</f>
        <v>1250</v>
      </c>
      <c r="G17" s="181">
        <f>IF(Vendedor14!$C$15="",0,Vendedor14!$C$15)</f>
        <v>184100</v>
      </c>
      <c r="H17" s="30">
        <f>IF(Vendedor14!$E$15="",0,Vendedor14!$E$15)</f>
        <v>4650</v>
      </c>
      <c r="J17" s="42">
        <f t="shared" si="8"/>
        <v>463900</v>
      </c>
      <c r="K17" s="41">
        <f>MROUND(J17*Vendedor14!J$15,50)</f>
        <v>55650</v>
      </c>
      <c r="L17" s="42">
        <f t="shared" si="9"/>
        <v>6500</v>
      </c>
      <c r="M17" s="42">
        <f t="shared" si="10"/>
        <v>552500</v>
      </c>
      <c r="N17" s="42">
        <f>Vendedor14!$F$7+Vendedor14!$F$11+Vendedor14!$F$15</f>
        <v>552500</v>
      </c>
      <c r="P17" s="42">
        <f t="shared" si="11"/>
        <v>-144250</v>
      </c>
    </row>
    <row r="18" spans="1:16">
      <c r="A18" s="41">
        <v>15</v>
      </c>
      <c r="B18" s="179" t="str">
        <f>Vendedor15!$B$2</f>
        <v>EDUARDO PUESTO CENTRO</v>
      </c>
      <c r="C18" s="181">
        <f>IF(Vendedor15!$C$7="",0,Vendedor15!$C$7)</f>
        <v>57500</v>
      </c>
      <c r="D18" s="30">
        <f>IF(Vendedor15!$E$7="",0,Vendedor15!$E$7)</f>
        <v>200</v>
      </c>
      <c r="E18" s="181">
        <f>IF(Vendedor15!$C$11="",0,Vendedor15!$C$11)</f>
        <v>52100</v>
      </c>
      <c r="F18" s="30">
        <f>IF(Vendedor15!$E$11="",0,Vendedor15!$E$11)</f>
        <v>5200</v>
      </c>
      <c r="G18" s="181">
        <f>IF(Vendedor15!$C$15="",0,Vendedor15!$C$15)</f>
        <v>50700</v>
      </c>
      <c r="H18" s="30">
        <f>IF(Vendedor15!$E$15="",0,Vendedor15!$E$15)</f>
        <v>1000</v>
      </c>
      <c r="J18" s="42">
        <f t="shared" ref="J18" si="12">+C18+E18+G18</f>
        <v>160300</v>
      </c>
      <c r="K18" s="41">
        <f>MROUND(J18*Vendedor15!J$15,50)</f>
        <v>19250</v>
      </c>
      <c r="L18" s="42">
        <f t="shared" ref="L18" si="13">+D18+F18+H18</f>
        <v>6400</v>
      </c>
      <c r="M18" s="42">
        <f t="shared" ref="M18" si="14">+L18*85</f>
        <v>544000</v>
      </c>
      <c r="N18" s="42">
        <f>Vendedor15!$F$7+Vendedor15!$F$11+Vendedor15!$F$15</f>
        <v>544000</v>
      </c>
      <c r="P18" s="42">
        <f t="shared" ref="P18" si="15">+J18-K18-N18</f>
        <v>-402950</v>
      </c>
    </row>
    <row r="19" spans="1:16" hidden="1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772100</v>
      </c>
      <c r="D32" s="44">
        <f t="shared" si="16"/>
        <v>2750</v>
      </c>
      <c r="E32" s="43">
        <f t="shared" si="16"/>
        <v>546900</v>
      </c>
      <c r="F32" s="44">
        <f t="shared" si="16"/>
        <v>12600</v>
      </c>
      <c r="G32" s="43">
        <f t="shared" si="16"/>
        <v>754750</v>
      </c>
      <c r="H32" s="44">
        <f t="shared" si="16"/>
        <v>10250</v>
      </c>
      <c r="J32" s="96">
        <f>SUM(J4:J31)</f>
        <v>2073750</v>
      </c>
      <c r="K32" s="45">
        <f>SUM(K7:K31)</f>
        <v>216400</v>
      </c>
      <c r="L32" s="96">
        <f>SUM(L4:L31)</f>
        <v>25600</v>
      </c>
      <c r="M32" s="96">
        <f>SUM(M4:M31)</f>
        <v>2176000</v>
      </c>
      <c r="N32" s="96">
        <f>SUM(N4:N31)</f>
        <v>2161000</v>
      </c>
      <c r="P32" s="80">
        <f>SUM(P4:P31)</f>
        <v>-343100</v>
      </c>
    </row>
    <row r="33" spans="3:13">
      <c r="D33" s="100">
        <f>+D32*85</f>
        <v>233750</v>
      </c>
      <c r="F33" s="100">
        <f>+F32*85</f>
        <v>1071000</v>
      </c>
      <c r="H33" s="100">
        <f>+H32*85</f>
        <v>871250</v>
      </c>
    </row>
    <row r="34" spans="3:13" ht="15.75" thickBot="1">
      <c r="L34" s="150"/>
      <c r="M34" s="43"/>
    </row>
    <row r="35" spans="3:13">
      <c r="C35" s="267" t="s">
        <v>89</v>
      </c>
      <c r="D35" s="267"/>
    </row>
    <row r="36" spans="3:13">
      <c r="C36" s="47" t="s">
        <v>28</v>
      </c>
      <c r="D36" s="30">
        <f>+C32+E32+G32</f>
        <v>2073750</v>
      </c>
      <c r="E36" s="43">
        <f>+D36-J4-J5-J6</f>
        <v>1770250</v>
      </c>
      <c r="G36" s="102"/>
    </row>
    <row r="37" spans="3:13">
      <c r="C37" s="47" t="s">
        <v>33</v>
      </c>
      <c r="D37" s="48">
        <f>D36*13%</f>
        <v>269587.5</v>
      </c>
      <c r="E37">
        <f>+D37-K4-K5-K6</f>
        <v>230137.5</v>
      </c>
      <c r="G37" s="101"/>
      <c r="H37" s="101"/>
    </row>
    <row r="38" spans="3:13" ht="15.75" thickBot="1">
      <c r="C38" s="47" t="s">
        <v>30</v>
      </c>
      <c r="D38" s="30">
        <f>M32</f>
        <v>2176000</v>
      </c>
      <c r="G38" s="101"/>
      <c r="H38" s="101"/>
    </row>
    <row r="39" spans="3:13" ht="15.75" thickBot="1">
      <c r="C39" s="49" t="s">
        <v>4</v>
      </c>
      <c r="D39" s="81">
        <f>+D36-D37-D38</f>
        <v>-371837.5</v>
      </c>
      <c r="F39" s="99">
        <f>+P32-D39</f>
        <v>28737.5</v>
      </c>
      <c r="G39" s="102"/>
      <c r="H39" s="102"/>
    </row>
    <row r="40" spans="3:13" ht="15.75" thickBot="1">
      <c r="G40" s="101"/>
    </row>
    <row r="41" spans="3:13">
      <c r="C41" s="105" t="s">
        <v>78</v>
      </c>
      <c r="D41" s="106">
        <v>0</v>
      </c>
      <c r="G41" s="101"/>
    </row>
    <row r="42" spans="3:13">
      <c r="C42" s="107" t="s">
        <v>80</v>
      </c>
      <c r="D42" s="108">
        <v>0</v>
      </c>
      <c r="G42" s="101"/>
    </row>
    <row r="43" spans="3:13" ht="15.75" thickBot="1">
      <c r="C43" s="109" t="s">
        <v>79</v>
      </c>
      <c r="D43" s="110">
        <f>+D39+D41+D42</f>
        <v>-371837.5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>
      <c r="C2" s="268" t="str">
        <f>DigitaNICA!C2</f>
        <v>01</v>
      </c>
      <c r="D2" s="269"/>
      <c r="E2" s="268">
        <f>DigitaNICA!E2</f>
        <v>18</v>
      </c>
      <c r="F2" s="269"/>
      <c r="G2" s="268">
        <f>DigitaNICA!G2</f>
        <v>13</v>
      </c>
      <c r="H2" s="269"/>
      <c r="I2" s="268" t="str">
        <f>DigitaNICA!I2</f>
        <v>08</v>
      </c>
      <c r="J2" s="269"/>
    </row>
    <row r="3" spans="1:18" ht="15.75" thickBot="1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8">
        <v>1</v>
      </c>
      <c r="B4" s="200" t="str">
        <f>Vendedor1!$B$2</f>
        <v>VENTANA</v>
      </c>
      <c r="C4" s="190">
        <f>IF(Vendedor1!$C$5="",0,Vendedor1!$C$5)</f>
        <v>22100</v>
      </c>
      <c r="D4" s="79">
        <f>IF(Vendedor1!$E$5="",0,Vendedor1!$E$5)</f>
        <v>100</v>
      </c>
      <c r="E4" s="190">
        <f>IF(Vendedor1!$C$9="",0,Vendedor1!$C$9)</f>
        <v>7350</v>
      </c>
      <c r="F4" s="79">
        <f>IF(Vendedor1!$E$9="",0,Vendedor1!$E$9)</f>
        <v>0</v>
      </c>
      <c r="G4" s="190">
        <f>IF(Vendedor1!$C$13="",0,Vendedor1!$C$13)</f>
        <v>3600</v>
      </c>
      <c r="H4" s="79">
        <f>IF(Vendedor1!$E$13="",0,Vendedor1!$E$13)</f>
        <v>300</v>
      </c>
      <c r="I4" s="190">
        <f>IF(Vendedor1!$C$17="",0,Vendedor1!$C$17)</f>
        <v>6250</v>
      </c>
      <c r="J4" s="79">
        <f>IF(Vendedor1!$E$17="",0,Vendedor1!$E$17)</f>
        <v>500</v>
      </c>
      <c r="L4" s="42">
        <f t="shared" ref="L4:L7" si="0">C4+E4+G4+I4</f>
        <v>39300</v>
      </c>
      <c r="M4" s="41">
        <f>MROUND(L4*Vendedor1!J$10,50)</f>
        <v>5100</v>
      </c>
      <c r="N4" s="42">
        <f t="shared" ref="N4:N7" si="1">D4+F4+H4+J4</f>
        <v>900</v>
      </c>
      <c r="O4" s="41">
        <f>IFERROR(N4*85,0)</f>
        <v>76500</v>
      </c>
      <c r="P4" s="42">
        <f>Vendedor1!$F$5+Vendedor1!$F$9+Vendedor1!$F$13+Vendedor1!$F$17</f>
        <v>72000</v>
      </c>
      <c r="R4" s="41">
        <f t="shared" ref="R4:R7" si="2">+L4-M4-O4</f>
        <v>-42300</v>
      </c>
    </row>
    <row r="5" spans="1:18">
      <c r="A5" s="47">
        <v>2</v>
      </c>
      <c r="B5" s="178" t="str">
        <f>Vendedor2!$B$2</f>
        <v>PUESTO 2</v>
      </c>
      <c r="C5" s="181">
        <f>IF(Vendedor2!$C$5="",0,Vendedor2!$C$5)</f>
        <v>12450</v>
      </c>
      <c r="D5" s="30">
        <f>IF(Vendedor2!$E$5="",0,Vendedor2!$E$5)</f>
        <v>0</v>
      </c>
      <c r="E5" s="181">
        <f>IF(Vendedor2!$C$9="",0,Vendedor2!$C$9)</f>
        <v>7850</v>
      </c>
      <c r="F5" s="30">
        <f>IF(Vendedor2!$E$9="",0,Vendedor2!$E$9)</f>
        <v>0</v>
      </c>
      <c r="G5" s="181">
        <f>IF(Vendedor2!$C$13="",0,Vendedor2!$C$13)</f>
        <v>0</v>
      </c>
      <c r="H5" s="30">
        <f>IF(Vendedor2!$E$13="",0,Vendedor2!$E$13)</f>
        <v>0</v>
      </c>
      <c r="I5" s="181">
        <f>IF(Vendedor2!$C$17="",0,Vendedor2!$C$17)</f>
        <v>1000</v>
      </c>
      <c r="J5" s="30">
        <f>IF(Vendedor2!$E$17="",0,Vendedor2!$E$17)</f>
        <v>0</v>
      </c>
      <c r="L5" s="42">
        <f t="shared" si="0"/>
        <v>21300</v>
      </c>
      <c r="M5" s="41">
        <f>MROUND(L5*Vendedor2!J$10,50)</f>
        <v>2750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18550</v>
      </c>
    </row>
    <row r="6" spans="1:18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8" t="str">
        <f>Vendedor5!$B$2</f>
        <v>YOYO</v>
      </c>
      <c r="C8" s="181">
        <f>IF(Vendedor5!$C$5="",0,Vendedor5!$C$5)</f>
        <v>78950</v>
      </c>
      <c r="D8" s="30">
        <f>IF(Vendedor5!$E$5="",0,Vendedor5!$E$5)</f>
        <v>2200</v>
      </c>
      <c r="E8" s="181">
        <f>IF(Vendedor5!$C$9="",0,Vendedor5!$C$9)</f>
        <v>63150</v>
      </c>
      <c r="F8" s="30">
        <f>IF(Vendedor5!$E$9="",0,Vendedor5!$E$9)</f>
        <v>450</v>
      </c>
      <c r="G8" s="181">
        <f>IF(Vendedor5!$C$13="",0,Vendedor5!$C$13)</f>
        <v>6900</v>
      </c>
      <c r="H8" s="30">
        <f>IF(Vendedor5!$E$13="",0,Vendedor5!$E$13)</f>
        <v>0</v>
      </c>
      <c r="I8" s="181">
        <f>IF(Vendedor5!$C$17="",0,Vendedor5!$C$17)</f>
        <v>9200</v>
      </c>
      <c r="J8" s="30">
        <f>IF(Vendedor5!$E$17="",0,Vendedor5!$E$17)</f>
        <v>0</v>
      </c>
      <c r="L8" s="42">
        <f t="shared" ref="L8" si="4">C8+E8+G8+I8</f>
        <v>158200</v>
      </c>
      <c r="M8" s="41">
        <f>MROUND(L8*Vendedor5!J$12,50)</f>
        <v>19000</v>
      </c>
      <c r="N8" s="42">
        <f t="shared" ref="N8" si="5">D8+F8+H8+J8</f>
        <v>2650</v>
      </c>
      <c r="O8" s="41">
        <f t="shared" si="3"/>
        <v>225250</v>
      </c>
      <c r="P8" s="42">
        <f>Vendedor5!$F$5+Vendedor5!$F$9+Vendedor5!$F$13+Vendedor5!$F$17</f>
        <v>212000</v>
      </c>
      <c r="Q8">
        <v>17</v>
      </c>
      <c r="R8" s="41">
        <f t="shared" ref="R8" si="6">+L8-M8-O8</f>
        <v>-86050</v>
      </c>
    </row>
    <row r="9" spans="1:18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9" t="str">
        <f>Vendedor7!$B$2</f>
        <v>PIKIS</v>
      </c>
      <c r="C10" s="181">
        <f>IF(Vendedor7!$C$5="",0,Vendedor7!$C$5)</f>
        <v>69650</v>
      </c>
      <c r="D10" s="30">
        <f>IF(Vendedor7!$E$5="",0,Vendedor7!$E$5)</f>
        <v>1000</v>
      </c>
      <c r="E10" s="181">
        <f>IF(Vendedor7!$C$9="",0,Vendedor7!$C$9)</f>
        <v>72150</v>
      </c>
      <c r="F10" s="30">
        <f>IF(Vendedor7!$E$9="",0,Vendedor7!$E$9)</f>
        <v>450</v>
      </c>
      <c r="G10" s="181">
        <f>IF(Vendedor7!$C$13="",0,Vendedor7!$C$13)</f>
        <v>37550</v>
      </c>
      <c r="H10" s="30">
        <f>IF(Vendedor7!$E$13="",0,Vendedor7!$E$13)</f>
        <v>0</v>
      </c>
      <c r="I10" s="181">
        <f>IF(Vendedor7!$C$17="",0,Vendedor7!$C$17)</f>
        <v>110000</v>
      </c>
      <c r="J10" s="30">
        <f>IF(Vendedor7!$E$17="",0,Vendedor7!$E$17)</f>
        <v>150</v>
      </c>
      <c r="L10" s="42">
        <f t="shared" si="7"/>
        <v>289350</v>
      </c>
      <c r="M10" s="41">
        <f>MROUND(L10*Vendedor7!J$15,50)</f>
        <v>34700</v>
      </c>
      <c r="N10" s="42">
        <f t="shared" ref="N10:N27" si="9">D10+F10+H10+J10</f>
        <v>1600</v>
      </c>
      <c r="O10" s="41">
        <f t="shared" si="3"/>
        <v>136000</v>
      </c>
      <c r="P10" s="42">
        <f>Vendedor7!$F$5+Vendedor7!$F$9+Vendedor7!$F$13+Vendedor7!$F$17</f>
        <v>136000</v>
      </c>
      <c r="R10" s="41">
        <f t="shared" si="8"/>
        <v>118650</v>
      </c>
    </row>
    <row r="11" spans="1:18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9" t="str">
        <f>Vendedor9!$B$2</f>
        <v>JUAN FELIX</v>
      </c>
      <c r="C12" s="181">
        <f>IF(Vendedor9!$C$5="",0,Vendedor9!$C$5)</f>
        <v>48600</v>
      </c>
      <c r="D12" s="30">
        <f>IF(Vendedor9!$E$5="",0,Vendedor9!$E$5)</f>
        <v>550</v>
      </c>
      <c r="E12" s="181">
        <f>IF(Vendedor9!$C$9="",0,Vendedor9!$C$9)</f>
        <v>27700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76300</v>
      </c>
      <c r="M12" s="41">
        <f>MROUND(L12*Vendedor9!J$12,50)</f>
        <v>9150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20400</v>
      </c>
    </row>
    <row r="13" spans="1:18">
      <c r="A13" s="47">
        <v>10</v>
      </c>
      <c r="B13" s="179" t="str">
        <f>Vendedor10!$B$2</f>
        <v>MARIALIZ</v>
      </c>
      <c r="C13" s="181">
        <f>IF(Vendedor10!$C$5="",0,Vendedor10!$C$5)</f>
        <v>32800</v>
      </c>
      <c r="D13" s="30">
        <f>IF(Vendedor10!$E$5="",0,Vendedor10!$E$5)</f>
        <v>500</v>
      </c>
      <c r="E13" s="181">
        <f>IF(Vendedor10!$C$9="",0,Vendedor10!$C$9)</f>
        <v>28700</v>
      </c>
      <c r="F13" s="30">
        <f>IF(Vendedor10!$E$9="",0,Vendedor10!$E$9)</f>
        <v>0</v>
      </c>
      <c r="G13" s="181">
        <f>IF(Vendedor10!$C$13="",0,Vendedor10!$C$13)</f>
        <v>13300</v>
      </c>
      <c r="H13" s="30">
        <f>IF(Vendedor10!$E$13="",0,Vendedor10!$E$13)</f>
        <v>0</v>
      </c>
      <c r="I13" s="181">
        <f>IF(Vendedor10!$C$17="",0,Vendedor10!$C$17)</f>
        <v>3900</v>
      </c>
      <c r="J13" s="30">
        <f>IF(Vendedor10!$E$17="",0,Vendedor10!$E$17)</f>
        <v>0</v>
      </c>
      <c r="L13" s="42">
        <f t="shared" si="7"/>
        <v>78700</v>
      </c>
      <c r="M13" s="41">
        <f>MROUND(L13*Vendedor10!J$10,50)</f>
        <v>9450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26750</v>
      </c>
    </row>
    <row r="14" spans="1:18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9" t="str">
        <f>Vendedor13!$B$2</f>
        <v>MINERO</v>
      </c>
      <c r="C16" s="181">
        <f>IF(Vendedor13!$C$5="",0,Vendedor13!$C$5)</f>
        <v>2300</v>
      </c>
      <c r="D16" s="30">
        <f>IF(Vendedor13!$E$5="",0,Vendedor13!$E$5)</f>
        <v>0</v>
      </c>
      <c r="E16" s="181">
        <f>IF(Vendedor13!$C$9="",0,Vendedor13!$C$9)</f>
        <v>8000</v>
      </c>
      <c r="F16" s="30">
        <f>IF(Vendedor13!$E$9="",0,Vendedor13!$E$9)</f>
        <v>0</v>
      </c>
      <c r="G16" s="181">
        <f>IF(Vendedor13!$C$13="",0,Vendedor13!$C$13)</f>
        <v>2000</v>
      </c>
      <c r="H16" s="30">
        <f>IF(Vendedor13!$E$13="",0,Vendedor13!$E$13)</f>
        <v>0</v>
      </c>
      <c r="I16" s="181">
        <f>IF(Vendedor13!$C$17="",0,Vendedor13!$C$17)</f>
        <v>8300</v>
      </c>
      <c r="J16" s="30">
        <f>IF(Vendedor13!$E$17="",0,Vendedor13!$E$17)</f>
        <v>0</v>
      </c>
      <c r="L16" s="42">
        <f t="shared" si="7"/>
        <v>20600</v>
      </c>
      <c r="M16" s="41">
        <f>MROUND(L16*Vendedor13!J$12,50)</f>
        <v>2450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18150</v>
      </c>
    </row>
    <row r="17" spans="1:18">
      <c r="A17" s="47">
        <v>14</v>
      </c>
      <c r="B17" s="179" t="str">
        <f>Vendedor14!$B$2</f>
        <v>EDUARDO TIEMPOS LICORERA</v>
      </c>
      <c r="C17" s="181">
        <f>IF(Vendedor14!$C$5="",0,Vendedor14!$C$5)</f>
        <v>121750</v>
      </c>
      <c r="D17" s="30">
        <f>IF(Vendedor14!$E$5="",0,Vendedor14!$E$5)</f>
        <v>1600</v>
      </c>
      <c r="E17" s="181">
        <f>IF(Vendedor14!$C$9="",0,Vendedor14!$C$9)</f>
        <v>125850</v>
      </c>
      <c r="F17" s="30">
        <f>IF(Vendedor14!$E$9="",0,Vendedor14!$E$9)</f>
        <v>500</v>
      </c>
      <c r="G17" s="181">
        <f>IF(Vendedor14!$C$13="",0,Vendedor14!$C$13)</f>
        <v>78700</v>
      </c>
      <c r="H17" s="30">
        <f>IF(Vendedor14!$E$13="",0,Vendedor14!$E$13)</f>
        <v>700</v>
      </c>
      <c r="I17" s="181">
        <f>IF(Vendedor14!$C$17="",0,Vendedor14!$C$17)</f>
        <v>188250</v>
      </c>
      <c r="J17" s="30">
        <f>IF(Vendedor14!$E$17="",0,Vendedor14!$E$17)</f>
        <v>2950</v>
      </c>
      <c r="L17" s="42">
        <f>C17+E17+G17+I17</f>
        <v>514550</v>
      </c>
      <c r="M17" s="41">
        <f>MROUND(L17*Vendedor14!J$16,50)</f>
        <v>61750</v>
      </c>
      <c r="N17" s="42">
        <f t="shared" si="9"/>
        <v>5750</v>
      </c>
      <c r="O17" s="41">
        <f t="shared" si="3"/>
        <v>488750</v>
      </c>
      <c r="P17" s="42">
        <f>Vendedor14!$F$5+Vendedor14!$F$9+Vendedor14!$F$13+Vendedor14!$F$17</f>
        <v>488750</v>
      </c>
      <c r="R17" s="41">
        <f t="shared" si="8"/>
        <v>-35950</v>
      </c>
    </row>
    <row r="18" spans="1:18">
      <c r="A18" s="47">
        <v>15</v>
      </c>
      <c r="B18" s="179" t="str">
        <f>Vendedor15!$B$2</f>
        <v>EDUARDO PUESTO CENTRO</v>
      </c>
      <c r="C18" s="181">
        <f>IF(Vendedor15!$C$5="",0,Vendedor15!$C$5)</f>
        <v>38900</v>
      </c>
      <c r="D18" s="30">
        <f>IF(Vendedor15!$E$5="",0,Vendedor15!$E$5)</f>
        <v>200</v>
      </c>
      <c r="E18" s="181">
        <f>IF(Vendedor15!$C$9="",0,Vendedor15!$C$9)</f>
        <v>39250</v>
      </c>
      <c r="F18" s="30">
        <f>IF(Vendedor15!$E$9="",0,Vendedor15!$E$9)</f>
        <v>450</v>
      </c>
      <c r="G18" s="181">
        <f>IF(Vendedor15!$C$13="",0,Vendedor15!$C$13)</f>
        <v>24500</v>
      </c>
      <c r="H18" s="30">
        <f>IF(Vendedor15!$E$13="",0,Vendedor15!$E$13)</f>
        <v>650</v>
      </c>
      <c r="I18" s="181">
        <f>IF(Vendedor15!$C$17="",0,Vendedor15!$C$17)</f>
        <v>13150</v>
      </c>
      <c r="J18" s="30">
        <f>IF(Vendedor15!$E$17="",0,Vendedor15!$E$17)</f>
        <v>0</v>
      </c>
      <c r="L18" s="42">
        <f t="shared" ref="L18:L27" si="10">C18+E18+G18+I18</f>
        <v>115800</v>
      </c>
      <c r="M18" s="41">
        <f>MROUND(L18*Vendedor15!J$16,50)</f>
        <v>13900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-8600</v>
      </c>
    </row>
    <row r="19" spans="1:18" hidden="1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427500</v>
      </c>
      <c r="D32" s="44">
        <f t="shared" si="14"/>
        <v>6150</v>
      </c>
      <c r="E32" s="43">
        <f t="shared" si="14"/>
        <v>380000</v>
      </c>
      <c r="F32" s="44">
        <f t="shared" si="14"/>
        <v>1850</v>
      </c>
      <c r="G32" s="43">
        <f t="shared" si="14"/>
        <v>166550</v>
      </c>
      <c r="H32" s="44">
        <f t="shared" si="14"/>
        <v>1650</v>
      </c>
      <c r="I32" s="43">
        <f t="shared" si="14"/>
        <v>340050</v>
      </c>
      <c r="J32" s="44">
        <f t="shared" si="14"/>
        <v>3600</v>
      </c>
      <c r="L32" s="45">
        <f>SUM(L4:L31)</f>
        <v>1314100</v>
      </c>
      <c r="M32" s="45">
        <f>SUM(M7:M31)</f>
        <v>150400</v>
      </c>
      <c r="N32" s="96">
        <f>SUM(N4:N31)</f>
        <v>13250</v>
      </c>
      <c r="O32" s="46">
        <f>SUM(O4:O31)</f>
        <v>1126250</v>
      </c>
      <c r="P32" s="141">
        <f>SUM(P4:P31)</f>
        <v>1106000</v>
      </c>
      <c r="R32" s="80">
        <f>SUM(R4:R31)</f>
        <v>29600</v>
      </c>
    </row>
    <row r="33" spans="3:15">
      <c r="D33" s="121">
        <f>+D32*85</f>
        <v>522750</v>
      </c>
      <c r="F33" s="121">
        <f>+F32*85</f>
        <v>157250</v>
      </c>
      <c r="H33" s="121">
        <f>+H32*85</f>
        <v>140250</v>
      </c>
      <c r="J33" s="121">
        <f>+J32*85</f>
        <v>306000</v>
      </c>
    </row>
    <row r="34" spans="3:15" ht="15.75" thickBot="1"/>
    <row r="35" spans="3:15">
      <c r="C35" s="267" t="s">
        <v>89</v>
      </c>
      <c r="D35" s="267"/>
      <c r="N35" s="150"/>
      <c r="O35" s="43"/>
    </row>
    <row r="36" spans="3:15">
      <c r="C36" s="47" t="s">
        <v>28</v>
      </c>
      <c r="D36" s="30">
        <f>+C32+E32+G32+I32</f>
        <v>1314100</v>
      </c>
      <c r="E36" s="43">
        <f>+D36-L4-L5-L6</f>
        <v>1253500</v>
      </c>
    </row>
    <row r="37" spans="3:15">
      <c r="C37" s="47" t="s">
        <v>33</v>
      </c>
      <c r="D37" s="48">
        <f>D36*13%</f>
        <v>170833</v>
      </c>
      <c r="E37">
        <f>+D37-M4-M5-M6</f>
        <v>162983</v>
      </c>
    </row>
    <row r="38" spans="3:15">
      <c r="C38" s="47" t="s">
        <v>30</v>
      </c>
      <c r="D38" s="30">
        <f>SUM(O4:O27)</f>
        <v>1126250</v>
      </c>
      <c r="G38" s="101"/>
    </row>
    <row r="39" spans="3:15" ht="15.75" thickBot="1">
      <c r="C39" s="49" t="s">
        <v>4</v>
      </c>
      <c r="D39" s="81">
        <f>+D36-D37-D38</f>
        <v>17017</v>
      </c>
      <c r="G39" s="102"/>
    </row>
    <row r="40" spans="3:15" ht="15.75" thickBot="1">
      <c r="G40" s="101"/>
    </row>
    <row r="41" spans="3:15">
      <c r="C41" s="105" t="s">
        <v>78</v>
      </c>
      <c r="D41" s="106">
        <v>0</v>
      </c>
      <c r="G41" s="101"/>
    </row>
    <row r="42" spans="3:15">
      <c r="C42" s="107" t="s">
        <v>80</v>
      </c>
      <c r="D42" s="108">
        <v>0</v>
      </c>
      <c r="G42" s="101"/>
    </row>
    <row r="43" spans="3:15" ht="15.75" thickBot="1">
      <c r="C43" s="109" t="s">
        <v>79</v>
      </c>
      <c r="D43" s="110">
        <f>+D39+D41+D42</f>
        <v>17017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45" customHeight="1">
      <c r="C2" s="268" t="str">
        <f>IF(C33=0,"",CONCATENATE(PREMIOS!$B7," ",PREMIOS!$B8))</f>
        <v>26 Blanca</v>
      </c>
      <c r="D2" s="269"/>
      <c r="E2" s="268" t="str">
        <f>IF(E33=0,"",CONCATENATE(PREMIOS!$B11," ",PREMIOS!$B12))</f>
        <v>02 Roja</v>
      </c>
      <c r="F2" s="269"/>
      <c r="G2" s="268" t="str">
        <f>IF(G33=0,"",CONCATENATE(PREMIOS!$B15," ",PREMIOS!$B16))</f>
        <v>04 Blanca</v>
      </c>
      <c r="H2" s="269"/>
    </row>
    <row r="3" spans="1:17" ht="15" customHeight="1" thickBot="1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9" t="str">
        <f>Vendedor7!$B$2</f>
        <v>PIKIS</v>
      </c>
      <c r="C10" s="181">
        <f>IF(Vendedor7!$C$8="",0,Vendedor7!$C$8)</f>
        <v>19600</v>
      </c>
      <c r="D10" s="30">
        <f>IF(Vendedor7!$E$8="",0,Vendedor7!$E$8)</f>
        <v>0</v>
      </c>
      <c r="E10" s="181">
        <f>IF(Vendedor7!$C$12="",0,Vendedor7!$C$12)</f>
        <v>26400</v>
      </c>
      <c r="F10" s="30">
        <f>IF(Vendedor7!$E$12="",0,Vendedor7!$E$12)</f>
        <v>0</v>
      </c>
      <c r="G10" s="181">
        <f>IF(Vendedor7!$C$16="",0,Vendedor7!$C$16)</f>
        <v>25350</v>
      </c>
      <c r="H10" s="30">
        <f>IF(Vendedor7!$E$16="",0,Vendedor7!$E$16)</f>
        <v>0</v>
      </c>
      <c r="J10" s="42">
        <f t="shared" si="1"/>
        <v>71350</v>
      </c>
      <c r="K10" s="41">
        <f>J10*Vendedor7!J$16</f>
        <v>7135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64215</v>
      </c>
    </row>
    <row r="11" spans="1:17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9" t="str">
        <f>Vendedor9!$B$2</f>
        <v>JUAN FELIX</v>
      </c>
      <c r="C12" s="181">
        <f>IF(Vendedor9!$C$8="",0,Vendedor9!$C$8)</f>
        <v>6000</v>
      </c>
      <c r="D12" s="30">
        <f>IF(Vendedor9!$E$8="",0,Vendedor9!$E$8)</f>
        <v>0</v>
      </c>
      <c r="E12" s="181">
        <f>IF(Vendedor9!$C$12="",0,Vendedor9!$C$12)</f>
        <v>4900</v>
      </c>
      <c r="F12" s="30">
        <f>IF(Vendedor9!$E$12="",0,Vendedor9!$E$12)</f>
        <v>300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10900</v>
      </c>
      <c r="K12" s="41">
        <f>J12*Vendedor9!J$13</f>
        <v>1090</v>
      </c>
      <c r="L12" s="42">
        <f t="shared" si="2"/>
        <v>300</v>
      </c>
      <c r="M12" s="42">
        <f t="shared" si="3"/>
        <v>300</v>
      </c>
      <c r="N12" s="42">
        <f t="shared" si="0"/>
        <v>66000</v>
      </c>
      <c r="O12" s="42">
        <f>Vendedor9!$F$8+Vendedor9!$F$12+Vendedor9!$F$16</f>
        <v>60000</v>
      </c>
      <c r="Q12" s="42">
        <f t="shared" si="4"/>
        <v>-50190</v>
      </c>
    </row>
    <row r="13" spans="1:17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>
      <c r="A17" s="47">
        <v>14</v>
      </c>
      <c r="B17" s="179" t="str">
        <f>Vendedor14!$B$2</f>
        <v>EDUARDO TIEMPOS LICORERA</v>
      </c>
      <c r="C17" s="181">
        <f>IF(Vendedor14!$C$8="",0,Vendedor14!$C$8)</f>
        <v>11700</v>
      </c>
      <c r="D17" s="30">
        <f>IF(Vendedor14!$E$8="",0,Vendedor14!$E$8)</f>
        <v>0</v>
      </c>
      <c r="E17" s="181">
        <f>IF(Vendedor14!$C$12="",0,Vendedor14!$C$12)</f>
        <v>12100</v>
      </c>
      <c r="F17" s="30">
        <f>IF(Vendedor14!$E$12="",0,Vendedor14!$E$12)</f>
        <v>0</v>
      </c>
      <c r="G17" s="181">
        <f>IF(Vendedor14!$C$16="",0,Vendedor14!$C$16)</f>
        <v>31400</v>
      </c>
      <c r="H17" s="30">
        <f>IF(Vendedor14!$E$16="",0,Vendedor14!$E$16)</f>
        <v>1350</v>
      </c>
      <c r="J17" s="42">
        <f t="shared" si="1"/>
        <v>55200</v>
      </c>
      <c r="K17" s="41">
        <f>J17*Vendedor14!J$17</f>
        <v>5520</v>
      </c>
      <c r="L17" s="42">
        <f t="shared" si="2"/>
        <v>0</v>
      </c>
      <c r="M17" s="42">
        <f t="shared" si="3"/>
        <v>1350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49680</v>
      </c>
    </row>
    <row r="18" spans="1:17">
      <c r="A18" s="47">
        <v>15</v>
      </c>
      <c r="B18" s="179" t="str">
        <f>Vendedor15!$B$2</f>
        <v>EDUARDO PUESTO CENTRO</v>
      </c>
      <c r="C18" s="181">
        <f>IF(Vendedor15!$C$8="",0,Vendedor15!$C$8)</f>
        <v>20100</v>
      </c>
      <c r="D18" s="30">
        <f>IF(Vendedor15!$E$8="",0,Vendedor15!$E$8)</f>
        <v>0</v>
      </c>
      <c r="E18" s="181">
        <f>IF(Vendedor15!$C$12="",0,Vendedor15!$C$12)</f>
        <v>9800</v>
      </c>
      <c r="F18" s="30">
        <f>IF(Vendedor15!$E$12="",0,Vendedor15!$E$12)</f>
        <v>200</v>
      </c>
      <c r="G18" s="181">
        <f>IF(Vendedor15!$C$16="",0,Vendedor15!$C$16)</f>
        <v>12400</v>
      </c>
      <c r="H18" s="30">
        <f>IF(Vendedor15!$E$16="",0,Vendedor15!$E$16)</f>
        <v>600</v>
      </c>
      <c r="J18" s="42">
        <f t="shared" ref="J18" si="5">+C18+E18+G18</f>
        <v>42300</v>
      </c>
      <c r="K18" s="41">
        <f>J18*Vendedor15!J$17</f>
        <v>4230</v>
      </c>
      <c r="L18" s="42">
        <f t="shared" si="2"/>
        <v>200</v>
      </c>
      <c r="M18" s="42">
        <f t="shared" si="3"/>
        <v>800</v>
      </c>
      <c r="N18" s="42">
        <f t="shared" si="0"/>
        <v>44000</v>
      </c>
      <c r="O18" s="42">
        <f>Vendedor15!$F$8+Vendedor15!$F$12+Vendedor15!$F$16</f>
        <v>40000</v>
      </c>
      <c r="Q18" s="42">
        <f t="shared" si="4"/>
        <v>-1930</v>
      </c>
    </row>
    <row r="19" spans="1:17" hidden="1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58400</v>
      </c>
      <c r="D33" s="44">
        <f>IF(PREMIOS!E8&lt;&gt;0,SUM(D4:D32),0)</f>
        <v>0</v>
      </c>
      <c r="E33" s="43">
        <f>SUM(E4:E32)</f>
        <v>53200</v>
      </c>
      <c r="F33" s="44">
        <f>IF(PREMIOS!E12&lt;&gt;0,SUM(F4:F32),0)</f>
        <v>500</v>
      </c>
      <c r="G33" s="43">
        <f>SUM(G4:G32)</f>
        <v>69150</v>
      </c>
      <c r="H33" s="44">
        <f>IF(PREMIOS!E16&lt;&gt;0,SUM(H4:H32),0)</f>
        <v>0</v>
      </c>
      <c r="J33" s="45">
        <f>SUM(J4:J32)</f>
        <v>180750</v>
      </c>
      <c r="K33" s="45">
        <f>SUM(K7:K32)</f>
        <v>18075</v>
      </c>
      <c r="L33" s="96">
        <f>SUM(L7:L32)</f>
        <v>500</v>
      </c>
      <c r="M33" s="96">
        <f>SUM(M7:M32)</f>
        <v>2450</v>
      </c>
      <c r="N33" s="96">
        <f>SUM(N4:N27)</f>
        <v>110000</v>
      </c>
      <c r="O33" s="96">
        <f>SUM(O4:O27)</f>
        <v>100000</v>
      </c>
      <c r="Q33" s="80">
        <f>SUM(Q4:Q32)</f>
        <v>62675</v>
      </c>
    </row>
    <row r="34" spans="3:17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110000</v>
      </c>
      <c r="H34" s="119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4" t="s">
        <v>90</v>
      </c>
      <c r="D36" s="274"/>
      <c r="F36" s="275" t="s">
        <v>94</v>
      </c>
      <c r="G36" s="275" t="s">
        <v>95</v>
      </c>
    </row>
    <row r="37" spans="3:17" ht="14.45" customHeight="1">
      <c r="C37" s="47" t="s">
        <v>28</v>
      </c>
      <c r="D37" s="30">
        <f>+C33+E33+G33</f>
        <v>180750</v>
      </c>
      <c r="E37" s="43">
        <f>+D37-J4-J5-J6</f>
        <v>180750</v>
      </c>
      <c r="F37" s="276"/>
      <c r="G37" s="276"/>
    </row>
    <row r="38" spans="3:17" ht="15.75" thickBot="1">
      <c r="C38" s="47" t="s">
        <v>33</v>
      </c>
      <c r="D38" s="30">
        <f>D37*10%</f>
        <v>18075</v>
      </c>
      <c r="E38" s="43">
        <f>+D38-K4-K5-K6</f>
        <v>18075</v>
      </c>
      <c r="F38" s="104">
        <v>220</v>
      </c>
      <c r="G38" s="104">
        <v>0</v>
      </c>
    </row>
    <row r="39" spans="3:17">
      <c r="C39" s="47" t="s">
        <v>30</v>
      </c>
      <c r="D39" s="30">
        <f>+D34+F34+H34</f>
        <v>110000</v>
      </c>
    </row>
    <row r="40" spans="3:17" ht="15.75" thickBot="1">
      <c r="C40" s="49" t="s">
        <v>4</v>
      </c>
      <c r="D40" s="81">
        <f>+D37-D38-D39</f>
        <v>52675</v>
      </c>
    </row>
    <row r="41" spans="3:17" ht="15.75" thickBot="1"/>
    <row r="42" spans="3:17">
      <c r="C42" s="105" t="s">
        <v>78</v>
      </c>
      <c r="D42" s="117">
        <v>0</v>
      </c>
    </row>
    <row r="43" spans="3:17">
      <c r="C43" s="107" t="s">
        <v>80</v>
      </c>
      <c r="D43" s="154">
        <v>0</v>
      </c>
    </row>
    <row r="44" spans="3:17" ht="15.75" thickBot="1">
      <c r="C44" s="109" t="s">
        <v>79</v>
      </c>
      <c r="D44" s="110">
        <f>+D42+D40+D43</f>
        <v>52675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45" customHeight="1">
      <c r="C2" s="268">
        <f>DigitaPRIMERA!C2</f>
        <v>52</v>
      </c>
      <c r="D2" s="269"/>
      <c r="E2" s="268">
        <f>DigitaPRIMERA!E2</f>
        <v>79</v>
      </c>
      <c r="F2" s="269"/>
    </row>
    <row r="3" spans="1:14" ht="14.45" customHeight="1" thickBot="1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8">
        <v>1</v>
      </c>
      <c r="B4" s="200" t="str">
        <f>Vendedor1!$B$2</f>
        <v>VENTANA</v>
      </c>
      <c r="C4" s="190">
        <f>IF(Vendedor1!$C$19="",0,Vendedor1!$C$19)</f>
        <v>8300</v>
      </c>
      <c r="D4" s="79">
        <f>IF(Vendedor1!$E$19="",0,Vendedor1!$E$19)</f>
        <v>0</v>
      </c>
      <c r="E4" s="190">
        <f>IF(Vendedor1!$C$20="",0,Vendedor1!$C$20)</f>
        <v>1500</v>
      </c>
      <c r="F4" s="79">
        <f>IF(Vendedor1!$E$20="",0,Vendedor1!$E$20)</f>
        <v>0</v>
      </c>
      <c r="H4" s="42">
        <f>+C4+E4</f>
        <v>9800</v>
      </c>
      <c r="I4" s="41">
        <f>MROUND(H4*Vendedor1!J$9,50)</f>
        <v>1250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8550</v>
      </c>
    </row>
    <row r="5" spans="1:14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0</v>
      </c>
      <c r="E5" s="181">
        <f>IF(Vendedor2!$C$20="",0,Vendedor2!$C$20)</f>
        <v>2000</v>
      </c>
      <c r="F5" s="30">
        <f>IF(Vendedor2!$E$20="",0,Vendedor2!$E$20)</f>
        <v>0</v>
      </c>
      <c r="H5" s="42">
        <f t="shared" ref="H5:H31" si="1">+C5+E5</f>
        <v>3000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2600</v>
      </c>
    </row>
    <row r="6" spans="1:14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>
      <c r="A8" s="204">
        <v>5</v>
      </c>
      <c r="B8" s="202" t="str">
        <f>Vendedor5!$B$2</f>
        <v>YOYO</v>
      </c>
      <c r="C8" s="181">
        <f>IF(Vendedor5!$C$19="",0,Vendedor5!$C$19)</f>
        <v>31800</v>
      </c>
      <c r="D8" s="30">
        <f>IF(Vendedor5!$E$19="",0,Vendedor5!$E$19)</f>
        <v>0</v>
      </c>
      <c r="E8" s="181">
        <f>IF(Vendedor5!$C$20="",0,Vendedor5!$C$20)</f>
        <v>25100</v>
      </c>
      <c r="F8" s="30">
        <f>IF(Vendedor5!$E$20="",0,Vendedor5!$E$20)</f>
        <v>0</v>
      </c>
      <c r="H8" s="134">
        <f t="shared" si="1"/>
        <v>56900</v>
      </c>
      <c r="I8" s="149">
        <f>MROUND(H8*Vendedor5!J$11,50)</f>
        <v>6850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50050</v>
      </c>
    </row>
    <row r="9" spans="1:14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>
      <c r="A10" s="47">
        <v>7</v>
      </c>
      <c r="B10" s="179" t="str">
        <f>Vendedor7!$B$2</f>
        <v>PIKIS</v>
      </c>
      <c r="C10" s="181">
        <f>IF(Vendedor7!$C$19="",0,Vendedor7!$C$19)</f>
        <v>21250</v>
      </c>
      <c r="D10" s="30">
        <f>IF(Vendedor7!$E$19="",0,Vendedor7!$E$19)</f>
        <v>200</v>
      </c>
      <c r="E10" s="181">
        <f>IF(Vendedor7!$C$20="",0,Vendedor7!$C$20)</f>
        <v>39000</v>
      </c>
      <c r="F10" s="30">
        <f>IF(Vendedor7!$E$20="",0,Vendedor7!$E$20)</f>
        <v>0</v>
      </c>
      <c r="H10" s="42">
        <f t="shared" si="1"/>
        <v>60250</v>
      </c>
      <c r="I10" s="41">
        <f>MROUND(H10*Vendedor7!J$14,50)</f>
        <v>7250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36000</v>
      </c>
    </row>
    <row r="11" spans="1:14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>
      <c r="A12" s="204">
        <v>9</v>
      </c>
      <c r="B12" s="197" t="str">
        <f>Vendedor9!$B$2</f>
        <v>JUAN FELIX</v>
      </c>
      <c r="C12" s="181">
        <f>IF(Vendedor9!$C$19="",0,Vendedor9!$C$19)</f>
        <v>34550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34550</v>
      </c>
      <c r="I12" s="149">
        <f>MROUND(H12*Vendedor9!J$11,50)</f>
        <v>4150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4900</v>
      </c>
    </row>
    <row r="13" spans="1:14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>
      <c r="A16" s="204">
        <v>13</v>
      </c>
      <c r="B16" s="197" t="str">
        <f>Vendedor13!$B$2</f>
        <v>MINERO</v>
      </c>
      <c r="C16" s="181">
        <f>IF(Vendedor13!$C$19="",0,Vendedor13!$C$19)</f>
        <v>3000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3000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2650</v>
      </c>
    </row>
    <row r="17" spans="1:14">
      <c r="A17" s="47">
        <v>14</v>
      </c>
      <c r="B17" s="179" t="str">
        <f>Vendedor14!$B$2</f>
        <v>EDUARDO TIEMPOS LICORERA</v>
      </c>
      <c r="C17" s="181">
        <f>IF(Vendedor14!$C$19="",0,Vendedor14!$C$19)</f>
        <v>79150</v>
      </c>
      <c r="D17" s="30">
        <f>IF(Vendedor14!$E$19="",0,Vendedor14!$E$19)</f>
        <v>100</v>
      </c>
      <c r="E17" s="181">
        <f>IF(Vendedor14!$C$20="",0,Vendedor14!$C$20)</f>
        <v>45200</v>
      </c>
      <c r="F17" s="30">
        <f>IF(Vendedor14!$E$20="",0,Vendedor14!$E$20)</f>
        <v>0</v>
      </c>
      <c r="H17" s="42">
        <f t="shared" si="1"/>
        <v>124350</v>
      </c>
      <c r="I17" s="41">
        <f>MROUND(H17*Vendedor14!J$15,50)</f>
        <v>14900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100950</v>
      </c>
    </row>
    <row r="18" spans="1:14">
      <c r="A18" s="47">
        <v>15</v>
      </c>
      <c r="B18" s="179" t="str">
        <f>Vendedor15!$B$2</f>
        <v>EDUARDO PUESTO CENTRO</v>
      </c>
      <c r="C18" s="181">
        <f>IF(Vendedor15!$C$19="",0,Vendedor15!$C$19)</f>
        <v>40350</v>
      </c>
      <c r="D18" s="30">
        <f>IF(Vendedor15!$E$19="",0,Vendedor15!$E$19)</f>
        <v>0</v>
      </c>
      <c r="E18" s="181">
        <f>IF(Vendedor15!$C$20="",0,Vendedor15!$C$20)</f>
        <v>16400</v>
      </c>
      <c r="F18" s="30">
        <f>IF(Vendedor15!$E$20="",0,Vendedor15!$E$20)</f>
        <v>100</v>
      </c>
      <c r="H18" s="42">
        <f t="shared" si="1"/>
        <v>56750</v>
      </c>
      <c r="I18" s="41">
        <f>MROUND(H18*Vendedor15!J$15,50)</f>
        <v>6800</v>
      </c>
      <c r="J18" s="42">
        <f t="shared" si="2"/>
        <v>100</v>
      </c>
      <c r="K18" s="42">
        <f t="shared" si="3"/>
        <v>8500</v>
      </c>
      <c r="L18" s="42">
        <f>Vendedor15!$F$19+Vendedor15!$F$20</f>
        <v>8500</v>
      </c>
      <c r="N18" s="42">
        <f t="shared" si="0"/>
        <v>41450</v>
      </c>
    </row>
    <row r="19" spans="1:14" hidden="1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219400</v>
      </c>
      <c r="D32" s="44">
        <f>SUM(D4:D31)</f>
        <v>600</v>
      </c>
      <c r="E32" s="43">
        <f>SUM(E4:E31)</f>
        <v>129200</v>
      </c>
      <c r="F32" s="44">
        <f>SUM(F4:F31)</f>
        <v>100</v>
      </c>
      <c r="H32" s="96">
        <f>SUM(H4:H31)</f>
        <v>348600</v>
      </c>
      <c r="I32" s="45">
        <f>SUM(I7:I31)</f>
        <v>40300</v>
      </c>
      <c r="J32" s="96"/>
      <c r="K32" s="96">
        <f>SUM(K4:K31)</f>
        <v>59500</v>
      </c>
      <c r="L32" s="96">
        <f>SUM(L4:L31)</f>
        <v>59500</v>
      </c>
      <c r="N32" s="80">
        <f>SUM(N4:N31)</f>
        <v>247150</v>
      </c>
    </row>
    <row r="33" spans="3:6">
      <c r="D33" s="100">
        <f>+D32*85</f>
        <v>51000</v>
      </c>
      <c r="F33" s="100">
        <f>+F32*85</f>
        <v>8500</v>
      </c>
    </row>
    <row r="34" spans="3:6" ht="15.75" thickBot="1"/>
    <row r="35" spans="3:6">
      <c r="C35" s="267" t="s">
        <v>89</v>
      </c>
      <c r="D35" s="267"/>
    </row>
    <row r="36" spans="3:6">
      <c r="C36" s="47" t="s">
        <v>28</v>
      </c>
      <c r="D36" s="30">
        <f>+C32+E32</f>
        <v>348600</v>
      </c>
      <c r="E36" s="43">
        <f>+D36-H4-H5-H6</f>
        <v>335800</v>
      </c>
    </row>
    <row r="37" spans="3:6">
      <c r="C37" s="47" t="s">
        <v>33</v>
      </c>
      <c r="D37" s="48">
        <f>D36*13%</f>
        <v>45318</v>
      </c>
      <c r="E37">
        <f>+D37-I4-I5-I6</f>
        <v>43668</v>
      </c>
    </row>
    <row r="38" spans="3:6" ht="15.75" thickBot="1">
      <c r="C38" s="47" t="s">
        <v>30</v>
      </c>
      <c r="D38" s="30">
        <f>SUM(K4:K27)</f>
        <v>59500</v>
      </c>
    </row>
    <row r="39" spans="3:6" ht="15.75" thickBot="1">
      <c r="C39" s="49" t="s">
        <v>4</v>
      </c>
      <c r="D39" s="81">
        <f>+D36-D37-D38</f>
        <v>243782</v>
      </c>
      <c r="F39" s="99">
        <f>+N32-D39</f>
        <v>3368</v>
      </c>
    </row>
    <row r="40" spans="3:6" ht="15.75" thickBot="1"/>
    <row r="41" spans="3:6">
      <c r="C41" s="105" t="s">
        <v>78</v>
      </c>
      <c r="D41" s="106">
        <v>0</v>
      </c>
    </row>
    <row r="42" spans="3:6">
      <c r="C42" s="107" t="s">
        <v>80</v>
      </c>
      <c r="D42" s="108">
        <v>0</v>
      </c>
    </row>
    <row r="43" spans="3:6" ht="15.75" thickBot="1">
      <c r="C43" s="109" t="s">
        <v>79</v>
      </c>
      <c r="D43" s="110">
        <f>+D39+D41+D42</f>
        <v>243782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>
      <c r="C2" s="268" t="str">
        <f>DigitaHONDURAS!C2</f>
        <v>08</v>
      </c>
      <c r="D2" s="269"/>
      <c r="E2" s="268" t="str">
        <f>DigitaHONDURAS!E2</f>
        <v>09</v>
      </c>
      <c r="F2" s="269"/>
      <c r="G2" s="268">
        <f>DigitaHONDURAS!G2</f>
        <v>50</v>
      </c>
      <c r="H2" s="269"/>
    </row>
    <row r="3" spans="1:16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>
      <c r="A10" s="41">
        <v>7</v>
      </c>
      <c r="B10" s="179" t="str">
        <f>Vendedor7!$B$2</f>
        <v>PIKIS</v>
      </c>
      <c r="C10" s="181">
        <f>IF(Vendedor7!$C$21="",0,Vendedor7!$C$21)</f>
        <v>15500</v>
      </c>
      <c r="D10" s="30">
        <f>IF(Vendedor7!$E$21="",0,Vendedor7!$E$21)</f>
        <v>0</v>
      </c>
      <c r="E10" s="181">
        <f>IF(Vendedor7!$C$22="",0,Vendedor7!$C$22)</f>
        <v>2600</v>
      </c>
      <c r="F10" s="30">
        <f>IF(Vendedor7!$E$22="",0,Vendedor7!$E$22)</f>
        <v>100</v>
      </c>
      <c r="G10" s="181">
        <f>IF(Vendedor7!$C$23="",0,Vendedor7!$C$23)</f>
        <v>24600</v>
      </c>
      <c r="H10" s="30">
        <f>IF(Vendedor7!$E$23="",0,Vendedor7!$E$23)</f>
        <v>2100</v>
      </c>
      <c r="J10" s="42">
        <f t="shared" si="0"/>
        <v>42700</v>
      </c>
      <c r="K10" s="41">
        <f>MROUND(J10*Vendedor7!J$14,50)</f>
        <v>5100</v>
      </c>
      <c r="L10" s="42">
        <f t="shared" si="1"/>
        <v>2200</v>
      </c>
      <c r="M10" s="42">
        <f t="shared" si="3"/>
        <v>187000</v>
      </c>
      <c r="N10" s="42">
        <f>Vendedor7!$F$21+Vendedor7!$F$22+Vendedor7!$F$23</f>
        <v>187000</v>
      </c>
      <c r="P10" s="42">
        <f t="shared" si="2"/>
        <v>-149400</v>
      </c>
    </row>
    <row r="11" spans="1:16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>
      <c r="A17" s="41">
        <v>14</v>
      </c>
      <c r="B17" s="179" t="str">
        <f>Vendedor14!$B$2</f>
        <v>EDUARDO TIEMPOS LICORERA</v>
      </c>
      <c r="C17" s="181">
        <f>IF(Vendedor14!$C$21="",0,Vendedor14!$C$21)</f>
        <v>59250</v>
      </c>
      <c r="D17" s="30">
        <f>IF(Vendedor14!$E$21="",0,Vendedor14!$E$21)</f>
        <v>350</v>
      </c>
      <c r="E17" s="181">
        <f>IF(Vendedor14!$C$22="",0,Vendedor14!$C$22)</f>
        <v>20150</v>
      </c>
      <c r="F17" s="30">
        <f>IF(Vendedor14!$E$22="",0,Vendedor14!$E$22)</f>
        <v>1000</v>
      </c>
      <c r="G17" s="181">
        <f>IF(Vendedor14!$C$23="",0,Vendedor14!$C$23)</f>
        <v>35800</v>
      </c>
      <c r="H17" s="30">
        <f>IF(Vendedor14!$E$23="",0,Vendedor14!$E$23)</f>
        <v>1150</v>
      </c>
      <c r="J17" s="42">
        <f t="shared" si="0"/>
        <v>115200</v>
      </c>
      <c r="K17" s="41">
        <f>MROUND(J17*Vendedor14!J$15,50)</f>
        <v>13800</v>
      </c>
      <c r="L17" s="42">
        <f t="shared" si="1"/>
        <v>2500</v>
      </c>
      <c r="M17" s="42">
        <f t="shared" si="3"/>
        <v>212500</v>
      </c>
      <c r="N17" s="42">
        <f>Vendedor14!$F$21+Vendedor14!$F$22+Vendedor14!$F$23</f>
        <v>212500</v>
      </c>
      <c r="P17" s="42">
        <f t="shared" si="2"/>
        <v>-111100</v>
      </c>
    </row>
    <row r="18" spans="1:16">
      <c r="A18" s="41">
        <v>15</v>
      </c>
      <c r="B18" s="179" t="str">
        <f>Vendedor15!$B$2</f>
        <v>EDUARDO PUESTO CENTRO</v>
      </c>
      <c r="C18" s="181">
        <f>IF(Vendedor15!$C$21="",0,Vendedor15!$C$21)</f>
        <v>1900</v>
      </c>
      <c r="D18" s="30">
        <f>IF(Vendedor15!$E$21="",0,Vendedor15!$E$21)</f>
        <v>0</v>
      </c>
      <c r="E18" s="181">
        <f>IF(Vendedor15!$C$22="",0,Vendedor15!$C$22)</f>
        <v>1200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3100</v>
      </c>
      <c r="K18" s="41">
        <f>MROUND(J18*Vendedor15!J$15,50)</f>
        <v>350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2750</v>
      </c>
    </row>
    <row r="19" spans="1:16" hidden="1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76650</v>
      </c>
      <c r="D32" s="44">
        <f t="shared" si="8"/>
        <v>350</v>
      </c>
      <c r="E32" s="43">
        <f t="shared" si="8"/>
        <v>23950</v>
      </c>
      <c r="F32" s="44">
        <f t="shared" si="8"/>
        <v>1100</v>
      </c>
      <c r="G32" s="43">
        <f t="shared" si="8"/>
        <v>60400</v>
      </c>
      <c r="H32" s="44">
        <f t="shared" si="8"/>
        <v>3250</v>
      </c>
      <c r="J32" s="96">
        <f>SUM(J4:J31)</f>
        <v>161000</v>
      </c>
      <c r="K32" s="45">
        <f>SUM(K7:K31)</f>
        <v>19250</v>
      </c>
      <c r="L32" s="96"/>
      <c r="M32" s="96">
        <f>SUM(M4:M31)</f>
        <v>399500</v>
      </c>
      <c r="N32" s="96">
        <f>SUM(N4:N31)</f>
        <v>399500</v>
      </c>
      <c r="P32" s="80">
        <f>SUM(P4:P31)</f>
        <v>-257750</v>
      </c>
    </row>
    <row r="33" spans="3:8">
      <c r="D33" s="100">
        <f>+D32*85</f>
        <v>29750</v>
      </c>
      <c r="F33" s="100">
        <f>+F32*85</f>
        <v>93500</v>
      </c>
      <c r="H33" s="100">
        <f>+H32*85</f>
        <v>276250</v>
      </c>
    </row>
    <row r="34" spans="3:8" ht="15.75" thickBot="1"/>
    <row r="35" spans="3:8">
      <c r="C35" s="267" t="s">
        <v>89</v>
      </c>
      <c r="D35" s="267"/>
    </row>
    <row r="36" spans="3:8">
      <c r="C36" s="47" t="s">
        <v>28</v>
      </c>
      <c r="D36" s="30">
        <f>+C32+E32+G32</f>
        <v>161000</v>
      </c>
      <c r="E36" s="43">
        <f>+D36-J4-J5-J6</f>
        <v>161000</v>
      </c>
    </row>
    <row r="37" spans="3:8">
      <c r="C37" s="47" t="s">
        <v>33</v>
      </c>
      <c r="D37" s="48">
        <f>D36*13%</f>
        <v>20930</v>
      </c>
      <c r="E37">
        <f>+D37-K4-K5-K6</f>
        <v>20930</v>
      </c>
    </row>
    <row r="38" spans="3:8" ht="15.75" thickBot="1">
      <c r="C38" s="47" t="s">
        <v>30</v>
      </c>
      <c r="D38" s="30">
        <f>SUM(M4:M27)</f>
        <v>399500</v>
      </c>
      <c r="G38" s="101"/>
    </row>
    <row r="39" spans="3:8" ht="15.75" thickBot="1">
      <c r="C39" s="49" t="s">
        <v>4</v>
      </c>
      <c r="D39" s="81">
        <f>+D36-D37-D38</f>
        <v>-259430</v>
      </c>
      <c r="F39" s="99">
        <f>+P32-D39</f>
        <v>1680</v>
      </c>
      <c r="G39" s="102"/>
    </row>
    <row r="40" spans="3:8" ht="15.75" thickBot="1">
      <c r="G40" s="101"/>
    </row>
    <row r="41" spans="3:8">
      <c r="C41" s="105" t="s">
        <v>78</v>
      </c>
      <c r="D41" s="106">
        <v>0</v>
      </c>
      <c r="G41" s="101"/>
    </row>
    <row r="42" spans="3:8">
      <c r="C42" s="107" t="s">
        <v>80</v>
      </c>
      <c r="D42" s="108">
        <v>0</v>
      </c>
      <c r="G42" s="101"/>
    </row>
    <row r="43" spans="3:8" ht="15.75" thickBot="1">
      <c r="C43" s="109" t="s">
        <v>79</v>
      </c>
      <c r="D43" s="110">
        <f>+D39+D41+D42</f>
        <v>-259430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>
      <c r="C2" s="268">
        <f>DigitaDOMINICANA!C2</f>
        <v>41</v>
      </c>
      <c r="D2" s="269"/>
      <c r="E2" s="268">
        <f>DigitaDOMINICANA!E2</f>
        <v>84</v>
      </c>
      <c r="F2" s="269"/>
    </row>
    <row r="3" spans="1:14" ht="15.75" thickBot="1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>
      <c r="A10" s="47">
        <v>7</v>
      </c>
      <c r="B10" s="179" t="str">
        <f>Vendedor7!$B$2</f>
        <v>PIKIS</v>
      </c>
      <c r="C10" s="181">
        <f>IF(Vendedor7!$C$24="",0,Vendedor7!$C$24)</f>
        <v>46950</v>
      </c>
      <c r="D10" s="30">
        <f>IF(Vendedor7!$E$24="",0,Vendedor7!$E$24)</f>
        <v>0</v>
      </c>
      <c r="E10" s="181">
        <f>IF(Vendedor7!$C$25="",0,Vendedor7!$C$25)</f>
        <v>49000</v>
      </c>
      <c r="F10" s="30">
        <f>IF(Vendedor7!$E$25="",0,Vendedor7!$E$25)</f>
        <v>0</v>
      </c>
      <c r="H10" s="42">
        <f t="shared" si="1"/>
        <v>95950</v>
      </c>
      <c r="I10" s="41">
        <f>MROUND(H10*Vendedor7!J$14,50)</f>
        <v>11500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84450</v>
      </c>
    </row>
    <row r="11" spans="1:14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46950</v>
      </c>
      <c r="D32" s="44">
        <f>SUM(D4:D31)</f>
        <v>0</v>
      </c>
      <c r="E32" s="43">
        <f>SUM(E4:E31)</f>
        <v>49000</v>
      </c>
      <c r="F32" s="44">
        <f>SUM(F4:F31)</f>
        <v>0</v>
      </c>
      <c r="H32" s="96">
        <f>SUM(H4:H31)</f>
        <v>95950</v>
      </c>
      <c r="I32" s="45">
        <f>SUM(I7:I31)</f>
        <v>11500</v>
      </c>
      <c r="J32" s="96"/>
      <c r="K32" s="96">
        <f>SUM(K4:K31)</f>
        <v>0</v>
      </c>
      <c r="L32" s="96">
        <f>SUM(L4:L31)</f>
        <v>0</v>
      </c>
      <c r="N32" s="80">
        <f>SUM(N4:N31)</f>
        <v>84450</v>
      </c>
    </row>
    <row r="33" spans="3:6">
      <c r="D33" s="100">
        <f>+D32*85</f>
        <v>0</v>
      </c>
      <c r="F33" s="100">
        <f>+F32*85</f>
        <v>0</v>
      </c>
    </row>
    <row r="34" spans="3:6" ht="15.75" thickBot="1"/>
    <row r="35" spans="3:6">
      <c r="C35" s="267" t="s">
        <v>89</v>
      </c>
      <c r="D35" s="267"/>
    </row>
    <row r="36" spans="3:6">
      <c r="C36" s="47" t="s">
        <v>28</v>
      </c>
      <c r="D36" s="30">
        <f>+C32+E32</f>
        <v>95950</v>
      </c>
      <c r="E36" s="43">
        <f>+D36-H4-H5-H6</f>
        <v>95950</v>
      </c>
    </row>
    <row r="37" spans="3:6">
      <c r="C37" s="47" t="s">
        <v>33</v>
      </c>
      <c r="D37" s="48">
        <f>D36*13%</f>
        <v>12473.5</v>
      </c>
      <c r="E37">
        <f>+D37-I4-I5-I6</f>
        <v>12473.5</v>
      </c>
    </row>
    <row r="38" spans="3:6" ht="15.75" thickBot="1">
      <c r="C38" s="47" t="s">
        <v>30</v>
      </c>
      <c r="D38" s="30">
        <f>SUM(K4:K27)</f>
        <v>0</v>
      </c>
    </row>
    <row r="39" spans="3:6" ht="15.75" thickBot="1">
      <c r="C39" s="49" t="s">
        <v>4</v>
      </c>
      <c r="D39" s="81">
        <f>+D36-D37-D38</f>
        <v>83476.5</v>
      </c>
      <c r="F39" s="99">
        <f>+N32-D39</f>
        <v>973.5</v>
      </c>
    </row>
    <row r="40" spans="3:6" ht="15.75" thickBot="1"/>
    <row r="41" spans="3:6">
      <c r="C41" s="105" t="s">
        <v>78</v>
      </c>
      <c r="D41" s="106">
        <v>0</v>
      </c>
    </row>
    <row r="42" spans="3:6">
      <c r="C42" s="107" t="s">
        <v>80</v>
      </c>
      <c r="D42" s="108">
        <v>0</v>
      </c>
    </row>
    <row r="43" spans="3:6" ht="15.75" thickBot="1">
      <c r="C43" s="109" t="s">
        <v>79</v>
      </c>
      <c r="D43" s="110">
        <f>+D39+D41+D42</f>
        <v>83476.5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80" t="s">
        <v>19</v>
      </c>
      <c r="B1" s="80"/>
      <c r="C1" s="272" t="s">
        <v>109</v>
      </c>
      <c r="D1" s="273"/>
    </row>
    <row r="2" spans="1:12">
      <c r="C2" s="268" t="str">
        <f>DigitaPANAMENA!C2</f>
        <v/>
      </c>
      <c r="D2" s="269"/>
    </row>
    <row r="3" spans="1:12" ht="15.75" thickBot="1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5.95" customHeight="1">
      <c r="D33" s="100">
        <f>+D32*85</f>
        <v>0</v>
      </c>
    </row>
    <row r="34" spans="3:6" ht="15.75" thickBot="1"/>
    <row r="35" spans="3:6">
      <c r="C35" s="267" t="s">
        <v>89</v>
      </c>
      <c r="D35" s="267"/>
    </row>
    <row r="36" spans="3:6">
      <c r="C36" s="47" t="s">
        <v>28</v>
      </c>
      <c r="D36" s="30">
        <f>+C32</f>
        <v>0</v>
      </c>
      <c r="F36" s="43">
        <f>+D36-F4-F5-F6</f>
        <v>0</v>
      </c>
    </row>
    <row r="37" spans="3:6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>
      <c r="C38" s="47" t="s">
        <v>30</v>
      </c>
      <c r="D38" s="30">
        <f>SUM(I4:I27)</f>
        <v>0</v>
      </c>
    </row>
    <row r="39" spans="3:6" ht="15.75" thickBot="1">
      <c r="C39" s="49" t="s">
        <v>4</v>
      </c>
      <c r="D39" s="81">
        <f>+D36-D37-D38</f>
        <v>0</v>
      </c>
    </row>
    <row r="40" spans="3:6" ht="15.75" thickBot="1"/>
    <row r="41" spans="3:6">
      <c r="C41" s="105" t="s">
        <v>78</v>
      </c>
      <c r="D41" s="117">
        <v>0</v>
      </c>
    </row>
    <row r="42" spans="3:6">
      <c r="C42" s="107" t="s">
        <v>80</v>
      </c>
      <c r="D42" s="154">
        <v>0</v>
      </c>
    </row>
    <row r="43" spans="3:6" ht="15.75" thickBot="1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7" t="str">
        <f ca="1">CONCATENATE("Cuentas ALI ",TEXT('Ctas Banca'!I5,"dd-mm-yyyy"))</f>
        <v>Cuentas ALI 07-03-2026</v>
      </c>
      <c r="B1" s="277"/>
      <c r="C1" s="277"/>
      <c r="D1" s="277"/>
      <c r="E1" s="277"/>
      <c r="F1" s="277"/>
      <c r="G1" s="277"/>
      <c r="H1" s="21"/>
      <c r="I1" s="21"/>
    </row>
    <row r="2" spans="1:9" ht="15.75" thickBot="1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ht="1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7">
        <f>HojaNICA!$E$36</f>
        <v>1253500</v>
      </c>
      <c r="C4" s="158">
        <f>HojaNICA!M32</f>
        <v>150400</v>
      </c>
      <c r="D4" s="151">
        <f>HojaNICA!E37</f>
        <v>162983</v>
      </c>
      <c r="E4" s="151">
        <f>HojaNICA!P32</f>
        <v>1106000</v>
      </c>
      <c r="F4" s="151">
        <f>HojaNICA!O32</f>
        <v>1126250</v>
      </c>
      <c r="G4" s="152">
        <f t="shared" ref="G4:G10" si="0">+D4-C4+F4-E4</f>
        <v>32833</v>
      </c>
      <c r="H4" s="21"/>
      <c r="I4" s="183"/>
    </row>
    <row r="5" spans="1:9" ht="15">
      <c r="A5" s="28" t="s">
        <v>19</v>
      </c>
      <c r="B5" s="157">
        <f>HojaTICA!$E$36</f>
        <v>1770250</v>
      </c>
      <c r="C5" s="158">
        <f>HojaTICA!K32</f>
        <v>216400</v>
      </c>
      <c r="D5" s="151">
        <f>HojaTICA!E37</f>
        <v>230137.5</v>
      </c>
      <c r="E5" s="151">
        <f>HojaTICA!N32</f>
        <v>2161000</v>
      </c>
      <c r="F5" s="151">
        <f>HojaTICA!D38</f>
        <v>2176000</v>
      </c>
      <c r="G5" s="152">
        <f t="shared" si="0"/>
        <v>28737.5</v>
      </c>
      <c r="H5" s="21"/>
      <c r="I5" s="183"/>
    </row>
    <row r="6" spans="1:9" ht="15">
      <c r="A6" s="28" t="s">
        <v>125</v>
      </c>
      <c r="B6" s="157">
        <f>HojaREVENTADO!$E$37</f>
        <v>180750</v>
      </c>
      <c r="C6" s="158">
        <f>HojaREVENTADO!K33</f>
        <v>18075</v>
      </c>
      <c r="D6" s="151">
        <f>HojaREVENTADO!E38</f>
        <v>18075</v>
      </c>
      <c r="E6" s="151">
        <f>HojaREVENTADO!O33</f>
        <v>100000</v>
      </c>
      <c r="F6" s="151">
        <f>HojaREVENTADO!N33</f>
        <v>110000</v>
      </c>
      <c r="G6" s="152">
        <f t="shared" si="0"/>
        <v>10000</v>
      </c>
      <c r="H6" s="21"/>
      <c r="I6" s="183"/>
    </row>
    <row r="7" spans="1:9" ht="15">
      <c r="A7" s="28" t="s">
        <v>96</v>
      </c>
      <c r="B7" s="157">
        <f>HojaPrimera!$E$36</f>
        <v>335800</v>
      </c>
      <c r="C7" s="158">
        <f>HojaPrimera!I32</f>
        <v>40300</v>
      </c>
      <c r="D7" s="151">
        <f>HojaPrimera!E37</f>
        <v>43668</v>
      </c>
      <c r="E7" s="151">
        <f>HojaPrimera!L32</f>
        <v>59500</v>
      </c>
      <c r="F7" s="151">
        <f>HojaPrimera!K32</f>
        <v>59500</v>
      </c>
      <c r="G7" s="152">
        <f t="shared" si="0"/>
        <v>3368</v>
      </c>
      <c r="H7" s="21"/>
      <c r="I7" s="21"/>
    </row>
    <row r="8" spans="1:9" ht="15">
      <c r="A8" s="28" t="s">
        <v>104</v>
      </c>
      <c r="B8" s="157">
        <f>HojaHonduras!$E$36</f>
        <v>161000</v>
      </c>
      <c r="C8" s="158">
        <f>HojaHonduras!K32</f>
        <v>19250</v>
      </c>
      <c r="D8" s="151">
        <f>HojaHonduras!E37</f>
        <v>20930</v>
      </c>
      <c r="E8" s="151">
        <f>HojaHonduras!N32</f>
        <v>399500</v>
      </c>
      <c r="F8" s="151">
        <f>HojaHonduras!M32</f>
        <v>399500</v>
      </c>
      <c r="G8" s="152">
        <f t="shared" si="0"/>
        <v>1680</v>
      </c>
      <c r="H8" s="21"/>
      <c r="I8" s="21"/>
    </row>
    <row r="9" spans="1:9" ht="15">
      <c r="A9" s="28" t="s">
        <v>20</v>
      </c>
      <c r="B9" s="157">
        <f>HojaDominicana!$E$36</f>
        <v>95950</v>
      </c>
      <c r="C9" s="158">
        <f>HojaDominicana!I32</f>
        <v>11500</v>
      </c>
      <c r="D9" s="151">
        <f>HojaDominicana!E37</f>
        <v>12473.5</v>
      </c>
      <c r="E9" s="151">
        <f>HojaDominicana!L32</f>
        <v>0</v>
      </c>
      <c r="F9" s="151">
        <f>HojaDominicana!K32</f>
        <v>0</v>
      </c>
      <c r="G9" s="152">
        <f t="shared" si="0"/>
        <v>973.5</v>
      </c>
      <c r="H9" s="21"/>
      <c r="I9" s="21"/>
    </row>
    <row r="10" spans="1:9" ht="15.75" thickBot="1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.5" thickBot="1">
      <c r="A11" s="175" t="s">
        <v>32</v>
      </c>
      <c r="B11" s="176">
        <f>SUM(B4:B10)</f>
        <v>3797250</v>
      </c>
      <c r="C11" s="176">
        <f>SUM(C4:C10)</f>
        <v>455925</v>
      </c>
      <c r="D11" s="176">
        <f t="shared" ref="D11:F11" si="1">SUM(D4:D10)</f>
        <v>488267</v>
      </c>
      <c r="E11" s="176">
        <f t="shared" si="1"/>
        <v>3826000</v>
      </c>
      <c r="F11" s="176">
        <f t="shared" si="1"/>
        <v>3871250</v>
      </c>
      <c r="G11" s="177">
        <f>SUM(G4:G10)</f>
        <v>77592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62592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8">
        <f>+Vendedor1!C21</f>
        <v>225950</v>
      </c>
      <c r="E16" s="158">
        <f>+Vendedor1!D21</f>
        <v>29373.5</v>
      </c>
      <c r="F16" s="159">
        <f>IF(D16&lt;&gt;0,15000,0)</f>
        <v>15000</v>
      </c>
      <c r="G16" s="152">
        <f>+E16-F16</f>
        <v>14373.5</v>
      </c>
      <c r="H16" s="21"/>
      <c r="I16" s="21"/>
    </row>
    <row r="17" spans="1:9" ht="15">
      <c r="A17" s="21"/>
      <c r="B17" s="21"/>
      <c r="C17" s="28" t="s">
        <v>130</v>
      </c>
      <c r="D17" s="158">
        <f>+Vendedor2!C21</f>
        <v>150950</v>
      </c>
      <c r="E17" s="158">
        <f>+Vendedor2!D21</f>
        <v>19623.5</v>
      </c>
      <c r="F17" s="159">
        <f>IF(D17&lt;&gt;0,15000,0)</f>
        <v>15000</v>
      </c>
      <c r="G17" s="152">
        <f>+E17-F17</f>
        <v>4623.5</v>
      </c>
      <c r="H17" s="21"/>
      <c r="I17" s="21"/>
    </row>
    <row r="18" spans="1:9" ht="15.75" thickBot="1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45" customHeight="1" thickBot="1">
      <c r="A19" s="21"/>
      <c r="B19" s="21"/>
      <c r="C19" s="143" t="s">
        <v>32</v>
      </c>
      <c r="D19" s="160">
        <f>SUM(D16:D18)</f>
        <v>376900</v>
      </c>
      <c r="E19" s="160">
        <f>SUM(E16:E18)</f>
        <v>48997</v>
      </c>
      <c r="F19" s="161">
        <f>SUM(F16:F18)</f>
        <v>30000</v>
      </c>
      <c r="G19" s="162">
        <f>SUM(G16:G18)</f>
        <v>18997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4" t="s">
        <v>124</v>
      </c>
      <c r="G24" s="163">
        <f>G11+G19-G12+G22</f>
        <v>81589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45" customHeight="1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45" customHeight="1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45" customHeight="1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45" customHeight="1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45" customHeight="1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45" customHeight="1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45" customHeight="1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45" customHeight="1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45" customHeight="1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45" customHeight="1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16"/>
  <sheetViews>
    <sheetView showGridLines="0" workbookViewId="0">
      <selection sqref="A1:H12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9" t="str">
        <f ca="1">CONCATENATE("Tiempos Pana ",TEXT(I5,"dd-mm-yyyy"))</f>
        <v>Tiempos Pana 07-03-2026</v>
      </c>
      <c r="B2" s="279"/>
      <c r="C2" s="279"/>
      <c r="D2" s="279"/>
      <c r="E2" s="279"/>
      <c r="F2" s="279"/>
    </row>
    <row r="3" spans="1:15" ht="15.75" thickBot="1"/>
    <row r="4" spans="1:15" ht="16.5" thickBot="1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>
      <c r="A5" s="47" t="s">
        <v>37</v>
      </c>
      <c r="B5" s="151">
        <f>HojaNICA!D36</f>
        <v>1314100</v>
      </c>
      <c r="C5" s="151">
        <f>HojaNICA!D37</f>
        <v>170833</v>
      </c>
      <c r="D5" s="151">
        <f>HojaNICA!D38</f>
        <v>1126250</v>
      </c>
      <c r="E5" s="151"/>
      <c r="F5" s="152">
        <f>+B5-C5-D5+E5</f>
        <v>17017</v>
      </c>
      <c r="H5" s="251" t="s">
        <v>105</v>
      </c>
      <c r="I5" s="245">
        <f ca="1">TODAY()-18</f>
        <v>46088</v>
      </c>
      <c r="O5" s="120"/>
    </row>
    <row r="6" spans="1:15" ht="15.75" thickBot="1">
      <c r="A6" s="47" t="s">
        <v>36</v>
      </c>
      <c r="B6" s="151">
        <f>HojaTICA!D36</f>
        <v>2073750</v>
      </c>
      <c r="C6" s="151">
        <f>HojaTICA!D37</f>
        <v>269587.5</v>
      </c>
      <c r="D6" s="151">
        <f>HojaTICA!D38</f>
        <v>2176000</v>
      </c>
      <c r="E6" s="151"/>
      <c r="F6" s="152">
        <f t="shared" ref="F6:F11" si="0">+B6-C6-D6+E6</f>
        <v>-371837.5</v>
      </c>
      <c r="H6" s="258">
        <v>0</v>
      </c>
    </row>
    <row r="7" spans="1:15" ht="15.75" thickBot="1">
      <c r="A7" s="47" t="s">
        <v>38</v>
      </c>
      <c r="B7" s="151">
        <f>HojaREVENTADO!D37</f>
        <v>180750</v>
      </c>
      <c r="C7" s="151">
        <f>HojaREVENTADO!D38</f>
        <v>18075</v>
      </c>
      <c r="D7" s="151">
        <f>HojaREVENTADO!D39</f>
        <v>110000</v>
      </c>
      <c r="E7" s="151"/>
      <c r="F7" s="152">
        <f t="shared" si="0"/>
        <v>52675</v>
      </c>
    </row>
    <row r="8" spans="1:15">
      <c r="A8" s="47" t="s">
        <v>96</v>
      </c>
      <c r="B8" s="151">
        <f>HojaPrimera!$D36</f>
        <v>348600</v>
      </c>
      <c r="C8" s="151">
        <f>HojaPrimera!$D37</f>
        <v>45318</v>
      </c>
      <c r="D8" s="151">
        <f>HojaPrimera!$D38</f>
        <v>59500</v>
      </c>
      <c r="E8" s="151"/>
      <c r="F8" s="152">
        <f t="shared" si="0"/>
        <v>243782</v>
      </c>
      <c r="H8" s="251" t="s">
        <v>153</v>
      </c>
    </row>
    <row r="9" spans="1:15" ht="15.75" thickBot="1">
      <c r="A9" s="47" t="s">
        <v>104</v>
      </c>
      <c r="B9" s="151">
        <f>HojaHonduras!$D36</f>
        <v>161000</v>
      </c>
      <c r="C9" s="151">
        <f>HojaHonduras!$D37</f>
        <v>20930</v>
      </c>
      <c r="D9" s="151">
        <f>HojaHonduras!$D38</f>
        <v>399500</v>
      </c>
      <c r="E9" s="151"/>
      <c r="F9" s="152">
        <f t="shared" si="0"/>
        <v>-259430</v>
      </c>
      <c r="H9" s="252">
        <f>+K12-K10-H6</f>
        <v>-217317</v>
      </c>
    </row>
    <row r="10" spans="1:15" ht="15.75" thickBot="1">
      <c r="A10" s="47" t="s">
        <v>20</v>
      </c>
      <c r="B10" s="151">
        <f>HojaDominicana!$D36</f>
        <v>95950</v>
      </c>
      <c r="C10" s="151">
        <f>HojaDominicana!$D37</f>
        <v>12473.5</v>
      </c>
      <c r="D10" s="151">
        <f>HojaDominicana!$D38</f>
        <v>0</v>
      </c>
      <c r="E10" s="151"/>
      <c r="F10" s="152">
        <f t="shared" si="0"/>
        <v>83476.5</v>
      </c>
      <c r="H10" s="155"/>
      <c r="J10" t="s">
        <v>148</v>
      </c>
      <c r="K10" s="254">
        <v>6828698.9399999995</v>
      </c>
    </row>
    <row r="11" spans="1:15" ht="15.75" thickBot="1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6594381.9399999995</v>
      </c>
    </row>
    <row r="12" spans="1:15" ht="16.5" thickBot="1">
      <c r="A12" s="145" t="s">
        <v>5</v>
      </c>
      <c r="B12" s="153">
        <f>SUM(B5:B11)</f>
        <v>4174150</v>
      </c>
      <c r="C12" s="153">
        <f>SUM(C5:C11)</f>
        <v>537217</v>
      </c>
      <c r="D12" s="153">
        <f>SUM(D5:D11)</f>
        <v>3871250</v>
      </c>
      <c r="E12" s="153"/>
      <c r="F12" s="257">
        <f>SUM(F5:F11)</f>
        <v>-234317</v>
      </c>
      <c r="H12" s="253">
        <f>K12</f>
        <v>6611381.9399999995</v>
      </c>
      <c r="J12" t="s">
        <v>140</v>
      </c>
      <c r="K12" s="256">
        <f>2138817.57-1428584.01+3146114.8+2755033.58</f>
        <v>6611381.9399999995</v>
      </c>
    </row>
    <row r="13" spans="1:15">
      <c r="M13" s="155"/>
    </row>
    <row r="14" spans="1:15">
      <c r="M14" s="43"/>
    </row>
    <row r="15" spans="1:15">
      <c r="M15" s="43"/>
    </row>
    <row r="16" spans="1:1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.75" thickBot="1">
      <c r="I3" s="240"/>
      <c r="J3" s="52" t="s">
        <v>39</v>
      </c>
      <c r="K3" s="241" t="s">
        <v>141</v>
      </c>
      <c r="L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176850</v>
      </c>
      <c r="K4" s="233">
        <f t="shared" ref="K4" si="0">D7+D11+D15</f>
        <v>22990.5</v>
      </c>
      <c r="L4" s="222">
        <f>F7+F11+F15</f>
        <v>106250</v>
      </c>
    </row>
    <row r="5" spans="1:12">
      <c r="A5" s="28" t="s">
        <v>43</v>
      </c>
      <c r="B5" s="133" t="str">
        <f>IF(DigitaNICA!C2&lt;&gt;"",DigitaNICA!C2,"")</f>
        <v>01</v>
      </c>
      <c r="C5" s="29">
        <f>IF(DigitaNICA!C4&lt;&gt;"",DigitaNICA!C4,"")</f>
        <v>22100</v>
      </c>
      <c r="D5" s="42">
        <f>IF(C5="",0,C5*J$10)</f>
        <v>2873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11227</v>
      </c>
      <c r="I5" s="243" t="s">
        <v>37</v>
      </c>
      <c r="J5" s="223">
        <f>SUM(IF(C5="",0,C5),IF(C9="",0,C9),IF(C13="",0,C13),IF(C17="",0,C17))</f>
        <v>39300</v>
      </c>
      <c r="K5" s="227">
        <f t="shared" ref="K5" si="2">D5+D9+D13+D17</f>
        <v>5109</v>
      </c>
      <c r="L5" s="224">
        <f>F5+F9+F13+F17</f>
        <v>72000</v>
      </c>
    </row>
    <row r="6" spans="1:12" ht="15.75" thickBot="1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9800</v>
      </c>
      <c r="K6" s="230">
        <f>D19+D20</f>
        <v>1274</v>
      </c>
      <c r="L6" s="231">
        <f>F19+F20</f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>
        <f>IF(DigitaTICA!C4&lt;&gt;"",DigitaTICA!C4,"")</f>
        <v>61250</v>
      </c>
      <c r="D7" s="42">
        <f>IF(C7="",0,C7*J$9)</f>
        <v>7962.5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53287.5</v>
      </c>
    </row>
    <row r="8" spans="1:12" ht="15.75" thickBot="1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>
      <c r="A9" s="28" t="s">
        <v>48</v>
      </c>
      <c r="B9" s="133">
        <f>IF(DigitaNICA!E2&lt;&gt;"",DigitaNICA!E2,"")</f>
        <v>18</v>
      </c>
      <c r="C9" s="29">
        <f>IF(DigitaNICA!E4&lt;&gt;"",DigitaNICA!E4,"")</f>
        <v>7350</v>
      </c>
      <c r="D9" s="42">
        <f>IF(C9="",0,C9*J$10)</f>
        <v>955.5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6394.5</v>
      </c>
      <c r="I9" s="77" t="s">
        <v>36</v>
      </c>
      <c r="J9" s="78">
        <v>0.13</v>
      </c>
      <c r="K9" s="79">
        <f>MROUND(D7+D11+D15,50)</f>
        <v>23000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5100</v>
      </c>
    </row>
    <row r="11" spans="1:12">
      <c r="A11" s="28" t="s">
        <v>59</v>
      </c>
      <c r="B11" s="133" t="str">
        <f>IF(DigitaTICA!E2&lt;&gt;"",DigitaTICA!E2,"")</f>
        <v>02</v>
      </c>
      <c r="C11" s="29">
        <f>IF(DigitaTICA!E4&lt;&gt;"",DigitaTICA!E4,"")</f>
        <v>34450</v>
      </c>
      <c r="D11" s="42">
        <f>IF(C11="",0,C11*J$9)</f>
        <v>4478.5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8721.5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1250</v>
      </c>
    </row>
    <row r="13" spans="1:12">
      <c r="A13" s="28" t="s">
        <v>50</v>
      </c>
      <c r="B13" s="133">
        <f>IF(DigitaNICA!G2&lt;&gt;"",DigitaNICA!G2,"")</f>
        <v>13</v>
      </c>
      <c r="C13" s="29">
        <f>IF(DigitaNICA!G4&lt;&gt;"",DigitaNICA!G4,"")</f>
        <v>3600</v>
      </c>
      <c r="D13" s="42">
        <f>IF(C13="",0,C13*J$10)</f>
        <v>468</v>
      </c>
      <c r="E13" s="29">
        <f>IF(DigitaNICA!H4&lt;&gt;"",DigitaNICA!H4,"")</f>
        <v>300</v>
      </c>
      <c r="F13" s="42">
        <f>IF(E13="",0,E13*PREMIOS!E13)</f>
        <v>24000</v>
      </c>
      <c r="G13" s="30">
        <f>IF(OR(C13="",E13=""),0,C13-D13-F13)</f>
        <v>-20868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>
        <f>IF(DigitaTICA!G4&lt;&gt;"",DigitaTICA!G4,"")</f>
        <v>81150</v>
      </c>
      <c r="D15" s="42">
        <f>IF(C15="",0,C15*J$9)</f>
        <v>10549.5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-14399.5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>
        <f>IF(DigitaNICA!I4&lt;&gt;"",DigitaNICA!I4,"")</f>
        <v>6250</v>
      </c>
      <c r="D17" s="42">
        <f>IF(C17="",0,C17*J$10)</f>
        <v>812.5</v>
      </c>
      <c r="E17" s="29">
        <f>IF(DigitaNICA!J4&lt;&gt;"",DigitaNICA!J4,"")</f>
        <v>500</v>
      </c>
      <c r="F17" s="42">
        <f>IF(E17="",0,E17*PREMIOS!E17)</f>
        <v>40000</v>
      </c>
      <c r="G17" s="30">
        <f t="shared" si="3"/>
        <v>-34562.5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3">
        <f>IF(DigitaPRIMERA!C2&lt;&gt;"",DigitaPRIMERA!C2,"")</f>
        <v>52</v>
      </c>
      <c r="C19" s="29">
        <f>IF(DigitaPRIMERA!C4&lt;&gt;"",DigitaPRIMERA!C4,"")</f>
        <v>8300</v>
      </c>
      <c r="D19" s="42">
        <f>IF(C19="",0,C19*J$12)</f>
        <v>1079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7221</v>
      </c>
    </row>
    <row r="20" spans="1:7">
      <c r="A20" s="28" t="s">
        <v>98</v>
      </c>
      <c r="B20" s="133">
        <f>IF(DigitaPRIMERA!E2&lt;&gt;"",DigitaPRIMERA!E2,"")</f>
        <v>79</v>
      </c>
      <c r="C20" s="29">
        <f>IF(DigitaPRIMERA!E4&lt;&gt;"",DigitaPRIMERA!E4,"")</f>
        <v>1500</v>
      </c>
      <c r="D20" s="42">
        <f>IF(C20="",0,C20*J$12)</f>
        <v>195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1305</v>
      </c>
    </row>
    <row r="21" spans="1:7" ht="15.75" thickBot="1">
      <c r="A21" s="122" t="s">
        <v>5</v>
      </c>
      <c r="B21" s="129"/>
      <c r="C21" s="123">
        <f>SUM(C5:C20)</f>
        <v>225950</v>
      </c>
      <c r="D21" s="123">
        <f t="shared" ref="D21:G21" si="6">SUM(D5:D20)</f>
        <v>29373.5</v>
      </c>
      <c r="E21" s="123">
        <f t="shared" si="6"/>
        <v>2150</v>
      </c>
      <c r="F21" s="123">
        <f t="shared" si="6"/>
        <v>178250</v>
      </c>
      <c r="G21" s="124">
        <f t="shared" si="6"/>
        <v>18326.5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.75" thickBot="1">
      <c r="I3" s="240"/>
      <c r="J3" s="52" t="s">
        <v>39</v>
      </c>
      <c r="K3" s="241" t="s">
        <v>141</v>
      </c>
      <c r="L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126650</v>
      </c>
      <c r="K4" s="233">
        <f t="shared" ref="K4" si="0">D7+D11+D15</f>
        <v>16464.5</v>
      </c>
      <c r="L4" s="222">
        <f>F7+F11+F15</f>
        <v>21250</v>
      </c>
    </row>
    <row r="5" spans="1:12">
      <c r="A5" s="28" t="s">
        <v>43</v>
      </c>
      <c r="B5" s="133" t="str">
        <f>IF(DigitaNICA!C2&lt;&gt;"",DigitaNICA!C2,"")</f>
        <v>01</v>
      </c>
      <c r="C5" s="29">
        <f>IF(DigitaNICA!C5&lt;&gt;"",DigitaNICA!C5,"")</f>
        <v>12450</v>
      </c>
      <c r="D5" s="42">
        <f>IF(C5="",0,C5*J$10)</f>
        <v>1618.5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10831.5</v>
      </c>
      <c r="I5" s="243" t="s">
        <v>37</v>
      </c>
      <c r="J5" s="223">
        <f>SUM(IF(C5="",0,C5),IF(C9="",0,C9),IF(C13="",0,C13),IF(C17="",0,C17))</f>
        <v>21300</v>
      </c>
      <c r="K5" s="227">
        <f t="shared" ref="K5" si="2">D5+D9+D13+D17</f>
        <v>2769</v>
      </c>
      <c r="L5" s="224">
        <f>F5+F9+F13+F17</f>
        <v>0</v>
      </c>
    </row>
    <row r="6" spans="1:12" ht="15.75" thickBot="1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3000</v>
      </c>
      <c r="K6" s="230">
        <f>D19+D20</f>
        <v>390</v>
      </c>
      <c r="L6" s="231">
        <f>F19+F20</f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>
        <f>IF(DigitaTICA!C5&lt;&gt;"",DigitaTICA!C5,"")</f>
        <v>46350</v>
      </c>
      <c r="D7" s="42">
        <f>IF(C7="",0,C7*J$9)</f>
        <v>6025.5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40324.5</v>
      </c>
    </row>
    <row r="8" spans="1:12" ht="15.75" thickBot="1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29">
        <f>IF(DigitaNICA!E5&lt;&gt;"",DigitaNICA!E5,"")</f>
        <v>7850</v>
      </c>
      <c r="D9" s="42">
        <f>IF(C9="",0,C9*J$10)</f>
        <v>1020.5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6829.5</v>
      </c>
      <c r="I9" s="60" t="s">
        <v>36</v>
      </c>
      <c r="J9" s="61">
        <v>0.13</v>
      </c>
      <c r="K9" s="62">
        <f>MROUND(D7+D11+D15,50)</f>
        <v>16450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2750</v>
      </c>
    </row>
    <row r="11" spans="1:12">
      <c r="A11" s="28" t="s">
        <v>59</v>
      </c>
      <c r="B11" s="133" t="str">
        <f>IF(DigitaTICA!E2&lt;&gt;"",DigitaTICA!E2,"")</f>
        <v>02</v>
      </c>
      <c r="C11" s="29">
        <f>IF(DigitaTICA!E5&lt;&gt;"",DigitaTICA!E5,"")</f>
        <v>31900</v>
      </c>
      <c r="D11" s="42">
        <f>IF(C11="",0,C11*J$9)</f>
        <v>4147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27753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>
      <c r="A13" s="28" t="s">
        <v>50</v>
      </c>
      <c r="B13" s="133">
        <f>IF(DigitaNICA!G2&lt;&gt;"",DigitaNICA!G2,"")</f>
        <v>13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>
        <f>IF(DigitaTICA!G5&lt;&gt;"",DigitaTICA!G5,"")</f>
        <v>48400</v>
      </c>
      <c r="D15" s="42">
        <f>IF(C15="",0,C15*J$9)</f>
        <v>6292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20858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3">
        <f>IF(DigitaPRIMERA!C2&lt;&gt;"",DigitaPRIMERA!C2,"")</f>
        <v>52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>
      <c r="A20" s="28" t="s">
        <v>98</v>
      </c>
      <c r="B20" s="133">
        <f>IF(DigitaPRIMERA!E2&lt;&gt;"",DigitaPRIMERA!E2,"")</f>
        <v>79</v>
      </c>
      <c r="C20" s="29">
        <f>IF(DigitaPRIMERA!E5&lt;&gt;"",DigitaPRIMERA!E5,"")</f>
        <v>2000</v>
      </c>
      <c r="D20" s="42">
        <f>IF(C20="",0,C20*J$12)</f>
        <v>260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1740</v>
      </c>
    </row>
    <row r="21" spans="1:7" ht="15.75" thickBot="1">
      <c r="A21" s="67" t="s">
        <v>5</v>
      </c>
      <c r="B21" s="128"/>
      <c r="C21" s="68">
        <f>SUM(C5:C20)</f>
        <v>150950</v>
      </c>
      <c r="D21" s="68">
        <f t="shared" ref="D21:G21" si="4">SUM(D5:D20)</f>
        <v>19623.5</v>
      </c>
      <c r="E21" s="68">
        <f t="shared" si="4"/>
        <v>250</v>
      </c>
      <c r="F21" s="68">
        <f t="shared" si="4"/>
        <v>21250</v>
      </c>
      <c r="G21" s="89">
        <f t="shared" si="4"/>
        <v>110076.5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/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.75" thickBot="1">
      <c r="I3" s="240"/>
      <c r="J3" s="52" t="s">
        <v>39</v>
      </c>
      <c r="K3" s="241" t="s">
        <v>141</v>
      </c>
      <c r="L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>
      <c r="A5" s="28" t="s">
        <v>43</v>
      </c>
      <c r="B5" s="133" t="str">
        <f>IF(DigitaNICA!C2&lt;&gt;"",DigitaNICA!C2,"")</f>
        <v>01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.75" thickBot="1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>
      <c r="A9" s="28" t="s">
        <v>48</v>
      </c>
      <c r="B9" s="133">
        <f>IF(DigitaNICA!E2&lt;&gt;"",DigitaNICA!E2,"")</f>
        <v>18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3" t="str">
        <f>IF(DigitaTICA!E2&lt;&gt;"",DigitaTICA!E2,"")</f>
        <v>02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3">
        <f>IF(DigitaNICA!G2&lt;&gt;"",DigitaNICA!G2,"")</f>
        <v>13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3">
        <f>IF(DigitaPRIMERA!C2&lt;&gt;"",DigitaPRIMERA!C2,"")</f>
        <v>52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3">
        <f>IF(DigitaPRIMERA!E2&lt;&gt;"",DigitaPRIMERA!E2,"")</f>
        <v>79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.75" thickBot="1">
      <c r="I3" s="240"/>
      <c r="J3" s="52" t="s">
        <v>39</v>
      </c>
      <c r="K3" s="241" t="s">
        <v>141</v>
      </c>
      <c r="L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>
      <c r="A5" s="28" t="s">
        <v>43</v>
      </c>
      <c r="B5" s="133" t="str">
        <f>IF(DigitaNICA!C2&lt;&gt;"",DigitaNICA!C2,"")</f>
        <v>01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.75" thickBot="1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.75" thickBot="1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3" t="str">
        <f>IF(DigitaTICA!E2&lt;&gt;"",DigitaTICA!E2,"")</f>
        <v>02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>
      <c r="A13" s="28" t="s">
        <v>50</v>
      </c>
      <c r="B13" s="133">
        <f>IF(DigitaNICA!G2&lt;&gt;"",DigitaNICA!G2,"")</f>
        <v>13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>
      <c r="A17" s="28" t="s">
        <v>52</v>
      </c>
      <c r="B17" s="133" t="str">
        <f>IF(DigitaNICA!I2&lt;&gt;"",DigitaNICA!I2,"")</f>
        <v>08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.75" thickBot="1">
      <c r="I3" s="240"/>
      <c r="J3" s="52" t="s">
        <v>39</v>
      </c>
      <c r="K3" s="241" t="s">
        <v>141</v>
      </c>
      <c r="L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200000</v>
      </c>
      <c r="K4" s="233">
        <f t="shared" ref="K4" si="0">D7+D11+D15</f>
        <v>24000</v>
      </c>
      <c r="L4" s="222">
        <f>F7+F11+F15</f>
        <v>250750</v>
      </c>
    </row>
    <row r="5" spans="1:12">
      <c r="A5" s="28" t="s">
        <v>43</v>
      </c>
      <c r="B5" s="133" t="str">
        <f>IF(DigitaNICA!C2&lt;&gt;"",DigitaNICA!C2,"")</f>
        <v>01</v>
      </c>
      <c r="C5" s="29">
        <f>IF(DigitaNICA!C8&lt;&gt;"",DigitaNICA!C8,"")</f>
        <v>78950</v>
      </c>
      <c r="D5" s="42">
        <f>IF(C5="",0,C5*J$12)</f>
        <v>9474</v>
      </c>
      <c r="E5" s="29">
        <f>IF(DigitaNICA!D8&lt;&gt;"",DigitaNICA!D8,"")</f>
        <v>2200</v>
      </c>
      <c r="F5" s="42">
        <f>IF(E5="",0,E5*PREMIOS!E5)</f>
        <v>176000</v>
      </c>
      <c r="G5" s="30">
        <f t="shared" ref="G5:G12" si="1">IF(OR(C5="",E5=""),0,C5-D5-F5)</f>
        <v>-106524</v>
      </c>
      <c r="I5" s="243" t="s">
        <v>37</v>
      </c>
      <c r="J5" s="223">
        <f>SUM(IF(C5="",0,C5),IF(C9="",0,C9),IF(C13="",0,C13),IF(C17="",0,C17))</f>
        <v>158200</v>
      </c>
      <c r="K5" s="227">
        <f t="shared" ref="K5" si="2">D5+D9+D13+D17</f>
        <v>18984</v>
      </c>
      <c r="L5" s="224">
        <f>F5+F9+F13+F17</f>
        <v>212000</v>
      </c>
    </row>
    <row r="6" spans="1:12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>
        <f>IF(DigitaTICA!C8&lt;&gt;"",DigitaTICA!C8,"")</f>
        <v>85650</v>
      </c>
      <c r="D7" s="42">
        <f>IF(C7="",0,C7*J$11)</f>
        <v>10278</v>
      </c>
      <c r="E7" s="29">
        <f>IF(DigitaTICA!D8&lt;&gt;"",DigitaTICA!D8,"")</f>
        <v>950</v>
      </c>
      <c r="F7" s="42">
        <f>IF(E7="",0,E7*PREMIOS!F7)</f>
        <v>80750</v>
      </c>
      <c r="G7" s="30">
        <f t="shared" si="1"/>
        <v>-5378</v>
      </c>
      <c r="I7" s="244" t="s">
        <v>96</v>
      </c>
      <c r="J7" s="226">
        <f>SUM(IF(C19="",0,C19),IF(C20="",0,C20))</f>
        <v>56900</v>
      </c>
      <c r="K7" s="230">
        <f>+D19+D20</f>
        <v>6828</v>
      </c>
      <c r="L7" s="231">
        <f>+F19+F20</f>
        <v>0</v>
      </c>
    </row>
    <row r="8" spans="1:12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3">
        <f>IF(DigitaNICA!E2&lt;&gt;"",DigitaNICA!E2,"")</f>
        <v>18</v>
      </c>
      <c r="C9" s="29">
        <f>IF(DigitaNICA!E8&lt;&gt;"",DigitaNICA!E8,"")</f>
        <v>63150</v>
      </c>
      <c r="D9" s="42">
        <f>IF(C9="",0,C9*J$12)</f>
        <v>7578</v>
      </c>
      <c r="E9" s="29">
        <f>IF(DigitaNICA!F8&lt;&gt;"",DigitaNICA!F8,"")</f>
        <v>450</v>
      </c>
      <c r="F9" s="42">
        <f>IF(E9="",0,E9*PREMIOS!E9)</f>
        <v>36000</v>
      </c>
      <c r="G9" s="30">
        <f t="shared" si="1"/>
        <v>19572</v>
      </c>
    </row>
    <row r="10" spans="1:12" ht="15.75" thickBot="1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>
      <c r="A11" s="28" t="s">
        <v>59</v>
      </c>
      <c r="B11" s="133" t="str">
        <f>IF(DigitaTICA!E2&lt;&gt;"",DigitaTICA!E2,"")</f>
        <v>02</v>
      </c>
      <c r="C11" s="29">
        <f>IF(DigitaTICA!E8&lt;&gt;"",DigitaTICA!E8,"")</f>
        <v>54250</v>
      </c>
      <c r="D11" s="42">
        <f>IF(C11="",0,C11*J$11)</f>
        <v>6510</v>
      </c>
      <c r="E11" s="29">
        <f>IF(DigitaTICA!F8&lt;&gt;"",DigitaTICA!F8,"")</f>
        <v>1700</v>
      </c>
      <c r="F11" s="42">
        <f>IF(E11="",0,E11*PREMIOS!F11)</f>
        <v>144500</v>
      </c>
      <c r="G11" s="30">
        <f t="shared" si="1"/>
        <v>-96760</v>
      </c>
      <c r="I11" s="60" t="s">
        <v>36</v>
      </c>
      <c r="J11" s="61">
        <v>0.12</v>
      </c>
      <c r="K11" s="62">
        <f>MROUND(D7+D11+D15,50)</f>
        <v>24000</v>
      </c>
    </row>
    <row r="12" spans="1:12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19000</v>
      </c>
    </row>
    <row r="13" spans="1:12">
      <c r="A13" s="28" t="s">
        <v>50</v>
      </c>
      <c r="B13" s="133">
        <f>IF(DigitaNICA!G2&lt;&gt;"",DigitaNICA!G2,"")</f>
        <v>13</v>
      </c>
      <c r="C13" s="29">
        <f>IF(DigitaNICA!G8&lt;&gt;"",DigitaNICA!G8,"")</f>
        <v>6900</v>
      </c>
      <c r="D13" s="42">
        <f>IF(C13="",0,C13*J$12)</f>
        <v>828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6072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6850</v>
      </c>
    </row>
    <row r="15" spans="1:12">
      <c r="A15" s="28" t="s">
        <v>61</v>
      </c>
      <c r="B15" s="133" t="str">
        <f>IF(DigitaTICA!G2&lt;&gt;"",DigitaTICA!G2,"")</f>
        <v>04</v>
      </c>
      <c r="C15" s="29">
        <f>IF(DigitaTICA!G8&lt;&gt;"",DigitaTICA!G8,"")</f>
        <v>60100</v>
      </c>
      <c r="D15" s="42">
        <f>IF(C15="",0,C15*J$11)</f>
        <v>7212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27388</v>
      </c>
      <c r="I15" s="116"/>
    </row>
    <row r="16" spans="1:12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3" t="str">
        <f>IF(DigitaNICA!I2&lt;&gt;"",DigitaNICA!I2,"")</f>
        <v>08</v>
      </c>
      <c r="C17" s="29">
        <f>IF(DigitaNICA!I8&lt;&gt;"",DigitaNICA!I8,"")</f>
        <v>9200</v>
      </c>
      <c r="D17" s="42">
        <f>IF(C17="",0,C17*J$12)</f>
        <v>1104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8096</v>
      </c>
    </row>
    <row r="18" spans="1:7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3">
        <f>IF(DigitaPRIMERA!C2&lt;&gt;"",DigitaPRIMERA!C2,"")</f>
        <v>52</v>
      </c>
      <c r="C19" s="29">
        <f>IF(DigitaPRIMERA!C8&lt;&gt;"",DigitaPRIMERA!C8,"")</f>
        <v>31800</v>
      </c>
      <c r="D19" s="42">
        <f>IF(C19="",0,C19*J$14)</f>
        <v>3816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27984</v>
      </c>
    </row>
    <row r="20" spans="1:7">
      <c r="A20" s="28" t="s">
        <v>98</v>
      </c>
      <c r="B20" s="133">
        <f>IF(DigitaPRIMERA!E2&lt;&gt;"",DigitaPRIMERA!E2,"")</f>
        <v>79</v>
      </c>
      <c r="C20" s="29">
        <f>IF(DigitaPRIMERA!E8&lt;&gt;"",DigitaPRIMERA!E8,"")</f>
        <v>25100</v>
      </c>
      <c r="D20" s="42">
        <f>IF(C20="",0,C20*J$14)</f>
        <v>3012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22088</v>
      </c>
    </row>
    <row r="21" spans="1:7" ht="15.75" thickBot="1">
      <c r="A21" s="122" t="s">
        <v>5</v>
      </c>
      <c r="B21" s="129"/>
      <c r="C21" s="123">
        <f>SUM(C5:C20)</f>
        <v>415100</v>
      </c>
      <c r="D21" s="123">
        <f t="shared" ref="D21:G21" si="5">SUM(D5:D20)</f>
        <v>49812</v>
      </c>
      <c r="E21" s="123">
        <f t="shared" si="5"/>
        <v>5600</v>
      </c>
      <c r="F21" s="123">
        <f t="shared" si="5"/>
        <v>462750</v>
      </c>
      <c r="G21" s="124">
        <f t="shared" si="5"/>
        <v>-97462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.75" thickBot="1">
      <c r="I3" s="240"/>
      <c r="J3" s="246" t="s">
        <v>39</v>
      </c>
      <c r="K3" s="247" t="s">
        <v>141</v>
      </c>
      <c r="L3" s="248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>
      <c r="A5" s="28" t="s">
        <v>43</v>
      </c>
      <c r="B5" s="133" t="str">
        <f>IF(DigitaNICA!C2&lt;&gt;"",DigitaNICA!C2,"")</f>
        <v>01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3">
        <f>IF(DigitaNICA!E2&lt;&gt;"",DigitaNICA!E2,"")</f>
        <v>18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>
      <c r="A11" s="28" t="s">
        <v>59</v>
      </c>
      <c r="B11" s="133" t="str">
        <f>IF(DigitaTICA!E2&lt;&gt;"",DigitaTICA!E2,"")</f>
        <v>02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3">
        <f>IF(DigitaNICA!G2&lt;&gt;"",DigitaNICA!G2,"")</f>
        <v>13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3">
        <f>IF(DigitaPRIMERA!C2&lt;&gt;"",DigitaPRIMERA!C2,"")</f>
        <v>52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3">
        <f>IF(DigitaPRIMERA!E2&lt;&gt;"",DigitaPRIMERA!E2,"")</f>
        <v>79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487650</v>
      </c>
      <c r="K4" s="233">
        <f t="shared" ref="K4" si="0">D7+D11+D15</f>
        <v>58518</v>
      </c>
      <c r="L4" s="222">
        <f>F7+F11+F15</f>
        <v>301750</v>
      </c>
    </row>
    <row r="5" spans="1:12">
      <c r="A5" s="28" t="s">
        <v>43</v>
      </c>
      <c r="B5" s="133" t="str">
        <f>IF(DigitaNICA!C2&lt;&gt;"",DigitaNICA!C2,"")</f>
        <v>01</v>
      </c>
      <c r="C5" s="29">
        <f>IF(DigitaNICA!C10&lt;&gt;"",DigitaNICA!C10,"")</f>
        <v>69650</v>
      </c>
      <c r="D5" s="42">
        <f>IF(C5="",0,C5*J$15)</f>
        <v>8358</v>
      </c>
      <c r="E5" s="29">
        <f>IF(DigitaNICA!D10&lt;&gt;"",DigitaNICA!D10,"")</f>
        <v>1000</v>
      </c>
      <c r="F5" s="42">
        <f>IF(E5="",0,E5*PREMIOS!F5)</f>
        <v>85000</v>
      </c>
      <c r="G5" s="30">
        <f t="shared" ref="G5:G12" si="1">IF(OR(C5="",E5=""),0,C5-D5-F5)</f>
        <v>-23708</v>
      </c>
      <c r="I5" s="219" t="s">
        <v>37</v>
      </c>
      <c r="J5" s="223">
        <f>SUM(IF(C5="",0,C5),IF(C9="",0,C9),IF(C13="",0,C13),IF(C17="",0,C17))</f>
        <v>289350</v>
      </c>
      <c r="K5" s="227">
        <f t="shared" ref="K5" si="2">D5+D9+D13+D17</f>
        <v>34722</v>
      </c>
      <c r="L5" s="224">
        <f>F5+F9+F13+F17</f>
        <v>136000</v>
      </c>
    </row>
    <row r="6" spans="1:12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71350</v>
      </c>
      <c r="K6" s="228">
        <f t="shared" ref="K6" si="3">+D8+D12+D16</f>
        <v>7135</v>
      </c>
      <c r="L6" s="229">
        <f>F8+F12+F16</f>
        <v>0</v>
      </c>
    </row>
    <row r="7" spans="1:12">
      <c r="A7" s="28" t="s">
        <v>46</v>
      </c>
      <c r="B7" s="133">
        <f>IF(DigitaTICA!C2&lt;&gt;"",DigitaTICA!C2,"")</f>
        <v>26</v>
      </c>
      <c r="C7" s="29">
        <f>IF(DigitaTICA!C10&lt;&gt;"",DigitaTICA!C10,"")</f>
        <v>158850</v>
      </c>
      <c r="D7" s="42">
        <f>IF(C7="",0,C7*J$14)</f>
        <v>19062</v>
      </c>
      <c r="E7" s="29">
        <f>IF(DigitaTICA!D10&lt;&gt;"",DigitaTICA!D10,"")</f>
        <v>300</v>
      </c>
      <c r="F7" s="42">
        <f>IF(E7="",0,E7*PREMIOS!F7)</f>
        <v>25500</v>
      </c>
      <c r="G7" s="30">
        <f t="shared" si="1"/>
        <v>114288</v>
      </c>
      <c r="I7" s="219" t="s">
        <v>96</v>
      </c>
      <c r="J7" s="225">
        <f>SUM(IF(C19="",0,C19),IF(C20="",0,C20))</f>
        <v>60250</v>
      </c>
      <c r="K7" s="228">
        <f>+D19+D20</f>
        <v>7230</v>
      </c>
      <c r="L7" s="229">
        <f>+F19+F20</f>
        <v>17000</v>
      </c>
    </row>
    <row r="8" spans="1:12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19600</v>
      </c>
      <c r="D8" s="42">
        <f>IF(C8="",0,C8*J$16)</f>
        <v>1960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17640</v>
      </c>
      <c r="I8" s="219" t="s">
        <v>104</v>
      </c>
      <c r="J8" s="225">
        <f>SUM(IF(C21="",0,C21),IF(C22="",0,C22),IF(C23="",0,C23))</f>
        <v>42700</v>
      </c>
      <c r="K8" s="228">
        <f t="shared" ref="K8" si="4">D21+D22+D23</f>
        <v>5124</v>
      </c>
      <c r="L8" s="229">
        <f>F21+F22+F23</f>
        <v>187000</v>
      </c>
    </row>
    <row r="9" spans="1:12">
      <c r="A9" s="28" t="s">
        <v>48</v>
      </c>
      <c r="B9" s="133">
        <f>IF(DigitaNICA!E2&lt;&gt;"",DigitaNICA!E2,"")</f>
        <v>18</v>
      </c>
      <c r="C9" s="29">
        <f>IF(DigitaNICA!E10&lt;&gt;"",DigitaNICA!E10,"")</f>
        <v>72150</v>
      </c>
      <c r="D9" s="42">
        <f>IF(C9="",0,C9*J$15)</f>
        <v>8658</v>
      </c>
      <c r="E9" s="29">
        <f>IF(DigitaNICA!F10&lt;&gt;"",DigitaNICA!F10,"")</f>
        <v>450</v>
      </c>
      <c r="F9" s="42">
        <f>IF(E9="",0,E9*PREMIOS!F9)</f>
        <v>38250</v>
      </c>
      <c r="G9" s="30">
        <f t="shared" si="1"/>
        <v>25242</v>
      </c>
      <c r="I9" s="219" t="s">
        <v>20</v>
      </c>
      <c r="J9" s="225">
        <f>SUM(IF(C24="",0,C24),IF(C25="",0,C25))</f>
        <v>95950</v>
      </c>
      <c r="K9" s="228">
        <f t="shared" ref="K9" si="5">+D24+D25</f>
        <v>11514</v>
      </c>
      <c r="L9" s="229">
        <f>F24+F25</f>
        <v>0</v>
      </c>
    </row>
    <row r="10" spans="1:12" ht="15.75" thickBot="1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>
      <c r="A11" s="28" t="s">
        <v>59</v>
      </c>
      <c r="B11" s="133" t="str">
        <f>IF(DigitaTICA!E2&lt;&gt;"",DigitaTICA!E2,"")</f>
        <v>02</v>
      </c>
      <c r="C11" s="29">
        <f>IF(DigitaTICA!E10&lt;&gt;"",DigitaTICA!E10,"")</f>
        <v>142550</v>
      </c>
      <c r="D11" s="42">
        <f>IF(C11="",0,C11*J$14)</f>
        <v>17106</v>
      </c>
      <c r="E11" s="29">
        <f>IF(DigitaTICA!F10&lt;&gt;"",DigitaTICA!F10,"")</f>
        <v>1500</v>
      </c>
      <c r="F11" s="42">
        <f>IF(E11="",0,E11*PREMIOS!F11)</f>
        <v>127500</v>
      </c>
      <c r="G11" s="30">
        <f t="shared" si="1"/>
        <v>-2056</v>
      </c>
    </row>
    <row r="12" spans="1:12" ht="15.75" thickBot="1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26400</v>
      </c>
      <c r="D12" s="42">
        <f>IF(C12="",0,C12*J$16)</f>
        <v>2640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23760</v>
      </c>
    </row>
    <row r="13" spans="1:12" ht="15.75" thickBot="1">
      <c r="A13" s="28" t="s">
        <v>50</v>
      </c>
      <c r="B13" s="133">
        <f>IF(DigitaNICA!G2&lt;&gt;"",DigitaNICA!G2,"")</f>
        <v>13</v>
      </c>
      <c r="C13" s="29">
        <f>IF(DigitaNICA!G10&lt;&gt;"",DigitaNICA!G10,"")</f>
        <v>37550</v>
      </c>
      <c r="D13" s="42">
        <f>IF(C13="",0,C13*J$15)</f>
        <v>4506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33044</v>
      </c>
      <c r="I13" s="280" t="s">
        <v>34</v>
      </c>
      <c r="J13" s="280"/>
      <c r="K13" s="280"/>
    </row>
    <row r="14" spans="1:12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58500</v>
      </c>
    </row>
    <row r="15" spans="1:12">
      <c r="A15" s="28" t="s">
        <v>61</v>
      </c>
      <c r="B15" s="133" t="str">
        <f>IF(DigitaTICA!G2&lt;&gt;"",DigitaTICA!G2,"")</f>
        <v>04</v>
      </c>
      <c r="C15" s="29">
        <f>IF(DigitaTICA!G10&lt;&gt;"",DigitaTICA!G10,"")</f>
        <v>186250</v>
      </c>
      <c r="D15" s="42">
        <f>IF(C15="",0,C15*J$14)</f>
        <v>22350</v>
      </c>
      <c r="E15" s="29">
        <f>IF(DigitaTICA!H10&lt;&gt;"",DigitaTICA!H10,"")</f>
        <v>1750</v>
      </c>
      <c r="F15" s="42">
        <f>IF(E15="",0,E15*PREMIOS!F15)</f>
        <v>148750</v>
      </c>
      <c r="G15" s="30">
        <f t="shared" si="6"/>
        <v>15150</v>
      </c>
      <c r="I15" s="63" t="s">
        <v>37</v>
      </c>
      <c r="J15" s="64">
        <v>0.12</v>
      </c>
      <c r="K15" s="30">
        <f>MROUND(D5+D9+D13+D17,50)</f>
        <v>34700</v>
      </c>
    </row>
    <row r="16" spans="1:12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25350</v>
      </c>
      <c r="D16" s="42">
        <f>IF(C16="",0,C16*J$16)</f>
        <v>2535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22815</v>
      </c>
      <c r="I16" s="63" t="s">
        <v>38</v>
      </c>
      <c r="J16" s="64">
        <v>0.1</v>
      </c>
      <c r="K16" s="30">
        <f>MROUND(D6+D8+D10+D12+D14+D16+D18,50)</f>
        <v>7150</v>
      </c>
    </row>
    <row r="17" spans="1:11">
      <c r="A17" s="28" t="s">
        <v>52</v>
      </c>
      <c r="B17" s="133" t="str">
        <f>IF(DigitaNICA!I2&lt;&gt;"",DigitaNICA!I2,"")</f>
        <v>08</v>
      </c>
      <c r="C17" s="29">
        <f>IF(DigitaNICA!I10&lt;&gt;"",DigitaNICA!I10,"")</f>
        <v>110000</v>
      </c>
      <c r="D17" s="42">
        <f>IF(C17="",0,C17*J$15)</f>
        <v>13200</v>
      </c>
      <c r="E17" s="29">
        <f>IF(DigitaNICA!J10&lt;&gt;"",DigitaNICA!J10,"")</f>
        <v>150</v>
      </c>
      <c r="F17" s="42">
        <f>IF(E17="",0,E17*PREMIOS!F17)</f>
        <v>12750</v>
      </c>
      <c r="G17" s="30">
        <f t="shared" si="6"/>
        <v>84050</v>
      </c>
      <c r="I17" s="63" t="s">
        <v>96</v>
      </c>
      <c r="J17" s="64">
        <v>0.12</v>
      </c>
      <c r="K17" s="30">
        <f>MROUND(D19+D20,50)</f>
        <v>7250</v>
      </c>
    </row>
    <row r="18" spans="1:11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5100</v>
      </c>
    </row>
    <row r="19" spans="1:11">
      <c r="A19" s="28" t="s">
        <v>97</v>
      </c>
      <c r="B19" s="133">
        <f>IF(DigitaPRIMERA!C2&lt;&gt;"",DigitaPRIMERA!C2,"")</f>
        <v>52</v>
      </c>
      <c r="C19" s="29">
        <f>IF(DigitaPRIMERA!$C$10&lt;&gt;"",DigitaPRIMERA!$C$10,"")</f>
        <v>21250</v>
      </c>
      <c r="D19" s="42">
        <f>IF(C19="",0,C19*J$17)</f>
        <v>2550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1700</v>
      </c>
      <c r="I19" s="63" t="s">
        <v>20</v>
      </c>
      <c r="J19" s="64">
        <v>0.12</v>
      </c>
      <c r="K19" s="30">
        <f>MROUND(D24+D25,50)</f>
        <v>11500</v>
      </c>
    </row>
    <row r="20" spans="1:11" ht="15.75" thickBot="1">
      <c r="A20" s="28" t="s">
        <v>98</v>
      </c>
      <c r="B20" s="133">
        <f>IF(DigitaPRIMERA!E2&lt;&gt;"",DigitaPRIMERA!E2,"")</f>
        <v>79</v>
      </c>
      <c r="C20" s="29">
        <f>IF(DigitaPRIMERA!$E$10&lt;&gt;"",DigitaPRIMERA!$E$10,"")</f>
        <v>39000</v>
      </c>
      <c r="D20" s="42">
        <f>IF(C20="",0,C20*J$17)</f>
        <v>4680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34320</v>
      </c>
      <c r="I20" s="65" t="s">
        <v>21</v>
      </c>
      <c r="J20" s="66">
        <v>0.12</v>
      </c>
      <c r="K20" s="50">
        <f>MROUND(D26,50)</f>
        <v>0</v>
      </c>
    </row>
    <row r="21" spans="1:11">
      <c r="A21" s="28" t="s">
        <v>99</v>
      </c>
      <c r="B21" s="133" t="str">
        <f>IF(DigitaHONDURAS!C2&lt;&gt;"",DigitaHONDURAS!C2,"")</f>
        <v>08</v>
      </c>
      <c r="C21" s="29">
        <f>IF(DigitaHONDURAS!$C$10&lt;&gt;"",DigitaHONDURAS!$C$10,"")</f>
        <v>15500</v>
      </c>
      <c r="D21" s="42">
        <f>IF(C21="",0,C21*J$18)</f>
        <v>1860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13640</v>
      </c>
    </row>
    <row r="22" spans="1:11">
      <c r="A22" s="28" t="s">
        <v>100</v>
      </c>
      <c r="B22" s="133" t="str">
        <f>IF(DigitaHONDURAS!E2&lt;&gt;"",DigitaHONDURAS!E2,"")</f>
        <v>09</v>
      </c>
      <c r="C22" s="29">
        <f>IF(DigitaHONDURAS!$E$10&lt;&gt;"",DigitaHONDURAS!$E$10,"")</f>
        <v>2600</v>
      </c>
      <c r="D22" s="42">
        <f>IF(C22="",0,C22*J$18)</f>
        <v>312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-6212</v>
      </c>
    </row>
    <row r="23" spans="1:11">
      <c r="A23" s="28" t="s">
        <v>101</v>
      </c>
      <c r="B23" s="133">
        <f>IF(DigitaHONDURAS!G2&lt;&gt;"",DigitaHONDURAS!G2,"")</f>
        <v>50</v>
      </c>
      <c r="C23" s="29">
        <f>IF(DigitaHONDURAS!$G$10&lt;&gt;"",DigitaHONDURAS!$G$10,"")</f>
        <v>24600</v>
      </c>
      <c r="D23" s="42">
        <f>IF(C23="",0,C23*J$18)</f>
        <v>2952</v>
      </c>
      <c r="E23" s="29">
        <f>IF(DigitaHONDURAS!$H$10&lt;&gt;"",DigitaHONDURAS!$H$10,"")</f>
        <v>2100</v>
      </c>
      <c r="F23" s="42">
        <f>IF(E23="",0,E23*PREMIOS!F20)</f>
        <v>178500</v>
      </c>
      <c r="G23" s="30">
        <f t="shared" ref="G23:G26" si="8">IF(OR(C23="",E23=""),0,C23-D23-F23)</f>
        <v>-156852</v>
      </c>
    </row>
    <row r="24" spans="1:11">
      <c r="A24" s="28" t="s">
        <v>107</v>
      </c>
      <c r="B24" s="133">
        <f>IF(DigitaDOMINICANA!C2&lt;&gt;"",DigitaDOMINICANA!C2,"")</f>
        <v>41</v>
      </c>
      <c r="C24" s="29">
        <f>IF(DigitaDOMINICANA!$C$10&lt;&gt;"",DigitaDOMINICANA!$C$10,"")</f>
        <v>46950</v>
      </c>
      <c r="D24" s="42">
        <f>IF(C24="",0,C24*J$19)</f>
        <v>5634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41316</v>
      </c>
    </row>
    <row r="25" spans="1:11">
      <c r="A25" s="28" t="s">
        <v>108</v>
      </c>
      <c r="B25" s="133">
        <f>IF(DigitaDOMINICANA!E2&lt;&gt;"",DigitaDOMINICANA!E2,"")</f>
        <v>84</v>
      </c>
      <c r="C25" s="29">
        <f>IF(DigitaDOMINICANA!$E$10&lt;&gt;"",DigitaDOMINICANA!$E$10,"")</f>
        <v>49000</v>
      </c>
      <c r="D25" s="42">
        <f>IF(C25="",0,C25*J$19)</f>
        <v>5880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43120</v>
      </c>
    </row>
    <row r="26" spans="1:11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.75" thickBot="1">
      <c r="A27" s="67" t="s">
        <v>5</v>
      </c>
      <c r="B27" s="128"/>
      <c r="C27" s="68">
        <f>SUM(C5:C26)</f>
        <v>1047250</v>
      </c>
      <c r="D27" s="68">
        <f t="shared" ref="D27:F27" si="9">SUM(D5:D26)</f>
        <v>124243</v>
      </c>
      <c r="E27" s="68">
        <f t="shared" si="9"/>
        <v>7550</v>
      </c>
      <c r="F27" s="68">
        <f t="shared" si="9"/>
        <v>641750</v>
      </c>
      <c r="G27" s="89">
        <f>SUM(G5:G26)</f>
        <v>281257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3.8554687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.75" thickBot="1">
      <c r="I3" s="240"/>
      <c r="J3" s="52" t="s">
        <v>39</v>
      </c>
      <c r="K3" s="241" t="s">
        <v>141</v>
      </c>
      <c r="L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59900</v>
      </c>
      <c r="K4" s="233">
        <f t="shared" ref="K4" si="0">D7+D11+D15</f>
        <v>7188</v>
      </c>
      <c r="L4" s="222">
        <f>F7+F11+F15</f>
        <v>0</v>
      </c>
    </row>
    <row r="5" spans="1:12">
      <c r="A5" s="28" t="s">
        <v>43</v>
      </c>
      <c r="B5" s="133" t="str">
        <f>IF(DigitaNICA!C2&lt;&gt;"",DigitaNICA!C2,"")</f>
        <v>01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>
        <f>IF(DigitaTICA!C11&lt;&gt;"",DigitaTICA!C11,"")</f>
        <v>30900</v>
      </c>
      <c r="D7" s="42">
        <f>IF(C7="",0,C7*J$11)</f>
        <v>3708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27192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3">
        <f>IF(DigitaNICA!E2&lt;&gt;"",DigitaNICA!E2,"")</f>
        <v>18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>
      <c r="A11" s="28" t="s">
        <v>59</v>
      </c>
      <c r="B11" s="133" t="str">
        <f>IF(DigitaTICA!E2&lt;&gt;"",DigitaTICA!E2,"")</f>
        <v>02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7200</v>
      </c>
    </row>
    <row r="12" spans="1:12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3">
        <f>IF(DigitaNICA!G2&lt;&gt;"",DigitaNICA!G2,"")</f>
        <v>13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>
        <f>IF(DigitaTICA!G11&lt;&gt;"",DigitaTICA!G11,"")</f>
        <v>29000</v>
      </c>
      <c r="D15" s="42">
        <f>IF(C15="",0,C15*J$11)</f>
        <v>3480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25520</v>
      </c>
    </row>
    <row r="16" spans="1:12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3" t="str">
        <f>IF(DigitaNICA!I2&lt;&gt;"",DigitaNICA!I2,"")</f>
        <v>08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3">
        <f>IF(DigitaPRIMERA!C2&lt;&gt;"",DigitaPRIMERA!C2,"")</f>
        <v>52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3">
        <f>IF(DigitaPRIMERA!E2&lt;&gt;"",DigitaPRIMERA!E2,"")</f>
        <v>79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2" t="s">
        <v>5</v>
      </c>
      <c r="B21" s="129"/>
      <c r="C21" s="123">
        <f>SUM(C5:C20)</f>
        <v>59900</v>
      </c>
      <c r="D21" s="123">
        <f t="shared" ref="D21:G21" si="5">SUM(D5:D20)</f>
        <v>7188</v>
      </c>
      <c r="E21" s="123">
        <f t="shared" si="5"/>
        <v>0</v>
      </c>
      <c r="F21" s="123">
        <f t="shared" si="5"/>
        <v>0</v>
      </c>
      <c r="G21" s="124">
        <f t="shared" si="5"/>
        <v>52712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92700</v>
      </c>
      <c r="K4" s="233">
        <f>D7+D11+D15</f>
        <v>11124</v>
      </c>
      <c r="L4" s="222">
        <f>F7+F11+F15</f>
        <v>59500</v>
      </c>
    </row>
    <row r="5" spans="1:12">
      <c r="A5" s="28" t="s">
        <v>43</v>
      </c>
      <c r="B5" s="133" t="str">
        <f>IF(DigitaNICA!C2&lt;&gt;"",DigitaNICA!C2,"")</f>
        <v>01</v>
      </c>
      <c r="C5" s="29">
        <f>IF(DigitaNICA!C12&lt;&gt;"",DigitaNICA!C12,"")</f>
        <v>48600</v>
      </c>
      <c r="D5" s="42">
        <f>IF(C5="",0,C5*J$12)</f>
        <v>5832</v>
      </c>
      <c r="E5" s="29">
        <f>IF(DigitaNICA!D12&lt;&gt;"",DigitaNICA!D12,"")</f>
        <v>550</v>
      </c>
      <c r="F5" s="42">
        <f>IF(E5="",0,E5*PREMIOS!F5)</f>
        <v>46750</v>
      </c>
      <c r="G5" s="30">
        <f t="shared" ref="G5:G12" si="0">IF(OR(C5="",E5=""),0,C5-D5-F5)</f>
        <v>-3982</v>
      </c>
      <c r="I5" s="219" t="s">
        <v>37</v>
      </c>
      <c r="J5" s="223">
        <f>SUM(IF(C5="",0,C5),IF(C9="",0,C9),IF(C13="",0,C13),IF(C17="",0,C17))</f>
        <v>76300</v>
      </c>
      <c r="K5" s="227">
        <f t="shared" ref="K5" si="1">D5+D9+D13+D17</f>
        <v>9156</v>
      </c>
      <c r="L5" s="224">
        <f>F5+F9+F13+F17</f>
        <v>46750</v>
      </c>
    </row>
    <row r="6" spans="1:12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10900</v>
      </c>
      <c r="K6" s="228">
        <f t="shared" ref="K6" si="2">+D8+D12+D16</f>
        <v>1090</v>
      </c>
      <c r="L6" s="229">
        <f>+F8+F12+F16</f>
        <v>60000</v>
      </c>
    </row>
    <row r="7" spans="1:12">
      <c r="A7" s="28" t="s">
        <v>46</v>
      </c>
      <c r="B7" s="133">
        <f>IF(DigitaTICA!C2&lt;&gt;"",DigitaTICA!C2,"")</f>
        <v>26</v>
      </c>
      <c r="C7" s="29">
        <f>IF(DigitaTICA!C12&lt;&gt;"",DigitaTICA!C12,"")</f>
        <v>46600</v>
      </c>
      <c r="D7" s="42">
        <f>IF(C7="",0,C7*J$11)</f>
        <v>5592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24008</v>
      </c>
      <c r="I7" s="219" t="s">
        <v>96</v>
      </c>
      <c r="J7" s="225">
        <f>SUM(IF(C19="",0,C19),IF(C20="",0,C20))</f>
        <v>34550</v>
      </c>
      <c r="K7" s="228">
        <f>+D19+D20</f>
        <v>4146</v>
      </c>
      <c r="L7" s="229">
        <f>+F19+F20</f>
        <v>25500</v>
      </c>
    </row>
    <row r="8" spans="1:12" ht="15.75" thickBot="1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6000</v>
      </c>
      <c r="D8" s="42">
        <f>IF(C8="",0,C8*J$13)</f>
        <v>600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5400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.75" thickBot="1">
      <c r="A9" s="28" t="s">
        <v>48</v>
      </c>
      <c r="B9" s="133">
        <f>IF(DigitaNICA!E2&lt;&gt;"",DigitaNICA!E2,"")</f>
        <v>18</v>
      </c>
      <c r="C9" s="29">
        <f>IF(DigitaNICA!E12&lt;&gt;"",DigitaNICA!E12,"")</f>
        <v>27700</v>
      </c>
      <c r="D9" s="42">
        <f>IF(C9="",0,C9*J$12)</f>
        <v>3324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24376</v>
      </c>
    </row>
    <row r="10" spans="1:12" ht="15.75" thickBot="1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>
      <c r="A11" s="28" t="s">
        <v>59</v>
      </c>
      <c r="B11" s="133" t="str">
        <f>IF(DigitaTICA!E2&lt;&gt;"",DigitaTICA!E2,"")</f>
        <v>02</v>
      </c>
      <c r="C11" s="29">
        <f>IF(DigitaTICA!E12&lt;&gt;"",DigitaTICA!E12,"")</f>
        <v>32600</v>
      </c>
      <c r="D11" s="42">
        <f>IF(C11="",0,C11*J$11)</f>
        <v>3912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-13812</v>
      </c>
      <c r="I11" s="60" t="s">
        <v>36</v>
      </c>
      <c r="J11" s="61">
        <v>0.12</v>
      </c>
      <c r="K11" s="62">
        <f>MROUND(D7+D11+D15,50)</f>
        <v>11100</v>
      </c>
    </row>
    <row r="12" spans="1:12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4900</v>
      </c>
      <c r="D12" s="42">
        <f>IF(C12="",0,C12*J$13)</f>
        <v>490</v>
      </c>
      <c r="E12" s="29">
        <f>IF(DigitaREVENTADO!F12&lt;&gt;"",DigitaREVENTADO!F12,"")</f>
        <v>300</v>
      </c>
      <c r="F12" s="42">
        <f>IF(E12="",0,E12*PREMIOS!F12)</f>
        <v>60000</v>
      </c>
      <c r="G12" s="30">
        <f t="shared" si="0"/>
        <v>-55590</v>
      </c>
      <c r="I12" s="63" t="s">
        <v>37</v>
      </c>
      <c r="J12" s="64">
        <v>0.12</v>
      </c>
      <c r="K12" s="30">
        <f>MROUND(D5+D9+D13+D17,50)</f>
        <v>9150</v>
      </c>
    </row>
    <row r="13" spans="1:12">
      <c r="A13" s="28" t="s">
        <v>50</v>
      </c>
      <c r="B13" s="133">
        <f>IF(DigitaNICA!G2&lt;&gt;"",DigitaNICA!G2,"")</f>
        <v>13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1100</v>
      </c>
    </row>
    <row r="14" spans="1:12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4150</v>
      </c>
    </row>
    <row r="15" spans="1:12" ht="15.75" thickBot="1">
      <c r="A15" s="28" t="s">
        <v>61</v>
      </c>
      <c r="B15" s="133" t="str">
        <f>IF(DigitaTICA!G2&lt;&gt;"",DigitaTICA!G2,"")</f>
        <v>04</v>
      </c>
      <c r="C15" s="29">
        <f>IF(DigitaTICA!G12&lt;&gt;"",DigitaTICA!G12,"")</f>
        <v>13500</v>
      </c>
      <c r="D15" s="42">
        <f>IF(C15="",0,C15*J$11)</f>
        <v>1620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11880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3">
        <f>IF(DigitaPRIMERA!C2&lt;&gt;"",DigitaPRIMERA!C2,"")</f>
        <v>52</v>
      </c>
      <c r="C19" s="29">
        <f>IF(DigitaPRIMERA!$C$12&lt;&gt;"",DigitaPRIMERA!$C$12,"")</f>
        <v>34550</v>
      </c>
      <c r="D19" s="42">
        <f>IF(C19="",0,C19*J$14)</f>
        <v>4146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4904</v>
      </c>
    </row>
    <row r="20" spans="1:7">
      <c r="A20" s="28" t="s">
        <v>98</v>
      </c>
      <c r="B20" s="133">
        <f>IF(DigitaPRIMERA!E2&lt;&gt;"",DigitaPRIMERA!E2,"")</f>
        <v>79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3" t="str">
        <f>IF(DigitaHONDURAS!C2&lt;&gt;"",DigitaHONDURAS!C2,"")</f>
        <v>08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>
      <c r="A22" s="28" t="s">
        <v>100</v>
      </c>
      <c r="B22" s="133" t="str">
        <f>IF(DigitaHONDURAS!E2&lt;&gt;"",DigitaHONDURAS!E2,"")</f>
        <v>09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3">
        <f>IF(DigitaHONDURAS!G2&lt;&gt;"",DigitaHONDURAS!G2,"")</f>
        <v>50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8"/>
      <c r="C24" s="68">
        <f>SUM(C5:C23)</f>
        <v>214450</v>
      </c>
      <c r="D24" s="68">
        <f t="shared" ref="D24:G24" si="4">SUM(D5:D23)</f>
        <v>25516</v>
      </c>
      <c r="E24" s="68">
        <f t="shared" si="4"/>
        <v>1850</v>
      </c>
      <c r="F24" s="68">
        <f t="shared" si="4"/>
        <v>191750</v>
      </c>
      <c r="G24" s="89">
        <f t="shared" si="4"/>
        <v>-2816</v>
      </c>
    </row>
    <row r="27" spans="1:7">
      <c r="G27" s="21">
        <v>287792</v>
      </c>
    </row>
    <row r="28" spans="1:7">
      <c r="G28" s="142">
        <f>+G24+G27</f>
        <v>284976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">
        <v>57</v>
      </c>
      <c r="C2" s="281"/>
      <c r="D2" s="282"/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115600</v>
      </c>
      <c r="K4" s="233">
        <f t="shared" ref="K4" si="0">D7+D11+D15</f>
        <v>13872</v>
      </c>
      <c r="L4" s="222">
        <f>F7+F11+F15</f>
        <v>42500</v>
      </c>
    </row>
    <row r="5" spans="1:12" ht="15.75" thickBot="1">
      <c r="A5" s="28" t="s">
        <v>43</v>
      </c>
      <c r="B5" s="133" t="str">
        <f>IF(DigitaNICA!C2&lt;&gt;"",DigitaNICA!C2,"")</f>
        <v>01</v>
      </c>
      <c r="C5" s="29">
        <f>IF(DigitaNICA!C13&lt;&gt;"",DigitaNICA!C13,"")</f>
        <v>32800</v>
      </c>
      <c r="D5" s="42">
        <f>IF(C5="",0,C5*J$10)</f>
        <v>3936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-11136</v>
      </c>
      <c r="I5" s="220" t="s">
        <v>37</v>
      </c>
      <c r="J5" s="234">
        <f>SUM(IF(C5="",0,C5),IF(C9="",0,C9),IF(C13="",0,C13),IF(C17="",0,C17))</f>
        <v>78700</v>
      </c>
      <c r="K5" s="235">
        <f t="shared" ref="K5" si="2">D5+D9+D13+D17</f>
        <v>9444</v>
      </c>
      <c r="L5" s="236">
        <f>F5+F9+F13+F17</f>
        <v>40000</v>
      </c>
    </row>
    <row r="6" spans="1:12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>
        <f>IF(DigitaTICA!C13&lt;&gt;"",DigitaTICA!C13,"")</f>
        <v>39100</v>
      </c>
      <c r="D7" s="42">
        <f>IF(C7="",0,C7*J$9)</f>
        <v>4692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34408</v>
      </c>
    </row>
    <row r="8" spans="1:12" ht="15.75" thickBot="1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29">
        <f>IF(DigitaNICA!E13&lt;&gt;"",DigitaNICA!E13,"")</f>
        <v>28700</v>
      </c>
      <c r="D9" s="42">
        <f>IF(C9="",0,C9*J$10)</f>
        <v>3444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25256</v>
      </c>
      <c r="I9" s="60" t="s">
        <v>36</v>
      </c>
      <c r="J9" s="61">
        <v>0.12</v>
      </c>
      <c r="K9" s="62">
        <f>MROUND(D7+D11+D15,50)</f>
        <v>13850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9450</v>
      </c>
    </row>
    <row r="11" spans="1:12" ht="15.75" thickBot="1">
      <c r="A11" s="28" t="s">
        <v>59</v>
      </c>
      <c r="B11" s="133" t="str">
        <f>IF(DigitaTICA!E2&lt;&gt;"",DigitaTICA!E2,"")</f>
        <v>02</v>
      </c>
      <c r="C11" s="29">
        <f>IF(DigitaTICA!E13&lt;&gt;"",DigitaTICA!E13,"")</f>
        <v>23600</v>
      </c>
      <c r="D11" s="42">
        <f>IF(C11="",0,C11*J$9)</f>
        <v>2832</v>
      </c>
      <c r="E11" s="29">
        <f>IF(DigitaTICA!F13&lt;&gt;"",DigitaTICA!F13,"")</f>
        <v>200</v>
      </c>
      <c r="F11" s="134">
        <f>IF(E11="",0,E11*PREMIOS!F11)</f>
        <v>17000</v>
      </c>
      <c r="G11" s="30">
        <f t="shared" si="1"/>
        <v>3768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3">
        <f>IF(DigitaNICA!G2&lt;&gt;"",DigitaNICA!G2,"")</f>
        <v>13</v>
      </c>
      <c r="C13" s="29">
        <f>IF(DigitaNICA!G13&lt;&gt;"",DigitaNICA!G13,"")</f>
        <v>13300</v>
      </c>
      <c r="D13" s="42">
        <f>IF(C13="",0,C13*J$10)</f>
        <v>1596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11704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>
        <f>IF(DigitaTICA!G13&lt;&gt;"",DigitaTICA!G13,"")</f>
        <v>52900</v>
      </c>
      <c r="D15" s="42">
        <f>IF(C15="",0,C15*J$9)</f>
        <v>6348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21052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>
        <f>IF(DigitaNICA!I13&lt;&gt;"",DigitaNICA!I13,"")</f>
        <v>3900</v>
      </c>
      <c r="D17" s="42">
        <f>IF(C17="",0,C17*J$10)</f>
        <v>468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3432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8"/>
      <c r="C19" s="68">
        <f>SUM(C5:C18)</f>
        <v>194300</v>
      </c>
      <c r="D19" s="68">
        <f>MROUND(SUM(D5:D18),50)</f>
        <v>23300</v>
      </c>
      <c r="E19" s="68">
        <f>SUM(E5:E18)</f>
        <v>1000</v>
      </c>
      <c r="F19" s="68">
        <f>SUM(F5:F18)</f>
        <v>82500</v>
      </c>
      <c r="G19" s="89">
        <f>SUM(G5:G18)</f>
        <v>88484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">
        <v>54</v>
      </c>
      <c r="C2" s="281"/>
      <c r="D2" s="282"/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 ht="15.75" thickBot="1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134150</v>
      </c>
      <c r="K4" s="238">
        <f t="shared" ref="K4" si="0">D7+D11+D15</f>
        <v>20122.5</v>
      </c>
      <c r="L4" s="239">
        <f>F7+F11+F15</f>
        <v>240000</v>
      </c>
    </row>
    <row r="5" spans="1:12">
      <c r="A5" s="28" t="s">
        <v>43</v>
      </c>
      <c r="B5" s="133" t="str">
        <f>IF(DigitaNICA!C2&lt;&gt;"",DigitaNICA!C2,"")</f>
        <v>01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>
        <f>IF(DigitaTICA!C14&lt;&gt;"",DigitaTICA!C14,"")</f>
        <v>81200</v>
      </c>
      <c r="D7" s="42">
        <f>IF(C7="",0,C7*J$9)</f>
        <v>12180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29020</v>
      </c>
    </row>
    <row r="8" spans="1:12" ht="15.75" thickBot="1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20100</v>
      </c>
    </row>
    <row r="10" spans="1:12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3" t="str">
        <f>IF(DigitaTICA!E2&lt;&gt;"",DigitaTICA!E2,"")</f>
        <v>02</v>
      </c>
      <c r="C11" s="29">
        <f>IF(DigitaTICA!E14&lt;&gt;"",DigitaTICA!E14,"")</f>
        <v>24200</v>
      </c>
      <c r="D11" s="42">
        <f>IF(C11="",0,C11*J$9)</f>
        <v>3630</v>
      </c>
      <c r="E11" s="29">
        <f>IF(DigitaTICA!F14&lt;&gt;"",DigitaTICA!F14,"")</f>
        <v>2000</v>
      </c>
      <c r="F11" s="42">
        <f>IF(E11="",0,E11*PREMIOS!E11)</f>
        <v>160000</v>
      </c>
      <c r="G11" s="30">
        <f t="shared" si="1"/>
        <v>-139430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3">
        <f>IF(DigitaNICA!G2&lt;&gt;"",DigitaNICA!G2,"")</f>
        <v>13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>
        <f>IF(DigitaTICA!G14&lt;&gt;"",DigitaTICA!G14,"")</f>
        <v>28750</v>
      </c>
      <c r="D15" s="42">
        <f>IF(C15="",0,C15*J$9)</f>
        <v>4312.5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-15562.5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3" t="str">
        <f>IF(DigitaNICA!I2&lt;&gt;"",DigitaNICA!I2,"")</f>
        <v>08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.75" thickBot="1">
      <c r="A19" s="67" t="s">
        <v>5</v>
      </c>
      <c r="B19" s="128"/>
      <c r="C19" s="68">
        <f>SUM(C5:C18)</f>
        <v>134150</v>
      </c>
      <c r="D19" s="68">
        <f>MROUND(SUM(D5:D18),50)</f>
        <v>20100</v>
      </c>
      <c r="E19" s="68">
        <f>SUM(E5:E18)</f>
        <v>3000</v>
      </c>
      <c r="F19" s="68">
        <f>SUM(F5:F18)</f>
        <v>240000</v>
      </c>
      <c r="G19" s="89">
        <f>SUM(G5:G18)</f>
        <v>-125972.5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">
        <v>55</v>
      </c>
      <c r="C2" s="281"/>
      <c r="D2" s="282"/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.75" thickBot="1">
      <c r="A5" s="28" t="s">
        <v>43</v>
      </c>
      <c r="B5" s="133" t="str">
        <f>IF(DigitaNICA!C2&lt;&gt;"",DigitaNICA!C2,"")</f>
        <v>01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3" t="str">
        <f>IF(DigitaTICA!E2&lt;&gt;"",DigitaTICA!E2,"")</f>
        <v>02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3">
        <f>IF(DigitaNICA!G2&lt;&gt;"",DigitaNICA!G2,"")</f>
        <v>13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56050</v>
      </c>
      <c r="K4" s="233">
        <f>D7+D11+D15</f>
        <v>6726</v>
      </c>
      <c r="L4" s="222">
        <f>F7+F11+F15</f>
        <v>42500</v>
      </c>
    </row>
    <row r="5" spans="1:12">
      <c r="A5" s="28" t="s">
        <v>43</v>
      </c>
      <c r="B5" s="133" t="str">
        <f>IF(DigitaNICA!C2&lt;&gt;"",DigitaNICA!C2,"")</f>
        <v>01</v>
      </c>
      <c r="C5" s="29">
        <f>IF(DigitaNICA!C16&lt;&gt;"",DigitaNICA!C16,"")</f>
        <v>2300</v>
      </c>
      <c r="D5" s="42">
        <f>IF(C5="",0,C5*J$12)</f>
        <v>276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2024</v>
      </c>
      <c r="I5" s="63" t="s">
        <v>37</v>
      </c>
      <c r="J5" s="227">
        <f>SUM(IF(C5="",0,C5),IF(C9="",0,C9),IF(C13="",0,C13),IF(C17="",0,C17))</f>
        <v>20600</v>
      </c>
      <c r="K5" s="227">
        <f t="shared" ref="K5" si="1">D5+D9+D13+D17</f>
        <v>2472</v>
      </c>
      <c r="L5" s="224">
        <f>F5+F9+F13+F17</f>
        <v>0</v>
      </c>
    </row>
    <row r="6" spans="1:12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>
      <c r="A7" s="28" t="s">
        <v>46</v>
      </c>
      <c r="B7" s="133">
        <f>IF(DigitaTICA!C2&lt;&gt;"",DigitaTICA!C2,"")</f>
        <v>26</v>
      </c>
      <c r="C7" s="29">
        <f>IF(DigitaTICA!C16&lt;&gt;"",DigitaTICA!C16,"")</f>
        <v>22050</v>
      </c>
      <c r="D7" s="42">
        <f>IF(C7="",0,C7*J$11)</f>
        <v>2646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19404</v>
      </c>
      <c r="I7" s="63" t="s">
        <v>96</v>
      </c>
      <c r="J7" s="228">
        <f>SUM(IF(C19="",0,C19),IF(C20="",0,C20))</f>
        <v>3000</v>
      </c>
      <c r="K7" s="228">
        <f>+D19+D20</f>
        <v>360</v>
      </c>
      <c r="L7" s="229">
        <f>+F19+F20</f>
        <v>0</v>
      </c>
    </row>
    <row r="8" spans="1:12" ht="15.75" thickBot="1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.75" thickBot="1">
      <c r="A9" s="28" t="s">
        <v>48</v>
      </c>
      <c r="B9" s="133">
        <f>IF(DigitaNICA!E2&lt;&gt;"",DigitaNICA!E2,"")</f>
        <v>18</v>
      </c>
      <c r="C9" s="29">
        <f>IF(DigitaNICA!E16&lt;&gt;"",DigitaNICA!E16,"")</f>
        <v>8000</v>
      </c>
      <c r="D9" s="42">
        <f>IF(C9="",0,C9*J$12)</f>
        <v>960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7040</v>
      </c>
    </row>
    <row r="10" spans="1:12" ht="15.75" thickBot="1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>
      <c r="A11" s="28" t="s">
        <v>59</v>
      </c>
      <c r="B11" s="133" t="str">
        <f>IF(DigitaTICA!E2&lt;&gt;"",DigitaTICA!E2,"")</f>
        <v>02</v>
      </c>
      <c r="C11" s="29">
        <f>IF(DigitaTICA!E16&lt;&gt;"",DigitaTICA!E16,"")</f>
        <v>14100</v>
      </c>
      <c r="D11" s="42">
        <f>IF(C11="",0,C11*J$11)</f>
        <v>1692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12408</v>
      </c>
      <c r="I11" s="77" t="s">
        <v>36</v>
      </c>
      <c r="J11" s="78">
        <v>0.12</v>
      </c>
      <c r="K11" s="79">
        <f>MROUND(D7+D11+D15,50)</f>
        <v>6750</v>
      </c>
    </row>
    <row r="12" spans="1:12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2450</v>
      </c>
    </row>
    <row r="13" spans="1:12">
      <c r="A13" s="28" t="s">
        <v>50</v>
      </c>
      <c r="B13" s="133">
        <f>IF(DigitaNICA!G2&lt;&gt;"",DigitaNICA!G2,"")</f>
        <v>13</v>
      </c>
      <c r="C13" s="29">
        <f>IF(DigitaNICA!G16&lt;&gt;"",DigitaNICA!G16,"")</f>
        <v>2000</v>
      </c>
      <c r="D13" s="42">
        <f>IF(C13="",0,C13*J$12)</f>
        <v>240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1760</v>
      </c>
      <c r="I13" s="63" t="s">
        <v>38</v>
      </c>
      <c r="J13" s="64">
        <v>0.1</v>
      </c>
      <c r="K13" s="30">
        <f>MROUND(D6+D8+D10+D12+D14+D16+D18,50)</f>
        <v>100</v>
      </c>
    </row>
    <row r="14" spans="1:12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.75" thickBot="1">
      <c r="A15" s="28" t="s">
        <v>61</v>
      </c>
      <c r="B15" s="133" t="str">
        <f>IF(DigitaTICA!G2&lt;&gt;"",DigitaTICA!G2,"")</f>
        <v>04</v>
      </c>
      <c r="C15" s="29">
        <f>IF(DigitaTICA!G16&lt;&gt;"",DigitaTICA!G16,"")</f>
        <v>19900</v>
      </c>
      <c r="D15" s="42">
        <f>IF(C15="",0,C15*J$11)</f>
        <v>2388</v>
      </c>
      <c r="E15" s="29">
        <f>IF(DigitaTICA!H16&lt;&gt;"",DigitaTICA!H16,"")</f>
        <v>500</v>
      </c>
      <c r="F15" s="134">
        <f>IF(E15="",0,E15*PREMIOS!F15)</f>
        <v>42500</v>
      </c>
      <c r="G15" s="30">
        <f t="shared" si="3"/>
        <v>-24988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3" t="str">
        <f>IF(DigitaNICA!I2&lt;&gt;"",DigitaNICA!I2,"")</f>
        <v>08</v>
      </c>
      <c r="C17" s="29">
        <f>IF(DigitaNICA!I16&lt;&gt;"",DigitaNICA!I16,"")</f>
        <v>8300</v>
      </c>
      <c r="D17" s="42">
        <f>IF(C17="",0,C17*J$12)</f>
        <v>996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7304</v>
      </c>
    </row>
    <row r="18" spans="1:7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3">
        <f>IF(DigitaPRIMERA!C2&lt;&gt;"",DigitaPRIMERA!C2,"")</f>
        <v>52</v>
      </c>
      <c r="C19" s="29">
        <f>IF(DigitaPRIMERA!C16&lt;&gt;"",DigitaPRIMERA!C16,"")</f>
        <v>3000</v>
      </c>
      <c r="D19" s="42">
        <f>IF(C19="",0,C19*J$14)</f>
        <v>360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2640</v>
      </c>
    </row>
    <row r="20" spans="1:7">
      <c r="A20" s="28" t="s">
        <v>98</v>
      </c>
      <c r="B20" s="133">
        <f>IF(DigitaPRIMERA!E2&lt;&gt;"",DigitaPRIMERA!E2,"")</f>
        <v>79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>
      <c r="A21" s="28" t="s">
        <v>99</v>
      </c>
      <c r="B21" s="133" t="str">
        <f>IF(DigitaHONDURAS!C2&lt;&gt;"",DigitaHONDURAS!C2,"")</f>
        <v>08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>
      <c r="A22" s="28" t="s">
        <v>100</v>
      </c>
      <c r="B22" s="133" t="str">
        <f>IF(DigitaHONDURAS!E2&lt;&gt;"",DigitaHONDURAS!E2,"")</f>
        <v>09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3">
        <f>IF(DigitaHONDURAS!G2&lt;&gt;"",DigitaHONDURAS!G2,"")</f>
        <v>50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2" t="s">
        <v>5</v>
      </c>
      <c r="B24" s="129"/>
      <c r="C24" s="123">
        <f>SUM(C5:C23)</f>
        <v>80650</v>
      </c>
      <c r="D24" s="123">
        <f t="shared" ref="D24:G24" si="5">SUM(D5:D23)</f>
        <v>9658</v>
      </c>
      <c r="E24" s="123">
        <f t="shared" si="5"/>
        <v>500</v>
      </c>
      <c r="F24" s="123">
        <f t="shared" si="5"/>
        <v>42500</v>
      </c>
      <c r="G24" s="124">
        <f t="shared" si="5"/>
        <v>28492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">
        <v>91</v>
      </c>
      <c r="C2" s="281"/>
      <c r="D2" s="282"/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463900</v>
      </c>
      <c r="K4" s="233">
        <f t="shared" ref="K4" si="0">D7+D11+D15</f>
        <v>55668</v>
      </c>
      <c r="L4" s="222">
        <f>F7+F11+F15</f>
        <v>552500</v>
      </c>
    </row>
    <row r="5" spans="1:12">
      <c r="A5" s="28" t="s">
        <v>43</v>
      </c>
      <c r="B5" s="133" t="str">
        <f>IF(DigitaNICA!C2&lt;&gt;"",DigitaNICA!C2,"")</f>
        <v>01</v>
      </c>
      <c r="C5" s="90">
        <f>IF(DigitaNICA!C17&lt;&gt;"",DigitaNICA!C17,"")</f>
        <v>121750</v>
      </c>
      <c r="D5" s="42">
        <f>IF(C5="",0,C5*J$16)</f>
        <v>14610</v>
      </c>
      <c r="E5" s="90">
        <f>IF(DigitaNICA!D17&lt;&gt;"",DigitaNICA!D17,"")</f>
        <v>1600</v>
      </c>
      <c r="F5" s="42">
        <f>IF(E5="",0,E5*PREMIOS!F5)</f>
        <v>136000</v>
      </c>
      <c r="G5" s="91">
        <f t="shared" ref="G5:G12" si="1">IF(OR(C5="",E5=""),0,C5-D5-F5)</f>
        <v>-28860</v>
      </c>
      <c r="I5" s="219" t="s">
        <v>37</v>
      </c>
      <c r="J5" s="223">
        <f>SUM(IF(C5="",0,C5),IF(C9="",0,C9),IF(C13="",0,C13),IF(C17="",0,C17))</f>
        <v>514550</v>
      </c>
      <c r="K5" s="227">
        <f t="shared" ref="K5" si="2">D5+D9+D13+D17</f>
        <v>61746</v>
      </c>
      <c r="L5" s="224">
        <f>F5+F9+F13+F17</f>
        <v>488750</v>
      </c>
    </row>
    <row r="6" spans="1:12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55200</v>
      </c>
      <c r="K6" s="228">
        <f t="shared" ref="K6" si="3">+D8+D12+D16</f>
        <v>5520</v>
      </c>
      <c r="L6" s="229">
        <f>+F8+F12+F16</f>
        <v>0</v>
      </c>
    </row>
    <row r="7" spans="1:12">
      <c r="A7" s="28" t="s">
        <v>46</v>
      </c>
      <c r="B7" s="133">
        <f>IF(DigitaTICA!C2&lt;&gt;"",DigitaTICA!C2,"")</f>
        <v>26</v>
      </c>
      <c r="C7" s="90">
        <f>IF(DigitaTICA!C17&lt;&gt;"",DigitaTICA!C17,"")</f>
        <v>142650</v>
      </c>
      <c r="D7" s="42">
        <f>IF(C7="",0,C7*J$15)</f>
        <v>17118</v>
      </c>
      <c r="E7" s="90">
        <f>IF(DigitaTICA!D17&lt;&gt;"",DigitaTICA!D17,"")</f>
        <v>600</v>
      </c>
      <c r="F7" s="42">
        <f>IF(E7="",0,E7*PREMIOS!F7)</f>
        <v>51000</v>
      </c>
      <c r="G7" s="91">
        <f t="shared" si="1"/>
        <v>74532</v>
      </c>
      <c r="I7" s="219" t="s">
        <v>96</v>
      </c>
      <c r="J7" s="225">
        <f>SUM(IF(C19="",0,C19),IF(C20="",0,C20))</f>
        <v>124350</v>
      </c>
      <c r="K7" s="228">
        <f>+D19+D20</f>
        <v>14922</v>
      </c>
      <c r="L7" s="229">
        <f>+F19+F20</f>
        <v>8500</v>
      </c>
    </row>
    <row r="8" spans="1:12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11700</v>
      </c>
      <c r="D8" s="42">
        <f>IF(C8="",0,C8*J$17)</f>
        <v>1170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10530</v>
      </c>
      <c r="I8" s="219" t="s">
        <v>104</v>
      </c>
      <c r="J8" s="225">
        <f>SUM(IF(C21="",0,C21),IF(C22="",0,C22),IF(C23="",0,C23))</f>
        <v>115200</v>
      </c>
      <c r="K8" s="228">
        <f t="shared" ref="K8" si="4">D21+D22+D23</f>
        <v>13824</v>
      </c>
      <c r="L8" s="229">
        <f>F21+F22+F23</f>
        <v>212500</v>
      </c>
    </row>
    <row r="9" spans="1:12">
      <c r="A9" s="28" t="s">
        <v>48</v>
      </c>
      <c r="B9" s="133">
        <f>IF(DigitaNICA!E2&lt;&gt;"",DigitaNICA!E2,"")</f>
        <v>18</v>
      </c>
      <c r="C9" s="90">
        <f>IF(DigitaNICA!E17&lt;&gt;"",DigitaNICA!E17,"")</f>
        <v>125850</v>
      </c>
      <c r="D9" s="42">
        <f>IF(C9="",0,C9*J$16)</f>
        <v>15102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68248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.75" thickBot="1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>
      <c r="A11" s="28" t="s">
        <v>59</v>
      </c>
      <c r="B11" s="133" t="str">
        <f>IF(DigitaTICA!E2&lt;&gt;"",DigitaTICA!E2,"")</f>
        <v>02</v>
      </c>
      <c r="C11" s="90">
        <f>IF(DigitaTICA!E17&lt;&gt;"",DigitaTICA!E17,"")</f>
        <v>137150</v>
      </c>
      <c r="D11" s="42">
        <f>IF(C11="",0,C11*J$15)</f>
        <v>16458</v>
      </c>
      <c r="E11" s="90">
        <f>IF(DigitaTICA!F17&lt;&gt;"",DigitaTICA!F17,"")</f>
        <v>1250</v>
      </c>
      <c r="F11" s="42">
        <f>IF(E11="",0,E11*PREMIOS!F11)</f>
        <v>106250</v>
      </c>
      <c r="G11" s="91">
        <f t="shared" si="1"/>
        <v>14442</v>
      </c>
    </row>
    <row r="12" spans="1:12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12100</v>
      </c>
      <c r="D12" s="42">
        <f>IF(C12="",0,C12*J$17)</f>
        <v>1210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10890</v>
      </c>
    </row>
    <row r="13" spans="1:12" ht="15.75" thickBot="1">
      <c r="A13" s="28" t="s">
        <v>50</v>
      </c>
      <c r="B13" s="133">
        <f>IF(DigitaNICA!G2&lt;&gt;"",DigitaNICA!G2,"")</f>
        <v>13</v>
      </c>
      <c r="C13" s="90">
        <f>IF(DigitaNICA!G17&lt;&gt;"",DigitaNICA!G17,"")</f>
        <v>78700</v>
      </c>
      <c r="D13" s="42">
        <f>IF(C13="",0,C13*J$16)</f>
        <v>9444</v>
      </c>
      <c r="E13" s="90">
        <f>IF(DigitaNICA!H17&lt;&gt;"",DigitaNICA!H17,"")</f>
        <v>700</v>
      </c>
      <c r="F13" s="42">
        <f>IF(E13="",0,E13*PREMIOS!F13)</f>
        <v>59500</v>
      </c>
      <c r="G13" s="91">
        <f>IF(OR(C13="",E13=""),0,C13-D13-F13)</f>
        <v>9756</v>
      </c>
    </row>
    <row r="14" spans="1:12" ht="15.75" thickBot="1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>
      <c r="A15" s="28" t="s">
        <v>61</v>
      </c>
      <c r="B15" s="133" t="str">
        <f>IF(DigitaTICA!G2&lt;&gt;"",DigitaTICA!G2,"")</f>
        <v>04</v>
      </c>
      <c r="C15" s="90">
        <f>IF(DigitaTICA!G17&lt;&gt;"",DigitaTICA!G17,"")</f>
        <v>184100</v>
      </c>
      <c r="D15" s="42">
        <f>IF(C15="",0,C15*J$15)</f>
        <v>22092</v>
      </c>
      <c r="E15" s="90">
        <f>IF(DigitaTICA!H17&lt;&gt;"",DigitaTICA!H17,"")</f>
        <v>4650</v>
      </c>
      <c r="F15" s="42">
        <f>IF(E15="",0,E15*PREMIOS!F15)</f>
        <v>395250</v>
      </c>
      <c r="G15" s="91">
        <f t="shared" si="6"/>
        <v>-233242</v>
      </c>
      <c r="I15" s="77" t="s">
        <v>36</v>
      </c>
      <c r="J15" s="78">
        <v>0.12</v>
      </c>
      <c r="K15" s="79">
        <f>MROUND(D7+D11+D15,50)</f>
        <v>55650</v>
      </c>
    </row>
    <row r="16" spans="1:12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31400</v>
      </c>
      <c r="D16" s="42">
        <f>IF(C16="",0,C16*J$17)</f>
        <v>3140</v>
      </c>
      <c r="E16" s="90">
        <f>IF(DigitaREVENTADO!H17&lt;&gt;"",DigitaREVENTADO!H17,"")</f>
        <v>1350</v>
      </c>
      <c r="F16" s="42">
        <f>IF(E16="",0,E16*PREMIOS!F16)</f>
        <v>0</v>
      </c>
      <c r="G16" s="91">
        <f t="shared" si="6"/>
        <v>28260</v>
      </c>
      <c r="I16" s="63" t="s">
        <v>37</v>
      </c>
      <c r="J16" s="64">
        <v>0.12</v>
      </c>
      <c r="K16" s="30">
        <f>MROUND(D5+D9+D13+D17,50)</f>
        <v>61750</v>
      </c>
    </row>
    <row r="17" spans="1:11">
      <c r="A17" s="28" t="s">
        <v>52</v>
      </c>
      <c r="B17" s="133" t="str">
        <f>IF(DigitaNICA!I2&lt;&gt;"",DigitaNICA!I2,"")</f>
        <v>08</v>
      </c>
      <c r="C17" s="90">
        <f>IF(DigitaNICA!I17&lt;&gt;"",DigitaNICA!I17,"")</f>
        <v>188250</v>
      </c>
      <c r="D17" s="42">
        <f>IF(C17="",0,C17*J$16)</f>
        <v>22590</v>
      </c>
      <c r="E17" s="90">
        <f>IF(DigitaNICA!J17&lt;&gt;"",DigitaNICA!J17,"")</f>
        <v>2950</v>
      </c>
      <c r="F17" s="42">
        <f>IF(E17="",0,E17*PREMIOS!F17)</f>
        <v>250750</v>
      </c>
      <c r="G17" s="91">
        <f t="shared" si="6"/>
        <v>-85090</v>
      </c>
      <c r="I17" s="63" t="s">
        <v>38</v>
      </c>
      <c r="J17" s="64">
        <v>0.1</v>
      </c>
      <c r="K17" s="30">
        <f>MROUND(D6+D8+D10+D12+D14+D16+D18,50)</f>
        <v>5500</v>
      </c>
    </row>
    <row r="18" spans="1:11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14900</v>
      </c>
    </row>
    <row r="19" spans="1:11">
      <c r="A19" s="28" t="s">
        <v>97</v>
      </c>
      <c r="B19" s="133">
        <f>IF(DigitaPRIMERA!C2&lt;&gt;"",DigitaPRIMERA!C2,"")</f>
        <v>52</v>
      </c>
      <c r="C19" s="29">
        <f>IF(DigitaPRIMERA!$C$17&lt;&gt;"",DigitaPRIMERA!$C$17,"")</f>
        <v>79150</v>
      </c>
      <c r="D19" s="42">
        <f>IF(C19="",0,C19*J$18)</f>
        <v>9498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61152</v>
      </c>
      <c r="I19" s="63" t="s">
        <v>104</v>
      </c>
      <c r="J19" s="64">
        <v>0.12</v>
      </c>
      <c r="K19" s="30">
        <f>MROUND(D21+D22+D23,50)</f>
        <v>13800</v>
      </c>
    </row>
    <row r="20" spans="1:11">
      <c r="A20" s="28" t="s">
        <v>98</v>
      </c>
      <c r="B20" s="133">
        <f>IF(DigitaPRIMERA!E2&lt;&gt;"",DigitaPRIMERA!E2,"")</f>
        <v>79</v>
      </c>
      <c r="C20" s="29">
        <f>IF(DigitaPRIMERA!$E$17&lt;&gt;"",DigitaPRIMERA!$E$17,"")</f>
        <v>45200</v>
      </c>
      <c r="D20" s="42">
        <f>IF(C20="",0,C20*J$18)</f>
        <v>5424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39776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3" t="str">
        <f>IF(DigitaHONDURAS!C2&lt;&gt;"",DigitaHONDURAS!C2,"")</f>
        <v>08</v>
      </c>
      <c r="C21" s="29">
        <f>IF(DigitaHONDURAS!$C$17&lt;&gt;"",DigitaHONDURAS!$C$17,"")</f>
        <v>59250</v>
      </c>
      <c r="D21" s="42">
        <f>IF(C21="",0,C21*J$19)</f>
        <v>7110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22390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3" t="str">
        <f>IF(DigitaHONDURAS!E2&lt;&gt;"",DigitaHONDURAS!E2,"")</f>
        <v>09</v>
      </c>
      <c r="C22" s="29">
        <f>IF(DigitaHONDURAS!$E$17&lt;&gt;"",DigitaHONDURAS!$E$17,"")</f>
        <v>20150</v>
      </c>
      <c r="D22" s="42">
        <f>IF(C22="",0,C22*J$19)</f>
        <v>2418</v>
      </c>
      <c r="E22" s="29">
        <f>IF(DigitaHONDURAS!$F$17&lt;&gt;"",DigitaHONDURAS!$F$17,"")</f>
        <v>1000</v>
      </c>
      <c r="F22" s="42">
        <f>IF(E22="",0,E22*PREMIOS!F20)</f>
        <v>85000</v>
      </c>
      <c r="G22" s="30">
        <f t="shared" si="6"/>
        <v>-67268</v>
      </c>
    </row>
    <row r="23" spans="1:11">
      <c r="A23" s="28" t="s">
        <v>101</v>
      </c>
      <c r="B23" s="133">
        <f>IF(DigitaHONDURAS!G2&lt;&gt;"",DigitaHONDURAS!G2,"")</f>
        <v>50</v>
      </c>
      <c r="C23" s="29">
        <f>IF(DigitaHONDURAS!$G$17&lt;&gt;"",DigitaHONDURAS!$G$17,"")</f>
        <v>35800</v>
      </c>
      <c r="D23" s="42">
        <f>IF(C23="",0,C23*J$19)</f>
        <v>4296</v>
      </c>
      <c r="E23" s="29">
        <f>IF(DigitaHONDURAS!$H$17&lt;&gt;"",DigitaHONDURAS!$H$17,"")</f>
        <v>1150</v>
      </c>
      <c r="F23" s="42">
        <f>IF(E23="",0,E23*PREMIOS!F20)</f>
        <v>97750</v>
      </c>
      <c r="G23" s="30">
        <f t="shared" si="6"/>
        <v>-66246</v>
      </c>
    </row>
    <row r="24" spans="1:11">
      <c r="A24" s="28" t="s">
        <v>102</v>
      </c>
      <c r="B24" s="133">
        <f>IF(DigitaDOMINICANA!C2&lt;&gt;"",DigitaDOMINICANA!C2,"")</f>
        <v>41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3">
        <f>IF(DigitaDOMINICANA!E2&lt;&gt;"",DigitaDOMINICANA!E2,"")</f>
        <v>84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8"/>
      <c r="C27" s="68">
        <f>SUM(C5:C26)</f>
        <v>1273200</v>
      </c>
      <c r="D27" s="68">
        <f t="shared" ref="D27:G27" si="7">SUM(D5:D26)</f>
        <v>151680</v>
      </c>
      <c r="E27" s="68">
        <f t="shared" si="7"/>
        <v>16200</v>
      </c>
      <c r="F27" s="68">
        <f t="shared" si="7"/>
        <v>1262250</v>
      </c>
      <c r="G27" s="89">
        <f t="shared" si="7"/>
        <v>-140730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1" t="s">
        <v>92</v>
      </c>
      <c r="C2" s="281"/>
      <c r="D2" s="282"/>
    </row>
    <row r="3" spans="1:12" ht="15.75" thickBot="1">
      <c r="J3" s="73" t="s">
        <v>39</v>
      </c>
      <c r="K3" s="232" t="s">
        <v>141</v>
      </c>
      <c r="L3" s="74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160300</v>
      </c>
      <c r="K4" s="233">
        <f t="shared" ref="K4" si="0">D7+D11+D15</f>
        <v>19236</v>
      </c>
      <c r="L4" s="222">
        <f>F7+F11+F15</f>
        <v>544000</v>
      </c>
    </row>
    <row r="5" spans="1:12">
      <c r="A5" s="28" t="str">
        <f>+Vendedor1!A5</f>
        <v>Nica 11am</v>
      </c>
      <c r="B5" s="133" t="str">
        <f>IF(DigitaNICA!C2&lt;&gt;"",DigitaNICA!C2,"")</f>
        <v>01</v>
      </c>
      <c r="C5" s="29">
        <f>IF(DigitaNICA!C18&lt;&gt;"",DigitaNICA!C18,"")</f>
        <v>38900</v>
      </c>
      <c r="D5" s="42">
        <f>IF(C5="",0,C5*J$16)</f>
        <v>4668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17232</v>
      </c>
      <c r="I5" s="219" t="s">
        <v>37</v>
      </c>
      <c r="J5" s="223">
        <f>SUM(IF(C5="",0,C5),IF(C9="",0,C9),IF(C13="",0,C13),IF(C17="",0,C17))</f>
        <v>115800</v>
      </c>
      <c r="K5" s="227">
        <f t="shared" ref="K5" si="2">D5+D9+D13+D17</f>
        <v>13896</v>
      </c>
      <c r="L5" s="224">
        <f>F5+F9+F13+F17</f>
        <v>110500</v>
      </c>
    </row>
    <row r="6" spans="1:12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42300</v>
      </c>
      <c r="K6" s="228">
        <f t="shared" ref="K6" si="3">+D8+D12+D16</f>
        <v>4230</v>
      </c>
      <c r="L6" s="229">
        <f>+F8+F12+F16</f>
        <v>40000</v>
      </c>
    </row>
    <row r="7" spans="1:12">
      <c r="A7" s="28" t="str">
        <f>+Vendedor1!A7</f>
        <v>Tica 1pm</v>
      </c>
      <c r="B7" s="133">
        <f>IF(DigitaTICA!C2&lt;&gt;"",DigitaTICA!C2,"")</f>
        <v>26</v>
      </c>
      <c r="C7" s="29">
        <f>IF(DigitaTICA!C18&lt;&gt;"",DigitaTICA!C18,"")</f>
        <v>57500</v>
      </c>
      <c r="D7" s="42">
        <f>IF(C7="",0,C7*J$15)</f>
        <v>6900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33600</v>
      </c>
      <c r="I7" s="219" t="s">
        <v>96</v>
      </c>
      <c r="J7" s="225">
        <f>SUM(IF(C19="",0,C19),IF(C20="",0,C20))</f>
        <v>56750</v>
      </c>
      <c r="K7" s="228">
        <f>+D19+D20</f>
        <v>6810</v>
      </c>
      <c r="L7" s="229">
        <f>+F19+F20</f>
        <v>8500</v>
      </c>
    </row>
    <row r="8" spans="1:12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20100</v>
      </c>
      <c r="D8" s="42">
        <f>IF(C8="",0,C8*J$17)</f>
        <v>2010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18090</v>
      </c>
      <c r="I8" s="219" t="s">
        <v>104</v>
      </c>
      <c r="J8" s="225">
        <f>SUM(IF(C21="",0,C21),IF(C22="",0,C22),IF(C23="",0,C23))</f>
        <v>3100</v>
      </c>
      <c r="K8" s="228">
        <f t="shared" ref="K8" si="4">D21+D22+D23</f>
        <v>372</v>
      </c>
      <c r="L8" s="229">
        <f>F21+F22+F23</f>
        <v>0</v>
      </c>
    </row>
    <row r="9" spans="1:12">
      <c r="A9" s="28" t="str">
        <f>+Vendedor1!A9</f>
        <v>Nica 3pm</v>
      </c>
      <c r="B9" s="133">
        <f>IF(DigitaNICA!E2&lt;&gt;"",DigitaNICA!E2,"")</f>
        <v>18</v>
      </c>
      <c r="C9" s="29">
        <f>IF(DigitaNICA!E18&lt;&gt;"",DigitaNICA!E18,"")</f>
        <v>39250</v>
      </c>
      <c r="D9" s="42">
        <f>IF(C9="",0,C9*J$16)</f>
        <v>4710</v>
      </c>
      <c r="E9" s="29">
        <f>IF(DigitaNICA!F18&lt;&gt;"",DigitaNICA!F18,"")</f>
        <v>450</v>
      </c>
      <c r="F9" s="42">
        <f>IF(E9="",0,E9*PREMIOS!F9)</f>
        <v>38250</v>
      </c>
      <c r="G9" s="30">
        <f t="shared" si="1"/>
        <v>-3710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.75" thickBot="1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>
      <c r="A11" s="28" t="s">
        <v>59</v>
      </c>
      <c r="B11" s="133" t="str">
        <f>IF(DigitaTICA!E2&lt;&gt;"",DigitaTICA!E2,"")</f>
        <v>02</v>
      </c>
      <c r="C11" s="29">
        <f>IF(DigitaTICA!E18&lt;&gt;"",DigitaTICA!E18,"")</f>
        <v>52100</v>
      </c>
      <c r="D11" s="42">
        <f>IF(C11="",0,C11*J$15)</f>
        <v>6252</v>
      </c>
      <c r="E11" s="29">
        <f>IF(DigitaTICA!F18&lt;&gt;"",DigitaTICA!F18,"")</f>
        <v>5200</v>
      </c>
      <c r="F11" s="42">
        <f>IF(E11="",0,E11*PREMIOS!F11)</f>
        <v>442000</v>
      </c>
      <c r="G11" s="30">
        <f t="shared" si="1"/>
        <v>-396152</v>
      </c>
    </row>
    <row r="12" spans="1:12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9800</v>
      </c>
      <c r="D12" s="42">
        <f>IF(C12="",0,C12*J$17)</f>
        <v>980</v>
      </c>
      <c r="E12" s="29">
        <f>IF(DigitaREVENTADO!F18&lt;&gt;"",DigitaREVENTADO!F18,"")</f>
        <v>200</v>
      </c>
      <c r="F12" s="42">
        <f>IF(E12="",0,E12*PREMIOS!F12)</f>
        <v>40000</v>
      </c>
      <c r="G12" s="30">
        <f t="shared" si="1"/>
        <v>-31180</v>
      </c>
    </row>
    <row r="13" spans="1:12" ht="15.75" thickBot="1">
      <c r="A13" s="28" t="str">
        <f>+Vendedor1!A13</f>
        <v>Nica 6pm</v>
      </c>
      <c r="B13" s="133">
        <f>IF(DigitaNICA!G2&lt;&gt;"",DigitaNICA!G2,"")</f>
        <v>13</v>
      </c>
      <c r="C13" s="29">
        <f>IF(DigitaNICA!G18&lt;&gt;"",DigitaNICA!G18,"")</f>
        <v>24500</v>
      </c>
      <c r="D13" s="42">
        <f>IF(C13="",0,C13*J$16)</f>
        <v>2940</v>
      </c>
      <c r="E13" s="29">
        <f>IF(DigitaNICA!H18&lt;&gt;"",DigitaNICA!H18,"")</f>
        <v>650</v>
      </c>
      <c r="F13" s="42">
        <f>IF(E13="",0,E13*PREMIOS!F13)</f>
        <v>55250</v>
      </c>
      <c r="G13" s="30">
        <f>IF(OR(C13="",E13=""),0,C13-D13-F13)</f>
        <v>-33690</v>
      </c>
    </row>
    <row r="14" spans="1:12" ht="15.75" thickBot="1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>
      <c r="A15" s="28" t="str">
        <f>+Vendedor1!A15</f>
        <v>Tica 7:30pm</v>
      </c>
      <c r="B15" s="133" t="str">
        <f>IF(DigitaTICA!G2&lt;&gt;"",DigitaTICA!G2,"")</f>
        <v>04</v>
      </c>
      <c r="C15" s="29">
        <f>IF(DigitaTICA!G18&lt;&gt;"",DigitaTICA!G18,"")</f>
        <v>50700</v>
      </c>
      <c r="D15" s="42">
        <f>IF(C15="",0,C15*J$15)</f>
        <v>6084</v>
      </c>
      <c r="E15" s="29">
        <f>IF(DigitaTICA!H18&lt;&gt;"",DigitaTICA!H18,"")</f>
        <v>1000</v>
      </c>
      <c r="F15" s="42">
        <f>IF(E15="",0,E15*PREMIOS!F15)</f>
        <v>85000</v>
      </c>
      <c r="G15" s="30">
        <f t="shared" si="6"/>
        <v>-40384</v>
      </c>
      <c r="I15" s="77" t="s">
        <v>36</v>
      </c>
      <c r="J15" s="78">
        <v>0.12</v>
      </c>
      <c r="K15" s="79">
        <f>MROUND(D7+D11+D15,50)</f>
        <v>19250</v>
      </c>
    </row>
    <row r="16" spans="1:12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12400</v>
      </c>
      <c r="D16" s="42">
        <f>IF(C16="",0,C16*J$17)</f>
        <v>1240</v>
      </c>
      <c r="E16" s="29">
        <f>IF(DigitaREVENTADO!H18&lt;&gt;"",DigitaREVENTADO!H18,"")</f>
        <v>600</v>
      </c>
      <c r="F16" s="42">
        <f>IF(E16="",0,E16*PREMIOS!F16)</f>
        <v>0</v>
      </c>
      <c r="G16" s="30">
        <f t="shared" si="6"/>
        <v>11160</v>
      </c>
      <c r="I16" s="63" t="s">
        <v>37</v>
      </c>
      <c r="J16" s="64">
        <v>0.12</v>
      </c>
      <c r="K16" s="30">
        <f>MROUND(D5+D9+D13+D17,50)</f>
        <v>13900</v>
      </c>
    </row>
    <row r="17" spans="1:11">
      <c r="A17" s="28" t="str">
        <f>+Vendedor1!A17</f>
        <v>Nica 9pm</v>
      </c>
      <c r="B17" s="133" t="str">
        <f>IF(DigitaNICA!I2&lt;&gt;"",DigitaNICA!I2,"")</f>
        <v>08</v>
      </c>
      <c r="C17" s="29">
        <f>IF(DigitaNICA!I18&lt;&gt;"",DigitaNICA!I18,"")</f>
        <v>13150</v>
      </c>
      <c r="D17" s="42">
        <f>IF(C17="",0,C17*J$16)</f>
        <v>1578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11572</v>
      </c>
      <c r="I17" s="63" t="s">
        <v>38</v>
      </c>
      <c r="J17" s="64">
        <v>0.1</v>
      </c>
      <c r="K17" s="30">
        <f>MROUND(D6+D8+D10+D12+D14+D16+D18,50)</f>
        <v>4250</v>
      </c>
    </row>
    <row r="18" spans="1:11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6800</v>
      </c>
    </row>
    <row r="19" spans="1:11">
      <c r="A19" s="28" t="s">
        <v>97</v>
      </c>
      <c r="B19" s="133">
        <f>IF(DigitaPRIMERA!C2&lt;&gt;"",DigitaPRIMERA!C2,"")</f>
        <v>52</v>
      </c>
      <c r="C19" s="29">
        <f>IF(DigitaPRIMERA!$C$18&lt;&gt;"",DigitaPRIMERA!$C$18,"")</f>
        <v>40350</v>
      </c>
      <c r="D19" s="42">
        <f>IF(C19="",0,C19*J$18)</f>
        <v>4842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35508</v>
      </c>
      <c r="I19" s="63" t="s">
        <v>104</v>
      </c>
      <c r="J19" s="64">
        <v>0.12</v>
      </c>
      <c r="K19" s="30">
        <f>MROUND(D21+D22+D23,50)</f>
        <v>350</v>
      </c>
    </row>
    <row r="20" spans="1:11">
      <c r="A20" s="28" t="s">
        <v>98</v>
      </c>
      <c r="B20" s="133">
        <f>IF(DigitaPRIMERA!E2&lt;&gt;"",DigitaPRIMERA!E2,"")</f>
        <v>79</v>
      </c>
      <c r="C20" s="29">
        <f>IF(DigitaPRIMERA!$E$18&lt;&gt;"",DigitaPRIMERA!$E$18,"")</f>
        <v>16400</v>
      </c>
      <c r="D20" s="42">
        <f>IF(C20="",0,C20*J$18)</f>
        <v>1968</v>
      </c>
      <c r="E20" s="29">
        <f>IF(DigitaPRIMERA!$F$18&lt;&gt;"",DigitaPRIMERA!$F$18,"")</f>
        <v>100</v>
      </c>
      <c r="F20" s="42">
        <f>IF(E20="",0,E20*PREMIOS!F19)</f>
        <v>8500</v>
      </c>
      <c r="G20" s="30">
        <f t="shared" si="6"/>
        <v>5932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3" t="str">
        <f>IF(DigitaHONDURAS!C2&lt;&gt;"",DigitaHONDURAS!C2,"")</f>
        <v>08</v>
      </c>
      <c r="C21" s="29">
        <f>IF(DigitaHONDURAS!$C$18&lt;&gt;"",DigitaHONDURAS!$C$18,"")</f>
        <v>1900</v>
      </c>
      <c r="D21" s="42">
        <f>IF(C21="",0,C21*J$19)</f>
        <v>228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1672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3" t="str">
        <f>IF(DigitaHONDURAS!E2&lt;&gt;"",DigitaHONDURAS!E2,"")</f>
        <v>09</v>
      </c>
      <c r="C22" s="29">
        <f>IF(DigitaHONDURAS!$E$18&lt;&gt;"",DigitaHONDURAS!$E$18,"")</f>
        <v>1200</v>
      </c>
      <c r="D22" s="42">
        <f>IF(C22="",0,C22*J$19)</f>
        <v>144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1056</v>
      </c>
    </row>
    <row r="23" spans="1:11">
      <c r="A23" s="28" t="s">
        <v>101</v>
      </c>
      <c r="B23" s="133">
        <f>IF(DigitaHONDURAS!G2&lt;&gt;"",DigitaHONDURAS!G2,"")</f>
        <v>50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3">
        <f>IF(DigitaDOMINICANA!C2&lt;&gt;"",DigitaDOMINICANA!C2,"")</f>
        <v>41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3">
        <f>IF(DigitaDOMINICANA!E2&lt;&gt;"",DigitaDOMINICANA!E2,"")</f>
        <v>84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8"/>
      <c r="C27" s="68">
        <f>SUM(C5:C26)</f>
        <v>378250</v>
      </c>
      <c r="D27" s="68">
        <f t="shared" ref="D27:G27" si="7">SUM(D5:D26)</f>
        <v>44544</v>
      </c>
      <c r="E27" s="68">
        <f t="shared" si="7"/>
        <v>8600</v>
      </c>
      <c r="F27" s="68">
        <f t="shared" si="7"/>
        <v>703000</v>
      </c>
      <c r="G27" s="89">
        <f t="shared" si="7"/>
        <v>-369294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5"/>
      <c r="C2" s="282" t="s">
        <v>88</v>
      </c>
      <c r="D2" s="282"/>
      <c r="E2" s="282"/>
    </row>
    <row r="3" spans="1:11" ht="15.75" thickBot="1">
      <c r="J3" s="73" t="s">
        <v>39</v>
      </c>
      <c r="K3" s="74" t="s">
        <v>12</v>
      </c>
    </row>
    <row r="4" spans="1:11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3" t="str">
        <f>IF(DigitaNICA!C2&lt;&gt;"",DigitaNICA!C2,"")</f>
        <v>01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3">
        <f>IF(DigitaTICA!C2&lt;&gt;"",DigitaTICA!C2,"")</f>
        <v>26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>
      <c r="A9" s="28" t="str">
        <f>+Vendedor1!A9</f>
        <v>Nica 3pm</v>
      </c>
      <c r="B9" s="133">
        <f>IF(DigitaNICA!E2&lt;&gt;"",DigitaNICA!E2,"")</f>
        <v>18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3" t="str">
        <f>IF(DigitaTICA!E2&lt;&gt;"",DigitaTICA!E2,"")</f>
        <v>02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3">
        <f>IF(DigitaNICA!G2&lt;&gt;"",DigitaNICA!G2,"")</f>
        <v>13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3" t="str">
        <f>IF(DigitaTICA!G2&lt;&gt;"",DigitaTICA!G2,"")</f>
        <v>04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3" t="str">
        <f>IF(DigitaNICA!I2&lt;&gt;"",DigitaNICA!I2,"")</f>
        <v>08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5"/>
      <c r="C2" s="282" t="s">
        <v>85</v>
      </c>
      <c r="D2" s="282"/>
      <c r="E2" s="282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>
      <c r="A9" s="28" t="s">
        <v>48</v>
      </c>
      <c r="B9" s="133">
        <f>IF(DigitaNICA!E2&lt;&gt;"",DigitaNICA!E2,"")</f>
        <v>18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3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3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3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AM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2">
      <c r="A2" s="51" t="s">
        <v>35</v>
      </c>
      <c r="B2" s="125"/>
      <c r="C2" s="282" t="s">
        <v>84</v>
      </c>
      <c r="D2" s="282"/>
      <c r="E2" s="282"/>
    </row>
    <row r="3" spans="1:12" ht="15.75" thickBot="1">
      <c r="J3" s="52" t="s">
        <v>39</v>
      </c>
      <c r="K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.75" thickBot="1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.75" thickBot="1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3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>
      <c r="A13" s="28" t="s">
        <v>50</v>
      </c>
      <c r="B13" s="133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3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2">
      <c r="A2" s="51" t="s">
        <v>35</v>
      </c>
      <c r="B2" s="125"/>
      <c r="C2" s="282" t="s">
        <v>83</v>
      </c>
      <c r="D2" s="282"/>
      <c r="E2" s="282"/>
    </row>
    <row r="3" spans="1:12" ht="15.75" thickBot="1">
      <c r="J3" s="52" t="s">
        <v>39</v>
      </c>
      <c r="K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.75" thickBot="1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.75" thickBot="1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3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>
      <c r="A13" s="28" t="s">
        <v>50</v>
      </c>
      <c r="B13" s="133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3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2">
      <c r="A2" s="51" t="s">
        <v>35</v>
      </c>
      <c r="B2" s="125"/>
      <c r="C2" s="282" t="s">
        <v>82</v>
      </c>
      <c r="D2" s="282"/>
      <c r="E2" s="282"/>
    </row>
    <row r="3" spans="1:12" ht="15.75" thickBot="1">
      <c r="J3" s="52" t="s">
        <v>39</v>
      </c>
      <c r="K3" s="53" t="s">
        <v>12</v>
      </c>
    </row>
    <row r="4" spans="1:12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.75" thickBot="1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.75" thickBot="1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.75" thickBot="1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>
      <c r="A9" s="28" t="s">
        <v>48</v>
      </c>
      <c r="B9" s="133">
        <f>IF(DigitaNICA!E2&lt;&gt;"",DigitaNICA!E2,"")</f>
        <v>18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3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>
      <c r="A13" s="28" t="s">
        <v>50</v>
      </c>
      <c r="B13" s="133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3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67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70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66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.75" thickBot="1"/>
    <row r="21" spans="1:6" ht="15.75" thickBot="1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5"/>
      <c r="C2" s="282" t="s">
        <v>81</v>
      </c>
      <c r="D2" s="282"/>
      <c r="E2" s="282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.75" thickBot="1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106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64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69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58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2" t="s">
        <v>68</v>
      </c>
      <c r="C2" s="282"/>
      <c r="D2" s="282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>
      <c r="C2" s="268">
        <f>IF(PREMIOS!$B7="","",PREMIOS!$B7)</f>
        <v>26</v>
      </c>
      <c r="D2" s="269"/>
      <c r="E2" s="268" t="str">
        <f>IF(PREMIOS!$B11="","",PREMIOS!$B11)</f>
        <v>02</v>
      </c>
      <c r="F2" s="269"/>
      <c r="G2" s="268" t="str">
        <f>IF(PREMIOS!$B15="","",PREMIOS!$B15)</f>
        <v>04</v>
      </c>
      <c r="H2" s="269"/>
    </row>
    <row r="3" spans="1:11" ht="15.75" thickBot="1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>
      <c r="A4" s="188">
        <v>1</v>
      </c>
      <c r="B4" s="189" t="str">
        <f>Vendedor1!$B$2</f>
        <v>VENTANA</v>
      </c>
      <c r="C4" s="190">
        <v>61250</v>
      </c>
      <c r="D4" s="79">
        <f t="shared" ref="D4:H27" si="0">IF(C4="","",0)</f>
        <v>0</v>
      </c>
      <c r="E4" s="190">
        <v>34450</v>
      </c>
      <c r="F4" s="79">
        <v>250</v>
      </c>
      <c r="G4" s="190">
        <v>81150</v>
      </c>
      <c r="H4" s="79">
        <v>1000</v>
      </c>
      <c r="J4" s="42">
        <f t="shared" ref="J4:J8" si="1">+C4+E4+G4</f>
        <v>176850</v>
      </c>
      <c r="K4" s="42">
        <f>IF(D4="",0,IF(F4="",D4,IF(H4="",D4+F4,D4+F4+H4)))</f>
        <v>1250</v>
      </c>
    </row>
    <row r="5" spans="1:11">
      <c r="A5" s="47">
        <v>2</v>
      </c>
      <c r="B5" s="179" t="str">
        <f>Vendedor2!$B$2</f>
        <v>PUESTO 2</v>
      </c>
      <c r="C5" s="181">
        <v>46350</v>
      </c>
      <c r="D5" s="30">
        <f t="shared" si="0"/>
        <v>0</v>
      </c>
      <c r="E5" s="181">
        <v>31900</v>
      </c>
      <c r="F5" s="30">
        <f t="shared" si="0"/>
        <v>0</v>
      </c>
      <c r="G5" s="181">
        <v>48400</v>
      </c>
      <c r="H5" s="30">
        <v>250</v>
      </c>
      <c r="J5" s="42">
        <f t="shared" si="1"/>
        <v>126650</v>
      </c>
      <c r="K5" s="42">
        <f t="shared" ref="K5:K27" si="2">IF(D5="",0,IF(F5="",D5,IF(H5="",D5+F5,D5+F5+H5)))</f>
        <v>250</v>
      </c>
    </row>
    <row r="6" spans="1:11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>
      <c r="A8" s="47">
        <v>5</v>
      </c>
      <c r="B8" s="179" t="str">
        <f>Vendedor5!$B$2</f>
        <v>YOYO</v>
      </c>
      <c r="C8" s="181">
        <v>85650</v>
      </c>
      <c r="D8" s="30">
        <v>950</v>
      </c>
      <c r="E8" s="181">
        <v>54250</v>
      </c>
      <c r="F8" s="30">
        <v>1700</v>
      </c>
      <c r="G8" s="181">
        <v>60100</v>
      </c>
      <c r="H8" s="30">
        <v>300</v>
      </c>
      <c r="J8" s="42">
        <f t="shared" si="1"/>
        <v>200000</v>
      </c>
      <c r="K8" s="42">
        <f t="shared" si="2"/>
        <v>2950</v>
      </c>
    </row>
    <row r="9" spans="1:11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9" t="str">
        <f>Vendedor7!$B$2</f>
        <v>PIKIS</v>
      </c>
      <c r="C10" s="181">
        <f>50100+108750</f>
        <v>158850</v>
      </c>
      <c r="D10" s="30">
        <f>250+50</f>
        <v>300</v>
      </c>
      <c r="E10" s="181">
        <v>142550</v>
      </c>
      <c r="F10" s="30">
        <v>1500</v>
      </c>
      <c r="G10" s="181">
        <v>186250</v>
      </c>
      <c r="H10" s="30">
        <v>1750</v>
      </c>
      <c r="J10" s="42">
        <f t="shared" si="3"/>
        <v>487650</v>
      </c>
      <c r="K10" s="42">
        <f t="shared" si="2"/>
        <v>3550</v>
      </c>
    </row>
    <row r="11" spans="1:11">
      <c r="A11" s="47">
        <v>8</v>
      </c>
      <c r="B11" s="179" t="str">
        <f>Vendedor8!$B$2</f>
        <v>ISA</v>
      </c>
      <c r="C11" s="181">
        <v>30900</v>
      </c>
      <c r="D11" s="30">
        <f t="shared" si="0"/>
        <v>0</v>
      </c>
      <c r="E11" s="181"/>
      <c r="F11" s="30" t="str">
        <f t="shared" si="0"/>
        <v/>
      </c>
      <c r="G11" s="181">
        <v>29000</v>
      </c>
      <c r="H11" s="30">
        <f t="shared" si="0"/>
        <v>0</v>
      </c>
      <c r="J11" s="42">
        <f t="shared" si="3"/>
        <v>59900</v>
      </c>
      <c r="K11" s="42">
        <f t="shared" si="2"/>
        <v>0</v>
      </c>
    </row>
    <row r="12" spans="1:11">
      <c r="A12" s="47">
        <v>9</v>
      </c>
      <c r="B12" s="179" t="str">
        <f>Vendedor9!$B$2</f>
        <v>JUAN FELIX</v>
      </c>
      <c r="C12" s="181">
        <v>46600</v>
      </c>
      <c r="D12" s="30">
        <v>200</v>
      </c>
      <c r="E12" s="181">
        <v>32600</v>
      </c>
      <c r="F12" s="30">
        <v>500</v>
      </c>
      <c r="G12" s="181">
        <v>13500</v>
      </c>
      <c r="H12" s="30">
        <f t="shared" si="0"/>
        <v>0</v>
      </c>
      <c r="J12" s="42">
        <f t="shared" si="3"/>
        <v>92700</v>
      </c>
      <c r="K12" s="42">
        <f t="shared" si="2"/>
        <v>700</v>
      </c>
    </row>
    <row r="13" spans="1:11">
      <c r="A13" s="47">
        <v>10</v>
      </c>
      <c r="B13" s="179" t="str">
        <f>Vendedor10!$B$2</f>
        <v>MARIALIZ</v>
      </c>
      <c r="C13" s="181">
        <v>39100</v>
      </c>
      <c r="D13" s="30">
        <f t="shared" si="0"/>
        <v>0</v>
      </c>
      <c r="E13" s="181">
        <v>23600</v>
      </c>
      <c r="F13" s="30">
        <v>200</v>
      </c>
      <c r="G13" s="181">
        <v>52900</v>
      </c>
      <c r="H13" s="30">
        <v>300</v>
      </c>
      <c r="J13" s="42">
        <f t="shared" si="3"/>
        <v>115600</v>
      </c>
      <c r="K13" s="42">
        <f t="shared" si="2"/>
        <v>500</v>
      </c>
    </row>
    <row r="14" spans="1:11">
      <c r="A14" s="47">
        <v>11</v>
      </c>
      <c r="B14" s="179" t="str">
        <f>Vendedor11!$B$2</f>
        <v>CHARLY</v>
      </c>
      <c r="C14" s="181">
        <v>81200</v>
      </c>
      <c r="D14" s="30">
        <v>500</v>
      </c>
      <c r="E14" s="181">
        <v>24200</v>
      </c>
      <c r="F14" s="30">
        <v>2000</v>
      </c>
      <c r="G14" s="181">
        <v>28750</v>
      </c>
      <c r="H14" s="30">
        <v>500</v>
      </c>
      <c r="J14" s="42">
        <f t="shared" si="3"/>
        <v>134150</v>
      </c>
      <c r="K14" s="42">
        <f t="shared" si="2"/>
        <v>3000</v>
      </c>
    </row>
    <row r="15" spans="1:11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9" t="str">
        <f>Vendedor13!$B$2</f>
        <v>MINERO</v>
      </c>
      <c r="C16" s="181">
        <v>22050</v>
      </c>
      <c r="D16" s="30">
        <f t="shared" si="0"/>
        <v>0</v>
      </c>
      <c r="E16" s="181">
        <v>14100</v>
      </c>
      <c r="F16" s="30">
        <f t="shared" si="0"/>
        <v>0</v>
      </c>
      <c r="G16" s="181">
        <v>19900</v>
      </c>
      <c r="H16" s="30">
        <v>500</v>
      </c>
      <c r="J16" s="42">
        <f t="shared" si="3"/>
        <v>56050</v>
      </c>
      <c r="K16" s="42">
        <f t="shared" si="2"/>
        <v>500</v>
      </c>
    </row>
    <row r="17" spans="1:11">
      <c r="A17" s="47">
        <v>14</v>
      </c>
      <c r="B17" s="179" t="str">
        <f>Vendedor14!$B$2</f>
        <v>EDUARDO TIEMPOS LICORERA</v>
      </c>
      <c r="C17" s="181">
        <f>129350+13300</f>
        <v>142650</v>
      </c>
      <c r="D17" s="30">
        <f>600+0</f>
        <v>600</v>
      </c>
      <c r="E17" s="181">
        <f>123350+13800</f>
        <v>137150</v>
      </c>
      <c r="F17" s="30">
        <f>1250+0</f>
        <v>1250</v>
      </c>
      <c r="G17" s="181">
        <f>151000+33100</f>
        <v>184100</v>
      </c>
      <c r="H17" s="30">
        <f>3300+1350</f>
        <v>4650</v>
      </c>
      <c r="J17" s="42">
        <f t="shared" si="3"/>
        <v>463900</v>
      </c>
      <c r="K17" s="42">
        <f t="shared" si="2"/>
        <v>6500</v>
      </c>
    </row>
    <row r="18" spans="1:11">
      <c r="A18" s="47">
        <v>15</v>
      </c>
      <c r="B18" s="179" t="str">
        <f>Vendedor15!$B$2</f>
        <v>EDUARDO PUESTO CENTRO</v>
      </c>
      <c r="C18" s="181">
        <f>32200+25300</f>
        <v>57500</v>
      </c>
      <c r="D18" s="30">
        <f>200+0</f>
        <v>200</v>
      </c>
      <c r="E18" s="181">
        <f>33200+18900</f>
        <v>52100</v>
      </c>
      <c r="F18" s="30">
        <f>5000+200</f>
        <v>5200</v>
      </c>
      <c r="G18" s="181">
        <f>35500+15200</f>
        <v>50700</v>
      </c>
      <c r="H18" s="30">
        <f>200+800</f>
        <v>1000</v>
      </c>
      <c r="J18" s="42">
        <f t="shared" si="3"/>
        <v>160300</v>
      </c>
      <c r="K18" s="42">
        <f t="shared" si="2"/>
        <v>6400</v>
      </c>
    </row>
    <row r="19" spans="1:11" hidden="1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772100</v>
      </c>
      <c r="D32" s="44">
        <f t="shared" si="6"/>
        <v>2750</v>
      </c>
      <c r="E32" s="43">
        <f t="shared" si="6"/>
        <v>546900</v>
      </c>
      <c r="F32" s="44">
        <f t="shared" si="6"/>
        <v>12600</v>
      </c>
      <c r="G32" s="43">
        <f t="shared" si="6"/>
        <v>754750</v>
      </c>
      <c r="H32" s="44">
        <f t="shared" si="6"/>
        <v>10250</v>
      </c>
      <c r="J32" s="96">
        <f>SUM(J4:J31)</f>
        <v>2073750</v>
      </c>
      <c r="K32" s="96"/>
    </row>
    <row r="33" spans="2:8">
      <c r="D33" s="100">
        <f>+D32*85</f>
        <v>233750</v>
      </c>
      <c r="F33" s="100">
        <f>+F32*85</f>
        <v>1071000</v>
      </c>
      <c r="H33" s="100">
        <f>+H32*85</f>
        <v>871250</v>
      </c>
    </row>
    <row r="34" spans="2:8">
      <c r="B34" s="249" t="s">
        <v>149</v>
      </c>
      <c r="C34" s="43">
        <f t="shared" ref="C34:H34" si="7">+C4+C5+C6+C8+C13</f>
        <v>232350</v>
      </c>
      <c r="D34" s="43" t="e">
        <f t="shared" si="7"/>
        <v>#VALUE!</v>
      </c>
      <c r="E34" s="43">
        <f t="shared" si="7"/>
        <v>144200</v>
      </c>
      <c r="F34" s="43" t="e">
        <f t="shared" si="7"/>
        <v>#VALUE!</v>
      </c>
      <c r="G34" s="43">
        <f t="shared" si="7"/>
        <v>242550</v>
      </c>
      <c r="H34" s="43" t="e">
        <f t="shared" si="7"/>
        <v>#VALUE!</v>
      </c>
    </row>
    <row r="35" spans="2:8">
      <c r="B35" s="249" t="s">
        <v>150</v>
      </c>
      <c r="C35" s="43">
        <f>+C11+C14+C15+C17+C18</f>
        <v>312250</v>
      </c>
      <c r="D35" s="43" t="e">
        <f t="shared" ref="D35:H35" si="8">+D11+D14+D15+D17+D18</f>
        <v>#VALUE!</v>
      </c>
      <c r="E35" s="43">
        <f t="shared" si="8"/>
        <v>213450</v>
      </c>
      <c r="F35" s="43" t="e">
        <f t="shared" si="8"/>
        <v>#VALUE!</v>
      </c>
      <c r="G35" s="43">
        <f t="shared" si="8"/>
        <v>292550</v>
      </c>
      <c r="H35" s="43" t="e">
        <f t="shared" si="8"/>
        <v>#VALUE!</v>
      </c>
    </row>
    <row r="36" spans="2:8">
      <c r="B36" s="249" t="s">
        <v>151</v>
      </c>
      <c r="C36" s="43">
        <f>+C10+C12+C27</f>
        <v>205450</v>
      </c>
      <c r="D36" s="43" t="e">
        <f t="shared" ref="D36:H36" si="9">+D10+D12+D27</f>
        <v>#VALUE!</v>
      </c>
      <c r="E36" s="43">
        <f t="shared" si="9"/>
        <v>175150</v>
      </c>
      <c r="F36" s="43" t="e">
        <f t="shared" si="9"/>
        <v>#VALUE!</v>
      </c>
      <c r="G36" s="43">
        <f t="shared" si="9"/>
        <v>199750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>
      <c r="C2" s="268" t="str">
        <f>IF(PREMIOS!$B5="","",PREMIOS!$B5)</f>
        <v>01</v>
      </c>
      <c r="D2" s="269"/>
      <c r="E2" s="268">
        <f>IF(PREMIOS!$B9="","",PREMIOS!$B9)</f>
        <v>18</v>
      </c>
      <c r="F2" s="269"/>
      <c r="G2" s="268">
        <f>IF(PREMIOS!$B13="","",PREMIOS!$B13)</f>
        <v>13</v>
      </c>
      <c r="H2" s="269"/>
      <c r="I2" s="268" t="str">
        <f>IF(PREMIOS!$B17="","",PREMIOS!$B17)</f>
        <v>08</v>
      </c>
      <c r="J2" s="269"/>
    </row>
    <row r="3" spans="1:13" ht="15.75" thickBot="1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>
      <c r="A4" s="188">
        <v>1</v>
      </c>
      <c r="B4" s="189" t="str">
        <f>Vendedor1!$B$2</f>
        <v>VENTANA</v>
      </c>
      <c r="C4" s="190">
        <v>22100</v>
      </c>
      <c r="D4" s="79">
        <v>100</v>
      </c>
      <c r="E4" s="207">
        <v>7350</v>
      </c>
      <c r="F4" s="79">
        <f t="shared" ref="D4:J27" si="0">IF(E4="","",0)</f>
        <v>0</v>
      </c>
      <c r="G4" s="190">
        <v>3600</v>
      </c>
      <c r="H4" s="79">
        <v>300</v>
      </c>
      <c r="I4" s="190">
        <v>6250</v>
      </c>
      <c r="J4" s="79">
        <v>500</v>
      </c>
      <c r="L4" s="42">
        <f t="shared" ref="L4:L8" si="1">+C4+E4+G4+I4</f>
        <v>39300</v>
      </c>
      <c r="M4" s="42">
        <f>IF(D4=0,0,IF(F4="",D4,IF(H4="",D4+F4,IF(J4="",D4+F4+H4,D4+F4+H4+J4))))</f>
        <v>900</v>
      </c>
    </row>
    <row r="5" spans="1:13">
      <c r="A5" s="47">
        <v>2</v>
      </c>
      <c r="B5" s="179" t="str">
        <f>Vendedor2!$B$2</f>
        <v>PUESTO 2</v>
      </c>
      <c r="C5" s="181">
        <v>12450</v>
      </c>
      <c r="D5" s="30">
        <f t="shared" si="0"/>
        <v>0</v>
      </c>
      <c r="E5" s="208">
        <v>7850</v>
      </c>
      <c r="F5" s="30">
        <f t="shared" si="0"/>
        <v>0</v>
      </c>
      <c r="G5" s="181"/>
      <c r="H5" s="30" t="str">
        <f t="shared" ref="H5:H27" si="2">IF(G5="","",0)</f>
        <v/>
      </c>
      <c r="I5" s="181">
        <v>1000</v>
      </c>
      <c r="J5" s="30">
        <f t="shared" ref="J5:J27" si="3">IF(I5="","",0)</f>
        <v>0</v>
      </c>
      <c r="L5" s="42">
        <f t="shared" si="1"/>
        <v>21300</v>
      </c>
      <c r="M5" s="42">
        <f t="shared" ref="M5:M27" si="4">IF(D5=0,0,IF(F5="",D5,IF(H5="",D5+F5,IF(J5="",D5+F5+H5,D5+F5+H5+J5))))</f>
        <v>0</v>
      </c>
    </row>
    <row r="6" spans="1:13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>
      <c r="A8" s="47">
        <v>5</v>
      </c>
      <c r="B8" s="179" t="str">
        <f>Vendedor5!$B$2</f>
        <v>YOYO</v>
      </c>
      <c r="C8" s="181">
        <v>78950</v>
      </c>
      <c r="D8" s="30">
        <v>2200</v>
      </c>
      <c r="E8" s="208">
        <v>63150</v>
      </c>
      <c r="F8" s="30">
        <v>450</v>
      </c>
      <c r="G8" s="181">
        <v>6900</v>
      </c>
      <c r="H8" s="30">
        <f t="shared" si="2"/>
        <v>0</v>
      </c>
      <c r="I8" s="181">
        <v>9200</v>
      </c>
      <c r="J8" s="30">
        <f t="shared" si="0"/>
        <v>0</v>
      </c>
      <c r="L8" s="42">
        <f t="shared" si="1"/>
        <v>158200</v>
      </c>
      <c r="M8" s="42">
        <f t="shared" si="4"/>
        <v>2650</v>
      </c>
    </row>
    <row r="9" spans="1:13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9" t="str">
        <f>Vendedor7!$B$2</f>
        <v>PIKIS</v>
      </c>
      <c r="C10" s="181">
        <f>26600+43050</f>
        <v>69650</v>
      </c>
      <c r="D10" s="30">
        <f>300+700</f>
        <v>1000</v>
      </c>
      <c r="E10" s="208">
        <f>32100+40050</f>
        <v>72150</v>
      </c>
      <c r="F10" s="30">
        <f>200+250</f>
        <v>450</v>
      </c>
      <c r="G10" s="181">
        <v>37550</v>
      </c>
      <c r="H10" s="30">
        <f t="shared" si="0"/>
        <v>0</v>
      </c>
      <c r="I10" s="181">
        <v>110000</v>
      </c>
      <c r="J10" s="30">
        <v>150</v>
      </c>
      <c r="L10" s="42">
        <f t="shared" si="5"/>
        <v>289350</v>
      </c>
      <c r="M10" s="42">
        <f t="shared" si="4"/>
        <v>1600</v>
      </c>
    </row>
    <row r="11" spans="1:13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9" t="str">
        <f>Vendedor9!$B$2</f>
        <v>JUAN FELIX</v>
      </c>
      <c r="C12" s="181">
        <v>48600</v>
      </c>
      <c r="D12" s="30">
        <v>550</v>
      </c>
      <c r="E12" s="208">
        <v>27700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76300</v>
      </c>
      <c r="M12" s="42">
        <f t="shared" si="4"/>
        <v>550</v>
      </c>
    </row>
    <row r="13" spans="1:13">
      <c r="A13" s="47">
        <v>10</v>
      </c>
      <c r="B13" s="179" t="str">
        <f>Vendedor10!$B$2</f>
        <v>MARIALIZ</v>
      </c>
      <c r="C13" s="181">
        <v>32800</v>
      </c>
      <c r="D13" s="30">
        <v>500</v>
      </c>
      <c r="E13" s="208">
        <v>28700</v>
      </c>
      <c r="F13" s="30">
        <f t="shared" si="0"/>
        <v>0</v>
      </c>
      <c r="G13" s="181">
        <v>13300</v>
      </c>
      <c r="H13" s="30">
        <f t="shared" si="0"/>
        <v>0</v>
      </c>
      <c r="I13" s="181">
        <v>3900</v>
      </c>
      <c r="J13" s="30">
        <f t="shared" si="0"/>
        <v>0</v>
      </c>
      <c r="L13" s="42">
        <f t="shared" si="5"/>
        <v>78700</v>
      </c>
      <c r="M13" s="42">
        <f t="shared" si="4"/>
        <v>500</v>
      </c>
    </row>
    <row r="14" spans="1:13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9" t="str">
        <f>Vendedor13!$B$2</f>
        <v>MINERO</v>
      </c>
      <c r="C16" s="181">
        <v>2300</v>
      </c>
      <c r="D16" s="30">
        <f t="shared" si="0"/>
        <v>0</v>
      </c>
      <c r="E16" s="208">
        <v>8000</v>
      </c>
      <c r="F16" s="30">
        <f t="shared" si="0"/>
        <v>0</v>
      </c>
      <c r="G16" s="181">
        <v>2000</v>
      </c>
      <c r="H16" s="30">
        <f t="shared" si="0"/>
        <v>0</v>
      </c>
      <c r="I16" s="181">
        <v>8300</v>
      </c>
      <c r="J16" s="30">
        <f t="shared" si="0"/>
        <v>0</v>
      </c>
      <c r="L16" s="42">
        <f t="shared" si="5"/>
        <v>20600</v>
      </c>
      <c r="M16" s="42">
        <f t="shared" si="4"/>
        <v>0</v>
      </c>
    </row>
    <row r="17" spans="1:13">
      <c r="A17" s="47">
        <v>14</v>
      </c>
      <c r="B17" s="179" t="str">
        <f>Vendedor14!$B$2</f>
        <v>EDUARDO TIEMPOS LICORERA</v>
      </c>
      <c r="C17" s="181">
        <v>121750</v>
      </c>
      <c r="D17" s="30">
        <v>1600</v>
      </c>
      <c r="E17" s="208">
        <v>125850</v>
      </c>
      <c r="F17" s="30">
        <v>500</v>
      </c>
      <c r="G17" s="181">
        <v>78700</v>
      </c>
      <c r="H17" s="30">
        <v>700</v>
      </c>
      <c r="I17" s="181">
        <v>188250</v>
      </c>
      <c r="J17" s="30">
        <v>2950</v>
      </c>
      <c r="L17" s="42">
        <f t="shared" si="5"/>
        <v>514550</v>
      </c>
      <c r="M17" s="42">
        <f t="shared" si="4"/>
        <v>5750</v>
      </c>
    </row>
    <row r="18" spans="1:13">
      <c r="A18" s="47">
        <v>15</v>
      </c>
      <c r="B18" s="179" t="str">
        <f>Vendedor15!$B$2</f>
        <v>EDUARDO PUESTO CENTRO</v>
      </c>
      <c r="C18" s="181">
        <v>38900</v>
      </c>
      <c r="D18" s="30">
        <v>200</v>
      </c>
      <c r="E18" s="208">
        <v>39250</v>
      </c>
      <c r="F18" s="30">
        <v>450</v>
      </c>
      <c r="G18" s="181">
        <v>24500</v>
      </c>
      <c r="H18" s="30">
        <v>650</v>
      </c>
      <c r="I18" s="181">
        <v>13150</v>
      </c>
      <c r="J18" s="30">
        <f t="shared" si="3"/>
        <v>0</v>
      </c>
      <c r="L18" s="42">
        <f t="shared" si="5"/>
        <v>115800</v>
      </c>
      <c r="M18" s="42">
        <f t="shared" si="4"/>
        <v>1300</v>
      </c>
    </row>
    <row r="19" spans="1:13" hidden="1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427500</v>
      </c>
      <c r="D32" s="44">
        <f t="shared" si="7"/>
        <v>6150</v>
      </c>
      <c r="E32" s="43">
        <f t="shared" si="7"/>
        <v>380000</v>
      </c>
      <c r="F32" s="44">
        <f t="shared" si="7"/>
        <v>1850</v>
      </c>
      <c r="G32" s="43">
        <f t="shared" si="7"/>
        <v>166550</v>
      </c>
      <c r="H32" s="44">
        <f t="shared" si="7"/>
        <v>1650</v>
      </c>
      <c r="I32" s="43">
        <f t="shared" si="7"/>
        <v>340050</v>
      </c>
      <c r="J32" s="44">
        <f t="shared" si="7"/>
        <v>3600</v>
      </c>
      <c r="L32" s="96">
        <f>SUM(L9:L31)</f>
        <v>1095300</v>
      </c>
      <c r="M32" s="96">
        <f>SUM(M9:M31)</f>
        <v>9700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45" customHeight="1">
      <c r="C2" s="268" t="str">
        <f>IF(C33=0,"",CONCATENATE(PREMIOS!$B7," ",PREMIOS!$B8))</f>
        <v>26 Blanca</v>
      </c>
      <c r="D2" s="269"/>
      <c r="E2" s="268" t="str">
        <f>IF(E33=0,"",CONCATENATE(PREMIOS!$B11," ",PREMIOS!$B12))</f>
        <v>02 Roja</v>
      </c>
      <c r="F2" s="269"/>
      <c r="G2" s="268" t="str">
        <f>IF(G33=0,"",CONCATENATE(PREMIOS!$B15," ",PREMIOS!$B16))</f>
        <v>04 Blanca</v>
      </c>
      <c r="H2" s="269"/>
    </row>
    <row r="3" spans="1:11" ht="15" customHeight="1" thickBot="1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9" t="str">
        <f>Vendedor7!$B$2</f>
        <v>PIKIS</v>
      </c>
      <c r="C10" s="181">
        <f>10300+9300</f>
        <v>19600</v>
      </c>
      <c r="D10" s="30">
        <f t="shared" si="0"/>
        <v>0</v>
      </c>
      <c r="E10" s="181">
        <v>26400</v>
      </c>
      <c r="F10" s="30">
        <f t="shared" si="0"/>
        <v>0</v>
      </c>
      <c r="G10" s="181">
        <v>25350</v>
      </c>
      <c r="H10" s="30">
        <f t="shared" si="0"/>
        <v>0</v>
      </c>
      <c r="J10" s="42">
        <f t="shared" si="3"/>
        <v>71350</v>
      </c>
      <c r="K10" s="42">
        <f t="shared" si="4"/>
        <v>0</v>
      </c>
    </row>
    <row r="11" spans="1:11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9" t="str">
        <f>Vendedor9!$B$2</f>
        <v>JUAN FELIX</v>
      </c>
      <c r="C12" s="181">
        <v>6000</v>
      </c>
      <c r="D12" s="30">
        <f t="shared" si="0"/>
        <v>0</v>
      </c>
      <c r="E12" s="181">
        <v>4900</v>
      </c>
      <c r="F12" s="30">
        <v>300</v>
      </c>
      <c r="G12" s="181"/>
      <c r="H12" s="30" t="str">
        <f t="shared" si="0"/>
        <v/>
      </c>
      <c r="J12" s="42">
        <f t="shared" si="3"/>
        <v>10900</v>
      </c>
      <c r="K12" s="42">
        <f t="shared" si="4"/>
        <v>300</v>
      </c>
    </row>
    <row r="13" spans="1:11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>
      <c r="A17" s="47">
        <v>14</v>
      </c>
      <c r="B17" s="179" t="str">
        <f>Vendedor14!$B$2</f>
        <v>EDUARDO TIEMPOS LICORERA</v>
      </c>
      <c r="C17" s="181">
        <v>11700</v>
      </c>
      <c r="D17" s="30">
        <f t="shared" si="0"/>
        <v>0</v>
      </c>
      <c r="E17" s="181">
        <v>12100</v>
      </c>
      <c r="F17" s="30">
        <f t="shared" si="0"/>
        <v>0</v>
      </c>
      <c r="G17" s="181">
        <v>31400</v>
      </c>
      <c r="H17" s="30">
        <v>1350</v>
      </c>
      <c r="J17" s="42">
        <f t="shared" si="3"/>
        <v>55200</v>
      </c>
      <c r="K17" s="42">
        <f t="shared" si="4"/>
        <v>1350</v>
      </c>
    </row>
    <row r="18" spans="1:11">
      <c r="A18" s="47">
        <v>15</v>
      </c>
      <c r="B18" s="179" t="str">
        <f>Vendedor15!$B$2</f>
        <v>EDUARDO PUESTO CENTRO</v>
      </c>
      <c r="C18" s="181">
        <v>20100</v>
      </c>
      <c r="D18" s="30">
        <f t="shared" si="0"/>
        <v>0</v>
      </c>
      <c r="E18" s="181">
        <v>9800</v>
      </c>
      <c r="F18" s="30">
        <v>200</v>
      </c>
      <c r="G18" s="181">
        <v>12400</v>
      </c>
      <c r="H18" s="30">
        <v>600</v>
      </c>
      <c r="J18" s="42">
        <f t="shared" si="3"/>
        <v>42300</v>
      </c>
      <c r="K18" s="42">
        <f t="shared" si="4"/>
        <v>800</v>
      </c>
    </row>
    <row r="19" spans="1:11" hidden="1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58400</v>
      </c>
      <c r="D33" s="44">
        <f t="shared" si="7"/>
        <v>0</v>
      </c>
      <c r="E33" s="43">
        <f t="shared" si="7"/>
        <v>53200</v>
      </c>
      <c r="F33" s="44">
        <f t="shared" si="7"/>
        <v>500</v>
      </c>
      <c r="G33" s="43">
        <f t="shared" si="7"/>
        <v>69150</v>
      </c>
      <c r="H33" s="44">
        <f t="shared" si="7"/>
        <v>1950</v>
      </c>
      <c r="J33" s="45">
        <f>SUM(J4:J32)</f>
        <v>180750</v>
      </c>
      <c r="K33" s="96">
        <f>SUM(K4:K32)</f>
        <v>2450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>
      <c r="C2" s="268">
        <f>IF(PREMIOS!$B19="","",PREMIOS!$B19)</f>
        <v>52</v>
      </c>
      <c r="D2" s="269"/>
      <c r="E2" s="268">
        <f>IF(PREMIOS!$C19="","",PREMIOS!$C19)</f>
        <v>79</v>
      </c>
      <c r="F2" s="269"/>
    </row>
    <row r="3" spans="1:9" ht="15.75" thickBot="1">
      <c r="C3" s="268"/>
      <c r="D3" s="269"/>
      <c r="E3" s="268"/>
      <c r="F3" s="269"/>
      <c r="H3" s="39" t="s">
        <v>28</v>
      </c>
      <c r="I3" s="39" t="s">
        <v>77</v>
      </c>
    </row>
    <row r="4" spans="1:9">
      <c r="A4" s="188">
        <v>1</v>
      </c>
      <c r="B4" s="189" t="str">
        <f>Vendedor1!$B$2</f>
        <v>VENTANA</v>
      </c>
      <c r="C4" s="190">
        <v>8300</v>
      </c>
      <c r="D4" s="79">
        <f t="shared" ref="D4:F27" si="0">IF(C4="","",0)</f>
        <v>0</v>
      </c>
      <c r="E4" s="190">
        <v>1500</v>
      </c>
      <c r="F4" s="79">
        <f t="shared" si="0"/>
        <v>0</v>
      </c>
      <c r="H4" s="42">
        <f>+C4+E4</f>
        <v>9800</v>
      </c>
      <c r="I4" s="42">
        <f>IF(D4="",0,IF(F4="",D4,D4+F4))</f>
        <v>0</v>
      </c>
    </row>
    <row r="5" spans="1:9">
      <c r="A5" s="47">
        <v>2</v>
      </c>
      <c r="B5" s="179" t="str">
        <f>Vendedor2!$B$2</f>
        <v>PUESTO 2</v>
      </c>
      <c r="C5" s="181">
        <v>1000</v>
      </c>
      <c r="D5" s="30">
        <f t="shared" si="0"/>
        <v>0</v>
      </c>
      <c r="E5" s="181">
        <v>2000</v>
      </c>
      <c r="F5" s="30">
        <f t="shared" ref="F5:F27" si="1">IF(E5="","",0)</f>
        <v>0</v>
      </c>
      <c r="H5" s="42">
        <f t="shared" ref="H5:H32" si="2">+C5+E5</f>
        <v>3000</v>
      </c>
      <c r="I5" s="42">
        <f t="shared" ref="I5:I27" si="3">IF(D5="",0,IF(F5="",D5,D5+F5))</f>
        <v>0</v>
      </c>
    </row>
    <row r="6" spans="1:9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9" t="str">
        <f>Vendedor5!$B$2</f>
        <v>YOYO</v>
      </c>
      <c r="C8" s="195">
        <v>31800</v>
      </c>
      <c r="D8" s="30">
        <f t="shared" si="0"/>
        <v>0</v>
      </c>
      <c r="E8" s="195">
        <v>25100</v>
      </c>
      <c r="F8" s="196">
        <f t="shared" si="1"/>
        <v>0</v>
      </c>
      <c r="H8" s="42">
        <f t="shared" si="2"/>
        <v>56900</v>
      </c>
      <c r="I8" s="42">
        <f t="shared" si="3"/>
        <v>0</v>
      </c>
    </row>
    <row r="9" spans="1:9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9" t="str">
        <f>Vendedor7!$B$2</f>
        <v>PIKIS</v>
      </c>
      <c r="C10" s="181">
        <v>21250</v>
      </c>
      <c r="D10" s="30">
        <v>200</v>
      </c>
      <c r="E10" s="181">
        <v>39000</v>
      </c>
      <c r="F10" s="196">
        <f t="shared" si="1"/>
        <v>0</v>
      </c>
      <c r="H10" s="42">
        <f t="shared" si="2"/>
        <v>60250</v>
      </c>
      <c r="I10" s="42">
        <f t="shared" si="3"/>
        <v>200</v>
      </c>
    </row>
    <row r="11" spans="1:9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9" t="str">
        <f>Vendedor9!$B$2</f>
        <v>JUAN FELIX</v>
      </c>
      <c r="C12" s="195">
        <v>34550</v>
      </c>
      <c r="D12" s="30">
        <v>300</v>
      </c>
      <c r="E12" s="195"/>
      <c r="F12" s="30" t="str">
        <f t="shared" si="0"/>
        <v/>
      </c>
      <c r="H12" s="42">
        <f t="shared" si="2"/>
        <v>34550</v>
      </c>
      <c r="I12" s="42">
        <f t="shared" si="3"/>
        <v>300</v>
      </c>
    </row>
    <row r="13" spans="1:9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9" t="str">
        <f>Vendedor13!$B$2</f>
        <v>MINERO</v>
      </c>
      <c r="C16" s="195">
        <v>3000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3000</v>
      </c>
      <c r="I16" s="42">
        <f t="shared" si="3"/>
        <v>0</v>
      </c>
    </row>
    <row r="17" spans="1:9">
      <c r="A17" s="47">
        <v>14</v>
      </c>
      <c r="B17" s="179" t="str">
        <f>Vendedor14!$B$2</f>
        <v>EDUARDO TIEMPOS LICORERA</v>
      </c>
      <c r="C17" s="181">
        <v>79150</v>
      </c>
      <c r="D17" s="196">
        <v>100</v>
      </c>
      <c r="E17" s="181">
        <v>45200</v>
      </c>
      <c r="F17" s="30">
        <f t="shared" si="0"/>
        <v>0</v>
      </c>
      <c r="H17" s="42">
        <f t="shared" si="2"/>
        <v>124350</v>
      </c>
      <c r="I17" s="42">
        <f t="shared" si="3"/>
        <v>100</v>
      </c>
    </row>
    <row r="18" spans="1:9">
      <c r="A18" s="47">
        <v>15</v>
      </c>
      <c r="B18" s="179" t="str">
        <f>Vendedor15!$B$2</f>
        <v>EDUARDO PUESTO CENTRO</v>
      </c>
      <c r="C18" s="181">
        <v>40350</v>
      </c>
      <c r="D18" s="196">
        <f t="shared" si="0"/>
        <v>0</v>
      </c>
      <c r="E18" s="181">
        <v>16400</v>
      </c>
      <c r="F18" s="30">
        <v>100</v>
      </c>
      <c r="H18" s="42">
        <f t="shared" si="2"/>
        <v>56750</v>
      </c>
      <c r="I18" s="42">
        <f t="shared" si="3"/>
        <v>100</v>
      </c>
    </row>
    <row r="19" spans="1:9" hidden="1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.75" thickBot="1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>
      <c r="C33" s="43">
        <f>SUM(C4:C32)</f>
        <v>219400</v>
      </c>
      <c r="D33" s="44">
        <f>SUM(D4:D32)</f>
        <v>600</v>
      </c>
      <c r="E33" s="43">
        <f>SUM(E4:E32)</f>
        <v>129200</v>
      </c>
      <c r="F33" s="44">
        <f>SUM(F4:F32)</f>
        <v>100</v>
      </c>
      <c r="H33" s="96">
        <f>SUM(H4:H32)</f>
        <v>348600</v>
      </c>
      <c r="I33" s="96">
        <f>SUM(I4:I32)</f>
        <v>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G18" sqref="G18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>
      <c r="C2" s="268" t="str">
        <f>IF(PREMIOS!$B20="","",PREMIOS!$B20)</f>
        <v>08</v>
      </c>
      <c r="D2" s="269"/>
      <c r="E2" s="268" t="str">
        <f>IF(PREMIOS!$C20="","",PREMIOS!$C20)</f>
        <v>09</v>
      </c>
      <c r="F2" s="269"/>
      <c r="G2" s="268">
        <f>IF(PREMIOS!$D20="","",PREMIOS!$D20)</f>
        <v>50</v>
      </c>
      <c r="H2" s="269"/>
    </row>
    <row r="3" spans="1:11" ht="15.75" thickBot="1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9" t="str">
        <f>Vendedor7!$B$2</f>
        <v>PIKIS</v>
      </c>
      <c r="C10" s="181">
        <f>14500+1000</f>
        <v>15500</v>
      </c>
      <c r="D10" s="196">
        <f t="shared" si="0"/>
        <v>0</v>
      </c>
      <c r="E10" s="181">
        <f>1000+1600</f>
        <v>2600</v>
      </c>
      <c r="F10" s="30">
        <v>100</v>
      </c>
      <c r="G10" s="181">
        <v>24600</v>
      </c>
      <c r="H10" s="196">
        <v>2100</v>
      </c>
      <c r="J10" s="42">
        <f t="shared" si="3"/>
        <v>42700</v>
      </c>
      <c r="K10" s="42">
        <f t="shared" si="4"/>
        <v>2200</v>
      </c>
    </row>
    <row r="11" spans="1:11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9" t="str">
        <f>Vendedor14!$B$2</f>
        <v>EDUARDO TIEMPOS LICORERA</v>
      </c>
      <c r="C17" s="195">
        <v>59250</v>
      </c>
      <c r="D17" s="196">
        <v>350</v>
      </c>
      <c r="E17" s="195">
        <v>20150</v>
      </c>
      <c r="F17" s="196">
        <v>1000</v>
      </c>
      <c r="G17" s="195">
        <v>35800</v>
      </c>
      <c r="H17" s="196">
        <v>1150</v>
      </c>
      <c r="J17" s="42">
        <f t="shared" si="3"/>
        <v>115200</v>
      </c>
      <c r="K17" s="42">
        <f t="shared" si="4"/>
        <v>2500</v>
      </c>
    </row>
    <row r="18" spans="1:11">
      <c r="A18" s="47">
        <v>15</v>
      </c>
      <c r="B18" s="179" t="str">
        <f>Vendedor15!$B$2</f>
        <v>EDUARDO PUESTO CENTRO</v>
      </c>
      <c r="C18" s="181">
        <v>1900</v>
      </c>
      <c r="D18" s="196">
        <f t="shared" si="0"/>
        <v>0</v>
      </c>
      <c r="E18" s="181">
        <v>1200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3100</v>
      </c>
      <c r="K18" s="42">
        <f t="shared" si="4"/>
        <v>0</v>
      </c>
    </row>
    <row r="19" spans="1:11" hidden="1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76650</v>
      </c>
      <c r="D33" s="44">
        <f t="shared" si="6"/>
        <v>350</v>
      </c>
      <c r="E33" s="43">
        <f t="shared" si="6"/>
        <v>23950</v>
      </c>
      <c r="F33" s="44">
        <f t="shared" si="6"/>
        <v>1100</v>
      </c>
      <c r="G33" s="43">
        <f t="shared" si="6"/>
        <v>60400</v>
      </c>
      <c r="H33" s="44">
        <f t="shared" si="6"/>
        <v>3250</v>
      </c>
      <c r="J33" s="45">
        <f>SUM(J4:J32)</f>
        <v>161000</v>
      </c>
      <c r="K33" s="96">
        <f>SUM(K4:K32)</f>
        <v>4700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>
      <c r="C2" s="268">
        <f>IF(PREMIOS!$B21="","",PREMIOS!$B21)</f>
        <v>41</v>
      </c>
      <c r="D2" s="269"/>
      <c r="E2" s="268">
        <f>IF(PREMIOS!$C21="","",PREMIOS!$C21)</f>
        <v>84</v>
      </c>
      <c r="F2" s="269"/>
    </row>
    <row r="3" spans="1:9" ht="15.75" thickBot="1">
      <c r="C3" s="268"/>
      <c r="D3" s="269"/>
      <c r="E3" s="268"/>
      <c r="F3" s="269"/>
      <c r="H3" s="39" t="s">
        <v>28</v>
      </c>
      <c r="I3" s="39" t="s">
        <v>77</v>
      </c>
    </row>
    <row r="4" spans="1:9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9" t="str">
        <f>Vendedor7!$B$2</f>
        <v>PIKIS</v>
      </c>
      <c r="C10" s="181">
        <v>46950</v>
      </c>
      <c r="D10" s="30">
        <f t="shared" si="0"/>
        <v>0</v>
      </c>
      <c r="E10" s="181">
        <v>49000</v>
      </c>
      <c r="F10" s="30">
        <f t="shared" si="0"/>
        <v>0</v>
      </c>
      <c r="H10" s="42">
        <f t="shared" si="2"/>
        <v>95950</v>
      </c>
      <c r="I10" s="42">
        <f t="shared" si="3"/>
        <v>0</v>
      </c>
    </row>
    <row r="11" spans="1:9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46950</v>
      </c>
      <c r="D33" s="44">
        <f>SUM(D4:D32)</f>
        <v>0</v>
      </c>
      <c r="E33" s="43">
        <f>SUM(E4:E32)</f>
        <v>49000</v>
      </c>
      <c r="F33" s="44">
        <f>SUM(F4:F32)</f>
        <v>0</v>
      </c>
      <c r="H33" s="45">
        <f>SUM(H4:H32)</f>
        <v>95950</v>
      </c>
      <c r="I33" s="96">
        <f>SUM(I4:I32)</f>
        <v>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80" t="s">
        <v>38</v>
      </c>
      <c r="B1" s="80"/>
      <c r="C1" s="272" t="s">
        <v>109</v>
      </c>
      <c r="D1" s="273"/>
    </row>
    <row r="2" spans="1:4">
      <c r="C2" s="268" t="str">
        <f>IF(PREMIOS!$B22="","",PREMIOS!$B22)</f>
        <v/>
      </c>
      <c r="D2" s="269"/>
    </row>
    <row r="3" spans="1:4" ht="15.75" thickBot="1">
      <c r="C3" s="268"/>
      <c r="D3" s="269"/>
    </row>
    <row r="4" spans="1:4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.75" thickBot="1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>
      <c r="A28" s="187">
        <v>25</v>
      </c>
      <c r="B28" s="180" t="str">
        <f>Vendedor25!$B$2</f>
        <v>Vendedor 25</v>
      </c>
      <c r="C28" s="180"/>
      <c r="D28" s="180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2026-03-25T20:35:41Z</dcterms:modified>
  <dc:language>es-CR</dc:language>
</cp:coreProperties>
</file>
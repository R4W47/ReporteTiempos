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3- CUENTAS DIARIAS MARZO/"/>
    </mc:Choice>
  </mc:AlternateContent>
  <xr:revisionPtr revIDLastSave="1" documentId="13_ncr:1_{E2B6318D-F27E-49E2-9D1B-A088ECB17072}" xr6:coauthVersionLast="47" xr6:coauthVersionMax="47" xr10:uidLastSave="{EF8A9C1A-F96B-43FA-BB10-C05171749C61}"/>
  <bookViews>
    <workbookView xWindow="-110" yWindow="-110" windowWidth="19420" windowHeight="10300" tabRatio="692" firstSheet="1" activeTab="1" xr2:uid="{00000000-000D-0000-FFFF-FFFF00000000}"/>
  </bookViews>
  <sheets>
    <sheet name="DigitaTICA (2)" sheetId="75" r:id="rId1"/>
    <sheet name="Resumen" sheetId="1" r:id="rId2"/>
    <sheet name="PREMIOS" sheetId="2" r:id="rId3"/>
    <sheet name="HojaTICA" sheetId="58" r:id="rId4"/>
    <sheet name="HojaNICA" sheetId="59" r:id="rId5"/>
    <sheet name="HojaREVENTADO" sheetId="52" r:id="rId6"/>
    <sheet name="HojaPrimera" sheetId="70" r:id="rId7"/>
    <sheet name="HojaHonduras" sheetId="71" r:id="rId8"/>
    <sheet name="HojaDominicana" sheetId="72" r:id="rId9"/>
    <sheet name="HojaPANA" sheetId="73" r:id="rId10"/>
    <sheet name="Cta ALI" sheetId="74" r:id="rId11"/>
    <sheet name="Ctas Banca" sheetId="69" r:id="rId12"/>
    <sheet name="Vendedor1" sheetId="6" r:id="rId13"/>
    <sheet name="Vendedor2" sheetId="7" r:id="rId14"/>
    <sheet name="Vendedor3" sheetId="17" r:id="rId15"/>
    <sheet name="Vendedor4" sheetId="25" r:id="rId16"/>
    <sheet name="Vendedor5" sheetId="22" r:id="rId17"/>
    <sheet name="Vendedor6" sheetId="23" r:id="rId18"/>
    <sheet name="Vendedor7" sheetId="21" r:id="rId19"/>
    <sheet name="Vendedor8" sheetId="16" r:id="rId20"/>
    <sheet name="Vendedor9" sheetId="14" r:id="rId21"/>
    <sheet name="Vendedor10" sheetId="24" r:id="rId22"/>
    <sheet name="Vendedor11" sheetId="10" r:id="rId23"/>
    <sheet name="Vendedor12" sheetId="13" r:id="rId24"/>
    <sheet name="Vendedor13" sheetId="15" r:id="rId25"/>
    <sheet name="Vendedor14" sheetId="8" r:id="rId26"/>
    <sheet name="Vendedor15" sheetId="19" r:id="rId27"/>
    <sheet name="Vendedor16" sheetId="20" r:id="rId28"/>
    <sheet name="Vendedor17" sheetId="18" r:id="rId29"/>
    <sheet name="Vendedor18" sheetId="9" r:id="rId30"/>
    <sheet name="Vendedor19" sheetId="11" r:id="rId31"/>
    <sheet name="Vendedor20" sheetId="12" r:id="rId32"/>
    <sheet name="Vendedor21" sheetId="26" r:id="rId33"/>
    <sheet name="Vendedor22" sheetId="27" r:id="rId34"/>
    <sheet name="Vendedor23" sheetId="28" r:id="rId35"/>
    <sheet name="Vendedor24" sheetId="29" r:id="rId36"/>
    <sheet name="Vendedor25" sheetId="30" r:id="rId37"/>
    <sheet name="Vendedor26" sheetId="31" r:id="rId38"/>
    <sheet name="Vendedor27" sheetId="32" r:id="rId39"/>
    <sheet name="Vendedor28" sheetId="33" r:id="rId40"/>
    <sheet name="Vendedor29" sheetId="34" r:id="rId41"/>
    <sheet name="DigitaTICA" sheetId="60" r:id="rId42"/>
    <sheet name="DigitaNICA" sheetId="61" r:id="rId43"/>
    <sheet name="DigitaREVENTADO" sheetId="62" r:id="rId44"/>
    <sheet name="DigitaPRIMERA" sheetId="65" r:id="rId45"/>
    <sheet name="DigitaHONDURAS" sheetId="64" r:id="rId46"/>
    <sheet name="DigitaDOMINICANA" sheetId="66" r:id="rId47"/>
    <sheet name="DigitaPANAMENA" sheetId="68" r:id="rId48"/>
  </sheets>
  <definedNames>
    <definedName name="_xlnm._FilterDatabase" localSheetId="2" hidden="1">PREMIOS!$J$5:$J$8</definedName>
    <definedName name="_xlnm.Criteria" localSheetId="2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I5" i="69"/>
  <c r="K12" i="69"/>
  <c r="H17" i="60"/>
  <c r="G17" i="60"/>
  <c r="G18" i="60"/>
  <c r="E18" i="60"/>
  <c r="F17" i="60"/>
  <c r="E17" i="60"/>
  <c r="E10" i="61" l="1"/>
  <c r="C10" i="62" l="1"/>
  <c r="E11" i="75"/>
  <c r="E10" i="75"/>
  <c r="E9" i="75"/>
  <c r="E8" i="75"/>
  <c r="E5" i="75"/>
  <c r="E4" i="75"/>
  <c r="D13" i="75"/>
  <c r="C13" i="75"/>
  <c r="B13" i="75"/>
  <c r="D12" i="75"/>
  <c r="C12" i="75"/>
  <c r="B12" i="75"/>
  <c r="B10" i="75"/>
  <c r="B9" i="75"/>
  <c r="D7" i="75"/>
  <c r="E7" i="75" s="1"/>
  <c r="D6" i="75"/>
  <c r="C6" i="75"/>
  <c r="C2" i="75"/>
  <c r="D10" i="60"/>
  <c r="C10" i="60"/>
  <c r="D17" i="60"/>
  <c r="C17" i="60"/>
  <c r="D18" i="60"/>
  <c r="C18" i="60"/>
  <c r="B11" i="75"/>
  <c r="E13" i="75" l="1"/>
  <c r="E6" i="75"/>
  <c r="E12" i="75"/>
  <c r="C14" i="75"/>
  <c r="D18" i="75" s="1"/>
  <c r="D14" i="75"/>
  <c r="D11" i="65"/>
  <c r="D9" i="61"/>
  <c r="D8" i="61"/>
  <c r="C23" i="15"/>
  <c r="G16" i="71" s="1"/>
  <c r="C22" i="15"/>
  <c r="D22" i="15" s="1"/>
  <c r="C21" i="15"/>
  <c r="C16" i="71" s="1"/>
  <c r="H16" i="64"/>
  <c r="E23" i="15" s="1"/>
  <c r="D16" i="64"/>
  <c r="E21" i="15" s="1"/>
  <c r="B5" i="75"/>
  <c r="B4" i="75"/>
  <c r="B2" i="23"/>
  <c r="B2" i="22"/>
  <c r="B2" i="25"/>
  <c r="B8" i="75"/>
  <c r="B6" i="7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B7" i="75"/>
  <c r="F14" i="19"/>
  <c r="F10" i="19"/>
  <c r="F6" i="19"/>
  <c r="F14" i="8"/>
  <c r="F10" i="8"/>
  <c r="F6" i="8"/>
  <c r="H12" i="69"/>
  <c r="H9" i="69"/>
  <c r="H16" i="71" l="1"/>
  <c r="F23" i="15"/>
  <c r="D23" i="15"/>
  <c r="E16" i="71"/>
  <c r="E14" i="75"/>
  <c r="D19" i="75"/>
  <c r="D20" i="75" s="1"/>
  <c r="D15" i="75"/>
  <c r="F21" i="15"/>
  <c r="D16" i="71"/>
  <c r="D21" i="15"/>
  <c r="G23" i="15"/>
  <c r="K8" i="15"/>
  <c r="K15" i="15"/>
  <c r="J8" i="15"/>
  <c r="G36" i="60" l="1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1" i="61"/>
  <c r="D7" i="61"/>
  <c r="D6" i="61"/>
  <c r="D26" i="60"/>
  <c r="D25" i="60"/>
  <c r="D24" i="60"/>
  <c r="D23" i="60"/>
  <c r="D22" i="60"/>
  <c r="D21" i="60"/>
  <c r="D20" i="60"/>
  <c r="D19" i="60"/>
  <c r="D15" i="60"/>
  <c r="D11" i="60"/>
  <c r="E7" i="16" s="1"/>
  <c r="D36" i="60"/>
  <c r="D9" i="60"/>
  <c r="D8" i="60"/>
  <c r="D7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17" i="65"/>
  <c r="F8" i="65"/>
  <c r="D5" i="61"/>
  <c r="F16" i="61"/>
  <c r="D6" i="60"/>
  <c r="F16" i="60"/>
  <c r="F15" i="60"/>
  <c r="F14" i="60"/>
  <c r="F12" i="60"/>
  <c r="F11" i="60"/>
  <c r="F9" i="60"/>
  <c r="F8" i="60"/>
  <c r="F7" i="60"/>
  <c r="F6" i="60"/>
  <c r="F4" i="60"/>
  <c r="H16" i="60"/>
  <c r="H15" i="60"/>
  <c r="H12" i="60"/>
  <c r="H11" i="60"/>
  <c r="H9" i="60"/>
  <c r="H8" i="60"/>
  <c r="H7" i="60"/>
  <c r="H6" i="60"/>
  <c r="F18" i="21"/>
  <c r="F14" i="21"/>
  <c r="F10" i="21"/>
  <c r="F6" i="21"/>
  <c r="F16" i="65"/>
  <c r="F15" i="65"/>
  <c r="F14" i="65"/>
  <c r="F13" i="65"/>
  <c r="F12" i="65"/>
  <c r="D16" i="62"/>
  <c r="D15" i="62"/>
  <c r="D14" i="62"/>
  <c r="D13" i="62"/>
  <c r="D12" i="62"/>
  <c r="D11" i="62"/>
  <c r="J16" i="61"/>
  <c r="J15" i="61"/>
  <c r="J14" i="61"/>
  <c r="J13" i="61"/>
  <c r="J12" i="61"/>
  <c r="J11" i="61"/>
  <c r="J9" i="61"/>
  <c r="J8" i="61"/>
  <c r="J7" i="61"/>
  <c r="F15" i="61"/>
  <c r="F14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H34" i="60" l="1"/>
  <c r="F34" i="60"/>
  <c r="F35" i="60"/>
  <c r="D35" i="60"/>
  <c r="D34" i="60"/>
  <c r="J8" i="14"/>
  <c r="D21" i="14"/>
  <c r="C12" i="71"/>
  <c r="D22" i="14"/>
  <c r="G12" i="71"/>
  <c r="E19" i="16"/>
  <c r="D20" i="16"/>
  <c r="F18" i="64"/>
  <c r="E11" i="16"/>
  <c r="H17" i="64"/>
  <c r="F10" i="65"/>
  <c r="F4" i="65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6" i="62"/>
  <c r="H15" i="62"/>
  <c r="H14" i="62"/>
  <c r="H13" i="62"/>
  <c r="H12" i="62"/>
  <c r="H11" i="62"/>
  <c r="E16" i="16" s="1"/>
  <c r="H10" i="62"/>
  <c r="H16" i="61"/>
  <c r="H15" i="61"/>
  <c r="H14" i="61"/>
  <c r="H13" i="61"/>
  <c r="H12" i="61"/>
  <c r="H11" i="61"/>
  <c r="E13" i="16" s="1"/>
  <c r="H18" i="60"/>
  <c r="H35" i="60" s="1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7" i="23" l="1"/>
  <c r="J4" i="14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28" i="73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6" i="73"/>
  <c r="F22" i="73"/>
  <c r="F16" i="73"/>
  <c r="F15" i="73"/>
  <c r="F14" i="73"/>
  <c r="G14" i="73" s="1"/>
  <c r="L14" i="73" s="1"/>
  <c r="F13" i="73"/>
  <c r="F12" i="73"/>
  <c r="F11" i="73"/>
  <c r="G11" i="73" s="1"/>
  <c r="L11" i="73" s="1"/>
  <c r="F9" i="73"/>
  <c r="F8" i="73"/>
  <c r="F7" i="73"/>
  <c r="F6" i="73"/>
  <c r="F5" i="73"/>
  <c r="F4" i="73"/>
  <c r="D31" i="73"/>
  <c r="C31" i="73"/>
  <c r="F31" i="73" s="1"/>
  <c r="B31" i="73"/>
  <c r="D30" i="73"/>
  <c r="H30" i="73" s="1"/>
  <c r="I30" i="73" s="1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L26" i="73"/>
  <c r="D26" i="73"/>
  <c r="H26" i="73" s="1"/>
  <c r="I26" i="73" s="1"/>
  <c r="C26" i="73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F24" i="73" s="1"/>
  <c r="B24" i="73"/>
  <c r="D23" i="73"/>
  <c r="H23" i="73" s="1"/>
  <c r="I23" i="73" s="1"/>
  <c r="C23" i="73"/>
  <c r="F23" i="73" s="1"/>
  <c r="B23" i="73"/>
  <c r="D22" i="73"/>
  <c r="H22" i="73" s="1"/>
  <c r="I22" i="73" s="1"/>
  <c r="C22" i="73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G15" i="73"/>
  <c r="L15" i="73" s="1"/>
  <c r="B15" i="73"/>
  <c r="B14" i="73"/>
  <c r="B13" i="73"/>
  <c r="B12" i="73"/>
  <c r="B10" i="73"/>
  <c r="G8" i="73"/>
  <c r="L8" i="73" s="1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H31" i="72" s="1"/>
  <c r="B31" i="72"/>
  <c r="F30" i="72"/>
  <c r="E30" i="72"/>
  <c r="D30" i="72"/>
  <c r="C30" i="72"/>
  <c r="H30" i="72" s="1"/>
  <c r="B30" i="72"/>
  <c r="J29" i="72"/>
  <c r="K29" i="72" s="1"/>
  <c r="F29" i="72"/>
  <c r="E29" i="72"/>
  <c r="D29" i="72"/>
  <c r="C29" i="72"/>
  <c r="H29" i="72" s="1"/>
  <c r="I29" i="72" s="1"/>
  <c r="B29" i="72"/>
  <c r="F28" i="72"/>
  <c r="J28" i="72" s="1"/>
  <c r="K28" i="72" s="1"/>
  <c r="E28" i="72"/>
  <c r="D28" i="72"/>
  <c r="C28" i="72"/>
  <c r="H28" i="72" s="1"/>
  <c r="B28" i="72"/>
  <c r="B27" i="72"/>
  <c r="F26" i="72"/>
  <c r="E26" i="72"/>
  <c r="H26" i="72" s="1"/>
  <c r="N26" i="72" s="1"/>
  <c r="D26" i="72"/>
  <c r="C26" i="72"/>
  <c r="B26" i="72"/>
  <c r="F25" i="72"/>
  <c r="J25" i="72" s="1"/>
  <c r="K25" i="72" s="1"/>
  <c r="E25" i="72"/>
  <c r="H25" i="72" s="1"/>
  <c r="D25" i="72"/>
  <c r="C25" i="72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J23" i="72" s="1"/>
  <c r="K23" i="72" s="1"/>
  <c r="C23" i="72"/>
  <c r="B23" i="72"/>
  <c r="F22" i="72"/>
  <c r="E22" i="72"/>
  <c r="D22" i="72"/>
  <c r="C22" i="72"/>
  <c r="H22" i="72" s="1"/>
  <c r="B22" i="72"/>
  <c r="F21" i="72"/>
  <c r="J21" i="72" s="1"/>
  <c r="K21" i="72" s="1"/>
  <c r="E21" i="72"/>
  <c r="D21" i="72"/>
  <c r="C21" i="72"/>
  <c r="H21" i="72" s="1"/>
  <c r="B21" i="72"/>
  <c r="F20" i="72"/>
  <c r="E20" i="72"/>
  <c r="D20" i="72"/>
  <c r="J20" i="72" s="1"/>
  <c r="K20" i="72" s="1"/>
  <c r="C20" i="72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N15" i="72" s="1"/>
  <c r="B15" i="72"/>
  <c r="J14" i="72"/>
  <c r="K14" i="72" s="1"/>
  <c r="I14" i="72"/>
  <c r="H14" i="72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I7" i="72"/>
  <c r="H7" i="72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I25" i="66" s="1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4" i="66"/>
  <c r="I23" i="66"/>
  <c r="I22" i="66"/>
  <c r="I21" i="66"/>
  <c r="I19" i="66"/>
  <c r="I16" i="66"/>
  <c r="I15" i="66"/>
  <c r="I14" i="66"/>
  <c r="I13" i="66"/>
  <c r="I12" i="66"/>
  <c r="I11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J23" i="70" s="1"/>
  <c r="K23" i="70" s="1"/>
  <c r="C23" i="70"/>
  <c r="H23" i="70" s="1"/>
  <c r="B23" i="70"/>
  <c r="F22" i="70"/>
  <c r="E22" i="70"/>
  <c r="D22" i="70"/>
  <c r="C22" i="70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E20" i="7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I21" i="72"/>
  <c r="N21" i="72" s="1"/>
  <c r="F25" i="29"/>
  <c r="F27" i="72"/>
  <c r="I25" i="72"/>
  <c r="N25" i="72" s="1"/>
  <c r="L7" i="23"/>
  <c r="J22" i="70"/>
  <c r="K22" i="70" s="1"/>
  <c r="D26" i="21"/>
  <c r="J10" i="21"/>
  <c r="C17" i="73"/>
  <c r="F17" i="73" s="1"/>
  <c r="J10" i="8"/>
  <c r="D26" i="19"/>
  <c r="J10" i="19"/>
  <c r="F25" i="19"/>
  <c r="F18" i="72"/>
  <c r="L28" i="71"/>
  <c r="M28" i="71" s="1"/>
  <c r="E27" i="72"/>
  <c r="J29" i="64"/>
  <c r="L25" i="71"/>
  <c r="M25" i="71" s="1"/>
  <c r="J31" i="72"/>
  <c r="K31" i="72" s="1"/>
  <c r="J21" i="70"/>
  <c r="K21" i="70" s="1"/>
  <c r="L22" i="71"/>
  <c r="M22" i="71" s="1"/>
  <c r="H23" i="72"/>
  <c r="J30" i="72"/>
  <c r="K30" i="72" s="1"/>
  <c r="K28" i="70"/>
  <c r="D17" i="72"/>
  <c r="J32" i="64"/>
  <c r="L6" i="6"/>
  <c r="K20" i="19"/>
  <c r="K9" i="19"/>
  <c r="L9" i="19"/>
  <c r="J29" i="71"/>
  <c r="J22" i="72"/>
  <c r="K22" i="72" s="1"/>
  <c r="J31" i="64"/>
  <c r="E33" i="66"/>
  <c r="H22" i="70"/>
  <c r="J25" i="70"/>
  <c r="K25" i="70" s="1"/>
  <c r="J26" i="71"/>
  <c r="L29" i="71"/>
  <c r="M29" i="71" s="1"/>
  <c r="H20" i="72"/>
  <c r="J26" i="72"/>
  <c r="K26" i="72" s="1"/>
  <c r="D18" i="72"/>
  <c r="F16" i="71"/>
  <c r="L16" i="71" s="1"/>
  <c r="M16" i="71" s="1"/>
  <c r="F22" i="15"/>
  <c r="L8" i="15" s="1"/>
  <c r="G22" i="15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N27" i="71" s="1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L27" i="71" l="1"/>
  <c r="M27" i="71" s="1"/>
  <c r="N27" i="72"/>
  <c r="K21" i="19"/>
  <c r="K10" i="19"/>
  <c r="L27" i="70"/>
  <c r="K21" i="8"/>
  <c r="K10" i="8"/>
  <c r="K20" i="21"/>
  <c r="K10" i="2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M24" i="52" s="1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M21" i="52" s="1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L6" i="23" s="1"/>
  <c r="E7" i="23"/>
  <c r="F7" i="23" s="1"/>
  <c r="L4" i="23" s="1"/>
  <c r="E5" i="23"/>
  <c r="F5" i="23" s="1"/>
  <c r="C17" i="23"/>
  <c r="C16" i="23"/>
  <c r="C15" i="23"/>
  <c r="C13" i="23"/>
  <c r="G9" i="59" s="1"/>
  <c r="C12" i="23"/>
  <c r="C11" i="23"/>
  <c r="C9" i="23"/>
  <c r="C8" i="23"/>
  <c r="J6" i="23" s="1"/>
  <c r="C7" i="23"/>
  <c r="J4" i="23" s="1"/>
  <c r="C5" i="23"/>
  <c r="L5" i="23" l="1"/>
  <c r="M22" i="52"/>
  <c r="F17" i="52"/>
  <c r="F12" i="8"/>
  <c r="M26" i="52"/>
  <c r="J5" i="23"/>
  <c r="M23" i="52"/>
  <c r="J5" i="19"/>
  <c r="C24" i="15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9" s="1"/>
  <c r="G7" i="20"/>
  <c r="D7" i="20"/>
  <c r="D19" i="58"/>
  <c r="F7" i="20"/>
  <c r="D27" i="52"/>
  <c r="M27" i="52" s="1"/>
  <c r="D8" i="29"/>
  <c r="G8" i="29"/>
  <c r="C27" i="58"/>
  <c r="D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K6" i="23" s="1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L6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I28" i="61"/>
  <c r="H28" i="61"/>
  <c r="G28" i="61"/>
  <c r="G32" i="61" s="1"/>
  <c r="F28" i="61"/>
  <c r="E28" i="61"/>
  <c r="E32" i="61" s="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H32" i="61" l="1"/>
  <c r="E32" i="60"/>
  <c r="J32" i="61"/>
  <c r="I32" i="61"/>
  <c r="G32" i="60"/>
  <c r="F24" i="15"/>
  <c r="H32" i="60"/>
  <c r="H33" i="60" s="1"/>
  <c r="K5" i="23"/>
  <c r="J19" i="70"/>
  <c r="K19" i="70" s="1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K6" i="22" s="1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D39" i="60" l="1"/>
  <c r="M4" i="52"/>
  <c r="R29" i="59"/>
  <c r="M6" i="52"/>
  <c r="M5" i="52"/>
  <c r="K6" i="25"/>
  <c r="D40" i="60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0" i="58" l="1"/>
  <c r="P25" i="58"/>
  <c r="P23" i="58"/>
  <c r="P22" i="58"/>
  <c r="P21" i="58"/>
  <c r="P24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5" i="52"/>
  <c r="C24" i="1" s="1"/>
  <c r="B24" i="1"/>
  <c r="K22" i="52"/>
  <c r="C21" i="1" s="1"/>
  <c r="B21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4" i="52"/>
  <c r="C3" i="1" s="1"/>
  <c r="B3" i="1"/>
  <c r="K21" i="52"/>
  <c r="C20" i="1" s="1"/>
  <c r="B20" i="1"/>
  <c r="K6" i="52"/>
  <c r="C5" i="1" s="1"/>
  <c r="B5" i="1"/>
  <c r="K23" i="52"/>
  <c r="C22" i="1" s="1"/>
  <c r="B22" i="1"/>
  <c r="K20" i="52"/>
  <c r="C19" i="1" s="1"/>
  <c r="B19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4" i="52" l="1"/>
  <c r="D3" i="1"/>
  <c r="F3" i="1" s="1"/>
  <c r="Q5" i="52"/>
  <c r="D4" i="1"/>
  <c r="F4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<sst xmlns="http://schemas.openxmlformats.org/spreadsheetml/2006/main" count="1296" uniqueCount="162">
  <si>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</si>
  <si>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</si>
  <si>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</si>
  <si>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</si>
  <si>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</si>
  <si>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</si>
  <si>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</si>
  <si>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</si>
  <si>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</si>
  <si>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</si>
  <si>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</si>
  <si>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</si>
  <si>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</si>
  <si>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</si>
  <si>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</si>
  <si>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</si>
  <si>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</si>
  <si>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</si>
  <si>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</si>
  <si>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</si>
  <si>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</si>
  <si>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</si>
  <si>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</si>
  <si>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</si>
  <si>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</si>
  <si>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</si>
  <si>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</si>
  <si>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</si>
  <si>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</si>
  <si>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</si>
  <si>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</si>
  <si>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</si>
  <si>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</si>
  <si>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</si>
  <si>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</si>
  <si>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</si>
  <si>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</si>
  <si>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</si>
  <si>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</si>
  <si>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</si>
  <si>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</si>
  <si>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</si>
  <si>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</si>
  <si>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</si>
  <si>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</si>
  <si>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</si>
  <si>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</si>
  <si>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</si>
  <si>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</si>
  <si>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</si>
  <si>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</si>
  <si>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</si>
  <si>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</si>
  <si>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</si>
  <si>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</si>
  <si>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</si>
  <si>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</si>
  <si>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</si>
  <si>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</si>
  <si>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</si>
  <si>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</si>
  <si>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</si>
  <si>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</si>
  <si>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</si>
  <si>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</si>
  <si>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</si>
  <si>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</si>
  <si>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</si>
  <si>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</si>
  <si>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</si>
  <si>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</si>
  <si>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</si>
  <si>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</si>
  <si>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</si>
  <si>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</si>
  <si>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</si>
  <si>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</si>
  <si>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</si>
  <si>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</si>
  <si>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</si>
  <si>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</si>
  <si>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</si>
  <si>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</si>
  <si>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</si>
  <si>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</si>
  <si>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</si>
  <si>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</si>
  <si>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</si>
  <si>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</si>
  <si>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</si>
  <si>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</si>
  <si>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</si>
  <si>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</si>
  <si>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</si>
  <si>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</si>
  <si>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</si>
  <si>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</si>
  <si>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</si>
  <si>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</si>
  <si>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</si>
  <si>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</si>
  <si>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</si>
  <si>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</si>
  <si>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</si>
  <si>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</si>
  <si>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</si>
  <si>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</si>
  <si>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</si>
  <si>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</si>
  <si>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</si>
  <si>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</si>
  <si>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</si>
  <si>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</si>
  <si>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</si>
  <si>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</si>
  <si>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</si>
  <si>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</si>
  <si>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</si>
  <si>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</si>
  <si>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</si>
  <si>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</si>
  <si>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</si>
  <si>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</si>
  <si>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</si>
  <si>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</si>
  <si>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</si>
  <si>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</si>
  <si>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</si>
  <si>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</si>
  <si>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</si>
  <si>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</si>
  <si>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</si>
  <si>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</si>
  <si>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</si>
  <si>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</si>
  <si>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</si>
  <si>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</si>
  <si>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</si>
  <si>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</si>
  <si>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</si>
  <si>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</si>
  <si>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</si>
  <si>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</si>
  <si>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</si>
  <si>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</si>
  <si>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</si>
  <si>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</si>
  <si>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</si>
  <si>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</si>
  <si>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</si>
  <si>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</si>
  <si>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</si>
  <si>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</si>
  <si>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</si>
  <si>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</si>
  <si>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</si>
  <si>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</si>
  <si>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</si>
  <si>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</si>
  <si>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09</t>
  </si>
  <si>
    <t>08</t>
  </si>
  <si>
    <t>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</si>
</sst>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  <numFmt numFmtId="167" formatCode="0.0%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4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</cellStyleXfs>
  <cellXfs count="294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167" fontId="0" fillId="0" borderId="0" xfId="3" applyNumberFormat="1" applyFont="1" applyAlignment="1">
      <alignment horizontal="center"/>
    </xf>
    <xf numFmtId="9" fontId="16" fillId="0" borderId="0" xfId="0" applyNumberFormat="1" applyFont="1" applyAlignment="1">
      <alignment horizontal="center"/>
    </xf>
    <xf numFmtId="167" fontId="0" fillId="0" borderId="26" xfId="3" applyNumberFormat="1" applyFont="1" applyBorder="1" applyAlignment="1">
      <alignment horizontal="center"/>
    </xf>
    <xf numFmtId="167" fontId="0" fillId="0" borderId="16" xfId="3" applyNumberFormat="1" applyFont="1" applyBorder="1" applyAlignment="1">
      <alignment horizontal="center"/>
    </xf>
    <xf numFmtId="167" fontId="0" fillId="0" borderId="41" xfId="3" applyNumberFormat="1" applyFont="1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4">
    <cellStyle name="Hipervínculo" xfId="1" builtinId="8"/>
    <cellStyle name="Millares" xfId="2" builtinId="3"/>
    <cellStyle name="Normal" xfId="0" builtinId="0"/>
    <cellStyle name="Porcentaje" xfId="3" builtinId="5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8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4"/>
  <dimension ref="A1:E20"/>
  <sheetViews>
    <sheetView showGridLines="0" zoomScale="90" zoomScaleNormal="90" workbookViewId="0">
      <selection sqref="A1: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</cols>
  <sheetData>
    <row r="1" spans="1:5" x14ac:dyDescent="0.35">
      <c r="A1" s="80"/>
      <c r="B1" s="80"/>
      <c r="C1" s="264" t="s">
        <v>71</v>
      </c>
      <c r="D1" s="265"/>
    </row>
    <row r="2" spans="1:5" ht="21" customHeight="1" x14ac:dyDescent="0.35">
      <c r="C2" s="266" t="str">
        <f>IF(PREMIOS!$B7="","",PREMIOS!$B7)</f>
        <v>09</v>
      </c>
      <c r="D2" s="267"/>
    </row>
    <row r="3" spans="1:5" ht="16" thickBot="1" x14ac:dyDescent="0.4">
      <c r="C3" s="266"/>
      <c r="D3" s="267"/>
      <c r="E3" s="260" t="s">
        <v>161</v>
      </c>
    </row>
    <row r="4" spans="1:5" x14ac:dyDescent="0.35">
      <c r="A4" s="188"/>
      <c r="B4" s="189" t="str">
        <f>Vendedor1!$B$2</f>
        <v>VENTANA</v>
      </c>
      <c r="C4" s="190">
        <v>56850</v>
      </c>
      <c r="D4" s="189">
        <v>3500</v>
      </c>
      <c r="E4" s="261">
        <f>+D4/C4</f>
        <v>6.156552330694811E-2</v>
      </c>
    </row>
    <row r="5" spans="1:5" x14ac:dyDescent="0.35">
      <c r="A5" s="47"/>
      <c r="B5" s="179" t="str">
        <f>Vendedor2!$B$2</f>
        <v>PUESTO 2</v>
      </c>
      <c r="C5" s="181">
        <v>47950</v>
      </c>
      <c r="D5" s="179">
        <v>3000</v>
      </c>
      <c r="E5" s="262">
        <f t="shared" ref="E5:E14" si="0">+D5/C5</f>
        <v>6.2565172054223156E-2</v>
      </c>
    </row>
    <row r="6" spans="1:5" x14ac:dyDescent="0.35">
      <c r="A6" s="47"/>
      <c r="B6" s="179" t="str">
        <f>Vendedor7!$B$2</f>
        <v>PIKIS</v>
      </c>
      <c r="C6" s="181">
        <f>55900+71300</f>
        <v>127200</v>
      </c>
      <c r="D6" s="179">
        <f>1500+1450</f>
        <v>2950</v>
      </c>
      <c r="E6" s="262">
        <f t="shared" si="0"/>
        <v>2.3191823899371068E-2</v>
      </c>
    </row>
    <row r="7" spans="1:5" x14ac:dyDescent="0.35">
      <c r="A7" s="47"/>
      <c r="B7" s="179" t="str">
        <f>Vendedor8!$B$2</f>
        <v>ISA</v>
      </c>
      <c r="C7" s="181">
        <v>5000</v>
      </c>
      <c r="D7" s="179">
        <f t="shared" ref="D7" si="1">IF(C7="","",0)</f>
        <v>0</v>
      </c>
      <c r="E7" s="262">
        <f t="shared" si="0"/>
        <v>0</v>
      </c>
    </row>
    <row r="8" spans="1:5" x14ac:dyDescent="0.35">
      <c r="A8" s="47"/>
      <c r="B8" s="179" t="str">
        <f>Vendedor9!$B$2</f>
        <v>JUAN FELIX</v>
      </c>
      <c r="C8" s="181">
        <v>24350</v>
      </c>
      <c r="D8" s="179">
        <v>900</v>
      </c>
      <c r="E8" s="262">
        <f t="shared" si="0"/>
        <v>3.6960985626283367E-2</v>
      </c>
    </row>
    <row r="9" spans="1:5" x14ac:dyDescent="0.35">
      <c r="A9" s="47"/>
      <c r="B9" s="179" t="str">
        <f>Vendedor10!$B$2</f>
        <v>MARIALIZ</v>
      </c>
      <c r="C9" s="181">
        <v>44900</v>
      </c>
      <c r="D9" s="179">
        <v>2950</v>
      </c>
      <c r="E9" s="262">
        <f t="shared" si="0"/>
        <v>6.5701559020044542E-2</v>
      </c>
    </row>
    <row r="10" spans="1:5" x14ac:dyDescent="0.35">
      <c r="A10" s="47"/>
      <c r="B10" s="179" t="str">
        <f>Vendedor11!$B$2</f>
        <v>CHARLY</v>
      </c>
      <c r="C10" s="181">
        <v>30550</v>
      </c>
      <c r="D10" s="179">
        <v>2000</v>
      </c>
      <c r="E10" s="262">
        <f t="shared" si="0"/>
        <v>6.5466448445171854E-2</v>
      </c>
    </row>
    <row r="11" spans="1:5" x14ac:dyDescent="0.35">
      <c r="A11" s="47"/>
      <c r="B11" s="179" t="str">
        <f>Vendedor13!$B$2</f>
        <v>MINERO</v>
      </c>
      <c r="C11" s="181">
        <v>15050</v>
      </c>
      <c r="D11" s="179">
        <v>2250</v>
      </c>
      <c r="E11" s="262">
        <f t="shared" si="0"/>
        <v>0.14950166112956811</v>
      </c>
    </row>
    <row r="12" spans="1:5" x14ac:dyDescent="0.35">
      <c r="A12" s="47"/>
      <c r="B12" s="179" t="str">
        <f>Vendedor14!$B$2</f>
        <v>EDUARDO TIEMPOS LICORERA</v>
      </c>
      <c r="C12" s="181">
        <f>88100+54850</f>
        <v>142950</v>
      </c>
      <c r="D12" s="179">
        <f>7550+2250</f>
        <v>9800</v>
      </c>
      <c r="E12" s="262">
        <f t="shared" si="0"/>
        <v>6.8555438964672963E-2</v>
      </c>
    </row>
    <row r="13" spans="1:5" ht="15" thickBot="1" x14ac:dyDescent="0.4">
      <c r="A13" s="47"/>
      <c r="B13" s="179" t="str">
        <f>Vendedor15!$B$2</f>
        <v>EDUARDO PUESTO CENTRO</v>
      </c>
      <c r="C13" s="181">
        <f>34300+35450</f>
        <v>69750</v>
      </c>
      <c r="D13" s="179">
        <f>1250+700</f>
        <v>1950</v>
      </c>
      <c r="E13" s="263">
        <f t="shared" si="0"/>
        <v>2.7956989247311829E-2</v>
      </c>
    </row>
    <row r="14" spans="1:5" x14ac:dyDescent="0.35">
      <c r="C14" s="43">
        <f>SUM(C4:C13)</f>
        <v>564550</v>
      </c>
      <c r="D14" s="44">
        <f>SUM(D4:D13)</f>
        <v>29300</v>
      </c>
      <c r="E14" s="259">
        <f t="shared" si="0"/>
        <v>5.1899743158267647E-2</v>
      </c>
    </row>
    <row r="15" spans="1:5" x14ac:dyDescent="0.35">
      <c r="D15" s="100">
        <f>+D14*85</f>
        <v>2490500</v>
      </c>
    </row>
    <row r="18" spans="4:4" x14ac:dyDescent="0.35">
      <c r="D18">
        <f>+C14*3%</f>
        <v>16936.5</v>
      </c>
    </row>
    <row r="19" spans="4:4" x14ac:dyDescent="0.35">
      <c r="D19" s="43">
        <f>+D14-D18</f>
        <v>12363.5</v>
      </c>
    </row>
    <row r="20" spans="4:4" x14ac:dyDescent="0.35">
      <c r="D20">
        <f>+D19*80</f>
        <v>989080</v>
      </c>
    </row>
  </sheetData>
  <mergeCells count="2">
    <mergeCell ref="C1:D1"/>
    <mergeCell ref="C2:D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283250</v>
      </c>
      <c r="C3" s="9">
        <f>+HojaTICA!K4+HojaNICA!M4+HojaREVENTADO!K4+HojaPrimera!I4+HojaHonduras!K4+HojaDominicana!I4+HojaPANA!G4</f>
        <v>36800</v>
      </c>
      <c r="D3" s="9">
        <f>+HojaTICA!N4+HojaNICA!P4+HojaREVENTADO!O4+HojaPrimera!L4+HojaHonduras!N4+HojaDominicana!L4+HojaPANA!J4</f>
        <v>418500</v>
      </c>
      <c r="F3" s="10">
        <f t="shared" ref="F3:F27" si="0">+B3-C3-D3</f>
        <v>-172050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242400</v>
      </c>
      <c r="C4" s="9">
        <f>+HojaTICA!K5+HojaNICA!M5+HojaREVENTADO!K5+HojaPrimera!I5+HojaHonduras!K5+HojaDominicana!I5+HojaPANA!G5</f>
        <v>31500</v>
      </c>
      <c r="D4" s="9">
        <f>+HojaTICA!N5+HojaNICA!P5+HojaREVENTADO!O5+HojaPrimera!L5+HojaHonduras!N5+HojaDominicana!L5+HojaPANA!J5</f>
        <v>520750</v>
      </c>
      <c r="F4" s="14">
        <f t="shared" si="0"/>
        <v>-309850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0</v>
      </c>
      <c r="C7" s="9">
        <f>+HojaTICA!K8+HojaNICA!M8+HojaREVENTADO!K8+HojaPrimera!I8+HojaHonduras!K8+HojaDominicana!I8+HojaPANA!G8</f>
        <v>0</v>
      </c>
      <c r="D7" s="9">
        <f>+HojaTICA!N8+HojaNICA!P8+HojaREVENTADO!O8+HojaPrimera!L8+HojaHonduras!N8+HojaDominicana!L8+HojaPANA!J8</f>
        <v>0</v>
      </c>
      <c r="F7" s="14">
        <f t="shared" si="0"/>
        <v>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1314750</v>
      </c>
      <c r="C9" s="9">
        <f>+HojaTICA!K10+HojaNICA!M10+HojaREVENTADO!K10+HojaPrimera!I10+HojaHonduras!K10+HojaDominicana!I10+HojaPANA!G10</f>
        <v>155595</v>
      </c>
      <c r="D9" s="9">
        <f>+HojaTICA!N10+HojaNICA!P10+HojaREVENTADO!O10+HojaPrimera!L10+HojaHonduras!N10+HojaDominicana!L10+HojaPANA!J10</f>
        <v>1045500</v>
      </c>
      <c r="F9" s="14">
        <f t="shared" si="0"/>
        <v>113655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7500</v>
      </c>
      <c r="C10" s="9">
        <f>+HojaTICA!K11+HojaNICA!M11+HojaREVENTADO!K11+HojaPrimera!I11+HojaHonduras!K11+HojaDominicana!I11+HojaPANA!G11</f>
        <v>900</v>
      </c>
      <c r="D10" s="9">
        <f>+HojaTICA!N11+HojaNICA!P11+HojaREVENTADO!O11+HojaPrimera!L11+HojaHonduras!N11+HojaDominicana!L11+HojaPANA!J11</f>
        <v>0</v>
      </c>
      <c r="F10" s="14">
        <f t="shared" si="0"/>
        <v>6600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194600</v>
      </c>
      <c r="C11" s="9">
        <f>+HojaTICA!K12+HojaNICA!M12+HojaREVENTADO!K12+HojaPrimera!I12+HojaHonduras!K12+HojaDominicana!I12+HojaPANA!G12</f>
        <v>23175</v>
      </c>
      <c r="D11" s="9">
        <f>+HojaTICA!N12+HojaNICA!P12+HojaREVENTADO!O12+HojaPrimera!L12+HojaHonduras!N12+HojaDominicana!L12+HojaPANA!J12</f>
        <v>314500</v>
      </c>
      <c r="F11" s="14">
        <f t="shared" si="0"/>
        <v>-143075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191850</v>
      </c>
      <c r="C12" s="9">
        <f>+HojaTICA!K13+HojaNICA!M13+HojaREVENTADO!K13+HojaPrimera!I13+HojaHonduras!K13+HojaDominicana!I13+HojaPANA!G13</f>
        <v>23050</v>
      </c>
      <c r="D12" s="9">
        <f>+HojaTICA!N13+HojaNICA!P13+HojaREVENTADO!O13+HojaPrimera!L13+HojaHonduras!N13+HojaDominicana!L13+HojaPANA!J13</f>
        <v>370750</v>
      </c>
      <c r="F12" s="14">
        <f t="shared" si="0"/>
        <v>-201950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79450</v>
      </c>
      <c r="C13" s="9">
        <f>+HojaTICA!K14+HojaNICA!M14+HojaREVENTADO!K14+HojaPrimera!I14+HojaHonduras!K14+HojaDominicana!I14+HojaPANA!G14</f>
        <v>11900</v>
      </c>
      <c r="D13" s="9">
        <f>+HojaTICA!N14+HojaNICA!P14+HojaREVENTADO!O14+HojaPrimera!L14+HojaHonduras!N14+HojaDominicana!L14+HojaPANA!J14</f>
        <v>184000</v>
      </c>
      <c r="F13" s="14">
        <f t="shared" si="0"/>
        <v>-116450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84400</v>
      </c>
      <c r="C15" s="9">
        <f>+HojaTICA!K16+HojaNICA!M16+HojaREVENTADO!K16+HojaPrimera!I16+HojaHonduras!K16+HojaDominicana!I16+HojaPANA!G16</f>
        <v>10070</v>
      </c>
      <c r="D15" s="9">
        <f>+HojaTICA!N16+HojaNICA!P16+HojaREVENTADO!O16+HojaPrimera!L16+HojaHonduras!N16+HojaDominicana!L16+HojaPANA!J16</f>
        <v>191250</v>
      </c>
      <c r="F15" s="14">
        <f t="shared" si="0"/>
        <v>-116920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1251000</v>
      </c>
      <c r="C16" s="9">
        <f>+HojaTICA!K17+HojaNICA!M17+HojaREVENTADO!K17+HojaPrimera!I17+HojaHonduras!K17+HojaDominicana!I17+HojaPANA!G17</f>
        <v>147950</v>
      </c>
      <c r="D16" s="9">
        <f>+HojaTICA!N17+HojaNICA!P17+HojaREVENTADO!O17+HojaPrimera!L17+HojaHonduras!N17+HojaDominicana!L17+HojaPANA!J17</f>
        <v>1551250</v>
      </c>
      <c r="F16" s="14">
        <f t="shared" si="0"/>
        <v>-448200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610600</v>
      </c>
      <c r="C17" s="9">
        <f>+HojaTICA!K18+HojaNICA!M18+HojaREVENTADO!K18+HojaPrimera!I18+HojaHonduras!K18+HojaDominicana!I18+HojaPANA!G18</f>
        <v>71580</v>
      </c>
      <c r="D17" s="9">
        <f>+HojaTICA!N18+HojaNICA!P18+HojaREVENTADO!O18+HojaPrimera!L18+HojaHonduras!N18+HojaDominicana!L18+HojaPANA!J18</f>
        <v>505750</v>
      </c>
      <c r="F17" s="14">
        <f t="shared" si="0"/>
        <v>33270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-12364</v>
      </c>
      <c r="C26" s="9">
        <f>+HojaTICA!K27+HojaNICA!M27+HojaREVENTADO!K27+HojaPrimera!I27+HojaHonduras!K27+HojaDominicana!I27+HojaPANA!G27</f>
        <v>-1500</v>
      </c>
      <c r="D26" s="9">
        <f>+HojaTICA!N27+HojaNICA!P27+HojaREVENTADO!O27+HojaPrimera!L27+HojaHonduras!N27+HojaDominicana!L27+HojaPANA!J27</f>
        <v>-1050940</v>
      </c>
      <c r="F26" s="14">
        <f t="shared" si="0"/>
        <v>1040076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4247436</v>
      </c>
      <c r="C28" s="17">
        <f t="shared" si="1"/>
        <v>511020</v>
      </c>
      <c r="D28" s="18">
        <f t="shared" si="1"/>
        <v>4051310</v>
      </c>
      <c r="F28" s="20">
        <f>SUM(F3:F27)</f>
        <v>-314894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100-000000000000}"/>
    <hyperlink ref="A5" location="Vendedor3!B5" display="Vendedor3!B5" xr:uid="{00000000-0004-0000-0100-000001000000}"/>
    <hyperlink ref="A6" location="Vendedor4!B5" display="#Vendedor4.B5" xr:uid="{00000000-0004-0000-0100-000002000000}"/>
    <hyperlink ref="A7" location="Vendedor5!B5" display="Vendedor5!B5" xr:uid="{00000000-0004-0000-0100-000003000000}"/>
    <hyperlink ref="A8" location="Vendedor6!B5" display="#Vendedor6.B5" xr:uid="{00000000-0004-0000-0100-000004000000}"/>
    <hyperlink ref="A9" location="Vendedor7!B5" display="#Vendedor7.B5" xr:uid="{00000000-0004-0000-0100-000005000000}"/>
    <hyperlink ref="A10" location="Vendedor8!B5" display="#Vendedor8.B5" xr:uid="{00000000-0004-0000-0100-000006000000}"/>
    <hyperlink ref="A11" location="Vendedor9!B5" display="Vendedor9!B5" xr:uid="{00000000-0004-0000-0100-000007000000}"/>
    <hyperlink ref="A12" location="Vendedor10!B5" display="#Vendedor10.B5" xr:uid="{00000000-0004-0000-0100-000008000000}"/>
    <hyperlink ref="A13" location="Vendedor11!B5" display="#Vendedor11.B5" xr:uid="{00000000-0004-0000-0100-000009000000}"/>
    <hyperlink ref="A14" location="Vendedor12!B5" display="#Vendedor12.B5" xr:uid="{00000000-0004-0000-0100-00000A000000}"/>
    <hyperlink ref="A15" location="Vendedor13!B5" display="#Vendedor13.B5" xr:uid="{00000000-0004-0000-0100-00000B000000}"/>
    <hyperlink ref="A16" location="Vendedor14!B5" display="#Vendedor14.B5" xr:uid="{00000000-0004-0000-0100-00000C000000}"/>
    <hyperlink ref="A17" location="Vendedor15!B5" display="#Vendedor15.B5" xr:uid="{00000000-0004-0000-0100-00000D000000}"/>
    <hyperlink ref="A18" location="Vendedor16!B5" display="#Vendedor16.B5" xr:uid="{00000000-0004-0000-0100-00000E000000}"/>
    <hyperlink ref="A19" location="Vendedor17!B5" display="#Vendedor17.B5" xr:uid="{00000000-0004-0000-0100-00000F000000}"/>
    <hyperlink ref="A20" location="Vendedor18!B5" display="#Vendedor18.B5" xr:uid="{00000000-0004-0000-0100-000010000000}"/>
    <hyperlink ref="A21" location="Vendedor19!B5" display="#Vendedor19.B5" xr:uid="{00000000-0004-0000-0100-000011000000}"/>
    <hyperlink ref="A22" location="Vendedor20!B5" display="#Vendedor20.B5" xr:uid="{00000000-0004-0000-0100-000012000000}"/>
    <hyperlink ref="A23" location="Vendedor21!B5" display="#Vendedor21.B5" xr:uid="{00000000-0004-0000-0100-000013000000}"/>
    <hyperlink ref="A24" location="Vendedor22!B5" display="#Vendedor22.B5" xr:uid="{00000000-0004-0000-0100-000014000000}"/>
    <hyperlink ref="A25" location="Vendedor23!B5" display="#Vendedor23.B5" xr:uid="{00000000-0004-0000-0100-000015000000}"/>
    <hyperlink ref="A26" location="Vendedor24!B5" display="#Vendedor24.B5" xr:uid="{00000000-0004-0000-0100-000016000000}"/>
    <hyperlink ref="A27" location="Vendedor25!B5" display="#Vendedor25.B5" xr:uid="{00000000-0004-0000-0100-000017000000}"/>
    <hyperlink ref="A4" location="Vendedor2!B5" display="Vendedor2!B5" xr:uid="{00000000-0004-0000-0100-000018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73" t="s">
        <v>6</v>
      </c>
      <c r="B2" s="274"/>
      <c r="C2" s="274"/>
      <c r="D2" s="275"/>
      <c r="E2" s="275"/>
      <c r="F2" s="275"/>
      <c r="G2" s="118"/>
      <c r="I2" s="268" t="s">
        <v>7</v>
      </c>
      <c r="J2" s="268"/>
      <c r="K2" s="268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 t="s">
        <v>160</v>
      </c>
      <c r="C5" s="133"/>
      <c r="D5" s="138"/>
      <c r="E5" s="30">
        <v>80</v>
      </c>
      <c r="F5" s="30">
        <v>85</v>
      </c>
      <c r="G5" s="30">
        <v>85</v>
      </c>
      <c r="I5" s="26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 t="s">
        <v>159</v>
      </c>
      <c r="C7" s="133"/>
      <c r="D7" s="138"/>
      <c r="E7" s="30">
        <v>80</v>
      </c>
      <c r="F7" s="30">
        <v>85</v>
      </c>
      <c r="G7" s="30">
        <v>85</v>
      </c>
      <c r="I7" s="26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Blanca</v>
      </c>
      <c r="C8" s="137"/>
      <c r="D8" s="138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31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7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14</v>
      </c>
      <c r="C11" s="133"/>
      <c r="D11" s="138"/>
      <c r="E11" s="30">
        <v>80</v>
      </c>
      <c r="F11" s="30">
        <v>85</v>
      </c>
      <c r="G11" s="30">
        <v>85</v>
      </c>
      <c r="I11" s="27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7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55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72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Blanca</v>
      </c>
      <c r="C16" s="137"/>
      <c r="D16" s="138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4">
        <v>81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90</v>
      </c>
      <c r="C19" s="133">
        <v>89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52</v>
      </c>
      <c r="C20" s="164">
        <v>83</v>
      </c>
      <c r="D20" s="167">
        <v>96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40</v>
      </c>
      <c r="C21" s="165">
        <v>85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>
        <v>15</v>
      </c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200-000000000000}">
      <formula1>PREMIOS!_xlnm.Criteria</formula1>
      <formula2>0</formula2>
    </dataValidation>
    <dataValidation type="list" allowBlank="1" showInputMessage="1" showErrorMessage="1" sqref="D8 D16 D12" xr:uid="{00000000-0002-0000-02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64" t="s">
        <v>71</v>
      </c>
      <c r="D1" s="265"/>
      <c r="E1" s="264" t="s">
        <v>72</v>
      </c>
      <c r="F1" s="265"/>
      <c r="G1" s="264" t="s">
        <v>73</v>
      </c>
      <c r="H1" s="265"/>
    </row>
    <row r="2" spans="1:16" x14ac:dyDescent="0.35">
      <c r="C2" s="266" t="str">
        <f>DigitaTICA!C2</f>
        <v>09</v>
      </c>
      <c r="D2" s="267"/>
      <c r="E2" s="266">
        <f>DigitaTICA!E2</f>
        <v>14</v>
      </c>
      <c r="F2" s="267"/>
      <c r="G2" s="266">
        <f>DigitaTICA!G2</f>
        <v>72</v>
      </c>
      <c r="H2" s="267"/>
    </row>
    <row r="3" spans="1:16" x14ac:dyDescent="0.35">
      <c r="C3" s="277"/>
      <c r="D3" s="278"/>
      <c r="E3" s="277"/>
      <c r="F3" s="278"/>
      <c r="G3" s="277"/>
      <c r="H3" s="278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56850</v>
      </c>
      <c r="D4" s="30">
        <f>IF(Vendedor1!$E$7="",0,Vendedor1!$E$7)</f>
        <v>3500</v>
      </c>
      <c r="E4" s="181">
        <f>IF(Vendedor1!$C$11="",0,Vendedor1!$C$11)</f>
        <v>42675</v>
      </c>
      <c r="F4" s="30">
        <f>IF(Vendedor1!$E$11="",0,Vendedor1!$E$11)</f>
        <v>0</v>
      </c>
      <c r="G4" s="181">
        <f>IF(Vendedor1!$C$15="",0,Vendedor1!$C$15)</f>
        <v>84475</v>
      </c>
      <c r="H4" s="30">
        <f>IF(Vendedor1!$E$15="",0,Vendedor1!$E$15)</f>
        <v>200</v>
      </c>
      <c r="J4" s="42">
        <f t="shared" ref="J4:J7" si="0">+C4+E4+G4</f>
        <v>184000</v>
      </c>
      <c r="K4" s="41">
        <f>MROUND(J4*Vendedor1!J$9,50)</f>
        <v>23900</v>
      </c>
      <c r="L4" s="42">
        <f t="shared" ref="L4:L7" si="1">+D4+F4+H4</f>
        <v>3700</v>
      </c>
      <c r="M4" s="42">
        <f t="shared" ref="M4:M7" si="2">+L4*85</f>
        <v>314500</v>
      </c>
      <c r="N4" s="42">
        <f>Vendedor1!$F$7+Vendedor1!$F$11+Vendedor1!$F$15</f>
        <v>314500</v>
      </c>
      <c r="P4" s="42">
        <f t="shared" ref="P4:P7" si="3">+J4-K4-N4</f>
        <v>-154400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47950</v>
      </c>
      <c r="D5" s="30">
        <f>IF(Vendedor2!$E$7="",0,Vendedor2!$E$7)</f>
        <v>3000</v>
      </c>
      <c r="E5" s="181">
        <f>IF(Vendedor2!$C$11="",0,Vendedor2!$C$11)</f>
        <v>39350</v>
      </c>
      <c r="F5" s="30">
        <f>IF(Vendedor2!$E$11="",0,Vendedor2!$E$11)</f>
        <v>650</v>
      </c>
      <c r="G5" s="181">
        <f>IF(Vendedor2!$C$15="",0,Vendedor2!$C$15)</f>
        <v>72300</v>
      </c>
      <c r="H5" s="30">
        <f>IF(Vendedor2!$E$15="",0,Vendedor2!$E$15)</f>
        <v>500</v>
      </c>
      <c r="J5" s="42">
        <f t="shared" si="0"/>
        <v>159600</v>
      </c>
      <c r="K5" s="41">
        <f>MROUND(J5*Vendedor2!J$9,50)</f>
        <v>20750</v>
      </c>
      <c r="L5" s="42">
        <f t="shared" si="1"/>
        <v>4150</v>
      </c>
      <c r="M5" s="42">
        <f t="shared" si="2"/>
        <v>352750</v>
      </c>
      <c r="N5" s="42">
        <f>Vendedor2!$F$7+Vendedor2!$F$11+Vendedor2!$F$15</f>
        <v>352750</v>
      </c>
      <c r="P5" s="42">
        <f t="shared" si="3"/>
        <v>-213900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0</v>
      </c>
      <c r="D8" s="30">
        <f>IF(Vendedor5!$E$7="",0,Vendedor5!$E$7)</f>
        <v>0</v>
      </c>
      <c r="E8" s="181">
        <f>IF(Vendedor5!$C$11="",0,Vendedor5!$C$11)</f>
        <v>0</v>
      </c>
      <c r="F8" s="30">
        <f>IF(Vendedor5!$E$11="",0,Vendedor5!$E$11)</f>
        <v>0</v>
      </c>
      <c r="G8" s="181">
        <f>IF(Vendedor5!$C$15="",0,Vendedor5!$C$15)</f>
        <v>0</v>
      </c>
      <c r="H8" s="30">
        <f>IF(Vendedor5!$E$15="",0,Vendedor5!$E$15)</f>
        <v>0</v>
      </c>
      <c r="J8" s="42">
        <f t="shared" ref="J8" si="4">+C8+E8+G8</f>
        <v>0</v>
      </c>
      <c r="K8" s="41">
        <f>MROUND(J8*Vendedor5!J$11,50)</f>
        <v>0</v>
      </c>
      <c r="L8" s="42">
        <f t="shared" ref="L8" si="5">+D8+F8+H8</f>
        <v>0</v>
      </c>
      <c r="M8" s="42">
        <f t="shared" ref="M8" si="6">+L8*85</f>
        <v>0</v>
      </c>
      <c r="N8" s="42">
        <f>Vendedor5!$F$7+Vendedor5!$F$11+Vendedor5!$F$15</f>
        <v>0</v>
      </c>
      <c r="P8" s="42">
        <f t="shared" ref="P8" si="7">+J8-K8-N8</f>
        <v>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127200</v>
      </c>
      <c r="D10" s="30">
        <f>IF(Vendedor7!$E$7="",0,Vendedor7!$E$7)</f>
        <v>2950</v>
      </c>
      <c r="E10" s="181">
        <f>IF(Vendedor7!$C$11="",0,Vendedor7!$C$11)</f>
        <v>205050</v>
      </c>
      <c r="F10" s="30">
        <f>IF(Vendedor7!$E$11="",0,Vendedor7!$E$11)</f>
        <v>1250</v>
      </c>
      <c r="G10" s="181">
        <f>IF(Vendedor7!$C$15="",0,Vendedor7!$C$15)</f>
        <v>224750</v>
      </c>
      <c r="H10" s="30">
        <f>IF(Vendedor7!$E$15="",0,Vendedor7!$E$15)</f>
        <v>2150</v>
      </c>
      <c r="J10" s="42">
        <f t="shared" si="8"/>
        <v>557000</v>
      </c>
      <c r="K10" s="41">
        <f>MROUND(J10*Vendedor7!J$14,50)</f>
        <v>66850</v>
      </c>
      <c r="L10" s="42">
        <f t="shared" si="9"/>
        <v>6350</v>
      </c>
      <c r="M10" s="42">
        <f t="shared" si="10"/>
        <v>539750</v>
      </c>
      <c r="N10" s="42">
        <f>Vendedor7!$F$7+Vendedor7!$F$11+Vendedor7!$F$15</f>
        <v>539750</v>
      </c>
      <c r="P10" s="42">
        <f t="shared" si="11"/>
        <v>-49600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5000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2500</v>
      </c>
      <c r="H11" s="30">
        <f>IF(Vendedor8!$E$15="",0,Vendedor8!$E$15)</f>
        <v>0</v>
      </c>
      <c r="J11" s="42">
        <f t="shared" si="8"/>
        <v>7500</v>
      </c>
      <c r="K11" s="41">
        <f>MROUND(J11*Vendedor8!J$11,50)</f>
        <v>900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6600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24350</v>
      </c>
      <c r="D12" s="30">
        <f>IF(Vendedor9!$E$7="",0,Vendedor9!$E$7)</f>
        <v>900</v>
      </c>
      <c r="E12" s="181">
        <f>IF(Vendedor9!$C$11="",0,Vendedor9!$C$11)</f>
        <v>14600</v>
      </c>
      <c r="F12" s="30">
        <f>IF(Vendedor9!$E$11="",0,Vendedor9!$E$11)</f>
        <v>0</v>
      </c>
      <c r="G12" s="181">
        <f>IF(Vendedor9!$C$15="",0,Vendedor9!$C$15)</f>
        <v>22500</v>
      </c>
      <c r="H12" s="30">
        <f>IF(Vendedor9!$E$15="",0,Vendedor9!$E$15)</f>
        <v>0</v>
      </c>
      <c r="J12" s="42">
        <f t="shared" si="8"/>
        <v>61450</v>
      </c>
      <c r="K12" s="41">
        <f>MROUND(J12*Vendedor9!J$11,50)</f>
        <v>7350</v>
      </c>
      <c r="L12" s="42">
        <f t="shared" si="9"/>
        <v>900</v>
      </c>
      <c r="M12" s="42">
        <f t="shared" si="10"/>
        <v>76500</v>
      </c>
      <c r="N12" s="42">
        <f>Vendedor9!$F$7+Vendedor9!$F$11+Vendedor9!$F$15</f>
        <v>76500</v>
      </c>
      <c r="P12" s="42">
        <f t="shared" si="11"/>
        <v>-22400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44900</v>
      </c>
      <c r="D13" s="30">
        <f>IF(Vendedor10!$E$7="",0,Vendedor10!$E$7)</f>
        <v>2950</v>
      </c>
      <c r="E13" s="181">
        <f>IF(Vendedor10!$C$11="",0,Vendedor10!$C$11)</f>
        <v>19200</v>
      </c>
      <c r="F13" s="30">
        <f>IF(Vendedor10!$E$11="",0,Vendedor10!$E$11)</f>
        <v>500</v>
      </c>
      <c r="G13" s="181">
        <f>IF(Vendedor10!$C$15="",0,Vendedor10!$C$15)</f>
        <v>50700</v>
      </c>
      <c r="H13" s="30">
        <f>IF(Vendedor10!$E$15="",0,Vendedor10!$E$15)</f>
        <v>300</v>
      </c>
      <c r="J13" s="42">
        <f t="shared" si="8"/>
        <v>114800</v>
      </c>
      <c r="K13" s="41">
        <f>MROUND(J13*Vendedor10!J$9,50)</f>
        <v>13800</v>
      </c>
      <c r="L13" s="42">
        <f t="shared" si="9"/>
        <v>3750</v>
      </c>
      <c r="M13" s="42">
        <f t="shared" si="10"/>
        <v>318750</v>
      </c>
      <c r="N13" s="42">
        <f>Vendedor10!$F$7+Vendedor10!$F$11+Vendedor10!$F$15</f>
        <v>318750</v>
      </c>
      <c r="P13" s="42">
        <f t="shared" si="11"/>
        <v>-217750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30550</v>
      </c>
      <c r="D14" s="30">
        <f>IF(Vendedor11!$E$7="",0,Vendedor11!$E$7)</f>
        <v>2000</v>
      </c>
      <c r="E14" s="181">
        <f>IF(Vendedor11!$C$11="",0,Vendedor11!$C$11)</f>
        <v>19800</v>
      </c>
      <c r="F14" s="30">
        <f>IF(Vendedor11!$E$11="",0,Vendedor11!$E$11)</f>
        <v>0</v>
      </c>
      <c r="G14" s="181">
        <f>IF(Vendedor11!$C$15="",0,Vendedor11!$C$15)</f>
        <v>29100</v>
      </c>
      <c r="H14" s="30">
        <f>IF(Vendedor11!$E$15="",0,Vendedor11!$E$15)</f>
        <v>300</v>
      </c>
      <c r="J14" s="42">
        <f t="shared" si="8"/>
        <v>79450</v>
      </c>
      <c r="K14" s="41">
        <f>MROUND(J14*Vendedor11!J$9,50)</f>
        <v>11900</v>
      </c>
      <c r="L14" s="42">
        <f t="shared" si="9"/>
        <v>2300</v>
      </c>
      <c r="M14" s="42">
        <f t="shared" si="10"/>
        <v>195500</v>
      </c>
      <c r="N14" s="42">
        <f>Vendedor11!$F$7+Vendedor11!$F$11+Vendedor11!$F$15</f>
        <v>184000</v>
      </c>
      <c r="P14" s="42">
        <f t="shared" si="11"/>
        <v>-116450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15050</v>
      </c>
      <c r="D16" s="30">
        <f>IF(Vendedor13!$E$7="",0,Vendedor13!$E$7)</f>
        <v>2250</v>
      </c>
      <c r="E16" s="181">
        <f>IF(Vendedor13!$C$11="",0,Vendedor13!$C$11)</f>
        <v>22500</v>
      </c>
      <c r="F16" s="30">
        <f>IF(Vendedor13!$E$11="",0,Vendedor13!$E$11)</f>
        <v>0</v>
      </c>
      <c r="G16" s="181">
        <f>IF(Vendedor13!$C$15="",0,Vendedor13!$C$15)</f>
        <v>23800</v>
      </c>
      <c r="H16" s="30">
        <f>IF(Vendedor13!$E$15="",0,Vendedor13!$E$15)</f>
        <v>0</v>
      </c>
      <c r="J16" s="42">
        <f t="shared" si="8"/>
        <v>61350</v>
      </c>
      <c r="K16" s="41">
        <f>MROUND(J16*Vendedor13!J$11,50)</f>
        <v>7350</v>
      </c>
      <c r="L16" s="42">
        <f t="shared" si="9"/>
        <v>2250</v>
      </c>
      <c r="M16" s="42">
        <f t="shared" si="10"/>
        <v>191250</v>
      </c>
      <c r="N16" s="42">
        <f>Vendedor13!$F$7+Vendedor13!$F$11+Vendedor13!$F$15</f>
        <v>191250</v>
      </c>
      <c r="P16" s="42">
        <f t="shared" si="11"/>
        <v>-137250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142950</v>
      </c>
      <c r="D17" s="30">
        <f>IF(Vendedor14!$E$7="",0,Vendedor14!$E$7)</f>
        <v>9800</v>
      </c>
      <c r="E17" s="181">
        <f>IF(Vendedor14!$C$11="",0,Vendedor14!$C$11)</f>
        <v>126400</v>
      </c>
      <c r="F17" s="30">
        <f>IF(Vendedor14!$E$11="",0,Vendedor14!$E$11)</f>
        <v>500</v>
      </c>
      <c r="G17" s="181">
        <f>IF(Vendedor14!$C$15="",0,Vendedor14!$C$15)</f>
        <v>243700</v>
      </c>
      <c r="H17" s="30">
        <f>IF(Vendedor14!$E$15="",0,Vendedor14!$E$15)</f>
        <v>1550</v>
      </c>
      <c r="J17" s="42">
        <f t="shared" si="8"/>
        <v>513050</v>
      </c>
      <c r="K17" s="41">
        <f>MROUND(J17*Vendedor14!J$15,50)</f>
        <v>61550</v>
      </c>
      <c r="L17" s="42">
        <f t="shared" si="9"/>
        <v>11850</v>
      </c>
      <c r="M17" s="42">
        <f t="shared" si="10"/>
        <v>1007250</v>
      </c>
      <c r="N17" s="42">
        <f>Vendedor14!$F$7+Vendedor14!$F$11+Vendedor14!$F$15</f>
        <v>1007250</v>
      </c>
      <c r="P17" s="42">
        <f t="shared" si="11"/>
        <v>-555750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69750</v>
      </c>
      <c r="D18" s="30">
        <f>IF(Vendedor15!$E$7="",0,Vendedor15!$E$7)</f>
        <v>1950</v>
      </c>
      <c r="E18" s="181">
        <f>IF(Vendedor15!$C$11="",0,Vendedor15!$C$11)</f>
        <v>51200</v>
      </c>
      <c r="F18" s="30">
        <f>IF(Vendedor15!$E$11="",0,Vendedor15!$E$11)</f>
        <v>300</v>
      </c>
      <c r="G18" s="181">
        <f>IF(Vendedor15!$C$15="",0,Vendedor15!$C$15)</f>
        <v>56900</v>
      </c>
      <c r="H18" s="30">
        <f>IF(Vendedor15!$E$15="",0,Vendedor15!$E$15)</f>
        <v>0</v>
      </c>
      <c r="J18" s="42">
        <f t="shared" ref="J18" si="12">+C18+E18+G18</f>
        <v>177850</v>
      </c>
      <c r="K18" s="41">
        <f>MROUND(J18*Vendedor15!J$15,50)</f>
        <v>21350</v>
      </c>
      <c r="L18" s="42">
        <f t="shared" ref="L18" si="13">+D18+F18+H18</f>
        <v>2250</v>
      </c>
      <c r="M18" s="42">
        <f t="shared" ref="M18" si="14">+L18*85</f>
        <v>191250</v>
      </c>
      <c r="N18" s="42">
        <f>Vendedor15!$F$7+Vendedor15!$F$11+Vendedor15!$F$15</f>
        <v>191250</v>
      </c>
      <c r="P18" s="42">
        <f t="shared" ref="P18" si="15">+J18-K18-N18</f>
        <v>-34750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-12364</v>
      </c>
      <c r="D27" s="50">
        <f>IF(Vendedor24!$E$7="",0,Vendedor24!$E$7)</f>
        <v>-12364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-12364</v>
      </c>
      <c r="K27" s="41">
        <f>IF(J27*Vendedor24!J$9&gt;0,MROUND(J27*Vendedor24!J$9,50),MROUND(J27*Vendedor24!J$9,-50))</f>
        <v>-1500</v>
      </c>
      <c r="L27" s="42">
        <f t="shared" si="9"/>
        <v>-12364</v>
      </c>
      <c r="M27" s="42">
        <f t="shared" si="10"/>
        <v>-1050940</v>
      </c>
      <c r="N27" s="42">
        <f>Vendedor24!$F$7+Vendedor24!$F$11+Vendedor24!$F$15</f>
        <v>-1050940</v>
      </c>
      <c r="P27" s="42">
        <f t="shared" si="11"/>
        <v>1040076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552186</v>
      </c>
      <c r="D32" s="44">
        <f t="shared" si="16"/>
        <v>16936</v>
      </c>
      <c r="E32" s="43">
        <f t="shared" si="16"/>
        <v>540775</v>
      </c>
      <c r="F32" s="44">
        <f t="shared" si="16"/>
        <v>3200</v>
      </c>
      <c r="G32" s="43">
        <f t="shared" si="16"/>
        <v>810725</v>
      </c>
      <c r="H32" s="44">
        <f t="shared" si="16"/>
        <v>5000</v>
      </c>
      <c r="J32" s="96">
        <f>SUM(J4:J31)</f>
        <v>1903686</v>
      </c>
      <c r="K32" s="45">
        <f>SUM(K7:K31)</f>
        <v>189550</v>
      </c>
      <c r="L32" s="96">
        <f>SUM(L4:L31)</f>
        <v>25136</v>
      </c>
      <c r="M32" s="96">
        <f>SUM(M4:M31)</f>
        <v>2136560</v>
      </c>
      <c r="N32" s="96">
        <f>SUM(N4:N31)</f>
        <v>2125060</v>
      </c>
      <c r="P32" s="80">
        <f>SUM(P4:P31)</f>
        <v>-455574</v>
      </c>
    </row>
    <row r="33" spans="3:13" x14ac:dyDescent="0.35">
      <c r="D33" s="100">
        <f>+D32*85</f>
        <v>1439560</v>
      </c>
      <c r="F33" s="100">
        <f>+F32*85</f>
        <v>272000</v>
      </c>
      <c r="H33" s="100">
        <f>+H32*85</f>
        <v>425000</v>
      </c>
    </row>
    <row r="34" spans="3:13" ht="15" thickBot="1" x14ac:dyDescent="0.4">
      <c r="L34" s="150"/>
      <c r="M34" s="43"/>
    </row>
    <row r="35" spans="3:13" x14ac:dyDescent="0.35">
      <c r="C35" s="276" t="s">
        <v>89</v>
      </c>
      <c r="D35" s="276"/>
    </row>
    <row r="36" spans="3:13" x14ac:dyDescent="0.35">
      <c r="C36" s="47" t="s">
        <v>28</v>
      </c>
      <c r="D36" s="30">
        <f>+C32+E32+G32</f>
        <v>1903686</v>
      </c>
      <c r="E36" s="43">
        <f>+D36-J4-J5-J6</f>
        <v>1560086</v>
      </c>
      <c r="G36" s="102"/>
    </row>
    <row r="37" spans="3:13" x14ac:dyDescent="0.35">
      <c r="C37" s="47" t="s">
        <v>33</v>
      </c>
      <c r="D37" s="48">
        <f>D36*13%</f>
        <v>247479.18000000002</v>
      </c>
      <c r="E37">
        <f>+D37-K4-K5-K6</f>
        <v>202829.18000000002</v>
      </c>
      <c r="G37" s="101"/>
      <c r="H37" s="101"/>
    </row>
    <row r="38" spans="3:13" ht="15" thickBot="1" x14ac:dyDescent="0.4">
      <c r="C38" s="47" t="s">
        <v>30</v>
      </c>
      <c r="D38" s="30">
        <f>M32</f>
        <v>2136560</v>
      </c>
      <c r="G38" s="101"/>
      <c r="H38" s="101"/>
    </row>
    <row r="39" spans="3:13" ht="15" thickBot="1" x14ac:dyDescent="0.4">
      <c r="C39" s="49" t="s">
        <v>4</v>
      </c>
      <c r="D39" s="81">
        <f>+D36-D37-D38</f>
        <v>-480353.17999999993</v>
      </c>
      <c r="F39" s="99">
        <f>+P32-D39</f>
        <v>24779.179999999935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-480353.17999999993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80" t="s">
        <v>22</v>
      </c>
      <c r="B1" s="80"/>
      <c r="C1" s="264" t="s">
        <v>23</v>
      </c>
      <c r="D1" s="265"/>
      <c r="E1" s="264" t="s">
        <v>24</v>
      </c>
      <c r="F1" s="265"/>
      <c r="G1" s="264" t="s">
        <v>25</v>
      </c>
      <c r="H1" s="265"/>
      <c r="I1" s="264" t="s">
        <v>26</v>
      </c>
      <c r="J1" s="265"/>
    </row>
    <row r="2" spans="1:18" x14ac:dyDescent="0.35">
      <c r="C2" s="266" t="str">
        <f>DigitaNICA!C2</f>
        <v>08</v>
      </c>
      <c r="D2" s="267"/>
      <c r="E2" s="266">
        <f>DigitaNICA!E2</f>
        <v>31</v>
      </c>
      <c r="F2" s="267"/>
      <c r="G2" s="266">
        <f>DigitaNICA!G2</f>
        <v>55</v>
      </c>
      <c r="H2" s="267"/>
      <c r="I2" s="266">
        <f>DigitaNICA!I2</f>
        <v>81</v>
      </c>
      <c r="J2" s="267"/>
    </row>
    <row r="3" spans="1:18" ht="15" thickBot="1" x14ac:dyDescent="0.4">
      <c r="C3" s="266"/>
      <c r="D3" s="267"/>
      <c r="E3" s="266"/>
      <c r="F3" s="267"/>
      <c r="G3" s="266"/>
      <c r="H3" s="267"/>
      <c r="I3" s="266"/>
      <c r="J3" s="267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37650</v>
      </c>
      <c r="D4" s="79">
        <f>IF(Vendedor1!$E$5="",0,Vendedor1!$E$5)</f>
        <v>300</v>
      </c>
      <c r="E4" s="190">
        <f>IF(Vendedor1!$C$9="",0,Vendedor1!$C$9)</f>
        <v>19300</v>
      </c>
      <c r="F4" s="79">
        <f>IF(Vendedor1!$E$9="",0,Vendedor1!$E$9)</f>
        <v>0</v>
      </c>
      <c r="G4" s="190">
        <f>IF(Vendedor1!$C$13="",0,Vendedor1!$C$13)</f>
        <v>25100</v>
      </c>
      <c r="H4" s="79">
        <f>IF(Vendedor1!$E$13="",0,Vendedor1!$E$13)</f>
        <v>500</v>
      </c>
      <c r="I4" s="190">
        <f>IF(Vendedor1!$C$17="",0,Vendedor1!$C$17)</f>
        <v>8900</v>
      </c>
      <c r="J4" s="79">
        <f>IF(Vendedor1!$E$17="",0,Vendedor1!$E$17)</f>
        <v>100</v>
      </c>
      <c r="L4" s="42">
        <f t="shared" ref="L4:L7" si="0">C4+E4+G4+I4</f>
        <v>90950</v>
      </c>
      <c r="M4" s="41">
        <f>MROUND(L4*Vendedor1!J$10,50)</f>
        <v>11800</v>
      </c>
      <c r="N4" s="42">
        <f t="shared" ref="N4:N7" si="1">D4+F4+H4+J4</f>
        <v>900</v>
      </c>
      <c r="O4" s="41">
        <f>IFERROR(N4*85,0)</f>
        <v>76500</v>
      </c>
      <c r="P4" s="42">
        <f>Vendedor1!$F$5+Vendedor1!$F$9+Vendedor1!$F$13+Vendedor1!$F$17</f>
        <v>72000</v>
      </c>
      <c r="R4" s="41">
        <f t="shared" ref="R4:R7" si="2">+L4-M4-O4</f>
        <v>2650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32550</v>
      </c>
      <c r="D5" s="30">
        <f>IF(Vendedor2!$E$5="",0,Vendedor2!$E$5)</f>
        <v>0</v>
      </c>
      <c r="E5" s="181">
        <f>IF(Vendedor2!$C$9="",0,Vendedor2!$C$9)</f>
        <v>18550</v>
      </c>
      <c r="F5" s="30">
        <f>IF(Vendedor2!$E$9="",0,Vendedor2!$E$9)</f>
        <v>0</v>
      </c>
      <c r="G5" s="181">
        <f>IF(Vendedor2!$C$13="",0,Vendedor2!$C$13)</f>
        <v>2300</v>
      </c>
      <c r="H5" s="30">
        <f>IF(Vendedor2!$E$13="",0,Vendedor2!$E$13)</f>
        <v>0</v>
      </c>
      <c r="I5" s="181">
        <f>IF(Vendedor2!$C$17="",0,Vendedor2!$C$17)</f>
        <v>9800</v>
      </c>
      <c r="J5" s="30">
        <f>IF(Vendedor2!$E$17="",0,Vendedor2!$E$17)</f>
        <v>0</v>
      </c>
      <c r="L5" s="42">
        <f t="shared" si="0"/>
        <v>63200</v>
      </c>
      <c r="M5" s="41">
        <f>MROUND(L5*Vendedor2!J$10,50)</f>
        <v>8200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55000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0</v>
      </c>
      <c r="D8" s="30">
        <f>IF(Vendedor5!$E$5="",0,Vendedor5!$E$5)</f>
        <v>0</v>
      </c>
      <c r="E8" s="181">
        <f>IF(Vendedor5!$C$9="",0,Vendedor5!$C$9)</f>
        <v>0</v>
      </c>
      <c r="F8" s="30">
        <f>IF(Vendedor5!$E$9="",0,Vendedor5!$E$9)</f>
        <v>0</v>
      </c>
      <c r="G8" s="181">
        <f>IF(Vendedor5!$C$13="",0,Vendedor5!$C$13)</f>
        <v>0</v>
      </c>
      <c r="H8" s="30">
        <f>IF(Vendedor5!$E$13="",0,Vendedor5!$E$13)</f>
        <v>0</v>
      </c>
      <c r="I8" s="181">
        <f>IF(Vendedor5!$C$17="",0,Vendedor5!$C$17)</f>
        <v>0</v>
      </c>
      <c r="J8" s="30">
        <f>IF(Vendedor5!$E$17="",0,Vendedor5!$E$17)</f>
        <v>0</v>
      </c>
      <c r="L8" s="42">
        <f t="shared" ref="L8" si="4">C8+E8+G8+I8</f>
        <v>0</v>
      </c>
      <c r="M8" s="41">
        <f>MROUND(L8*Vendedor5!J$12,50)</f>
        <v>0</v>
      </c>
      <c r="N8" s="42">
        <f t="shared" ref="N8" si="5">D8+F8+H8+J8</f>
        <v>0</v>
      </c>
      <c r="O8" s="41">
        <f t="shared" si="3"/>
        <v>0</v>
      </c>
      <c r="P8" s="42">
        <f>Vendedor5!$F$5+Vendedor5!$F$9+Vendedor5!$F$13+Vendedor5!$F$17</f>
        <v>0</v>
      </c>
      <c r="Q8">
        <v>17</v>
      </c>
      <c r="R8" s="41">
        <f t="shared" ref="R8" si="6">+L8-M8-O8</f>
        <v>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82050</v>
      </c>
      <c r="D10" s="30">
        <f>IF(Vendedor7!$E$5="",0,Vendedor7!$E$5)</f>
        <v>500</v>
      </c>
      <c r="E10" s="181">
        <f>IF(Vendedor7!$C$9="",0,Vendedor7!$C$9)</f>
        <v>124000</v>
      </c>
      <c r="F10" s="30">
        <f>IF(Vendedor7!$E$9="",0,Vendedor7!$E$9)</f>
        <v>2400</v>
      </c>
      <c r="G10" s="181">
        <f>IF(Vendedor7!$C$13="",0,Vendedor7!$C$13)</f>
        <v>94450</v>
      </c>
      <c r="H10" s="30">
        <f>IF(Vendedor7!$E$13="",0,Vendedor7!$E$13)</f>
        <v>2700</v>
      </c>
      <c r="I10" s="181">
        <f>IF(Vendedor7!$C$17="",0,Vendedor7!$C$17)</f>
        <v>131450</v>
      </c>
      <c r="J10" s="30">
        <f>IF(Vendedor7!$E$17="",0,Vendedor7!$E$17)</f>
        <v>250</v>
      </c>
      <c r="L10" s="42">
        <f t="shared" si="7"/>
        <v>431950</v>
      </c>
      <c r="M10" s="41">
        <f>MROUND(L10*Vendedor7!J$15,50)</f>
        <v>51850</v>
      </c>
      <c r="N10" s="42">
        <f t="shared" ref="N10:N27" si="9">D10+F10+H10+J10</f>
        <v>5850</v>
      </c>
      <c r="O10" s="41">
        <f t="shared" si="3"/>
        <v>497250</v>
      </c>
      <c r="P10" s="42">
        <f>Vendedor7!$F$5+Vendedor7!$F$9+Vendedor7!$F$13+Vendedor7!$F$17</f>
        <v>497250</v>
      </c>
      <c r="R10" s="41">
        <f t="shared" si="8"/>
        <v>-117150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61400</v>
      </c>
      <c r="D12" s="30">
        <f>IF(Vendedor9!$E$5="",0,Vendedor9!$E$5)</f>
        <v>1450</v>
      </c>
      <c r="E12" s="181">
        <f>IF(Vendedor9!$C$9="",0,Vendedor9!$C$9)</f>
        <v>15850</v>
      </c>
      <c r="F12" s="30">
        <f>IF(Vendedor9!$E$9="",0,Vendedor9!$E$9)</f>
        <v>200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77250</v>
      </c>
      <c r="M12" s="41">
        <f>MROUND(L12*Vendedor9!J$12,50)</f>
        <v>9250</v>
      </c>
      <c r="N12" s="42">
        <f t="shared" si="9"/>
        <v>1650</v>
      </c>
      <c r="O12" s="41">
        <f t="shared" si="3"/>
        <v>140250</v>
      </c>
      <c r="P12" s="42">
        <f>Vendedor9!$F$5+Vendedor9!$F$9+Vendedor9!$F$13+Vendedor9!$F$17</f>
        <v>140250</v>
      </c>
      <c r="R12" s="41">
        <f t="shared" si="8"/>
        <v>-72250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43100</v>
      </c>
      <c r="D13" s="30">
        <f>IF(Vendedor10!$E$5="",0,Vendedor10!$E$5)</f>
        <v>500</v>
      </c>
      <c r="E13" s="181">
        <f>IF(Vendedor10!$C$9="",0,Vendedor10!$C$9)</f>
        <v>29750</v>
      </c>
      <c r="F13" s="30">
        <f>IF(Vendedor10!$E$9="",0,Vendedor10!$E$9)</f>
        <v>150</v>
      </c>
      <c r="G13" s="181">
        <f>IF(Vendedor10!$C$13="",0,Vendedor10!$C$13)</f>
        <v>2400</v>
      </c>
      <c r="H13" s="30">
        <f>IF(Vendedor10!$E$13="",0,Vendedor10!$E$13)</f>
        <v>0</v>
      </c>
      <c r="I13" s="181">
        <f>IF(Vendedor10!$C$17="",0,Vendedor10!$C$17)</f>
        <v>1800</v>
      </c>
      <c r="J13" s="30">
        <f>IF(Vendedor10!$E$17="",0,Vendedor10!$E$17)</f>
        <v>0</v>
      </c>
      <c r="L13" s="42">
        <f t="shared" si="7"/>
        <v>77050</v>
      </c>
      <c r="M13" s="41">
        <f>MROUND(L13*Vendedor10!J$10,50)</f>
        <v>9250</v>
      </c>
      <c r="N13" s="42">
        <f t="shared" si="9"/>
        <v>650</v>
      </c>
      <c r="O13" s="41">
        <f t="shared" si="3"/>
        <v>55250</v>
      </c>
      <c r="P13" s="42">
        <f>Vendedor10!$F$5+Vendedor10!$F$9+Vendedor10!$F$13+Vendedor10!$F$17</f>
        <v>52000</v>
      </c>
      <c r="R13" s="41">
        <f t="shared" si="8"/>
        <v>12550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0</v>
      </c>
      <c r="D16" s="30">
        <f>IF(Vendedor13!$E$5="",0,Vendedor13!$E$5)</f>
        <v>0</v>
      </c>
      <c r="E16" s="181">
        <f>IF(Vendedor13!$C$9="",0,Vendedor13!$C$9)</f>
        <v>12550</v>
      </c>
      <c r="F16" s="30">
        <f>IF(Vendedor13!$E$9="",0,Vendedor13!$E$9)</f>
        <v>0</v>
      </c>
      <c r="G16" s="181">
        <f>IF(Vendedor13!$C$13="",0,Vendedor13!$C$13)</f>
        <v>1400</v>
      </c>
      <c r="H16" s="30">
        <f>IF(Vendedor13!$E$13="",0,Vendedor13!$E$13)</f>
        <v>0</v>
      </c>
      <c r="I16" s="181">
        <f>IF(Vendedor13!$C$17="",0,Vendedor13!$C$17)</f>
        <v>6200</v>
      </c>
      <c r="J16" s="30">
        <f>IF(Vendedor13!$E$17="",0,Vendedor13!$E$17)</f>
        <v>0</v>
      </c>
      <c r="L16" s="42">
        <f t="shared" si="7"/>
        <v>20150</v>
      </c>
      <c r="M16" s="41">
        <f>MROUND(L16*Vendedor13!J$12,50)</f>
        <v>2400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17750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107550</v>
      </c>
      <c r="D17" s="30">
        <f>IF(Vendedor14!$E$5="",0,Vendedor14!$E$5)</f>
        <v>2000</v>
      </c>
      <c r="E17" s="181">
        <f>IF(Vendedor14!$C$9="",0,Vendedor14!$C$9)</f>
        <v>96600</v>
      </c>
      <c r="F17" s="30">
        <f>IF(Vendedor14!$E$9="",0,Vendedor14!$E$9)</f>
        <v>550</v>
      </c>
      <c r="G17" s="181">
        <f>IF(Vendedor14!$C$13="",0,Vendedor14!$C$13)</f>
        <v>50950</v>
      </c>
      <c r="H17" s="30">
        <f>IF(Vendedor14!$E$13="",0,Vendedor14!$E$13)</f>
        <v>700</v>
      </c>
      <c r="I17" s="181">
        <f>IF(Vendedor14!$C$17="",0,Vendedor14!$C$17)</f>
        <v>189350</v>
      </c>
      <c r="J17" s="30">
        <f>IF(Vendedor14!$E$17="",0,Vendedor14!$E$17)</f>
        <v>1500</v>
      </c>
      <c r="L17" s="42">
        <f>C17+E17+G17+I17</f>
        <v>444450</v>
      </c>
      <c r="M17" s="41">
        <f>MROUND(L17*Vendedor14!J$16,50)</f>
        <v>53350</v>
      </c>
      <c r="N17" s="42">
        <f t="shared" si="9"/>
        <v>4750</v>
      </c>
      <c r="O17" s="41">
        <f t="shared" si="3"/>
        <v>403750</v>
      </c>
      <c r="P17" s="42">
        <f>Vendedor14!$F$5+Vendedor14!$F$9+Vendedor14!$F$13+Vendedor14!$F$17</f>
        <v>403750</v>
      </c>
      <c r="R17" s="41">
        <f t="shared" si="8"/>
        <v>-12650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68500</v>
      </c>
      <c r="D18" s="30">
        <f>IF(Vendedor15!$E$5="",0,Vendedor15!$E$5)</f>
        <v>450</v>
      </c>
      <c r="E18" s="181">
        <f>IF(Vendedor15!$C$9="",0,Vendedor15!$C$9)</f>
        <v>55550</v>
      </c>
      <c r="F18" s="30">
        <f>IF(Vendedor15!$E$9="",0,Vendedor15!$E$9)</f>
        <v>300</v>
      </c>
      <c r="G18" s="181">
        <f>IF(Vendedor15!$C$13="",0,Vendedor15!$C$13)</f>
        <v>45850</v>
      </c>
      <c r="H18" s="30">
        <f>IF(Vendedor15!$E$13="",0,Vendedor15!$E$13)</f>
        <v>1500</v>
      </c>
      <c r="I18" s="181">
        <f>IF(Vendedor15!$C$17="",0,Vendedor15!$C$17)</f>
        <v>26900</v>
      </c>
      <c r="J18" s="30">
        <f>IF(Vendedor15!$E$17="",0,Vendedor15!$E$17)</f>
        <v>0</v>
      </c>
      <c r="L18" s="42">
        <f t="shared" ref="L18:L27" si="10">C18+E18+G18+I18</f>
        <v>196800</v>
      </c>
      <c r="M18" s="41">
        <f>MROUND(L18*Vendedor15!J$16,50)</f>
        <v>23600</v>
      </c>
      <c r="N18" s="42">
        <f t="shared" si="9"/>
        <v>2250</v>
      </c>
      <c r="O18" s="41">
        <f t="shared" si="3"/>
        <v>191250</v>
      </c>
      <c r="P18" s="42">
        <f>Vendedor15!$F$5+Vendedor15!$F$9+Vendedor15!$F$13+Vendedor15!$F$17</f>
        <v>191250</v>
      </c>
      <c r="R18" s="41">
        <f t="shared" si="8"/>
        <v>-18050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432800</v>
      </c>
      <c r="D32" s="44">
        <f t="shared" si="14"/>
        <v>5200</v>
      </c>
      <c r="E32" s="43">
        <f t="shared" si="14"/>
        <v>372150</v>
      </c>
      <c r="F32" s="44">
        <f t="shared" si="14"/>
        <v>3600</v>
      </c>
      <c r="G32" s="43">
        <f t="shared" si="14"/>
        <v>222450</v>
      </c>
      <c r="H32" s="44">
        <f t="shared" si="14"/>
        <v>5400</v>
      </c>
      <c r="I32" s="43">
        <f t="shared" si="14"/>
        <v>374400</v>
      </c>
      <c r="J32" s="44">
        <f t="shared" si="14"/>
        <v>1850</v>
      </c>
      <c r="L32" s="45">
        <f>SUM(L4:L31)</f>
        <v>1401800</v>
      </c>
      <c r="M32" s="45">
        <f>SUM(M7:M31)</f>
        <v>149700</v>
      </c>
      <c r="N32" s="96">
        <f>SUM(N4:N31)</f>
        <v>16050</v>
      </c>
      <c r="O32" s="46">
        <f>SUM(O4:O31)</f>
        <v>1364250</v>
      </c>
      <c r="P32" s="141">
        <f>SUM(P4:P31)</f>
        <v>1356500</v>
      </c>
      <c r="R32" s="80">
        <f>SUM(R4:R31)</f>
        <v>-132150</v>
      </c>
    </row>
    <row r="33" spans="3:15" x14ac:dyDescent="0.35">
      <c r="D33" s="121">
        <f>+D32*85</f>
        <v>442000</v>
      </c>
      <c r="F33" s="121">
        <f>+F32*85</f>
        <v>306000</v>
      </c>
      <c r="H33" s="121">
        <f>+H32*85</f>
        <v>459000</v>
      </c>
      <c r="J33" s="121">
        <f>+J32*85</f>
        <v>157250</v>
      </c>
    </row>
    <row r="34" spans="3:15" ht="15" thickBot="1" x14ac:dyDescent="0.4"/>
    <row r="35" spans="3:15" x14ac:dyDescent="0.35">
      <c r="C35" s="276" t="s">
        <v>89</v>
      </c>
      <c r="D35" s="276"/>
      <c r="N35" s="150"/>
      <c r="O35" s="43"/>
    </row>
    <row r="36" spans="3:15" x14ac:dyDescent="0.35">
      <c r="C36" s="47" t="s">
        <v>28</v>
      </c>
      <c r="D36" s="30">
        <f>+C32+E32+G32+I32</f>
        <v>1401800</v>
      </c>
      <c r="E36" s="43">
        <f>+D36-L4-L5-L6</f>
        <v>1247650</v>
      </c>
    </row>
    <row r="37" spans="3:15" x14ac:dyDescent="0.35">
      <c r="C37" s="47" t="s">
        <v>33</v>
      </c>
      <c r="D37" s="48">
        <f>D36*13%</f>
        <v>182234</v>
      </c>
      <c r="E37">
        <f>+D37-M4-M5-M6</f>
        <v>162234</v>
      </c>
    </row>
    <row r="38" spans="3:15" x14ac:dyDescent="0.35">
      <c r="C38" s="47" t="s">
        <v>30</v>
      </c>
      <c r="D38" s="30">
        <f>SUM(O4:O27)</f>
        <v>1364250</v>
      </c>
      <c r="G38" s="101"/>
    </row>
    <row r="39" spans="3:15" ht="15" thickBot="1" x14ac:dyDescent="0.4">
      <c r="C39" s="49" t="s">
        <v>4</v>
      </c>
      <c r="D39" s="81">
        <f>+D36-D37-D38</f>
        <v>-144684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-144684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80" t="s">
        <v>38</v>
      </c>
      <c r="B1" s="80"/>
      <c r="C1" s="264" t="s">
        <v>71</v>
      </c>
      <c r="D1" s="265"/>
      <c r="E1" s="264" t="s">
        <v>72</v>
      </c>
      <c r="F1" s="265"/>
      <c r="G1" s="264" t="s">
        <v>73</v>
      </c>
      <c r="H1" s="265"/>
    </row>
    <row r="2" spans="1:17" ht="14.5" customHeight="1" x14ac:dyDescent="0.35">
      <c r="C2" s="266" t="str">
        <f>IF(C33=0,"",CONCATENATE(PREMIOS!$B7," ",PREMIOS!$B8))</f>
        <v>09 Blanca</v>
      </c>
      <c r="D2" s="267"/>
      <c r="E2" s="266" t="str">
        <f>IF(E33=0,"",CONCATENATE(PREMIOS!$B11," ",PREMIOS!$B12))</f>
        <v>14 Blanca</v>
      </c>
      <c r="F2" s="267"/>
      <c r="G2" s="266" t="str">
        <f>IF(G33=0,"",CONCATENATE(PREMIOS!$B15," ",PREMIOS!$B16))</f>
        <v>72 Blanca</v>
      </c>
      <c r="H2" s="267"/>
    </row>
    <row r="3" spans="1:17" ht="15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27350</v>
      </c>
      <c r="D10" s="30">
        <f>IF(Vendedor7!$E$8="",0,Vendedor7!$E$8)</f>
        <v>250</v>
      </c>
      <c r="E10" s="181">
        <f>IF(Vendedor7!$C$12="",0,Vendedor7!$C$12)</f>
        <v>34850</v>
      </c>
      <c r="F10" s="30">
        <f>IF(Vendedor7!$E$12="",0,Vendedor7!$E$12)</f>
        <v>1100</v>
      </c>
      <c r="G10" s="181">
        <f>IF(Vendedor7!$C$16="",0,Vendedor7!$C$16)</f>
        <v>48750</v>
      </c>
      <c r="H10" s="30">
        <f>IF(Vendedor7!$E$16="",0,Vendedor7!$E$16)</f>
        <v>0</v>
      </c>
      <c r="J10" s="42">
        <f t="shared" si="1"/>
        <v>110950</v>
      </c>
      <c r="K10" s="41">
        <f>J10*Vendedor7!J$16</f>
        <v>11095</v>
      </c>
      <c r="L10" s="42">
        <f t="shared" si="2"/>
        <v>0</v>
      </c>
      <c r="M10" s="42">
        <f t="shared" si="3"/>
        <v>1350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99855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3250</v>
      </c>
      <c r="D12" s="30">
        <f>IF(Vendedor9!$E$8="",0,Vendedor9!$E$8)</f>
        <v>0</v>
      </c>
      <c r="E12" s="181">
        <f>IF(Vendedor9!$C$12="",0,Vendedor9!$C$12)</f>
        <v>1000</v>
      </c>
      <c r="F12" s="30">
        <f>IF(Vendedor9!$E$12="",0,Vendedor9!$E$12)</f>
        <v>0</v>
      </c>
      <c r="G12" s="181">
        <f>IF(Vendedor9!$C$16="",0,Vendedor9!$C$16)</f>
        <v>1500</v>
      </c>
      <c r="H12" s="30">
        <f>IF(Vendedor9!$E$16="",0,Vendedor9!$E$16)</f>
        <v>0</v>
      </c>
      <c r="J12" s="42">
        <f t="shared" si="1"/>
        <v>5750</v>
      </c>
      <c r="K12" s="41">
        <f>J12*Vendedor9!J$13</f>
        <v>575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5175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200</v>
      </c>
      <c r="H16" s="30">
        <f>IF(Vendedor13!$E$16="",0,Vendedor13!$E$16)</f>
        <v>0</v>
      </c>
      <c r="J16" s="42">
        <f t="shared" si="1"/>
        <v>200</v>
      </c>
      <c r="K16" s="41">
        <f>J16*Vendedor13!J$13</f>
        <v>20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180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49850</v>
      </c>
      <c r="D17" s="30">
        <f>IF(Vendedor14!$E$8="",0,Vendedor14!$E$8)</f>
        <v>2250</v>
      </c>
      <c r="E17" s="181">
        <f>IF(Vendedor14!$C$12="",0,Vendedor14!$C$12)</f>
        <v>21750</v>
      </c>
      <c r="F17" s="30">
        <f>IF(Vendedor14!$E$12="",0,Vendedor14!$E$12)</f>
        <v>200</v>
      </c>
      <c r="G17" s="181">
        <f>IF(Vendedor14!$C$16="",0,Vendedor14!$C$16)</f>
        <v>37400</v>
      </c>
      <c r="H17" s="30">
        <f>IF(Vendedor14!$E$16="",0,Vendedor14!$E$16)</f>
        <v>350</v>
      </c>
      <c r="J17" s="42">
        <f t="shared" si="1"/>
        <v>109000</v>
      </c>
      <c r="K17" s="41">
        <f>J17*Vendedor14!J$17</f>
        <v>10900</v>
      </c>
      <c r="L17" s="42">
        <f t="shared" si="2"/>
        <v>0</v>
      </c>
      <c r="M17" s="42">
        <f t="shared" si="3"/>
        <v>2800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98100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34450</v>
      </c>
      <c r="D18" s="30">
        <f>IF(Vendedor15!$E$8="",0,Vendedor15!$E$8)</f>
        <v>700</v>
      </c>
      <c r="E18" s="181">
        <f>IF(Vendedor15!$C$12="",0,Vendedor15!$C$12)</f>
        <v>22200</v>
      </c>
      <c r="F18" s="30">
        <f>IF(Vendedor15!$E$12="",0,Vendedor15!$E$12)</f>
        <v>300</v>
      </c>
      <c r="G18" s="181">
        <f>IF(Vendedor15!$C$16="",0,Vendedor15!$C$16)</f>
        <v>26650</v>
      </c>
      <c r="H18" s="30">
        <f>IF(Vendedor15!$E$16="",0,Vendedor15!$E$16)</f>
        <v>0</v>
      </c>
      <c r="J18" s="42">
        <f t="shared" ref="J18" si="5">+C18+E18+G18</f>
        <v>83300</v>
      </c>
      <c r="K18" s="41">
        <f>J18*Vendedor15!J$17</f>
        <v>8330</v>
      </c>
      <c r="L18" s="42">
        <f t="shared" si="2"/>
        <v>0</v>
      </c>
      <c r="M18" s="42">
        <f t="shared" si="3"/>
        <v>1000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74970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114900</v>
      </c>
      <c r="D33" s="44">
        <f>IF(PREMIOS!E8&lt;&gt;0,SUM(D4:D32),0)</f>
        <v>0</v>
      </c>
      <c r="E33" s="43">
        <f>SUM(E4:E32)</f>
        <v>79800</v>
      </c>
      <c r="F33" s="44">
        <f>IF(PREMIOS!E12&lt;&gt;0,SUM(F4:F32),0)</f>
        <v>0</v>
      </c>
      <c r="G33" s="43">
        <f>SUM(G4:G32)</f>
        <v>114500</v>
      </c>
      <c r="H33" s="44">
        <f>IF(PREMIOS!E16&lt;&gt;0,SUM(H4:H32),0)</f>
        <v>0</v>
      </c>
      <c r="J33" s="45">
        <f>SUM(J4:J32)</f>
        <v>309200</v>
      </c>
      <c r="K33" s="45">
        <f>SUM(K7:K32)</f>
        <v>30920</v>
      </c>
      <c r="L33" s="96">
        <f>SUM(L7:L32)</f>
        <v>0</v>
      </c>
      <c r="M33" s="96">
        <f>SUM(M7:M32)</f>
        <v>5150</v>
      </c>
      <c r="N33" s="96">
        <f>SUM(N4:N27)</f>
        <v>0</v>
      </c>
      <c r="O33" s="96">
        <f>SUM(O4:O27)</f>
        <v>0</v>
      </c>
      <c r="Q33" s="80">
        <f>SUM(Q4:Q32)</f>
        <v>278280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9" t="s">
        <v>90</v>
      </c>
      <c r="D36" s="279"/>
      <c r="F36" s="280" t="s">
        <v>94</v>
      </c>
      <c r="G36" s="280" t="s">
        <v>95</v>
      </c>
    </row>
    <row r="37" spans="3:17" ht="14.5" customHeight="1" x14ac:dyDescent="0.35">
      <c r="C37" s="47" t="s">
        <v>28</v>
      </c>
      <c r="D37" s="30">
        <f>+C33+E33+G33</f>
        <v>309200</v>
      </c>
      <c r="E37" s="43">
        <f>+D37-J4-J5-J6</f>
        <v>309200</v>
      </c>
      <c r="F37" s="281"/>
      <c r="G37" s="281"/>
    </row>
    <row r="38" spans="3:17" ht="15" thickBot="1" x14ac:dyDescent="0.4">
      <c r="C38" s="47" t="s">
        <v>33</v>
      </c>
      <c r="D38" s="30">
        <f>D37*10%</f>
        <v>30920</v>
      </c>
      <c r="E38" s="43">
        <f>+D38-K4-K5-K6</f>
        <v>30920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1">
        <f>+D37-D38-D39</f>
        <v>278280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278280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64" t="s">
        <v>113</v>
      </c>
      <c r="D1" s="265"/>
      <c r="E1" s="264" t="s">
        <v>98</v>
      </c>
      <c r="F1" s="265"/>
    </row>
    <row r="2" spans="1:14" ht="14.5" customHeight="1" x14ac:dyDescent="0.35">
      <c r="C2" s="266">
        <f>DigitaPRIMERA!C2</f>
        <v>90</v>
      </c>
      <c r="D2" s="267"/>
      <c r="E2" s="266">
        <f>DigitaPRIMERA!E2</f>
        <v>89</v>
      </c>
      <c r="F2" s="267"/>
    </row>
    <row r="3" spans="1:14" ht="14.5" customHeight="1" thickBot="1" x14ac:dyDescent="0.4">
      <c r="C3" s="266"/>
      <c r="D3" s="267"/>
      <c r="E3" s="266"/>
      <c r="F3" s="267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5600</v>
      </c>
      <c r="D4" s="79">
        <f>IF(Vendedor1!$E$19="",0,Vendedor1!$E$19)</f>
        <v>400</v>
      </c>
      <c r="E4" s="190">
        <f>IF(Vendedor1!$C$20="",0,Vendedor1!$C$20)</f>
        <v>2700</v>
      </c>
      <c r="F4" s="79">
        <f>IF(Vendedor1!$E$20="",0,Vendedor1!$E$20)</f>
        <v>0</v>
      </c>
      <c r="H4" s="42">
        <f>+C4+E4</f>
        <v>8300</v>
      </c>
      <c r="I4" s="41">
        <f>MROUND(H4*Vendedor1!J$9,50)</f>
        <v>1100</v>
      </c>
      <c r="J4" s="42">
        <f>+D4+F4</f>
        <v>400</v>
      </c>
      <c r="K4" s="42">
        <f>+J4*85</f>
        <v>34000</v>
      </c>
      <c r="L4" s="42">
        <f>Vendedor1!$F$19+Vendedor1!$F$20</f>
        <v>32000</v>
      </c>
      <c r="N4" s="42">
        <f t="shared" ref="N4:N31" si="0">+H4-I4-L4</f>
        <v>-24800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16300</v>
      </c>
      <c r="D5" s="30">
        <f>IF(Vendedor2!$E$19="",0,Vendedor2!$E$19)</f>
        <v>1700</v>
      </c>
      <c r="E5" s="181">
        <f>IF(Vendedor2!$C$20="",0,Vendedor2!$C$20)</f>
        <v>3300</v>
      </c>
      <c r="F5" s="30">
        <f>IF(Vendedor2!$E$20="",0,Vendedor2!$E$20)</f>
        <v>400</v>
      </c>
      <c r="H5" s="42">
        <f t="shared" ref="H5:H31" si="1">+C5+E5</f>
        <v>19600</v>
      </c>
      <c r="I5" s="41">
        <f>MROUND(H5*Vendedor2!J$9,50)</f>
        <v>2550</v>
      </c>
      <c r="J5" s="42">
        <f t="shared" ref="J5:J31" si="2">+D5+F5</f>
        <v>2100</v>
      </c>
      <c r="K5" s="42">
        <f t="shared" ref="K5:K27" si="3">+J5*85</f>
        <v>178500</v>
      </c>
      <c r="L5" s="42">
        <f>Vendedor2!$F$19+Vendedor2!$F$20</f>
        <v>168000</v>
      </c>
      <c r="N5" s="42">
        <f t="shared" si="0"/>
        <v>-150950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0</v>
      </c>
      <c r="D8" s="30">
        <f>IF(Vendedor5!$E$19="",0,Vendedor5!$E$19)</f>
        <v>0</v>
      </c>
      <c r="E8" s="181">
        <f>IF(Vendedor5!$C$20="",0,Vendedor5!$C$20)</f>
        <v>0</v>
      </c>
      <c r="F8" s="30">
        <f>IF(Vendedor5!$E$20="",0,Vendedor5!$E$20)</f>
        <v>0</v>
      </c>
      <c r="H8" s="134">
        <f t="shared" si="1"/>
        <v>0</v>
      </c>
      <c r="I8" s="149">
        <f>MROUND(H8*Vendedor5!J$11,50)</f>
        <v>0</v>
      </c>
      <c r="J8" s="134">
        <f t="shared" si="2"/>
        <v>0</v>
      </c>
      <c r="K8" s="134">
        <f t="shared" si="3"/>
        <v>0</v>
      </c>
      <c r="L8" s="134">
        <f>Vendedor5!$F$19+Vendedor5!$F$20</f>
        <v>0</v>
      </c>
      <c r="M8" s="156"/>
      <c r="N8" s="134">
        <f t="shared" si="0"/>
        <v>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41000</v>
      </c>
      <c r="D10" s="30">
        <f>IF(Vendedor7!$E$19="",0,Vendedor7!$E$19)</f>
        <v>100</v>
      </c>
      <c r="E10" s="181">
        <f>IF(Vendedor7!$C$20="",0,Vendedor7!$C$20)</f>
        <v>41050</v>
      </c>
      <c r="F10" s="30">
        <f>IF(Vendedor7!$E$20="",0,Vendedor7!$E$20)</f>
        <v>0</v>
      </c>
      <c r="H10" s="42">
        <f t="shared" si="1"/>
        <v>82050</v>
      </c>
      <c r="I10" s="41">
        <f>MROUND(H10*Vendedor7!J$14,50)</f>
        <v>9850</v>
      </c>
      <c r="J10" s="42">
        <f t="shared" si="2"/>
        <v>100</v>
      </c>
      <c r="K10" s="42">
        <f t="shared" si="3"/>
        <v>8500</v>
      </c>
      <c r="L10" s="42">
        <f>Vendedor7!$F$19+Vendedor7!$F$20</f>
        <v>8500</v>
      </c>
      <c r="N10" s="42">
        <f t="shared" si="0"/>
        <v>63700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45050</v>
      </c>
      <c r="D12" s="30">
        <f>IF(Vendedor9!$E$19="",0,Vendedor9!$E$19)</f>
        <v>950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45050</v>
      </c>
      <c r="I12" s="149">
        <f>MROUND(H12*Vendedor9!J$11,50)</f>
        <v>5400</v>
      </c>
      <c r="J12" s="134">
        <f t="shared" si="2"/>
        <v>950</v>
      </c>
      <c r="K12" s="134">
        <f t="shared" si="3"/>
        <v>80750</v>
      </c>
      <c r="L12" s="134">
        <f>Vendedor9!$F$19+Vendedor9!$F$20</f>
        <v>80750</v>
      </c>
      <c r="M12" s="156"/>
      <c r="N12" s="134">
        <f t="shared" si="0"/>
        <v>-41100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0</v>
      </c>
      <c r="I16" s="149">
        <f>MROUND(H16*Vendedor13!J$11,50)</f>
        <v>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76200</v>
      </c>
      <c r="D17" s="30">
        <f>IF(Vendedor14!$E$19="",0,Vendedor14!$E$19)</f>
        <v>950</v>
      </c>
      <c r="E17" s="181">
        <f>IF(Vendedor14!$C$20="",0,Vendedor14!$C$20)</f>
        <v>34500</v>
      </c>
      <c r="F17" s="30">
        <f>IF(Vendedor14!$E$20="",0,Vendedor14!$E$20)</f>
        <v>0</v>
      </c>
      <c r="H17" s="42">
        <f t="shared" si="1"/>
        <v>110700</v>
      </c>
      <c r="I17" s="41">
        <f>MROUND(H17*Vendedor14!J$15,50)</f>
        <v>13300</v>
      </c>
      <c r="J17" s="42">
        <f t="shared" si="2"/>
        <v>950</v>
      </c>
      <c r="K17" s="42">
        <f t="shared" si="3"/>
        <v>80750</v>
      </c>
      <c r="L17" s="42">
        <f>Vendedor14!$F$19+Vendedor14!$F$20</f>
        <v>80750</v>
      </c>
      <c r="N17" s="42">
        <f t="shared" si="0"/>
        <v>16650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66900</v>
      </c>
      <c r="D18" s="30">
        <f>IF(Vendedor15!$E$19="",0,Vendedor15!$E$19)</f>
        <v>1050</v>
      </c>
      <c r="E18" s="181">
        <f>IF(Vendedor15!$C$20="",0,Vendedor15!$C$20)</f>
        <v>61550</v>
      </c>
      <c r="F18" s="30">
        <f>IF(Vendedor15!$E$20="",0,Vendedor15!$E$20)</f>
        <v>300</v>
      </c>
      <c r="H18" s="42">
        <f t="shared" si="1"/>
        <v>128450</v>
      </c>
      <c r="I18" s="41">
        <f>MROUND(H18*Vendedor15!J$15,50)</f>
        <v>15400</v>
      </c>
      <c r="J18" s="42">
        <f t="shared" si="2"/>
        <v>1350</v>
      </c>
      <c r="K18" s="42">
        <f t="shared" si="3"/>
        <v>114750</v>
      </c>
      <c r="L18" s="42">
        <f>Vendedor15!$F$19+Vendedor15!$F$20</f>
        <v>114750</v>
      </c>
      <c r="N18" s="42">
        <f t="shared" si="0"/>
        <v>-1700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251050</v>
      </c>
      <c r="D32" s="44">
        <f>SUM(D4:D31)</f>
        <v>5150</v>
      </c>
      <c r="E32" s="43">
        <f>SUM(E4:E31)</f>
        <v>143100</v>
      </c>
      <c r="F32" s="44">
        <f>SUM(F4:F31)</f>
        <v>700</v>
      </c>
      <c r="H32" s="96">
        <f>SUM(H4:H31)</f>
        <v>394150</v>
      </c>
      <c r="I32" s="45">
        <f>SUM(I7:I31)</f>
        <v>43950</v>
      </c>
      <c r="J32" s="96"/>
      <c r="K32" s="96">
        <f>SUM(K4:K31)</f>
        <v>497250</v>
      </c>
      <c r="L32" s="96">
        <f>SUM(L4:L31)</f>
        <v>484750</v>
      </c>
      <c r="N32" s="80">
        <f>SUM(N4:N31)</f>
        <v>-138200</v>
      </c>
    </row>
    <row r="33" spans="3:6" x14ac:dyDescent="0.35">
      <c r="D33" s="100">
        <f>+D32*85</f>
        <v>437750</v>
      </c>
      <c r="F33" s="100">
        <f>+F32*85</f>
        <v>59500</v>
      </c>
    </row>
    <row r="34" spans="3:6" ht="15" thickBot="1" x14ac:dyDescent="0.4"/>
    <row r="35" spans="3:6" x14ac:dyDescent="0.35">
      <c r="C35" s="276" t="s">
        <v>89</v>
      </c>
      <c r="D35" s="276"/>
    </row>
    <row r="36" spans="3:6" x14ac:dyDescent="0.35">
      <c r="C36" s="47" t="s">
        <v>28</v>
      </c>
      <c r="D36" s="30">
        <f>+C32+E32</f>
        <v>394150</v>
      </c>
      <c r="E36" s="43">
        <f>+D36-H4-H5-H6</f>
        <v>366250</v>
      </c>
    </row>
    <row r="37" spans="3:6" x14ac:dyDescent="0.35">
      <c r="C37" s="47" t="s">
        <v>33</v>
      </c>
      <c r="D37" s="48">
        <f>D36*13%</f>
        <v>51239.5</v>
      </c>
      <c r="E37">
        <f>+D37-I4-I5-I6</f>
        <v>47589.5</v>
      </c>
    </row>
    <row r="38" spans="3:6" ht="15" thickBot="1" x14ac:dyDescent="0.4">
      <c r="C38" s="47" t="s">
        <v>30</v>
      </c>
      <c r="D38" s="30">
        <f>SUM(K4:K27)</f>
        <v>497250</v>
      </c>
    </row>
    <row r="39" spans="3:6" ht="15" thickBot="1" x14ac:dyDescent="0.4">
      <c r="C39" s="49" t="s">
        <v>4</v>
      </c>
      <c r="D39" s="81">
        <f>+D36-D37-D38</f>
        <v>-154339.5</v>
      </c>
      <c r="F39" s="99">
        <f>+N32-D39</f>
        <v>16139.5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-154339.5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5"/>
  <dimension ref="A1:P43"/>
  <sheetViews>
    <sheetView showGridLines="0" zoomScale="90" zoomScaleNormal="90" workbookViewId="0">
      <selection activeCell="E15" sqref="E15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64" t="s">
        <v>132</v>
      </c>
      <c r="D1" s="265"/>
      <c r="E1" s="264" t="s">
        <v>133</v>
      </c>
      <c r="F1" s="265"/>
      <c r="G1" s="264" t="s">
        <v>134</v>
      </c>
      <c r="H1" s="265"/>
    </row>
    <row r="2" spans="1:16" x14ac:dyDescent="0.35">
      <c r="C2" s="266">
        <f>DigitaHONDURAS!C2</f>
        <v>52</v>
      </c>
      <c r="D2" s="267"/>
      <c r="E2" s="266">
        <f>DigitaHONDURAS!E2</f>
        <v>83</v>
      </c>
      <c r="F2" s="267"/>
      <c r="G2" s="266">
        <f>DigitaHONDURAS!G2</f>
        <v>96</v>
      </c>
      <c r="H2" s="267"/>
    </row>
    <row r="3" spans="1:16" x14ac:dyDescent="0.35">
      <c r="C3" s="277"/>
      <c r="D3" s="278"/>
      <c r="E3" s="277"/>
      <c r="F3" s="278"/>
      <c r="G3" s="277"/>
      <c r="H3" s="278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4700</v>
      </c>
      <c r="D10" s="30">
        <f>IF(Vendedor7!$E$21="",0,Vendedor7!$E$21)</f>
        <v>0</v>
      </c>
      <c r="E10" s="181">
        <f>IF(Vendedor7!$C$22="",0,Vendedor7!$C$22)</f>
        <v>23300</v>
      </c>
      <c r="F10" s="30">
        <f>IF(Vendedor7!$E$22="",0,Vendedor7!$E$22)</f>
        <v>0</v>
      </c>
      <c r="G10" s="181">
        <f>IF(Vendedor7!$C$23="",0,Vendedor7!$C$23)</f>
        <v>34500</v>
      </c>
      <c r="H10" s="30">
        <f>IF(Vendedor7!$E$23="",0,Vendedor7!$E$23)</f>
        <v>0</v>
      </c>
      <c r="J10" s="42">
        <f t="shared" si="0"/>
        <v>62500</v>
      </c>
      <c r="K10" s="41">
        <f>MROUND(J10*Vendedor7!J$14,50)</f>
        <v>7500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55000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5100</v>
      </c>
      <c r="D12" s="30">
        <f>IF(Vendedor9!$E$21="",0,Vendedor9!$E$21)</f>
        <v>200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5100</v>
      </c>
      <c r="K12" s="41">
        <f>MROUND(J12*Vendedor9!J$14,50)</f>
        <v>600</v>
      </c>
      <c r="L12" s="42">
        <f t="shared" ref="L12" si="5">+D12+F12+H12</f>
        <v>200</v>
      </c>
      <c r="M12" s="42">
        <f t="shared" si="3"/>
        <v>17000</v>
      </c>
      <c r="N12" s="42">
        <f>Vendedor9!$F$21+Vendedor9!$F$22+Vendedor9!$F$23</f>
        <v>17000</v>
      </c>
      <c r="P12" s="42">
        <f t="shared" ref="P12" si="6">+J12-K12-N12</f>
        <v>-12500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IF(Vendedor13!$C$21="",0,Vendedor13!$C$21)</f>
        <v>0</v>
      </c>
      <c r="D16" s="30">
        <f>IF(Vendedor13!$E$21="",0,Vendedor13!$E$21)</f>
        <v>0</v>
      </c>
      <c r="E16" s="181">
        <f>IF(Vendedor13!$C$22="",0,Vendedor13!$C$22)</f>
        <v>2700</v>
      </c>
      <c r="F16" s="30">
        <f>IF(Vendedor13!$E$22="",0,Vendedor13!$E$22)</f>
        <v>0</v>
      </c>
      <c r="G16" s="181">
        <f>IF(Vendedor13!$C$23="",0,Vendedor13!$C$23)</f>
        <v>0</v>
      </c>
      <c r="H16" s="30">
        <f>IF(Vendedor13!$E$23="",0,Vendedor13!$E$23)</f>
        <v>0</v>
      </c>
      <c r="J16" s="134">
        <f t="shared" si="0"/>
        <v>2700</v>
      </c>
      <c r="K16" s="149">
        <f>MROUND(J16*Vendedor13!J$11,50)</f>
        <v>300</v>
      </c>
      <c r="L16" s="134">
        <f t="shared" si="1"/>
        <v>0</v>
      </c>
      <c r="M16" s="134">
        <f t="shared" si="3"/>
        <v>0</v>
      </c>
      <c r="N16" s="134"/>
      <c r="P16" s="42">
        <f t="shared" si="2"/>
        <v>2400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36600</v>
      </c>
      <c r="D17" s="30">
        <f>IF(Vendedor14!$E$21="",0,Vendedor14!$E$21)</f>
        <v>700</v>
      </c>
      <c r="E17" s="181">
        <f>IF(Vendedor14!$C$22="",0,Vendedor14!$C$22)</f>
        <v>11850</v>
      </c>
      <c r="F17" s="30">
        <f>IF(Vendedor14!$E$22="",0,Vendedor14!$E$22)</f>
        <v>0</v>
      </c>
      <c r="G17" s="181">
        <f>IF(Vendedor14!$C$23="",0,Vendedor14!$C$23)</f>
        <v>25350</v>
      </c>
      <c r="H17" s="30">
        <f>IF(Vendedor14!$E$23="",0,Vendedor14!$E$23)</f>
        <v>0</v>
      </c>
      <c r="J17" s="42">
        <f t="shared" si="0"/>
        <v>73800</v>
      </c>
      <c r="K17" s="41">
        <f>MROUND(J17*Vendedor14!J$15,50)</f>
        <v>8850</v>
      </c>
      <c r="L17" s="42">
        <f t="shared" si="1"/>
        <v>700</v>
      </c>
      <c r="M17" s="42">
        <f t="shared" si="3"/>
        <v>59500</v>
      </c>
      <c r="N17" s="42">
        <f>Vendedor14!$F$21+Vendedor14!$F$22+Vendedor14!$F$23</f>
        <v>59500</v>
      </c>
      <c r="P17" s="42">
        <f t="shared" si="2"/>
        <v>5450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20100</v>
      </c>
      <c r="D18" s="30">
        <f>IF(Vendedor15!$E$21="",0,Vendedor15!$E$21)</f>
        <v>100</v>
      </c>
      <c r="E18" s="181">
        <f>IF(Vendedor15!$C$22="",0,Vendedor15!$C$22)</f>
        <v>4100</v>
      </c>
      <c r="F18" s="30">
        <f>IF(Vendedor15!$E$22="",0,Vendedor15!$E$22)</f>
        <v>0</v>
      </c>
      <c r="G18" s="181">
        <f>IF(Vendedor15!$C$23="",0,Vendedor15!$C$23)</f>
        <v>0</v>
      </c>
      <c r="H18" s="30">
        <f>IF(Vendedor15!$E$23="",0,Vendedor15!$E$23)</f>
        <v>0</v>
      </c>
      <c r="J18" s="42">
        <f t="shared" si="0"/>
        <v>24200</v>
      </c>
      <c r="K18" s="41">
        <f>MROUND(J18*Vendedor15!J$15,50)</f>
        <v>2900</v>
      </c>
      <c r="L18" s="42">
        <f t="shared" si="1"/>
        <v>100</v>
      </c>
      <c r="M18" s="42">
        <f t="shared" si="3"/>
        <v>8500</v>
      </c>
      <c r="N18" s="42">
        <f>Vendedor15!$F$21+Vendedor15!$F$22+Vendedor15!$F$23</f>
        <v>8500</v>
      </c>
      <c r="P18" s="42">
        <f t="shared" si="2"/>
        <v>12800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66500</v>
      </c>
      <c r="D32" s="44">
        <f t="shared" si="8"/>
        <v>1000</v>
      </c>
      <c r="E32" s="43">
        <f t="shared" si="8"/>
        <v>41950</v>
      </c>
      <c r="F32" s="44">
        <f t="shared" si="8"/>
        <v>0</v>
      </c>
      <c r="G32" s="43">
        <f t="shared" si="8"/>
        <v>59850</v>
      </c>
      <c r="H32" s="44">
        <f t="shared" si="8"/>
        <v>0</v>
      </c>
      <c r="J32" s="96">
        <f>SUM(J4:J31)</f>
        <v>168300</v>
      </c>
      <c r="K32" s="45">
        <f>SUM(K7:K31)</f>
        <v>20150</v>
      </c>
      <c r="L32" s="96"/>
      <c r="M32" s="96">
        <f>SUM(M4:M31)</f>
        <v>85000</v>
      </c>
      <c r="N32" s="96">
        <f>SUM(N4:N31)</f>
        <v>85000</v>
      </c>
      <c r="P32" s="80">
        <f>SUM(P4:P31)</f>
        <v>63150</v>
      </c>
    </row>
    <row r="33" spans="3:8" x14ac:dyDescent="0.35">
      <c r="D33" s="100">
        <f>+D32*85</f>
        <v>85000</v>
      </c>
      <c r="F33" s="100">
        <f>+F32*85</f>
        <v>0</v>
      </c>
      <c r="H33" s="100">
        <f>+H32*85</f>
        <v>0</v>
      </c>
    </row>
    <row r="34" spans="3:8" ht="15" thickBot="1" x14ac:dyDescent="0.4"/>
    <row r="35" spans="3:8" x14ac:dyDescent="0.35">
      <c r="C35" s="276" t="s">
        <v>89</v>
      </c>
      <c r="D35" s="276"/>
    </row>
    <row r="36" spans="3:8" x14ac:dyDescent="0.35">
      <c r="C36" s="47" t="s">
        <v>28</v>
      </c>
      <c r="D36" s="30">
        <f>+C32+E32+G32</f>
        <v>168300</v>
      </c>
      <c r="E36" s="43">
        <f>+D36-J4-J5-J6</f>
        <v>168300</v>
      </c>
    </row>
    <row r="37" spans="3:8" x14ac:dyDescent="0.35">
      <c r="C37" s="47" t="s">
        <v>33</v>
      </c>
      <c r="D37" s="48">
        <f>D36*13%</f>
        <v>21879</v>
      </c>
      <c r="E37">
        <f>+D37-K4-K5-K6</f>
        <v>21879</v>
      </c>
    </row>
    <row r="38" spans="3:8" ht="15" thickBot="1" x14ac:dyDescent="0.4">
      <c r="C38" s="47" t="s">
        <v>30</v>
      </c>
      <c r="D38" s="30">
        <f>SUM(M4:M27)</f>
        <v>85000</v>
      </c>
      <c r="G38" s="101"/>
    </row>
    <row r="39" spans="3:8" ht="15" thickBot="1" x14ac:dyDescent="0.4">
      <c r="C39" s="49" t="s">
        <v>4</v>
      </c>
      <c r="D39" s="81">
        <f>+D36-D37-D38</f>
        <v>61421</v>
      </c>
      <c r="F39" s="99">
        <f>+P32-D39</f>
        <v>1729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61421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64" t="s">
        <v>114</v>
      </c>
      <c r="D1" s="265"/>
      <c r="E1" s="264" t="s">
        <v>115</v>
      </c>
      <c r="F1" s="265"/>
    </row>
    <row r="2" spans="1:14" x14ac:dyDescent="0.35">
      <c r="C2" s="266">
        <f>DigitaDOMINICANA!C2</f>
        <v>40</v>
      </c>
      <c r="D2" s="267"/>
      <c r="E2" s="266">
        <f>DigitaDOMINICANA!E2</f>
        <v>85</v>
      </c>
      <c r="F2" s="267"/>
    </row>
    <row r="3" spans="1:14" ht="15" thickBot="1" x14ac:dyDescent="0.4">
      <c r="C3" s="266"/>
      <c r="D3" s="267"/>
      <c r="E3" s="266"/>
      <c r="F3" s="267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36000</v>
      </c>
      <c r="D10" s="30">
        <f>IF(Vendedor7!$E$24="",0,Vendedor7!$E$24)</f>
        <v>0</v>
      </c>
      <c r="E10" s="181">
        <f>IF(Vendedor7!$C$25="",0,Vendedor7!$C$25)</f>
        <v>34300</v>
      </c>
      <c r="F10" s="30">
        <f>IF(Vendedor7!$E$25="",0,Vendedor7!$E$25)</f>
        <v>0</v>
      </c>
      <c r="H10" s="42">
        <f t="shared" si="1"/>
        <v>70300</v>
      </c>
      <c r="I10" s="41">
        <f>MROUND(H10*Vendedor7!J$14,50)</f>
        <v>8450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61850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36000</v>
      </c>
      <c r="D32" s="44">
        <f>SUM(D4:D31)</f>
        <v>0</v>
      </c>
      <c r="E32" s="43">
        <f>SUM(E4:E31)</f>
        <v>34300</v>
      </c>
      <c r="F32" s="44">
        <f>SUM(F4:F31)</f>
        <v>0</v>
      </c>
      <c r="H32" s="96">
        <f>SUM(H4:H31)</f>
        <v>70300</v>
      </c>
      <c r="I32" s="45">
        <f>SUM(I7:I31)</f>
        <v>8450</v>
      </c>
      <c r="J32" s="96"/>
      <c r="K32" s="96">
        <f>SUM(K4:K31)</f>
        <v>0</v>
      </c>
      <c r="L32" s="96">
        <f>SUM(L4:L31)</f>
        <v>0</v>
      </c>
      <c r="N32" s="80">
        <f>SUM(N4:N31)</f>
        <v>61850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76" t="s">
        <v>89</v>
      </c>
      <c r="D35" s="276"/>
    </row>
    <row r="36" spans="3:6" x14ac:dyDescent="0.35">
      <c r="C36" s="47" t="s">
        <v>28</v>
      </c>
      <c r="D36" s="30">
        <f>+C32+E32</f>
        <v>70300</v>
      </c>
      <c r="E36" s="43">
        <f>+D36-H4-H5-H6</f>
        <v>70300</v>
      </c>
    </row>
    <row r="37" spans="3:6" x14ac:dyDescent="0.35">
      <c r="C37" s="47" t="s">
        <v>33</v>
      </c>
      <c r="D37" s="48">
        <f>D36*13%</f>
        <v>9139</v>
      </c>
      <c r="E37">
        <f>+D37-I4-I5-I6</f>
        <v>9139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61161</v>
      </c>
      <c r="F39" s="99">
        <f>+N32-D39</f>
        <v>689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61161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64" t="s">
        <v>109</v>
      </c>
      <c r="D1" s="265"/>
    </row>
    <row r="2" spans="1:12" x14ac:dyDescent="0.35">
      <c r="C2" s="266">
        <f>DigitaPANAMENA!C2</f>
        <v>15</v>
      </c>
      <c r="D2" s="267"/>
    </row>
    <row r="3" spans="1:12" ht="15" thickBot="1" x14ac:dyDescent="0.4">
      <c r="C3" s="266"/>
      <c r="D3" s="267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76" t="s">
        <v>89</v>
      </c>
      <c r="D35" s="27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82" t="str">
        <f ca="1">CONCATENATE("Cuentas ALI ",TEXT('Ctas Banca'!I5,"dd-mm-yyyy"))</f>
        <v>Cuentas ALI 26-03-2026</v>
      </c>
      <c r="B1" s="282"/>
      <c r="C1" s="282"/>
      <c r="D1" s="282"/>
      <c r="E1" s="282"/>
      <c r="F1" s="282"/>
      <c r="G1" s="282"/>
      <c r="H1" s="21"/>
      <c r="I1" s="21"/>
    </row>
    <row r="2" spans="1:9" ht="15" thickBot="1" x14ac:dyDescent="0.4">
      <c r="A2" s="283" t="s">
        <v>137</v>
      </c>
      <c r="B2" s="283"/>
      <c r="C2" s="283"/>
      <c r="D2" s="283"/>
      <c r="E2" s="283"/>
      <c r="F2" s="283"/>
      <c r="G2" s="283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1247650</v>
      </c>
      <c r="C4" s="158">
        <f>HojaNICA!M32</f>
        <v>149700</v>
      </c>
      <c r="D4" s="151">
        <f>HojaNICA!E37</f>
        <v>162234</v>
      </c>
      <c r="E4" s="151">
        <f>HojaNICA!P32</f>
        <v>1356500</v>
      </c>
      <c r="F4" s="151">
        <f>HojaNICA!O32</f>
        <v>1364250</v>
      </c>
      <c r="G4" s="152">
        <f t="shared" ref="G4:G10" si="0">+D4-C4+F4-E4</f>
        <v>20284</v>
      </c>
      <c r="H4" s="21"/>
      <c r="I4" s="183"/>
    </row>
    <row r="5" spans="1:9" x14ac:dyDescent="0.35">
      <c r="A5" s="28" t="s">
        <v>19</v>
      </c>
      <c r="B5" s="157">
        <f>HojaTICA!$E$36</f>
        <v>1560086</v>
      </c>
      <c r="C5" s="158">
        <f>HojaTICA!K32</f>
        <v>189550</v>
      </c>
      <c r="D5" s="151">
        <f>HojaTICA!E37</f>
        <v>202829.18000000002</v>
      </c>
      <c r="E5" s="151">
        <f>HojaTICA!N32</f>
        <v>2125060</v>
      </c>
      <c r="F5" s="151">
        <f>HojaTICA!D38</f>
        <v>2136560</v>
      </c>
      <c r="G5" s="152">
        <f t="shared" si="0"/>
        <v>24779.180000000168</v>
      </c>
      <c r="H5" s="21"/>
      <c r="I5" s="183"/>
    </row>
    <row r="6" spans="1:9" x14ac:dyDescent="0.35">
      <c r="A6" s="28" t="s">
        <v>125</v>
      </c>
      <c r="B6" s="157">
        <f>HojaREVENTADO!$E$37</f>
        <v>309200</v>
      </c>
      <c r="C6" s="158">
        <f>HojaREVENTADO!K33</f>
        <v>30920</v>
      </c>
      <c r="D6" s="151">
        <f>HojaREVENTADO!E38</f>
        <v>30920</v>
      </c>
      <c r="E6" s="151">
        <f>HojaREVENTADO!O33</f>
        <v>0</v>
      </c>
      <c r="F6" s="151">
        <f>HojaREVENTADO!N33</f>
        <v>0</v>
      </c>
      <c r="G6" s="152">
        <f t="shared" si="0"/>
        <v>0</v>
      </c>
      <c r="H6" s="21"/>
      <c r="I6" s="183"/>
    </row>
    <row r="7" spans="1:9" x14ac:dyDescent="0.35">
      <c r="A7" s="28" t="s">
        <v>96</v>
      </c>
      <c r="B7" s="157">
        <f>HojaPrimera!$E$36</f>
        <v>366250</v>
      </c>
      <c r="C7" s="158">
        <f>HojaPrimera!I32</f>
        <v>43950</v>
      </c>
      <c r="D7" s="151">
        <f>HojaPrimera!E37</f>
        <v>47589.5</v>
      </c>
      <c r="E7" s="151">
        <f>HojaPrimera!L32</f>
        <v>484750</v>
      </c>
      <c r="F7" s="151">
        <f>HojaPrimera!K32</f>
        <v>497250</v>
      </c>
      <c r="G7" s="152">
        <f t="shared" si="0"/>
        <v>16139.5</v>
      </c>
      <c r="H7" s="21"/>
      <c r="I7" s="21"/>
    </row>
    <row r="8" spans="1:9" x14ac:dyDescent="0.35">
      <c r="A8" s="28" t="s">
        <v>104</v>
      </c>
      <c r="B8" s="157">
        <f>HojaHonduras!$E$36</f>
        <v>168300</v>
      </c>
      <c r="C8" s="158">
        <f>HojaHonduras!K32</f>
        <v>20150</v>
      </c>
      <c r="D8" s="151">
        <f>HojaHonduras!E37</f>
        <v>21879</v>
      </c>
      <c r="E8" s="151">
        <f>HojaHonduras!N32</f>
        <v>85000</v>
      </c>
      <c r="F8" s="151">
        <f>HojaHonduras!M32</f>
        <v>85000</v>
      </c>
      <c r="G8" s="152">
        <f t="shared" si="0"/>
        <v>1729</v>
      </c>
      <c r="H8" s="21"/>
      <c r="I8" s="21"/>
    </row>
    <row r="9" spans="1:9" x14ac:dyDescent="0.35">
      <c r="A9" s="28" t="s">
        <v>20</v>
      </c>
      <c r="B9" s="157">
        <f>HojaDominicana!$E$36</f>
        <v>70300</v>
      </c>
      <c r="C9" s="158">
        <f>HojaDominicana!I32</f>
        <v>8450</v>
      </c>
      <c r="D9" s="151">
        <f>HojaDominicana!E37</f>
        <v>9139</v>
      </c>
      <c r="E9" s="151">
        <f>HojaDominicana!L32</f>
        <v>0</v>
      </c>
      <c r="F9" s="151">
        <f>HojaDominicana!K32</f>
        <v>0</v>
      </c>
      <c r="G9" s="152">
        <f t="shared" si="0"/>
        <v>689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3721786</v>
      </c>
      <c r="C11" s="176">
        <f>SUM(C4:C10)</f>
        <v>442720</v>
      </c>
      <c r="D11" s="176">
        <f t="shared" ref="D11:F11" si="1">SUM(D4:D10)</f>
        <v>474590.68000000005</v>
      </c>
      <c r="E11" s="176">
        <f t="shared" si="1"/>
        <v>4051310</v>
      </c>
      <c r="F11" s="176">
        <f t="shared" si="1"/>
        <v>4083060</v>
      </c>
      <c r="G11" s="177">
        <f>SUM(G4:G10)</f>
        <v>63620.680000000168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28620.680000000168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83" t="s">
        <v>136</v>
      </c>
      <c r="D14" s="283"/>
      <c r="E14" s="283"/>
      <c r="F14" s="283"/>
      <c r="G14" s="283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283250</v>
      </c>
      <c r="E16" s="158">
        <f>+Vendedor1!D21</f>
        <v>36822.5</v>
      </c>
      <c r="F16" s="159">
        <f>IF(D16&lt;&gt;0,15000,0)</f>
        <v>15000</v>
      </c>
      <c r="G16" s="152">
        <f>+E16-F16</f>
        <v>21822.5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242400</v>
      </c>
      <c r="E17" s="158">
        <f>+Vendedor2!D21</f>
        <v>31512</v>
      </c>
      <c r="F17" s="159">
        <f>IF(D17&lt;&gt;0,15000,0)</f>
        <v>15000</v>
      </c>
      <c r="G17" s="152">
        <f>+E17-F17</f>
        <v>16512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525650</v>
      </c>
      <c r="E19" s="160">
        <f>SUM(E16:E18)</f>
        <v>68334.5</v>
      </c>
      <c r="F19" s="161">
        <f>SUM(F16:F18)</f>
        <v>30000</v>
      </c>
      <c r="G19" s="162">
        <f>SUM(G16:G18)</f>
        <v>38334.5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12364</v>
      </c>
      <c r="E22" s="158">
        <f>-Vendedor24!D27</f>
        <v>1483.6799999999998</v>
      </c>
      <c r="F22" s="159">
        <f>-Vendedor24!F27</f>
        <v>1050940</v>
      </c>
      <c r="G22" s="152">
        <f>+D22-E22-F22</f>
        <v>-1040059.68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-973104.49999999988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59"/>
  <dimension ref="A2:O16"/>
  <sheetViews>
    <sheetView showGridLines="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84" t="str">
        <f ca="1">CONCATENATE("Tiempos Pana ",TEXT(I5,"dd-mm-yyyy"))</f>
        <v>Tiempos Pana 26-03-2026</v>
      </c>
      <c r="B2" s="284"/>
      <c r="C2" s="284"/>
      <c r="D2" s="284"/>
      <c r="E2" s="284"/>
      <c r="F2" s="284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1401800</v>
      </c>
      <c r="C5" s="151">
        <f>HojaNICA!D37</f>
        <v>182234</v>
      </c>
      <c r="D5" s="151">
        <f>HojaNICA!D38</f>
        <v>1364250</v>
      </c>
      <c r="E5" s="151"/>
      <c r="F5" s="152">
        <f>+B5-C5-D5+E5</f>
        <v>-144684</v>
      </c>
      <c r="H5" s="251" t="s">
        <v>105</v>
      </c>
      <c r="I5" s="245">
        <f ca="1">TODAY()-1</f>
        <v>46107</v>
      </c>
      <c r="O5" s="120"/>
    </row>
    <row r="6" spans="1:15" ht="15" thickBot="1" x14ac:dyDescent="0.4">
      <c r="A6" s="47" t="s">
        <v>36</v>
      </c>
      <c r="B6" s="151">
        <f>HojaTICA!D36</f>
        <v>1903686</v>
      </c>
      <c r="C6" s="151">
        <f>HojaTICA!D37</f>
        <v>247479.18000000002</v>
      </c>
      <c r="D6" s="151">
        <f>HojaTICA!D38</f>
        <v>2136560</v>
      </c>
      <c r="E6" s="151"/>
      <c r="F6" s="152">
        <f t="shared" ref="F6:F11" si="0">+B6-C6-D6+E6</f>
        <v>-480353.17999999993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309200</v>
      </c>
      <c r="C7" s="151">
        <f>HojaREVENTADO!D38</f>
        <v>30920</v>
      </c>
      <c r="D7" s="151">
        <f>HojaREVENTADO!D39</f>
        <v>0</v>
      </c>
      <c r="E7" s="151"/>
      <c r="F7" s="152">
        <f t="shared" si="0"/>
        <v>278280</v>
      </c>
    </row>
    <row r="8" spans="1:15" x14ac:dyDescent="0.35">
      <c r="A8" s="47" t="s">
        <v>96</v>
      </c>
      <c r="B8" s="151">
        <f>HojaPrimera!$D36</f>
        <v>394150</v>
      </c>
      <c r="C8" s="151">
        <f>HojaPrimera!$D37</f>
        <v>51239.5</v>
      </c>
      <c r="D8" s="151">
        <f>HojaPrimera!$D38</f>
        <v>497250</v>
      </c>
      <c r="E8" s="151"/>
      <c r="F8" s="152">
        <f t="shared" si="0"/>
        <v>-154339.5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168300</v>
      </c>
      <c r="C9" s="151">
        <f>HojaHonduras!$D37</f>
        <v>21879</v>
      </c>
      <c r="D9" s="151">
        <f>HojaHonduras!$D38</f>
        <v>85000</v>
      </c>
      <c r="E9" s="151"/>
      <c r="F9" s="152">
        <f t="shared" si="0"/>
        <v>61421</v>
      </c>
      <c r="H9" s="252">
        <f>+K12-K10-H6</f>
        <v>-378514.68000000063</v>
      </c>
    </row>
    <row r="10" spans="1:15" ht="15" thickBot="1" x14ac:dyDescent="0.4">
      <c r="A10" s="47" t="s">
        <v>20</v>
      </c>
      <c r="B10" s="151">
        <f>HojaDominicana!$D36</f>
        <v>70300</v>
      </c>
      <c r="C10" s="151">
        <f>HojaDominicana!$D37</f>
        <v>9139</v>
      </c>
      <c r="D10" s="151">
        <f>HojaDominicana!$D38</f>
        <v>0</v>
      </c>
      <c r="E10" s="151"/>
      <c r="F10" s="152">
        <f t="shared" si="0"/>
        <v>61161</v>
      </c>
      <c r="H10" s="155"/>
      <c r="J10" t="s">
        <v>148</v>
      </c>
      <c r="K10" s="254">
        <v>4850131.4400000004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4471616.7600000007</v>
      </c>
    </row>
    <row r="12" spans="1:15" ht="16" thickBot="1" x14ac:dyDescent="0.4">
      <c r="A12" s="145" t="s">
        <v>5</v>
      </c>
      <c r="B12" s="153">
        <f>SUM(B5:B11)</f>
        <v>4247436</v>
      </c>
      <c r="C12" s="153">
        <f>SUM(C5:C11)</f>
        <v>542890.68000000005</v>
      </c>
      <c r="D12" s="153">
        <f>SUM(D5:D11)</f>
        <v>4083060</v>
      </c>
      <c r="E12" s="153"/>
      <c r="F12" s="257">
        <f>SUM(F5:F11)</f>
        <v>-378514.67999999993</v>
      </c>
      <c r="H12" s="253">
        <f>K12</f>
        <v>4471616.76</v>
      </c>
      <c r="J12" t="s">
        <v>140</v>
      </c>
      <c r="K12" s="256">
        <f>-1255299.11+2682248.49+885894.8+2158772.58</f>
        <v>4471616.76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6" t="str">
        <f>J2</f>
        <v>VENTANA</v>
      </c>
      <c r="C2" s="286"/>
      <c r="D2" s="287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184000</v>
      </c>
      <c r="K4" s="233">
        <f t="shared" ref="K4" si="0">D7+D11+D15</f>
        <v>23920</v>
      </c>
      <c r="L4" s="222">
        <f>F7+F11+F15</f>
        <v>314500</v>
      </c>
    </row>
    <row r="5" spans="1:12" x14ac:dyDescent="0.35">
      <c r="A5" s="28" t="s">
        <v>43</v>
      </c>
      <c r="B5" s="133" t="str">
        <f>IF(DigitaNICA!C2&lt;&gt;"",DigitaNICA!C2,"")</f>
        <v>08</v>
      </c>
      <c r="C5" s="29">
        <f>IF(DigitaNICA!C4&lt;&gt;"",DigitaNICA!C4,"")</f>
        <v>37650</v>
      </c>
      <c r="D5" s="42">
        <f>IF(C5="",0,C5*J$10)</f>
        <v>4894.5</v>
      </c>
      <c r="E5" s="29">
        <f>IF(DigitaNICA!D4&lt;&gt;"",DigitaNICA!D4,"")</f>
        <v>300</v>
      </c>
      <c r="F5" s="42">
        <f>IF(E5="",0,E5*PREMIOS!E5)</f>
        <v>24000</v>
      </c>
      <c r="G5" s="30">
        <f t="shared" ref="G5:G12" si="1">IF(OR(C5="",E5=""),0,C5-D5-F5)</f>
        <v>8755.5</v>
      </c>
      <c r="I5" s="243" t="s">
        <v>37</v>
      </c>
      <c r="J5" s="223">
        <f>SUM(IF(C5="",0,C5),IF(C9="",0,C9),IF(C13="",0,C13),IF(C17="",0,C17))</f>
        <v>90950</v>
      </c>
      <c r="K5" s="227">
        <f t="shared" ref="K5" si="2">D5+D9+D13+D17</f>
        <v>11823.5</v>
      </c>
      <c r="L5" s="224">
        <f>F5+F9+F13+F17</f>
        <v>72000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8300</v>
      </c>
      <c r="K6" s="230">
        <f>D19+D20</f>
        <v>1079</v>
      </c>
      <c r="L6" s="231">
        <f>F19+F20</f>
        <v>32000</v>
      </c>
    </row>
    <row r="7" spans="1:12" ht="15" thickBot="1" x14ac:dyDescent="0.4">
      <c r="A7" s="28" t="s">
        <v>46</v>
      </c>
      <c r="B7" s="133" t="str">
        <f>IF(DigitaTICA!C2&lt;&gt;"",DigitaTICA!C2,"")</f>
        <v>09</v>
      </c>
      <c r="C7" s="29">
        <f>IF(DigitaTICA!C4&lt;&gt;"",DigitaTICA!C4,"")</f>
        <v>56850</v>
      </c>
      <c r="D7" s="42">
        <f>IF(C7="",0,C7*J$9)</f>
        <v>7390.5</v>
      </c>
      <c r="E7" s="29">
        <f>IF(DigitaTICA!D4&lt;&gt;"",DigitaTICA!D4,"")</f>
        <v>3500</v>
      </c>
      <c r="F7" s="42">
        <f>IF(E7="",0,E7*PREMIOS!F7)</f>
        <v>297500</v>
      </c>
      <c r="G7" s="30">
        <f t="shared" si="1"/>
        <v>-248040.5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5" t="s">
        <v>34</v>
      </c>
      <c r="J8" s="285"/>
      <c r="K8" s="285"/>
    </row>
    <row r="9" spans="1:12" x14ac:dyDescent="0.35">
      <c r="A9" s="28" t="s">
        <v>48</v>
      </c>
      <c r="B9" s="133">
        <f>IF(DigitaNICA!E2&lt;&gt;"",DigitaNICA!E2,"")</f>
        <v>31</v>
      </c>
      <c r="C9" s="29">
        <f>IF(DigitaNICA!E4&lt;&gt;"",DigitaNICA!E4,"")</f>
        <v>19300</v>
      </c>
      <c r="D9" s="42">
        <f>IF(C9="",0,C9*J$10)</f>
        <v>2509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16791</v>
      </c>
      <c r="I9" s="77" t="s">
        <v>36</v>
      </c>
      <c r="J9" s="78">
        <v>0.13</v>
      </c>
      <c r="K9" s="79">
        <f>MROUND(D7+D11+D15,50)</f>
        <v>23900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11800</v>
      </c>
    </row>
    <row r="11" spans="1:12" x14ac:dyDescent="0.35">
      <c r="A11" s="28" t="s">
        <v>59</v>
      </c>
      <c r="B11" s="133">
        <f>IF(DigitaTICA!E2&lt;&gt;"",DigitaTICA!E2,"")</f>
        <v>14</v>
      </c>
      <c r="C11" s="29">
        <f>IF(DigitaTICA!E4&lt;&gt;"",DigitaTICA!E4,"")</f>
        <v>42675</v>
      </c>
      <c r="D11" s="42">
        <f>IF(C11="",0,C11*J$9)</f>
        <v>5547.75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37127.25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1100</v>
      </c>
    </row>
    <row r="13" spans="1:12" x14ac:dyDescent="0.35">
      <c r="A13" s="28" t="s">
        <v>50</v>
      </c>
      <c r="B13" s="133">
        <f>IF(DigitaNICA!G2&lt;&gt;"",DigitaNICA!G2,"")</f>
        <v>55</v>
      </c>
      <c r="C13" s="29">
        <f>IF(DigitaNICA!G4&lt;&gt;"",DigitaNICA!G4,"")</f>
        <v>25100</v>
      </c>
      <c r="D13" s="42">
        <f>IF(C13="",0,C13*J$10)</f>
        <v>3263</v>
      </c>
      <c r="E13" s="29">
        <f>IF(DigitaNICA!H4&lt;&gt;"",DigitaNICA!H4,"")</f>
        <v>500</v>
      </c>
      <c r="F13" s="42">
        <f>IF(E13="",0,E13*PREMIOS!E13)</f>
        <v>40000</v>
      </c>
      <c r="G13" s="30">
        <f>IF(OR(C13="",E13=""),0,C13-D13-F13)</f>
        <v>-18163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72</v>
      </c>
      <c r="C15" s="29">
        <f>IF(DigitaTICA!G4&lt;&gt;"",DigitaTICA!G4,"")</f>
        <v>84475</v>
      </c>
      <c r="D15" s="42">
        <f>IF(C15="",0,C15*J$9)</f>
        <v>10981.75</v>
      </c>
      <c r="E15" s="29">
        <f>IF(DigitaTICA!H4&lt;&gt;"",DigitaTICA!H4,"")</f>
        <v>200</v>
      </c>
      <c r="F15" s="42">
        <f>IF(E15="",0,E15*PREMIOS!F15)</f>
        <v>17000</v>
      </c>
      <c r="G15" s="30">
        <f t="shared" si="3"/>
        <v>56493.25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81</v>
      </c>
      <c r="C17" s="29">
        <f>IF(DigitaNICA!I4&lt;&gt;"",DigitaNICA!I4,"")</f>
        <v>8900</v>
      </c>
      <c r="D17" s="42">
        <f>IF(C17="",0,C17*J$10)</f>
        <v>1157</v>
      </c>
      <c r="E17" s="29">
        <f>IF(DigitaNICA!J4&lt;&gt;"",DigitaNICA!J4,"")</f>
        <v>100</v>
      </c>
      <c r="F17" s="42">
        <f>IF(E17="",0,E17*PREMIOS!E17)</f>
        <v>8000</v>
      </c>
      <c r="G17" s="30">
        <f t="shared" si="3"/>
        <v>-257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90</v>
      </c>
      <c r="C19" s="29">
        <f>IF(DigitaPRIMERA!C4&lt;&gt;"",DigitaPRIMERA!C4,"")</f>
        <v>5600</v>
      </c>
      <c r="D19" s="42">
        <f>IF(C19="",0,C19*J$12)</f>
        <v>728</v>
      </c>
      <c r="E19" s="29">
        <f>IF(DigitaPRIMERA!D4&lt;&gt;"",DigitaPRIMERA!D4,"")</f>
        <v>400</v>
      </c>
      <c r="F19" s="42">
        <f>IF(E19="",0,E19*PREMIOS!E19)</f>
        <v>32000</v>
      </c>
      <c r="G19" s="30">
        <f t="shared" ref="G19" si="4">IF(OR(C19="",E19=""),0,C19-D19-F19)</f>
        <v>-27128</v>
      </c>
    </row>
    <row r="20" spans="1:7" x14ac:dyDescent="0.35">
      <c r="A20" s="28" t="s">
        <v>98</v>
      </c>
      <c r="B20" s="133">
        <f>IF(DigitaPRIMERA!E2&lt;&gt;"",DigitaPRIMERA!E2,"")</f>
        <v>89</v>
      </c>
      <c r="C20" s="29">
        <f>IF(DigitaPRIMERA!E4&lt;&gt;"",DigitaPRIMERA!E4,"")</f>
        <v>2700</v>
      </c>
      <c r="D20" s="42">
        <f>IF(C20="",0,C20*J$12)</f>
        <v>351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2349</v>
      </c>
    </row>
    <row r="21" spans="1:7" ht="15" thickBot="1" x14ac:dyDescent="0.4">
      <c r="A21" s="122" t="s">
        <v>5</v>
      </c>
      <c r="B21" s="129"/>
      <c r="C21" s="123">
        <f>SUM(C5:C20)</f>
        <v>283250</v>
      </c>
      <c r="D21" s="123">
        <f t="shared" ref="D21:G21" si="6">SUM(D5:D20)</f>
        <v>36822.5</v>
      </c>
      <c r="E21" s="123">
        <f t="shared" si="6"/>
        <v>5000</v>
      </c>
      <c r="F21" s="123">
        <f t="shared" si="6"/>
        <v>418500</v>
      </c>
      <c r="G21" s="124">
        <f t="shared" si="6"/>
        <v>-172072.5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6" t="str">
        <f>J2</f>
        <v>PUESTO 2</v>
      </c>
      <c r="C2" s="286"/>
      <c r="D2" s="287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159600</v>
      </c>
      <c r="K4" s="233">
        <f t="shared" ref="K4" si="0">D7+D11+D15</f>
        <v>20748</v>
      </c>
      <c r="L4" s="222">
        <f>F7+F11+F15</f>
        <v>352750</v>
      </c>
    </row>
    <row r="5" spans="1:12" x14ac:dyDescent="0.35">
      <c r="A5" s="28" t="s">
        <v>43</v>
      </c>
      <c r="B5" s="133" t="str">
        <f>IF(DigitaNICA!C2&lt;&gt;"",DigitaNICA!C2,"")</f>
        <v>08</v>
      </c>
      <c r="C5" s="29">
        <f>IF(DigitaNICA!C5&lt;&gt;"",DigitaNICA!C5,"")</f>
        <v>32550</v>
      </c>
      <c r="D5" s="42">
        <f>IF(C5="",0,C5*J$10)</f>
        <v>4231.5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28318.5</v>
      </c>
      <c r="I5" s="243" t="s">
        <v>37</v>
      </c>
      <c r="J5" s="223">
        <f>SUM(IF(C5="",0,C5),IF(C9="",0,C9),IF(C13="",0,C13),IF(C17="",0,C17))</f>
        <v>63200</v>
      </c>
      <c r="K5" s="227">
        <f t="shared" ref="K5" si="2">D5+D9+D13+D17</f>
        <v>8216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19600</v>
      </c>
      <c r="K6" s="230">
        <f>D19+D20</f>
        <v>2548</v>
      </c>
      <c r="L6" s="231">
        <f>F19+F20</f>
        <v>168000</v>
      </c>
    </row>
    <row r="7" spans="1:12" ht="15" thickBot="1" x14ac:dyDescent="0.4">
      <c r="A7" s="28" t="s">
        <v>46</v>
      </c>
      <c r="B7" s="133" t="str">
        <f>IF(DigitaTICA!C2&lt;&gt;"",DigitaTICA!C2,"")</f>
        <v>09</v>
      </c>
      <c r="C7" s="29">
        <f>IF(DigitaTICA!C5&lt;&gt;"",DigitaTICA!C5,"")</f>
        <v>47950</v>
      </c>
      <c r="D7" s="42">
        <f>IF(C7="",0,C7*J$9)</f>
        <v>6233.5</v>
      </c>
      <c r="E7" s="29">
        <f>IF(DigitaTICA!D5&lt;&gt;"",DigitaTICA!D5,"")</f>
        <v>3000</v>
      </c>
      <c r="F7" s="42">
        <f>IF(E7="",0,E7*PREMIOS!F7)</f>
        <v>255000</v>
      </c>
      <c r="G7" s="30">
        <f t="shared" si="1"/>
        <v>-213283.5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8" t="s">
        <v>34</v>
      </c>
      <c r="J8" s="288"/>
      <c r="K8" s="288"/>
    </row>
    <row r="9" spans="1:12" x14ac:dyDescent="0.35">
      <c r="A9" s="28" t="s">
        <v>48</v>
      </c>
      <c r="B9" s="133">
        <f>IF(DigitaNICA!E2&lt;&gt;"",DigitaNICA!E2,"")</f>
        <v>31</v>
      </c>
      <c r="C9" s="29">
        <f>IF(DigitaNICA!E5&lt;&gt;"",DigitaNICA!E5,"")</f>
        <v>18550</v>
      </c>
      <c r="D9" s="42">
        <f>IF(C9="",0,C9*J$10)</f>
        <v>2411.5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16138.5</v>
      </c>
      <c r="I9" s="60" t="s">
        <v>36</v>
      </c>
      <c r="J9" s="61">
        <v>0.13</v>
      </c>
      <c r="K9" s="62">
        <f>MROUND(D7+D11+D15,50)</f>
        <v>20750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8200</v>
      </c>
    </row>
    <row r="11" spans="1:12" x14ac:dyDescent="0.35">
      <c r="A11" s="28" t="s">
        <v>59</v>
      </c>
      <c r="B11" s="133">
        <f>IF(DigitaTICA!E2&lt;&gt;"",DigitaTICA!E2,"")</f>
        <v>14</v>
      </c>
      <c r="C11" s="29">
        <f>IF(DigitaTICA!E5&lt;&gt;"",DigitaTICA!E5,"")</f>
        <v>39350</v>
      </c>
      <c r="D11" s="42">
        <f>IF(C11="",0,C11*J$9)</f>
        <v>5115.5</v>
      </c>
      <c r="E11" s="29">
        <f>IF(DigitaTICA!F5&lt;&gt;"",DigitaTICA!F5,"")</f>
        <v>650</v>
      </c>
      <c r="F11" s="42">
        <f>IF(E11="",0,E11*PREMIOS!F11)</f>
        <v>55250</v>
      </c>
      <c r="G11" s="30">
        <f t="shared" si="1"/>
        <v>-21015.5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2550</v>
      </c>
    </row>
    <row r="13" spans="1:12" x14ac:dyDescent="0.35">
      <c r="A13" s="28" t="s">
        <v>50</v>
      </c>
      <c r="B13" s="133">
        <f>IF(DigitaNICA!G2&lt;&gt;"",DigitaNICA!G2,"")</f>
        <v>55</v>
      </c>
      <c r="C13" s="29">
        <f>IF(DigitaNICA!G5&lt;&gt;"",DigitaNICA!G5,"")</f>
        <v>2300</v>
      </c>
      <c r="D13" s="42">
        <f>IF(C13="",0,C13*J$10)</f>
        <v>299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2001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72</v>
      </c>
      <c r="C15" s="29">
        <f>IF(DigitaTICA!G5&lt;&gt;"",DigitaTICA!G5,"")</f>
        <v>72300</v>
      </c>
      <c r="D15" s="42">
        <f>IF(C15="",0,C15*J$9)</f>
        <v>9399</v>
      </c>
      <c r="E15" s="29">
        <f>IF(DigitaTICA!H5&lt;&gt;"",DigitaTICA!H5,"")</f>
        <v>500</v>
      </c>
      <c r="F15" s="42">
        <f>IF(E15="",0,E15*PREMIOS!F15)</f>
        <v>42500</v>
      </c>
      <c r="G15" s="30">
        <f t="shared" si="3"/>
        <v>20401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81</v>
      </c>
      <c r="C17" s="29">
        <f>IF(DigitaNICA!I5&lt;&gt;"",DigitaNICA!I5,"")</f>
        <v>9800</v>
      </c>
      <c r="D17" s="42">
        <f>IF(C17="",0,C17*J$10)</f>
        <v>1274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8526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90</v>
      </c>
      <c r="C19" s="29">
        <f>IF(DigitaPRIMERA!C5&lt;&gt;"",DigitaPRIMERA!C5,"")</f>
        <v>16300</v>
      </c>
      <c r="D19" s="42">
        <f>IF(C19="",0,C19*J$12)</f>
        <v>2119</v>
      </c>
      <c r="E19" s="29">
        <f>IF(DigitaPRIMERA!D5&lt;&gt;"",DigitaPRIMERA!D5,"")</f>
        <v>1700</v>
      </c>
      <c r="F19" s="42">
        <f>IF(E19="",0,E19*PREMIOS!E19)</f>
        <v>136000</v>
      </c>
      <c r="G19" s="30">
        <f t="shared" si="3"/>
        <v>-121819</v>
      </c>
    </row>
    <row r="20" spans="1:7" x14ac:dyDescent="0.35">
      <c r="A20" s="28" t="s">
        <v>98</v>
      </c>
      <c r="B20" s="133">
        <f>IF(DigitaPRIMERA!E2&lt;&gt;"",DigitaPRIMERA!E2,"")</f>
        <v>89</v>
      </c>
      <c r="C20" s="29">
        <f>IF(DigitaPRIMERA!E5&lt;&gt;"",DigitaPRIMERA!E5,"")</f>
        <v>3300</v>
      </c>
      <c r="D20" s="42">
        <f>IF(C20="",0,C20*J$12)</f>
        <v>429</v>
      </c>
      <c r="E20" s="29">
        <f>IF(DigitaPRIMERA!F5&lt;&gt;"",DigitaPRIMERA!F5,"")</f>
        <v>400</v>
      </c>
      <c r="F20" s="42">
        <f>IF(E20="",0,E20*PREMIOS!E19)</f>
        <v>32000</v>
      </c>
      <c r="G20" s="30">
        <f t="shared" si="3"/>
        <v>-29129</v>
      </c>
    </row>
    <row r="21" spans="1:7" ht="15" thickBot="1" x14ac:dyDescent="0.4">
      <c r="A21" s="67" t="s">
        <v>5</v>
      </c>
      <c r="B21" s="128"/>
      <c r="C21" s="68">
        <f>SUM(C5:C20)</f>
        <v>242400</v>
      </c>
      <c r="D21" s="68">
        <f t="shared" ref="D21:G21" si="4">SUM(D5:D20)</f>
        <v>31512</v>
      </c>
      <c r="E21" s="68">
        <f t="shared" si="4"/>
        <v>6250</v>
      </c>
      <c r="F21" s="68">
        <f t="shared" si="4"/>
        <v>520750</v>
      </c>
      <c r="G21" s="89">
        <f t="shared" si="4"/>
        <v>-309862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6" t="s">
        <v>152</v>
      </c>
      <c r="C2" s="286"/>
      <c r="D2" s="287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>08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09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5" t="s">
        <v>34</v>
      </c>
      <c r="J8" s="285"/>
      <c r="K8" s="285"/>
    </row>
    <row r="9" spans="1:12" x14ac:dyDescent="0.35">
      <c r="A9" s="28" t="s">
        <v>48</v>
      </c>
      <c r="B9" s="133">
        <f>IF(DigitaNICA!E2&lt;&gt;"",DigitaNICA!E2,"")</f>
        <v>31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14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55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72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81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90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89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6" t="str">
        <f>J2</f>
        <v>Nuevo 2</v>
      </c>
      <c r="C2" s="286"/>
      <c r="D2" s="287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>08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09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8" t="s">
        <v>34</v>
      </c>
      <c r="J8" s="288"/>
      <c r="K8" s="288"/>
    </row>
    <row r="9" spans="1:12" x14ac:dyDescent="0.35">
      <c r="A9" s="28" t="s">
        <v>48</v>
      </c>
      <c r="B9" s="133">
        <f>IF(DigitaNICA!E2&lt;&gt;"",DigitaNICA!E2,"")</f>
        <v>31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14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55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72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81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9" t="str">
        <f>J2</f>
        <v>YOYO</v>
      </c>
      <c r="C2" s="289"/>
      <c r="D2" s="290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>08</v>
      </c>
      <c r="C5" s="29" t="str">
        <f>IF(DigitaNICA!C8&lt;&gt;"",DigitaNICA!C8,"")</f>
        <v/>
      </c>
      <c r="D5" s="42">
        <f>IF(C5="",0,C5*J$12)</f>
        <v>0</v>
      </c>
      <c r="E5" s="29" t="str">
        <f>IF(DigitaNICA!D8&lt;&gt;"",DigitaNICA!D8,"")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09</v>
      </c>
      <c r="C7" s="29" t="str">
        <f>IF(DigitaTICA!C8&lt;&gt;"",DigitaTICA!C8,"")</f>
        <v/>
      </c>
      <c r="D7" s="42">
        <f>IF(C7="",0,C7*J$11)</f>
        <v>0</v>
      </c>
      <c r="E7" s="29" t="str">
        <f>IF(DigitaTICA!D8&lt;&gt;"",DigitaTICA!D8,"")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31</v>
      </c>
      <c r="C9" s="29" t="str">
        <f>IF(DigitaNICA!E8&lt;&gt;"",DigitaNICA!E8,"")</f>
        <v/>
      </c>
      <c r="D9" s="42">
        <f>IF(C9="",0,C9*J$12)</f>
        <v>0</v>
      </c>
      <c r="E9" s="29" t="str">
        <f>IF(DigitaNICA!F8&lt;&gt;"",DigitaNICA!F8,"")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8" t="s">
        <v>34</v>
      </c>
      <c r="J10" s="288"/>
      <c r="K10" s="288"/>
    </row>
    <row r="11" spans="1:12" x14ac:dyDescent="0.35">
      <c r="A11" s="28" t="s">
        <v>59</v>
      </c>
      <c r="B11" s="133">
        <f>IF(DigitaTICA!E2&lt;&gt;"",DigitaTICA!E2,"")</f>
        <v>14</v>
      </c>
      <c r="C11" s="29" t="str">
        <f>IF(DigitaTICA!E8&lt;&gt;"",DigitaTICA!E8,"")</f>
        <v/>
      </c>
      <c r="D11" s="42">
        <f>IF(C11="",0,C11*J$11)</f>
        <v>0</v>
      </c>
      <c r="E11" s="29" t="str">
        <f>IF(DigitaTICA!F8&lt;&gt;"",DigitaTICA!F8,"")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55</v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72</v>
      </c>
      <c r="C15" s="29" t="str">
        <f>IF(DigitaTICA!G8&lt;&gt;"",DigitaTICA!G8,"")</f>
        <v/>
      </c>
      <c r="D15" s="42">
        <f>IF(C15="",0,C15*J$11)</f>
        <v>0</v>
      </c>
      <c r="E15" s="29" t="str">
        <f>IF(DigitaTICA!H8&lt;&gt;"",DigitaTICA!H8,"")</f>
        <v/>
      </c>
      <c r="F15" s="42">
        <f>IF(E15="",0,E15*PREMIOS!F15)</f>
        <v>0</v>
      </c>
      <c r="G15" s="30">
        <f t="shared" si="4"/>
        <v>0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81</v>
      </c>
      <c r="C17" s="29" t="str">
        <f>IF(DigitaNICA!I8&lt;&gt;"",DigitaNICA!I8,"")</f>
        <v/>
      </c>
      <c r="D17" s="42">
        <f>IF(C17="",0,C17*J$12)</f>
        <v>0</v>
      </c>
      <c r="E17" s="29" t="str">
        <f>IF(DigitaNICA!J8&lt;&gt;"",DigitaNICA!J8,"")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90</v>
      </c>
      <c r="C19" s="29" t="str">
        <f>IF(DigitaPRIMERA!C8&lt;&gt;"",DigitaPRIMERA!C8,"")</f>
        <v/>
      </c>
      <c r="D19" s="42">
        <f>IF(C19="",0,C19*J$14)</f>
        <v>0</v>
      </c>
      <c r="E19" s="29" t="str">
        <f>IF(DigitaPRIMERA!D8&lt;&gt;"",DigitaPRIMERA!D8,"")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89</v>
      </c>
      <c r="C20" s="29" t="str">
        <f>IF(DigitaPRIMERA!E8&lt;&gt;"",DigitaPRIMERA!E8,"")</f>
        <v/>
      </c>
      <c r="D20" s="42">
        <f>IF(C20="",0,C20*J$14)</f>
        <v>0</v>
      </c>
      <c r="E20" s="29" t="str">
        <f>IF(DigitaPRIMERA!F8&lt;&gt;"",DigitaPRIMERA!F8,"")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0</v>
      </c>
      <c r="D21" s="123">
        <f t="shared" ref="D21:G21" si="5">SUM(D5:D20)</f>
        <v>0</v>
      </c>
      <c r="E21" s="123">
        <f t="shared" si="5"/>
        <v>0</v>
      </c>
      <c r="F21" s="123">
        <f t="shared" si="5"/>
        <v>0</v>
      </c>
      <c r="G21" s="124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6" t="str">
        <f>J2</f>
        <v>MARTA ROSA</v>
      </c>
      <c r="C2" s="286"/>
      <c r="D2" s="287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>08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09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31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8" t="s">
        <v>34</v>
      </c>
      <c r="J10" s="288"/>
      <c r="K10" s="288"/>
    </row>
    <row r="11" spans="1:12" x14ac:dyDescent="0.35">
      <c r="A11" s="28" t="s">
        <v>59</v>
      </c>
      <c r="B11" s="133">
        <f>IF(DigitaTICA!E2&lt;&gt;"",DigitaTICA!E2,"")</f>
        <v>14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55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72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81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90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89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6" t="str">
        <f>J2</f>
        <v>PIKIS</v>
      </c>
      <c r="C2" s="286"/>
      <c r="D2" s="287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557000</v>
      </c>
      <c r="K4" s="233">
        <f t="shared" ref="K4" si="0">D7+D11+D15</f>
        <v>66840</v>
      </c>
      <c r="L4" s="222">
        <f>F7+F11+F15</f>
        <v>539750</v>
      </c>
    </row>
    <row r="5" spans="1:12" x14ac:dyDescent="0.35">
      <c r="A5" s="28" t="s">
        <v>43</v>
      </c>
      <c r="B5" s="133" t="str">
        <f>IF(DigitaNICA!C2&lt;&gt;"",DigitaNICA!C2,"")</f>
        <v>08</v>
      </c>
      <c r="C5" s="29">
        <f>IF(DigitaNICA!C10&lt;&gt;"",DigitaNICA!C10,"")</f>
        <v>82050</v>
      </c>
      <c r="D5" s="42">
        <f>IF(C5="",0,C5*J$15)</f>
        <v>9846</v>
      </c>
      <c r="E5" s="29">
        <f>IF(DigitaNICA!D10&lt;&gt;"",DigitaNICA!D10,"")</f>
        <v>500</v>
      </c>
      <c r="F5" s="42">
        <f>IF(E5="",0,E5*PREMIOS!F5)</f>
        <v>42500</v>
      </c>
      <c r="G5" s="30">
        <f t="shared" ref="G5:G12" si="1">IF(OR(C5="",E5=""),0,C5-D5-F5)</f>
        <v>29704</v>
      </c>
      <c r="I5" s="219" t="s">
        <v>37</v>
      </c>
      <c r="J5" s="223">
        <f>SUM(IF(C5="",0,C5),IF(C9="",0,C9),IF(C13="",0,C13),IF(C17="",0,C17))</f>
        <v>431950</v>
      </c>
      <c r="K5" s="227">
        <f t="shared" ref="K5" si="2">D5+D9+D13+D17</f>
        <v>51834</v>
      </c>
      <c r="L5" s="224">
        <f>F5+F9+F13+F17</f>
        <v>497250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110950</v>
      </c>
      <c r="K6" s="228">
        <f t="shared" ref="K6" si="3">+D8+D12+D16</f>
        <v>11095</v>
      </c>
      <c r="L6" s="229">
        <f>F8+F12+F16</f>
        <v>0</v>
      </c>
    </row>
    <row r="7" spans="1:12" x14ac:dyDescent="0.35">
      <c r="A7" s="28" t="s">
        <v>46</v>
      </c>
      <c r="B7" s="133" t="str">
        <f>IF(DigitaTICA!C2&lt;&gt;"",DigitaTICA!C2,"")</f>
        <v>09</v>
      </c>
      <c r="C7" s="29">
        <f>IF(DigitaTICA!C10&lt;&gt;"",DigitaTICA!C10,"")</f>
        <v>127200</v>
      </c>
      <c r="D7" s="42">
        <f>IF(C7="",0,C7*J$14)</f>
        <v>15264</v>
      </c>
      <c r="E7" s="29">
        <f>IF(DigitaTICA!D10&lt;&gt;"",DigitaTICA!D10,"")</f>
        <v>2950</v>
      </c>
      <c r="F7" s="42">
        <f>IF(E7="",0,E7*PREMIOS!F7)</f>
        <v>250750</v>
      </c>
      <c r="G7" s="30">
        <f t="shared" si="1"/>
        <v>-138814</v>
      </c>
      <c r="I7" s="219" t="s">
        <v>96</v>
      </c>
      <c r="J7" s="225">
        <f>SUM(IF(C19="",0,C19),IF(C20="",0,C20))</f>
        <v>82050</v>
      </c>
      <c r="K7" s="228">
        <f>+D19+D20</f>
        <v>9846</v>
      </c>
      <c r="L7" s="229">
        <f>+F19+F20</f>
        <v>8500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27350</v>
      </c>
      <c r="D8" s="42">
        <f>IF(C8="",0,C8*J$16)</f>
        <v>2735</v>
      </c>
      <c r="E8" s="29">
        <f>IF(DigitaREVENTADO!D10&lt;&gt;"",DigitaREVENTADO!D10,"")</f>
        <v>250</v>
      </c>
      <c r="F8" s="42">
        <f>IF(E8="",0,E8*PREMIOS!F8)</f>
        <v>0</v>
      </c>
      <c r="G8" s="30">
        <f t="shared" si="1"/>
        <v>24615</v>
      </c>
      <c r="I8" s="219" t="s">
        <v>104</v>
      </c>
      <c r="J8" s="225">
        <f>SUM(IF(C21="",0,C21),IF(C22="",0,C22),IF(C23="",0,C23))</f>
        <v>62500</v>
      </c>
      <c r="K8" s="228">
        <f t="shared" ref="K8" si="4">D21+D22+D23</f>
        <v>7500</v>
      </c>
      <c r="L8" s="229">
        <f>F21+F22+F23</f>
        <v>0</v>
      </c>
    </row>
    <row r="9" spans="1:12" x14ac:dyDescent="0.35">
      <c r="A9" s="28" t="s">
        <v>48</v>
      </c>
      <c r="B9" s="133">
        <f>IF(DigitaNICA!E2&lt;&gt;"",DigitaNICA!E2,"")</f>
        <v>31</v>
      </c>
      <c r="C9" s="29">
        <f>IF(DigitaNICA!E10&lt;&gt;"",DigitaNICA!E10,"")</f>
        <v>124000</v>
      </c>
      <c r="D9" s="42">
        <f>IF(C9="",0,C9*J$15)</f>
        <v>14880</v>
      </c>
      <c r="E9" s="29">
        <f>IF(DigitaNICA!F10&lt;&gt;"",DigitaNICA!F10,"")</f>
        <v>2400</v>
      </c>
      <c r="F9" s="42">
        <f>IF(E9="",0,E9*PREMIOS!F9)</f>
        <v>204000</v>
      </c>
      <c r="G9" s="30">
        <f t="shared" si="1"/>
        <v>-94880</v>
      </c>
      <c r="I9" s="219" t="s">
        <v>20</v>
      </c>
      <c r="J9" s="225">
        <f>SUM(IF(C24="",0,C24),IF(C25="",0,C25))</f>
        <v>70300</v>
      </c>
      <c r="K9" s="228">
        <f t="shared" ref="K9" si="5">+D24+D25</f>
        <v>8436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14</v>
      </c>
      <c r="C11" s="29">
        <f>IF(DigitaTICA!E10&lt;&gt;"",DigitaTICA!E10,"")</f>
        <v>205050</v>
      </c>
      <c r="D11" s="42">
        <f>IF(C11="",0,C11*J$14)</f>
        <v>24606</v>
      </c>
      <c r="E11" s="29">
        <f>IF(DigitaTICA!F10&lt;&gt;"",DigitaTICA!F10,"")</f>
        <v>1250</v>
      </c>
      <c r="F11" s="42">
        <f>IF(E11="",0,E11*PREMIOS!F11)</f>
        <v>106250</v>
      </c>
      <c r="G11" s="30">
        <f t="shared" si="1"/>
        <v>74194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34850</v>
      </c>
      <c r="D12" s="42">
        <f>IF(C12="",0,C12*J$16)</f>
        <v>3485</v>
      </c>
      <c r="E12" s="29">
        <f>IF(DigitaREVENTADO!F10&lt;&gt;"",DigitaREVENTADO!F10,"")</f>
        <v>1100</v>
      </c>
      <c r="F12" s="42">
        <f>IF(E12="",0,E12*PREMIOS!F12)</f>
        <v>0</v>
      </c>
      <c r="G12" s="30">
        <f t="shared" si="1"/>
        <v>31365</v>
      </c>
    </row>
    <row r="13" spans="1:12" ht="15" thickBot="1" x14ac:dyDescent="0.4">
      <c r="A13" s="28" t="s">
        <v>50</v>
      </c>
      <c r="B13" s="133">
        <f>IF(DigitaNICA!G2&lt;&gt;"",DigitaNICA!G2,"")</f>
        <v>55</v>
      </c>
      <c r="C13" s="29">
        <f>IF(DigitaNICA!G10&lt;&gt;"",DigitaNICA!G10,"")</f>
        <v>94450</v>
      </c>
      <c r="D13" s="42">
        <f>IF(C13="",0,C13*J$15)</f>
        <v>11334</v>
      </c>
      <c r="E13" s="29">
        <f>IF(DigitaNICA!H10&lt;&gt;"",DigitaNICA!H10,"")</f>
        <v>2700</v>
      </c>
      <c r="F13" s="42">
        <f>IF(E13="",0,E13*PREMIOS!F13)</f>
        <v>229500</v>
      </c>
      <c r="G13" s="30">
        <f>IF(OR(C13="",E13=""),0,C13-D13-F13)</f>
        <v>-146384</v>
      </c>
      <c r="I13" s="285" t="s">
        <v>34</v>
      </c>
      <c r="J13" s="285"/>
      <c r="K13" s="285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66850</v>
      </c>
    </row>
    <row r="15" spans="1:12" x14ac:dyDescent="0.35">
      <c r="A15" s="28" t="s">
        <v>61</v>
      </c>
      <c r="B15" s="133">
        <f>IF(DigitaTICA!G2&lt;&gt;"",DigitaTICA!G2,"")</f>
        <v>72</v>
      </c>
      <c r="C15" s="29">
        <f>IF(DigitaTICA!G10&lt;&gt;"",DigitaTICA!G10,"")</f>
        <v>224750</v>
      </c>
      <c r="D15" s="42">
        <f>IF(C15="",0,C15*J$14)</f>
        <v>26970</v>
      </c>
      <c r="E15" s="29">
        <f>IF(DigitaTICA!H10&lt;&gt;"",DigitaTICA!H10,"")</f>
        <v>2150</v>
      </c>
      <c r="F15" s="42">
        <f>IF(E15="",0,E15*PREMIOS!F15)</f>
        <v>182750</v>
      </c>
      <c r="G15" s="30">
        <f t="shared" si="6"/>
        <v>15030</v>
      </c>
      <c r="I15" s="63" t="s">
        <v>37</v>
      </c>
      <c r="J15" s="64">
        <v>0.12</v>
      </c>
      <c r="K15" s="30">
        <f>MROUND(D5+D9+D13+D17,50)</f>
        <v>51850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IF(DigitaREVENTADO!G10&lt;&gt;"",DigitaREVENTADO!G10,"")</f>
        <v>48750</v>
      </c>
      <c r="D16" s="42">
        <f>IF(C16="",0,C16*J$16)</f>
        <v>4875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43875</v>
      </c>
      <c r="I16" s="63" t="s">
        <v>38</v>
      </c>
      <c r="J16" s="64">
        <v>0.1</v>
      </c>
      <c r="K16" s="30">
        <f>MROUND(D6+D8+D10+D12+D14+D16+D18,50)</f>
        <v>11100</v>
      </c>
    </row>
    <row r="17" spans="1:11" x14ac:dyDescent="0.35">
      <c r="A17" s="28" t="s">
        <v>52</v>
      </c>
      <c r="B17" s="133">
        <f>IF(DigitaNICA!I2&lt;&gt;"",DigitaNICA!I2,"")</f>
        <v>81</v>
      </c>
      <c r="C17" s="29">
        <f>IF(DigitaNICA!I10&lt;&gt;"",DigitaNICA!I10,"")</f>
        <v>131450</v>
      </c>
      <c r="D17" s="42">
        <f>IF(C17="",0,C17*J$15)</f>
        <v>15774</v>
      </c>
      <c r="E17" s="29">
        <f>IF(DigitaNICA!J10&lt;&gt;"",DigitaNICA!J10,"")</f>
        <v>250</v>
      </c>
      <c r="F17" s="42">
        <f>IF(E17="",0,E17*PREMIOS!F17)</f>
        <v>21250</v>
      </c>
      <c r="G17" s="30">
        <f t="shared" si="6"/>
        <v>94426</v>
      </c>
      <c r="I17" s="63" t="s">
        <v>96</v>
      </c>
      <c r="J17" s="64">
        <v>0.12</v>
      </c>
      <c r="K17" s="30">
        <f>MROUND(D19+D20,50)</f>
        <v>9850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7500</v>
      </c>
    </row>
    <row r="19" spans="1:11" x14ac:dyDescent="0.35">
      <c r="A19" s="28" t="s">
        <v>97</v>
      </c>
      <c r="B19" s="133">
        <f>IF(DigitaPRIMERA!C2&lt;&gt;"",DigitaPRIMERA!C2,"")</f>
        <v>90</v>
      </c>
      <c r="C19" s="29">
        <f>IF(DigitaPRIMERA!$C$10&lt;&gt;"",DigitaPRIMERA!$C$10,"")</f>
        <v>41000</v>
      </c>
      <c r="D19" s="42">
        <f>IF(C19="",0,C19*J$17)</f>
        <v>4920</v>
      </c>
      <c r="E19" s="29">
        <f>IF(DigitaPRIMERA!$D$10&lt;&gt;"",DigitaPRIMERA!$D$10,"")</f>
        <v>100</v>
      </c>
      <c r="F19" s="42">
        <f>IF(E19="",0,E19*PREMIOS!F19)</f>
        <v>8500</v>
      </c>
      <c r="G19" s="30">
        <f t="shared" ref="G19:G22" si="7">IF(OR(C19="",E19=""),0,C19-D19-F19)</f>
        <v>27580</v>
      </c>
      <c r="I19" s="63" t="s">
        <v>20</v>
      </c>
      <c r="J19" s="64">
        <v>0.12</v>
      </c>
      <c r="K19" s="30">
        <f>MROUND(D24+D25,50)</f>
        <v>8450</v>
      </c>
    </row>
    <row r="20" spans="1:11" ht="15" thickBot="1" x14ac:dyDescent="0.4">
      <c r="A20" s="28" t="s">
        <v>98</v>
      </c>
      <c r="B20" s="133">
        <f>IF(DigitaPRIMERA!E2&lt;&gt;"",DigitaPRIMERA!E2,"")</f>
        <v>89</v>
      </c>
      <c r="C20" s="29">
        <f>IF(DigitaPRIMERA!$E$10&lt;&gt;"",DigitaPRIMERA!$E$10,"")</f>
        <v>41050</v>
      </c>
      <c r="D20" s="42">
        <f>IF(C20="",0,C20*J$17)</f>
        <v>4926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36124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52</v>
      </c>
      <c r="C21" s="29">
        <f>IF(DigitaHONDURAS!$C$10&lt;&gt;"",DigitaHONDURAS!$C$10,"")</f>
        <v>4700</v>
      </c>
      <c r="D21" s="42">
        <f>IF(C21="",0,C21*J$18)</f>
        <v>564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4136</v>
      </c>
    </row>
    <row r="22" spans="1:11" x14ac:dyDescent="0.35">
      <c r="A22" s="28" t="s">
        <v>100</v>
      </c>
      <c r="B22" s="133">
        <f>IF(DigitaHONDURAS!E2&lt;&gt;"",DigitaHONDURAS!E2,"")</f>
        <v>83</v>
      </c>
      <c r="C22" s="29">
        <f>IF(DigitaHONDURAS!$E$10&lt;&gt;"",DigitaHONDURAS!$E$10,"")</f>
        <v>23300</v>
      </c>
      <c r="D22" s="42">
        <f>IF(C22="",0,C22*J$18)</f>
        <v>2796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20504</v>
      </c>
    </row>
    <row r="23" spans="1:11" x14ac:dyDescent="0.35">
      <c r="A23" s="28" t="s">
        <v>101</v>
      </c>
      <c r="B23" s="133">
        <f>IF(DigitaHONDURAS!G2&lt;&gt;"",DigitaHONDURAS!G2,"")</f>
        <v>96</v>
      </c>
      <c r="C23" s="29">
        <f>IF(DigitaHONDURAS!$G$10&lt;&gt;"",DigitaHONDURAS!$G$10,"")</f>
        <v>34500</v>
      </c>
      <c r="D23" s="42">
        <f>IF(C23="",0,C23*J$18)</f>
        <v>4140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30360</v>
      </c>
    </row>
    <row r="24" spans="1:11" x14ac:dyDescent="0.35">
      <c r="A24" s="28" t="s">
        <v>107</v>
      </c>
      <c r="B24" s="133">
        <f>IF(DigitaDOMINICANA!C2&lt;&gt;"",DigitaDOMINICANA!C2,"")</f>
        <v>40</v>
      </c>
      <c r="C24" s="29">
        <f>IF(DigitaDOMINICANA!$C$10&lt;&gt;"",DigitaDOMINICANA!$C$10,"")</f>
        <v>36000</v>
      </c>
      <c r="D24" s="42">
        <f>IF(C24="",0,C24*J$19)</f>
        <v>4320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31680</v>
      </c>
    </row>
    <row r="25" spans="1:11" x14ac:dyDescent="0.35">
      <c r="A25" s="28" t="s">
        <v>108</v>
      </c>
      <c r="B25" s="133">
        <f>IF(DigitaDOMINICANA!E2&lt;&gt;"",DigitaDOMINICANA!E2,"")</f>
        <v>85</v>
      </c>
      <c r="C25" s="29">
        <f>IF(DigitaDOMINICANA!$E$10&lt;&gt;"",DigitaDOMINICANA!$E$10,"")</f>
        <v>34300</v>
      </c>
      <c r="D25" s="42">
        <f>IF(C25="",0,C25*J$19)</f>
        <v>4116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30184</v>
      </c>
    </row>
    <row r="26" spans="1:11" x14ac:dyDescent="0.35">
      <c r="A26" s="28" t="s">
        <v>21</v>
      </c>
      <c r="B26" s="133">
        <f>IF(DigitaPANAMENA!C2&lt;&gt;"",DigitaPANAMENA!C2,"")</f>
        <v>15</v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1314750</v>
      </c>
      <c r="D27" s="68">
        <f t="shared" ref="D27:F27" si="9">SUM(D5:D26)</f>
        <v>155551</v>
      </c>
      <c r="E27" s="68">
        <f t="shared" si="9"/>
        <v>13650</v>
      </c>
      <c r="F27" s="68">
        <f t="shared" si="9"/>
        <v>1045500</v>
      </c>
      <c r="G27" s="89">
        <f>SUM(G5:G26)</f>
        <v>113699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3.816406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6" t="str">
        <f>J2</f>
        <v>ISA</v>
      </c>
      <c r="C2" s="286"/>
      <c r="D2" s="287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7500</v>
      </c>
      <c r="K4" s="233">
        <f t="shared" ref="K4" si="0">D7+D11+D15</f>
        <v>900</v>
      </c>
      <c r="L4" s="222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>08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09</v>
      </c>
      <c r="C7" s="29">
        <f>IF(DigitaTICA!C11&lt;&gt;"",DigitaTICA!C11,"")</f>
        <v>5000</v>
      </c>
      <c r="D7" s="42">
        <f>IF(C7="",0,C7*J$11)</f>
        <v>600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4400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31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5" t="s">
        <v>34</v>
      </c>
      <c r="J10" s="285"/>
      <c r="K10" s="285"/>
    </row>
    <row r="11" spans="1:12" x14ac:dyDescent="0.35">
      <c r="A11" s="28" t="s">
        <v>59</v>
      </c>
      <c r="B11" s="133">
        <f>IF(DigitaTICA!E2&lt;&gt;"",DigitaTICA!E2,"")</f>
        <v>14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900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55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72</v>
      </c>
      <c r="C15" s="29">
        <f>IF(DigitaTICA!G11&lt;&gt;"",DigitaTICA!G11,"")</f>
        <v>2500</v>
      </c>
      <c r="D15" s="42">
        <f>IF(C15="",0,C15*J$11)</f>
        <v>300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2200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81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90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89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7500</v>
      </c>
      <c r="D21" s="123">
        <f t="shared" ref="D21:G21" si="5">SUM(D5:D20)</f>
        <v>900</v>
      </c>
      <c r="E21" s="123">
        <f t="shared" si="5"/>
        <v>0</v>
      </c>
      <c r="F21" s="123">
        <f t="shared" si="5"/>
        <v>0</v>
      </c>
      <c r="G21" s="124">
        <f t="shared" si="5"/>
        <v>6600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6" t="str">
        <f>J2</f>
        <v>JUAN FELIX</v>
      </c>
      <c r="C2" s="286"/>
      <c r="D2" s="287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61450</v>
      </c>
      <c r="K4" s="233">
        <f>D7+D11+D15</f>
        <v>7374</v>
      </c>
      <c r="L4" s="222">
        <f>F7+F11+F15</f>
        <v>76500</v>
      </c>
    </row>
    <row r="5" spans="1:12" x14ac:dyDescent="0.35">
      <c r="A5" s="28" t="s">
        <v>43</v>
      </c>
      <c r="B5" s="133" t="str">
        <f>IF(DigitaNICA!C2&lt;&gt;"",DigitaNICA!C2,"")</f>
        <v>08</v>
      </c>
      <c r="C5" s="29">
        <f>IF(DigitaNICA!C12&lt;&gt;"",DigitaNICA!C12,"")</f>
        <v>61400</v>
      </c>
      <c r="D5" s="42">
        <f>IF(C5="",0,C5*J$12)</f>
        <v>7368</v>
      </c>
      <c r="E5" s="29">
        <f>IF(DigitaNICA!D12&lt;&gt;"",DigitaNICA!D12,"")</f>
        <v>1450</v>
      </c>
      <c r="F5" s="42">
        <f>IF(E5="",0,E5*PREMIOS!F5)</f>
        <v>123250</v>
      </c>
      <c r="G5" s="30">
        <f t="shared" ref="G5:G12" si="0">IF(OR(C5="",E5=""),0,C5-D5-F5)</f>
        <v>-69218</v>
      </c>
      <c r="I5" s="219" t="s">
        <v>37</v>
      </c>
      <c r="J5" s="223">
        <f>SUM(IF(C5="",0,C5),IF(C9="",0,C9),IF(C13="",0,C13),IF(C17="",0,C17))</f>
        <v>77250</v>
      </c>
      <c r="K5" s="227">
        <f t="shared" ref="K5" si="1">D5+D9+D13+D17</f>
        <v>9270</v>
      </c>
      <c r="L5" s="224">
        <f>F5+F9+F13+F17</f>
        <v>140250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5750</v>
      </c>
      <c r="K6" s="228">
        <f t="shared" ref="K6" si="2">+D8+D12+D16</f>
        <v>575</v>
      </c>
      <c r="L6" s="229">
        <f>+F8+F12+F16</f>
        <v>0</v>
      </c>
    </row>
    <row r="7" spans="1:12" x14ac:dyDescent="0.35">
      <c r="A7" s="28" t="s">
        <v>46</v>
      </c>
      <c r="B7" s="133" t="str">
        <f>IF(DigitaTICA!C2&lt;&gt;"",DigitaTICA!C2,"")</f>
        <v>09</v>
      </c>
      <c r="C7" s="29">
        <f>IF(DigitaTICA!C12&lt;&gt;"",DigitaTICA!C12,"")</f>
        <v>24350</v>
      </c>
      <c r="D7" s="42">
        <f>IF(C7="",0,C7*J$11)</f>
        <v>2922</v>
      </c>
      <c r="E7" s="29">
        <f>IF(DigitaTICA!D12&lt;&gt;"",DigitaTICA!D12,"")</f>
        <v>900</v>
      </c>
      <c r="F7" s="42">
        <f>IF(E7="",0,E7*PREMIOS!F7)</f>
        <v>76500</v>
      </c>
      <c r="G7" s="30">
        <f t="shared" si="0"/>
        <v>-55072</v>
      </c>
      <c r="I7" s="219" t="s">
        <v>96</v>
      </c>
      <c r="J7" s="225">
        <f>SUM(IF(C19="",0,C19),IF(C20="",0,C20))</f>
        <v>45050</v>
      </c>
      <c r="K7" s="228">
        <f>+D19+D20</f>
        <v>5406</v>
      </c>
      <c r="L7" s="229">
        <f>+F19+F20</f>
        <v>80750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IF(DigitaREVENTADO!C12&lt;&gt;"",DigitaREVENTADO!C12,"")</f>
        <v>3250</v>
      </c>
      <c r="D8" s="42">
        <f>IF(C8="",0,C8*J$13)</f>
        <v>325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2925</v>
      </c>
      <c r="I8" s="220" t="s">
        <v>104</v>
      </c>
      <c r="J8" s="226">
        <f>SUM(IF(C21="",0,C21),IF(C22="",0,C22),IF(C23="",0,C23))</f>
        <v>5100</v>
      </c>
      <c r="K8" s="230">
        <f>+D21+D22+D23</f>
        <v>612</v>
      </c>
      <c r="L8" s="231">
        <f>+F21+F22+F23</f>
        <v>17000</v>
      </c>
    </row>
    <row r="9" spans="1:12" ht="15" thickBot="1" x14ac:dyDescent="0.4">
      <c r="A9" s="28" t="s">
        <v>48</v>
      </c>
      <c r="B9" s="133">
        <f>IF(DigitaNICA!E2&lt;&gt;"",DigitaNICA!E2,"")</f>
        <v>31</v>
      </c>
      <c r="C9" s="29">
        <f>IF(DigitaNICA!E12&lt;&gt;"",DigitaNICA!E12,"")</f>
        <v>15850</v>
      </c>
      <c r="D9" s="42">
        <f>IF(C9="",0,C9*J$12)</f>
        <v>1902</v>
      </c>
      <c r="E9" s="29">
        <f>IF(DigitaNICA!F12&lt;&gt;"",DigitaNICA!F12,"")</f>
        <v>200</v>
      </c>
      <c r="F9" s="42">
        <f>IF(E9="",0,E9*PREMIOS!F9)</f>
        <v>17000</v>
      </c>
      <c r="G9" s="30">
        <f t="shared" si="0"/>
        <v>-3052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8" t="s">
        <v>34</v>
      </c>
      <c r="J10" s="288"/>
      <c r="K10" s="288"/>
    </row>
    <row r="11" spans="1:12" x14ac:dyDescent="0.35">
      <c r="A11" s="28" t="s">
        <v>59</v>
      </c>
      <c r="B11" s="133">
        <f>IF(DigitaTICA!E2&lt;&gt;"",DigitaTICA!E2,"")</f>
        <v>14</v>
      </c>
      <c r="C11" s="29">
        <f>IF(DigitaTICA!E12&lt;&gt;"",DigitaTICA!E12,"")</f>
        <v>14600</v>
      </c>
      <c r="D11" s="42">
        <f>IF(C11="",0,C11*J$11)</f>
        <v>1752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12848</v>
      </c>
      <c r="I11" s="60" t="s">
        <v>36</v>
      </c>
      <c r="J11" s="61">
        <v>0.12</v>
      </c>
      <c r="K11" s="62">
        <f>MROUND(D7+D11+D15,50)</f>
        <v>7350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IF(DigitaREVENTADO!E12&lt;&gt;"",DigitaREVENTADO!E12,"")</f>
        <v>1000</v>
      </c>
      <c r="D12" s="42">
        <f>IF(C12="",0,C12*J$13)</f>
        <v>100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900</v>
      </c>
      <c r="I12" s="63" t="s">
        <v>37</v>
      </c>
      <c r="J12" s="64">
        <v>0.12</v>
      </c>
      <c r="K12" s="30">
        <f>MROUND(D5+D9+D13+D17,50)</f>
        <v>9250</v>
      </c>
    </row>
    <row r="13" spans="1:12" x14ac:dyDescent="0.35">
      <c r="A13" s="28" t="s">
        <v>50</v>
      </c>
      <c r="B13" s="133">
        <f>IF(DigitaNICA!G2&lt;&gt;"",DigitaNICA!G2,"")</f>
        <v>55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600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5400</v>
      </c>
    </row>
    <row r="15" spans="1:12" ht="15" thickBot="1" x14ac:dyDescent="0.4">
      <c r="A15" s="28" t="s">
        <v>61</v>
      </c>
      <c r="B15" s="133">
        <f>IF(DigitaTICA!G2&lt;&gt;"",DigitaTICA!G2,"")</f>
        <v>72</v>
      </c>
      <c r="C15" s="29">
        <f>IF(DigitaTICA!G12&lt;&gt;"",DigitaTICA!G12,"")</f>
        <v>22500</v>
      </c>
      <c r="D15" s="42">
        <f>IF(C15="",0,C15*J$11)</f>
        <v>2700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19800</v>
      </c>
      <c r="I15" s="65" t="s">
        <v>104</v>
      </c>
      <c r="J15" s="66">
        <v>0.12</v>
      </c>
      <c r="K15" s="50">
        <f>MROUND(D21+D22+D23,50)</f>
        <v>600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IF(DigitaREVENTADO!G12&lt;&gt;"",DigitaREVENTADO!G12,"")</f>
        <v>1500</v>
      </c>
      <c r="D16" s="42">
        <f>IF(C16="",0,C16*J$13)</f>
        <v>150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1350</v>
      </c>
    </row>
    <row r="17" spans="1:7" x14ac:dyDescent="0.35">
      <c r="A17" s="28" t="s">
        <v>52</v>
      </c>
      <c r="B17" s="133">
        <f>IF(DigitaNICA!I2&lt;&gt;"",DigitaNICA!I2,"")</f>
        <v>81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90</v>
      </c>
      <c r="C19" s="29">
        <f>IF(DigitaPRIMERA!$C$12&lt;&gt;"",DigitaPRIMERA!$C$12,"")</f>
        <v>45050</v>
      </c>
      <c r="D19" s="42">
        <f>IF(C19="",0,C19*J$14)</f>
        <v>5406</v>
      </c>
      <c r="E19" s="29">
        <f>IF(DigitaPRIMERA!$D$12&lt;&gt;"",DigitaPRIMERA!$D$12,"")</f>
        <v>950</v>
      </c>
      <c r="F19" s="42">
        <f>IF(E19="",0,E19*PREMIOS!F19)</f>
        <v>80750</v>
      </c>
      <c r="G19" s="30">
        <f t="shared" si="3"/>
        <v>-41106</v>
      </c>
    </row>
    <row r="20" spans="1:7" x14ac:dyDescent="0.35">
      <c r="A20" s="28" t="s">
        <v>98</v>
      </c>
      <c r="B20" s="133">
        <f>IF(DigitaPRIMERA!E2&lt;&gt;"",DigitaPRIMERA!E2,"")</f>
        <v>89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52</v>
      </c>
      <c r="C21" s="29">
        <f>IF(DigitaHONDURAS!$C$12&lt;&gt;"",DigitaHONDURAS!$C$12,"")</f>
        <v>5100</v>
      </c>
      <c r="D21" s="42">
        <f>IF(C21="",0,C21*J$15)</f>
        <v>612</v>
      </c>
      <c r="E21" s="29">
        <f>IF(DigitaHONDURAS!$D$12&lt;&gt;"",DigitaHONDURAS!$D$12,"")</f>
        <v>200</v>
      </c>
      <c r="F21" s="42">
        <f>IF(E21="",0,E21*PREMIOS!F20)</f>
        <v>17000</v>
      </c>
      <c r="G21" s="30">
        <f t="shared" si="3"/>
        <v>-12512</v>
      </c>
    </row>
    <row r="22" spans="1:7" x14ac:dyDescent="0.35">
      <c r="A22" s="28" t="s">
        <v>100</v>
      </c>
      <c r="B22" s="133">
        <f>IF(DigitaHONDURAS!E2&lt;&gt;"",DigitaHONDURAS!E2,"")</f>
        <v>83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96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194600</v>
      </c>
      <c r="D24" s="68">
        <f t="shared" ref="D24:G24" si="4">SUM(D5:D23)</f>
        <v>23237</v>
      </c>
      <c r="E24" s="68">
        <f t="shared" si="4"/>
        <v>3700</v>
      </c>
      <c r="F24" s="68">
        <f t="shared" si="4"/>
        <v>314500</v>
      </c>
      <c r="G24" s="89">
        <f t="shared" si="4"/>
        <v>-143137</v>
      </c>
    </row>
    <row r="27" spans="1:7" x14ac:dyDescent="0.35">
      <c r="G27" s="21">
        <v>281524</v>
      </c>
    </row>
    <row r="28" spans="1:7" x14ac:dyDescent="0.35">
      <c r="G28" s="142">
        <f>+G24+G27</f>
        <v>138387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6" t="s">
        <v>57</v>
      </c>
      <c r="C2" s="286"/>
      <c r="D2" s="287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114800</v>
      </c>
      <c r="K4" s="233">
        <f t="shared" ref="K4" si="0">D7+D11+D15</f>
        <v>13776</v>
      </c>
      <c r="L4" s="222">
        <f>F7+F11+F15</f>
        <v>318750</v>
      </c>
    </row>
    <row r="5" spans="1:12" ht="15" thickBot="1" x14ac:dyDescent="0.4">
      <c r="A5" s="28" t="s">
        <v>43</v>
      </c>
      <c r="B5" s="133" t="str">
        <f>IF(DigitaNICA!C2&lt;&gt;"",DigitaNICA!C2,"")</f>
        <v>08</v>
      </c>
      <c r="C5" s="29">
        <f>IF(DigitaNICA!C13&lt;&gt;"",DigitaNICA!C13,"")</f>
        <v>43100</v>
      </c>
      <c r="D5" s="42">
        <f>IF(C5="",0,C5*J$10)</f>
        <v>5172</v>
      </c>
      <c r="E5" s="29">
        <f>IF(DigitaNICA!D13&lt;&gt;"",DigitaNICA!D13,"")</f>
        <v>500</v>
      </c>
      <c r="F5" s="42">
        <f>IF(E5="",0,E5*PREMIOS!E5)</f>
        <v>40000</v>
      </c>
      <c r="G5" s="30">
        <f t="shared" ref="G5:G12" si="1">IF(OR(C5="",E5=""),0,C5-D5-F5)</f>
        <v>-2072</v>
      </c>
      <c r="I5" s="220" t="s">
        <v>37</v>
      </c>
      <c r="J5" s="234">
        <f>SUM(IF(C5="",0,C5),IF(C9="",0,C9),IF(C13="",0,C13),IF(C17="",0,C17))</f>
        <v>77050</v>
      </c>
      <c r="K5" s="235">
        <f t="shared" ref="K5" si="2">D5+D9+D13+D17</f>
        <v>9246</v>
      </c>
      <c r="L5" s="236">
        <f>F5+F9+F13+F17</f>
        <v>52000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 t="str">
        <f>IF(DigitaTICA!C2&lt;&gt;"",DigitaTICA!C2,"")</f>
        <v>09</v>
      </c>
      <c r="C7" s="29">
        <f>IF(DigitaTICA!C13&lt;&gt;"",DigitaTICA!C13,"")</f>
        <v>44900</v>
      </c>
      <c r="D7" s="42">
        <f>IF(C7="",0,C7*J$9)</f>
        <v>5388</v>
      </c>
      <c r="E7" s="29">
        <f>IF(DigitaTICA!D13&lt;&gt;"",DigitaTICA!D13,"")</f>
        <v>2950</v>
      </c>
      <c r="F7" s="134">
        <f>IF(E7="",0,E7*PREMIOS!F7)</f>
        <v>250750</v>
      </c>
      <c r="G7" s="30">
        <f t="shared" si="1"/>
        <v>-211238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8" t="s">
        <v>34</v>
      </c>
      <c r="J8" s="288"/>
      <c r="K8" s="288"/>
    </row>
    <row r="9" spans="1:12" x14ac:dyDescent="0.35">
      <c r="A9" s="28" t="s">
        <v>48</v>
      </c>
      <c r="B9" s="133">
        <f>IF(DigitaNICA!E2&lt;&gt;"",DigitaNICA!E2,"")</f>
        <v>31</v>
      </c>
      <c r="C9" s="29">
        <f>IF(DigitaNICA!E13&lt;&gt;"",DigitaNICA!E13,"")</f>
        <v>29750</v>
      </c>
      <c r="D9" s="42">
        <f>IF(C9="",0,C9*J$10)</f>
        <v>3570</v>
      </c>
      <c r="E9" s="29">
        <f>IF(DigitaNICA!F13&lt;&gt;"",DigitaNICA!F13,"")</f>
        <v>150</v>
      </c>
      <c r="F9" s="134">
        <f>IF(E9="",0,E9*PREMIOS!E9)</f>
        <v>12000</v>
      </c>
      <c r="G9" s="30">
        <f t="shared" si="1"/>
        <v>14180</v>
      </c>
      <c r="I9" s="60" t="s">
        <v>36</v>
      </c>
      <c r="J9" s="61">
        <v>0.12</v>
      </c>
      <c r="K9" s="62">
        <f>MROUND(D7+D11+D15,50)</f>
        <v>13800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9250</v>
      </c>
    </row>
    <row r="11" spans="1:12" ht="15" thickBot="1" x14ac:dyDescent="0.4">
      <c r="A11" s="28" t="s">
        <v>59</v>
      </c>
      <c r="B11" s="133">
        <f>IF(DigitaTICA!E2&lt;&gt;"",DigitaTICA!E2,"")</f>
        <v>14</v>
      </c>
      <c r="C11" s="29">
        <f>IF(DigitaTICA!E13&lt;&gt;"",DigitaTICA!E13,"")</f>
        <v>19200</v>
      </c>
      <c r="D11" s="42">
        <f>IF(C11="",0,C11*J$9)</f>
        <v>2304</v>
      </c>
      <c r="E11" s="29">
        <f>IF(DigitaTICA!F13&lt;&gt;"",DigitaTICA!F13,"")</f>
        <v>500</v>
      </c>
      <c r="F11" s="134">
        <f>IF(E11="",0,E11*PREMIOS!F11)</f>
        <v>42500</v>
      </c>
      <c r="G11" s="30">
        <f t="shared" si="1"/>
        <v>-25604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55</v>
      </c>
      <c r="C13" s="29">
        <f>IF(DigitaNICA!G13&lt;&gt;"",DigitaNICA!G13,"")</f>
        <v>2400</v>
      </c>
      <c r="D13" s="42">
        <f>IF(C13="",0,C13*J$10)</f>
        <v>288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2112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72</v>
      </c>
      <c r="C15" s="29">
        <f>IF(DigitaTICA!G13&lt;&gt;"",DigitaTICA!G13,"")</f>
        <v>50700</v>
      </c>
      <c r="D15" s="42">
        <f>IF(C15="",0,C15*J$9)</f>
        <v>6084</v>
      </c>
      <c r="E15" s="29">
        <f>IF(DigitaTICA!H13&lt;&gt;"",DigitaTICA!H13,"")</f>
        <v>300</v>
      </c>
      <c r="F15" s="134">
        <f>IF(E15="",0,E15*PREMIOS!F15)</f>
        <v>25500</v>
      </c>
      <c r="G15" s="30">
        <f t="shared" si="3"/>
        <v>19116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81</v>
      </c>
      <c r="C17" s="29">
        <f>IF(DigitaNICA!I13&lt;&gt;"",DigitaNICA!I13,"")</f>
        <v>1800</v>
      </c>
      <c r="D17" s="42">
        <f>IF(C17="",0,C17*J$10)</f>
        <v>216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1584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191850</v>
      </c>
      <c r="D19" s="68">
        <f>MROUND(SUM(D5:D18),50)</f>
        <v>23000</v>
      </c>
      <c r="E19" s="68">
        <f>SUM(E5:E18)</f>
        <v>4400</v>
      </c>
      <c r="F19" s="68">
        <f>SUM(F5:F18)</f>
        <v>370750</v>
      </c>
      <c r="G19" s="89">
        <f>SUM(G5:G18)</f>
        <v>-201922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6" t="s">
        <v>54</v>
      </c>
      <c r="C2" s="286"/>
      <c r="D2" s="287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79450</v>
      </c>
      <c r="K4" s="238">
        <f t="shared" ref="K4" si="0">D7+D11+D15</f>
        <v>11917.5</v>
      </c>
      <c r="L4" s="239">
        <f>F7+F11+F15</f>
        <v>184000</v>
      </c>
    </row>
    <row r="5" spans="1:12" x14ac:dyDescent="0.35">
      <c r="A5" s="28" t="s">
        <v>43</v>
      </c>
      <c r="B5" s="133" t="str">
        <f>IF(DigitaNICA!C2&lt;&gt;"",DigitaNICA!C2,"")</f>
        <v>08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 t="str">
        <f>IF(DigitaTICA!C2&lt;&gt;"",DigitaTICA!C2,"")</f>
        <v>09</v>
      </c>
      <c r="C7" s="29">
        <f>IF(DigitaTICA!C14&lt;&gt;"",DigitaTICA!C14,"")</f>
        <v>30550</v>
      </c>
      <c r="D7" s="42">
        <f>IF(C7="",0,C7*J$9)</f>
        <v>4582.5</v>
      </c>
      <c r="E7" s="29">
        <f>IF(DigitaTICA!D14&lt;&gt;"",DigitaTICA!D14,"")</f>
        <v>2000</v>
      </c>
      <c r="F7" s="42">
        <f>IF(E7="",0,E7*PREMIOS!E7)</f>
        <v>160000</v>
      </c>
      <c r="G7" s="30">
        <f t="shared" si="1"/>
        <v>-134032.5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8" t="s">
        <v>34</v>
      </c>
      <c r="J8" s="288"/>
      <c r="K8" s="288"/>
    </row>
    <row r="9" spans="1:12" x14ac:dyDescent="0.35">
      <c r="A9" s="28" t="s">
        <v>48</v>
      </c>
      <c r="B9" s="133">
        <f>IF(DigitaNICA!E2&lt;&gt;"",DigitaNICA!E2,"")</f>
        <v>31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11900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14</v>
      </c>
      <c r="C11" s="29">
        <f>IF(DigitaTICA!E14&lt;&gt;"",DigitaTICA!E14,"")</f>
        <v>19800</v>
      </c>
      <c r="D11" s="42">
        <f>IF(C11="",0,C11*J$9)</f>
        <v>2970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16830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55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72</v>
      </c>
      <c r="C15" s="29">
        <f>IF(DigitaTICA!G14&lt;&gt;"",DigitaTICA!G14,"")</f>
        <v>29100</v>
      </c>
      <c r="D15" s="42">
        <f>IF(C15="",0,C15*J$9)</f>
        <v>4365</v>
      </c>
      <c r="E15" s="29">
        <f>IF(DigitaTICA!H14&lt;&gt;"",DigitaTICA!H14,"")</f>
        <v>300</v>
      </c>
      <c r="F15" s="42">
        <f>IF(E15="",0,E15*PREMIOS!E15)</f>
        <v>24000</v>
      </c>
      <c r="G15" s="30">
        <f t="shared" si="2"/>
        <v>735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81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79450</v>
      </c>
      <c r="D19" s="68">
        <f>MROUND(SUM(D5:D18),50)</f>
        <v>11900</v>
      </c>
      <c r="E19" s="68">
        <f>SUM(E5:E18)</f>
        <v>2300</v>
      </c>
      <c r="F19" s="68">
        <f>SUM(F5:F18)</f>
        <v>184000</v>
      </c>
      <c r="G19" s="89">
        <f>SUM(G5:G18)</f>
        <v>-116467.5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6" t="s">
        <v>55</v>
      </c>
      <c r="C2" s="286"/>
      <c r="D2" s="287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 t="str">
        <f>IF(DigitaNICA!C2&lt;&gt;"",DigitaNICA!C2,"")</f>
        <v>08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 t="str">
        <f>IF(DigitaTICA!C2&lt;&gt;"",DigitaTICA!C2,"")</f>
        <v>09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8" t="s">
        <v>34</v>
      </c>
      <c r="J8" s="288"/>
      <c r="K8" s="288"/>
    </row>
    <row r="9" spans="1:12" x14ac:dyDescent="0.35">
      <c r="A9" s="28" t="s">
        <v>48</v>
      </c>
      <c r="B9" s="133">
        <f>IF(DigitaNICA!E2&lt;&gt;"",DigitaNICA!E2,"")</f>
        <v>31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14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55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72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81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6" t="str">
        <f>J2</f>
        <v>MINERO</v>
      </c>
      <c r="C2" s="286"/>
      <c r="D2" s="287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7" t="s">
        <v>36</v>
      </c>
      <c r="J4" s="233">
        <f>SUM(IF(C7="",0,C7),IF(C11="",0,C11),IF(C15="",0,C15))</f>
        <v>61350</v>
      </c>
      <c r="K4" s="233">
        <f>D7+D11+D15</f>
        <v>7362</v>
      </c>
      <c r="L4" s="222">
        <f>F7+F11+F15</f>
        <v>191250</v>
      </c>
    </row>
    <row r="5" spans="1:12" x14ac:dyDescent="0.35">
      <c r="A5" s="28" t="s">
        <v>43</v>
      </c>
      <c r="B5" s="133" t="str">
        <f>IF(DigitaNICA!C2&lt;&gt;"",DigitaNICA!C2,"")</f>
        <v>08</v>
      </c>
      <c r="C5" s="29" t="str">
        <f>IF(DigitaNICA!C16&lt;&gt;"",DigitaNICA!C16,"")</f>
        <v/>
      </c>
      <c r="D5" s="42">
        <f>IF(C5="",0,C5*J$12)</f>
        <v>0</v>
      </c>
      <c r="E5" s="29" t="str">
        <f>IF(DigitaNICA!D16&lt;&gt;"",DigitaNICA!D16,"")</f>
        <v/>
      </c>
      <c r="F5" s="42">
        <f>IF(E5="",0,E5*PREMIOS!E5)</f>
        <v>0</v>
      </c>
      <c r="G5" s="30">
        <f t="shared" ref="G5:G12" si="0">IF(OR(C5="",E5=""),0,C5-D5-F5)</f>
        <v>0</v>
      </c>
      <c r="I5" s="63" t="s">
        <v>37</v>
      </c>
      <c r="J5" s="227">
        <f>SUM(IF(C5="",0,C5),IF(C9="",0,C9),IF(C13="",0,C13),IF(C17="",0,C17))</f>
        <v>20150</v>
      </c>
      <c r="K5" s="227">
        <f t="shared" ref="K5" si="1">D5+D9+D13+D17</f>
        <v>2418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63" t="s">
        <v>38</v>
      </c>
      <c r="J6" s="228">
        <f>SUM(IF(C8="",0,C8),IF(C12="",0,C12),IF(C16="",0,C16))</f>
        <v>200</v>
      </c>
      <c r="K6" s="228">
        <f t="shared" ref="K6" si="2">+D8+D12+D16</f>
        <v>20</v>
      </c>
      <c r="L6" s="229">
        <f>F8+F12+F16</f>
        <v>0</v>
      </c>
    </row>
    <row r="7" spans="1:12" x14ac:dyDescent="0.35">
      <c r="A7" s="28" t="s">
        <v>46</v>
      </c>
      <c r="B7" s="133" t="str">
        <f>IF(DigitaTICA!C2&lt;&gt;"",DigitaTICA!C2,"")</f>
        <v>09</v>
      </c>
      <c r="C7" s="29">
        <f>IF(DigitaTICA!C16&lt;&gt;"",DigitaTICA!C16,"")</f>
        <v>15050</v>
      </c>
      <c r="D7" s="42">
        <f>IF(C7="",0,C7*J$11)</f>
        <v>1806</v>
      </c>
      <c r="E7" s="29">
        <f>IF(DigitaTICA!D16&lt;&gt;"",DigitaTICA!D16,"")</f>
        <v>2250</v>
      </c>
      <c r="F7" s="134">
        <f>IF(E7="",0,E7*PREMIOS!F7)</f>
        <v>191250</v>
      </c>
      <c r="G7" s="30">
        <f t="shared" si="0"/>
        <v>-178006</v>
      </c>
      <c r="I7" s="63" t="s">
        <v>96</v>
      </c>
      <c r="J7" s="228">
        <f>SUM(IF(C19="",0,C19),IF(C20="",0,C20))</f>
        <v>0</v>
      </c>
      <c r="K7" s="228">
        <f>+D19+D20</f>
        <v>0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  <c r="I8" s="65" t="s">
        <v>104</v>
      </c>
      <c r="J8" s="230">
        <f>SUM(IF(C21="",0,C21),IF(C22="",0,C22),IF(C23="",0,C23))</f>
        <v>2700</v>
      </c>
      <c r="K8" s="230">
        <f>D21+D22+D23</f>
        <v>324</v>
      </c>
      <c r="L8" s="231">
        <f>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31</v>
      </c>
      <c r="C9" s="29">
        <f>IF(DigitaNICA!E16&lt;&gt;"",DigitaNICA!E16,"")</f>
        <v>12550</v>
      </c>
      <c r="D9" s="42">
        <f>IF(C9="",0,C9*J$12)</f>
        <v>1506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11044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5" t="s">
        <v>34</v>
      </c>
      <c r="J10" s="285"/>
      <c r="K10" s="285"/>
    </row>
    <row r="11" spans="1:12" x14ac:dyDescent="0.35">
      <c r="A11" s="28" t="s">
        <v>59</v>
      </c>
      <c r="B11" s="133">
        <f>IF(DigitaTICA!E2&lt;&gt;"",DigitaTICA!E2,"")</f>
        <v>14</v>
      </c>
      <c r="C11" s="29">
        <f>IF(DigitaTICA!E16&lt;&gt;"",DigitaTICA!E16,"")</f>
        <v>22500</v>
      </c>
      <c r="D11" s="42">
        <f>IF(C11="",0,C11*J$11)</f>
        <v>2700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19800</v>
      </c>
      <c r="I11" s="77" t="s">
        <v>36</v>
      </c>
      <c r="J11" s="78">
        <v>0.12</v>
      </c>
      <c r="K11" s="79">
        <f>MROUND(D7+D11+D15,50)</f>
        <v>7350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2400</v>
      </c>
    </row>
    <row r="13" spans="1:12" x14ac:dyDescent="0.35">
      <c r="A13" s="28" t="s">
        <v>50</v>
      </c>
      <c r="B13" s="133">
        <f>IF(DigitaNICA!G2&lt;&gt;"",DigitaNICA!G2,"")</f>
        <v>55</v>
      </c>
      <c r="C13" s="29">
        <f>IF(DigitaNICA!G16&lt;&gt;"",DigitaNICA!G16,"")</f>
        <v>1400</v>
      </c>
      <c r="D13" s="42">
        <f>IF(C13="",0,C13*J$12)</f>
        <v>168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1232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3">
        <f>IF(DigitaTICA!G2&lt;&gt;"",DigitaTICA!G2,"")</f>
        <v>72</v>
      </c>
      <c r="C15" s="29">
        <f>IF(DigitaTICA!G16&lt;&gt;"",DigitaTICA!G16,"")</f>
        <v>23800</v>
      </c>
      <c r="D15" s="42">
        <f>IF(C15="",0,C15*J$11)</f>
        <v>2856</v>
      </c>
      <c r="E15" s="29">
        <f>IF(DigitaTICA!H16&lt;&gt;"",DigitaTICA!H16,"")</f>
        <v>0</v>
      </c>
      <c r="F15" s="134">
        <f>IF(E15="",0,E15*PREMIOS!F15)</f>
        <v>0</v>
      </c>
      <c r="G15" s="30">
        <f t="shared" si="3"/>
        <v>20944</v>
      </c>
      <c r="I15" s="65" t="s">
        <v>104</v>
      </c>
      <c r="J15" s="66">
        <v>0.12</v>
      </c>
      <c r="K15" s="50">
        <f>MROUND(D21+D22+D23,50)</f>
        <v>300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IF(DigitaREVENTADO!G16&lt;&gt;"",DigitaREVENTADO!G16,"")</f>
        <v>200</v>
      </c>
      <c r="D16" s="42">
        <f>IF(C16="",0,C16*J$13)</f>
        <v>20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180</v>
      </c>
    </row>
    <row r="17" spans="1:7" x14ac:dyDescent="0.35">
      <c r="A17" s="28" t="s">
        <v>52</v>
      </c>
      <c r="B17" s="133">
        <f>IF(DigitaNICA!I2&lt;&gt;"",DigitaNICA!I2,"")</f>
        <v>81</v>
      </c>
      <c r="C17" s="29">
        <f>IF(DigitaNICA!I16&lt;&gt;"",DigitaNICA!I16,"")</f>
        <v>6200</v>
      </c>
      <c r="D17" s="42">
        <f>IF(C17="",0,C17*J$12)</f>
        <v>744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5456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90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89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52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83</v>
      </c>
      <c r="C22" s="29">
        <f>IF(DigitaHONDURAS!$E$16&lt;&gt;"",DigitaHONDURAS!$E$16,"")</f>
        <v>2700</v>
      </c>
      <c r="D22" s="42">
        <f t="shared" ref="D22:D23" si="4">IF(C22="",0,C22*J$15)</f>
        <v>324</v>
      </c>
      <c r="E22" s="29">
        <f>IF(DigitaHONDURAS!$F$16&lt;&gt;"",DigitaHONDURAS!$F$16,"")</f>
        <v>0</v>
      </c>
      <c r="F22" s="42">
        <f>IF(E22="",0,E22*PREMIOS!E20)</f>
        <v>0</v>
      </c>
      <c r="G22" s="30">
        <f t="shared" si="3"/>
        <v>2376</v>
      </c>
    </row>
    <row r="23" spans="1:7" x14ac:dyDescent="0.35">
      <c r="A23" s="28" t="s">
        <v>101</v>
      </c>
      <c r="B23" s="133">
        <f>IF(DigitaHONDURAS!G2&lt;&gt;"",DigitaHONDURAS!G2,"")</f>
        <v>96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2" t="s">
        <v>5</v>
      </c>
      <c r="B24" s="129"/>
      <c r="C24" s="123">
        <f>SUM(C5:C23)</f>
        <v>84400</v>
      </c>
      <c r="D24" s="123">
        <f t="shared" ref="D24:G24" si="5">SUM(D5:D23)</f>
        <v>10124</v>
      </c>
      <c r="E24" s="123">
        <f t="shared" si="5"/>
        <v>2250</v>
      </c>
      <c r="F24" s="123">
        <f t="shared" si="5"/>
        <v>191250</v>
      </c>
      <c r="G24" s="124">
        <f t="shared" si="5"/>
        <v>-116974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9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6" t="s">
        <v>91</v>
      </c>
      <c r="C2" s="286"/>
      <c r="D2" s="287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513050</v>
      </c>
      <c r="K4" s="233">
        <f t="shared" ref="K4" si="0">D7+D11+D15</f>
        <v>61566</v>
      </c>
      <c r="L4" s="222">
        <f>F7+F11+F15</f>
        <v>1007250</v>
      </c>
    </row>
    <row r="5" spans="1:12" x14ac:dyDescent="0.35">
      <c r="A5" s="28" t="s">
        <v>43</v>
      </c>
      <c r="B5" s="133" t="str">
        <f>IF(DigitaNICA!C2&lt;&gt;"",DigitaNICA!C2,"")</f>
        <v>08</v>
      </c>
      <c r="C5" s="90">
        <f>IF(DigitaNICA!C17&lt;&gt;"",DigitaNICA!C17,"")</f>
        <v>107550</v>
      </c>
      <c r="D5" s="42">
        <f>IF(C5="",0,C5*J$16)</f>
        <v>12906</v>
      </c>
      <c r="E5" s="90">
        <f>IF(DigitaNICA!D17&lt;&gt;"",DigitaNICA!D17,"")</f>
        <v>2000</v>
      </c>
      <c r="F5" s="42">
        <f>IF(E5="",0,E5*PREMIOS!F5)</f>
        <v>170000</v>
      </c>
      <c r="G5" s="91">
        <f t="shared" ref="G5:G12" si="1">IF(OR(C5="",E5=""),0,C5-D5-F5)</f>
        <v>-75356</v>
      </c>
      <c r="I5" s="219" t="s">
        <v>37</v>
      </c>
      <c r="J5" s="223">
        <f>SUM(IF(C5="",0,C5),IF(C9="",0,C9),IF(C13="",0,C13),IF(C17="",0,C17))</f>
        <v>444450</v>
      </c>
      <c r="K5" s="227">
        <f t="shared" ref="K5" si="2">D5+D9+D13+D17</f>
        <v>53334</v>
      </c>
      <c r="L5" s="224">
        <f>F5+F9+F13+F17</f>
        <v>403750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109000</v>
      </c>
      <c r="K6" s="228">
        <f t="shared" ref="K6" si="3">+D8+D12+D16</f>
        <v>10900</v>
      </c>
      <c r="L6" s="229">
        <f>+F8+F12+F16</f>
        <v>0</v>
      </c>
    </row>
    <row r="7" spans="1:12" x14ac:dyDescent="0.35">
      <c r="A7" s="28" t="s">
        <v>46</v>
      </c>
      <c r="B7" s="133" t="str">
        <f>IF(DigitaTICA!C2&lt;&gt;"",DigitaTICA!C2,"")</f>
        <v>09</v>
      </c>
      <c r="C7" s="90">
        <f>IF(DigitaTICA!C17&lt;&gt;"",DigitaTICA!C17,"")</f>
        <v>142950</v>
      </c>
      <c r="D7" s="42">
        <f>IF(C7="",0,C7*J$15)</f>
        <v>17154</v>
      </c>
      <c r="E7" s="90">
        <f>IF(DigitaTICA!D17&lt;&gt;"",DigitaTICA!D17,"")</f>
        <v>9800</v>
      </c>
      <c r="F7" s="42">
        <f>IF(E7="",0,E7*PREMIOS!F7)</f>
        <v>833000</v>
      </c>
      <c r="G7" s="91">
        <f t="shared" si="1"/>
        <v>-707204</v>
      </c>
      <c r="I7" s="219" t="s">
        <v>96</v>
      </c>
      <c r="J7" s="225">
        <f>SUM(IF(C19="",0,C19),IF(C20="",0,C20))</f>
        <v>110700</v>
      </c>
      <c r="K7" s="228">
        <f>+D19+D20</f>
        <v>13284</v>
      </c>
      <c r="L7" s="229">
        <f>+F19+F20</f>
        <v>80750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49850</v>
      </c>
      <c r="D8" s="42">
        <f>IF(C8="",0,C8*J$17)</f>
        <v>4985</v>
      </c>
      <c r="E8" s="90">
        <f>IF(DigitaREVENTADO!D17&lt;&gt;"",DigitaREVENTADO!D17,"")</f>
        <v>2250</v>
      </c>
      <c r="F8" s="42">
        <f>IF(E8="",0,E8*PREMIOS!F8)</f>
        <v>0</v>
      </c>
      <c r="G8" s="91">
        <f t="shared" si="1"/>
        <v>44865</v>
      </c>
      <c r="I8" s="219" t="s">
        <v>104</v>
      </c>
      <c r="J8" s="225">
        <f>SUM(IF(C21="",0,C21),IF(C22="",0,C22),IF(C23="",0,C23))</f>
        <v>73800</v>
      </c>
      <c r="K8" s="228">
        <f t="shared" ref="K8" si="4">D21+D22+D23</f>
        <v>8856</v>
      </c>
      <c r="L8" s="229">
        <f>F21+F22+F23</f>
        <v>59500</v>
      </c>
    </row>
    <row r="9" spans="1:12" x14ac:dyDescent="0.35">
      <c r="A9" s="28" t="s">
        <v>48</v>
      </c>
      <c r="B9" s="133">
        <f>IF(DigitaNICA!E2&lt;&gt;"",DigitaNICA!E2,"")</f>
        <v>31</v>
      </c>
      <c r="C9" s="90">
        <f>IF(DigitaNICA!E17&lt;&gt;"",DigitaNICA!E17,"")</f>
        <v>96600</v>
      </c>
      <c r="D9" s="42">
        <f>IF(C9="",0,C9*J$16)</f>
        <v>11592</v>
      </c>
      <c r="E9" s="90">
        <f>IF(DigitaNICA!F17&lt;&gt;"",DigitaNICA!F17,"")</f>
        <v>550</v>
      </c>
      <c r="F9" s="42">
        <f>IF(E9="",0,E9*PREMIOS!F9)</f>
        <v>46750</v>
      </c>
      <c r="G9" s="91">
        <f t="shared" si="1"/>
        <v>38258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14</v>
      </c>
      <c r="C11" s="90">
        <f>IF(DigitaTICA!E17&lt;&gt;"",DigitaTICA!E17,"")</f>
        <v>126400</v>
      </c>
      <c r="D11" s="42">
        <f>IF(C11="",0,C11*J$15)</f>
        <v>15168</v>
      </c>
      <c r="E11" s="90">
        <f>IF(DigitaTICA!F17&lt;&gt;"",DigitaTICA!F17,"")</f>
        <v>500</v>
      </c>
      <c r="F11" s="42">
        <f>IF(E11="",0,E11*PREMIOS!F11)</f>
        <v>42500</v>
      </c>
      <c r="G11" s="91">
        <f t="shared" si="1"/>
        <v>68732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21750</v>
      </c>
      <c r="D12" s="42">
        <f>IF(C12="",0,C12*J$17)</f>
        <v>2175</v>
      </c>
      <c r="E12" s="90">
        <f>IF(DigitaREVENTADO!F17&lt;&gt;"",DigitaREVENTADO!F17,"")</f>
        <v>200</v>
      </c>
      <c r="F12" s="42">
        <f>IF(E12="",0,E12*PREMIOS!F12)</f>
        <v>0</v>
      </c>
      <c r="G12" s="91">
        <f t="shared" si="1"/>
        <v>19575</v>
      </c>
    </row>
    <row r="13" spans="1:12" ht="15" thickBot="1" x14ac:dyDescent="0.4">
      <c r="A13" s="28" t="s">
        <v>50</v>
      </c>
      <c r="B13" s="133">
        <f>IF(DigitaNICA!G2&lt;&gt;"",DigitaNICA!G2,"")</f>
        <v>55</v>
      </c>
      <c r="C13" s="90">
        <f>IF(DigitaNICA!G17&lt;&gt;"",DigitaNICA!G17,"")</f>
        <v>50950</v>
      </c>
      <c r="D13" s="42">
        <f>IF(C13="",0,C13*J$16)</f>
        <v>6114</v>
      </c>
      <c r="E13" s="90">
        <f>IF(DigitaNICA!H17&lt;&gt;"",DigitaNICA!H17,"")</f>
        <v>700</v>
      </c>
      <c r="F13" s="42">
        <f>IF(E13="",0,E13*PREMIOS!F13)</f>
        <v>59500</v>
      </c>
      <c r="G13" s="91">
        <f>IF(OR(C13="",E13=""),0,C13-D13-F13)</f>
        <v>-14664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5" t="s">
        <v>34</v>
      </c>
      <c r="J14" s="285"/>
      <c r="K14" s="285"/>
    </row>
    <row r="15" spans="1:12" x14ac:dyDescent="0.35">
      <c r="A15" s="28" t="s">
        <v>61</v>
      </c>
      <c r="B15" s="133">
        <f>IF(DigitaTICA!G2&lt;&gt;"",DigitaTICA!G2,"")</f>
        <v>72</v>
      </c>
      <c r="C15" s="90">
        <f>IF(DigitaTICA!G17&lt;&gt;"",DigitaTICA!G17,"")</f>
        <v>243700</v>
      </c>
      <c r="D15" s="42">
        <f>IF(C15="",0,C15*J$15)</f>
        <v>29244</v>
      </c>
      <c r="E15" s="90">
        <f>IF(DigitaTICA!H17&lt;&gt;"",DigitaTICA!H17,"")</f>
        <v>1550</v>
      </c>
      <c r="F15" s="42">
        <f>IF(E15="",0,E15*PREMIOS!F15)</f>
        <v>131750</v>
      </c>
      <c r="G15" s="91">
        <f t="shared" si="6"/>
        <v>82706</v>
      </c>
      <c r="I15" s="77" t="s">
        <v>36</v>
      </c>
      <c r="J15" s="78">
        <v>0.12</v>
      </c>
      <c r="K15" s="79">
        <f>MROUND(D7+D11+D15,50)</f>
        <v>61550</v>
      </c>
    </row>
    <row r="16" spans="1:12" x14ac:dyDescent="0.35">
      <c r="A16" s="28" t="s">
        <v>62</v>
      </c>
      <c r="B16" s="133" t="str">
        <f>IF(B15&lt;&gt;"",PREMIOS!B16,"")</f>
        <v>Blanca</v>
      </c>
      <c r="C16" s="90">
        <f>IF(DigitaREVENTADO!G17&lt;&gt;"",DigitaREVENTADO!G17,"")</f>
        <v>37400</v>
      </c>
      <c r="D16" s="42">
        <f>IF(C16="",0,C16*J$17)</f>
        <v>3740</v>
      </c>
      <c r="E16" s="90">
        <f>IF(DigitaREVENTADO!H17&lt;&gt;"",DigitaREVENTADO!H17,"")</f>
        <v>350</v>
      </c>
      <c r="F16" s="42">
        <f>IF(E16="",0,E16*PREMIOS!F16)</f>
        <v>0</v>
      </c>
      <c r="G16" s="91">
        <f t="shared" si="6"/>
        <v>33660</v>
      </c>
      <c r="I16" s="63" t="s">
        <v>37</v>
      </c>
      <c r="J16" s="64">
        <v>0.12</v>
      </c>
      <c r="K16" s="30">
        <f>MROUND(D5+D9+D13+D17,50)</f>
        <v>53350</v>
      </c>
    </row>
    <row r="17" spans="1:11" x14ac:dyDescent="0.35">
      <c r="A17" s="28" t="s">
        <v>52</v>
      </c>
      <c r="B17" s="133">
        <f>IF(DigitaNICA!I2&lt;&gt;"",DigitaNICA!I2,"")</f>
        <v>81</v>
      </c>
      <c r="C17" s="90">
        <f>IF(DigitaNICA!I17&lt;&gt;"",DigitaNICA!I17,"")</f>
        <v>189350</v>
      </c>
      <c r="D17" s="42">
        <f>IF(C17="",0,C17*J$16)</f>
        <v>22722</v>
      </c>
      <c r="E17" s="90">
        <f>IF(DigitaNICA!J17&lt;&gt;"",DigitaNICA!J17,"")</f>
        <v>1500</v>
      </c>
      <c r="F17" s="42">
        <f>IF(E17="",0,E17*PREMIOS!F17)</f>
        <v>127500</v>
      </c>
      <c r="G17" s="91">
        <f t="shared" si="6"/>
        <v>39128</v>
      </c>
      <c r="I17" s="63" t="s">
        <v>38</v>
      </c>
      <c r="J17" s="64">
        <v>0.1</v>
      </c>
      <c r="K17" s="30">
        <f>MROUND(D6+D8+D10+D12+D14+D16+D18,50)</f>
        <v>10900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13300</v>
      </c>
    </row>
    <row r="19" spans="1:11" x14ac:dyDescent="0.35">
      <c r="A19" s="28" t="s">
        <v>97</v>
      </c>
      <c r="B19" s="133">
        <f>IF(DigitaPRIMERA!C2&lt;&gt;"",DigitaPRIMERA!C2,"")</f>
        <v>90</v>
      </c>
      <c r="C19" s="29">
        <f>IF(DigitaPRIMERA!$C$17&lt;&gt;"",DigitaPRIMERA!$C$17,"")</f>
        <v>76200</v>
      </c>
      <c r="D19" s="42">
        <f>IF(C19="",0,C19*J$18)</f>
        <v>9144</v>
      </c>
      <c r="E19" s="29">
        <f>IF(DigitaPRIMERA!$D$17&lt;&gt;"",DigitaPRIMERA!$D$17,"")</f>
        <v>950</v>
      </c>
      <c r="F19" s="42">
        <f>IF(E19="",0,E19*PREMIOS!F19)</f>
        <v>80750</v>
      </c>
      <c r="G19" s="30">
        <f t="shared" si="6"/>
        <v>-13694</v>
      </c>
      <c r="I19" s="63" t="s">
        <v>104</v>
      </c>
      <c r="J19" s="64">
        <v>0.12</v>
      </c>
      <c r="K19" s="30">
        <f>MROUND(D21+D22+D23,50)</f>
        <v>8850</v>
      </c>
    </row>
    <row r="20" spans="1:11" x14ac:dyDescent="0.35">
      <c r="A20" s="28" t="s">
        <v>98</v>
      </c>
      <c r="B20" s="133">
        <f>IF(DigitaPRIMERA!E2&lt;&gt;"",DigitaPRIMERA!E2,"")</f>
        <v>89</v>
      </c>
      <c r="C20" s="29">
        <f>IF(DigitaPRIMERA!$E$17&lt;&gt;"",DigitaPRIMERA!$E$17,"")</f>
        <v>34500</v>
      </c>
      <c r="D20" s="42">
        <f>IF(C20="",0,C20*J$18)</f>
        <v>4140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30360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52</v>
      </c>
      <c r="C21" s="29">
        <f>IF(DigitaHONDURAS!$C$17&lt;&gt;"",DigitaHONDURAS!$C$17,"")</f>
        <v>36600</v>
      </c>
      <c r="D21" s="42">
        <f>IF(C21="",0,C21*J$19)</f>
        <v>4392</v>
      </c>
      <c r="E21" s="29">
        <f>IF(DigitaHONDURAS!$D$17&lt;&gt;"",DigitaHONDURAS!$D$17,"")</f>
        <v>700</v>
      </c>
      <c r="F21" s="42">
        <f>IF(E21="",0,E21*PREMIOS!F20)</f>
        <v>59500</v>
      </c>
      <c r="G21" s="30">
        <f t="shared" si="6"/>
        <v>-27292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83</v>
      </c>
      <c r="C22" s="29">
        <f>IF(DigitaHONDURAS!$E$17&lt;&gt;"",DigitaHONDURAS!$E$17,"")</f>
        <v>11850</v>
      </c>
      <c r="D22" s="42">
        <f>IF(C22="",0,C22*J$19)</f>
        <v>1422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10428</v>
      </c>
    </row>
    <row r="23" spans="1:11" x14ac:dyDescent="0.35">
      <c r="A23" s="28" t="s">
        <v>101</v>
      </c>
      <c r="B23" s="133">
        <f>IF(DigitaHONDURAS!G2&lt;&gt;"",DigitaHONDURAS!G2,"")</f>
        <v>96</v>
      </c>
      <c r="C23" s="29">
        <f>IF(DigitaHONDURAS!$G$17&lt;&gt;"",DigitaHONDURAS!$G$17,"")</f>
        <v>25350</v>
      </c>
      <c r="D23" s="42">
        <f>IF(C23="",0,C23*J$19)</f>
        <v>3042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22308</v>
      </c>
    </row>
    <row r="24" spans="1:11" x14ac:dyDescent="0.35">
      <c r="A24" s="28" t="s">
        <v>102</v>
      </c>
      <c r="B24" s="133">
        <f>IF(DigitaDOMINICANA!C2&lt;&gt;"",DigitaDOMINICANA!C2,"")</f>
        <v>40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85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>
        <f>IF(DigitaPANAMENA!C2&lt;&gt;"",DigitaPANAMENA!C2,"")</f>
        <v>15</v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1251000</v>
      </c>
      <c r="D27" s="68">
        <f t="shared" ref="D27:G27" si="7">SUM(D5:D26)</f>
        <v>147940</v>
      </c>
      <c r="E27" s="68">
        <f t="shared" si="7"/>
        <v>21050</v>
      </c>
      <c r="F27" s="68">
        <f t="shared" si="7"/>
        <v>1551250</v>
      </c>
      <c r="G27" s="89">
        <f t="shared" si="7"/>
        <v>-448190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6" t="s">
        <v>92</v>
      </c>
      <c r="C2" s="286"/>
      <c r="D2" s="287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177850</v>
      </c>
      <c r="K4" s="233">
        <f t="shared" ref="K4" si="0">D7+D11+D15</f>
        <v>21342</v>
      </c>
      <c r="L4" s="222">
        <f>F7+F11+F15</f>
        <v>191250</v>
      </c>
    </row>
    <row r="5" spans="1:12" x14ac:dyDescent="0.35">
      <c r="A5" s="28" t="str">
        <f>+Vendedor1!A5</f>
        <v>Nica 11am</v>
      </c>
      <c r="B5" s="133" t="str">
        <f>IF(DigitaNICA!C2&lt;&gt;"",DigitaNICA!C2,"")</f>
        <v>08</v>
      </c>
      <c r="C5" s="29">
        <f>IF(DigitaNICA!C18&lt;&gt;"",DigitaNICA!C18,"")</f>
        <v>68500</v>
      </c>
      <c r="D5" s="42">
        <f>IF(C5="",0,C5*J$16)</f>
        <v>8220</v>
      </c>
      <c r="E5" s="29">
        <f>IF(DigitaNICA!D18&lt;&gt;"",DigitaNICA!D18,"")</f>
        <v>450</v>
      </c>
      <c r="F5" s="42">
        <f>IF(E5="",0,E5*PREMIOS!F5)</f>
        <v>38250</v>
      </c>
      <c r="G5" s="30">
        <f t="shared" ref="G5:G12" si="1">IF(OR(C5="",E5=""),0,C5-D5-F5)</f>
        <v>22030</v>
      </c>
      <c r="I5" s="219" t="s">
        <v>37</v>
      </c>
      <c r="J5" s="223">
        <f>SUM(IF(C5="",0,C5),IF(C9="",0,C9),IF(C13="",0,C13),IF(C17="",0,C17))</f>
        <v>196800</v>
      </c>
      <c r="K5" s="227">
        <f t="shared" ref="K5" si="2">D5+D9+D13+D17</f>
        <v>23616</v>
      </c>
      <c r="L5" s="224">
        <f>F5+F9+F13+F17</f>
        <v>191250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83300</v>
      </c>
      <c r="K6" s="228">
        <f t="shared" ref="K6" si="3">+D8+D12+D16</f>
        <v>8330</v>
      </c>
      <c r="L6" s="229">
        <f>+F8+F12+F16</f>
        <v>0</v>
      </c>
    </row>
    <row r="7" spans="1:12" x14ac:dyDescent="0.35">
      <c r="A7" s="28" t="str">
        <f>+Vendedor1!A7</f>
        <v>Tica 1pm</v>
      </c>
      <c r="B7" s="133" t="str">
        <f>IF(DigitaTICA!C2&lt;&gt;"",DigitaTICA!C2,"")</f>
        <v>09</v>
      </c>
      <c r="C7" s="29">
        <f>IF(DigitaTICA!C18&lt;&gt;"",DigitaTICA!C18,"")</f>
        <v>69750</v>
      </c>
      <c r="D7" s="42">
        <f>IF(C7="",0,C7*J$15)</f>
        <v>8370</v>
      </c>
      <c r="E7" s="29">
        <f>IF(DigitaTICA!D18&lt;&gt;"",DigitaTICA!D18,"")</f>
        <v>1950</v>
      </c>
      <c r="F7" s="42">
        <f>IF(E7="",0,E7*PREMIOS!F7)</f>
        <v>165750</v>
      </c>
      <c r="G7" s="30">
        <f t="shared" si="1"/>
        <v>-104370</v>
      </c>
      <c r="I7" s="219" t="s">
        <v>96</v>
      </c>
      <c r="J7" s="225">
        <f>SUM(IF(C19="",0,C19),IF(C20="",0,C20))</f>
        <v>128450</v>
      </c>
      <c r="K7" s="228">
        <f>+D19+D20</f>
        <v>15414</v>
      </c>
      <c r="L7" s="229">
        <f>+F19+F20</f>
        <v>114750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34450</v>
      </c>
      <c r="D8" s="42">
        <f>IF(C8="",0,C8*J$17)</f>
        <v>3445</v>
      </c>
      <c r="E8" s="29">
        <f>IF(DigitaREVENTADO!D18&lt;&gt;"",DigitaREVENTADO!D18,"")</f>
        <v>700</v>
      </c>
      <c r="F8" s="42">
        <f>IF(E8="",0,E8*PREMIOS!F8)</f>
        <v>0</v>
      </c>
      <c r="G8" s="30">
        <f t="shared" si="1"/>
        <v>31005</v>
      </c>
      <c r="I8" s="219" t="s">
        <v>104</v>
      </c>
      <c r="J8" s="225">
        <f>SUM(IF(C21="",0,C21),IF(C22="",0,C22),IF(C23="",0,C23))</f>
        <v>24200</v>
      </c>
      <c r="K8" s="228">
        <f t="shared" ref="K8" si="4">D21+D22+D23</f>
        <v>2904</v>
      </c>
      <c r="L8" s="229">
        <f>F21+F22+F23</f>
        <v>8500</v>
      </c>
    </row>
    <row r="9" spans="1:12" x14ac:dyDescent="0.35">
      <c r="A9" s="28" t="str">
        <f>+Vendedor1!A9</f>
        <v>Nica 3pm</v>
      </c>
      <c r="B9" s="133">
        <f>IF(DigitaNICA!E2&lt;&gt;"",DigitaNICA!E2,"")</f>
        <v>31</v>
      </c>
      <c r="C9" s="29">
        <f>IF(DigitaNICA!E18&lt;&gt;"",DigitaNICA!E18,"")</f>
        <v>55550</v>
      </c>
      <c r="D9" s="42">
        <f>IF(C9="",0,C9*J$16)</f>
        <v>6666</v>
      </c>
      <c r="E9" s="29">
        <f>IF(DigitaNICA!F18&lt;&gt;"",DigitaNICA!F18,"")</f>
        <v>300</v>
      </c>
      <c r="F9" s="42">
        <f>IF(E9="",0,E9*PREMIOS!F9)</f>
        <v>25500</v>
      </c>
      <c r="G9" s="30">
        <f t="shared" si="1"/>
        <v>23384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14</v>
      </c>
      <c r="C11" s="29">
        <f>IF(DigitaTICA!E18&lt;&gt;"",DigitaTICA!E18,"")</f>
        <v>51200</v>
      </c>
      <c r="D11" s="42">
        <f>IF(C11="",0,C11*J$15)</f>
        <v>6144</v>
      </c>
      <c r="E11" s="29">
        <f>IF(DigitaTICA!F18&lt;&gt;"",DigitaTICA!F18,"")</f>
        <v>300</v>
      </c>
      <c r="F11" s="42">
        <f>IF(E11="",0,E11*PREMIOS!F11)</f>
        <v>25500</v>
      </c>
      <c r="G11" s="30">
        <f t="shared" si="1"/>
        <v>19556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22200</v>
      </c>
      <c r="D12" s="42">
        <f>IF(C12="",0,C12*J$17)</f>
        <v>2220</v>
      </c>
      <c r="E12" s="29">
        <f>IF(DigitaREVENTADO!F18&lt;&gt;"",DigitaREVENTADO!F18,"")</f>
        <v>300</v>
      </c>
      <c r="F12" s="42">
        <f>IF(E12="",0,E12*PREMIOS!F12)</f>
        <v>0</v>
      </c>
      <c r="G12" s="30">
        <f t="shared" si="1"/>
        <v>19980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55</v>
      </c>
      <c r="C13" s="29">
        <f>IF(DigitaNICA!G18&lt;&gt;"",DigitaNICA!G18,"")</f>
        <v>45850</v>
      </c>
      <c r="D13" s="42">
        <f>IF(C13="",0,C13*J$16)</f>
        <v>5502</v>
      </c>
      <c r="E13" s="29">
        <f>IF(DigitaNICA!H18&lt;&gt;"",DigitaNICA!H18,"")</f>
        <v>1500</v>
      </c>
      <c r="F13" s="42">
        <f>IF(E13="",0,E13*PREMIOS!F13)</f>
        <v>127500</v>
      </c>
      <c r="G13" s="30">
        <f>IF(OR(C13="",E13=""),0,C13-D13-F13)</f>
        <v>-87152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91" t="s">
        <v>34</v>
      </c>
      <c r="J14" s="292"/>
      <c r="K14" s="293"/>
    </row>
    <row r="15" spans="1:12" x14ac:dyDescent="0.35">
      <c r="A15" s="28" t="str">
        <f>+Vendedor1!A15</f>
        <v>Tica 7:30pm</v>
      </c>
      <c r="B15" s="133">
        <f>IF(DigitaTICA!G2&lt;&gt;"",DigitaTICA!G2,"")</f>
        <v>72</v>
      </c>
      <c r="C15" s="29">
        <f>IF(DigitaTICA!G18&lt;&gt;"",DigitaTICA!G18,"")</f>
        <v>56900</v>
      </c>
      <c r="D15" s="42">
        <f>IF(C15="",0,C15*J$15)</f>
        <v>6828</v>
      </c>
      <c r="E15" s="29">
        <f>IF(DigitaTICA!H18&lt;&gt;"",DigitaTICA!H18,"")</f>
        <v>0</v>
      </c>
      <c r="F15" s="42">
        <f>IF(E15="",0,E15*PREMIOS!F15)</f>
        <v>0</v>
      </c>
      <c r="G15" s="30">
        <f t="shared" si="6"/>
        <v>50072</v>
      </c>
      <c r="I15" s="77" t="s">
        <v>36</v>
      </c>
      <c r="J15" s="78">
        <v>0.12</v>
      </c>
      <c r="K15" s="79">
        <f>MROUND(D7+D11+D15,50)</f>
        <v>21350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Blanca</v>
      </c>
      <c r="C16" s="29">
        <f>IF(DigitaREVENTADO!G18&lt;&gt;"",DigitaREVENTADO!G18,"")</f>
        <v>26650</v>
      </c>
      <c r="D16" s="42">
        <f>IF(C16="",0,C16*J$17)</f>
        <v>2665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23985</v>
      </c>
      <c r="I16" s="63" t="s">
        <v>37</v>
      </c>
      <c r="J16" s="64">
        <v>0.12</v>
      </c>
      <c r="K16" s="30">
        <f>MROUND(D5+D9+D13+D17,50)</f>
        <v>23600</v>
      </c>
    </row>
    <row r="17" spans="1:11" x14ac:dyDescent="0.35">
      <c r="A17" s="28" t="str">
        <f>+Vendedor1!A17</f>
        <v>Nica 9pm</v>
      </c>
      <c r="B17" s="133">
        <f>IF(DigitaNICA!I2&lt;&gt;"",DigitaNICA!I2,"")</f>
        <v>81</v>
      </c>
      <c r="C17" s="29">
        <f>IF(DigitaNICA!I18&lt;&gt;"",DigitaNICA!I18,"")</f>
        <v>26900</v>
      </c>
      <c r="D17" s="42">
        <f>IF(C17="",0,C17*J$16)</f>
        <v>3228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23672</v>
      </c>
      <c r="I17" s="63" t="s">
        <v>38</v>
      </c>
      <c r="J17" s="64">
        <v>0.1</v>
      </c>
      <c r="K17" s="30">
        <f>MROUND(D6+D8+D10+D12+D14+D16+D18,50)</f>
        <v>8350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15400</v>
      </c>
    </row>
    <row r="19" spans="1:11" x14ac:dyDescent="0.35">
      <c r="A19" s="28" t="s">
        <v>97</v>
      </c>
      <c r="B19" s="133">
        <f>IF(DigitaPRIMERA!C2&lt;&gt;"",DigitaPRIMERA!C2,"")</f>
        <v>90</v>
      </c>
      <c r="C19" s="29">
        <f>IF(DigitaPRIMERA!$C$18&lt;&gt;"",DigitaPRIMERA!$C$18,"")</f>
        <v>66900</v>
      </c>
      <c r="D19" s="42">
        <f>IF(C19="",0,C19*J$18)</f>
        <v>8028</v>
      </c>
      <c r="E19" s="29">
        <f>IF(DigitaPRIMERA!$D$18&lt;&gt;"",DigitaPRIMERA!$D$18,"")</f>
        <v>1050</v>
      </c>
      <c r="F19" s="42">
        <f>IF(E19="",0,E19*PREMIOS!F19)</f>
        <v>89250</v>
      </c>
      <c r="G19" s="30">
        <f t="shared" si="6"/>
        <v>-30378</v>
      </c>
      <c r="I19" s="63" t="s">
        <v>104</v>
      </c>
      <c r="J19" s="64">
        <v>0.12</v>
      </c>
      <c r="K19" s="30">
        <f>MROUND(D21+D22+D23,50)</f>
        <v>2900</v>
      </c>
    </row>
    <row r="20" spans="1:11" x14ac:dyDescent="0.35">
      <c r="A20" s="28" t="s">
        <v>98</v>
      </c>
      <c r="B20" s="133">
        <f>IF(DigitaPRIMERA!E2&lt;&gt;"",DigitaPRIMERA!E2,"")</f>
        <v>89</v>
      </c>
      <c r="C20" s="29">
        <f>IF(DigitaPRIMERA!$E$18&lt;&gt;"",DigitaPRIMERA!$E$18,"")</f>
        <v>61550</v>
      </c>
      <c r="D20" s="42">
        <f>IF(C20="",0,C20*J$18)</f>
        <v>7386</v>
      </c>
      <c r="E20" s="29">
        <f>IF(DigitaPRIMERA!$F$18&lt;&gt;"",DigitaPRIMERA!$F$18,"")</f>
        <v>300</v>
      </c>
      <c r="F20" s="42">
        <f>IF(E20="",0,E20*PREMIOS!F19)</f>
        <v>25500</v>
      </c>
      <c r="G20" s="30">
        <f t="shared" si="6"/>
        <v>28664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52</v>
      </c>
      <c r="C21" s="29">
        <f>IF(DigitaHONDURAS!$C$18&lt;&gt;"",DigitaHONDURAS!$C$18,"")</f>
        <v>20100</v>
      </c>
      <c r="D21" s="42">
        <f>IF(C21="",0,C21*J$19)</f>
        <v>2412</v>
      </c>
      <c r="E21" s="29">
        <f>IF(DigitaHONDURAS!$D$18&lt;&gt;"",DigitaHONDURAS!$D$18,"")</f>
        <v>100</v>
      </c>
      <c r="F21" s="42">
        <f>IF(E21="",0,E21*PREMIOS!F20)</f>
        <v>8500</v>
      </c>
      <c r="G21" s="30">
        <f t="shared" si="6"/>
        <v>9188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83</v>
      </c>
      <c r="C22" s="29">
        <f>IF(DigitaHONDURAS!$E$18&lt;&gt;"",DigitaHONDURAS!$E$18,"")</f>
        <v>4100</v>
      </c>
      <c r="D22" s="42">
        <f>IF(C22="",0,C22*J$19)</f>
        <v>492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3608</v>
      </c>
    </row>
    <row r="23" spans="1:11" x14ac:dyDescent="0.35">
      <c r="A23" s="28" t="s">
        <v>101</v>
      </c>
      <c r="B23" s="133">
        <f>IF(DigitaHONDURAS!G2&lt;&gt;"",DigitaHONDURAS!G2,"")</f>
        <v>96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>
        <f>IF(DigitaDOMINICANA!C2&lt;&gt;"",DigitaDOMINICANA!C2,"")</f>
        <v>40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85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>
        <f>IF(DigitaPANAMENA!C2&lt;&gt;"",DigitaPANAMENA!C2,"")</f>
        <v>15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610600</v>
      </c>
      <c r="D27" s="68">
        <f t="shared" ref="D27:G27" si="7">SUM(D5:D26)</f>
        <v>71606</v>
      </c>
      <c r="E27" s="68">
        <f t="shared" si="7"/>
        <v>6950</v>
      </c>
      <c r="F27" s="68">
        <f t="shared" si="7"/>
        <v>505750</v>
      </c>
      <c r="G27" s="89">
        <f t="shared" si="7"/>
        <v>33244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5"/>
      <c r="C2" s="287" t="s">
        <v>88</v>
      </c>
      <c r="D2" s="287"/>
      <c r="E2" s="287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 t="str">
        <f>IF(DigitaNICA!C2&lt;&gt;"",DigitaNICA!C2,"")</f>
        <v>08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 t="str">
        <f>IF(DigitaTICA!C2&lt;&gt;"",DigitaTICA!C2,"")</f>
        <v>09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8" t="s">
        <v>34</v>
      </c>
      <c r="J8" s="288"/>
      <c r="K8" s="288"/>
    </row>
    <row r="9" spans="1:11" x14ac:dyDescent="0.35">
      <c r="A9" s="28" t="str">
        <f>+Vendedor1!A9</f>
        <v>Nica 3pm</v>
      </c>
      <c r="B9" s="133">
        <f>IF(DigitaNICA!E2&lt;&gt;"",DigitaNICA!E2,"")</f>
        <v>31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14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55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72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81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7" t="s">
        <v>85</v>
      </c>
      <c r="D2" s="287"/>
      <c r="E2" s="287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 t="str">
        <f>IF(DigitaNICA!C2&lt;&gt;"",DigitaNICA!C2,"")</f>
        <v>08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 t="str">
        <f>IF(DigitaTICA!C2&lt;&gt;"",DigitaTICA!C2,"")</f>
        <v>09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8" t="s">
        <v>34</v>
      </c>
      <c r="J8" s="288"/>
      <c r="K8" s="288"/>
    </row>
    <row r="9" spans="1:11" x14ac:dyDescent="0.35">
      <c r="A9" s="28" t="s">
        <v>48</v>
      </c>
      <c r="B9" s="133">
        <f>IF(DigitaNICA!E2&lt;&gt;"",DigitaNICA!E2,"")</f>
        <v>31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14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55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72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81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7" t="s">
        <v>84</v>
      </c>
      <c r="D2" s="287"/>
      <c r="E2" s="287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 t="str">
        <f>IF(DigitaNICA!C2&lt;&gt;"",DigitaNICA!C2,"")</f>
        <v>08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 t="str">
        <f>IF(DigitaTICA!C2&lt;&gt;"",DigitaTICA!C2,"")</f>
        <v>09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8" t="s">
        <v>34</v>
      </c>
      <c r="J8" s="288"/>
      <c r="K8" s="288"/>
    </row>
    <row r="9" spans="1:12" x14ac:dyDescent="0.35">
      <c r="A9" s="28" t="s">
        <v>48</v>
      </c>
      <c r="B9" s="133">
        <f>IF(DigitaNICA!E2&lt;&gt;"",DigitaNICA!E2,"")</f>
        <v>31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55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81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7" t="s">
        <v>83</v>
      </c>
      <c r="D2" s="287"/>
      <c r="E2" s="287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 t="str">
        <f>IF(DigitaNICA!C2&lt;&gt;"",DigitaNICA!C2,"")</f>
        <v>08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 t="str">
        <f>IF(DigitaTICA!C2&lt;&gt;"",DigitaTICA!C2,"")</f>
        <v>09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8" t="s">
        <v>34</v>
      </c>
      <c r="J8" s="288"/>
      <c r="K8" s="288"/>
    </row>
    <row r="9" spans="1:12" x14ac:dyDescent="0.35">
      <c r="A9" s="28" t="s">
        <v>48</v>
      </c>
      <c r="B9" s="133">
        <f>IF(DigitaNICA!E2&lt;&gt;"",DigitaNICA!E2,"")</f>
        <v>31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55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81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7" t="s">
        <v>82</v>
      </c>
      <c r="D2" s="287"/>
      <c r="E2" s="287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 t="str">
        <f>IF(DigitaNICA!C2&lt;&gt;"",DigitaNICA!C2,"")</f>
        <v>08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 t="str">
        <f>IF(DigitaTICA!C2&lt;&gt;"",DigitaTICA!C2,"")</f>
        <v>09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8" t="s">
        <v>34</v>
      </c>
      <c r="J8" s="288"/>
      <c r="K8" s="288"/>
    </row>
    <row r="9" spans="1:12" x14ac:dyDescent="0.35">
      <c r="A9" s="28" t="s">
        <v>48</v>
      </c>
      <c r="B9" s="133">
        <f>IF(DigitaNICA!E2&lt;&gt;"",DigitaNICA!E2,"")</f>
        <v>31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55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81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7" t="s">
        <v>67</v>
      </c>
      <c r="C2" s="287"/>
      <c r="D2" s="287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8" t="s">
        <v>34</v>
      </c>
      <c r="I8" s="288"/>
      <c r="J8" s="288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7" t="s">
        <v>70</v>
      </c>
      <c r="C2" s="287"/>
      <c r="D2" s="287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8" t="s">
        <v>34</v>
      </c>
      <c r="I8" s="288"/>
      <c r="J8" s="288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7" t="s">
        <v>66</v>
      </c>
      <c r="C2" s="287"/>
      <c r="D2" s="287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8" t="s">
        <v>34</v>
      </c>
      <c r="I8" s="288"/>
      <c r="J8" s="288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7" t="s">
        <v>81</v>
      </c>
      <c r="D2" s="287"/>
      <c r="E2" s="287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-12364</v>
      </c>
      <c r="K4" s="56">
        <f>SUM(F5,F7,F9,F11,F13,F15,F17)</f>
        <v>-1050940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>
        <f>IF(DigitaTICA!C27&lt;&gt;"",DigitaTICA!C27,"")</f>
        <v>-12364</v>
      </c>
      <c r="D7" s="42">
        <f>IF(C7="",0,C7*J$9)</f>
        <v>-1483.6799999999998</v>
      </c>
      <c r="E7" s="29">
        <f>IF(DigitaTICA!D27&lt;&gt;"",DigitaTICA!D27,"")</f>
        <v>-12364</v>
      </c>
      <c r="F7" s="42">
        <f>IF(E7="",0,E7*PREMIOS!F7)</f>
        <v>-1050940</v>
      </c>
      <c r="G7" s="30">
        <f t="shared" si="0"/>
        <v>1040059.68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5" t="s">
        <v>34</v>
      </c>
      <c r="J8" s="285"/>
      <c r="K8" s="285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-1500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-12364</v>
      </c>
      <c r="D27" s="68">
        <f t="shared" ref="D27:G27" si="2">SUM(D5:D26)</f>
        <v>-1483.6799999999998</v>
      </c>
      <c r="E27" s="68">
        <f t="shared" si="2"/>
        <v>-12364</v>
      </c>
      <c r="F27" s="68">
        <f t="shared" si="2"/>
        <v>-1050940</v>
      </c>
      <c r="G27" s="89">
        <f t="shared" si="2"/>
        <v>1040059.68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7" t="s">
        <v>106</v>
      </c>
      <c r="C2" s="287"/>
      <c r="D2" s="287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8" t="s">
        <v>34</v>
      </c>
      <c r="I8" s="288"/>
      <c r="J8" s="288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7" t="s">
        <v>64</v>
      </c>
      <c r="C2" s="287"/>
      <c r="D2" s="287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8" t="s">
        <v>34</v>
      </c>
      <c r="I8" s="288"/>
      <c r="J8" s="288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7" t="s">
        <v>69</v>
      </c>
      <c r="C2" s="287"/>
      <c r="D2" s="287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8" t="s">
        <v>34</v>
      </c>
      <c r="I8" s="288"/>
      <c r="J8" s="288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7" t="s">
        <v>58</v>
      </c>
      <c r="C2" s="287"/>
      <c r="D2" s="287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8" t="s">
        <v>34</v>
      </c>
      <c r="I8" s="288"/>
      <c r="J8" s="288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7" t="s">
        <v>68</v>
      </c>
      <c r="C2" s="287"/>
      <c r="D2" s="287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8" t="s">
        <v>34</v>
      </c>
      <c r="I8" s="288"/>
      <c r="J8" s="288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1"/>
  <dimension ref="A1:K40"/>
  <sheetViews>
    <sheetView showGridLines="0" topLeftCell="A8" zoomScale="90" zoomScaleNormal="90" workbookViewId="0">
      <selection activeCell="C38" sqref="C38:C4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80" t="s">
        <v>19</v>
      </c>
      <c r="B1" s="80"/>
      <c r="C1" s="264" t="s">
        <v>71</v>
      </c>
      <c r="D1" s="265"/>
      <c r="E1" s="264" t="s">
        <v>72</v>
      </c>
      <c r="F1" s="265"/>
      <c r="G1" s="264" t="s">
        <v>73</v>
      </c>
      <c r="H1" s="265"/>
    </row>
    <row r="2" spans="1:11" ht="21" customHeight="1" x14ac:dyDescent="0.35">
      <c r="C2" s="266" t="str">
        <f>IF(PREMIOS!$B7="","",PREMIOS!$B7)</f>
        <v>09</v>
      </c>
      <c r="D2" s="267"/>
      <c r="E2" s="266">
        <f>IF(PREMIOS!$B11="","",PREMIOS!$B11)</f>
        <v>14</v>
      </c>
      <c r="F2" s="267"/>
      <c r="G2" s="266">
        <f>IF(PREMIOS!$B15="","",PREMIOS!$B15)</f>
        <v>72</v>
      </c>
      <c r="H2" s="267"/>
    </row>
    <row r="3" spans="1:11" ht="15" thickBot="1" x14ac:dyDescent="0.4">
      <c r="C3" s="266"/>
      <c r="D3" s="267"/>
      <c r="E3" s="266"/>
      <c r="F3" s="267"/>
      <c r="G3" s="266"/>
      <c r="H3" s="267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56850</v>
      </c>
      <c r="D4" s="79">
        <v>3500</v>
      </c>
      <c r="E4" s="190">
        <v>42675</v>
      </c>
      <c r="F4" s="79">
        <f t="shared" ref="D4:H27" si="0">IF(E4="","",0)</f>
        <v>0</v>
      </c>
      <c r="G4" s="190">
        <v>84475</v>
      </c>
      <c r="H4" s="79">
        <v>200</v>
      </c>
      <c r="J4" s="42">
        <f t="shared" ref="J4:J8" si="1">+C4+E4+G4</f>
        <v>184000</v>
      </c>
      <c r="K4" s="42">
        <f>IF(D4="",0,IF(F4="",D4,IF(H4="",D4+F4,D4+F4+H4)))</f>
        <v>3700</v>
      </c>
    </row>
    <row r="5" spans="1:11" x14ac:dyDescent="0.35">
      <c r="A5" s="47">
        <v>2</v>
      </c>
      <c r="B5" s="179" t="str">
        <f>Vendedor2!$B$2</f>
        <v>PUESTO 2</v>
      </c>
      <c r="C5" s="181">
        <v>47950</v>
      </c>
      <c r="D5" s="30">
        <v>3000</v>
      </c>
      <c r="E5" s="181">
        <v>39350</v>
      </c>
      <c r="F5" s="30">
        <v>650</v>
      </c>
      <c r="G5" s="181">
        <v>72300</v>
      </c>
      <c r="H5" s="30">
        <v>500</v>
      </c>
      <c r="J5" s="42">
        <f t="shared" si="1"/>
        <v>159600</v>
      </c>
      <c r="K5" s="42">
        <f t="shared" ref="K5:K27" si="2">IF(D5="",0,IF(F5="",D5,IF(H5="",D5+F5,D5+F5+H5)))</f>
        <v>4150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/>
      <c r="D8" s="30" t="str">
        <f t="shared" si="0"/>
        <v/>
      </c>
      <c r="E8" s="181"/>
      <c r="F8" s="30" t="str">
        <f t="shared" si="0"/>
        <v/>
      </c>
      <c r="G8" s="181"/>
      <c r="H8" s="30" t="str">
        <f t="shared" si="0"/>
        <v/>
      </c>
      <c r="J8" s="42">
        <f t="shared" si="1"/>
        <v>0</v>
      </c>
      <c r="K8" s="42">
        <f t="shared" si="2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55900+71300</f>
        <v>127200</v>
      </c>
      <c r="D10" s="30">
        <f>1500+1450</f>
        <v>2950</v>
      </c>
      <c r="E10" s="181">
        <v>205050</v>
      </c>
      <c r="F10" s="30">
        <v>1250</v>
      </c>
      <c r="G10" s="181">
        <v>224750</v>
      </c>
      <c r="H10" s="30">
        <v>2150</v>
      </c>
      <c r="J10" s="42">
        <f t="shared" si="3"/>
        <v>557000</v>
      </c>
      <c r="K10" s="42">
        <f t="shared" si="2"/>
        <v>6350</v>
      </c>
    </row>
    <row r="11" spans="1:11" x14ac:dyDescent="0.35">
      <c r="A11" s="47">
        <v>8</v>
      </c>
      <c r="B11" s="179" t="str">
        <f>Vendedor8!$B$2</f>
        <v>ISA</v>
      </c>
      <c r="C11" s="181">
        <v>5000</v>
      </c>
      <c r="D11" s="30">
        <f t="shared" si="0"/>
        <v>0</v>
      </c>
      <c r="E11" s="181"/>
      <c r="F11" s="30" t="str">
        <f t="shared" si="0"/>
        <v/>
      </c>
      <c r="G11" s="181">
        <v>2500</v>
      </c>
      <c r="H11" s="30">
        <f t="shared" si="0"/>
        <v>0</v>
      </c>
      <c r="J11" s="42">
        <f t="shared" si="3"/>
        <v>7500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24350</v>
      </c>
      <c r="D12" s="30">
        <v>900</v>
      </c>
      <c r="E12" s="181">
        <v>14600</v>
      </c>
      <c r="F12" s="30">
        <f t="shared" si="0"/>
        <v>0</v>
      </c>
      <c r="G12" s="181">
        <v>22500</v>
      </c>
      <c r="H12" s="30">
        <f t="shared" si="0"/>
        <v>0</v>
      </c>
      <c r="J12" s="42">
        <f t="shared" si="3"/>
        <v>61450</v>
      </c>
      <c r="K12" s="42">
        <f t="shared" si="2"/>
        <v>900</v>
      </c>
    </row>
    <row r="13" spans="1:11" x14ac:dyDescent="0.35">
      <c r="A13" s="47">
        <v>10</v>
      </c>
      <c r="B13" s="179" t="str">
        <f>Vendedor10!$B$2</f>
        <v>MARIALIZ</v>
      </c>
      <c r="C13" s="181">
        <v>44900</v>
      </c>
      <c r="D13" s="30">
        <v>2950</v>
      </c>
      <c r="E13" s="181">
        <v>19200</v>
      </c>
      <c r="F13" s="30">
        <v>500</v>
      </c>
      <c r="G13" s="181">
        <v>50700</v>
      </c>
      <c r="H13" s="30">
        <v>300</v>
      </c>
      <c r="J13" s="42">
        <f t="shared" si="3"/>
        <v>114800</v>
      </c>
      <c r="K13" s="42">
        <f t="shared" si="2"/>
        <v>3750</v>
      </c>
    </row>
    <row r="14" spans="1:11" x14ac:dyDescent="0.35">
      <c r="A14" s="47">
        <v>11</v>
      </c>
      <c r="B14" s="179" t="str">
        <f>Vendedor11!$B$2</f>
        <v>CHARLY</v>
      </c>
      <c r="C14" s="181">
        <v>30550</v>
      </c>
      <c r="D14" s="30">
        <v>2000</v>
      </c>
      <c r="E14" s="181">
        <v>19800</v>
      </c>
      <c r="F14" s="30">
        <f t="shared" si="0"/>
        <v>0</v>
      </c>
      <c r="G14" s="181">
        <v>29100</v>
      </c>
      <c r="H14" s="30">
        <v>300</v>
      </c>
      <c r="J14" s="42">
        <f t="shared" si="3"/>
        <v>79450</v>
      </c>
      <c r="K14" s="42">
        <f t="shared" si="2"/>
        <v>2300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181"/>
      <c r="F15" s="30" t="str">
        <f t="shared" si="0"/>
        <v/>
      </c>
      <c r="G15" s="181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15050</v>
      </c>
      <c r="D16" s="30">
        <v>2250</v>
      </c>
      <c r="E16" s="181">
        <v>22500</v>
      </c>
      <c r="F16" s="30">
        <f t="shared" si="0"/>
        <v>0</v>
      </c>
      <c r="G16" s="181">
        <v>23800</v>
      </c>
      <c r="H16" s="30">
        <f t="shared" si="0"/>
        <v>0</v>
      </c>
      <c r="J16" s="42">
        <f t="shared" si="3"/>
        <v>61350</v>
      </c>
      <c r="K16" s="42">
        <f t="shared" si="2"/>
        <v>2250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88100+54850</f>
        <v>142950</v>
      </c>
      <c r="D17" s="30">
        <f>7550+2250</f>
        <v>9800</v>
      </c>
      <c r="E17" s="181">
        <f>103350+23050</f>
        <v>126400</v>
      </c>
      <c r="F17" s="30">
        <f>300+200</f>
        <v>500</v>
      </c>
      <c r="G17" s="181">
        <f>194550+49150</f>
        <v>243700</v>
      </c>
      <c r="H17" s="30">
        <f>1200+350</f>
        <v>1550</v>
      </c>
      <c r="J17" s="42">
        <f t="shared" si="3"/>
        <v>513050</v>
      </c>
      <c r="K17" s="42">
        <f t="shared" si="2"/>
        <v>11850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34300+35450</f>
        <v>69750</v>
      </c>
      <c r="D18" s="30">
        <f>1250+700</f>
        <v>1950</v>
      </c>
      <c r="E18" s="181">
        <f>27900+23300</f>
        <v>51200</v>
      </c>
      <c r="F18" s="30">
        <v>300</v>
      </c>
      <c r="G18" s="181">
        <f>30050+26850</f>
        <v>56900</v>
      </c>
      <c r="H18" s="30">
        <f t="shared" si="0"/>
        <v>0</v>
      </c>
      <c r="J18" s="42">
        <f t="shared" si="3"/>
        <v>177850</v>
      </c>
      <c r="K18" s="42">
        <f t="shared" si="2"/>
        <v>2250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>
        <v>-12364</v>
      </c>
      <c r="D27" s="50">
        <v>-12364</v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-12364</v>
      </c>
      <c r="K27" s="42">
        <f t="shared" si="2"/>
        <v>-12364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552186</v>
      </c>
      <c r="D32" s="44">
        <f t="shared" si="6"/>
        <v>16936</v>
      </c>
      <c r="E32" s="43">
        <f t="shared" si="6"/>
        <v>540775</v>
      </c>
      <c r="F32" s="44">
        <f t="shared" si="6"/>
        <v>3200</v>
      </c>
      <c r="G32" s="43">
        <f t="shared" si="6"/>
        <v>810725</v>
      </c>
      <c r="H32" s="44">
        <f t="shared" si="6"/>
        <v>5000</v>
      </c>
      <c r="J32" s="96">
        <f>SUM(J4:J31)</f>
        <v>1903686</v>
      </c>
      <c r="K32" s="96"/>
    </row>
    <row r="33" spans="2:8" x14ac:dyDescent="0.35">
      <c r="D33" s="100">
        <f>+D32*85</f>
        <v>1439560</v>
      </c>
      <c r="F33" s="100">
        <f>+F32*85</f>
        <v>272000</v>
      </c>
      <c r="H33" s="100">
        <f>+H32*85</f>
        <v>425000</v>
      </c>
    </row>
    <row r="34" spans="2:8" x14ac:dyDescent="0.35">
      <c r="B34" s="249" t="s">
        <v>149</v>
      </c>
      <c r="C34" s="43">
        <f t="shared" ref="C34:H34" si="7">+C4+C5+C6+C8+C13</f>
        <v>149700</v>
      </c>
      <c r="D34" s="43" t="e">
        <f t="shared" si="7"/>
        <v>#VALUE!</v>
      </c>
      <c r="E34" s="43">
        <f t="shared" si="7"/>
        <v>101225</v>
      </c>
      <c r="F34" s="43" t="e">
        <f t="shared" si="7"/>
        <v>#VALUE!</v>
      </c>
      <c r="G34" s="43">
        <f t="shared" si="7"/>
        <v>207475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248250</v>
      </c>
      <c r="D35" s="43" t="e">
        <f t="shared" ref="D35:H35" si="8">+D11+D14+D15+D17+D18</f>
        <v>#VALUE!</v>
      </c>
      <c r="E35" s="43">
        <f t="shared" si="8"/>
        <v>197400</v>
      </c>
      <c r="F35" s="43" t="e">
        <f t="shared" si="8"/>
        <v>#VALUE!</v>
      </c>
      <c r="G35" s="43">
        <f t="shared" si="8"/>
        <v>332200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139186</v>
      </c>
      <c r="D36" s="43">
        <f t="shared" ref="D36:H36" si="9">+D10+D12+D27</f>
        <v>-8514</v>
      </c>
      <c r="E36" s="43">
        <f t="shared" si="9"/>
        <v>219650</v>
      </c>
      <c r="F36" s="43" t="e">
        <f t="shared" si="9"/>
        <v>#VALUE!</v>
      </c>
      <c r="G36" s="43">
        <f t="shared" si="9"/>
        <v>247250</v>
      </c>
      <c r="H36" s="43" t="e">
        <f t="shared" si="9"/>
        <v>#VALUE!</v>
      </c>
    </row>
    <row r="39" spans="2:8" x14ac:dyDescent="0.35">
      <c r="D39">
        <f>+C32*3%</f>
        <v>16565.579999999998</v>
      </c>
    </row>
    <row r="40" spans="2:8" x14ac:dyDescent="0.35">
      <c r="C40" s="43"/>
      <c r="D40" s="43">
        <f>+D32-D39</f>
        <v>370.42000000000189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80" t="s">
        <v>22</v>
      </c>
      <c r="B1" s="80"/>
      <c r="C1" s="264" t="s">
        <v>23</v>
      </c>
      <c r="D1" s="265"/>
      <c r="E1" s="264" t="s">
        <v>24</v>
      </c>
      <c r="F1" s="265"/>
      <c r="G1" s="264" t="s">
        <v>25</v>
      </c>
      <c r="H1" s="265"/>
      <c r="I1" s="264" t="s">
        <v>26</v>
      </c>
      <c r="J1" s="265"/>
    </row>
    <row r="2" spans="1:13" x14ac:dyDescent="0.35">
      <c r="C2" s="266" t="str">
        <f>IF(PREMIOS!$B5="","",PREMIOS!$B5)</f>
        <v>08</v>
      </c>
      <c r="D2" s="267"/>
      <c r="E2" s="266">
        <f>IF(PREMIOS!$B9="","",PREMIOS!$B9)</f>
        <v>31</v>
      </c>
      <c r="F2" s="267"/>
      <c r="G2" s="266">
        <f>IF(PREMIOS!$B13="","",PREMIOS!$B13)</f>
        <v>55</v>
      </c>
      <c r="H2" s="267"/>
      <c r="I2" s="266">
        <f>IF(PREMIOS!$B17="","",PREMIOS!$B17)</f>
        <v>81</v>
      </c>
      <c r="J2" s="267"/>
    </row>
    <row r="3" spans="1:13" ht="15" thickBot="1" x14ac:dyDescent="0.4">
      <c r="C3" s="266"/>
      <c r="D3" s="267"/>
      <c r="E3" s="266"/>
      <c r="F3" s="267"/>
      <c r="G3" s="266"/>
      <c r="H3" s="267"/>
      <c r="I3" s="266"/>
      <c r="J3" s="267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37650</v>
      </c>
      <c r="D4" s="79">
        <v>300</v>
      </c>
      <c r="E4" s="207">
        <v>19300</v>
      </c>
      <c r="F4" s="79">
        <f t="shared" ref="D4:J27" si="0">IF(E4="","",0)</f>
        <v>0</v>
      </c>
      <c r="G4" s="190">
        <v>25100</v>
      </c>
      <c r="H4" s="79">
        <v>500</v>
      </c>
      <c r="I4" s="190">
        <v>8900</v>
      </c>
      <c r="J4" s="79">
        <v>100</v>
      </c>
      <c r="L4" s="42">
        <f t="shared" ref="L4:L8" si="1">+C4+E4+G4+I4</f>
        <v>90950</v>
      </c>
      <c r="M4" s="42">
        <f>IF(D4=0,0,IF(F4="",D4,IF(H4="",D4+F4,IF(J4="",D4+F4+H4,D4+F4+H4+J4))))</f>
        <v>900</v>
      </c>
    </row>
    <row r="5" spans="1:13" x14ac:dyDescent="0.35">
      <c r="A5" s="47">
        <v>2</v>
      </c>
      <c r="B5" s="179" t="str">
        <f>Vendedor2!$B$2</f>
        <v>PUESTO 2</v>
      </c>
      <c r="C5" s="181">
        <v>32550</v>
      </c>
      <c r="D5" s="30">
        <f t="shared" si="0"/>
        <v>0</v>
      </c>
      <c r="E5" s="208">
        <v>18550</v>
      </c>
      <c r="F5" s="30">
        <f t="shared" si="0"/>
        <v>0</v>
      </c>
      <c r="G5" s="181">
        <v>2300</v>
      </c>
      <c r="H5" s="30">
        <f t="shared" ref="H5:H27" si="2">IF(G5="","",0)</f>
        <v>0</v>
      </c>
      <c r="I5" s="181">
        <v>9800</v>
      </c>
      <c r="J5" s="30">
        <f t="shared" ref="J5:J27" si="3">IF(I5="","",0)</f>
        <v>0</v>
      </c>
      <c r="L5" s="42">
        <f t="shared" si="1"/>
        <v>63200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2"/>
        <v/>
      </c>
      <c r="I6" s="181"/>
      <c r="J6" s="30" t="str">
        <f t="shared" si="3"/>
        <v/>
      </c>
      <c r="L6" s="42">
        <f t="shared" si="1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2"/>
        <v/>
      </c>
      <c r="I7" s="181"/>
      <c r="J7" s="30" t="str">
        <f t="shared" si="0"/>
        <v/>
      </c>
      <c r="L7" s="42">
        <f t="shared" si="1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/>
      <c r="D8" s="30" t="str">
        <f t="shared" si="0"/>
        <v/>
      </c>
      <c r="E8" s="208"/>
      <c r="F8" s="30" t="str">
        <f t="shared" si="0"/>
        <v/>
      </c>
      <c r="G8" s="181"/>
      <c r="H8" s="30" t="str">
        <f t="shared" si="2"/>
        <v/>
      </c>
      <c r="I8" s="181"/>
      <c r="J8" s="30" t="str">
        <f t="shared" si="0"/>
        <v/>
      </c>
      <c r="L8" s="42">
        <f t="shared" si="1"/>
        <v>0</v>
      </c>
      <c r="M8" s="42" t="str">
        <f t="shared" si="4"/>
        <v/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2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v>82050</v>
      </c>
      <c r="D10" s="30">
        <v>500</v>
      </c>
      <c r="E10" s="208">
        <f>59650+64350</f>
        <v>124000</v>
      </c>
      <c r="F10" s="30">
        <v>2400</v>
      </c>
      <c r="G10" s="181">
        <v>94450</v>
      </c>
      <c r="H10" s="30">
        <v>2700</v>
      </c>
      <c r="I10" s="181">
        <v>131450</v>
      </c>
      <c r="J10" s="30">
        <v>250</v>
      </c>
      <c r="L10" s="42">
        <f t="shared" si="5"/>
        <v>431950</v>
      </c>
      <c r="M10" s="42">
        <f t="shared" si="4"/>
        <v>5850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61400</v>
      </c>
      <c r="D12" s="30">
        <v>1450</v>
      </c>
      <c r="E12" s="208">
        <v>15850</v>
      </c>
      <c r="F12" s="30">
        <v>200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77250</v>
      </c>
      <c r="M12" s="42">
        <f t="shared" si="4"/>
        <v>1650</v>
      </c>
    </row>
    <row r="13" spans="1:13" x14ac:dyDescent="0.35">
      <c r="A13" s="47">
        <v>10</v>
      </c>
      <c r="B13" s="179" t="str">
        <f>Vendedor10!$B$2</f>
        <v>MARIALIZ</v>
      </c>
      <c r="C13" s="181">
        <v>43100</v>
      </c>
      <c r="D13" s="30">
        <v>500</v>
      </c>
      <c r="E13" s="208">
        <v>29750</v>
      </c>
      <c r="F13" s="30">
        <v>150</v>
      </c>
      <c r="G13" s="181">
        <v>2400</v>
      </c>
      <c r="H13" s="30">
        <f t="shared" si="0"/>
        <v>0</v>
      </c>
      <c r="I13" s="181">
        <v>1800</v>
      </c>
      <c r="J13" s="30">
        <f t="shared" si="0"/>
        <v>0</v>
      </c>
      <c r="L13" s="42">
        <f t="shared" si="5"/>
        <v>77050</v>
      </c>
      <c r="M13" s="42">
        <f t="shared" si="4"/>
        <v>650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/>
      <c r="D16" s="30" t="str">
        <f t="shared" si="0"/>
        <v/>
      </c>
      <c r="E16" s="208">
        <v>12550</v>
      </c>
      <c r="F16" s="30">
        <f t="shared" si="0"/>
        <v>0</v>
      </c>
      <c r="G16" s="181">
        <v>1400</v>
      </c>
      <c r="H16" s="30">
        <f t="shared" si="0"/>
        <v>0</v>
      </c>
      <c r="I16" s="181">
        <v>6200</v>
      </c>
      <c r="J16" s="30">
        <f t="shared" si="0"/>
        <v>0</v>
      </c>
      <c r="L16" s="42">
        <f t="shared" si="5"/>
        <v>20150</v>
      </c>
      <c r="M16" s="42" t="e">
        <f t="shared" si="4"/>
        <v>#VALUE!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107550</v>
      </c>
      <c r="D17" s="30">
        <v>2000</v>
      </c>
      <c r="E17" s="208">
        <v>96600</v>
      </c>
      <c r="F17" s="30">
        <v>550</v>
      </c>
      <c r="G17" s="181">
        <v>50950</v>
      </c>
      <c r="H17" s="30">
        <v>700</v>
      </c>
      <c r="I17" s="181">
        <v>189350</v>
      </c>
      <c r="J17" s="30">
        <v>1500</v>
      </c>
      <c r="L17" s="42">
        <f t="shared" si="5"/>
        <v>444450</v>
      </c>
      <c r="M17" s="42">
        <f t="shared" si="4"/>
        <v>4750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68500</v>
      </c>
      <c r="D18" s="30">
        <v>450</v>
      </c>
      <c r="E18" s="208">
        <v>55550</v>
      </c>
      <c r="F18" s="30">
        <v>300</v>
      </c>
      <c r="G18" s="181">
        <v>45850</v>
      </c>
      <c r="H18" s="30">
        <v>1500</v>
      </c>
      <c r="I18" s="181">
        <v>26900</v>
      </c>
      <c r="J18" s="30">
        <f t="shared" si="3"/>
        <v>0</v>
      </c>
      <c r="L18" s="42">
        <f t="shared" si="5"/>
        <v>196800</v>
      </c>
      <c r="M18" s="42">
        <f t="shared" si="4"/>
        <v>2250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2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2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2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2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2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2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2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2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2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432800</v>
      </c>
      <c r="D32" s="44">
        <f t="shared" si="7"/>
        <v>5200</v>
      </c>
      <c r="E32" s="43">
        <f t="shared" si="7"/>
        <v>372150</v>
      </c>
      <c r="F32" s="44">
        <f t="shared" si="7"/>
        <v>3600</v>
      </c>
      <c r="G32" s="43">
        <f t="shared" si="7"/>
        <v>222450</v>
      </c>
      <c r="H32" s="44">
        <f t="shared" si="7"/>
        <v>5400</v>
      </c>
      <c r="I32" s="43">
        <f t="shared" si="7"/>
        <v>374400</v>
      </c>
      <c r="J32" s="44">
        <f t="shared" si="7"/>
        <v>1850</v>
      </c>
      <c r="L32" s="96">
        <f>SUM(L9:L31)</f>
        <v>1247650</v>
      </c>
      <c r="M32" s="96" t="e">
        <f>SUM(M9:M31)</f>
        <v>#VALUE!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64" t="s">
        <v>71</v>
      </c>
      <c r="D1" s="265"/>
      <c r="E1" s="264" t="s">
        <v>72</v>
      </c>
      <c r="F1" s="265"/>
      <c r="G1" s="264" t="s">
        <v>73</v>
      </c>
      <c r="H1" s="265"/>
    </row>
    <row r="2" spans="1:11" ht="14.5" customHeight="1" x14ac:dyDescent="0.35">
      <c r="C2" s="266" t="str">
        <f>IF(C33=0,"",CONCATENATE(PREMIOS!$B7," ",PREMIOS!$B8))</f>
        <v>09 Blanca</v>
      </c>
      <c r="D2" s="267"/>
      <c r="E2" s="266" t="str">
        <f>IF(E33=0,"",CONCATENATE(PREMIOS!$B11," ",PREMIOS!$B12))</f>
        <v>14 Blanca</v>
      </c>
      <c r="F2" s="267"/>
      <c r="G2" s="266" t="str">
        <f>IF(G33=0,"",CONCATENATE(PREMIOS!$B15," ",PREMIOS!$B16))</f>
        <v>72 Blanca</v>
      </c>
      <c r="H2" s="267"/>
    </row>
    <row r="3" spans="1:11" ht="15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20250+7100</f>
        <v>27350</v>
      </c>
      <c r="D10" s="30">
        <v>250</v>
      </c>
      <c r="E10" s="181">
        <v>34850</v>
      </c>
      <c r="F10" s="30">
        <v>1100</v>
      </c>
      <c r="G10" s="181">
        <v>48750</v>
      </c>
      <c r="H10" s="30">
        <f t="shared" si="0"/>
        <v>0</v>
      </c>
      <c r="J10" s="42">
        <f t="shared" si="3"/>
        <v>110950</v>
      </c>
      <c r="K10" s="42">
        <f t="shared" si="4"/>
        <v>1350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3250</v>
      </c>
      <c r="D12" s="30">
        <f t="shared" si="0"/>
        <v>0</v>
      </c>
      <c r="E12" s="181">
        <v>1000</v>
      </c>
      <c r="F12" s="30">
        <f t="shared" si="1"/>
        <v>0</v>
      </c>
      <c r="G12" s="181">
        <v>1500</v>
      </c>
      <c r="H12" s="30">
        <f t="shared" si="0"/>
        <v>0</v>
      </c>
      <c r="J12" s="42">
        <f t="shared" si="3"/>
        <v>5750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0</v>
      </c>
      <c r="D16" s="196">
        <f t="shared" si="0"/>
        <v>0</v>
      </c>
      <c r="E16" s="195">
        <v>0</v>
      </c>
      <c r="F16" s="196">
        <f t="shared" si="1"/>
        <v>0</v>
      </c>
      <c r="G16" s="195">
        <v>200</v>
      </c>
      <c r="H16" s="196">
        <f t="shared" si="0"/>
        <v>0</v>
      </c>
      <c r="J16" s="42">
        <f t="shared" si="3"/>
        <v>200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49850</v>
      </c>
      <c r="D17" s="30">
        <v>2250</v>
      </c>
      <c r="E17" s="181">
        <v>21750</v>
      </c>
      <c r="F17" s="30">
        <v>200</v>
      </c>
      <c r="G17" s="181">
        <v>37400</v>
      </c>
      <c r="H17" s="30">
        <v>350</v>
      </c>
      <c r="J17" s="42">
        <f t="shared" si="3"/>
        <v>109000</v>
      </c>
      <c r="K17" s="42">
        <f t="shared" si="4"/>
        <v>2800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34450</v>
      </c>
      <c r="D18" s="30">
        <v>700</v>
      </c>
      <c r="E18" s="181">
        <v>22200</v>
      </c>
      <c r="F18" s="30">
        <v>300</v>
      </c>
      <c r="G18" s="181">
        <v>26650</v>
      </c>
      <c r="H18" s="30">
        <f t="shared" si="0"/>
        <v>0</v>
      </c>
      <c r="J18" s="42">
        <f t="shared" si="3"/>
        <v>83300</v>
      </c>
      <c r="K18" s="42">
        <f t="shared" si="4"/>
        <v>1000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114900</v>
      </c>
      <c r="D33" s="44">
        <f t="shared" si="7"/>
        <v>3200</v>
      </c>
      <c r="E33" s="43">
        <f t="shared" si="7"/>
        <v>79800</v>
      </c>
      <c r="F33" s="44">
        <f t="shared" si="7"/>
        <v>1600</v>
      </c>
      <c r="G33" s="43">
        <f t="shared" si="7"/>
        <v>114500</v>
      </c>
      <c r="H33" s="44">
        <f t="shared" si="7"/>
        <v>350</v>
      </c>
      <c r="J33" s="45">
        <f>SUM(J4:J32)</f>
        <v>309200</v>
      </c>
      <c r="K33" s="96">
        <f>SUM(K4:K32)</f>
        <v>5150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64" t="s">
        <v>97</v>
      </c>
      <c r="D1" s="265"/>
      <c r="E1" s="264" t="s">
        <v>98</v>
      </c>
      <c r="F1" s="265"/>
    </row>
    <row r="2" spans="1:9" x14ac:dyDescent="0.35">
      <c r="C2" s="266">
        <f>IF(PREMIOS!$B19="","",PREMIOS!$B19)</f>
        <v>90</v>
      </c>
      <c r="D2" s="267"/>
      <c r="E2" s="266">
        <f>IF(PREMIOS!$C19="","",PREMIOS!$C19)</f>
        <v>89</v>
      </c>
      <c r="F2" s="267"/>
    </row>
    <row r="3" spans="1:9" ht="15" thickBot="1" x14ac:dyDescent="0.4">
      <c r="C3" s="266"/>
      <c r="D3" s="267"/>
      <c r="E3" s="266"/>
      <c r="F3" s="267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5600</v>
      </c>
      <c r="D4" s="79">
        <v>400</v>
      </c>
      <c r="E4" s="190">
        <v>2700</v>
      </c>
      <c r="F4" s="79">
        <f t="shared" ref="D4:F27" si="0">IF(E4="","",0)</f>
        <v>0</v>
      </c>
      <c r="H4" s="42">
        <f>+C4+E4</f>
        <v>8300</v>
      </c>
      <c r="I4" s="42">
        <f>IF(D4="",0,IF(F4="",D4,D4+F4))</f>
        <v>400</v>
      </c>
    </row>
    <row r="5" spans="1:9" x14ac:dyDescent="0.35">
      <c r="A5" s="47">
        <v>2</v>
      </c>
      <c r="B5" s="179" t="str">
        <f>Vendedor2!$B$2</f>
        <v>PUESTO 2</v>
      </c>
      <c r="C5" s="181">
        <v>16300</v>
      </c>
      <c r="D5" s="30">
        <v>1700</v>
      </c>
      <c r="E5" s="181">
        <v>3300</v>
      </c>
      <c r="F5" s="30">
        <v>400</v>
      </c>
      <c r="H5" s="42">
        <f t="shared" ref="H5:H32" si="1">+C5+E5</f>
        <v>19600</v>
      </c>
      <c r="I5" s="42">
        <f t="shared" ref="I5:I27" si="2">IF(D5="",0,IF(F5="",D5,D5+F5))</f>
        <v>2100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ref="F6:F27" si="3">IF(E6="","",0)</f>
        <v/>
      </c>
      <c r="H6" s="42">
        <f t="shared" si="1"/>
        <v>0</v>
      </c>
      <c r="I6" s="42">
        <f t="shared" si="2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3"/>
        <v/>
      </c>
      <c r="H7" s="42">
        <f t="shared" si="1"/>
        <v>0</v>
      </c>
      <c r="I7" s="42">
        <f t="shared" si="2"/>
        <v>0</v>
      </c>
    </row>
    <row r="8" spans="1:9" x14ac:dyDescent="0.35">
      <c r="A8" s="47">
        <v>5</v>
      </c>
      <c r="B8" s="179" t="str">
        <f>Vendedor5!$B$2</f>
        <v>YOYO</v>
      </c>
      <c r="C8" s="195"/>
      <c r="D8" s="30" t="str">
        <f t="shared" si="0"/>
        <v/>
      </c>
      <c r="E8" s="195"/>
      <c r="F8" s="196" t="str">
        <f t="shared" si="3"/>
        <v/>
      </c>
      <c r="H8" s="42">
        <f t="shared" si="1"/>
        <v>0</v>
      </c>
      <c r="I8" s="42">
        <f t="shared" si="2"/>
        <v>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3"/>
        <v/>
      </c>
      <c r="H9" s="42">
        <f t="shared" si="1"/>
        <v>0</v>
      </c>
      <c r="I9" s="42">
        <f t="shared" si="2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41000</v>
      </c>
      <c r="D10" s="30">
        <v>100</v>
      </c>
      <c r="E10" s="181">
        <v>41050</v>
      </c>
      <c r="F10" s="196">
        <f t="shared" si="3"/>
        <v>0</v>
      </c>
      <c r="H10" s="42">
        <f t="shared" si="1"/>
        <v>82050</v>
      </c>
      <c r="I10" s="42">
        <f t="shared" si="2"/>
        <v>100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3"/>
        <v/>
      </c>
      <c r="H11" s="42">
        <f t="shared" si="1"/>
        <v>0</v>
      </c>
      <c r="I11" s="42">
        <f t="shared" si="2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45050</v>
      </c>
      <c r="D12" s="30">
        <v>950</v>
      </c>
      <c r="E12" s="195"/>
      <c r="F12" s="30" t="str">
        <f t="shared" si="0"/>
        <v/>
      </c>
      <c r="H12" s="42">
        <f t="shared" si="1"/>
        <v>45050</v>
      </c>
      <c r="I12" s="42">
        <f t="shared" si="2"/>
        <v>950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1"/>
        <v>0</v>
      </c>
      <c r="I13" s="42">
        <f t="shared" si="2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1"/>
        <v>0</v>
      </c>
      <c r="I14" s="42">
        <f t="shared" si="2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1"/>
        <v>0</v>
      </c>
      <c r="I15" s="42">
        <f t="shared" si="2"/>
        <v>0</v>
      </c>
    </row>
    <row r="16" spans="1:9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/>
      <c r="F16" s="196" t="str">
        <f t="shared" si="0"/>
        <v/>
      </c>
      <c r="H16" s="42">
        <f t="shared" si="1"/>
        <v>0</v>
      </c>
      <c r="I16" s="42">
        <f t="shared" si="2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76200</v>
      </c>
      <c r="D17" s="196">
        <v>950</v>
      </c>
      <c r="E17" s="181">
        <v>34500</v>
      </c>
      <c r="F17" s="30">
        <f t="shared" si="0"/>
        <v>0</v>
      </c>
      <c r="H17" s="42">
        <f t="shared" si="1"/>
        <v>110700</v>
      </c>
      <c r="I17" s="42">
        <f t="shared" si="2"/>
        <v>950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66900</v>
      </c>
      <c r="D18" s="196">
        <v>1050</v>
      </c>
      <c r="E18" s="181">
        <v>61550</v>
      </c>
      <c r="F18" s="30">
        <v>300</v>
      </c>
      <c r="H18" s="42">
        <f t="shared" si="1"/>
        <v>128450</v>
      </c>
      <c r="I18" s="42">
        <f t="shared" si="2"/>
        <v>1350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3"/>
        <v/>
      </c>
      <c r="H19" s="42">
        <f t="shared" si="1"/>
        <v>0</v>
      </c>
      <c r="I19" s="42">
        <f t="shared" si="2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3"/>
        <v/>
      </c>
      <c r="H20" s="42">
        <f t="shared" si="1"/>
        <v>0</v>
      </c>
      <c r="I20" s="42">
        <f t="shared" si="2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3"/>
        <v/>
      </c>
      <c r="H21" s="42">
        <f t="shared" si="1"/>
        <v>0</v>
      </c>
      <c r="I21" s="42">
        <f t="shared" si="2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3"/>
        <v/>
      </c>
      <c r="H22" s="42">
        <f t="shared" si="1"/>
        <v>0</v>
      </c>
      <c r="I22" s="42">
        <f t="shared" si="2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3"/>
        <v/>
      </c>
      <c r="H23" s="42">
        <f t="shared" si="1"/>
        <v>0</v>
      </c>
      <c r="I23" s="42">
        <f t="shared" si="2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3"/>
        <v/>
      </c>
      <c r="H24" s="42">
        <f t="shared" si="1"/>
        <v>0</v>
      </c>
      <c r="I24" s="42">
        <f t="shared" si="2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3"/>
        <v/>
      </c>
      <c r="H25" s="42">
        <f t="shared" si="1"/>
        <v>0</v>
      </c>
      <c r="I25" s="42">
        <f t="shared" si="2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3"/>
        <v/>
      </c>
      <c r="H26" s="42">
        <f t="shared" si="1"/>
        <v>0</v>
      </c>
      <c r="I26" s="42">
        <f t="shared" si="2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3"/>
        <v/>
      </c>
      <c r="H27" s="42">
        <f t="shared" si="1"/>
        <v>0</v>
      </c>
      <c r="I27" s="42">
        <f t="shared" si="2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1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1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1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1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1"/>
        <v>0</v>
      </c>
      <c r="I32" s="42">
        <f t="shared" si="4"/>
        <v>0</v>
      </c>
    </row>
    <row r="33" spans="3:9" x14ac:dyDescent="0.35">
      <c r="C33" s="43">
        <f>SUM(C4:C32)</f>
        <v>251050</v>
      </c>
      <c r="D33" s="44">
        <f>SUM(D4:D32)</f>
        <v>5150</v>
      </c>
      <c r="E33" s="43">
        <f>SUM(E4:E32)</f>
        <v>143100</v>
      </c>
      <c r="F33" s="44">
        <f>SUM(F4:F32)</f>
        <v>700</v>
      </c>
      <c r="H33" s="96">
        <f>SUM(H4:H32)</f>
        <v>394150</v>
      </c>
      <c r="I33" s="96">
        <f>SUM(I4:I32)</f>
        <v>5850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5"/>
  <dimension ref="A1:K33"/>
  <sheetViews>
    <sheetView showGridLines="0" zoomScale="90" zoomScaleNormal="90" workbookViewId="0">
      <selection activeCell="G16" sqref="G16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64" t="s">
        <v>99</v>
      </c>
      <c r="D1" s="265"/>
      <c r="E1" s="264" t="s">
        <v>100</v>
      </c>
      <c r="F1" s="265"/>
      <c r="G1" s="264" t="s">
        <v>101</v>
      </c>
      <c r="H1" s="265"/>
    </row>
    <row r="2" spans="1:11" x14ac:dyDescent="0.35">
      <c r="C2" s="266">
        <f>IF(PREMIOS!$B20="","",PREMIOS!$B20)</f>
        <v>52</v>
      </c>
      <c r="D2" s="267"/>
      <c r="E2" s="266">
        <f>IF(PREMIOS!$C20="","",PREMIOS!$C20)</f>
        <v>83</v>
      </c>
      <c r="F2" s="267"/>
      <c r="G2" s="266">
        <f>IF(PREMIOS!$D20="","",PREMIOS!$D20)</f>
        <v>96</v>
      </c>
      <c r="H2" s="267"/>
    </row>
    <row r="3" spans="1:11" ht="15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4700</v>
      </c>
      <c r="D10" s="196">
        <f t="shared" si="0"/>
        <v>0</v>
      </c>
      <c r="E10" s="181">
        <v>23300</v>
      </c>
      <c r="F10" s="30">
        <f t="shared" si="0"/>
        <v>0</v>
      </c>
      <c r="G10" s="181">
        <v>34500</v>
      </c>
      <c r="H10" s="196">
        <f t="shared" si="0"/>
        <v>0</v>
      </c>
      <c r="J10" s="42">
        <f t="shared" si="3"/>
        <v>62500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>
        <v>5100</v>
      </c>
      <c r="D12" s="196">
        <v>200</v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5100</v>
      </c>
      <c r="K12" s="42">
        <f t="shared" si="4"/>
        <v>200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>
        <v>2700</v>
      </c>
      <c r="F16" s="196">
        <f t="shared" si="1"/>
        <v>0</v>
      </c>
      <c r="G16" s="195"/>
      <c r="H16" s="196" t="str">
        <f>IF(G16="","",0)</f>
        <v/>
      </c>
      <c r="J16" s="42">
        <f t="shared" si="3"/>
        <v>2700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95">
        <v>36600</v>
      </c>
      <c r="D17" s="196">
        <v>700</v>
      </c>
      <c r="E17" s="195">
        <v>11850</v>
      </c>
      <c r="F17" s="196">
        <f t="shared" si="0"/>
        <v>0</v>
      </c>
      <c r="G17" s="195">
        <v>25350</v>
      </c>
      <c r="H17" s="196">
        <f t="shared" si="2"/>
        <v>0</v>
      </c>
      <c r="J17" s="42">
        <f t="shared" si="3"/>
        <v>73800</v>
      </c>
      <c r="K17" s="42">
        <f t="shared" si="4"/>
        <v>700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20100</v>
      </c>
      <c r="D18" s="196">
        <v>100</v>
      </c>
      <c r="E18" s="181">
        <v>4100</v>
      </c>
      <c r="F18" s="30">
        <f t="shared" si="1"/>
        <v>0</v>
      </c>
      <c r="G18" s="181"/>
      <c r="H18" s="30" t="str">
        <f t="shared" si="2"/>
        <v/>
      </c>
      <c r="J18" s="42">
        <f t="shared" si="3"/>
        <v>24200</v>
      </c>
      <c r="K18" s="42">
        <f t="shared" si="4"/>
        <v>100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66500</v>
      </c>
      <c r="D33" s="44">
        <f t="shared" si="6"/>
        <v>1000</v>
      </c>
      <c r="E33" s="43">
        <f t="shared" si="6"/>
        <v>41950</v>
      </c>
      <c r="F33" s="44">
        <f t="shared" si="6"/>
        <v>0</v>
      </c>
      <c r="G33" s="43">
        <f t="shared" si="6"/>
        <v>59850</v>
      </c>
      <c r="H33" s="44">
        <f t="shared" si="6"/>
        <v>0</v>
      </c>
      <c r="J33" s="45">
        <f>SUM(J4:J32)</f>
        <v>168300</v>
      </c>
      <c r="K33" s="96">
        <f>SUM(K4:K32)</f>
        <v>1000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64" t="s">
        <v>110</v>
      </c>
      <c r="D1" s="265"/>
      <c r="E1" s="264" t="s">
        <v>111</v>
      </c>
      <c r="F1" s="265"/>
    </row>
    <row r="2" spans="1:9" x14ac:dyDescent="0.35">
      <c r="C2" s="266">
        <f>IF(PREMIOS!$B21="","",PREMIOS!$B21)</f>
        <v>40</v>
      </c>
      <c r="D2" s="267"/>
      <c r="E2" s="266">
        <f>IF(PREMIOS!$C21="","",PREMIOS!$C21)</f>
        <v>85</v>
      </c>
      <c r="F2" s="267"/>
    </row>
    <row r="3" spans="1:9" ht="15" thickBot="1" x14ac:dyDescent="0.4">
      <c r="C3" s="266"/>
      <c r="D3" s="267"/>
      <c r="E3" s="266"/>
      <c r="F3" s="267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36000</v>
      </c>
      <c r="D10" s="30">
        <f t="shared" si="0"/>
        <v>0</v>
      </c>
      <c r="E10" s="181">
        <v>34300</v>
      </c>
      <c r="F10" s="30">
        <f t="shared" si="0"/>
        <v>0</v>
      </c>
      <c r="H10" s="42">
        <f t="shared" si="2"/>
        <v>70300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36000</v>
      </c>
      <c r="D33" s="44">
        <f>SUM(D4:D32)</f>
        <v>0</v>
      </c>
      <c r="E33" s="43">
        <f>SUM(E4:E32)</f>
        <v>34300</v>
      </c>
      <c r="F33" s="44">
        <f>SUM(F4:F32)</f>
        <v>0</v>
      </c>
      <c r="H33" s="45">
        <f>SUM(H4:H32)</f>
        <v>70300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80" t="s">
        <v>38</v>
      </c>
      <c r="B1" s="80"/>
      <c r="C1" s="264" t="s">
        <v>109</v>
      </c>
      <c r="D1" s="265"/>
    </row>
    <row r="2" spans="1:4" x14ac:dyDescent="0.35">
      <c r="C2" s="266">
        <f>IF(PREMIOS!$B22="","",PREMIOS!$B22)</f>
        <v>15</v>
      </c>
      <c r="D2" s="267"/>
    </row>
    <row r="3" spans="1:4" ht="15" thickBot="1" x14ac:dyDescent="0.4">
      <c r="C3" s="266"/>
      <c r="D3" s="267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48</vt:i4>
      </vt:variant>
      <vt:variant>
        <vt:lpstr>Rangos con nombre</vt:lpstr>
      </vt:variant>
      <vt:variant>
        <vt:i4>1</vt:i4>
      </vt:variant>
    </vt:vector>
  </HeadingPairs>
  <TitlesOfParts>
    <vt:vector size="49" baseType="lpstr">
      <vt:lpstr>DigitaTICA (2)</vt:lpstr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2026-03-27T16:05:16Z</dcterms:modified>
  <dc:language>es-CR</dc:language>
</cp:coreProperties>
</file>
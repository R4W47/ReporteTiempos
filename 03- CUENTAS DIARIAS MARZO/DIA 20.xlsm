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415B5E46-665D-496C-8DAA-D4BD763AC34C}" xr6:coauthVersionLast="47" xr6:coauthVersionMax="47" xr10:uidLastSave="{E34E6215-EB5D-4555-8172-D192D5F3328F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7" i="60"/>
  <c r="G17" i="60"/>
  <c r="H18" i="60"/>
  <c r="G18" i="60"/>
  <c r="F17" i="60"/>
  <c r="E17" i="60"/>
  <c r="F18" i="60"/>
  <c r="E18" i="60"/>
  <c r="D10" i="62" l="1"/>
  <c r="C10" i="62"/>
  <c r="D10" i="60"/>
  <c r="C10" i="60"/>
  <c r="D17" i="60"/>
  <c r="C17" i="60"/>
  <c r="D18" i="60"/>
  <c r="C18" i="60"/>
  <c r="C10" i="61" l="1"/>
  <c r="D18" i="64" l="1"/>
  <c r="D11" i="65"/>
  <c r="D18" i="61"/>
  <c r="D17" i="61"/>
  <c r="D9" i="61"/>
  <c r="D8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11" i="60"/>
  <c r="D35" i="60" s="1"/>
  <c r="D9" i="60"/>
  <c r="D8" i="60"/>
  <c r="D7" i="60"/>
  <c r="D5" i="60"/>
  <c r="F18" i="23"/>
  <c r="F14" i="23"/>
  <c r="F10" i="23"/>
  <c r="F6" i="23"/>
  <c r="F6" i="14"/>
  <c r="F10" i="14"/>
  <c r="F14" i="14"/>
  <c r="F18" i="14"/>
  <c r="D10" i="66"/>
  <c r="D10" i="64"/>
  <c r="F17" i="64"/>
  <c r="D5" i="61"/>
  <c r="F18" i="61"/>
  <c r="F16" i="61"/>
  <c r="D6" i="60"/>
  <c r="F16" i="60"/>
  <c r="F15" i="60"/>
  <c r="F14" i="60"/>
  <c r="F11" i="60"/>
  <c r="F9" i="60"/>
  <c r="F7" i="60"/>
  <c r="F6" i="60"/>
  <c r="H15" i="60"/>
  <c r="H12" i="60"/>
  <c r="H11" i="60"/>
  <c r="H9" i="60"/>
  <c r="H7" i="60"/>
  <c r="H6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D36" i="60" l="1"/>
  <c r="E7" i="16"/>
  <c r="F35" i="60"/>
  <c r="H34" i="60"/>
  <c r="F34" i="60"/>
  <c r="D34" i="60"/>
  <c r="J8" i="14"/>
  <c r="D21" i="14"/>
  <c r="C12" i="71"/>
  <c r="D22" i="14"/>
  <c r="G12" i="71"/>
  <c r="E19" i="16"/>
  <c r="D4" i="65"/>
  <c r="D20" i="16"/>
  <c r="F18" i="64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7" i="23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H22" i="72" s="1"/>
  <c r="B22" i="72"/>
  <c r="F21" i="72"/>
  <c r="E21" i="72"/>
  <c r="D21" i="72"/>
  <c r="J21" i="72" s="1"/>
  <c r="K21" i="72" s="1"/>
  <c r="C21" i="72"/>
  <c r="H21" i="72" s="1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N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I25" i="72"/>
  <c r="N25" i="72" s="1"/>
  <c r="F25" i="29"/>
  <c r="F27" i="72"/>
  <c r="E27" i="72"/>
  <c r="J21" i="70"/>
  <c r="K21" i="70" s="1"/>
  <c r="F16" i="71"/>
  <c r="L16" i="71" s="1"/>
  <c r="M16" i="71" s="1"/>
  <c r="F22" i="15"/>
  <c r="L8" i="15" s="1"/>
  <c r="G22" i="15"/>
  <c r="L25" i="71"/>
  <c r="M25" i="71" s="1"/>
  <c r="K28" i="70"/>
  <c r="H29" i="66"/>
  <c r="J23" i="70"/>
  <c r="K23" i="70" s="1"/>
  <c r="L22" i="71"/>
  <c r="M22" i="71" s="1"/>
  <c r="H23" i="72"/>
  <c r="J30" i="72"/>
  <c r="K30" i="72" s="1"/>
  <c r="J32" i="64"/>
  <c r="K20" i="19"/>
  <c r="K9" i="19"/>
  <c r="L21" i="71"/>
  <c r="M21" i="71" s="1"/>
  <c r="J22" i="71"/>
  <c r="J31" i="71"/>
  <c r="D17" i="72"/>
  <c r="L7" i="23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F25" i="19"/>
  <c r="L9" i="19" s="1"/>
  <c r="F18" i="72"/>
  <c r="J26" i="72"/>
  <c r="K26" i="72" s="1"/>
  <c r="D18" i="72"/>
  <c r="J7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K21" i="8"/>
  <c r="K10" i="8"/>
  <c r="L18" i="72"/>
  <c r="L27" i="71"/>
  <c r="M27" i="71" s="1"/>
  <c r="J27" i="72"/>
  <c r="K27" i="72" s="1"/>
  <c r="N27" i="7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s="1"/>
  <c r="M25" i="52" l="1"/>
  <c r="L4" i="23"/>
  <c r="L6" i="23"/>
  <c r="M24" i="52"/>
  <c r="M23" i="52"/>
  <c r="J4" i="23"/>
  <c r="M20" i="52"/>
  <c r="F17" i="52"/>
  <c r="J5" i="19"/>
  <c r="C24" i="15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0" l="1"/>
  <c r="K5" i="23"/>
  <c r="J32" i="61"/>
  <c r="M19" i="52"/>
  <c r="K4" i="23"/>
  <c r="L19" i="71"/>
  <c r="M19" i="71" s="1"/>
  <c r="M32" i="71" s="1"/>
  <c r="F8" i="74" s="1"/>
  <c r="K5" i="8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K6" i="25" l="1"/>
  <c r="M7" i="52"/>
  <c r="M4" i="5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2" i="58"/>
  <c r="P23" i="58"/>
  <c r="P20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4" i="52" l="1"/>
  <c r="C23" i="1" s="1"/>
  <c r="B23" i="1"/>
  <c r="K22" i="52"/>
  <c r="C21" i="1" s="1"/>
  <c r="B21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F12" i="14"/>
  <c r="F12" i="15"/>
  <c r="F12" i="8"/>
  <c r="F12" i="19"/>
  <c r="F16" i="15"/>
  <c r="F16" i="8"/>
  <c r="F16" i="19"/>
  <c r="K4" i="52"/>
  <c r="C3" i="1" s="1"/>
  <c r="B3" i="1"/>
  <c r="K6" i="52"/>
  <c r="C5" i="1" s="1"/>
  <c r="B5" i="1"/>
  <c r="K21" i="52"/>
  <c r="C20" i="1" s="1"/>
  <c r="B20" i="1"/>
  <c r="K20" i="52"/>
  <c r="C19" i="1" s="1"/>
  <c r="B19" i="1"/>
  <c r="K5" i="52"/>
  <c r="C4" i="1" s="1"/>
  <c r="B4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L6" i="15" l="1"/>
  <c r="F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Q4" i="52"/>
  <c r="D3" i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<sst xmlns="http://schemas.openxmlformats.org/spreadsheetml/2006/main" count="1293" uniqueCount="160">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</sst>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254800</v>
      </c>
      <c r="C3" s="9">
        <f>+HojaTICA!K4+HojaNICA!M4+HojaREVENTADO!K4+HojaPrimera!I4+HojaHonduras!K4+HojaDominicana!I4+HojaPANA!G4</f>
        <v>33150</v>
      </c>
      <c r="D3" s="9">
        <f>+HojaTICA!N4+HojaNICA!P4+HojaREVENTADO!O4+HojaPrimera!L4+HojaHonduras!N4+HojaDominicana!L4+HojaPANA!J4</f>
        <v>561000</v>
      </c>
      <c r="F3" s="10">
        <f t="shared" ref="F3:F27" si="0">+B3-C3-D3</f>
        <v>-339350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181800</v>
      </c>
      <c r="C4" s="9">
        <f>+HojaTICA!K5+HojaNICA!M5+HojaREVENTADO!K5+HojaPrimera!I5+HojaHonduras!K5+HojaDominicana!I5+HojaPANA!G5</f>
        <v>23600</v>
      </c>
      <c r="D4" s="9">
        <f>+HojaTICA!N5+HojaNICA!P5+HojaREVENTADO!O5+HojaPrimera!L5+HojaHonduras!N5+HojaDominicana!L5+HojaPANA!J5</f>
        <v>114750</v>
      </c>
      <c r="F4" s="14">
        <f t="shared" si="0"/>
        <v>43450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283100</v>
      </c>
      <c r="C7" s="9">
        <f>+HojaTICA!K8+HojaNICA!M8+HojaREVENTADO!K8+HojaPrimera!I8+HojaHonduras!K8+HojaDominicana!I8+HojaPANA!G8</f>
        <v>33950</v>
      </c>
      <c r="D7" s="9">
        <f>+HojaTICA!N8+HojaNICA!P8+HojaREVENTADO!O8+HojaPrimera!L8+HojaHonduras!N8+HojaDominicana!L8+HojaPANA!J8</f>
        <v>469500</v>
      </c>
      <c r="F7" s="14">
        <f t="shared" si="0"/>
        <v>-220350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1105100</v>
      </c>
      <c r="C9" s="9">
        <f>+HojaTICA!K10+HojaNICA!M10+HojaREVENTADO!K10+HojaPrimera!I10+HojaHonduras!K10+HojaDominicana!I10+HojaPANA!G10</f>
        <v>130925</v>
      </c>
      <c r="D9" s="9">
        <f>+HojaTICA!N10+HojaNICA!P10+HojaREVENTADO!O10+HojaPrimera!L10+HojaHonduras!N10+HojaDominicana!L10+HojaPANA!J10</f>
        <v>1589500</v>
      </c>
      <c r="F9" s="14">
        <f t="shared" si="0"/>
        <v>-615325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36800</v>
      </c>
      <c r="C10" s="9">
        <f>+HojaTICA!K11+HojaNICA!M11+HojaREVENTADO!K11+HojaPrimera!I11+HojaHonduras!K11+HojaDominicana!I11+HojaPANA!G11</f>
        <v>4400</v>
      </c>
      <c r="D10" s="9">
        <f>+HojaTICA!N11+HojaNICA!P11+HojaREVENTADO!O11+HojaPrimera!L11+HojaHonduras!N11+HojaDominicana!L11+HojaPANA!J11</f>
        <v>0</v>
      </c>
      <c r="F10" s="14">
        <f t="shared" si="0"/>
        <v>32400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258850</v>
      </c>
      <c r="C11" s="9">
        <f>+HojaTICA!K12+HojaNICA!M12+HojaREVENTADO!K12+HojaPrimera!I12+HojaHonduras!K12+HojaDominicana!I12+HojaPANA!G12</f>
        <v>30880</v>
      </c>
      <c r="D11" s="9">
        <f>+HojaTICA!N12+HojaNICA!P12+HojaREVENTADO!O12+HojaPrimera!L12+HojaHonduras!N12+HojaDominicana!L12+HojaPANA!J12</f>
        <v>293250</v>
      </c>
      <c r="F11" s="14">
        <f t="shared" si="0"/>
        <v>-65280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231250</v>
      </c>
      <c r="C12" s="9">
        <f>+HojaTICA!K13+HojaNICA!M13+HojaREVENTADO!K13+HojaPrimera!I13+HojaHonduras!K13+HojaDominicana!I13+HojaPANA!G13</f>
        <v>27750</v>
      </c>
      <c r="D12" s="9">
        <f>+HojaTICA!N13+HojaNICA!P13+HojaREVENTADO!O13+HojaPrimera!L13+HojaHonduras!N13+HojaDominicana!L13+HojaPANA!J13</f>
        <v>246500</v>
      </c>
      <c r="F12" s="14">
        <f t="shared" si="0"/>
        <v>-43000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123750</v>
      </c>
      <c r="C13" s="9">
        <f>+HojaTICA!K14+HojaNICA!M14+HojaREVENTADO!K14+HojaPrimera!I14+HojaHonduras!K14+HojaDominicana!I14+HojaPANA!G14</f>
        <v>18550</v>
      </c>
      <c r="D13" s="9">
        <f>+HojaTICA!N14+HojaNICA!P14+HojaREVENTADO!O14+HojaPrimera!L14+HojaHonduras!N14+HojaDominicana!L14+HojaPANA!J14</f>
        <v>40000</v>
      </c>
      <c r="F13" s="14">
        <f t="shared" si="0"/>
        <v>65200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83000</v>
      </c>
      <c r="C15" s="9">
        <f>+HojaTICA!K16+HojaNICA!M16+HojaREVENTADO!K16+HojaPrimera!I16+HojaHonduras!K16+HojaDominicana!I16+HojaPANA!G16</f>
        <v>10000</v>
      </c>
      <c r="D15" s="9">
        <f>+HojaTICA!N16+HojaNICA!P16+HojaREVENTADO!O16+HojaPrimera!L16+HojaHonduras!N16+HojaDominicana!L16+HojaPANA!J16</f>
        <v>66500</v>
      </c>
      <c r="F15" s="14">
        <f t="shared" si="0"/>
        <v>6500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1203050</v>
      </c>
      <c r="C16" s="9">
        <f>+HojaTICA!K17+HojaNICA!M17+HojaREVENTADO!K17+HojaPrimera!I17+HojaHonduras!K17+HojaDominicana!I17+HojaPANA!G17</f>
        <v>142650</v>
      </c>
      <c r="D16" s="9">
        <f>+HojaTICA!N17+HojaNICA!P17+HojaREVENTADO!O17+HojaPrimera!L17+HojaHonduras!N17+HojaDominicana!L17+HojaPANA!J17</f>
        <v>1389750</v>
      </c>
      <c r="F16" s="14">
        <f t="shared" si="0"/>
        <v>-329350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561900</v>
      </c>
      <c r="C17" s="9">
        <f>+HojaTICA!K18+HojaNICA!M18+HojaREVENTADO!K18+HojaPrimera!I18+HojaHonduras!K18+HojaDominicana!I18+HojaPANA!G18</f>
        <v>65955</v>
      </c>
      <c r="D17" s="9">
        <f>+HojaTICA!N18+HojaNICA!P18+HojaREVENTADO!O18+HojaPrimera!L18+HojaHonduras!N18+HojaDominicana!L18+HojaPANA!J18</f>
        <v>841500</v>
      </c>
      <c r="F17" s="14">
        <f t="shared" si="0"/>
        <v>-345555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4323400</v>
      </c>
      <c r="C28" s="17">
        <f t="shared" si="1"/>
        <v>521810</v>
      </c>
      <c r="D28" s="18">
        <f t="shared" si="1"/>
        <v>5612250</v>
      </c>
      <c r="F28" s="20">
        <f>SUM(F3:F27)</f>
        <v>-1810660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97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77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16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21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49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22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99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12</v>
      </c>
      <c r="C19" s="133">
        <v>47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93</v>
      </c>
      <c r="C20" s="164">
        <v>61</v>
      </c>
      <c r="D20" s="167">
        <v>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94</v>
      </c>
      <c r="C21" s="165" t="s">
        <v>159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77</v>
      </c>
      <c r="D2" s="269"/>
      <c r="E2" s="268">
        <f>DigitaTICA!E2</f>
        <v>21</v>
      </c>
      <c r="F2" s="269"/>
      <c r="G2" s="268">
        <f>DigitaTICA!G2</f>
        <v>22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68250</v>
      </c>
      <c r="D4" s="30">
        <f>IF(Vendedor1!$E$7="",0,Vendedor1!$E$7)</f>
        <v>1100</v>
      </c>
      <c r="E4" s="181">
        <f>IF(Vendedor1!$C$11="",0,Vendedor1!$C$11)</f>
        <v>29600</v>
      </c>
      <c r="F4" s="30">
        <f>IF(Vendedor1!$E$11="",0,Vendedor1!$E$11)</f>
        <v>2950</v>
      </c>
      <c r="G4" s="181">
        <f>IF(Vendedor1!$C$15="",0,Vendedor1!$C$15)</f>
        <v>107000</v>
      </c>
      <c r="H4" s="30">
        <f>IF(Vendedor1!$E$15="",0,Vendedor1!$E$15)</f>
        <v>2550</v>
      </c>
      <c r="J4" s="42">
        <f t="shared" ref="J4:J7" si="0">+C4+E4+G4</f>
        <v>204850</v>
      </c>
      <c r="K4" s="41">
        <f>MROUND(J4*Vendedor1!J$9,50)</f>
        <v>26650</v>
      </c>
      <c r="L4" s="42">
        <f t="shared" ref="L4:L7" si="1">+D4+F4+H4</f>
        <v>6600</v>
      </c>
      <c r="M4" s="42">
        <f t="shared" ref="M4:M7" si="2">+L4*85</f>
        <v>561000</v>
      </c>
      <c r="N4" s="42">
        <f>Vendedor1!$F$7+Vendedor1!$F$11+Vendedor1!$F$15</f>
        <v>561000</v>
      </c>
      <c r="P4" s="42">
        <f t="shared" ref="P4:P7" si="3">+J4-K4-N4</f>
        <v>-382800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32500</v>
      </c>
      <c r="D5" s="30">
        <f>IF(Vendedor2!$E$7="",0,Vendedor2!$E$7)</f>
        <v>0</v>
      </c>
      <c r="E5" s="181">
        <f>IF(Vendedor2!$C$11="",0,Vendedor2!$C$11)</f>
        <v>29500</v>
      </c>
      <c r="F5" s="30">
        <f>IF(Vendedor2!$E$11="",0,Vendedor2!$E$11)</f>
        <v>350</v>
      </c>
      <c r="G5" s="181">
        <f>IF(Vendedor2!$C$15="",0,Vendedor2!$C$15)</f>
        <v>78900</v>
      </c>
      <c r="H5" s="30">
        <f>IF(Vendedor2!$E$15="",0,Vendedor2!$E$15)</f>
        <v>1000</v>
      </c>
      <c r="J5" s="42">
        <f t="shared" si="0"/>
        <v>140900</v>
      </c>
      <c r="K5" s="41">
        <f>MROUND(J5*Vendedor2!J$9,50)</f>
        <v>18300</v>
      </c>
      <c r="L5" s="42">
        <f t="shared" si="1"/>
        <v>1350</v>
      </c>
      <c r="M5" s="42">
        <f t="shared" si="2"/>
        <v>114750</v>
      </c>
      <c r="N5" s="42">
        <f>Vendedor2!$F$7+Vendedor2!$F$11+Vendedor2!$F$15</f>
        <v>114750</v>
      </c>
      <c r="P5" s="42">
        <f t="shared" si="3"/>
        <v>7850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40000</v>
      </c>
      <c r="D8" s="30">
        <f>IF(Vendedor5!$E$7="",0,Vendedor5!$E$7)</f>
        <v>0</v>
      </c>
      <c r="E8" s="181">
        <f>IF(Vendedor5!$C$11="",0,Vendedor5!$C$11)</f>
        <v>24950</v>
      </c>
      <c r="F8" s="30">
        <f>IF(Vendedor5!$E$11="",0,Vendedor5!$E$11)</f>
        <v>1800</v>
      </c>
      <c r="G8" s="181">
        <f>IF(Vendedor5!$C$15="",0,Vendedor5!$C$15)</f>
        <v>56050</v>
      </c>
      <c r="H8" s="30">
        <f>IF(Vendedor5!$E$15="",0,Vendedor5!$E$15)</f>
        <v>1700</v>
      </c>
      <c r="J8" s="42">
        <f t="shared" ref="J8" si="4">+C8+E8+G8</f>
        <v>121000</v>
      </c>
      <c r="K8" s="41">
        <f>MROUND(J8*Vendedor5!J$11,50)</f>
        <v>14500</v>
      </c>
      <c r="L8" s="42">
        <f t="shared" ref="L8" si="5">+D8+F8+H8</f>
        <v>3500</v>
      </c>
      <c r="M8" s="42">
        <f t="shared" ref="M8" si="6">+L8*85</f>
        <v>297500</v>
      </c>
      <c r="N8" s="42">
        <f>Vendedor5!$F$7+Vendedor5!$F$11+Vendedor5!$F$15</f>
        <v>297500</v>
      </c>
      <c r="P8" s="42">
        <f t="shared" ref="P8" si="7">+J8-K8-N8</f>
        <v>-191000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135500</v>
      </c>
      <c r="D10" s="30">
        <f>IF(Vendedor7!$E$7="",0,Vendedor7!$E$7)</f>
        <v>4500</v>
      </c>
      <c r="E10" s="181">
        <f>IF(Vendedor7!$C$11="",0,Vendedor7!$C$11)</f>
        <v>149950</v>
      </c>
      <c r="F10" s="30">
        <f>IF(Vendedor7!$E$11="",0,Vendedor7!$E$11)</f>
        <v>4350</v>
      </c>
      <c r="G10" s="181">
        <f>IF(Vendedor7!$C$15="",0,Vendedor7!$C$15)</f>
        <v>190300</v>
      </c>
      <c r="H10" s="30">
        <f>IF(Vendedor7!$E$15="",0,Vendedor7!$E$15)</f>
        <v>2050</v>
      </c>
      <c r="J10" s="42">
        <f t="shared" si="8"/>
        <v>475750</v>
      </c>
      <c r="K10" s="41">
        <f>MROUND(J10*Vendedor7!J$14,50)</f>
        <v>57100</v>
      </c>
      <c r="L10" s="42">
        <f t="shared" si="9"/>
        <v>10900</v>
      </c>
      <c r="M10" s="42">
        <f t="shared" si="10"/>
        <v>926500</v>
      </c>
      <c r="N10" s="42">
        <f>Vendedor7!$F$7+Vendedor7!$F$11+Vendedor7!$F$15</f>
        <v>926500</v>
      </c>
      <c r="P10" s="42">
        <f t="shared" si="11"/>
        <v>-507850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5500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31300</v>
      </c>
      <c r="H11" s="30">
        <f>IF(Vendedor8!$E$15="",0,Vendedor8!$E$15)</f>
        <v>0</v>
      </c>
      <c r="J11" s="42">
        <f t="shared" si="8"/>
        <v>36800</v>
      </c>
      <c r="K11" s="41">
        <f>MROUND(J11*Vendedor8!J$11,50)</f>
        <v>4400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32400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34600</v>
      </c>
      <c r="D12" s="30">
        <f>IF(Vendedor9!$E$7="",0,Vendedor9!$E$7)</f>
        <v>0</v>
      </c>
      <c r="E12" s="181">
        <f>IF(Vendedor9!$C$11="",0,Vendedor9!$C$11)</f>
        <v>31050</v>
      </c>
      <c r="F12" s="30">
        <f>IF(Vendedor9!$E$11="",0,Vendedor9!$E$11)</f>
        <v>600</v>
      </c>
      <c r="G12" s="181">
        <f>IF(Vendedor9!$C$15="",0,Vendedor9!$C$15)</f>
        <v>31000</v>
      </c>
      <c r="H12" s="30">
        <f>IF(Vendedor9!$E$15="",0,Vendedor9!$E$15)</f>
        <v>0</v>
      </c>
      <c r="J12" s="42">
        <f t="shared" si="8"/>
        <v>96650</v>
      </c>
      <c r="K12" s="41">
        <f>MROUND(J12*Vendedor9!J$11,50)</f>
        <v>11600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34050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46450</v>
      </c>
      <c r="D13" s="30">
        <f>IF(Vendedor10!$E$7="",0,Vendedor10!$E$7)</f>
        <v>500</v>
      </c>
      <c r="E13" s="181">
        <f>IF(Vendedor10!$C$11="",0,Vendedor10!$C$11)</f>
        <v>23550</v>
      </c>
      <c r="F13" s="30">
        <f>IF(Vendedor10!$E$11="",0,Vendedor10!$E$11)</f>
        <v>800</v>
      </c>
      <c r="G13" s="181">
        <f>IF(Vendedor10!$C$15="",0,Vendedor10!$C$15)</f>
        <v>88000</v>
      </c>
      <c r="H13" s="30">
        <f>IF(Vendedor10!$E$15="",0,Vendedor10!$E$15)</f>
        <v>1600</v>
      </c>
      <c r="J13" s="42">
        <f t="shared" si="8"/>
        <v>158000</v>
      </c>
      <c r="K13" s="41">
        <f>MROUND(J13*Vendedor10!J$9,50)</f>
        <v>18950</v>
      </c>
      <c r="L13" s="42">
        <f t="shared" si="9"/>
        <v>2900</v>
      </c>
      <c r="M13" s="42">
        <f t="shared" si="10"/>
        <v>246500</v>
      </c>
      <c r="N13" s="42">
        <f>Vendedor10!$F$7+Vendedor10!$F$11+Vendedor10!$F$15</f>
        <v>246500</v>
      </c>
      <c r="P13" s="42">
        <f t="shared" si="11"/>
        <v>-107450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51550</v>
      </c>
      <c r="D14" s="30">
        <f>IF(Vendedor11!$E$7="",0,Vendedor11!$E$7)</f>
        <v>0</v>
      </c>
      <c r="E14" s="181">
        <f>IF(Vendedor11!$C$11="",0,Vendedor11!$C$11)</f>
        <v>36400</v>
      </c>
      <c r="F14" s="30">
        <f>IF(Vendedor11!$E$11="",0,Vendedor11!$E$11)</f>
        <v>0</v>
      </c>
      <c r="G14" s="181">
        <f>IF(Vendedor11!$C$15="",0,Vendedor11!$C$15)</f>
        <v>35800</v>
      </c>
      <c r="H14" s="30">
        <f>IF(Vendedor11!$E$15="",0,Vendedor11!$E$15)</f>
        <v>500</v>
      </c>
      <c r="J14" s="42">
        <f t="shared" si="8"/>
        <v>123750</v>
      </c>
      <c r="K14" s="41">
        <f>MROUND(J14*Vendedor11!J$9,50)</f>
        <v>18550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65200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14150</v>
      </c>
      <c r="D16" s="30">
        <f>IF(Vendedor13!$E$7="",0,Vendedor13!$E$7)</f>
        <v>0</v>
      </c>
      <c r="E16" s="181">
        <f>IF(Vendedor13!$C$11="",0,Vendedor13!$C$11)</f>
        <v>13000</v>
      </c>
      <c r="F16" s="30">
        <f>IF(Vendedor13!$E$11="",0,Vendedor13!$E$11)</f>
        <v>0</v>
      </c>
      <c r="G16" s="181">
        <f>IF(Vendedor13!$C$15="",0,Vendedor13!$C$15)</f>
        <v>25150</v>
      </c>
      <c r="H16" s="30">
        <f>IF(Vendedor13!$E$15="",0,Vendedor13!$E$15)</f>
        <v>500</v>
      </c>
      <c r="J16" s="42">
        <f t="shared" si="8"/>
        <v>52300</v>
      </c>
      <c r="K16" s="41">
        <f>MROUND(J16*Vendedor13!J$11,50)</f>
        <v>6300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3500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131550</v>
      </c>
      <c r="D17" s="30">
        <f>IF(Vendedor14!$E$7="",0,Vendedor14!$E$7)</f>
        <v>2250</v>
      </c>
      <c r="E17" s="181">
        <f>IF(Vendedor14!$C$11="",0,Vendedor14!$C$11)</f>
        <v>110950</v>
      </c>
      <c r="F17" s="30">
        <f>IF(Vendedor14!$E$11="",0,Vendedor14!$E$11)</f>
        <v>5300</v>
      </c>
      <c r="G17" s="181">
        <f>IF(Vendedor14!$C$15="",0,Vendedor14!$C$15)</f>
        <v>243350</v>
      </c>
      <c r="H17" s="30">
        <f>IF(Vendedor14!$E$15="",0,Vendedor14!$E$15)</f>
        <v>6500</v>
      </c>
      <c r="J17" s="42">
        <f t="shared" si="8"/>
        <v>485850</v>
      </c>
      <c r="K17" s="41">
        <f>MROUND(J17*Vendedor14!J$15,50)</f>
        <v>58300</v>
      </c>
      <c r="L17" s="42">
        <f t="shared" si="9"/>
        <v>14050</v>
      </c>
      <c r="M17" s="42">
        <f t="shared" si="10"/>
        <v>1194250</v>
      </c>
      <c r="N17" s="42">
        <f>Vendedor14!$F$7+Vendedor14!$F$11+Vendedor14!$F$15</f>
        <v>1194250</v>
      </c>
      <c r="P17" s="42">
        <f t="shared" si="11"/>
        <v>-766700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57300</v>
      </c>
      <c r="D18" s="30">
        <f>IF(Vendedor15!$E$7="",0,Vendedor15!$E$7)</f>
        <v>2700</v>
      </c>
      <c r="E18" s="181">
        <f>IF(Vendedor15!$C$11="",0,Vendedor15!$C$11)</f>
        <v>44300</v>
      </c>
      <c r="F18" s="30">
        <f>IF(Vendedor15!$E$11="",0,Vendedor15!$E$11)</f>
        <v>2550</v>
      </c>
      <c r="G18" s="181">
        <f>IF(Vendedor15!$C$15="",0,Vendedor15!$C$15)</f>
        <v>103150</v>
      </c>
      <c r="H18" s="30">
        <f>IF(Vendedor15!$E$15="",0,Vendedor15!$E$15)</f>
        <v>2150</v>
      </c>
      <c r="J18" s="42">
        <f t="shared" ref="J18" si="12">+C18+E18+G18</f>
        <v>204750</v>
      </c>
      <c r="K18" s="41">
        <f>MROUND(J18*Vendedor15!J$15,50)</f>
        <v>24550</v>
      </c>
      <c r="L18" s="42">
        <f t="shared" ref="L18" si="13">+D18+F18+H18</f>
        <v>7400</v>
      </c>
      <c r="M18" s="42">
        <f t="shared" ref="M18" si="14">+L18*85</f>
        <v>629000</v>
      </c>
      <c r="N18" s="42">
        <f>Vendedor15!$F$7+Vendedor15!$F$11+Vendedor15!$F$15</f>
        <v>629000</v>
      </c>
      <c r="P18" s="42">
        <f t="shared" ref="P18" si="15">+J18-K18-N18</f>
        <v>-448800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617350</v>
      </c>
      <c r="D32" s="44">
        <f t="shared" si="16"/>
        <v>11050</v>
      </c>
      <c r="E32" s="43">
        <f t="shared" si="16"/>
        <v>493250</v>
      </c>
      <c r="F32" s="44">
        <f t="shared" si="16"/>
        <v>18700</v>
      </c>
      <c r="G32" s="43">
        <f t="shared" si="16"/>
        <v>990000</v>
      </c>
      <c r="H32" s="44">
        <f t="shared" si="16"/>
        <v>18550</v>
      </c>
      <c r="J32" s="96">
        <f>SUM(J4:J31)</f>
        <v>2100600</v>
      </c>
      <c r="K32" s="45">
        <f>SUM(K7:K31)</f>
        <v>214250</v>
      </c>
      <c r="L32" s="96">
        <f>SUM(L4:L31)</f>
        <v>48300</v>
      </c>
      <c r="M32" s="96">
        <f>SUM(M4:M31)</f>
        <v>4105500</v>
      </c>
      <c r="N32" s="96">
        <f>SUM(N4:N31)</f>
        <v>4103000</v>
      </c>
      <c r="P32" s="80">
        <f>SUM(P4:P31)</f>
        <v>-2261600</v>
      </c>
    </row>
    <row r="33" spans="3:13" x14ac:dyDescent="0.35">
      <c r="D33" s="100">
        <f>+D32*85</f>
        <v>939250</v>
      </c>
      <c r="F33" s="100">
        <f>+F32*85</f>
        <v>1589500</v>
      </c>
      <c r="H33" s="100">
        <f>+H32*85</f>
        <v>1576750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2100600</v>
      </c>
      <c r="E36" s="43">
        <f>+D36-J4-J5-J6</f>
        <v>1754850</v>
      </c>
      <c r="G36" s="102"/>
    </row>
    <row r="37" spans="3:13" x14ac:dyDescent="0.35">
      <c r="C37" s="47" t="s">
        <v>33</v>
      </c>
      <c r="D37" s="48">
        <f>D36*13%</f>
        <v>273078</v>
      </c>
      <c r="E37">
        <f>+D37-K4-K5-K6</f>
        <v>228128</v>
      </c>
      <c r="G37" s="101"/>
      <c r="H37" s="101"/>
    </row>
    <row r="38" spans="3:13" ht="15" thickBot="1" x14ac:dyDescent="0.4">
      <c r="C38" s="47" t="s">
        <v>30</v>
      </c>
      <c r="D38" s="30">
        <f>M32</f>
        <v>4105500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-2277978</v>
      </c>
      <c r="F39" s="99">
        <f>+P32-D39</f>
        <v>16378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-2277978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97</v>
      </c>
      <c r="D2" s="269"/>
      <c r="E2" s="268">
        <f>DigitaNICA!E2</f>
        <v>16</v>
      </c>
      <c r="F2" s="269"/>
      <c r="G2" s="268">
        <f>DigitaNICA!G2</f>
        <v>49</v>
      </c>
      <c r="H2" s="269"/>
      <c r="I2" s="268">
        <f>DigitaNICA!I2</f>
        <v>99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24850</v>
      </c>
      <c r="D4" s="79">
        <f>IF(Vendedor1!$E$5="",0,Vendedor1!$E$5)</f>
        <v>0</v>
      </c>
      <c r="E4" s="190">
        <f>IF(Vendedor1!$C$9="",0,Vendedor1!$C$9)</f>
        <v>9450</v>
      </c>
      <c r="F4" s="79">
        <f>IF(Vendedor1!$E$9="",0,Vendedor1!$E$9)</f>
        <v>0</v>
      </c>
      <c r="G4" s="190">
        <f>IF(Vendedor1!$C$13="",0,Vendedor1!$C$13)</f>
        <v>3100</v>
      </c>
      <c r="H4" s="79">
        <f>IF(Vendedor1!$E$13="",0,Vendedor1!$E$13)</f>
        <v>0</v>
      </c>
      <c r="I4" s="190">
        <f>IF(Vendedor1!$C$17="",0,Vendedor1!$C$17)</f>
        <v>5600</v>
      </c>
      <c r="J4" s="79">
        <f>IF(Vendedor1!$E$17="",0,Vendedor1!$E$17)</f>
        <v>0</v>
      </c>
      <c r="L4" s="42">
        <f t="shared" ref="L4:L7" si="0">C4+E4+G4+I4</f>
        <v>43000</v>
      </c>
      <c r="M4" s="41">
        <f>MROUND(L4*Vendedor1!J$10,50)</f>
        <v>5600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37400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24000</v>
      </c>
      <c r="D5" s="30">
        <f>IF(Vendedor2!$E$5="",0,Vendedor2!$E$5)</f>
        <v>0</v>
      </c>
      <c r="E5" s="181">
        <f>IF(Vendedor2!$C$9="",0,Vendedor2!$C$9)</f>
        <v>7100</v>
      </c>
      <c r="F5" s="30">
        <f>IF(Vendedor2!$E$9="",0,Vendedor2!$E$9)</f>
        <v>0</v>
      </c>
      <c r="G5" s="181">
        <f>IF(Vendedor2!$C$13="",0,Vendedor2!$C$13)</f>
        <v>9500</v>
      </c>
      <c r="H5" s="30">
        <f>IF(Vendedor2!$E$13="",0,Vendedor2!$E$13)</f>
        <v>0</v>
      </c>
      <c r="I5" s="181">
        <f>IF(Vendedor2!$C$17="",0,Vendedor2!$C$17)</f>
        <v>300</v>
      </c>
      <c r="J5" s="30">
        <f>IF(Vendedor2!$E$17="",0,Vendedor2!$E$17)</f>
        <v>0</v>
      </c>
      <c r="L5" s="42">
        <f t="shared" si="0"/>
        <v>40900</v>
      </c>
      <c r="M5" s="41">
        <f>MROUND(L5*Vendedor2!J$10,50)</f>
        <v>5300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35600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58150</v>
      </c>
      <c r="D8" s="30">
        <f>IF(Vendedor5!$E$5="",0,Vendedor5!$E$5)</f>
        <v>0</v>
      </c>
      <c r="E8" s="181">
        <f>IF(Vendedor5!$C$9="",0,Vendedor5!$C$9)</f>
        <v>33500</v>
      </c>
      <c r="F8" s="30">
        <f>IF(Vendedor5!$E$9="",0,Vendedor5!$E$9)</f>
        <v>350</v>
      </c>
      <c r="G8" s="181">
        <f>IF(Vendedor5!$C$13="",0,Vendedor5!$C$13)</f>
        <v>6400</v>
      </c>
      <c r="H8" s="30">
        <f>IF(Vendedor5!$E$13="",0,Vendedor5!$E$13)</f>
        <v>0</v>
      </c>
      <c r="I8" s="181">
        <f>IF(Vendedor5!$C$17="",0,Vendedor5!$C$17)</f>
        <v>40700</v>
      </c>
      <c r="J8" s="30">
        <f>IF(Vendedor5!$E$17="",0,Vendedor5!$E$17)</f>
        <v>700</v>
      </c>
      <c r="L8" s="42">
        <f t="shared" ref="L8" si="4">C8+E8+G8+I8</f>
        <v>138750</v>
      </c>
      <c r="M8" s="41">
        <f>MROUND(L8*Vendedor5!J$12,50)</f>
        <v>16650</v>
      </c>
      <c r="N8" s="42">
        <f t="shared" ref="N8" si="5">D8+F8+H8+J8</f>
        <v>1050</v>
      </c>
      <c r="O8" s="41">
        <f t="shared" si="3"/>
        <v>89250</v>
      </c>
      <c r="P8" s="42">
        <f>Vendedor5!$F$5+Vendedor5!$F$9+Vendedor5!$F$13+Vendedor5!$F$17</f>
        <v>84000</v>
      </c>
      <c r="Q8">
        <v>17</v>
      </c>
      <c r="R8" s="41">
        <f t="shared" ref="R8" si="6">+L8-M8-O8</f>
        <v>32850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69550</v>
      </c>
      <c r="D10" s="30">
        <f>IF(Vendedor7!$E$5="",0,Vendedor7!$E$5)</f>
        <v>200</v>
      </c>
      <c r="E10" s="181">
        <f>IF(Vendedor7!$C$9="",0,Vendedor7!$C$9)</f>
        <v>93750</v>
      </c>
      <c r="F10" s="30">
        <f>IF(Vendedor7!$E$9="",0,Vendedor7!$E$9)</f>
        <v>450</v>
      </c>
      <c r="G10" s="181">
        <f>IF(Vendedor7!$C$13="",0,Vendedor7!$C$13)</f>
        <v>60950</v>
      </c>
      <c r="H10" s="30">
        <f>IF(Vendedor7!$E$13="",0,Vendedor7!$E$13)</f>
        <v>1200</v>
      </c>
      <c r="I10" s="181">
        <f>IF(Vendedor7!$C$17="",0,Vendedor7!$C$17)</f>
        <v>133100</v>
      </c>
      <c r="J10" s="30">
        <f>IF(Vendedor7!$E$17="",0,Vendedor7!$E$17)</f>
        <v>2200</v>
      </c>
      <c r="L10" s="42">
        <f t="shared" si="7"/>
        <v>357350</v>
      </c>
      <c r="M10" s="41">
        <f>MROUND(L10*Vendedor7!J$15,50)</f>
        <v>42900</v>
      </c>
      <c r="N10" s="42">
        <f t="shared" ref="N10:N27" si="9">D10+F10+H10+J10</f>
        <v>4050</v>
      </c>
      <c r="O10" s="41">
        <f t="shared" si="3"/>
        <v>344250</v>
      </c>
      <c r="P10" s="42">
        <f>Vendedor7!$F$5+Vendedor7!$F$9+Vendedor7!$F$13+Vendedor7!$F$17</f>
        <v>344250</v>
      </c>
      <c r="R10" s="41">
        <f t="shared" si="8"/>
        <v>-29800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62950</v>
      </c>
      <c r="D12" s="30">
        <f>IF(Vendedor9!$E$5="",0,Vendedor9!$E$5)</f>
        <v>300</v>
      </c>
      <c r="E12" s="181">
        <f>IF(Vendedor9!$C$9="",0,Vendedor9!$C$9)</f>
        <v>30200</v>
      </c>
      <c r="F12" s="30">
        <f>IF(Vendedor9!$E$9="",0,Vendedor9!$E$9)</f>
        <v>500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93150</v>
      </c>
      <c r="M12" s="41">
        <f>MROUND(L12*Vendedor9!J$12,50)</f>
        <v>11200</v>
      </c>
      <c r="N12" s="42">
        <f t="shared" si="9"/>
        <v>800</v>
      </c>
      <c r="O12" s="41">
        <f t="shared" si="3"/>
        <v>68000</v>
      </c>
      <c r="P12" s="42">
        <f>Vendedor9!$F$5+Vendedor9!$F$9+Vendedor9!$F$13+Vendedor9!$F$17</f>
        <v>68000</v>
      </c>
      <c r="R12" s="41">
        <f t="shared" si="8"/>
        <v>13950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30050</v>
      </c>
      <c r="D13" s="30">
        <f>IF(Vendedor10!$E$5="",0,Vendedor10!$E$5)</f>
        <v>0</v>
      </c>
      <c r="E13" s="181">
        <f>IF(Vendedor10!$C$9="",0,Vendedor10!$C$9)</f>
        <v>24750</v>
      </c>
      <c r="F13" s="30">
        <f>IF(Vendedor10!$E$9="",0,Vendedor10!$E$9)</f>
        <v>0</v>
      </c>
      <c r="G13" s="181">
        <f>IF(Vendedor10!$C$13="",0,Vendedor10!$C$13)</f>
        <v>17950</v>
      </c>
      <c r="H13" s="30">
        <f>IF(Vendedor10!$E$13="",0,Vendedor10!$E$13)</f>
        <v>0</v>
      </c>
      <c r="I13" s="181">
        <f>IF(Vendedor10!$C$17="",0,Vendedor10!$C$17)</f>
        <v>500</v>
      </c>
      <c r="J13" s="30">
        <f>IF(Vendedor10!$E$17="",0,Vendedor10!$E$17)</f>
        <v>0</v>
      </c>
      <c r="L13" s="42">
        <f t="shared" si="7"/>
        <v>73250</v>
      </c>
      <c r="M13" s="41">
        <f>MROUND(L13*Vendedor10!J$10,50)</f>
        <v>8800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64450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11500</v>
      </c>
      <c r="D16" s="30">
        <f>IF(Vendedor13!$E$5="",0,Vendedor13!$E$5)</f>
        <v>0</v>
      </c>
      <c r="E16" s="181">
        <f>IF(Vendedor13!$C$9="",0,Vendedor13!$C$9)</f>
        <v>5000</v>
      </c>
      <c r="F16" s="30">
        <f>IF(Vendedor13!$E$9="",0,Vendedor13!$E$9)</f>
        <v>0</v>
      </c>
      <c r="G16" s="181">
        <f>IF(Vendedor13!$C$13="",0,Vendedor13!$C$13)</f>
        <v>1500</v>
      </c>
      <c r="H16" s="30">
        <f>IF(Vendedor13!$E$13="",0,Vendedor13!$E$13)</f>
        <v>0</v>
      </c>
      <c r="I16" s="181">
        <f>IF(Vendedor13!$C$17="",0,Vendedor13!$C$17)</f>
        <v>10700</v>
      </c>
      <c r="J16" s="30">
        <f>IF(Vendedor13!$E$17="",0,Vendedor13!$E$17)</f>
        <v>300</v>
      </c>
      <c r="L16" s="42">
        <f t="shared" si="7"/>
        <v>28700</v>
      </c>
      <c r="M16" s="41">
        <f>MROUND(L16*Vendedor13!J$12,50)</f>
        <v>3450</v>
      </c>
      <c r="N16" s="42">
        <f t="shared" si="9"/>
        <v>300</v>
      </c>
      <c r="O16" s="41">
        <f t="shared" si="3"/>
        <v>25500</v>
      </c>
      <c r="P16" s="42">
        <f>Vendedor13!$F$5+Vendedor13!$F$9+Vendedor13!$F$13+Vendedor13!$F$17</f>
        <v>24000</v>
      </c>
      <c r="R16" s="41">
        <f t="shared" si="8"/>
        <v>-250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121500</v>
      </c>
      <c r="D17" s="30">
        <f>IF(Vendedor14!$E$5="",0,Vendedor14!$E$5)</f>
        <v>0</v>
      </c>
      <c r="E17" s="181">
        <f>IF(Vendedor14!$C$9="",0,Vendedor14!$C$9)</f>
        <v>102950</v>
      </c>
      <c r="F17" s="30">
        <f>IF(Vendedor14!$E$9="",0,Vendedor14!$E$9)</f>
        <v>250</v>
      </c>
      <c r="G17" s="181">
        <f>IF(Vendedor14!$C$13="",0,Vendedor14!$C$13)</f>
        <v>40400</v>
      </c>
      <c r="H17" s="30">
        <f>IF(Vendedor14!$E$13="",0,Vendedor14!$E$13)</f>
        <v>250</v>
      </c>
      <c r="I17" s="181">
        <f>IF(Vendedor14!$C$17="",0,Vendedor14!$C$17)</f>
        <v>181400</v>
      </c>
      <c r="J17" s="30">
        <f>IF(Vendedor14!$E$17="",0,Vendedor14!$E$17)</f>
        <v>1150</v>
      </c>
      <c r="L17" s="42">
        <f>C17+E17+G17+I17</f>
        <v>446250</v>
      </c>
      <c r="M17" s="41">
        <f>MROUND(L17*Vendedor14!J$16,50)</f>
        <v>53550</v>
      </c>
      <c r="N17" s="42">
        <f t="shared" si="9"/>
        <v>1650</v>
      </c>
      <c r="O17" s="41">
        <f t="shared" si="3"/>
        <v>140250</v>
      </c>
      <c r="P17" s="42">
        <f>Vendedor14!$F$5+Vendedor14!$F$9+Vendedor14!$F$13+Vendedor14!$F$17</f>
        <v>140250</v>
      </c>
      <c r="R17" s="41">
        <f t="shared" si="8"/>
        <v>252450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46000</v>
      </c>
      <c r="D18" s="30">
        <f>IF(Vendedor15!$E$5="",0,Vendedor15!$E$5)</f>
        <v>0</v>
      </c>
      <c r="E18" s="181">
        <f>IF(Vendedor15!$C$9="",0,Vendedor15!$C$9)</f>
        <v>37900</v>
      </c>
      <c r="F18" s="30">
        <f>IF(Vendedor15!$E$9="",0,Vendedor15!$E$9)</f>
        <v>0</v>
      </c>
      <c r="G18" s="181">
        <f>IF(Vendedor15!$C$13="",0,Vendedor15!$C$13)</f>
        <v>64100</v>
      </c>
      <c r="H18" s="30">
        <f>IF(Vendedor15!$E$13="",0,Vendedor15!$E$13)</f>
        <v>800</v>
      </c>
      <c r="I18" s="181">
        <f>IF(Vendedor15!$C$17="",0,Vendedor15!$C$17)</f>
        <v>27850</v>
      </c>
      <c r="J18" s="30">
        <f>IF(Vendedor15!$E$17="",0,Vendedor15!$E$17)</f>
        <v>500</v>
      </c>
      <c r="L18" s="42">
        <f t="shared" ref="L18:L27" si="10">C18+E18+G18+I18</f>
        <v>175850</v>
      </c>
      <c r="M18" s="41">
        <f>MROUND(L18*Vendedor15!J$16,50)</f>
        <v>21100</v>
      </c>
      <c r="N18" s="42">
        <f t="shared" si="9"/>
        <v>1300</v>
      </c>
      <c r="O18" s="41">
        <f t="shared" si="3"/>
        <v>110500</v>
      </c>
      <c r="P18" s="42">
        <f>Vendedor15!$F$5+Vendedor15!$F$9+Vendedor15!$F$13+Vendedor15!$F$17</f>
        <v>110500</v>
      </c>
      <c r="R18" s="41">
        <f t="shared" si="8"/>
        <v>44250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448550</v>
      </c>
      <c r="D32" s="44">
        <f t="shared" si="14"/>
        <v>500</v>
      </c>
      <c r="E32" s="43">
        <f t="shared" si="14"/>
        <v>344600</v>
      </c>
      <c r="F32" s="44">
        <f t="shared" si="14"/>
        <v>1550</v>
      </c>
      <c r="G32" s="43">
        <f t="shared" si="14"/>
        <v>203900</v>
      </c>
      <c r="H32" s="44">
        <f t="shared" si="14"/>
        <v>2250</v>
      </c>
      <c r="I32" s="43">
        <f t="shared" si="14"/>
        <v>400150</v>
      </c>
      <c r="J32" s="44">
        <f t="shared" si="14"/>
        <v>4850</v>
      </c>
      <c r="L32" s="45">
        <f>SUM(L4:L31)</f>
        <v>1397200</v>
      </c>
      <c r="M32" s="45">
        <f>SUM(M7:M31)</f>
        <v>157650</v>
      </c>
      <c r="N32" s="96">
        <f>SUM(N4:N31)</f>
        <v>9150</v>
      </c>
      <c r="O32" s="46">
        <f>SUM(O4:O31)</f>
        <v>777750</v>
      </c>
      <c r="P32" s="141">
        <f>SUM(P4:P31)</f>
        <v>771000</v>
      </c>
      <c r="R32" s="80">
        <f>SUM(R4:R31)</f>
        <v>450900</v>
      </c>
    </row>
    <row r="33" spans="3:15" x14ac:dyDescent="0.35">
      <c r="D33" s="121">
        <f>+D32*85</f>
        <v>42500</v>
      </c>
      <c r="F33" s="121">
        <f>+F32*85</f>
        <v>131750</v>
      </c>
      <c r="H33" s="121">
        <f>+H32*85</f>
        <v>191250</v>
      </c>
      <c r="J33" s="121">
        <f>+J32*85</f>
        <v>412250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1397200</v>
      </c>
      <c r="E36" s="43">
        <f>+D36-L4-L5-L6</f>
        <v>1313300</v>
      </c>
    </row>
    <row r="37" spans="3:15" x14ac:dyDescent="0.35">
      <c r="C37" s="47" t="s">
        <v>33</v>
      </c>
      <c r="D37" s="48">
        <f>D36*13%</f>
        <v>181636</v>
      </c>
      <c r="E37">
        <f>+D37-M4-M5-M6</f>
        <v>170736</v>
      </c>
    </row>
    <row r="38" spans="3:15" x14ac:dyDescent="0.35">
      <c r="C38" s="47" t="s">
        <v>30</v>
      </c>
      <c r="D38" s="30">
        <f>SUM(O4:O27)</f>
        <v>777750</v>
      </c>
      <c r="G38" s="101"/>
    </row>
    <row r="39" spans="3:15" ht="15" thickBot="1" x14ac:dyDescent="0.4">
      <c r="C39" s="49" t="s">
        <v>4</v>
      </c>
      <c r="D39" s="81">
        <f>+D36-D37-D38</f>
        <v>437814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437814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77 Blanca</v>
      </c>
      <c r="D2" s="269"/>
      <c r="E2" s="268" t="str">
        <f>IF(E33=0,"",CONCATENATE(PREMIOS!$B11," ",PREMIOS!$B12))</f>
        <v>21 Blanca</v>
      </c>
      <c r="F2" s="269"/>
      <c r="G2" s="268" t="str">
        <f>IF(G33=0,"",CONCATENATE(PREMIOS!$B15," ",PREMIOS!$B16))</f>
        <v>22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23850</v>
      </c>
      <c r="D10" s="30">
        <f>IF(Vendedor7!$E$8="",0,Vendedor7!$E$8)</f>
        <v>3000</v>
      </c>
      <c r="E10" s="181">
        <f>IF(Vendedor7!$C$12="",0,Vendedor7!$C$12)</f>
        <v>31300</v>
      </c>
      <c r="F10" s="30">
        <f>IF(Vendedor7!$E$12="",0,Vendedor7!$E$12)</f>
        <v>850</v>
      </c>
      <c r="G10" s="181">
        <f>IF(Vendedor7!$C$16="",0,Vendedor7!$C$16)</f>
        <v>30600</v>
      </c>
      <c r="H10" s="30">
        <f>IF(Vendedor7!$E$16="",0,Vendedor7!$E$16)</f>
        <v>500</v>
      </c>
      <c r="J10" s="42">
        <f t="shared" si="1"/>
        <v>85750</v>
      </c>
      <c r="K10" s="41">
        <f>J10*Vendedor7!J$16</f>
        <v>8575</v>
      </c>
      <c r="L10" s="42">
        <f t="shared" si="2"/>
        <v>0</v>
      </c>
      <c r="M10" s="42">
        <f t="shared" si="3"/>
        <v>4350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77175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6950</v>
      </c>
      <c r="D12" s="30">
        <f>IF(Vendedor9!$E$8="",0,Vendedor9!$E$8)</f>
        <v>0</v>
      </c>
      <c r="E12" s="181">
        <f>IF(Vendedor9!$C$12="",0,Vendedor9!$C$12)</f>
        <v>3350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10300</v>
      </c>
      <c r="K12" s="41">
        <f>J12*Vendedor9!J$13</f>
        <v>1030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9270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500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25500</v>
      </c>
      <c r="D17" s="30">
        <f>IF(Vendedor14!$E$8="",0,Vendedor14!$E$8)</f>
        <v>1200</v>
      </c>
      <c r="E17" s="181">
        <f>IF(Vendedor14!$C$12="",0,Vendedor14!$C$12)</f>
        <v>24750</v>
      </c>
      <c r="F17" s="30">
        <f>IF(Vendedor14!$E$12="",0,Vendedor14!$E$12)</f>
        <v>100</v>
      </c>
      <c r="G17" s="181">
        <f>IF(Vendedor14!$C$16="",0,Vendedor14!$C$16)</f>
        <v>36750</v>
      </c>
      <c r="H17" s="30">
        <f>IF(Vendedor14!$E$16="",0,Vendedor14!$E$16)</f>
        <v>1650</v>
      </c>
      <c r="J17" s="42">
        <f t="shared" si="1"/>
        <v>87000</v>
      </c>
      <c r="K17" s="41">
        <f>J17*Vendedor14!J$17</f>
        <v>8700</v>
      </c>
      <c r="L17" s="42">
        <f t="shared" si="2"/>
        <v>0</v>
      </c>
      <c r="M17" s="42">
        <f t="shared" si="3"/>
        <v>2950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78300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25450</v>
      </c>
      <c r="D18" s="30">
        <f>IF(Vendedor15!$E$8="",0,Vendedor15!$E$8)</f>
        <v>500</v>
      </c>
      <c r="E18" s="181">
        <f>IF(Vendedor15!$C$12="",0,Vendedor15!$C$12)</f>
        <v>17900</v>
      </c>
      <c r="F18" s="30">
        <f>IF(Vendedor15!$E$12="",0,Vendedor15!$E$12)</f>
        <v>1200</v>
      </c>
      <c r="G18" s="181">
        <f>IF(Vendedor15!$C$16="",0,Vendedor15!$C$16)</f>
        <v>28700</v>
      </c>
      <c r="H18" s="30">
        <f>IF(Vendedor15!$E$16="",0,Vendedor15!$E$16)</f>
        <v>1250</v>
      </c>
      <c r="J18" s="42">
        <f t="shared" ref="J18" si="5">+C18+E18+G18</f>
        <v>72050</v>
      </c>
      <c r="K18" s="41">
        <f>J18*Vendedor15!J$17</f>
        <v>7205</v>
      </c>
      <c r="L18" s="42">
        <f t="shared" si="2"/>
        <v>0</v>
      </c>
      <c r="M18" s="42">
        <f t="shared" si="3"/>
        <v>2950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64845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81750</v>
      </c>
      <c r="D33" s="44">
        <f>IF(PREMIOS!E8&lt;&gt;0,SUM(D4:D32),0)</f>
        <v>0</v>
      </c>
      <c r="E33" s="43">
        <f>SUM(E4:E32)</f>
        <v>77800</v>
      </c>
      <c r="F33" s="44">
        <f>IF(PREMIOS!E12&lt;&gt;0,SUM(F4:F32),0)</f>
        <v>0</v>
      </c>
      <c r="G33" s="43">
        <f>SUM(G4:G32)</f>
        <v>96050</v>
      </c>
      <c r="H33" s="44">
        <f>IF(PREMIOS!E16&lt;&gt;0,SUM(H4:H32),0)</f>
        <v>0</v>
      </c>
      <c r="J33" s="45">
        <f>SUM(J4:J32)</f>
        <v>255600</v>
      </c>
      <c r="K33" s="45">
        <f>SUM(K7:K32)</f>
        <v>25560</v>
      </c>
      <c r="L33" s="96">
        <f>SUM(L7:L32)</f>
        <v>0</v>
      </c>
      <c r="M33" s="96">
        <f>SUM(M7:M32)</f>
        <v>10250</v>
      </c>
      <c r="N33" s="96">
        <f>SUM(N4:N27)</f>
        <v>0</v>
      </c>
      <c r="O33" s="96">
        <f>SUM(O4:O27)</f>
        <v>0</v>
      </c>
      <c r="Q33" s="80">
        <f>SUM(Q4:Q32)</f>
        <v>230040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255600</v>
      </c>
      <c r="E37" s="43">
        <f>+D37-J4-J5-J6</f>
        <v>255600</v>
      </c>
      <c r="F37" s="276"/>
      <c r="G37" s="276"/>
    </row>
    <row r="38" spans="3:17" ht="15" thickBot="1" x14ac:dyDescent="0.4">
      <c r="C38" s="47" t="s">
        <v>33</v>
      </c>
      <c r="D38" s="30">
        <f>D37*10%</f>
        <v>25560</v>
      </c>
      <c r="E38" s="43">
        <f>+D38-K4-K5-K6</f>
        <v>25560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230040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230040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12</v>
      </c>
      <c r="D2" s="269"/>
      <c r="E2" s="268">
        <f>DigitaPRIMERA!E2</f>
        <v>47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5550</v>
      </c>
      <c r="D4" s="79">
        <f>IF(Vendedor1!$E$19="",0,Vendedor1!$E$19)</f>
        <v>0</v>
      </c>
      <c r="E4" s="190">
        <f>IF(Vendedor1!$C$20="",0,Vendedor1!$C$20)</f>
        <v>1400</v>
      </c>
      <c r="F4" s="79">
        <f>IF(Vendedor1!$E$20="",0,Vendedor1!$E$20)</f>
        <v>0</v>
      </c>
      <c r="H4" s="42">
        <f>+C4+E4</f>
        <v>6950</v>
      </c>
      <c r="I4" s="41">
        <f>MROUND(H4*Vendedor1!J$9,50)</f>
        <v>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6050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6900</v>
      </c>
      <c r="D8" s="30">
        <f>IF(Vendedor5!$E$19="",0,Vendedor5!$E$19)</f>
        <v>1000</v>
      </c>
      <c r="E8" s="181">
        <f>IF(Vendedor5!$C$20="",0,Vendedor5!$C$20)</f>
        <v>16450</v>
      </c>
      <c r="F8" s="30">
        <f>IF(Vendedor5!$E$20="",0,Vendedor5!$E$20)</f>
        <v>100</v>
      </c>
      <c r="H8" s="134">
        <f t="shared" si="1"/>
        <v>23350</v>
      </c>
      <c r="I8" s="149">
        <f>MROUND(H8*Vendedor5!J$11,50)</f>
        <v>2800</v>
      </c>
      <c r="J8" s="134">
        <f t="shared" si="2"/>
        <v>1100</v>
      </c>
      <c r="K8" s="134">
        <f t="shared" si="3"/>
        <v>93500</v>
      </c>
      <c r="L8" s="134">
        <f>Vendedor5!$F$19+Vendedor5!$F$20</f>
        <v>88000</v>
      </c>
      <c r="M8" s="156"/>
      <c r="N8" s="134">
        <f t="shared" si="0"/>
        <v>-67450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27700</v>
      </c>
      <c r="D10" s="30">
        <f>IF(Vendedor7!$E$19="",0,Vendedor7!$E$19)</f>
        <v>800</v>
      </c>
      <c r="E10" s="181">
        <f>IF(Vendedor7!$C$20="",0,Vendedor7!$C$20)</f>
        <v>38450</v>
      </c>
      <c r="F10" s="30">
        <f>IF(Vendedor7!$E$20="",0,Vendedor7!$E$20)</f>
        <v>450</v>
      </c>
      <c r="H10" s="42">
        <f t="shared" si="1"/>
        <v>66150</v>
      </c>
      <c r="I10" s="41">
        <f>MROUND(H10*Vendedor7!J$14,50)</f>
        <v>7950</v>
      </c>
      <c r="J10" s="42">
        <f t="shared" si="2"/>
        <v>1250</v>
      </c>
      <c r="K10" s="42">
        <f t="shared" si="3"/>
        <v>106250</v>
      </c>
      <c r="L10" s="42">
        <f>Vendedor7!$F$19+Vendedor7!$F$20</f>
        <v>106250</v>
      </c>
      <c r="N10" s="42">
        <f t="shared" si="0"/>
        <v>-48050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43600</v>
      </c>
      <c r="D12" s="30">
        <f>IF(Vendedor9!$E$19="",0,Vendedor9!$E$19)</f>
        <v>2050</v>
      </c>
      <c r="E12" s="181">
        <f>IF(Vendedor9!$C$20="",0,Vendedor9!$C$20)</f>
        <v>8000</v>
      </c>
      <c r="F12" s="30">
        <f>IF(Vendedor9!$E$20="",0,Vendedor9!$E$20)</f>
        <v>0</v>
      </c>
      <c r="H12" s="134">
        <f t="shared" si="1"/>
        <v>51600</v>
      </c>
      <c r="I12" s="149">
        <f>MROUND(H12*Vendedor9!J$11,50)</f>
        <v>6200</v>
      </c>
      <c r="J12" s="134">
        <f t="shared" si="2"/>
        <v>2050</v>
      </c>
      <c r="K12" s="134">
        <f t="shared" si="3"/>
        <v>174250</v>
      </c>
      <c r="L12" s="134">
        <f>Vendedor9!$F$19+Vendedor9!$F$20</f>
        <v>174250</v>
      </c>
      <c r="M12" s="156"/>
      <c r="N12" s="134">
        <f t="shared" si="0"/>
        <v>-128850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1500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1500</v>
      </c>
      <c r="I16" s="149">
        <f>MROUND(H16*Vendedor13!J$11,50)</f>
        <v>200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1300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78700</v>
      </c>
      <c r="D17" s="30">
        <f>IF(Vendedor14!$E$19="",0,Vendedor14!$E$19)</f>
        <v>300</v>
      </c>
      <c r="E17" s="181">
        <f>IF(Vendedor14!$C$20="",0,Vendedor14!$C$20)</f>
        <v>31550</v>
      </c>
      <c r="F17" s="30">
        <f>IF(Vendedor14!$E$20="",0,Vendedor14!$E$20)</f>
        <v>200</v>
      </c>
      <c r="H17" s="42">
        <f t="shared" si="1"/>
        <v>110250</v>
      </c>
      <c r="I17" s="41">
        <f>MROUND(H17*Vendedor14!J$15,50)</f>
        <v>13250</v>
      </c>
      <c r="J17" s="42">
        <f t="shared" si="2"/>
        <v>500</v>
      </c>
      <c r="K17" s="42">
        <f t="shared" si="3"/>
        <v>42500</v>
      </c>
      <c r="L17" s="42">
        <f>Vendedor14!$F$19+Vendedor14!$F$20</f>
        <v>42500</v>
      </c>
      <c r="N17" s="42">
        <f t="shared" si="0"/>
        <v>54500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42650</v>
      </c>
      <c r="D18" s="30">
        <f>IF(Vendedor15!$E$19="",0,Vendedor15!$E$19)</f>
        <v>1200</v>
      </c>
      <c r="E18" s="181">
        <f>IF(Vendedor15!$C$20="",0,Vendedor15!$C$20)</f>
        <v>49600</v>
      </c>
      <c r="F18" s="30">
        <f>IF(Vendedor15!$E$20="",0,Vendedor15!$E$20)</f>
        <v>0</v>
      </c>
      <c r="H18" s="42">
        <f t="shared" si="1"/>
        <v>92250</v>
      </c>
      <c r="I18" s="41">
        <f>MROUND(H18*Vendedor15!J$15,50)</f>
        <v>11050</v>
      </c>
      <c r="J18" s="42">
        <f t="shared" si="2"/>
        <v>1200</v>
      </c>
      <c r="K18" s="42">
        <f t="shared" si="3"/>
        <v>102000</v>
      </c>
      <c r="L18" s="42">
        <f>Vendedor15!$F$19+Vendedor15!$F$20</f>
        <v>102000</v>
      </c>
      <c r="N18" s="42">
        <f t="shared" si="0"/>
        <v>-20800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206600</v>
      </c>
      <c r="D32" s="44">
        <f>SUM(D4:D31)</f>
        <v>5350</v>
      </c>
      <c r="E32" s="43">
        <f>SUM(E4:E31)</f>
        <v>145450</v>
      </c>
      <c r="F32" s="44">
        <f>SUM(F4:F31)</f>
        <v>750</v>
      </c>
      <c r="H32" s="96">
        <f>SUM(H4:H31)</f>
        <v>352050</v>
      </c>
      <c r="I32" s="45">
        <f>SUM(I7:I31)</f>
        <v>41450</v>
      </c>
      <c r="J32" s="96"/>
      <c r="K32" s="96">
        <f>SUM(K4:K31)</f>
        <v>518500</v>
      </c>
      <c r="L32" s="96">
        <f>SUM(L4:L31)</f>
        <v>513000</v>
      </c>
      <c r="N32" s="80">
        <f>SUM(N4:N31)</f>
        <v>-203300</v>
      </c>
    </row>
    <row r="33" spans="3:6" x14ac:dyDescent="0.35">
      <c r="D33" s="100">
        <f>+D32*85</f>
        <v>454750</v>
      </c>
      <c r="F33" s="100">
        <f>+F32*85</f>
        <v>63750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352050</v>
      </c>
      <c r="E36" s="43">
        <f>+D36-H4-H5-H6</f>
        <v>345100</v>
      </c>
    </row>
    <row r="37" spans="3:6" x14ac:dyDescent="0.35">
      <c r="C37" s="47" t="s">
        <v>33</v>
      </c>
      <c r="D37" s="48">
        <f>D36*13%</f>
        <v>45766.5</v>
      </c>
      <c r="E37">
        <f>+D37-I4-I5-I6</f>
        <v>44866.5</v>
      </c>
    </row>
    <row r="38" spans="3:6" ht="15" thickBot="1" x14ac:dyDescent="0.4">
      <c r="C38" s="47" t="s">
        <v>30</v>
      </c>
      <c r="D38" s="30">
        <f>SUM(K4:K27)</f>
        <v>518500</v>
      </c>
    </row>
    <row r="39" spans="3:6" ht="15" thickBot="1" x14ac:dyDescent="0.4">
      <c r="C39" s="49" t="s">
        <v>4</v>
      </c>
      <c r="D39" s="81">
        <f>+D36-D37-D38</f>
        <v>-212216.5</v>
      </c>
      <c r="F39" s="99">
        <f>+N32-D39</f>
        <v>8916.5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-212216.5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93</v>
      </c>
      <c r="D2" s="269"/>
      <c r="E2" s="268">
        <f>DigitaHONDURAS!E2</f>
        <v>61</v>
      </c>
      <c r="F2" s="269"/>
      <c r="G2" s="268">
        <f>DigitaHONDURAS!G2</f>
        <v>60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17800</v>
      </c>
      <c r="D10" s="30">
        <f>IF(Vendedor7!$E$21="",0,Vendedor7!$E$21)</f>
        <v>0</v>
      </c>
      <c r="E10" s="181">
        <f>IF(Vendedor7!$C$22="",0,Vendedor7!$C$22)</f>
        <v>13000</v>
      </c>
      <c r="F10" s="30">
        <f>IF(Vendedor7!$E$22="",0,Vendedor7!$E$22)</f>
        <v>0</v>
      </c>
      <c r="G10" s="181">
        <f>IF(Vendedor7!$C$23="",0,Vendedor7!$C$23)</f>
        <v>14550</v>
      </c>
      <c r="H10" s="30">
        <f>IF(Vendedor7!$E$23="",0,Vendedor7!$E$23)</f>
        <v>500</v>
      </c>
      <c r="J10" s="42">
        <f t="shared" si="0"/>
        <v>45350</v>
      </c>
      <c r="K10" s="41">
        <f>MROUND(J10*Vendedor7!J$14,50)</f>
        <v>5450</v>
      </c>
      <c r="L10" s="42">
        <f t="shared" si="1"/>
        <v>500</v>
      </c>
      <c r="M10" s="42">
        <f t="shared" si="3"/>
        <v>42500</v>
      </c>
      <c r="N10" s="42">
        <f>Vendedor7!$F$21+Vendedor7!$F$22+Vendedor7!$F$23</f>
        <v>42500</v>
      </c>
      <c r="P10" s="42">
        <f t="shared" si="2"/>
        <v>-2600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7150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7150</v>
      </c>
      <c r="K12" s="41">
        <f>MROUND(J12*Vendedor9!J$14,50)</f>
        <v>850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6300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39150</v>
      </c>
      <c r="D17" s="30">
        <f>IF(Vendedor14!$E$21="",0,Vendedor14!$E$21)</f>
        <v>150</v>
      </c>
      <c r="E17" s="181">
        <f>IF(Vendedor14!$C$22="",0,Vendedor14!$C$22)</f>
        <v>10100</v>
      </c>
      <c r="F17" s="30">
        <f>IF(Vendedor14!$E$22="",0,Vendedor14!$E$22)</f>
        <v>0</v>
      </c>
      <c r="G17" s="181">
        <f>IF(Vendedor14!$C$23="",0,Vendedor14!$C$23)</f>
        <v>24450</v>
      </c>
      <c r="H17" s="30">
        <f>IF(Vendedor14!$E$23="",0,Vendedor14!$E$23)</f>
        <v>0</v>
      </c>
      <c r="J17" s="42">
        <f t="shared" si="0"/>
        <v>73700</v>
      </c>
      <c r="K17" s="41">
        <f>MROUND(J17*Vendedor14!J$15,50)</f>
        <v>8850</v>
      </c>
      <c r="L17" s="42">
        <f t="shared" si="1"/>
        <v>150</v>
      </c>
      <c r="M17" s="42">
        <f t="shared" si="3"/>
        <v>12750</v>
      </c>
      <c r="N17" s="42">
        <f>Vendedor14!$F$21+Vendedor14!$F$22+Vendedor14!$F$23</f>
        <v>12750</v>
      </c>
      <c r="P17" s="42">
        <f t="shared" si="2"/>
        <v>52100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9800</v>
      </c>
      <c r="D18" s="30">
        <f>IF(Vendedor15!$E$21="",0,Vendedor15!$E$21)</f>
        <v>0</v>
      </c>
      <c r="E18" s="181">
        <f>IF(Vendedor15!$C$22="",0,Vendedor15!$C$22)</f>
        <v>1000</v>
      </c>
      <c r="F18" s="30">
        <f>IF(Vendedor15!$E$22="",0,Vendedor15!$E$22)</f>
        <v>0</v>
      </c>
      <c r="G18" s="181">
        <f>IF(Vendedor15!$C$23="",0,Vendedor15!$C$23)</f>
        <v>6200</v>
      </c>
      <c r="H18" s="30">
        <f>IF(Vendedor15!$E$23="",0,Vendedor15!$E$23)</f>
        <v>0</v>
      </c>
      <c r="J18" s="42">
        <f t="shared" si="0"/>
        <v>17000</v>
      </c>
      <c r="K18" s="41">
        <f>MROUND(J18*Vendedor15!J$15,50)</f>
        <v>2050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14950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73900</v>
      </c>
      <c r="D32" s="44">
        <f t="shared" si="8"/>
        <v>150</v>
      </c>
      <c r="E32" s="43">
        <f t="shared" si="8"/>
        <v>24100</v>
      </c>
      <c r="F32" s="44">
        <f t="shared" si="8"/>
        <v>0</v>
      </c>
      <c r="G32" s="43">
        <f t="shared" si="8"/>
        <v>45200</v>
      </c>
      <c r="H32" s="44">
        <f t="shared" si="8"/>
        <v>500</v>
      </c>
      <c r="J32" s="96">
        <f>SUM(J4:J31)</f>
        <v>143200</v>
      </c>
      <c r="K32" s="45">
        <f>SUM(K7:K31)</f>
        <v>17200</v>
      </c>
      <c r="L32" s="96"/>
      <c r="M32" s="96">
        <f>SUM(M4:M31)</f>
        <v>55250</v>
      </c>
      <c r="N32" s="96">
        <f>SUM(N4:N31)</f>
        <v>55250</v>
      </c>
      <c r="P32" s="80">
        <f>SUM(P4:P31)</f>
        <v>70750</v>
      </c>
    </row>
    <row r="33" spans="3:8" x14ac:dyDescent="0.35">
      <c r="D33" s="100">
        <f>+D32*85</f>
        <v>12750</v>
      </c>
      <c r="F33" s="100">
        <f>+F32*85</f>
        <v>0</v>
      </c>
      <c r="H33" s="100">
        <f>+H32*85</f>
        <v>42500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143200</v>
      </c>
      <c r="E36" s="43">
        <f>+D36-J4-J5-J6</f>
        <v>143200</v>
      </c>
    </row>
    <row r="37" spans="3:8" x14ac:dyDescent="0.35">
      <c r="C37" s="47" t="s">
        <v>33</v>
      </c>
      <c r="D37" s="48">
        <f>D36*13%</f>
        <v>18616</v>
      </c>
      <c r="E37">
        <f>+D37-K4-K5-K6</f>
        <v>18616</v>
      </c>
    </row>
    <row r="38" spans="3:8" ht="15" thickBot="1" x14ac:dyDescent="0.4">
      <c r="C38" s="47" t="s">
        <v>30</v>
      </c>
      <c r="D38" s="30">
        <f>SUM(M4:M27)</f>
        <v>55250</v>
      </c>
      <c r="G38" s="101"/>
    </row>
    <row r="39" spans="3:8" ht="15" thickBot="1" x14ac:dyDescent="0.4">
      <c r="C39" s="49" t="s">
        <v>4</v>
      </c>
      <c r="D39" s="81">
        <f>+D36-D37-D38</f>
        <v>69334</v>
      </c>
      <c r="F39" s="99">
        <f>+P32-D39</f>
        <v>1416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69334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94</v>
      </c>
      <c r="D2" s="269"/>
      <c r="E2" s="268" t="str">
        <f>DigitaDOMINICANA!E2</f>
        <v>08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52750</v>
      </c>
      <c r="D10" s="30">
        <f>IF(Vendedor7!$E$24="",0,Vendedor7!$E$24)</f>
        <v>0</v>
      </c>
      <c r="E10" s="181">
        <f>IF(Vendedor7!$C$25="",0,Vendedor7!$C$25)</f>
        <v>22000</v>
      </c>
      <c r="F10" s="30">
        <f>IF(Vendedor7!$E$25="",0,Vendedor7!$E$25)</f>
        <v>2000</v>
      </c>
      <c r="H10" s="42">
        <f t="shared" si="1"/>
        <v>74750</v>
      </c>
      <c r="I10" s="41">
        <f>MROUND(H10*Vendedor7!J$14,50)</f>
        <v>8950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-104200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52750</v>
      </c>
      <c r="D32" s="44">
        <f>SUM(D4:D31)</f>
        <v>0</v>
      </c>
      <c r="E32" s="43">
        <f>SUM(E4:E31)</f>
        <v>22000</v>
      </c>
      <c r="F32" s="44">
        <f>SUM(F4:F31)</f>
        <v>2000</v>
      </c>
      <c r="H32" s="96">
        <f>SUM(H4:H31)</f>
        <v>74750</v>
      </c>
      <c r="I32" s="45">
        <f>SUM(I7:I31)</f>
        <v>8950</v>
      </c>
      <c r="J32" s="96"/>
      <c r="K32" s="96">
        <f>SUM(K4:K31)</f>
        <v>170000</v>
      </c>
      <c r="L32" s="96">
        <f>SUM(L4:L31)</f>
        <v>170000</v>
      </c>
      <c r="N32" s="80">
        <f>SUM(N4:N31)</f>
        <v>-104200</v>
      </c>
    </row>
    <row r="33" spans="3:6" x14ac:dyDescent="0.35">
      <c r="D33" s="100">
        <f>+D32*85</f>
        <v>0</v>
      </c>
      <c r="F33" s="100">
        <f>+F32*85</f>
        <v>170000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74750</v>
      </c>
      <c r="E36" s="43">
        <f>+D36-H4-H5-H6</f>
        <v>74750</v>
      </c>
    </row>
    <row r="37" spans="3:6" x14ac:dyDescent="0.35">
      <c r="C37" s="47" t="s">
        <v>33</v>
      </c>
      <c r="D37" s="48">
        <f>D36*13%</f>
        <v>9717.5</v>
      </c>
      <c r="E37">
        <f>+D37-I4-I5-I6</f>
        <v>9717.5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1">
        <f>+D36-D37-D38</f>
        <v>-104967.5</v>
      </c>
      <c r="F39" s="99">
        <f>+N32-D39</f>
        <v>767.5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-104967.5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26-03-2026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1313300</v>
      </c>
      <c r="C4" s="158">
        <f>HojaNICA!M32</f>
        <v>157650</v>
      </c>
      <c r="D4" s="151">
        <f>HojaNICA!E37</f>
        <v>170736</v>
      </c>
      <c r="E4" s="151">
        <f>HojaNICA!P32</f>
        <v>771000</v>
      </c>
      <c r="F4" s="151">
        <f>HojaNICA!O32</f>
        <v>777750</v>
      </c>
      <c r="G4" s="152">
        <f t="shared" ref="G4:G10" si="0">+D4-C4+F4-E4</f>
        <v>19836</v>
      </c>
      <c r="H4" s="21"/>
      <c r="I4" s="183"/>
    </row>
    <row r="5" spans="1:9" x14ac:dyDescent="0.35">
      <c r="A5" s="28" t="s">
        <v>19</v>
      </c>
      <c r="B5" s="157">
        <f>HojaTICA!$E$36</f>
        <v>1754850</v>
      </c>
      <c r="C5" s="158">
        <f>HojaTICA!K32</f>
        <v>214250</v>
      </c>
      <c r="D5" s="151">
        <f>HojaTICA!E37</f>
        <v>228128</v>
      </c>
      <c r="E5" s="151">
        <f>HojaTICA!N32</f>
        <v>4103000</v>
      </c>
      <c r="F5" s="151">
        <f>HojaTICA!D38</f>
        <v>4105500</v>
      </c>
      <c r="G5" s="152">
        <f t="shared" si="0"/>
        <v>16378</v>
      </c>
      <c r="H5" s="21"/>
      <c r="I5" s="183"/>
    </row>
    <row r="6" spans="1:9" x14ac:dyDescent="0.35">
      <c r="A6" s="28" t="s">
        <v>125</v>
      </c>
      <c r="B6" s="157">
        <f>HojaREVENTADO!$E$37</f>
        <v>255600</v>
      </c>
      <c r="C6" s="158">
        <f>HojaREVENTADO!K33</f>
        <v>25560</v>
      </c>
      <c r="D6" s="151">
        <f>HojaREVENTADO!E38</f>
        <v>25560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345100</v>
      </c>
      <c r="C7" s="158">
        <f>HojaPrimera!I32</f>
        <v>41450</v>
      </c>
      <c r="D7" s="151">
        <f>HojaPrimera!E37</f>
        <v>44866.5</v>
      </c>
      <c r="E7" s="151">
        <f>HojaPrimera!L32</f>
        <v>513000</v>
      </c>
      <c r="F7" s="151">
        <f>HojaPrimera!K32</f>
        <v>518500</v>
      </c>
      <c r="G7" s="152">
        <f t="shared" si="0"/>
        <v>8916.5</v>
      </c>
      <c r="H7" s="21"/>
      <c r="I7" s="21"/>
    </row>
    <row r="8" spans="1:9" x14ac:dyDescent="0.35">
      <c r="A8" s="28" t="s">
        <v>104</v>
      </c>
      <c r="B8" s="157">
        <f>HojaHonduras!$E$36</f>
        <v>143200</v>
      </c>
      <c r="C8" s="158">
        <f>HojaHonduras!K32</f>
        <v>17200</v>
      </c>
      <c r="D8" s="151">
        <f>HojaHonduras!E37</f>
        <v>18616</v>
      </c>
      <c r="E8" s="151">
        <f>HojaHonduras!N32</f>
        <v>55250</v>
      </c>
      <c r="F8" s="151">
        <f>HojaHonduras!M32</f>
        <v>55250</v>
      </c>
      <c r="G8" s="152">
        <f t="shared" si="0"/>
        <v>1416</v>
      </c>
      <c r="H8" s="21"/>
      <c r="I8" s="21"/>
    </row>
    <row r="9" spans="1:9" x14ac:dyDescent="0.35">
      <c r="A9" s="28" t="s">
        <v>20</v>
      </c>
      <c r="B9" s="157">
        <f>HojaDominicana!$E$36</f>
        <v>74750</v>
      </c>
      <c r="C9" s="158">
        <f>HojaDominicana!I32</f>
        <v>8950</v>
      </c>
      <c r="D9" s="151">
        <f>HojaDominicana!E37</f>
        <v>9717.5</v>
      </c>
      <c r="E9" s="151">
        <f>HojaDominicana!L32</f>
        <v>170000</v>
      </c>
      <c r="F9" s="151">
        <f>HojaDominicana!K32</f>
        <v>170000</v>
      </c>
      <c r="G9" s="152">
        <f t="shared" si="0"/>
        <v>767.5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3886800</v>
      </c>
      <c r="C11" s="176">
        <f>SUM(C4:C10)</f>
        <v>465060</v>
      </c>
      <c r="D11" s="176">
        <f t="shared" ref="D11:F11" si="1">SUM(D4:D10)</f>
        <v>497624</v>
      </c>
      <c r="E11" s="176">
        <f t="shared" si="1"/>
        <v>5612250</v>
      </c>
      <c r="F11" s="176">
        <f t="shared" si="1"/>
        <v>5627000</v>
      </c>
      <c r="G11" s="177">
        <f>SUM(G4:G10)</f>
        <v>47314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12314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254800</v>
      </c>
      <c r="E16" s="158">
        <f>+Vendedor1!D21</f>
        <v>33124</v>
      </c>
      <c r="F16" s="159">
        <f>IF(D16&lt;&gt;0,15000,0)</f>
        <v>15000</v>
      </c>
      <c r="G16" s="152">
        <f>+E16-F16</f>
        <v>18124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181800</v>
      </c>
      <c r="E17" s="158">
        <f>+Vendedor2!D21</f>
        <v>23634</v>
      </c>
      <c r="F17" s="159">
        <f>IF(D17&lt;&gt;0,15000,0)</f>
        <v>15000</v>
      </c>
      <c r="G17" s="152">
        <f>+E17-F17</f>
        <v>8634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436600</v>
      </c>
      <c r="E19" s="160">
        <f>SUM(E16:E18)</f>
        <v>56758</v>
      </c>
      <c r="F19" s="161">
        <f>SUM(F16:F18)</f>
        <v>30000</v>
      </c>
      <c r="G19" s="162">
        <f>SUM(G16:G18)</f>
        <v>26758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39072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26-03-2026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1397200</v>
      </c>
      <c r="C5" s="151">
        <f>HojaNICA!D37</f>
        <v>181636</v>
      </c>
      <c r="D5" s="151">
        <f>HojaNICA!D38</f>
        <v>777750</v>
      </c>
      <c r="E5" s="151"/>
      <c r="F5" s="152">
        <f>+B5-C5-D5+E5</f>
        <v>437814</v>
      </c>
      <c r="H5" s="251" t="s">
        <v>105</v>
      </c>
      <c r="I5" s="245">
        <f ca="1">TODAY()-1</f>
        <v>46107</v>
      </c>
      <c r="O5" s="120"/>
    </row>
    <row r="6" spans="1:15" ht="15" thickBot="1" x14ac:dyDescent="0.4">
      <c r="A6" s="47" t="s">
        <v>36</v>
      </c>
      <c r="B6" s="151">
        <f>HojaTICA!D36</f>
        <v>2100600</v>
      </c>
      <c r="C6" s="151">
        <f>HojaTICA!D37</f>
        <v>273078</v>
      </c>
      <c r="D6" s="151">
        <f>HojaTICA!D38</f>
        <v>4105500</v>
      </c>
      <c r="E6" s="151"/>
      <c r="F6" s="152">
        <f t="shared" ref="F6:F11" si="0">+B6-C6-D6+E6</f>
        <v>-2277978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255600</v>
      </c>
      <c r="C7" s="151">
        <f>HojaREVENTADO!D38</f>
        <v>25560</v>
      </c>
      <c r="D7" s="151">
        <f>HojaREVENTADO!D39</f>
        <v>0</v>
      </c>
      <c r="E7" s="151"/>
      <c r="F7" s="152">
        <f t="shared" si="0"/>
        <v>230040</v>
      </c>
    </row>
    <row r="8" spans="1:15" x14ac:dyDescent="0.35">
      <c r="A8" s="47" t="s">
        <v>96</v>
      </c>
      <c r="B8" s="151">
        <f>HojaPrimera!$D36</f>
        <v>352050</v>
      </c>
      <c r="C8" s="151">
        <f>HojaPrimera!$D37</f>
        <v>45766.5</v>
      </c>
      <c r="D8" s="151">
        <f>HojaPrimera!$D38</f>
        <v>518500</v>
      </c>
      <c r="E8" s="151"/>
      <c r="F8" s="152">
        <f t="shared" si="0"/>
        <v>-212216.5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143200</v>
      </c>
      <c r="C9" s="151">
        <f>HojaHonduras!$D37</f>
        <v>18616</v>
      </c>
      <c r="D9" s="151">
        <f>HojaHonduras!$D38</f>
        <v>55250</v>
      </c>
      <c r="E9" s="151"/>
      <c r="F9" s="152">
        <f t="shared" si="0"/>
        <v>69334</v>
      </c>
      <c r="H9" s="252">
        <f>+K12-K10-H6</f>
        <v>-1857974</v>
      </c>
    </row>
    <row r="10" spans="1:15" ht="15" thickBot="1" x14ac:dyDescent="0.4">
      <c r="A10" s="47" t="s">
        <v>20</v>
      </c>
      <c r="B10" s="151">
        <f>HojaDominicana!$D36</f>
        <v>74750</v>
      </c>
      <c r="C10" s="151">
        <f>HojaDominicana!$D37</f>
        <v>9717.5</v>
      </c>
      <c r="D10" s="151">
        <f>HojaDominicana!$D38</f>
        <v>170000</v>
      </c>
      <c r="E10" s="151"/>
      <c r="F10" s="152">
        <f t="shared" si="0"/>
        <v>-104967.5</v>
      </c>
      <c r="H10" s="155"/>
      <c r="J10" t="s">
        <v>148</v>
      </c>
      <c r="K10" s="254">
        <v>5960400.4400000004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4102426.4400000004</v>
      </c>
    </row>
    <row r="12" spans="1:15" ht="16" thickBot="1" x14ac:dyDescent="0.4">
      <c r="A12" s="145" t="s">
        <v>5</v>
      </c>
      <c r="B12" s="153">
        <f>SUM(B5:B11)</f>
        <v>4323400</v>
      </c>
      <c r="C12" s="153">
        <f>SUM(C5:C11)</f>
        <v>554374</v>
      </c>
      <c r="D12" s="153">
        <f>SUM(D5:D11)</f>
        <v>5627000</v>
      </c>
      <c r="E12" s="153"/>
      <c r="F12" s="257">
        <f>SUM(F5:F11)</f>
        <v>-1857974</v>
      </c>
      <c r="H12" s="253">
        <f>K12</f>
        <v>4102426.4400000004</v>
      </c>
      <c r="J12" t="s">
        <v>140</v>
      </c>
      <c r="K12" s="256">
        <f>-1066414.93+1920682.49+880349.8+2367809.08</f>
        <v>4102426.4400000004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204850</v>
      </c>
      <c r="K4" s="233">
        <f t="shared" ref="K4" si="0">D7+D11+D15</f>
        <v>26630.5</v>
      </c>
      <c r="L4" s="222">
        <f>F7+F11+F15</f>
        <v>561000</v>
      </c>
    </row>
    <row r="5" spans="1:12" x14ac:dyDescent="0.35">
      <c r="A5" s="28" t="s">
        <v>43</v>
      </c>
      <c r="B5" s="133">
        <f>IF(DigitaNICA!C2&lt;&gt;"",DigitaNICA!C2,"")</f>
        <v>97</v>
      </c>
      <c r="C5" s="29">
        <f>IF(DigitaNICA!C4&lt;&gt;"",DigitaNICA!C4,"")</f>
        <v>24850</v>
      </c>
      <c r="D5" s="42">
        <f>IF(C5="",0,C5*J$10)</f>
        <v>3230.5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21619.5</v>
      </c>
      <c r="I5" s="243" t="s">
        <v>37</v>
      </c>
      <c r="J5" s="223">
        <f>SUM(IF(C5="",0,C5),IF(C9="",0,C9),IF(C13="",0,C13),IF(C17="",0,C17))</f>
        <v>43000</v>
      </c>
      <c r="K5" s="227">
        <f t="shared" ref="K5" si="2">D5+D9+D13+D17</f>
        <v>5590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6950</v>
      </c>
      <c r="K6" s="230">
        <f>D19+D20</f>
        <v>903.5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IF(DigitaTICA!C4&lt;&gt;"",DigitaTICA!C4,"")</f>
        <v>68250</v>
      </c>
      <c r="D7" s="42">
        <f>IF(C7="",0,C7*J$9)</f>
        <v>8872.5</v>
      </c>
      <c r="E7" s="29">
        <f>IF(DigitaTICA!D4&lt;&gt;"",DigitaTICA!D4,"")</f>
        <v>1100</v>
      </c>
      <c r="F7" s="42">
        <f>IF(E7="",0,E7*PREMIOS!F7)</f>
        <v>93500</v>
      </c>
      <c r="G7" s="30">
        <f t="shared" si="1"/>
        <v>-34122.5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16</v>
      </c>
      <c r="C9" s="29">
        <f>IF(DigitaNICA!E4&lt;&gt;"",DigitaNICA!E4,"")</f>
        <v>9450</v>
      </c>
      <c r="D9" s="42">
        <f>IF(C9="",0,C9*J$10)</f>
        <v>1228.5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8221.5</v>
      </c>
      <c r="I9" s="77" t="s">
        <v>36</v>
      </c>
      <c r="J9" s="78">
        <v>0.13</v>
      </c>
      <c r="K9" s="79">
        <f>MROUND(D7+D11+D15,50)</f>
        <v>26650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5600</v>
      </c>
    </row>
    <row r="11" spans="1:12" x14ac:dyDescent="0.35">
      <c r="A11" s="28" t="s">
        <v>59</v>
      </c>
      <c r="B11" s="133">
        <f>IF(DigitaTICA!E2&lt;&gt;"",DigitaTICA!E2,"")</f>
        <v>21</v>
      </c>
      <c r="C11" s="29">
        <f>IF(DigitaTICA!E4&lt;&gt;"",DigitaTICA!E4,"")</f>
        <v>29600</v>
      </c>
      <c r="D11" s="42">
        <f>IF(C11="",0,C11*J$9)</f>
        <v>3848</v>
      </c>
      <c r="E11" s="29">
        <f>IF(DigitaTICA!F4&lt;&gt;"",DigitaTICA!F4,"")</f>
        <v>2950</v>
      </c>
      <c r="F11" s="42">
        <f>IF(E11="",0,E11*PREMIOS!F11)</f>
        <v>250750</v>
      </c>
      <c r="G11" s="30">
        <f t="shared" si="1"/>
        <v>-224998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IF(DigitaNICA!G4&lt;&gt;"",DigitaNICA!G4,"")</f>
        <v>3100</v>
      </c>
      <c r="D13" s="42">
        <f>IF(C13="",0,C13*J$10)</f>
        <v>403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2697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IF(DigitaTICA!G4&lt;&gt;"",DigitaTICA!G4,"")</f>
        <v>107000</v>
      </c>
      <c r="D15" s="42">
        <f>IF(C15="",0,C15*J$9)</f>
        <v>13910</v>
      </c>
      <c r="E15" s="29">
        <f>IF(DigitaTICA!H4&lt;&gt;"",DigitaTICA!H4,"")</f>
        <v>2550</v>
      </c>
      <c r="F15" s="42">
        <f>IF(E15="",0,E15*PREMIOS!F15)</f>
        <v>216750</v>
      </c>
      <c r="G15" s="30">
        <f t="shared" si="3"/>
        <v>-123660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IF(DigitaNICA!I4&lt;&gt;"",DigitaNICA!I4,"")</f>
        <v>5600</v>
      </c>
      <c r="D17" s="42">
        <f>IF(C17="",0,C17*J$10)</f>
        <v>728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4872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12</v>
      </c>
      <c r="C19" s="29">
        <f>IF(DigitaPRIMERA!C4&lt;&gt;"",DigitaPRIMERA!C4,"")</f>
        <v>5550</v>
      </c>
      <c r="D19" s="42">
        <f>IF(C19="",0,C19*J$12)</f>
        <v>721.5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4828.5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>
        <f>IF(DigitaPRIMERA!E4&lt;&gt;"",DigitaPRIMERA!E4,"")</f>
        <v>1400</v>
      </c>
      <c r="D20" s="42">
        <f>IF(C20="",0,C20*J$12)</f>
        <v>182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1218</v>
      </c>
    </row>
    <row r="21" spans="1:7" ht="15" thickBot="1" x14ac:dyDescent="0.4">
      <c r="A21" s="122" t="s">
        <v>5</v>
      </c>
      <c r="B21" s="129"/>
      <c r="C21" s="123">
        <f>SUM(C5:C20)</f>
        <v>254800</v>
      </c>
      <c r="D21" s="123">
        <f t="shared" ref="D21:G21" si="6">SUM(D5:D20)</f>
        <v>33124</v>
      </c>
      <c r="E21" s="123">
        <f t="shared" si="6"/>
        <v>6600</v>
      </c>
      <c r="F21" s="123">
        <f t="shared" si="6"/>
        <v>561000</v>
      </c>
      <c r="G21" s="124">
        <f t="shared" si="6"/>
        <v>-339324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140900</v>
      </c>
      <c r="K4" s="233">
        <f t="shared" ref="K4" si="0">D7+D11+D15</f>
        <v>18317</v>
      </c>
      <c r="L4" s="222">
        <f>F7+F11+F15</f>
        <v>114750</v>
      </c>
    </row>
    <row r="5" spans="1:12" x14ac:dyDescent="0.35">
      <c r="A5" s="28" t="s">
        <v>43</v>
      </c>
      <c r="B5" s="133">
        <f>IF(DigitaNICA!C2&lt;&gt;"",DigitaNICA!C2,"")</f>
        <v>97</v>
      </c>
      <c r="C5" s="29">
        <f>IF(DigitaNICA!C5&lt;&gt;"",DigitaNICA!C5,"")</f>
        <v>24000</v>
      </c>
      <c r="D5" s="42">
        <f>IF(C5="",0,C5*J$10)</f>
        <v>3120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20880</v>
      </c>
      <c r="I5" s="243" t="s">
        <v>37</v>
      </c>
      <c r="J5" s="223">
        <f>SUM(IF(C5="",0,C5),IF(C9="",0,C9),IF(C13="",0,C13),IF(C17="",0,C17))</f>
        <v>40900</v>
      </c>
      <c r="K5" s="227">
        <f t="shared" ref="K5" si="2">D5+D9+D13+D17</f>
        <v>5317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IF(DigitaTICA!C5&lt;&gt;"",DigitaTICA!C5,"")</f>
        <v>32500</v>
      </c>
      <c r="D7" s="42">
        <f>IF(C7="",0,C7*J$9)</f>
        <v>4225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28275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16</v>
      </c>
      <c r="C9" s="29">
        <f>IF(DigitaNICA!E5&lt;&gt;"",DigitaNICA!E5,"")</f>
        <v>7100</v>
      </c>
      <c r="D9" s="42">
        <f>IF(C9="",0,C9*J$10)</f>
        <v>923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6177</v>
      </c>
      <c r="I9" s="60" t="s">
        <v>36</v>
      </c>
      <c r="J9" s="61">
        <v>0.13</v>
      </c>
      <c r="K9" s="62">
        <f>MROUND(D7+D11+D15,50)</f>
        <v>18300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5300</v>
      </c>
    </row>
    <row r="11" spans="1:12" x14ac:dyDescent="0.35">
      <c r="A11" s="28" t="s">
        <v>59</v>
      </c>
      <c r="B11" s="133">
        <f>IF(DigitaTICA!E2&lt;&gt;"",DigitaTICA!E2,"")</f>
        <v>21</v>
      </c>
      <c r="C11" s="29">
        <f>IF(DigitaTICA!E5&lt;&gt;"",DigitaTICA!E5,"")</f>
        <v>29500</v>
      </c>
      <c r="D11" s="42">
        <f>IF(C11="",0,C11*J$9)</f>
        <v>3835</v>
      </c>
      <c r="E11" s="29">
        <f>IF(DigitaTICA!F5&lt;&gt;"",DigitaTICA!F5,"")</f>
        <v>350</v>
      </c>
      <c r="F11" s="42">
        <f>IF(E11="",0,E11*PREMIOS!F11)</f>
        <v>29750</v>
      </c>
      <c r="G11" s="30">
        <f t="shared" si="1"/>
        <v>-4085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IF(DigitaNICA!G5&lt;&gt;"",DigitaNICA!G5,"")</f>
        <v>9500</v>
      </c>
      <c r="D13" s="42">
        <f>IF(C13="",0,C13*J$10)</f>
        <v>1235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8265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IF(DigitaTICA!G5&lt;&gt;"",DigitaTICA!G5,"")</f>
        <v>78900</v>
      </c>
      <c r="D15" s="42">
        <f>IF(C15="",0,C15*J$9)</f>
        <v>10257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-16357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IF(DigitaNICA!I5&lt;&gt;"",DigitaNICA!I5,"")</f>
        <v>300</v>
      </c>
      <c r="D17" s="42">
        <f>IF(C17="",0,C17*J$10)</f>
        <v>39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261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12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181800</v>
      </c>
      <c r="D21" s="68">
        <f t="shared" ref="D21:G21" si="4">SUM(D5:D20)</f>
        <v>23634</v>
      </c>
      <c r="E21" s="68">
        <f t="shared" si="4"/>
        <v>1350</v>
      </c>
      <c r="F21" s="68">
        <f t="shared" si="4"/>
        <v>114750</v>
      </c>
      <c r="G21" s="89">
        <f t="shared" si="4"/>
        <v>43416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121000</v>
      </c>
      <c r="K4" s="233">
        <f t="shared" ref="K4" si="0">D7+D11+D15</f>
        <v>14520</v>
      </c>
      <c r="L4" s="222">
        <f>F7+F11+F15</f>
        <v>297500</v>
      </c>
    </row>
    <row r="5" spans="1:12" x14ac:dyDescent="0.35">
      <c r="A5" s="28" t="s">
        <v>43</v>
      </c>
      <c r="B5" s="133">
        <f>IF(DigitaNICA!C2&lt;&gt;"",DigitaNICA!C2,"")</f>
        <v>97</v>
      </c>
      <c r="C5" s="29">
        <f>IF(DigitaNICA!C8&lt;&gt;"",DigitaNICA!C8,"")</f>
        <v>58150</v>
      </c>
      <c r="D5" s="42">
        <f>IF(C5="",0,C5*J$12)</f>
        <v>6978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51172</v>
      </c>
      <c r="I5" s="243" t="s">
        <v>37</v>
      </c>
      <c r="J5" s="223">
        <f>SUM(IF(C5="",0,C5),IF(C9="",0,C9),IF(C13="",0,C13),IF(C17="",0,C17))</f>
        <v>138750</v>
      </c>
      <c r="K5" s="227">
        <f t="shared" ref="K5" si="2">D5+D9+D13+D17</f>
        <v>16650</v>
      </c>
      <c r="L5" s="224">
        <f>F5+F9+F13+F17</f>
        <v>84000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IF(DigitaTICA!C8&lt;&gt;"",DigitaTICA!C8,"")</f>
        <v>40000</v>
      </c>
      <c r="D7" s="42">
        <f>IF(C7="",0,C7*J$11)</f>
        <v>4800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35200</v>
      </c>
      <c r="I7" s="244" t="s">
        <v>96</v>
      </c>
      <c r="J7" s="226">
        <f>SUM(IF(C19="",0,C19),IF(C20="",0,C20))</f>
        <v>23350</v>
      </c>
      <c r="K7" s="230">
        <f>+D19+D20</f>
        <v>2802</v>
      </c>
      <c r="L7" s="231">
        <f>+F19+F20</f>
        <v>88000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16</v>
      </c>
      <c r="C9" s="29">
        <f>IF(DigitaNICA!E8&lt;&gt;"",DigitaNICA!E8,"")</f>
        <v>33500</v>
      </c>
      <c r="D9" s="42">
        <f>IF(C9="",0,C9*J$12)</f>
        <v>4020</v>
      </c>
      <c r="E9" s="29">
        <f>IF(DigitaNICA!F8&lt;&gt;"",DigitaNICA!F8,"")</f>
        <v>350</v>
      </c>
      <c r="F9" s="42">
        <f>IF(E9="",0,E9*PREMIOS!E9)</f>
        <v>28000</v>
      </c>
      <c r="G9" s="30">
        <f t="shared" si="1"/>
        <v>1480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21</v>
      </c>
      <c r="C11" s="29">
        <f>IF(DigitaTICA!E8&lt;&gt;"",DigitaTICA!E8,"")</f>
        <v>24950</v>
      </c>
      <c r="D11" s="42">
        <f>IF(C11="",0,C11*J$11)</f>
        <v>2994</v>
      </c>
      <c r="E11" s="29">
        <f>IF(DigitaTICA!F8&lt;&gt;"",DigitaTICA!F8,"")</f>
        <v>1800</v>
      </c>
      <c r="F11" s="42">
        <f>IF(E11="",0,E11*PREMIOS!F11)</f>
        <v>153000</v>
      </c>
      <c r="G11" s="30">
        <f t="shared" si="1"/>
        <v>-131044</v>
      </c>
      <c r="I11" s="60" t="s">
        <v>36</v>
      </c>
      <c r="J11" s="61">
        <v>0.12</v>
      </c>
      <c r="K11" s="62">
        <f>MROUND(D7+D11+D15,50)</f>
        <v>14500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16650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IF(DigitaNICA!G8&lt;&gt;"",DigitaNICA!G8,"")</f>
        <v>6400</v>
      </c>
      <c r="D13" s="42">
        <f>IF(C13="",0,C13*J$12)</f>
        <v>768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5632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2800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IF(DigitaTICA!G8&lt;&gt;"",DigitaTICA!G8,"")</f>
        <v>56050</v>
      </c>
      <c r="D15" s="42">
        <f>IF(C15="",0,C15*J$11)</f>
        <v>6726</v>
      </c>
      <c r="E15" s="29">
        <f>IF(DigitaTICA!H8&lt;&gt;"",DigitaTICA!H8,"")</f>
        <v>1700</v>
      </c>
      <c r="F15" s="42">
        <f>IF(E15="",0,E15*PREMIOS!F15)</f>
        <v>144500</v>
      </c>
      <c r="G15" s="30">
        <f t="shared" si="4"/>
        <v>-95176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IF(DigitaNICA!I8&lt;&gt;"",DigitaNICA!I8,"")</f>
        <v>40700</v>
      </c>
      <c r="D17" s="42">
        <f>IF(C17="",0,C17*J$12)</f>
        <v>4884</v>
      </c>
      <c r="E17" s="29">
        <f>IF(DigitaNICA!J8&lt;&gt;"",DigitaNICA!J8,"")</f>
        <v>700</v>
      </c>
      <c r="F17" s="42">
        <f>IF(E17="",0,E17*PREMIOS!E17)</f>
        <v>56000</v>
      </c>
      <c r="G17" s="30">
        <f t="shared" si="4"/>
        <v>-20184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12</v>
      </c>
      <c r="C19" s="29">
        <f>IF(DigitaPRIMERA!C8&lt;&gt;"",DigitaPRIMERA!C8,"")</f>
        <v>6900</v>
      </c>
      <c r="D19" s="42">
        <f>IF(C19="",0,C19*J$14)</f>
        <v>828</v>
      </c>
      <c r="E19" s="29">
        <f>IF(DigitaPRIMERA!D8&lt;&gt;"",DigitaPRIMERA!D8,"")</f>
        <v>1000</v>
      </c>
      <c r="F19" s="42">
        <f>IF(E19="",0,E19*PREMIOS!E19)</f>
        <v>80000</v>
      </c>
      <c r="G19" s="30">
        <f t="shared" si="4"/>
        <v>-73928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>
        <f>IF(DigitaPRIMERA!E8&lt;&gt;"",DigitaPRIMERA!E8,"")</f>
        <v>16450</v>
      </c>
      <c r="D20" s="42">
        <f>IF(C20="",0,C20*J$14)</f>
        <v>1974</v>
      </c>
      <c r="E20" s="29">
        <f>IF(DigitaPRIMERA!F8&lt;&gt;"",DigitaPRIMERA!F8,"")</f>
        <v>100</v>
      </c>
      <c r="F20" s="42">
        <f>IF(E20="",0,E20*PREMIOS!E19)</f>
        <v>8000</v>
      </c>
      <c r="G20" s="30">
        <f t="shared" si="4"/>
        <v>6476</v>
      </c>
    </row>
    <row r="21" spans="1:7" ht="15" thickBot="1" x14ac:dyDescent="0.4">
      <c r="A21" s="122" t="s">
        <v>5</v>
      </c>
      <c r="B21" s="129"/>
      <c r="C21" s="123">
        <f>SUM(C5:C20)</f>
        <v>283100</v>
      </c>
      <c r="D21" s="123">
        <f t="shared" ref="D21:G21" si="5">SUM(D5:D20)</f>
        <v>33972</v>
      </c>
      <c r="E21" s="123">
        <f t="shared" si="5"/>
        <v>5650</v>
      </c>
      <c r="F21" s="123">
        <f t="shared" si="5"/>
        <v>469500</v>
      </c>
      <c r="G21" s="124">
        <f t="shared" si="5"/>
        <v>-220372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97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475750</v>
      </c>
      <c r="K4" s="233">
        <f t="shared" ref="K4" si="0">D7+D11+D15</f>
        <v>57090</v>
      </c>
      <c r="L4" s="222">
        <f>F7+F11+F15</f>
        <v>926500</v>
      </c>
    </row>
    <row r="5" spans="1:12" x14ac:dyDescent="0.35">
      <c r="A5" s="28" t="s">
        <v>43</v>
      </c>
      <c r="B5" s="133">
        <f>IF(DigitaNICA!C2&lt;&gt;"",DigitaNICA!C2,"")</f>
        <v>97</v>
      </c>
      <c r="C5" s="29">
        <f>IF(DigitaNICA!C10&lt;&gt;"",DigitaNICA!C10,"")</f>
        <v>69550</v>
      </c>
      <c r="D5" s="42">
        <f>IF(C5="",0,C5*J$15)</f>
        <v>8346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44204</v>
      </c>
      <c r="I5" s="219" t="s">
        <v>37</v>
      </c>
      <c r="J5" s="223">
        <f>SUM(IF(C5="",0,C5),IF(C9="",0,C9),IF(C13="",0,C13),IF(C17="",0,C17))</f>
        <v>357350</v>
      </c>
      <c r="K5" s="227">
        <f t="shared" ref="K5" si="2">D5+D9+D13+D17</f>
        <v>42882</v>
      </c>
      <c r="L5" s="224">
        <f>F5+F9+F13+F17</f>
        <v>344250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85750</v>
      </c>
      <c r="K6" s="228">
        <f t="shared" ref="K6" si="3">+D8+D12+D16</f>
        <v>8575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77</v>
      </c>
      <c r="C7" s="29">
        <f>IF(DigitaTICA!C10&lt;&gt;"",DigitaTICA!C10,"")</f>
        <v>135500</v>
      </c>
      <c r="D7" s="42">
        <f>IF(C7="",0,C7*J$14)</f>
        <v>16260</v>
      </c>
      <c r="E7" s="29">
        <f>IF(DigitaTICA!D10&lt;&gt;"",DigitaTICA!D10,"")</f>
        <v>4500</v>
      </c>
      <c r="F7" s="42">
        <f>IF(E7="",0,E7*PREMIOS!F7)</f>
        <v>382500</v>
      </c>
      <c r="G7" s="30">
        <f t="shared" si="1"/>
        <v>-263260</v>
      </c>
      <c r="I7" s="219" t="s">
        <v>96</v>
      </c>
      <c r="J7" s="225">
        <f>SUM(IF(C19="",0,C19),IF(C20="",0,C20))</f>
        <v>66150</v>
      </c>
      <c r="K7" s="228">
        <f>+D19+D20</f>
        <v>7938</v>
      </c>
      <c r="L7" s="229">
        <f>+F19+F20</f>
        <v>106250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23850</v>
      </c>
      <c r="D8" s="42">
        <f>IF(C8="",0,C8*J$16)</f>
        <v>2385</v>
      </c>
      <c r="E8" s="29">
        <f>IF(DigitaREVENTADO!D10&lt;&gt;"",DigitaREVENTADO!D10,"")</f>
        <v>3000</v>
      </c>
      <c r="F8" s="42">
        <f>IF(E8="",0,E8*PREMIOS!F8)</f>
        <v>0</v>
      </c>
      <c r="G8" s="30">
        <f t="shared" si="1"/>
        <v>21465</v>
      </c>
      <c r="I8" s="219" t="s">
        <v>104</v>
      </c>
      <c r="J8" s="225">
        <f>SUM(IF(C21="",0,C21),IF(C22="",0,C22),IF(C23="",0,C23))</f>
        <v>45350</v>
      </c>
      <c r="K8" s="228">
        <f t="shared" ref="K8" si="4">D21+D22+D23</f>
        <v>5442</v>
      </c>
      <c r="L8" s="229">
        <f>F21+F22+F23</f>
        <v>42500</v>
      </c>
    </row>
    <row r="9" spans="1:12" x14ac:dyDescent="0.35">
      <c r="A9" s="28" t="s">
        <v>48</v>
      </c>
      <c r="B9" s="133">
        <f>IF(DigitaNICA!E2&lt;&gt;"",DigitaNICA!E2,"")</f>
        <v>16</v>
      </c>
      <c r="C9" s="29">
        <f>IF(DigitaNICA!E10&lt;&gt;"",DigitaNICA!E10,"")</f>
        <v>93750</v>
      </c>
      <c r="D9" s="42">
        <f>IF(C9="",0,C9*J$15)</f>
        <v>11250</v>
      </c>
      <c r="E9" s="29">
        <f>IF(DigitaNICA!F10&lt;&gt;"",DigitaNICA!F10,"")</f>
        <v>450</v>
      </c>
      <c r="F9" s="42">
        <f>IF(E9="",0,E9*PREMIOS!F9)</f>
        <v>38250</v>
      </c>
      <c r="G9" s="30">
        <f t="shared" si="1"/>
        <v>44250</v>
      </c>
      <c r="I9" s="219" t="s">
        <v>20</v>
      </c>
      <c r="J9" s="225">
        <f>SUM(IF(C24="",0,C24),IF(C25="",0,C25))</f>
        <v>74750</v>
      </c>
      <c r="K9" s="228">
        <f t="shared" ref="K9" si="5">+D24+D25</f>
        <v>8970</v>
      </c>
      <c r="L9" s="229">
        <f>F24+F25</f>
        <v>170000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21</v>
      </c>
      <c r="C11" s="29">
        <f>IF(DigitaTICA!E10&lt;&gt;"",DigitaTICA!E10,"")</f>
        <v>149950</v>
      </c>
      <c r="D11" s="42">
        <f>IF(C11="",0,C11*J$14)</f>
        <v>17994</v>
      </c>
      <c r="E11" s="29">
        <f>IF(DigitaTICA!F10&lt;&gt;"",DigitaTICA!F10,"")</f>
        <v>4350</v>
      </c>
      <c r="F11" s="42">
        <f>IF(E11="",0,E11*PREMIOS!F11)</f>
        <v>369750</v>
      </c>
      <c r="G11" s="30">
        <f t="shared" si="1"/>
        <v>-237794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31300</v>
      </c>
      <c r="D12" s="42">
        <f>IF(C12="",0,C12*J$16)</f>
        <v>3130</v>
      </c>
      <c r="E12" s="29">
        <f>IF(DigitaREVENTADO!F10&lt;&gt;"",DigitaREVENTADO!F10,"")</f>
        <v>850</v>
      </c>
      <c r="F12" s="42">
        <f>IF(E12="",0,E12*PREMIOS!F12)</f>
        <v>0</v>
      </c>
      <c r="G12" s="30">
        <f t="shared" si="1"/>
        <v>28170</v>
      </c>
    </row>
    <row r="13" spans="1:12" ht="15" thickBot="1" x14ac:dyDescent="0.4">
      <c r="A13" s="28" t="s">
        <v>50</v>
      </c>
      <c r="B13" s="133">
        <f>IF(DigitaNICA!G2&lt;&gt;"",DigitaNICA!G2,"")</f>
        <v>49</v>
      </c>
      <c r="C13" s="29">
        <f>IF(DigitaNICA!G10&lt;&gt;"",DigitaNICA!G10,"")</f>
        <v>60950</v>
      </c>
      <c r="D13" s="42">
        <f>IF(C13="",0,C13*J$15)</f>
        <v>7314</v>
      </c>
      <c r="E13" s="29">
        <f>IF(DigitaNICA!H10&lt;&gt;"",DigitaNICA!H10,"")</f>
        <v>1200</v>
      </c>
      <c r="F13" s="42">
        <f>IF(E13="",0,E13*PREMIOS!F13)</f>
        <v>102000</v>
      </c>
      <c r="G13" s="30">
        <f>IF(OR(C13="",E13=""),0,C13-D13-F13)</f>
        <v>-48364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57100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IF(DigitaTICA!G10&lt;&gt;"",DigitaTICA!G10,"")</f>
        <v>190300</v>
      </c>
      <c r="D15" s="42">
        <f>IF(C15="",0,C15*J$14)</f>
        <v>22836</v>
      </c>
      <c r="E15" s="29">
        <f>IF(DigitaTICA!H10&lt;&gt;"",DigitaTICA!H10,"")</f>
        <v>2050</v>
      </c>
      <c r="F15" s="42">
        <f>IF(E15="",0,E15*PREMIOS!F15)</f>
        <v>174250</v>
      </c>
      <c r="G15" s="30">
        <f t="shared" si="6"/>
        <v>-6786</v>
      </c>
      <c r="I15" s="63" t="s">
        <v>37</v>
      </c>
      <c r="J15" s="64">
        <v>0.12</v>
      </c>
      <c r="K15" s="30">
        <f>MROUND(D5+D9+D13+D17,50)</f>
        <v>42900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30600</v>
      </c>
      <c r="D16" s="42">
        <f>IF(C16="",0,C16*J$16)</f>
        <v>3060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27540</v>
      </c>
      <c r="I16" s="63" t="s">
        <v>38</v>
      </c>
      <c r="J16" s="64">
        <v>0.1</v>
      </c>
      <c r="K16" s="30">
        <f>MROUND(D6+D8+D10+D12+D14+D16+D18,50)</f>
        <v>8600</v>
      </c>
    </row>
    <row r="17" spans="1:11" x14ac:dyDescent="0.35">
      <c r="A17" s="28" t="s">
        <v>52</v>
      </c>
      <c r="B17" s="133">
        <f>IF(DigitaNICA!I2&lt;&gt;"",DigitaNICA!I2,"")</f>
        <v>99</v>
      </c>
      <c r="C17" s="29">
        <f>IF(DigitaNICA!I10&lt;&gt;"",DigitaNICA!I10,"")</f>
        <v>133100</v>
      </c>
      <c r="D17" s="42">
        <f>IF(C17="",0,C17*J$15)</f>
        <v>15972</v>
      </c>
      <c r="E17" s="29">
        <f>IF(DigitaNICA!J10&lt;&gt;"",DigitaNICA!J10,"")</f>
        <v>2200</v>
      </c>
      <c r="F17" s="42">
        <f>IF(E17="",0,E17*PREMIOS!F17)</f>
        <v>187000</v>
      </c>
      <c r="G17" s="30">
        <f t="shared" si="6"/>
        <v>-69872</v>
      </c>
      <c r="I17" s="63" t="s">
        <v>96</v>
      </c>
      <c r="J17" s="64">
        <v>0.12</v>
      </c>
      <c r="K17" s="30">
        <f>MROUND(D19+D20,50)</f>
        <v>7950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5450</v>
      </c>
    </row>
    <row r="19" spans="1:11" x14ac:dyDescent="0.35">
      <c r="A19" s="28" t="s">
        <v>97</v>
      </c>
      <c r="B19" s="133">
        <f>IF(DigitaPRIMERA!C2&lt;&gt;"",DigitaPRIMERA!C2,"")</f>
        <v>12</v>
      </c>
      <c r="C19" s="29">
        <f>IF(DigitaPRIMERA!$C$10&lt;&gt;"",DigitaPRIMERA!$C$10,"")</f>
        <v>27700</v>
      </c>
      <c r="D19" s="42">
        <f>IF(C19="",0,C19*J$17)</f>
        <v>3324</v>
      </c>
      <c r="E19" s="29">
        <f>IF(DigitaPRIMERA!$D$10&lt;&gt;"",DigitaPRIMERA!$D$10,"")</f>
        <v>800</v>
      </c>
      <c r="F19" s="42">
        <f>IF(E19="",0,E19*PREMIOS!F19)</f>
        <v>68000</v>
      </c>
      <c r="G19" s="30">
        <f t="shared" ref="G19:G22" si="7">IF(OR(C19="",E19=""),0,C19-D19-F19)</f>
        <v>-43624</v>
      </c>
      <c r="I19" s="63" t="s">
        <v>20</v>
      </c>
      <c r="J19" s="64">
        <v>0.12</v>
      </c>
      <c r="K19" s="30">
        <f>MROUND(D24+D25,50)</f>
        <v>8950</v>
      </c>
    </row>
    <row r="20" spans="1:11" ht="15" thickBot="1" x14ac:dyDescent="0.4">
      <c r="A20" s="28" t="s">
        <v>98</v>
      </c>
      <c r="B20" s="133">
        <f>IF(DigitaPRIMERA!E2&lt;&gt;"",DigitaPRIMERA!E2,"")</f>
        <v>47</v>
      </c>
      <c r="C20" s="29">
        <f>IF(DigitaPRIMERA!$E$10&lt;&gt;"",DigitaPRIMERA!$E$10,"")</f>
        <v>38450</v>
      </c>
      <c r="D20" s="42">
        <f>IF(C20="",0,C20*J$17)</f>
        <v>4614</v>
      </c>
      <c r="E20" s="29">
        <f>IF(DigitaPRIMERA!$F$10&lt;&gt;"",DigitaPRIMERA!$F$10,"")</f>
        <v>450</v>
      </c>
      <c r="F20" s="42">
        <f>IF(E20="",0,E20*PREMIOS!F19)</f>
        <v>38250</v>
      </c>
      <c r="G20" s="30">
        <f t="shared" si="7"/>
        <v>-4414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93</v>
      </c>
      <c r="C21" s="29">
        <f>IF(DigitaHONDURAS!$C$10&lt;&gt;"",DigitaHONDURAS!$C$10,"")</f>
        <v>17800</v>
      </c>
      <c r="D21" s="42">
        <f>IF(C21="",0,C21*J$18)</f>
        <v>2136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15664</v>
      </c>
    </row>
    <row r="22" spans="1:11" x14ac:dyDescent="0.35">
      <c r="A22" s="28" t="s">
        <v>100</v>
      </c>
      <c r="B22" s="133">
        <f>IF(DigitaHONDURAS!E2&lt;&gt;"",DigitaHONDURAS!E2,"")</f>
        <v>61</v>
      </c>
      <c r="C22" s="29">
        <f>IF(DigitaHONDURAS!$E$10&lt;&gt;"",DigitaHONDURAS!$E$10,"")</f>
        <v>13000</v>
      </c>
      <c r="D22" s="42">
        <f>IF(C22="",0,C22*J$18)</f>
        <v>1560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11440</v>
      </c>
    </row>
    <row r="23" spans="1:11" x14ac:dyDescent="0.35">
      <c r="A23" s="28" t="s">
        <v>101</v>
      </c>
      <c r="B23" s="133">
        <f>IF(DigitaHONDURAS!G2&lt;&gt;"",DigitaHONDURAS!G2,"")</f>
        <v>60</v>
      </c>
      <c r="C23" s="29">
        <f>IF(DigitaHONDURAS!$G$10&lt;&gt;"",DigitaHONDURAS!$G$10,"")</f>
        <v>14550</v>
      </c>
      <c r="D23" s="42">
        <f>IF(C23="",0,C23*J$18)</f>
        <v>1746</v>
      </c>
      <c r="E23" s="29">
        <f>IF(DigitaHONDURAS!$H$10&lt;&gt;"",DigitaHONDURAS!$H$10,"")</f>
        <v>500</v>
      </c>
      <c r="F23" s="42">
        <f>IF(E23="",0,E23*PREMIOS!F20)</f>
        <v>42500</v>
      </c>
      <c r="G23" s="30">
        <f t="shared" ref="G23:G26" si="8">IF(OR(C23="",E23=""),0,C23-D23-F23)</f>
        <v>-29696</v>
      </c>
    </row>
    <row r="24" spans="1:11" x14ac:dyDescent="0.35">
      <c r="A24" s="28" t="s">
        <v>107</v>
      </c>
      <c r="B24" s="133">
        <f>IF(DigitaDOMINICANA!C2&lt;&gt;"",DigitaDOMINICANA!C2,"")</f>
        <v>94</v>
      </c>
      <c r="C24" s="29">
        <f>IF(DigitaDOMINICANA!$C$10&lt;&gt;"",DigitaDOMINICANA!$C$10,"")</f>
        <v>52750</v>
      </c>
      <c r="D24" s="42">
        <f>IF(C24="",0,C24*J$19)</f>
        <v>6330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46420</v>
      </c>
    </row>
    <row r="25" spans="1:11" x14ac:dyDescent="0.35">
      <c r="A25" s="28" t="s">
        <v>108</v>
      </c>
      <c r="B25" s="133" t="str">
        <f>IF(DigitaDOMINICANA!E2&lt;&gt;"",DigitaDOMINICANA!E2,"")</f>
        <v>08</v>
      </c>
      <c r="C25" s="29">
        <f>IF(DigitaDOMINICANA!$E$10&lt;&gt;"",DigitaDOMINICANA!$E$10,"")</f>
        <v>22000</v>
      </c>
      <c r="D25" s="42">
        <f>IF(C25="",0,C25*J$19)</f>
        <v>2640</v>
      </c>
      <c r="E25" s="29">
        <f>IF(DigitaDOMINICANA!$F$10&lt;&gt;"",DigitaDOMINICANA!$F$10,"")</f>
        <v>2000</v>
      </c>
      <c r="F25" s="42">
        <f>IF(E25="",0,E25*PREMIOS!F21)</f>
        <v>170000</v>
      </c>
      <c r="G25" s="30">
        <f t="shared" si="8"/>
        <v>-150640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1105100</v>
      </c>
      <c r="D27" s="68">
        <f t="shared" ref="D27:F27" si="9">SUM(D5:D26)</f>
        <v>130897</v>
      </c>
      <c r="E27" s="68">
        <f t="shared" si="9"/>
        <v>23050</v>
      </c>
      <c r="F27" s="68">
        <f t="shared" si="9"/>
        <v>1589500</v>
      </c>
      <c r="G27" s="89">
        <f>SUM(G5:G26)</f>
        <v>-615297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36800</v>
      </c>
      <c r="K4" s="233">
        <f t="shared" ref="K4" si="0">D7+D11+D15</f>
        <v>4416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97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IF(DigitaTICA!C11&lt;&gt;"",DigitaTICA!C11,"")</f>
        <v>5500</v>
      </c>
      <c r="D7" s="42">
        <f>IF(C7="",0,C7*J$11)</f>
        <v>660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4840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4400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IF(DigitaTICA!G11&lt;&gt;"",DigitaTICA!G11,"")</f>
        <v>31300</v>
      </c>
      <c r="D15" s="42">
        <f>IF(C15="",0,C15*J$11)</f>
        <v>3756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27544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12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36800</v>
      </c>
      <c r="D21" s="123">
        <f t="shared" ref="D21:G21" si="5">SUM(D5:D20)</f>
        <v>4416</v>
      </c>
      <c r="E21" s="123">
        <f t="shared" si="5"/>
        <v>0</v>
      </c>
      <c r="F21" s="123">
        <f t="shared" si="5"/>
        <v>0</v>
      </c>
      <c r="G21" s="124">
        <f t="shared" si="5"/>
        <v>32384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96650</v>
      </c>
      <c r="K4" s="233">
        <f>D7+D11+D15</f>
        <v>11598</v>
      </c>
      <c r="L4" s="222">
        <f>F7+F11+F15</f>
        <v>51000</v>
      </c>
    </row>
    <row r="5" spans="1:12" x14ac:dyDescent="0.35">
      <c r="A5" s="28" t="s">
        <v>43</v>
      </c>
      <c r="B5" s="133">
        <f>IF(DigitaNICA!C2&lt;&gt;"",DigitaNICA!C2,"")</f>
        <v>97</v>
      </c>
      <c r="C5" s="29">
        <f>IF(DigitaNICA!C12&lt;&gt;"",DigitaNICA!C12,"")</f>
        <v>62950</v>
      </c>
      <c r="D5" s="42">
        <f>IF(C5="",0,C5*J$12)</f>
        <v>7554</v>
      </c>
      <c r="E5" s="29">
        <f>IF(DigitaNICA!D12&lt;&gt;"",DigitaNICA!D12,"")</f>
        <v>300</v>
      </c>
      <c r="F5" s="42">
        <f>IF(E5="",0,E5*PREMIOS!F5)</f>
        <v>25500</v>
      </c>
      <c r="G5" s="30">
        <f t="shared" ref="G5:G12" si="0">IF(OR(C5="",E5=""),0,C5-D5-F5)</f>
        <v>29896</v>
      </c>
      <c r="I5" s="219" t="s">
        <v>37</v>
      </c>
      <c r="J5" s="223">
        <f>SUM(IF(C5="",0,C5),IF(C9="",0,C9),IF(C13="",0,C13),IF(C17="",0,C17))</f>
        <v>93150</v>
      </c>
      <c r="K5" s="227">
        <f t="shared" ref="K5" si="1">D5+D9+D13+D17</f>
        <v>11178</v>
      </c>
      <c r="L5" s="224">
        <f>F5+F9+F13+F17</f>
        <v>68000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10300</v>
      </c>
      <c r="K6" s="228">
        <f t="shared" ref="K6" si="2">+D8+D12+D16</f>
        <v>1030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77</v>
      </c>
      <c r="C7" s="29">
        <f>IF(DigitaTICA!C12&lt;&gt;"",DigitaTICA!C12,"")</f>
        <v>34600</v>
      </c>
      <c r="D7" s="42">
        <f>IF(C7="",0,C7*J$11)</f>
        <v>4152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30448</v>
      </c>
      <c r="I7" s="219" t="s">
        <v>96</v>
      </c>
      <c r="J7" s="225">
        <f>SUM(IF(C19="",0,C19),IF(C20="",0,C20))</f>
        <v>51600</v>
      </c>
      <c r="K7" s="228">
        <f>+D19+D20</f>
        <v>6192</v>
      </c>
      <c r="L7" s="229">
        <f>+F19+F20</f>
        <v>174250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6950</v>
      </c>
      <c r="D8" s="42">
        <f>IF(C8="",0,C8*J$13)</f>
        <v>695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6255</v>
      </c>
      <c r="I8" s="220" t="s">
        <v>104</v>
      </c>
      <c r="J8" s="226">
        <f>SUM(IF(C21="",0,C21),IF(C22="",0,C22),IF(C23="",0,C23))</f>
        <v>7150</v>
      </c>
      <c r="K8" s="230">
        <f>+D21+D22+D23</f>
        <v>858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16</v>
      </c>
      <c r="C9" s="29">
        <f>IF(DigitaNICA!E12&lt;&gt;"",DigitaNICA!E12,"")</f>
        <v>30200</v>
      </c>
      <c r="D9" s="42">
        <f>IF(C9="",0,C9*J$12)</f>
        <v>3624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-15924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21</v>
      </c>
      <c r="C11" s="29">
        <f>IF(DigitaTICA!E12&lt;&gt;"",DigitaTICA!E12,"")</f>
        <v>31050</v>
      </c>
      <c r="D11" s="42">
        <f>IF(C11="",0,C11*J$11)</f>
        <v>3726</v>
      </c>
      <c r="E11" s="29">
        <f>IF(DigitaTICA!F12&lt;&gt;"",DigitaTICA!F12,"")</f>
        <v>600</v>
      </c>
      <c r="F11" s="42">
        <f>IF(E11="",0,E11*PREMIOS!F11)</f>
        <v>51000</v>
      </c>
      <c r="G11" s="30">
        <f t="shared" si="0"/>
        <v>-23676</v>
      </c>
      <c r="I11" s="60" t="s">
        <v>36</v>
      </c>
      <c r="J11" s="61">
        <v>0.12</v>
      </c>
      <c r="K11" s="62">
        <f>MROUND(D7+D11+D15,50)</f>
        <v>11600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3350</v>
      </c>
      <c r="D12" s="42">
        <f>IF(C12="",0,C12*J$13)</f>
        <v>335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3015</v>
      </c>
      <c r="I12" s="63" t="s">
        <v>37</v>
      </c>
      <c r="J12" s="64">
        <v>0.12</v>
      </c>
      <c r="K12" s="30">
        <f>MROUND(D5+D9+D13+D17,50)</f>
        <v>11200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6200</v>
      </c>
    </row>
    <row r="15" spans="1:12" ht="15" thickBot="1" x14ac:dyDescent="0.4">
      <c r="A15" s="28" t="s">
        <v>61</v>
      </c>
      <c r="B15" s="133">
        <f>IF(DigitaTICA!G2&lt;&gt;"",DigitaTICA!G2,"")</f>
        <v>22</v>
      </c>
      <c r="C15" s="29">
        <f>IF(DigitaTICA!G12&lt;&gt;"",DigitaTICA!G12,"")</f>
        <v>31000</v>
      </c>
      <c r="D15" s="42">
        <f>IF(C15="",0,C15*J$11)</f>
        <v>3720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27280</v>
      </c>
      <c r="I15" s="65" t="s">
        <v>104</v>
      </c>
      <c r="J15" s="66">
        <v>0.12</v>
      </c>
      <c r="K15" s="50">
        <f>MROUND(D21+D22+D23,50)</f>
        <v>850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12</v>
      </c>
      <c r="C19" s="29">
        <f>IF(DigitaPRIMERA!$C$12&lt;&gt;"",DigitaPRIMERA!$C$12,"")</f>
        <v>43600</v>
      </c>
      <c r="D19" s="42">
        <f>IF(C19="",0,C19*J$14)</f>
        <v>5232</v>
      </c>
      <c r="E19" s="29">
        <f>IF(DigitaPRIMERA!$D$12&lt;&gt;"",DigitaPRIMERA!$D$12,"")</f>
        <v>2050</v>
      </c>
      <c r="F19" s="42">
        <f>IF(E19="",0,E19*PREMIOS!F19)</f>
        <v>174250</v>
      </c>
      <c r="G19" s="30">
        <f t="shared" si="3"/>
        <v>-135882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>
        <f>IF(DigitaPRIMERA!$E$12&lt;&gt;"",DigitaPRIMERA!$E$12,"")</f>
        <v>8000</v>
      </c>
      <c r="D20" s="42">
        <f>IF(C20="",0,C20*J$14)</f>
        <v>960</v>
      </c>
      <c r="E20" s="29">
        <f>IF(DigitaPRIMERA!$F$12&lt;&gt;"",DigitaPRIMERA!$F$12,"")</f>
        <v>0</v>
      </c>
      <c r="F20" s="42">
        <f>IF(E20="",0,E20*PREMIOS!F19)</f>
        <v>0</v>
      </c>
      <c r="G20" s="30">
        <f t="shared" si="3"/>
        <v>7040</v>
      </c>
    </row>
    <row r="21" spans="1:7" x14ac:dyDescent="0.35">
      <c r="A21" s="28" t="s">
        <v>99</v>
      </c>
      <c r="B21" s="133">
        <f>IF(DigitaHONDURAS!C2&lt;&gt;"",DigitaHONDURAS!C2,"")</f>
        <v>93</v>
      </c>
      <c r="C21" s="29">
        <f>IF(DigitaHONDURAS!$C$12&lt;&gt;"",DigitaHONDURAS!$C$12,"")</f>
        <v>7150</v>
      </c>
      <c r="D21" s="42">
        <f>IF(C21="",0,C21*J$15)</f>
        <v>858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6292</v>
      </c>
    </row>
    <row r="22" spans="1:7" x14ac:dyDescent="0.35">
      <c r="A22" s="28" t="s">
        <v>100</v>
      </c>
      <c r="B22" s="133">
        <f>IF(DigitaHONDURAS!E2&lt;&gt;"",DigitaHONDURAS!E2,"")</f>
        <v>61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60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258850</v>
      </c>
      <c r="D24" s="68">
        <f t="shared" ref="D24:G24" si="4">SUM(D5:D23)</f>
        <v>30856</v>
      </c>
      <c r="E24" s="68">
        <f t="shared" si="4"/>
        <v>3450</v>
      </c>
      <c r="F24" s="68">
        <f t="shared" si="4"/>
        <v>293250</v>
      </c>
      <c r="G24" s="89">
        <f t="shared" si="4"/>
        <v>-65256</v>
      </c>
    </row>
    <row r="27" spans="1:7" x14ac:dyDescent="0.35">
      <c r="G27" s="21">
        <v>327690</v>
      </c>
    </row>
    <row r="28" spans="1:7" x14ac:dyDescent="0.35">
      <c r="G28" s="142">
        <f>+G24+G27</f>
        <v>262434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158000</v>
      </c>
      <c r="K4" s="233">
        <f t="shared" ref="K4" si="0">D7+D11+D15</f>
        <v>18960</v>
      </c>
      <c r="L4" s="222">
        <f>F7+F11+F15</f>
        <v>246500</v>
      </c>
    </row>
    <row r="5" spans="1:12" ht="15" thickBot="1" x14ac:dyDescent="0.4">
      <c r="A5" s="28" t="s">
        <v>43</v>
      </c>
      <c r="B5" s="133">
        <f>IF(DigitaNICA!C2&lt;&gt;"",DigitaNICA!C2,"")</f>
        <v>97</v>
      </c>
      <c r="C5" s="29">
        <f>IF(DigitaNICA!C13&lt;&gt;"",DigitaNICA!C13,"")</f>
        <v>30050</v>
      </c>
      <c r="D5" s="42">
        <f>IF(C5="",0,C5*J$10)</f>
        <v>3606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26444</v>
      </c>
      <c r="I5" s="220" t="s">
        <v>37</v>
      </c>
      <c r="J5" s="234">
        <f>SUM(IF(C5="",0,C5),IF(C9="",0,C9),IF(C13="",0,C13),IF(C17="",0,C17))</f>
        <v>73250</v>
      </c>
      <c r="K5" s="235">
        <f t="shared" ref="K5" si="2">D5+D9+D13+D17</f>
        <v>8790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IF(DigitaTICA!C13&lt;&gt;"",DigitaTICA!C13,"")</f>
        <v>46450</v>
      </c>
      <c r="D7" s="42">
        <f>IF(C7="",0,C7*J$9)</f>
        <v>5574</v>
      </c>
      <c r="E7" s="29">
        <f>IF(DigitaTICA!D13&lt;&gt;"",DigitaTICA!D13,"")</f>
        <v>500</v>
      </c>
      <c r="F7" s="134">
        <f>IF(E7="",0,E7*PREMIOS!F7)</f>
        <v>42500</v>
      </c>
      <c r="G7" s="30">
        <f t="shared" si="1"/>
        <v>-1624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16</v>
      </c>
      <c r="C9" s="29">
        <f>IF(DigitaNICA!E13&lt;&gt;"",DigitaNICA!E13,"")</f>
        <v>24750</v>
      </c>
      <c r="D9" s="42">
        <f>IF(C9="",0,C9*J$10)</f>
        <v>2970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21780</v>
      </c>
      <c r="I9" s="60" t="s">
        <v>36</v>
      </c>
      <c r="J9" s="61">
        <v>0.12</v>
      </c>
      <c r="K9" s="62">
        <f>MROUND(D7+D11+D15,50)</f>
        <v>18950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8800</v>
      </c>
    </row>
    <row r="11" spans="1:12" ht="15" thickBot="1" x14ac:dyDescent="0.4">
      <c r="A11" s="28" t="s">
        <v>59</v>
      </c>
      <c r="B11" s="133">
        <f>IF(DigitaTICA!E2&lt;&gt;"",DigitaTICA!E2,"")</f>
        <v>21</v>
      </c>
      <c r="C11" s="29">
        <f>IF(DigitaTICA!E13&lt;&gt;"",DigitaTICA!E13,"")</f>
        <v>23550</v>
      </c>
      <c r="D11" s="42">
        <f>IF(C11="",0,C11*J$9)</f>
        <v>2826</v>
      </c>
      <c r="E11" s="29">
        <f>IF(DigitaTICA!F13&lt;&gt;"",DigitaTICA!F13,"")</f>
        <v>800</v>
      </c>
      <c r="F11" s="134">
        <f>IF(E11="",0,E11*PREMIOS!F11)</f>
        <v>68000</v>
      </c>
      <c r="G11" s="30">
        <f t="shared" si="1"/>
        <v>-47276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IF(DigitaNICA!G13&lt;&gt;"",DigitaNICA!G13,"")</f>
        <v>17950</v>
      </c>
      <c r="D13" s="42">
        <f>IF(C13="",0,C13*J$10)</f>
        <v>2154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15796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IF(DigitaTICA!G13&lt;&gt;"",DigitaTICA!G13,"")</f>
        <v>88000</v>
      </c>
      <c r="D15" s="42">
        <f>IF(C15="",0,C15*J$9)</f>
        <v>10560</v>
      </c>
      <c r="E15" s="29">
        <f>IF(DigitaTICA!H13&lt;&gt;"",DigitaTICA!H13,"")</f>
        <v>1600</v>
      </c>
      <c r="F15" s="134">
        <f>IF(E15="",0,E15*PREMIOS!F15)</f>
        <v>136000</v>
      </c>
      <c r="G15" s="30">
        <f t="shared" si="3"/>
        <v>-58560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IF(DigitaNICA!I13&lt;&gt;"",DigitaNICA!I13,"")</f>
        <v>500</v>
      </c>
      <c r="D17" s="42">
        <f>IF(C17="",0,C17*J$10)</f>
        <v>60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231250</v>
      </c>
      <c r="D19" s="68">
        <f>MROUND(SUM(D5:D18),50)</f>
        <v>27750</v>
      </c>
      <c r="E19" s="68">
        <f>SUM(E5:E18)</f>
        <v>2900</v>
      </c>
      <c r="F19" s="68">
        <f>SUM(F5:F18)</f>
        <v>246500</v>
      </c>
      <c r="G19" s="89">
        <f>SUM(G5:G18)</f>
        <v>-43000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123750</v>
      </c>
      <c r="K4" s="238">
        <f t="shared" ref="K4" si="0">D7+D11+D15</f>
        <v>18562.5</v>
      </c>
      <c r="L4" s="239">
        <f>F7+F11+F15</f>
        <v>40000</v>
      </c>
    </row>
    <row r="5" spans="1:12" x14ac:dyDescent="0.35">
      <c r="A5" s="28" t="s">
        <v>43</v>
      </c>
      <c r="B5" s="133">
        <f>IF(DigitaNICA!C2&lt;&gt;"",DigitaNICA!C2,"")</f>
        <v>97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>
        <f>IF(DigitaTICA!C14&lt;&gt;"",DigitaTICA!C14,"")</f>
        <v>51550</v>
      </c>
      <c r="D7" s="42">
        <f>IF(C7="",0,C7*J$9)</f>
        <v>7732.5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43817.5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16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18550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21</v>
      </c>
      <c r="C11" s="29">
        <f>IF(DigitaTICA!E14&lt;&gt;"",DigitaTICA!E14,"")</f>
        <v>36400</v>
      </c>
      <c r="D11" s="42">
        <f>IF(C11="",0,C11*J$9)</f>
        <v>5460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30940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>
        <f>IF(DigitaTICA!G14&lt;&gt;"",DigitaTICA!G14,"")</f>
        <v>35800</v>
      </c>
      <c r="D15" s="42">
        <f>IF(C15="",0,C15*J$9)</f>
        <v>5370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-9570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123750</v>
      </c>
      <c r="D19" s="68">
        <f>MROUND(SUM(D5:D18),50)</f>
        <v>18550</v>
      </c>
      <c r="E19" s="68">
        <f>SUM(E5:E18)</f>
        <v>500</v>
      </c>
      <c r="F19" s="68">
        <f>SUM(F5:F18)</f>
        <v>40000</v>
      </c>
      <c r="G19" s="89">
        <f>SUM(G5:G18)</f>
        <v>65187.5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97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52300</v>
      </c>
      <c r="K4" s="233">
        <f>D7+D11+D15</f>
        <v>6276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97</v>
      </c>
      <c r="C5" s="29">
        <f>IF(DigitaNICA!C16&lt;&gt;"",DigitaNICA!C16,"")</f>
        <v>11500</v>
      </c>
      <c r="D5" s="42">
        <f>IF(C5="",0,C5*J$12)</f>
        <v>1380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10120</v>
      </c>
      <c r="I5" s="63" t="s">
        <v>37</v>
      </c>
      <c r="J5" s="227">
        <f>SUM(IF(C5="",0,C5),IF(C9="",0,C9),IF(C13="",0,C13),IF(C17="",0,C17))</f>
        <v>28700</v>
      </c>
      <c r="K5" s="227">
        <f t="shared" ref="K5" si="1">D5+D9+D13+D17</f>
        <v>3444</v>
      </c>
      <c r="L5" s="224">
        <f>F5+F9+F13+F17</f>
        <v>24000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500</v>
      </c>
      <c r="K6" s="228">
        <f t="shared" ref="K6" si="2">+D8+D12+D16</f>
        <v>50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77</v>
      </c>
      <c r="C7" s="29">
        <f>IF(DigitaTICA!C16&lt;&gt;"",DigitaTICA!C16,"")</f>
        <v>14150</v>
      </c>
      <c r="D7" s="42">
        <f>IF(C7="",0,C7*J$11)</f>
        <v>1698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12452</v>
      </c>
      <c r="I7" s="63" t="s">
        <v>96</v>
      </c>
      <c r="J7" s="228">
        <f>SUM(IF(C19="",0,C19),IF(C20="",0,C20))</f>
        <v>1500</v>
      </c>
      <c r="K7" s="228">
        <f>+D19+D20</f>
        <v>180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16</v>
      </c>
      <c r="C9" s="29">
        <f>IF(DigitaNICA!E16&lt;&gt;"",DigitaNICA!E16,"")</f>
        <v>5000</v>
      </c>
      <c r="D9" s="42">
        <f>IF(C9="",0,C9*J$12)</f>
        <v>600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4400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21</v>
      </c>
      <c r="C11" s="29">
        <f>IF(DigitaTICA!E16&lt;&gt;"",DigitaTICA!E16,"")</f>
        <v>13000</v>
      </c>
      <c r="D11" s="42">
        <f>IF(C11="",0,C11*J$11)</f>
        <v>1560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11440</v>
      </c>
      <c r="I11" s="77" t="s">
        <v>36</v>
      </c>
      <c r="J11" s="78">
        <v>0.12</v>
      </c>
      <c r="K11" s="79">
        <f>MROUND(D7+D11+D15,50)</f>
        <v>6300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500</v>
      </c>
      <c r="D12" s="42">
        <f>IF(C12="",0,C12*J$13)</f>
        <v>50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3450</v>
      </c>
    </row>
    <row r="13" spans="1:12" x14ac:dyDescent="0.35">
      <c r="A13" s="28" t="s">
        <v>50</v>
      </c>
      <c r="B13" s="133">
        <f>IF(DigitaNICA!G2&lt;&gt;"",DigitaNICA!G2,"")</f>
        <v>49</v>
      </c>
      <c r="C13" s="29">
        <f>IF(DigitaNICA!G16&lt;&gt;"",DigitaNICA!G16,"")</f>
        <v>1500</v>
      </c>
      <c r="D13" s="42">
        <f>IF(C13="",0,C13*J$12)</f>
        <v>180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1320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3">
        <f>IF(DigitaTICA!G2&lt;&gt;"",DigitaTICA!G2,"")</f>
        <v>22</v>
      </c>
      <c r="C15" s="29">
        <f>IF(DigitaTICA!G16&lt;&gt;"",DigitaTICA!G16,"")</f>
        <v>25150</v>
      </c>
      <c r="D15" s="42">
        <f>IF(C15="",0,C15*J$11)</f>
        <v>3018</v>
      </c>
      <c r="E15" s="29">
        <f>IF(DigitaTICA!H16&lt;&gt;"",DigitaTICA!H16,"")</f>
        <v>500</v>
      </c>
      <c r="F15" s="134">
        <f>IF(E15="",0,E15*PREMIOS!F15)</f>
        <v>42500</v>
      </c>
      <c r="G15" s="30">
        <f t="shared" si="3"/>
        <v>-20368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>
        <f>IF(DigitaNICA!I16&lt;&gt;"",DigitaNICA!I16,"")</f>
        <v>10700</v>
      </c>
      <c r="D17" s="42">
        <f>IF(C17="",0,C17*J$12)</f>
        <v>1284</v>
      </c>
      <c r="E17" s="29">
        <f>IF(DigitaNICA!J16&lt;&gt;"",DigitaNICA!J16,"")</f>
        <v>300</v>
      </c>
      <c r="F17" s="42">
        <f>IF(E17="",0,E17*PREMIOS!E17)</f>
        <v>24000</v>
      </c>
      <c r="G17" s="30">
        <f t="shared" si="3"/>
        <v>-14584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12</v>
      </c>
      <c r="C19" s="29">
        <f>IF(DigitaPRIMERA!C16&lt;&gt;"",DigitaPRIMERA!C16,"")</f>
        <v>1500</v>
      </c>
      <c r="D19" s="42">
        <f>IF(C19="",0,C19*J$14)</f>
        <v>180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1320</v>
      </c>
    </row>
    <row r="20" spans="1:7" x14ac:dyDescent="0.35">
      <c r="A20" s="28" t="s">
        <v>98</v>
      </c>
      <c r="B20" s="133">
        <f>IF(DigitaPRIMERA!E2&lt;&gt;"",DigitaPRIMERA!E2,"")</f>
        <v>47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93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60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83000</v>
      </c>
      <c r="D24" s="123">
        <f t="shared" ref="D24:G24" si="5">SUM(D5:D23)</f>
        <v>9950</v>
      </c>
      <c r="E24" s="123">
        <f t="shared" si="5"/>
        <v>800</v>
      </c>
      <c r="F24" s="123">
        <f t="shared" si="5"/>
        <v>66500</v>
      </c>
      <c r="G24" s="124">
        <f t="shared" si="5"/>
        <v>6550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485850</v>
      </c>
      <c r="K4" s="233">
        <f t="shared" ref="K4" si="0">D7+D11+D15</f>
        <v>58302</v>
      </c>
      <c r="L4" s="222">
        <f>F7+F11+F15</f>
        <v>1194250</v>
      </c>
    </row>
    <row r="5" spans="1:12" x14ac:dyDescent="0.35">
      <c r="A5" s="28" t="s">
        <v>43</v>
      </c>
      <c r="B5" s="133">
        <f>IF(DigitaNICA!C2&lt;&gt;"",DigitaNICA!C2,"")</f>
        <v>97</v>
      </c>
      <c r="C5" s="90">
        <f>IF(DigitaNICA!C17&lt;&gt;"",DigitaNICA!C17,"")</f>
        <v>121500</v>
      </c>
      <c r="D5" s="42">
        <f>IF(C5="",0,C5*J$16)</f>
        <v>14580</v>
      </c>
      <c r="E5" s="90">
        <f>IF(DigitaNICA!D17&lt;&gt;"",DigitaNICA!D17,"")</f>
        <v>0</v>
      </c>
      <c r="F5" s="42">
        <f>IF(E5="",0,E5*PREMIOS!F5)</f>
        <v>0</v>
      </c>
      <c r="G5" s="91">
        <f t="shared" ref="G5:G12" si="1">IF(OR(C5="",E5=""),0,C5-D5-F5)</f>
        <v>106920</v>
      </c>
      <c r="I5" s="219" t="s">
        <v>37</v>
      </c>
      <c r="J5" s="223">
        <f>SUM(IF(C5="",0,C5),IF(C9="",0,C9),IF(C13="",0,C13),IF(C17="",0,C17))</f>
        <v>446250</v>
      </c>
      <c r="K5" s="227">
        <f t="shared" ref="K5" si="2">D5+D9+D13+D17</f>
        <v>53550</v>
      </c>
      <c r="L5" s="224">
        <f>F5+F9+F13+F17</f>
        <v>140250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87000</v>
      </c>
      <c r="K6" s="228">
        <f t="shared" ref="K6" si="3">+D8+D12+D16</f>
        <v>8700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77</v>
      </c>
      <c r="C7" s="90">
        <f>IF(DigitaTICA!C17&lt;&gt;"",DigitaTICA!C17,"")</f>
        <v>131550</v>
      </c>
      <c r="D7" s="42">
        <f>IF(C7="",0,C7*J$15)</f>
        <v>15786</v>
      </c>
      <c r="E7" s="90">
        <f>IF(DigitaTICA!D17&lt;&gt;"",DigitaTICA!D17,"")</f>
        <v>2250</v>
      </c>
      <c r="F7" s="42">
        <f>IF(E7="",0,E7*PREMIOS!F7)</f>
        <v>191250</v>
      </c>
      <c r="G7" s="91">
        <f t="shared" si="1"/>
        <v>-75486</v>
      </c>
      <c r="I7" s="219" t="s">
        <v>96</v>
      </c>
      <c r="J7" s="225">
        <f>SUM(IF(C19="",0,C19),IF(C20="",0,C20))</f>
        <v>110250</v>
      </c>
      <c r="K7" s="228">
        <f>+D19+D20</f>
        <v>13230</v>
      </c>
      <c r="L7" s="229">
        <f>+F19+F20</f>
        <v>42500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25500</v>
      </c>
      <c r="D8" s="42">
        <f>IF(C8="",0,C8*J$17)</f>
        <v>2550</v>
      </c>
      <c r="E8" s="90">
        <f>IF(DigitaREVENTADO!D17&lt;&gt;"",DigitaREVENTADO!D17,"")</f>
        <v>1200</v>
      </c>
      <c r="F8" s="42">
        <f>IF(E8="",0,E8*PREMIOS!F8)</f>
        <v>0</v>
      </c>
      <c r="G8" s="91">
        <f t="shared" si="1"/>
        <v>22950</v>
      </c>
      <c r="I8" s="219" t="s">
        <v>104</v>
      </c>
      <c r="J8" s="225">
        <f>SUM(IF(C21="",0,C21),IF(C22="",0,C22),IF(C23="",0,C23))</f>
        <v>73700</v>
      </c>
      <c r="K8" s="228">
        <f t="shared" ref="K8" si="4">D21+D22+D23</f>
        <v>8844</v>
      </c>
      <c r="L8" s="229">
        <f>F21+F22+F23</f>
        <v>12750</v>
      </c>
    </row>
    <row r="9" spans="1:12" x14ac:dyDescent="0.35">
      <c r="A9" s="28" t="s">
        <v>48</v>
      </c>
      <c r="B9" s="133">
        <f>IF(DigitaNICA!E2&lt;&gt;"",DigitaNICA!E2,"")</f>
        <v>16</v>
      </c>
      <c r="C9" s="90">
        <f>IF(DigitaNICA!E17&lt;&gt;"",DigitaNICA!E17,"")</f>
        <v>102950</v>
      </c>
      <c r="D9" s="42">
        <f>IF(C9="",0,C9*J$16)</f>
        <v>12354</v>
      </c>
      <c r="E9" s="90">
        <f>IF(DigitaNICA!F17&lt;&gt;"",DigitaNICA!F17,"")</f>
        <v>250</v>
      </c>
      <c r="F9" s="42">
        <f>IF(E9="",0,E9*PREMIOS!F9)</f>
        <v>21250</v>
      </c>
      <c r="G9" s="91">
        <f t="shared" si="1"/>
        <v>69346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21</v>
      </c>
      <c r="C11" s="90">
        <f>IF(DigitaTICA!E17&lt;&gt;"",DigitaTICA!E17,"")</f>
        <v>110950</v>
      </c>
      <c r="D11" s="42">
        <f>IF(C11="",0,C11*J$15)</f>
        <v>13314</v>
      </c>
      <c r="E11" s="90">
        <f>IF(DigitaTICA!F17&lt;&gt;"",DigitaTICA!F17,"")</f>
        <v>5300</v>
      </c>
      <c r="F11" s="42">
        <f>IF(E11="",0,E11*PREMIOS!F11)</f>
        <v>450500</v>
      </c>
      <c r="G11" s="91">
        <f t="shared" si="1"/>
        <v>-352864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24750</v>
      </c>
      <c r="D12" s="42">
        <f>IF(C12="",0,C12*J$17)</f>
        <v>2475</v>
      </c>
      <c r="E12" s="90">
        <f>IF(DigitaREVENTADO!F17&lt;&gt;"",DigitaREVENTADO!F17,"")</f>
        <v>100</v>
      </c>
      <c r="F12" s="42">
        <f>IF(E12="",0,E12*PREMIOS!F12)</f>
        <v>0</v>
      </c>
      <c r="G12" s="91">
        <f t="shared" si="1"/>
        <v>22275</v>
      </c>
    </row>
    <row r="13" spans="1:12" ht="15" thickBot="1" x14ac:dyDescent="0.4">
      <c r="A13" s="28" t="s">
        <v>50</v>
      </c>
      <c r="B13" s="133">
        <f>IF(DigitaNICA!G2&lt;&gt;"",DigitaNICA!G2,"")</f>
        <v>49</v>
      </c>
      <c r="C13" s="90">
        <f>IF(DigitaNICA!G17&lt;&gt;"",DigitaNICA!G17,"")</f>
        <v>40400</v>
      </c>
      <c r="D13" s="42">
        <f>IF(C13="",0,C13*J$16)</f>
        <v>4848</v>
      </c>
      <c r="E13" s="90">
        <f>IF(DigitaNICA!H17&lt;&gt;"",DigitaNICA!H17,"")</f>
        <v>250</v>
      </c>
      <c r="F13" s="42">
        <f>IF(E13="",0,E13*PREMIOS!F13)</f>
        <v>21250</v>
      </c>
      <c r="G13" s="91">
        <f>IF(OR(C13="",E13=""),0,C13-D13-F13)</f>
        <v>14302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22</v>
      </c>
      <c r="C15" s="90">
        <f>IF(DigitaTICA!G17&lt;&gt;"",DigitaTICA!G17,"")</f>
        <v>243350</v>
      </c>
      <c r="D15" s="42">
        <f>IF(C15="",0,C15*J$15)</f>
        <v>29202</v>
      </c>
      <c r="E15" s="90">
        <f>IF(DigitaTICA!H17&lt;&gt;"",DigitaTICA!H17,"")</f>
        <v>6500</v>
      </c>
      <c r="F15" s="42">
        <f>IF(E15="",0,E15*PREMIOS!F15)</f>
        <v>552500</v>
      </c>
      <c r="G15" s="91">
        <f t="shared" si="6"/>
        <v>-338352</v>
      </c>
      <c r="I15" s="77" t="s">
        <v>36</v>
      </c>
      <c r="J15" s="78">
        <v>0.12</v>
      </c>
      <c r="K15" s="79">
        <f>MROUND(D7+D11+D15,50)</f>
        <v>58300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36750</v>
      </c>
      <c r="D16" s="42">
        <f>IF(C16="",0,C16*J$17)</f>
        <v>3675</v>
      </c>
      <c r="E16" s="90">
        <f>IF(DigitaREVENTADO!H17&lt;&gt;"",DigitaREVENTADO!H17,"")</f>
        <v>1650</v>
      </c>
      <c r="F16" s="42">
        <f>IF(E16="",0,E16*PREMIOS!F16)</f>
        <v>0</v>
      </c>
      <c r="G16" s="91">
        <f t="shared" si="6"/>
        <v>33075</v>
      </c>
      <c r="I16" s="63" t="s">
        <v>37</v>
      </c>
      <c r="J16" s="64">
        <v>0.12</v>
      </c>
      <c r="K16" s="30">
        <f>MROUND(D5+D9+D13+D17,50)</f>
        <v>53550</v>
      </c>
    </row>
    <row r="17" spans="1:11" x14ac:dyDescent="0.35">
      <c r="A17" s="28" t="s">
        <v>52</v>
      </c>
      <c r="B17" s="133">
        <f>IF(DigitaNICA!I2&lt;&gt;"",DigitaNICA!I2,"")</f>
        <v>99</v>
      </c>
      <c r="C17" s="90">
        <f>IF(DigitaNICA!I17&lt;&gt;"",DigitaNICA!I17,"")</f>
        <v>181400</v>
      </c>
      <c r="D17" s="42">
        <f>IF(C17="",0,C17*J$16)</f>
        <v>21768</v>
      </c>
      <c r="E17" s="90">
        <f>IF(DigitaNICA!J17&lt;&gt;"",DigitaNICA!J17,"")</f>
        <v>1150</v>
      </c>
      <c r="F17" s="42">
        <f>IF(E17="",0,E17*PREMIOS!F17)</f>
        <v>97750</v>
      </c>
      <c r="G17" s="91">
        <f t="shared" si="6"/>
        <v>61882</v>
      </c>
      <c r="I17" s="63" t="s">
        <v>38</v>
      </c>
      <c r="J17" s="64">
        <v>0.1</v>
      </c>
      <c r="K17" s="30">
        <f>MROUND(D6+D8+D10+D12+D14+D16+D18,50)</f>
        <v>8700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13250</v>
      </c>
    </row>
    <row r="19" spans="1:11" x14ac:dyDescent="0.35">
      <c r="A19" s="28" t="s">
        <v>97</v>
      </c>
      <c r="B19" s="133">
        <f>IF(DigitaPRIMERA!C2&lt;&gt;"",DigitaPRIMERA!C2,"")</f>
        <v>12</v>
      </c>
      <c r="C19" s="29">
        <f>IF(DigitaPRIMERA!$C$17&lt;&gt;"",DigitaPRIMERA!$C$17,"")</f>
        <v>78700</v>
      </c>
      <c r="D19" s="42">
        <f>IF(C19="",0,C19*J$18)</f>
        <v>9444</v>
      </c>
      <c r="E19" s="29">
        <f>IF(DigitaPRIMERA!$D$17&lt;&gt;"",DigitaPRIMERA!$D$17,"")</f>
        <v>300</v>
      </c>
      <c r="F19" s="42">
        <f>IF(E19="",0,E19*PREMIOS!F19)</f>
        <v>25500</v>
      </c>
      <c r="G19" s="30">
        <f t="shared" si="6"/>
        <v>43756</v>
      </c>
      <c r="I19" s="63" t="s">
        <v>104</v>
      </c>
      <c r="J19" s="64">
        <v>0.12</v>
      </c>
      <c r="K19" s="30">
        <f>MROUND(D21+D22+D23,50)</f>
        <v>8850</v>
      </c>
    </row>
    <row r="20" spans="1:11" x14ac:dyDescent="0.35">
      <c r="A20" s="28" t="s">
        <v>98</v>
      </c>
      <c r="B20" s="133">
        <f>IF(DigitaPRIMERA!E2&lt;&gt;"",DigitaPRIMERA!E2,"")</f>
        <v>47</v>
      </c>
      <c r="C20" s="29">
        <f>IF(DigitaPRIMERA!$E$17&lt;&gt;"",DigitaPRIMERA!$E$17,"")</f>
        <v>31550</v>
      </c>
      <c r="D20" s="42">
        <f>IF(C20="",0,C20*J$18)</f>
        <v>3786</v>
      </c>
      <c r="E20" s="29">
        <f>IF(DigitaPRIMERA!$F$17&lt;&gt;"",DigitaPRIMERA!$F$17,"")</f>
        <v>200</v>
      </c>
      <c r="F20" s="42">
        <f>IF(E20="",0,E20*PREMIOS!F19)</f>
        <v>17000</v>
      </c>
      <c r="G20" s="30">
        <f t="shared" si="6"/>
        <v>10764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93</v>
      </c>
      <c r="C21" s="29">
        <f>IF(DigitaHONDURAS!$C$17&lt;&gt;"",DigitaHONDURAS!$C$17,"")</f>
        <v>39150</v>
      </c>
      <c r="D21" s="42">
        <f>IF(C21="",0,C21*J$19)</f>
        <v>4698</v>
      </c>
      <c r="E21" s="29">
        <f>IF(DigitaHONDURAS!$D$17&lt;&gt;"",DigitaHONDURAS!$D$17,"")</f>
        <v>150</v>
      </c>
      <c r="F21" s="42">
        <f>IF(E21="",0,E21*PREMIOS!F20)</f>
        <v>12750</v>
      </c>
      <c r="G21" s="30">
        <f t="shared" si="6"/>
        <v>21702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61</v>
      </c>
      <c r="C22" s="29">
        <f>IF(DigitaHONDURAS!$E$17&lt;&gt;"",DigitaHONDURAS!$E$17,"")</f>
        <v>10100</v>
      </c>
      <c r="D22" s="42">
        <f>IF(C22="",0,C22*J$19)</f>
        <v>1212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8888</v>
      </c>
    </row>
    <row r="23" spans="1:11" x14ac:dyDescent="0.35">
      <c r="A23" s="28" t="s">
        <v>101</v>
      </c>
      <c r="B23" s="133">
        <f>IF(DigitaHONDURAS!G2&lt;&gt;"",DigitaHONDURAS!G2,"")</f>
        <v>60</v>
      </c>
      <c r="C23" s="29">
        <f>IF(DigitaHONDURAS!$G$17&lt;&gt;"",DigitaHONDURAS!$G$17,"")</f>
        <v>24450</v>
      </c>
      <c r="D23" s="42">
        <f>IF(C23="",0,C23*J$19)</f>
        <v>2934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21516</v>
      </c>
    </row>
    <row r="24" spans="1:11" x14ac:dyDescent="0.35">
      <c r="A24" s="28" t="s">
        <v>102</v>
      </c>
      <c r="B24" s="133">
        <f>IF(DigitaDOMINICANA!C2&lt;&gt;"",DigitaDOMINICANA!C2,"")</f>
        <v>94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1203050</v>
      </c>
      <c r="D27" s="68">
        <f t="shared" ref="D27:G27" si="7">SUM(D5:D26)</f>
        <v>142626</v>
      </c>
      <c r="E27" s="68">
        <f t="shared" si="7"/>
        <v>19300</v>
      </c>
      <c r="F27" s="68">
        <f t="shared" si="7"/>
        <v>1389750</v>
      </c>
      <c r="G27" s="89">
        <f t="shared" si="7"/>
        <v>-329326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204750</v>
      </c>
      <c r="K4" s="233">
        <f t="shared" ref="K4" si="0">D7+D11+D15</f>
        <v>24570</v>
      </c>
      <c r="L4" s="222">
        <f>F7+F11+F15</f>
        <v>629000</v>
      </c>
    </row>
    <row r="5" spans="1:12" x14ac:dyDescent="0.35">
      <c r="A5" s="28" t="str">
        <f>+Vendedor1!A5</f>
        <v>Nica 11am</v>
      </c>
      <c r="B5" s="133">
        <f>IF(DigitaNICA!C2&lt;&gt;"",DigitaNICA!C2,"")</f>
        <v>97</v>
      </c>
      <c r="C5" s="29">
        <f>IF(DigitaNICA!C18&lt;&gt;"",DigitaNICA!C18,"")</f>
        <v>46000</v>
      </c>
      <c r="D5" s="42">
        <f>IF(C5="",0,C5*J$16)</f>
        <v>5520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40480</v>
      </c>
      <c r="I5" s="219" t="s">
        <v>37</v>
      </c>
      <c r="J5" s="223">
        <f>SUM(IF(C5="",0,C5),IF(C9="",0,C9),IF(C13="",0,C13),IF(C17="",0,C17))</f>
        <v>175850</v>
      </c>
      <c r="K5" s="227">
        <f t="shared" ref="K5" si="2">D5+D9+D13+D17</f>
        <v>21102</v>
      </c>
      <c r="L5" s="224">
        <f>F5+F9+F13+F17</f>
        <v>110500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72050</v>
      </c>
      <c r="K6" s="228">
        <f t="shared" ref="K6" si="3">+D8+D12+D16</f>
        <v>7205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77</v>
      </c>
      <c r="C7" s="29">
        <f>IF(DigitaTICA!C18&lt;&gt;"",DigitaTICA!C18,"")</f>
        <v>57300</v>
      </c>
      <c r="D7" s="42">
        <f>IF(C7="",0,C7*J$15)</f>
        <v>6876</v>
      </c>
      <c r="E7" s="29">
        <f>IF(DigitaTICA!D18&lt;&gt;"",DigitaTICA!D18,"")</f>
        <v>2700</v>
      </c>
      <c r="F7" s="42">
        <f>IF(E7="",0,E7*PREMIOS!F7)</f>
        <v>229500</v>
      </c>
      <c r="G7" s="30">
        <f t="shared" si="1"/>
        <v>-179076</v>
      </c>
      <c r="I7" s="219" t="s">
        <v>96</v>
      </c>
      <c r="J7" s="225">
        <f>SUM(IF(C19="",0,C19),IF(C20="",0,C20))</f>
        <v>92250</v>
      </c>
      <c r="K7" s="228">
        <f>+D19+D20</f>
        <v>11070</v>
      </c>
      <c r="L7" s="229">
        <f>+F19+F20</f>
        <v>102000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25450</v>
      </c>
      <c r="D8" s="42">
        <f>IF(C8="",0,C8*J$17)</f>
        <v>2545</v>
      </c>
      <c r="E8" s="29">
        <f>IF(DigitaREVENTADO!D18&lt;&gt;"",DigitaREVENTADO!D18,"")</f>
        <v>500</v>
      </c>
      <c r="F8" s="42">
        <f>IF(E8="",0,E8*PREMIOS!F8)</f>
        <v>0</v>
      </c>
      <c r="G8" s="30">
        <f t="shared" si="1"/>
        <v>22905</v>
      </c>
      <c r="I8" s="219" t="s">
        <v>104</v>
      </c>
      <c r="J8" s="225">
        <f>SUM(IF(C21="",0,C21),IF(C22="",0,C22),IF(C23="",0,C23))</f>
        <v>17000</v>
      </c>
      <c r="K8" s="228">
        <f t="shared" ref="K8" si="4">D21+D22+D23</f>
        <v>2040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16</v>
      </c>
      <c r="C9" s="29">
        <f>IF(DigitaNICA!E18&lt;&gt;"",DigitaNICA!E18,"")</f>
        <v>37900</v>
      </c>
      <c r="D9" s="42">
        <f>IF(C9="",0,C9*J$16)</f>
        <v>4548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33352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21</v>
      </c>
      <c r="C11" s="29">
        <f>IF(DigitaTICA!E18&lt;&gt;"",DigitaTICA!E18,"")</f>
        <v>44300</v>
      </c>
      <c r="D11" s="42">
        <f>IF(C11="",0,C11*J$15)</f>
        <v>5316</v>
      </c>
      <c r="E11" s="29">
        <f>IF(DigitaTICA!F18&lt;&gt;"",DigitaTICA!F18,"")</f>
        <v>2550</v>
      </c>
      <c r="F11" s="42">
        <f>IF(E11="",0,E11*PREMIOS!F11)</f>
        <v>216750</v>
      </c>
      <c r="G11" s="30">
        <f t="shared" si="1"/>
        <v>-177766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17900</v>
      </c>
      <c r="D12" s="42">
        <f>IF(C12="",0,C12*J$17)</f>
        <v>1790</v>
      </c>
      <c r="E12" s="29">
        <f>IF(DigitaREVENTADO!F18&lt;&gt;"",DigitaREVENTADO!F18,"")</f>
        <v>1200</v>
      </c>
      <c r="F12" s="42">
        <f>IF(E12="",0,E12*PREMIOS!F12)</f>
        <v>0</v>
      </c>
      <c r="G12" s="30">
        <f t="shared" si="1"/>
        <v>16110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49</v>
      </c>
      <c r="C13" s="29">
        <f>IF(DigitaNICA!G18&lt;&gt;"",DigitaNICA!G18,"")</f>
        <v>64100</v>
      </c>
      <c r="D13" s="42">
        <f>IF(C13="",0,C13*J$16)</f>
        <v>7692</v>
      </c>
      <c r="E13" s="29">
        <f>IF(DigitaNICA!H18&lt;&gt;"",DigitaNICA!H18,"")</f>
        <v>800</v>
      </c>
      <c r="F13" s="42">
        <f>IF(E13="",0,E13*PREMIOS!F13)</f>
        <v>68000</v>
      </c>
      <c r="G13" s="30">
        <f>IF(OR(C13="",E13=""),0,C13-D13-F13)</f>
        <v>-11592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22</v>
      </c>
      <c r="C15" s="29">
        <f>IF(DigitaTICA!G18&lt;&gt;"",DigitaTICA!G18,"")</f>
        <v>103150</v>
      </c>
      <c r="D15" s="42">
        <f>IF(C15="",0,C15*J$15)</f>
        <v>12378</v>
      </c>
      <c r="E15" s="29">
        <f>IF(DigitaTICA!H18&lt;&gt;"",DigitaTICA!H18,"")</f>
        <v>2150</v>
      </c>
      <c r="F15" s="42">
        <f>IF(E15="",0,E15*PREMIOS!F15)</f>
        <v>182750</v>
      </c>
      <c r="G15" s="30">
        <f t="shared" si="6"/>
        <v>-91978</v>
      </c>
      <c r="I15" s="77" t="s">
        <v>36</v>
      </c>
      <c r="J15" s="78">
        <v>0.12</v>
      </c>
      <c r="K15" s="79">
        <f>MROUND(D7+D11+D15,50)</f>
        <v>24550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28700</v>
      </c>
      <c r="D16" s="42">
        <f>IF(C16="",0,C16*J$17)</f>
        <v>2870</v>
      </c>
      <c r="E16" s="29">
        <f>IF(DigitaREVENTADO!H18&lt;&gt;"",DigitaREVENTADO!H18,"")</f>
        <v>1250</v>
      </c>
      <c r="F16" s="42">
        <f>IF(E16="",0,E16*PREMIOS!F16)</f>
        <v>0</v>
      </c>
      <c r="G16" s="30">
        <f t="shared" si="6"/>
        <v>25830</v>
      </c>
      <c r="I16" s="63" t="s">
        <v>37</v>
      </c>
      <c r="J16" s="64">
        <v>0.12</v>
      </c>
      <c r="K16" s="30">
        <f>MROUND(D5+D9+D13+D17,50)</f>
        <v>21100</v>
      </c>
    </row>
    <row r="17" spans="1:11" x14ac:dyDescent="0.35">
      <c r="A17" s="28" t="str">
        <f>+Vendedor1!A17</f>
        <v>Nica 9pm</v>
      </c>
      <c r="B17" s="133">
        <f>IF(DigitaNICA!I2&lt;&gt;"",DigitaNICA!I2,"")</f>
        <v>99</v>
      </c>
      <c r="C17" s="29">
        <f>IF(DigitaNICA!I18&lt;&gt;"",DigitaNICA!I18,"")</f>
        <v>27850</v>
      </c>
      <c r="D17" s="42">
        <f>IF(C17="",0,C17*J$16)</f>
        <v>3342</v>
      </c>
      <c r="E17" s="29">
        <f>IF(DigitaNICA!J18&lt;&gt;"",DigitaNICA!J18,"")</f>
        <v>500</v>
      </c>
      <c r="F17" s="42">
        <f>IF(E17="",0,E17*PREMIOS!F17)</f>
        <v>42500</v>
      </c>
      <c r="G17" s="30">
        <f t="shared" si="6"/>
        <v>-17992</v>
      </c>
      <c r="I17" s="63" t="s">
        <v>38</v>
      </c>
      <c r="J17" s="64">
        <v>0.1</v>
      </c>
      <c r="K17" s="30">
        <f>MROUND(D6+D8+D10+D12+D14+D16+D18,50)</f>
        <v>7200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11050</v>
      </c>
    </row>
    <row r="19" spans="1:11" x14ac:dyDescent="0.35">
      <c r="A19" s="28" t="s">
        <v>97</v>
      </c>
      <c r="B19" s="133">
        <f>IF(DigitaPRIMERA!C2&lt;&gt;"",DigitaPRIMERA!C2,"")</f>
        <v>12</v>
      </c>
      <c r="C19" s="29">
        <f>IF(DigitaPRIMERA!$C$18&lt;&gt;"",DigitaPRIMERA!$C$18,"")</f>
        <v>42650</v>
      </c>
      <c r="D19" s="42">
        <f>IF(C19="",0,C19*J$18)</f>
        <v>5118</v>
      </c>
      <c r="E19" s="29">
        <f>IF(DigitaPRIMERA!$D$18&lt;&gt;"",DigitaPRIMERA!$D$18,"")</f>
        <v>1200</v>
      </c>
      <c r="F19" s="42">
        <f>IF(E19="",0,E19*PREMIOS!F19)</f>
        <v>102000</v>
      </c>
      <c r="G19" s="30">
        <f t="shared" si="6"/>
        <v>-64468</v>
      </c>
      <c r="I19" s="63" t="s">
        <v>104</v>
      </c>
      <c r="J19" s="64">
        <v>0.12</v>
      </c>
      <c r="K19" s="30">
        <f>MROUND(D21+D22+D23,50)</f>
        <v>2050</v>
      </c>
    </row>
    <row r="20" spans="1:11" x14ac:dyDescent="0.35">
      <c r="A20" s="28" t="s">
        <v>98</v>
      </c>
      <c r="B20" s="133">
        <f>IF(DigitaPRIMERA!E2&lt;&gt;"",DigitaPRIMERA!E2,"")</f>
        <v>47</v>
      </c>
      <c r="C20" s="29">
        <f>IF(DigitaPRIMERA!$E$18&lt;&gt;"",DigitaPRIMERA!$E$18,"")</f>
        <v>49600</v>
      </c>
      <c r="D20" s="42">
        <f>IF(C20="",0,C20*J$18)</f>
        <v>5952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43648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93</v>
      </c>
      <c r="C21" s="29">
        <f>IF(DigitaHONDURAS!$C$18&lt;&gt;"",DigitaHONDURAS!$C$18,"")</f>
        <v>9800</v>
      </c>
      <c r="D21" s="42">
        <f>IF(C21="",0,C21*J$19)</f>
        <v>1176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8624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61</v>
      </c>
      <c r="C22" s="29">
        <f>IF(DigitaHONDURAS!$E$18&lt;&gt;"",DigitaHONDURAS!$E$18,"")</f>
        <v>1000</v>
      </c>
      <c r="D22" s="42">
        <f>IF(C22="",0,C22*J$19)</f>
        <v>120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880</v>
      </c>
    </row>
    <row r="23" spans="1:11" x14ac:dyDescent="0.35">
      <c r="A23" s="28" t="s">
        <v>101</v>
      </c>
      <c r="B23" s="133">
        <f>IF(DigitaHONDURAS!G2&lt;&gt;"",DigitaHONDURAS!G2,"")</f>
        <v>60</v>
      </c>
      <c r="C23" s="29">
        <f>IF(DigitaHONDURAS!$G$18&lt;&gt;"",DigitaHONDURAS!$G$18,"")</f>
        <v>6200</v>
      </c>
      <c r="D23" s="42">
        <f>IF(C23="",0,C23*J$19)</f>
        <v>744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5456</v>
      </c>
    </row>
    <row r="24" spans="1:11" x14ac:dyDescent="0.35">
      <c r="A24" s="28" t="s">
        <v>102</v>
      </c>
      <c r="B24" s="133">
        <f>IF(DigitaDOMINICANA!C2&lt;&gt;"",DigitaDOMINICANA!C2,"")</f>
        <v>94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 t="str">
        <f>IF(DigitaDOMINICANA!E2&lt;&gt;"",DigitaDOMINICANA!E2,"")</f>
        <v>08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561900</v>
      </c>
      <c r="D27" s="68">
        <f t="shared" ref="D27:G27" si="7">SUM(D5:D26)</f>
        <v>65987</v>
      </c>
      <c r="E27" s="68">
        <f t="shared" si="7"/>
        <v>12850</v>
      </c>
      <c r="F27" s="68">
        <f t="shared" si="7"/>
        <v>841500</v>
      </c>
      <c r="G27" s="89">
        <f t="shared" si="7"/>
        <v>-345587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97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77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16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49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22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99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97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16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22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97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49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22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99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77</v>
      </c>
      <c r="D2" s="269"/>
      <c r="E2" s="268">
        <f>IF(PREMIOS!$B11="","",PREMIOS!$B11)</f>
        <v>21</v>
      </c>
      <c r="F2" s="269"/>
      <c r="G2" s="268">
        <f>IF(PREMIOS!$B15="","",PREMIOS!$B15)</f>
        <v>22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68250</v>
      </c>
      <c r="D4" s="79">
        <v>1100</v>
      </c>
      <c r="E4" s="190">
        <v>29600</v>
      </c>
      <c r="F4" s="79">
        <v>2950</v>
      </c>
      <c r="G4" s="190">
        <v>107000</v>
      </c>
      <c r="H4" s="79">
        <v>2550</v>
      </c>
      <c r="J4" s="42">
        <f t="shared" ref="J4:J8" si="0">+C4+E4+G4</f>
        <v>204850</v>
      </c>
      <c r="K4" s="42">
        <f>IF(D4="",0,IF(F4="",D4,IF(H4="",D4+F4,D4+F4+H4)))</f>
        <v>6600</v>
      </c>
    </row>
    <row r="5" spans="1:11" x14ac:dyDescent="0.35">
      <c r="A5" s="47">
        <v>2</v>
      </c>
      <c r="B5" s="179" t="str">
        <f>Vendedor2!$B$2</f>
        <v>PUESTO 2</v>
      </c>
      <c r="C5" s="181">
        <v>32500</v>
      </c>
      <c r="D5" s="30">
        <f t="shared" ref="D5:H27" si="1">IF(C5="","",0)</f>
        <v>0</v>
      </c>
      <c r="E5" s="181">
        <v>29500</v>
      </c>
      <c r="F5" s="30">
        <v>350</v>
      </c>
      <c r="G5" s="181">
        <v>78900</v>
      </c>
      <c r="H5" s="30">
        <v>1000</v>
      </c>
      <c r="J5" s="42">
        <f t="shared" si="0"/>
        <v>140900</v>
      </c>
      <c r="K5" s="42">
        <f t="shared" ref="K5:K27" si="2">IF(D5="",0,IF(F5="",D5,IF(H5="",D5+F5,D5+F5+H5)))</f>
        <v>1350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40000</v>
      </c>
      <c r="D8" s="30">
        <f t="shared" si="1"/>
        <v>0</v>
      </c>
      <c r="E8" s="181">
        <v>24950</v>
      </c>
      <c r="F8" s="30">
        <v>1800</v>
      </c>
      <c r="G8" s="181">
        <v>56050</v>
      </c>
      <c r="H8" s="30">
        <v>1700</v>
      </c>
      <c r="J8" s="42">
        <f t="shared" si="0"/>
        <v>121000</v>
      </c>
      <c r="K8" s="42">
        <f t="shared" si="2"/>
        <v>3500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39400+96100</f>
        <v>135500</v>
      </c>
      <c r="D10" s="30">
        <f>2500+2000</f>
        <v>4500</v>
      </c>
      <c r="E10" s="181">
        <v>149950</v>
      </c>
      <c r="F10" s="30">
        <v>4350</v>
      </c>
      <c r="G10" s="181">
        <v>190300</v>
      </c>
      <c r="H10" s="30">
        <v>2050</v>
      </c>
      <c r="J10" s="42">
        <f t="shared" si="3"/>
        <v>475750</v>
      </c>
      <c r="K10" s="42">
        <f t="shared" si="2"/>
        <v>10900</v>
      </c>
    </row>
    <row r="11" spans="1:11" x14ac:dyDescent="0.35">
      <c r="A11" s="47">
        <v>8</v>
      </c>
      <c r="B11" s="179" t="str">
        <f>Vendedor8!$B$2</f>
        <v>ISA</v>
      </c>
      <c r="C11" s="181">
        <v>5500</v>
      </c>
      <c r="D11" s="30">
        <f t="shared" si="1"/>
        <v>0</v>
      </c>
      <c r="E11" s="181"/>
      <c r="F11" s="30" t="str">
        <f t="shared" si="1"/>
        <v/>
      </c>
      <c r="G11" s="181">
        <v>31300</v>
      </c>
      <c r="H11" s="30">
        <f t="shared" si="1"/>
        <v>0</v>
      </c>
      <c r="J11" s="42">
        <f t="shared" si="3"/>
        <v>36800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34600</v>
      </c>
      <c r="D12" s="30">
        <f t="shared" si="1"/>
        <v>0</v>
      </c>
      <c r="E12" s="181">
        <v>31050</v>
      </c>
      <c r="F12" s="30">
        <v>600</v>
      </c>
      <c r="G12" s="181">
        <v>31000</v>
      </c>
      <c r="H12" s="30">
        <f t="shared" si="1"/>
        <v>0</v>
      </c>
      <c r="J12" s="42">
        <f t="shared" si="3"/>
        <v>96650</v>
      </c>
      <c r="K12" s="42">
        <f t="shared" si="2"/>
        <v>600</v>
      </c>
    </row>
    <row r="13" spans="1:11" x14ac:dyDescent="0.35">
      <c r="A13" s="47">
        <v>10</v>
      </c>
      <c r="B13" s="179" t="str">
        <f>Vendedor10!$B$2</f>
        <v>MARIALIZ</v>
      </c>
      <c r="C13" s="181">
        <v>46450</v>
      </c>
      <c r="D13" s="30">
        <v>500</v>
      </c>
      <c r="E13" s="181">
        <v>23550</v>
      </c>
      <c r="F13" s="30">
        <v>800</v>
      </c>
      <c r="G13" s="181">
        <v>88000</v>
      </c>
      <c r="H13" s="30">
        <v>1600</v>
      </c>
      <c r="J13" s="42">
        <f t="shared" si="3"/>
        <v>158000</v>
      </c>
      <c r="K13" s="42">
        <f t="shared" si="2"/>
        <v>2900</v>
      </c>
    </row>
    <row r="14" spans="1:11" x14ac:dyDescent="0.35">
      <c r="A14" s="47">
        <v>11</v>
      </c>
      <c r="B14" s="179" t="str">
        <f>Vendedor11!$B$2</f>
        <v>CHARLY</v>
      </c>
      <c r="C14" s="181">
        <v>51550</v>
      </c>
      <c r="D14" s="30">
        <f t="shared" si="1"/>
        <v>0</v>
      </c>
      <c r="E14" s="181">
        <v>36400</v>
      </c>
      <c r="F14" s="30">
        <f t="shared" si="1"/>
        <v>0</v>
      </c>
      <c r="G14" s="181">
        <v>35800</v>
      </c>
      <c r="H14" s="30">
        <v>500</v>
      </c>
      <c r="J14" s="42">
        <f t="shared" si="3"/>
        <v>123750</v>
      </c>
      <c r="K14" s="42">
        <f t="shared" si="2"/>
        <v>500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14150</v>
      </c>
      <c r="D16" s="30">
        <f t="shared" si="1"/>
        <v>0</v>
      </c>
      <c r="E16" s="181">
        <v>13000</v>
      </c>
      <c r="F16" s="30">
        <f t="shared" si="1"/>
        <v>0</v>
      </c>
      <c r="G16" s="181">
        <v>25150</v>
      </c>
      <c r="H16" s="30">
        <v>500</v>
      </c>
      <c r="J16" s="42">
        <f t="shared" si="3"/>
        <v>52300</v>
      </c>
      <c r="K16" s="42">
        <f t="shared" si="2"/>
        <v>500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30900+100650</f>
        <v>131550</v>
      </c>
      <c r="D17" s="30">
        <f>1300+950</f>
        <v>2250</v>
      </c>
      <c r="E17" s="181">
        <f>77850+33100</f>
        <v>110950</v>
      </c>
      <c r="F17" s="30">
        <f>5200+100</f>
        <v>5300</v>
      </c>
      <c r="G17" s="181">
        <f>199400+43950</f>
        <v>243350</v>
      </c>
      <c r="H17" s="30">
        <f>4550+1950</f>
        <v>6500</v>
      </c>
      <c r="J17" s="42">
        <f t="shared" si="3"/>
        <v>485850</v>
      </c>
      <c r="K17" s="42">
        <f t="shared" si="2"/>
        <v>14050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27850+29450</f>
        <v>57300</v>
      </c>
      <c r="D18" s="30">
        <f>2200+500</f>
        <v>2700</v>
      </c>
      <c r="E18" s="181">
        <f>17900+26400</f>
        <v>44300</v>
      </c>
      <c r="F18" s="30">
        <f>1200+1350</f>
        <v>2550</v>
      </c>
      <c r="G18" s="181">
        <f>30700+72450</f>
        <v>103150</v>
      </c>
      <c r="H18" s="30">
        <f>1250+900</f>
        <v>2150</v>
      </c>
      <c r="J18" s="42">
        <f t="shared" si="3"/>
        <v>204750</v>
      </c>
      <c r="K18" s="42">
        <f t="shared" si="2"/>
        <v>7400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617350</v>
      </c>
      <c r="D32" s="44">
        <f t="shared" si="6"/>
        <v>11050</v>
      </c>
      <c r="E32" s="43">
        <f t="shared" si="6"/>
        <v>493250</v>
      </c>
      <c r="F32" s="44">
        <f t="shared" si="6"/>
        <v>18700</v>
      </c>
      <c r="G32" s="43">
        <f t="shared" si="6"/>
        <v>990000</v>
      </c>
      <c r="H32" s="44">
        <f t="shared" si="6"/>
        <v>18550</v>
      </c>
      <c r="J32" s="96">
        <f>SUM(J4:J31)</f>
        <v>2100600</v>
      </c>
      <c r="K32" s="96"/>
    </row>
    <row r="33" spans="2:8" x14ac:dyDescent="0.35">
      <c r="D33" s="100">
        <f>+D32*85</f>
        <v>939250</v>
      </c>
      <c r="F33" s="100">
        <f>+F32*85</f>
        <v>1589500</v>
      </c>
      <c r="H33" s="100">
        <f>+H32*85</f>
        <v>1576750</v>
      </c>
    </row>
    <row r="34" spans="2:8" x14ac:dyDescent="0.35">
      <c r="B34" s="249" t="s">
        <v>149</v>
      </c>
      <c r="C34" s="43">
        <f t="shared" ref="C34:H34" si="7">+C4+C5+C6+C8+C13</f>
        <v>187200</v>
      </c>
      <c r="D34" s="43" t="e">
        <f t="shared" si="7"/>
        <v>#VALUE!</v>
      </c>
      <c r="E34" s="43">
        <f t="shared" si="7"/>
        <v>107600</v>
      </c>
      <c r="F34" s="43" t="e">
        <f t="shared" si="7"/>
        <v>#VALUE!</v>
      </c>
      <c r="G34" s="43">
        <f t="shared" si="7"/>
        <v>329950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245900</v>
      </c>
      <c r="D35" s="43" t="e">
        <f t="shared" ref="D35:H35" si="8">+D11+D14+D15+D17+D18</f>
        <v>#VALUE!</v>
      </c>
      <c r="E35" s="43">
        <f t="shared" si="8"/>
        <v>191650</v>
      </c>
      <c r="F35" s="43" t="e">
        <f t="shared" si="8"/>
        <v>#VALUE!</v>
      </c>
      <c r="G35" s="43">
        <f t="shared" si="8"/>
        <v>413600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170100</v>
      </c>
      <c r="D36" s="43" t="e">
        <f t="shared" ref="D36:H36" si="9">+D10+D12+D27</f>
        <v>#VALUE!</v>
      </c>
      <c r="E36" s="43">
        <f t="shared" si="9"/>
        <v>181000</v>
      </c>
      <c r="F36" s="43" t="e">
        <f t="shared" si="9"/>
        <v>#VALUE!</v>
      </c>
      <c r="G36" s="43">
        <f t="shared" si="9"/>
        <v>221300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97</v>
      </c>
      <c r="D2" s="269"/>
      <c r="E2" s="268">
        <f>IF(PREMIOS!$B9="","",PREMIOS!$B9)</f>
        <v>16</v>
      </c>
      <c r="F2" s="269"/>
      <c r="G2" s="268">
        <f>IF(PREMIOS!$B13="","",PREMIOS!$B13)</f>
        <v>49</v>
      </c>
      <c r="H2" s="269"/>
      <c r="I2" s="268">
        <f>IF(PREMIOS!$B17="","",PREMIOS!$B17)</f>
        <v>99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24850</v>
      </c>
      <c r="D4" s="79">
        <f t="shared" ref="D4:J27" si="0">IF(C4="","",0)</f>
        <v>0</v>
      </c>
      <c r="E4" s="207">
        <v>9450</v>
      </c>
      <c r="F4" s="79">
        <f t="shared" si="0"/>
        <v>0</v>
      </c>
      <c r="G4" s="190">
        <v>3100</v>
      </c>
      <c r="H4" s="79">
        <f t="shared" ref="H4:H27" si="1">IF(G4="","",0)</f>
        <v>0</v>
      </c>
      <c r="I4" s="190">
        <v>5600</v>
      </c>
      <c r="J4" s="79">
        <f t="shared" si="0"/>
        <v>0</v>
      </c>
      <c r="L4" s="42">
        <f t="shared" ref="L4:L8" si="2">+C4+E4+G4+I4</f>
        <v>43000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24000</v>
      </c>
      <c r="D5" s="30">
        <f t="shared" si="0"/>
        <v>0</v>
      </c>
      <c r="E5" s="208">
        <v>7100</v>
      </c>
      <c r="F5" s="30">
        <f t="shared" si="0"/>
        <v>0</v>
      </c>
      <c r="G5" s="181">
        <v>9500</v>
      </c>
      <c r="H5" s="30">
        <f t="shared" si="1"/>
        <v>0</v>
      </c>
      <c r="I5" s="181">
        <v>300</v>
      </c>
      <c r="J5" s="30">
        <f t="shared" ref="J5:J27" si="3">IF(I5="","",0)</f>
        <v>0</v>
      </c>
      <c r="L5" s="42">
        <f t="shared" si="2"/>
        <v>40900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58150</v>
      </c>
      <c r="D8" s="30">
        <f t="shared" si="0"/>
        <v>0</v>
      </c>
      <c r="E8" s="208">
        <v>33500</v>
      </c>
      <c r="F8" s="30">
        <v>350</v>
      </c>
      <c r="G8" s="181">
        <v>6400</v>
      </c>
      <c r="H8" s="30">
        <f t="shared" si="1"/>
        <v>0</v>
      </c>
      <c r="I8" s="181">
        <v>40700</v>
      </c>
      <c r="J8" s="30">
        <v>700</v>
      </c>
      <c r="L8" s="42">
        <f t="shared" si="2"/>
        <v>138750</v>
      </c>
      <c r="M8" s="42">
        <f t="shared" si="4"/>
        <v>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34150+35400</f>
        <v>69550</v>
      </c>
      <c r="D10" s="30">
        <v>200</v>
      </c>
      <c r="E10" s="208">
        <v>93750</v>
      </c>
      <c r="F10" s="30">
        <v>450</v>
      </c>
      <c r="G10" s="181">
        <v>60950</v>
      </c>
      <c r="H10" s="30">
        <v>1200</v>
      </c>
      <c r="I10" s="181">
        <v>133100</v>
      </c>
      <c r="J10" s="30">
        <v>2200</v>
      </c>
      <c r="L10" s="42">
        <f t="shared" si="5"/>
        <v>357350</v>
      </c>
      <c r="M10" s="42">
        <f t="shared" si="4"/>
        <v>4050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62950</v>
      </c>
      <c r="D12" s="30">
        <v>300</v>
      </c>
      <c r="E12" s="208">
        <v>30200</v>
      </c>
      <c r="F12" s="30">
        <v>500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93150</v>
      </c>
      <c r="M12" s="42">
        <f t="shared" si="4"/>
        <v>800</v>
      </c>
    </row>
    <row r="13" spans="1:13" x14ac:dyDescent="0.35">
      <c r="A13" s="47">
        <v>10</v>
      </c>
      <c r="B13" s="179" t="str">
        <f>Vendedor10!$B$2</f>
        <v>MARIALIZ</v>
      </c>
      <c r="C13" s="181">
        <v>30050</v>
      </c>
      <c r="D13" s="30">
        <f t="shared" si="0"/>
        <v>0</v>
      </c>
      <c r="E13" s="208">
        <v>24750</v>
      </c>
      <c r="F13" s="30">
        <f t="shared" si="0"/>
        <v>0</v>
      </c>
      <c r="G13" s="181">
        <v>17950</v>
      </c>
      <c r="H13" s="30">
        <f t="shared" si="0"/>
        <v>0</v>
      </c>
      <c r="I13" s="181">
        <v>500</v>
      </c>
      <c r="J13" s="30">
        <f t="shared" si="0"/>
        <v>0</v>
      </c>
      <c r="L13" s="42">
        <f t="shared" si="5"/>
        <v>73250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11500</v>
      </c>
      <c r="D16" s="30">
        <f t="shared" si="0"/>
        <v>0</v>
      </c>
      <c r="E16" s="208">
        <v>5000</v>
      </c>
      <c r="F16" s="30">
        <f t="shared" si="0"/>
        <v>0</v>
      </c>
      <c r="G16" s="181">
        <v>1500</v>
      </c>
      <c r="H16" s="30">
        <f t="shared" si="0"/>
        <v>0</v>
      </c>
      <c r="I16" s="181">
        <v>10700</v>
      </c>
      <c r="J16" s="30">
        <v>300</v>
      </c>
      <c r="L16" s="42">
        <f t="shared" si="5"/>
        <v>28700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121500</v>
      </c>
      <c r="D17" s="30">
        <f t="shared" si="0"/>
        <v>0</v>
      </c>
      <c r="E17" s="208">
        <v>102950</v>
      </c>
      <c r="F17" s="30">
        <v>250</v>
      </c>
      <c r="G17" s="181">
        <v>40400</v>
      </c>
      <c r="H17" s="30">
        <v>250</v>
      </c>
      <c r="I17" s="181">
        <v>181400</v>
      </c>
      <c r="J17" s="30">
        <v>1150</v>
      </c>
      <c r="L17" s="42">
        <f t="shared" si="5"/>
        <v>446250</v>
      </c>
      <c r="M17" s="42">
        <f t="shared" si="4"/>
        <v>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46000</v>
      </c>
      <c r="D18" s="30">
        <f t="shared" si="0"/>
        <v>0</v>
      </c>
      <c r="E18" s="208">
        <v>37900</v>
      </c>
      <c r="F18" s="30">
        <f t="shared" si="0"/>
        <v>0</v>
      </c>
      <c r="G18" s="181">
        <v>64100</v>
      </c>
      <c r="H18" s="30">
        <v>800</v>
      </c>
      <c r="I18" s="181">
        <v>27850</v>
      </c>
      <c r="J18" s="30">
        <v>500</v>
      </c>
      <c r="L18" s="42">
        <f t="shared" si="5"/>
        <v>175850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448550</v>
      </c>
      <c r="D32" s="44">
        <f t="shared" si="7"/>
        <v>500</v>
      </c>
      <c r="E32" s="43">
        <f t="shared" si="7"/>
        <v>344600</v>
      </c>
      <c r="F32" s="44">
        <f t="shared" si="7"/>
        <v>1550</v>
      </c>
      <c r="G32" s="43">
        <f t="shared" si="7"/>
        <v>203900</v>
      </c>
      <c r="H32" s="44">
        <f t="shared" si="7"/>
        <v>2250</v>
      </c>
      <c r="I32" s="43">
        <f t="shared" si="7"/>
        <v>400150</v>
      </c>
      <c r="J32" s="44">
        <f t="shared" si="7"/>
        <v>4850</v>
      </c>
      <c r="L32" s="96">
        <f>SUM(L9:L31)</f>
        <v>1174550</v>
      </c>
      <c r="M32" s="96">
        <f>SUM(M9:M31)</f>
        <v>4850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77 Blanca</v>
      </c>
      <c r="D2" s="269"/>
      <c r="E2" s="268" t="str">
        <f>IF(E33=0,"",CONCATENATE(PREMIOS!$B11," ",PREMIOS!$B12))</f>
        <v>21 Blanca</v>
      </c>
      <c r="F2" s="269"/>
      <c r="G2" s="268" t="str">
        <f>IF(G33=0,"",CONCATENATE(PREMIOS!$B15," ",PREMIOS!$B16))</f>
        <v>22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14000+9850</f>
        <v>23850</v>
      </c>
      <c r="D10" s="30">
        <f>1500+1500</f>
        <v>3000</v>
      </c>
      <c r="E10" s="181">
        <v>31300</v>
      </c>
      <c r="F10" s="30">
        <v>850</v>
      </c>
      <c r="G10" s="181">
        <v>30600</v>
      </c>
      <c r="H10" s="30">
        <v>500</v>
      </c>
      <c r="J10" s="42">
        <f t="shared" si="3"/>
        <v>85750</v>
      </c>
      <c r="K10" s="42">
        <f t="shared" si="4"/>
        <v>4350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6950</v>
      </c>
      <c r="D12" s="30">
        <f t="shared" si="0"/>
        <v>0</v>
      </c>
      <c r="E12" s="181">
        <v>3350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10300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500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25500</v>
      </c>
      <c r="D17" s="30">
        <v>1200</v>
      </c>
      <c r="E17" s="181">
        <v>24750</v>
      </c>
      <c r="F17" s="30">
        <v>100</v>
      </c>
      <c r="G17" s="181">
        <v>36750</v>
      </c>
      <c r="H17" s="30">
        <v>1650</v>
      </c>
      <c r="J17" s="42">
        <f t="shared" si="3"/>
        <v>87000</v>
      </c>
      <c r="K17" s="42">
        <f t="shared" si="4"/>
        <v>2950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25450</v>
      </c>
      <c r="D18" s="30">
        <v>500</v>
      </c>
      <c r="E18" s="181">
        <v>17900</v>
      </c>
      <c r="F18" s="30">
        <v>1200</v>
      </c>
      <c r="G18" s="181">
        <v>28700</v>
      </c>
      <c r="H18" s="30">
        <v>1250</v>
      </c>
      <c r="J18" s="42">
        <f t="shared" si="3"/>
        <v>72050</v>
      </c>
      <c r="K18" s="42">
        <f t="shared" si="4"/>
        <v>2950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81750</v>
      </c>
      <c r="D33" s="44">
        <f t="shared" si="7"/>
        <v>4700</v>
      </c>
      <c r="E33" s="43">
        <f t="shared" si="7"/>
        <v>77800</v>
      </c>
      <c r="F33" s="44">
        <f t="shared" si="7"/>
        <v>2150</v>
      </c>
      <c r="G33" s="43">
        <f t="shared" si="7"/>
        <v>96050</v>
      </c>
      <c r="H33" s="44">
        <f t="shared" si="7"/>
        <v>3400</v>
      </c>
      <c r="J33" s="45">
        <f>SUM(J4:J32)</f>
        <v>255600</v>
      </c>
      <c r="K33" s="96">
        <f>SUM(K4:K32)</f>
        <v>10250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12</v>
      </c>
      <c r="D2" s="269"/>
      <c r="E2" s="268">
        <f>IF(PREMIOS!$C19="","",PREMIOS!$C19)</f>
        <v>47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5550</v>
      </c>
      <c r="D4" s="79">
        <f t="shared" ref="D4:F27" si="0">IF(C4="","",0)</f>
        <v>0</v>
      </c>
      <c r="E4" s="190">
        <v>1400</v>
      </c>
      <c r="F4" s="79">
        <f t="shared" si="0"/>
        <v>0</v>
      </c>
      <c r="H4" s="42">
        <f>+C4+E4</f>
        <v>6950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6900</v>
      </c>
      <c r="D8" s="30">
        <v>1000</v>
      </c>
      <c r="E8" s="195">
        <v>16450</v>
      </c>
      <c r="F8" s="196">
        <v>100</v>
      </c>
      <c r="H8" s="42">
        <f t="shared" si="2"/>
        <v>23350</v>
      </c>
      <c r="I8" s="42">
        <f t="shared" si="3"/>
        <v>1100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27700</v>
      </c>
      <c r="D10" s="30">
        <v>800</v>
      </c>
      <c r="E10" s="181">
        <v>38450</v>
      </c>
      <c r="F10" s="196">
        <v>450</v>
      </c>
      <c r="H10" s="42">
        <f t="shared" si="2"/>
        <v>66150</v>
      </c>
      <c r="I10" s="42">
        <f t="shared" si="3"/>
        <v>1250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43600</v>
      </c>
      <c r="D12" s="30">
        <v>2050</v>
      </c>
      <c r="E12" s="195">
        <v>8000</v>
      </c>
      <c r="F12" s="30">
        <f t="shared" si="0"/>
        <v>0</v>
      </c>
      <c r="H12" s="42">
        <f t="shared" si="2"/>
        <v>51600</v>
      </c>
      <c r="I12" s="42">
        <f t="shared" si="3"/>
        <v>2050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1500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1500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78700</v>
      </c>
      <c r="D17" s="196">
        <v>300</v>
      </c>
      <c r="E17" s="181">
        <v>31550</v>
      </c>
      <c r="F17" s="30">
        <v>200</v>
      </c>
      <c r="H17" s="42">
        <f t="shared" si="2"/>
        <v>110250</v>
      </c>
      <c r="I17" s="42">
        <f t="shared" si="3"/>
        <v>500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42650</v>
      </c>
      <c r="D18" s="196">
        <v>1200</v>
      </c>
      <c r="E18" s="181">
        <v>49600</v>
      </c>
      <c r="F18" s="30">
        <f t="shared" si="0"/>
        <v>0</v>
      </c>
      <c r="H18" s="42">
        <f t="shared" si="2"/>
        <v>92250</v>
      </c>
      <c r="I18" s="42">
        <f t="shared" si="3"/>
        <v>1200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206600</v>
      </c>
      <c r="D33" s="44">
        <f>SUM(D4:D32)</f>
        <v>5350</v>
      </c>
      <c r="E33" s="43">
        <f>SUM(E4:E32)</f>
        <v>145450</v>
      </c>
      <c r="F33" s="44">
        <f>SUM(F4:F32)</f>
        <v>750</v>
      </c>
      <c r="H33" s="96">
        <f>SUM(H4:H32)</f>
        <v>352050</v>
      </c>
      <c r="I33" s="96">
        <f>SUM(I4:I32)</f>
        <v>6100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93</v>
      </c>
      <c r="D2" s="269"/>
      <c r="E2" s="268">
        <f>IF(PREMIOS!$C20="","",PREMIOS!$C20)</f>
        <v>61</v>
      </c>
      <c r="F2" s="269"/>
      <c r="G2" s="268">
        <f>IF(PREMIOS!$D20="","",PREMIOS!$D20)</f>
        <v>60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17800</v>
      </c>
      <c r="D10" s="196">
        <f t="shared" si="0"/>
        <v>0</v>
      </c>
      <c r="E10" s="181">
        <v>13000</v>
      </c>
      <c r="F10" s="30">
        <f t="shared" si="0"/>
        <v>0</v>
      </c>
      <c r="G10" s="181">
        <v>14550</v>
      </c>
      <c r="H10" s="196">
        <v>500</v>
      </c>
      <c r="J10" s="42">
        <f t="shared" si="3"/>
        <v>45350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7150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7150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39150</v>
      </c>
      <c r="D17" s="196">
        <v>150</v>
      </c>
      <c r="E17" s="195">
        <v>10100</v>
      </c>
      <c r="F17" s="196">
        <f t="shared" si="0"/>
        <v>0</v>
      </c>
      <c r="G17" s="195">
        <v>24450</v>
      </c>
      <c r="H17" s="196">
        <f t="shared" si="2"/>
        <v>0</v>
      </c>
      <c r="J17" s="42">
        <f t="shared" si="3"/>
        <v>73700</v>
      </c>
      <c r="K17" s="42">
        <f t="shared" si="4"/>
        <v>150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9800</v>
      </c>
      <c r="D18" s="196">
        <f t="shared" si="0"/>
        <v>0</v>
      </c>
      <c r="E18" s="181">
        <v>1000</v>
      </c>
      <c r="F18" s="30">
        <f t="shared" si="1"/>
        <v>0</v>
      </c>
      <c r="G18" s="181">
        <v>6200</v>
      </c>
      <c r="H18" s="30">
        <f t="shared" si="2"/>
        <v>0</v>
      </c>
      <c r="J18" s="42">
        <f t="shared" si="3"/>
        <v>17000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73900</v>
      </c>
      <c r="D33" s="44">
        <f t="shared" si="6"/>
        <v>150</v>
      </c>
      <c r="E33" s="43">
        <f t="shared" si="6"/>
        <v>24100</v>
      </c>
      <c r="F33" s="44">
        <f t="shared" si="6"/>
        <v>0</v>
      </c>
      <c r="G33" s="43">
        <f t="shared" si="6"/>
        <v>45200</v>
      </c>
      <c r="H33" s="44">
        <f t="shared" si="6"/>
        <v>500</v>
      </c>
      <c r="J33" s="45">
        <f>SUM(J4:J32)</f>
        <v>143200</v>
      </c>
      <c r="K33" s="96">
        <f>SUM(K4:K32)</f>
        <v>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94</v>
      </c>
      <c r="D2" s="269"/>
      <c r="E2" s="268" t="str">
        <f>IF(PREMIOS!$C21="","",PREMIOS!$C21)</f>
        <v>08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52750</v>
      </c>
      <c r="D10" s="30">
        <f t="shared" si="0"/>
        <v>0</v>
      </c>
      <c r="E10" s="181">
        <v>22000</v>
      </c>
      <c r="F10" s="30">
        <v>2000</v>
      </c>
      <c r="H10" s="42">
        <f t="shared" si="2"/>
        <v>74750</v>
      </c>
      <c r="I10" s="42">
        <f t="shared" si="3"/>
        <v>2000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52750</v>
      </c>
      <c r="D33" s="44">
        <f>SUM(D4:D32)</f>
        <v>0</v>
      </c>
      <c r="E33" s="43">
        <f>SUM(E4:E32)</f>
        <v>22000</v>
      </c>
      <c r="F33" s="44">
        <f>SUM(F4:F32)</f>
        <v>2000</v>
      </c>
      <c r="H33" s="45">
        <f>SUM(H4:H32)</f>
        <v>74750</v>
      </c>
      <c r="I33" s="96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2026-03-27T16:02:19Z</dcterms:modified>
  <dc:language>es-CR</dc:language>
</cp:coreProperties>
</file>
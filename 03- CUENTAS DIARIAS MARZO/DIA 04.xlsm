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E1A6A441-5156-4E72-8292-9C2C2921E3AC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 l="1"/>
  <c r="G10" i="62"/>
  <c r="J10" i="61"/>
  <c r="I10" i="61"/>
  <c r="G10" i="61"/>
  <c r="H10" i="60"/>
  <c r="G10" i="60"/>
  <c r="G18" i="60"/>
  <c r="H17" i="60"/>
  <c r="G17" i="60"/>
  <c r="E10" i="64"/>
  <c r="E10" i="62"/>
  <c r="F10" i="60"/>
  <c r="E10" i="60"/>
  <c r="F17" i="60"/>
  <c r="E17" i="60"/>
  <c r="F18" i="60"/>
  <c r="E18" i="60"/>
  <c r="F10" i="61"/>
  <c r="E10" i="61"/>
  <c r="C10" i="62" l="1"/>
  <c r="D10" i="60"/>
  <c r="C10" i="60"/>
  <c r="D17" i="60"/>
  <c r="C17" i="60"/>
  <c r="C18" i="60"/>
  <c r="C10" i="61"/>
  <c r="D18" i="64" l="1"/>
  <c r="D18" i="65"/>
  <c r="D11" i="65"/>
  <c r="D10" i="65"/>
  <c r="D9" i="61"/>
  <c r="D8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6" i="60"/>
  <c r="D15" i="60"/>
  <c r="D11" i="60"/>
  <c r="D35" i="60" s="1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8" i="62"/>
  <c r="F10" i="62"/>
  <c r="F16" i="61"/>
  <c r="D6" i="60"/>
  <c r="F35" i="60"/>
  <c r="F16" i="60"/>
  <c r="F15" i="60"/>
  <c r="F13" i="60"/>
  <c r="F11" i="60"/>
  <c r="F9" i="60"/>
  <c r="F8" i="60"/>
  <c r="F7" i="60"/>
  <c r="F6" i="60"/>
  <c r="H15" i="60"/>
  <c r="H11" i="60"/>
  <c r="H9" i="60"/>
  <c r="H8" i="60"/>
  <c r="H7" i="60"/>
  <c r="H6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E7" i="16"/>
  <c r="D34" i="60"/>
  <c r="J8" i="14"/>
  <c r="D21" i="14"/>
  <c r="C12" i="71"/>
  <c r="D22" i="14"/>
  <c r="G12" i="71"/>
  <c r="E19" i="16"/>
  <c r="D4" i="65"/>
  <c r="D20" i="16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H26" i="72"/>
  <c r="N26" i="72" s="1"/>
  <c r="F26" i="72"/>
  <c r="E26" i="72"/>
  <c r="D26" i="72"/>
  <c r="C26" i="72"/>
  <c r="B26" i="72"/>
  <c r="H25" i="72"/>
  <c r="F25" i="72"/>
  <c r="J25" i="72" s="1"/>
  <c r="K25" i="72" s="1"/>
  <c r="E25" i="72"/>
  <c r="D25" i="72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4" i="66"/>
  <c r="I13" i="66"/>
  <c r="I12" i="66"/>
  <c r="I11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1" i="72"/>
  <c r="N21" i="72" s="1"/>
  <c r="K28" i="70"/>
  <c r="H30" i="66"/>
  <c r="H33" i="66" s="1"/>
  <c r="H21" i="70"/>
  <c r="J24" i="70"/>
  <c r="K24" i="70" s="1"/>
  <c r="L28" i="71"/>
  <c r="M28" i="71" s="1"/>
  <c r="H24" i="72"/>
  <c r="H31" i="72"/>
  <c r="E27" i="72"/>
  <c r="N25" i="72"/>
  <c r="K27" i="64"/>
  <c r="J21" i="70"/>
  <c r="K21" i="70" s="1"/>
  <c r="F16" i="71"/>
  <c r="L16" i="71" s="1"/>
  <c r="M16" i="71" s="1"/>
  <c r="F22" i="15"/>
  <c r="L8" i="15" s="1"/>
  <c r="G22" i="15"/>
  <c r="L25" i="71"/>
  <c r="M25" i="71" s="1"/>
  <c r="H29" i="66"/>
  <c r="J23" i="70"/>
  <c r="K23" i="70" s="1"/>
  <c r="L22" i="71"/>
  <c r="M22" i="71" s="1"/>
  <c r="H23" i="72"/>
  <c r="I25" i="72"/>
  <c r="J30" i="72"/>
  <c r="K30" i="72" s="1"/>
  <c r="J32" i="64"/>
  <c r="L6" i="6"/>
  <c r="K20" i="19"/>
  <c r="K9" i="19"/>
  <c r="L21" i="71"/>
  <c r="M21" i="71" s="1"/>
  <c r="J22" i="71"/>
  <c r="J31" i="71"/>
  <c r="E33" i="66"/>
  <c r="D17" i="72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J7" i="19"/>
  <c r="F25" i="19"/>
  <c r="L9" i="19" s="1"/>
  <c r="F18" i="72"/>
  <c r="J26" i="71"/>
  <c r="L29" i="71"/>
  <c r="M29" i="71" s="1"/>
  <c r="H20" i="72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N27" i="71"/>
  <c r="N27" i="72"/>
  <c r="K20" i="21"/>
  <c r="K10" i="21"/>
  <c r="K12" i="17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4" i="23" l="1"/>
  <c r="M20" i="52"/>
  <c r="L5" i="23"/>
  <c r="M25" i="52"/>
  <c r="M26" i="52"/>
  <c r="J5" i="23"/>
  <c r="M23" i="52"/>
  <c r="F17" i="52"/>
  <c r="J5" i="19"/>
  <c r="C24" i="15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J32" i="61" l="1"/>
  <c r="C32" i="61"/>
  <c r="I32" i="61"/>
  <c r="G32" i="60"/>
  <c r="K5" i="8"/>
  <c r="H32" i="60"/>
  <c r="H33" i="60" s="1"/>
  <c r="K5" i="23"/>
  <c r="F32" i="61"/>
  <c r="L6" i="25"/>
  <c r="H19" i="70"/>
  <c r="H32" i="61"/>
  <c r="K5" i="19"/>
  <c r="K6" i="23"/>
  <c r="M27" i="5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5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3" i="58"/>
  <c r="P20" i="58"/>
  <c r="P21" i="58"/>
  <c r="P25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4" i="52"/>
  <c r="C3" i="1" s="1"/>
  <c r="B3" i="1"/>
  <c r="F12" i="14"/>
  <c r="G12" i="14" s="1"/>
  <c r="F12" i="8"/>
  <c r="F12" i="19"/>
  <c r="G12" i="19" s="1"/>
  <c r="F12" i="15"/>
  <c r="K6" i="52"/>
  <c r="C5" i="1" s="1"/>
  <c r="B5" i="1"/>
  <c r="K23" i="52"/>
  <c r="C22" i="1" s="1"/>
  <c r="B22" i="1"/>
  <c r="K21" i="52"/>
  <c r="C20" i="1" s="1"/>
  <c r="B20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6" i="23"/>
  <c r="F16" i="21"/>
  <c r="G16" i="21" s="1"/>
  <c r="G16" i="8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G24" i="15" l="1"/>
  <c r="L6" i="19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<sst xmlns="http://schemas.openxmlformats.org/spreadsheetml/2006/main" count="1292" uniqueCount="159">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</sst>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259000</v>
      </c>
      <c r="C3" s="9">
        <f>+HojaTICA!K4+HojaNICA!M4+HojaREVENTADO!K4+HojaPrimera!I4+HojaHonduras!K4+HojaDominicana!I4+HojaPANA!G4</f>
        <v>33650</v>
      </c>
      <c r="D3" s="9">
        <f>+HojaTICA!N4+HojaNICA!P4+HojaREVENTADO!O4+HojaPrimera!L4+HojaHonduras!N4+HojaDominicana!L4+HojaPANA!J4</f>
        <v>297000</v>
      </c>
      <c r="F3" s="10">
        <f t="shared" ref="F3:F27" si="0">+B3-C3-D3</f>
        <v>-71650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191550</v>
      </c>
      <c r="C4" s="9">
        <f>+HojaTICA!K5+HojaNICA!M5+HojaREVENTADO!K5+HojaPrimera!I5+HojaHonduras!K5+HojaDominicana!I5+HojaPANA!G5</f>
        <v>24900</v>
      </c>
      <c r="D4" s="9">
        <f>+HojaTICA!N5+HojaNICA!P5+HojaREVENTADO!O5+HojaPrimera!L5+HojaHonduras!N5+HojaDominicana!L5+HojaPANA!J5</f>
        <v>120750</v>
      </c>
      <c r="F4" s="14">
        <f t="shared" si="0"/>
        <v>45900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1241000</v>
      </c>
      <c r="C9" s="9">
        <f>+HojaTICA!K10+HojaNICA!M10+HojaREVENTADO!K10+HojaPrimera!I10+HojaHonduras!K10+HojaDominicana!I10+HojaPANA!G10</f>
        <v>147605</v>
      </c>
      <c r="D9" s="9">
        <f>+HojaTICA!N10+HojaNICA!P10+HojaREVENTADO!O10+HojaPrimera!L10+HojaHonduras!N10+HojaDominicana!L10+HojaPANA!J10</f>
        <v>909500</v>
      </c>
      <c r="F9" s="14">
        <f t="shared" si="0"/>
        <v>183895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24500</v>
      </c>
      <c r="C10" s="9">
        <f>+HojaTICA!K11+HojaNICA!M11+HojaREVENTADO!K11+HojaPrimera!I11+HojaHonduras!K11+HojaDominicana!I11+HojaPANA!G11</f>
        <v>2950</v>
      </c>
      <c r="D10" s="9">
        <f>+HojaTICA!N11+HojaNICA!P11+HojaREVENTADO!O11+HojaPrimera!L11+HojaHonduras!N11+HojaDominicana!L11+HojaPANA!J11</f>
        <v>0</v>
      </c>
      <c r="F10" s="14">
        <f t="shared" si="0"/>
        <v>21550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308000</v>
      </c>
      <c r="C11" s="9">
        <f>+HojaTICA!K12+HojaNICA!M12+HojaREVENTADO!K12+HojaPrimera!I12+HojaHonduras!K12+HojaDominicana!I12+HojaPANA!G12</f>
        <v>36705</v>
      </c>
      <c r="D11" s="9">
        <f>+HojaTICA!N12+HojaNICA!P12+HojaREVENTADO!O12+HojaPrimera!L12+HojaHonduras!N12+HojaDominicana!L12+HojaPANA!J12</f>
        <v>314500</v>
      </c>
      <c r="F11" s="14">
        <f t="shared" si="0"/>
        <v>-43205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175000</v>
      </c>
      <c r="C12" s="9">
        <f>+HojaTICA!K13+HojaNICA!M13+HojaREVENTADO!K13+HojaPrimera!I13+HojaHonduras!K13+HojaDominicana!I13+HojaPANA!G13</f>
        <v>21000</v>
      </c>
      <c r="D12" s="9">
        <f>+HojaTICA!N13+HojaNICA!P13+HojaREVENTADO!O13+HojaPrimera!L13+HojaHonduras!N13+HojaDominicana!L13+HojaPANA!J13</f>
        <v>241500</v>
      </c>
      <c r="F12" s="14">
        <f t="shared" si="0"/>
        <v>-87500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94050</v>
      </c>
      <c r="C13" s="9">
        <f>+HojaTICA!K14+HojaNICA!M14+HojaREVENTADO!K14+HojaPrimera!I14+HojaHonduras!K14+HojaDominicana!I14+HojaPANA!G14</f>
        <v>14100</v>
      </c>
      <c r="D13" s="9">
        <f>+HojaTICA!N14+HojaNICA!P14+HojaREVENTADO!O14+HojaPrimera!L14+HojaHonduras!N14+HojaDominicana!L14+HojaPANA!J14</f>
        <v>224000</v>
      </c>
      <c r="F13" s="14">
        <f t="shared" si="0"/>
        <v>-144050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101700</v>
      </c>
      <c r="C15" s="9">
        <f>+HojaTICA!K16+HojaNICA!M16+HojaREVENTADO!K16+HojaPrimera!I16+HojaHonduras!K16+HojaDominicana!I16+HojaPANA!G16</f>
        <v>12080</v>
      </c>
      <c r="D15" s="9">
        <f>+HojaTICA!N16+HojaNICA!P16+HojaREVENTADO!O16+HojaPrimera!L16+HojaHonduras!N16+HojaDominicana!L16+HojaPANA!J16</f>
        <v>50500</v>
      </c>
      <c r="F15" s="14">
        <f t="shared" si="0"/>
        <v>39120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1104300</v>
      </c>
      <c r="C16" s="9">
        <f>+HojaTICA!K17+HojaNICA!M17+HojaREVENTADO!K17+HojaPrimera!I17+HojaHonduras!K17+HojaDominicana!I17+HojaPANA!G17</f>
        <v>131380</v>
      </c>
      <c r="D16" s="9">
        <f>+HojaTICA!N17+HojaNICA!P17+HojaREVENTADO!O17+HojaPrimera!L17+HojaHonduras!N17+HojaDominicana!L17+HojaPANA!J17</f>
        <v>1211250</v>
      </c>
      <c r="F16" s="14">
        <f t="shared" si="0"/>
        <v>-238330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362200</v>
      </c>
      <c r="C17" s="9">
        <f>+HojaTICA!K18+HojaNICA!M18+HojaREVENTADO!K18+HojaPrimera!I18+HojaHonduras!K18+HojaDominicana!I18+HojaPANA!G18</f>
        <v>42640</v>
      </c>
      <c r="D17" s="9">
        <f>+HojaTICA!N18+HojaNICA!P18+HojaREVENTADO!O18+HojaPrimera!L18+HojaHonduras!N18+HojaDominicana!L18+HojaPANA!J18</f>
        <v>144500</v>
      </c>
      <c r="F17" s="14">
        <f t="shared" si="0"/>
        <v>175060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3861300</v>
      </c>
      <c r="C28" s="17">
        <f t="shared" si="1"/>
        <v>467010</v>
      </c>
      <c r="D28" s="18">
        <f t="shared" si="1"/>
        <v>3513500</v>
      </c>
      <c r="F28" s="20">
        <f>SUM(F3:F27)</f>
        <v>-119210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53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55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46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55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97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14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71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49</v>
      </c>
      <c r="C19" s="133">
        <v>75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32</v>
      </c>
      <c r="C20" s="164">
        <v>41</v>
      </c>
      <c r="D20" s="167">
        <v>23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37</v>
      </c>
      <c r="C21" s="165">
        <v>61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75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55</v>
      </c>
      <c r="D2" s="269"/>
      <c r="E2" s="268">
        <f>DigitaTICA!E2</f>
        <v>55</v>
      </c>
      <c r="F2" s="269"/>
      <c r="G2" s="268">
        <f>DigitaTICA!G2</f>
        <v>14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75500</v>
      </c>
      <c r="D4" s="30">
        <f>IF(Vendedor1!$E$7="",0,Vendedor1!$E$7)</f>
        <v>1350</v>
      </c>
      <c r="E4" s="181">
        <f>IF(Vendedor1!$C$11="",0,Vendedor1!$C$11)</f>
        <v>43850</v>
      </c>
      <c r="F4" s="30">
        <f>IF(Vendedor1!$E$11="",0,Vendedor1!$E$11)</f>
        <v>1050</v>
      </c>
      <c r="G4" s="181">
        <f>IF(Vendedor1!$C$15="",0,Vendedor1!$C$15)</f>
        <v>81500</v>
      </c>
      <c r="H4" s="30">
        <f>IF(Vendedor1!$E$15="",0,Vendedor1!$E$15)</f>
        <v>1000</v>
      </c>
      <c r="J4" s="42">
        <f t="shared" ref="J4:J7" si="0">+C4+E4+G4</f>
        <v>200850</v>
      </c>
      <c r="K4" s="41">
        <f>MROUND(J4*Vendedor1!J$9,50)</f>
        <v>26100</v>
      </c>
      <c r="L4" s="42">
        <f t="shared" ref="L4:L7" si="1">+D4+F4+H4</f>
        <v>3400</v>
      </c>
      <c r="M4" s="42">
        <f t="shared" ref="M4:M7" si="2">+L4*85</f>
        <v>289000</v>
      </c>
      <c r="N4" s="42">
        <f>Vendedor1!$F$7+Vendedor1!$F$11+Vendedor1!$F$15</f>
        <v>289000</v>
      </c>
      <c r="P4" s="42">
        <f t="shared" ref="P4:P7" si="3">+J4-K4-N4</f>
        <v>-114250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42750</v>
      </c>
      <c r="D5" s="30">
        <f>IF(Vendedor2!$E$7="",0,Vendedor2!$E$7)</f>
        <v>250</v>
      </c>
      <c r="E5" s="181">
        <f>IF(Vendedor2!$C$11="",0,Vendedor2!$C$11)</f>
        <v>25050</v>
      </c>
      <c r="F5" s="30">
        <f>IF(Vendedor2!$E$11="",0,Vendedor2!$E$11)</f>
        <v>250</v>
      </c>
      <c r="G5" s="181">
        <f>IF(Vendedor2!$C$15="",0,Vendedor2!$C$15)</f>
        <v>58800</v>
      </c>
      <c r="H5" s="30">
        <f>IF(Vendedor2!$E$15="",0,Vendedor2!$E$15)</f>
        <v>450</v>
      </c>
      <c r="J5" s="42">
        <f t="shared" si="0"/>
        <v>126600</v>
      </c>
      <c r="K5" s="41">
        <f>MROUND(J5*Vendedor2!J$9,50)</f>
        <v>16450</v>
      </c>
      <c r="L5" s="42">
        <f t="shared" si="1"/>
        <v>950</v>
      </c>
      <c r="M5" s="42">
        <f t="shared" si="2"/>
        <v>80750</v>
      </c>
      <c r="N5" s="42">
        <f>Vendedor2!$F$7+Vendedor2!$F$11+Vendedor2!$F$15</f>
        <v>80750</v>
      </c>
      <c r="P5" s="42">
        <f t="shared" si="3"/>
        <v>29400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175700</v>
      </c>
      <c r="D10" s="30">
        <f>IF(Vendedor7!$E$7="",0,Vendedor7!$E$7)</f>
        <v>1900</v>
      </c>
      <c r="E10" s="181">
        <f>IF(Vendedor7!$C$11="",0,Vendedor7!$C$11)</f>
        <v>181400</v>
      </c>
      <c r="F10" s="30">
        <f>IF(Vendedor7!$E$11="",0,Vendedor7!$E$11)</f>
        <v>2900</v>
      </c>
      <c r="G10" s="181">
        <f>IF(Vendedor7!$C$15="",0,Vendedor7!$C$15)</f>
        <v>161100</v>
      </c>
      <c r="H10" s="30">
        <f>IF(Vendedor7!$E$15="",0,Vendedor7!$E$15)</f>
        <v>3950</v>
      </c>
      <c r="J10" s="42">
        <f t="shared" si="8"/>
        <v>518200</v>
      </c>
      <c r="K10" s="41">
        <f>MROUND(J10*Vendedor7!J$14,50)</f>
        <v>62200</v>
      </c>
      <c r="L10" s="42">
        <f t="shared" si="9"/>
        <v>8750</v>
      </c>
      <c r="M10" s="42">
        <f t="shared" si="10"/>
        <v>743750</v>
      </c>
      <c r="N10" s="42">
        <f>Vendedor7!$F$7+Vendedor7!$F$11+Vendedor7!$F$15</f>
        <v>743750</v>
      </c>
      <c r="P10" s="42">
        <f t="shared" si="11"/>
        <v>-287750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6500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18000</v>
      </c>
      <c r="H11" s="30">
        <f>IF(Vendedor8!$E$15="",0,Vendedor8!$E$15)</f>
        <v>0</v>
      </c>
      <c r="J11" s="42">
        <f t="shared" si="8"/>
        <v>24500</v>
      </c>
      <c r="K11" s="41">
        <f>MROUND(J11*Vendedor8!J$11,50)</f>
        <v>2950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21550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65650</v>
      </c>
      <c r="D12" s="30">
        <f>IF(Vendedor9!$E$7="",0,Vendedor9!$E$7)</f>
        <v>1050</v>
      </c>
      <c r="E12" s="181">
        <f>IF(Vendedor9!$C$11="",0,Vendedor9!$C$11)</f>
        <v>37400</v>
      </c>
      <c r="F12" s="30">
        <f>IF(Vendedor9!$E$11="",0,Vendedor9!$E$11)</f>
        <v>800</v>
      </c>
      <c r="G12" s="181">
        <f>IF(Vendedor9!$C$15="",0,Vendedor9!$C$15)</f>
        <v>24500</v>
      </c>
      <c r="H12" s="30">
        <f>IF(Vendedor9!$E$15="",0,Vendedor9!$E$15)</f>
        <v>300</v>
      </c>
      <c r="J12" s="42">
        <f t="shared" si="8"/>
        <v>127550</v>
      </c>
      <c r="K12" s="41">
        <f>MROUND(J12*Vendedor9!J$11,50)</f>
        <v>15300</v>
      </c>
      <c r="L12" s="42">
        <f t="shared" si="9"/>
        <v>2150</v>
      </c>
      <c r="M12" s="42">
        <f t="shared" si="10"/>
        <v>182750</v>
      </c>
      <c r="N12" s="42">
        <f>Vendedor9!$F$7+Vendedor9!$F$11+Vendedor9!$F$15</f>
        <v>182750</v>
      </c>
      <c r="P12" s="42">
        <f t="shared" si="11"/>
        <v>-70500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42300</v>
      </c>
      <c r="D13" s="30">
        <f>IF(Vendedor10!$E$7="",0,Vendedor10!$E$7)</f>
        <v>1000</v>
      </c>
      <c r="E13" s="181">
        <f>IF(Vendedor10!$C$11="",0,Vendedor10!$C$11)</f>
        <v>16000</v>
      </c>
      <c r="F13" s="30">
        <f>IF(Vendedor10!$E$11="",0,Vendedor10!$E$11)</f>
        <v>0</v>
      </c>
      <c r="G13" s="181">
        <f>IF(Vendedor10!$C$15="",0,Vendedor10!$C$15)</f>
        <v>47350</v>
      </c>
      <c r="H13" s="30">
        <f>IF(Vendedor10!$E$15="",0,Vendedor10!$E$15)</f>
        <v>900</v>
      </c>
      <c r="J13" s="42">
        <f t="shared" si="8"/>
        <v>105650</v>
      </c>
      <c r="K13" s="41">
        <f>MROUND(J13*Vendedor10!J$9,50)</f>
        <v>12700</v>
      </c>
      <c r="L13" s="42">
        <f t="shared" si="9"/>
        <v>1900</v>
      </c>
      <c r="M13" s="42">
        <f t="shared" si="10"/>
        <v>161500</v>
      </c>
      <c r="N13" s="42">
        <f>Vendedor10!$F$7+Vendedor10!$F$11+Vendedor10!$F$15</f>
        <v>161500</v>
      </c>
      <c r="P13" s="42">
        <f t="shared" si="11"/>
        <v>-68550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41900</v>
      </c>
      <c r="D14" s="30">
        <f>IF(Vendedor11!$E$7="",0,Vendedor11!$E$7)</f>
        <v>2000</v>
      </c>
      <c r="E14" s="181">
        <f>IF(Vendedor11!$C$11="",0,Vendedor11!$C$11)</f>
        <v>17600</v>
      </c>
      <c r="F14" s="30">
        <f>IF(Vendedor11!$E$11="",0,Vendedor11!$E$11)</f>
        <v>500</v>
      </c>
      <c r="G14" s="181">
        <f>IF(Vendedor11!$C$15="",0,Vendedor11!$C$15)</f>
        <v>34550</v>
      </c>
      <c r="H14" s="30">
        <f>IF(Vendedor11!$E$15="",0,Vendedor11!$E$15)</f>
        <v>300</v>
      </c>
      <c r="J14" s="42">
        <f t="shared" si="8"/>
        <v>94050</v>
      </c>
      <c r="K14" s="41">
        <f>MROUND(J14*Vendedor11!J$9,50)</f>
        <v>14100</v>
      </c>
      <c r="L14" s="42">
        <f t="shared" si="9"/>
        <v>2800</v>
      </c>
      <c r="M14" s="42">
        <f t="shared" si="10"/>
        <v>238000</v>
      </c>
      <c r="N14" s="42">
        <f>Vendedor11!$F$7+Vendedor11!$F$11+Vendedor11!$F$15</f>
        <v>224000</v>
      </c>
      <c r="P14" s="42">
        <f t="shared" si="11"/>
        <v>-144050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15000</v>
      </c>
      <c r="D16" s="30">
        <f>IF(Vendedor13!$E$7="",0,Vendedor13!$E$7)</f>
        <v>0</v>
      </c>
      <c r="E16" s="181">
        <f>IF(Vendedor13!$C$11="",0,Vendedor13!$C$11)</f>
        <v>15100</v>
      </c>
      <c r="F16" s="30">
        <f>IF(Vendedor13!$E$11="",0,Vendedor13!$E$11)</f>
        <v>0</v>
      </c>
      <c r="G16" s="181">
        <f>IF(Vendedor13!$C$15="",0,Vendedor13!$C$15)</f>
        <v>33050</v>
      </c>
      <c r="H16" s="30">
        <f>IF(Vendedor13!$E$15="",0,Vendedor13!$E$15)</f>
        <v>500</v>
      </c>
      <c r="J16" s="42">
        <f t="shared" si="8"/>
        <v>63150</v>
      </c>
      <c r="K16" s="41">
        <f>MROUND(J16*Vendedor13!J$11,50)</f>
        <v>7600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13050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100000</v>
      </c>
      <c r="D17" s="30">
        <f>IF(Vendedor14!$E$7="",0,Vendedor14!$E$7)</f>
        <v>4800</v>
      </c>
      <c r="E17" s="181">
        <f>IF(Vendedor14!$C$11="",0,Vendedor14!$C$11)</f>
        <v>121200</v>
      </c>
      <c r="F17" s="30">
        <f>IF(Vendedor14!$E$11="",0,Vendedor14!$E$11)</f>
        <v>2800</v>
      </c>
      <c r="G17" s="181">
        <f>IF(Vendedor14!$C$15="",0,Vendedor14!$C$15)</f>
        <v>189650</v>
      </c>
      <c r="H17" s="30">
        <f>IF(Vendedor14!$E$15="",0,Vendedor14!$E$15)</f>
        <v>2950</v>
      </c>
      <c r="J17" s="42">
        <f t="shared" si="8"/>
        <v>410850</v>
      </c>
      <c r="K17" s="41">
        <f>MROUND(J17*Vendedor14!J$15,50)</f>
        <v>49300</v>
      </c>
      <c r="L17" s="42">
        <f t="shared" si="9"/>
        <v>10550</v>
      </c>
      <c r="M17" s="42">
        <f t="shared" si="10"/>
        <v>896750</v>
      </c>
      <c r="N17" s="42">
        <f>Vendedor14!$F$7+Vendedor14!$F$11+Vendedor14!$F$15</f>
        <v>896750</v>
      </c>
      <c r="P17" s="42">
        <f t="shared" si="11"/>
        <v>-535200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56850</v>
      </c>
      <c r="D18" s="30">
        <f>IF(Vendedor15!$E$7="",0,Vendedor15!$E$7)</f>
        <v>300</v>
      </c>
      <c r="E18" s="181">
        <f>IF(Vendedor15!$C$11="",0,Vendedor15!$C$11)</f>
        <v>51000</v>
      </c>
      <c r="F18" s="30">
        <f>IF(Vendedor15!$E$11="",0,Vendedor15!$E$11)</f>
        <v>150</v>
      </c>
      <c r="G18" s="181">
        <f>IF(Vendedor15!$C$15="",0,Vendedor15!$C$15)</f>
        <v>45350</v>
      </c>
      <c r="H18" s="30">
        <f>IF(Vendedor15!$E$15="",0,Vendedor15!$E$15)</f>
        <v>0</v>
      </c>
      <c r="J18" s="42">
        <f t="shared" ref="J18" si="12">+C18+E18+G18</f>
        <v>153200</v>
      </c>
      <c r="K18" s="41">
        <f>MROUND(J18*Vendedor15!J$15,50)</f>
        <v>18400</v>
      </c>
      <c r="L18" s="42">
        <f t="shared" ref="L18" si="13">+D18+F18+H18</f>
        <v>450</v>
      </c>
      <c r="M18" s="42">
        <f t="shared" ref="M18" si="14">+L18*85</f>
        <v>38250</v>
      </c>
      <c r="N18" s="42">
        <f>Vendedor15!$F$7+Vendedor15!$F$11+Vendedor15!$F$15</f>
        <v>38250</v>
      </c>
      <c r="P18" s="42">
        <f t="shared" ref="P18" si="15">+J18-K18-N18</f>
        <v>96550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622150</v>
      </c>
      <c r="D32" s="44">
        <f t="shared" si="16"/>
        <v>12650</v>
      </c>
      <c r="E32" s="43">
        <f t="shared" si="16"/>
        <v>508600</v>
      </c>
      <c r="F32" s="44">
        <f t="shared" si="16"/>
        <v>8450</v>
      </c>
      <c r="G32" s="43">
        <f t="shared" si="16"/>
        <v>693850</v>
      </c>
      <c r="H32" s="44">
        <f t="shared" si="16"/>
        <v>10350</v>
      </c>
      <c r="J32" s="96">
        <f>SUM(J4:J31)</f>
        <v>1824600</v>
      </c>
      <c r="K32" s="45">
        <f>SUM(K7:K31)</f>
        <v>182550</v>
      </c>
      <c r="L32" s="96">
        <f>SUM(L4:L31)</f>
        <v>31450</v>
      </c>
      <c r="M32" s="96">
        <f>SUM(M4:M31)</f>
        <v>2673250</v>
      </c>
      <c r="N32" s="96">
        <f>SUM(N4:N31)</f>
        <v>2659250</v>
      </c>
      <c r="P32" s="80">
        <f>SUM(P4:P31)</f>
        <v>-1059750</v>
      </c>
    </row>
    <row r="33" spans="3:13" x14ac:dyDescent="0.35">
      <c r="D33" s="100">
        <f>+D32*85</f>
        <v>1075250</v>
      </c>
      <c r="F33" s="100">
        <f>+F32*85</f>
        <v>718250</v>
      </c>
      <c r="H33" s="100">
        <f>+H32*85</f>
        <v>879750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1824600</v>
      </c>
      <c r="E36" s="43">
        <f>+D36-J4-J5-J6</f>
        <v>1497150</v>
      </c>
      <c r="G36" s="102"/>
    </row>
    <row r="37" spans="3:13" x14ac:dyDescent="0.35">
      <c r="C37" s="47" t="s">
        <v>33</v>
      </c>
      <c r="D37" s="48">
        <f>D36*13%</f>
        <v>237198</v>
      </c>
      <c r="E37">
        <f>+D37-K4-K5-K6</f>
        <v>194648</v>
      </c>
      <c r="G37" s="101"/>
      <c r="H37" s="101"/>
    </row>
    <row r="38" spans="3:13" ht="15" thickBot="1" x14ac:dyDescent="0.4">
      <c r="C38" s="47" t="s">
        <v>30</v>
      </c>
      <c r="D38" s="30">
        <f>M32</f>
        <v>2673250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-1085848</v>
      </c>
      <c r="F39" s="99">
        <f>+P32-D39</f>
        <v>26098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-1085848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53</v>
      </c>
      <c r="D2" s="269"/>
      <c r="E2" s="268">
        <f>DigitaNICA!E2</f>
        <v>46</v>
      </c>
      <c r="F2" s="269"/>
      <c r="G2" s="268">
        <f>DigitaNICA!G2</f>
        <v>97</v>
      </c>
      <c r="H2" s="269"/>
      <c r="I2" s="268">
        <f>DigitaNICA!I2</f>
        <v>71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29750</v>
      </c>
      <c r="D4" s="79">
        <f>IF(Vendedor1!$E$5="",0,Vendedor1!$E$5)</f>
        <v>100</v>
      </c>
      <c r="E4" s="190">
        <f>IF(Vendedor1!$C$9="",0,Vendedor1!$C$9)</f>
        <v>22200</v>
      </c>
      <c r="F4" s="79">
        <f>IF(Vendedor1!$E$9="",0,Vendedor1!$E$9)</f>
        <v>0</v>
      </c>
      <c r="G4" s="190">
        <f>IF(Vendedor1!$C$13="",0,Vendedor1!$C$13)</f>
        <v>400</v>
      </c>
      <c r="H4" s="79">
        <f>IF(Vendedor1!$E$13="",0,Vendedor1!$E$13)</f>
        <v>0</v>
      </c>
      <c r="I4" s="190">
        <f>IF(Vendedor1!$C$17="",0,Vendedor1!$C$17)</f>
        <v>300</v>
      </c>
      <c r="J4" s="79">
        <f>IF(Vendedor1!$E$17="",0,Vendedor1!$E$17)</f>
        <v>0</v>
      </c>
      <c r="L4" s="42">
        <f t="shared" ref="L4:L7" si="0">C4+E4+G4+I4</f>
        <v>52650</v>
      </c>
      <c r="M4" s="41">
        <f>MROUND(L4*Vendedor1!J$10,50)</f>
        <v>6850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37300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34950</v>
      </c>
      <c r="D5" s="30">
        <f>IF(Vendedor2!$E$5="",0,Vendedor2!$E$5)</f>
        <v>500</v>
      </c>
      <c r="E5" s="181">
        <f>IF(Vendedor2!$C$9="",0,Vendedor2!$C$9)</f>
        <v>11250</v>
      </c>
      <c r="F5" s="30">
        <f>IF(Vendedor2!$E$9="",0,Vendedor2!$E$9)</f>
        <v>0</v>
      </c>
      <c r="G5" s="181">
        <f>IF(Vendedor2!$C$13="",0,Vendedor2!$C$13)</f>
        <v>6800</v>
      </c>
      <c r="H5" s="30">
        <f>IF(Vendedor2!$E$13="",0,Vendedor2!$E$13)</f>
        <v>0</v>
      </c>
      <c r="I5" s="181">
        <f>IF(Vendedor2!$C$17="",0,Vendedor2!$C$17)</f>
        <v>4050</v>
      </c>
      <c r="J5" s="30">
        <f>IF(Vendedor2!$E$17="",0,Vendedor2!$E$17)</f>
        <v>0</v>
      </c>
      <c r="L5" s="42">
        <f t="shared" si="0"/>
        <v>57050</v>
      </c>
      <c r="M5" s="41">
        <f>MROUND(L5*Vendedor2!J$10,50)</f>
        <v>7400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7150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129950</v>
      </c>
      <c r="D10" s="30">
        <f>IF(Vendedor7!$E$5="",0,Vendedor7!$E$5)</f>
        <v>350</v>
      </c>
      <c r="E10" s="181">
        <f>IF(Vendedor7!$C$9="",0,Vendedor7!$C$9)</f>
        <v>144250</v>
      </c>
      <c r="F10" s="30">
        <f>IF(Vendedor7!$E$9="",0,Vendedor7!$E$9)</f>
        <v>450</v>
      </c>
      <c r="G10" s="181">
        <f>IF(Vendedor7!$C$13="",0,Vendedor7!$C$13)</f>
        <v>70800</v>
      </c>
      <c r="H10" s="30">
        <f>IF(Vendedor7!$E$13="",0,Vendedor7!$E$13)</f>
        <v>400</v>
      </c>
      <c r="I10" s="181">
        <f>IF(Vendedor7!$C$17="",0,Vendedor7!$C$17)</f>
        <v>117050</v>
      </c>
      <c r="J10" s="30">
        <f>IF(Vendedor7!$E$17="",0,Vendedor7!$E$17)</f>
        <v>450</v>
      </c>
      <c r="L10" s="42">
        <f t="shared" si="7"/>
        <v>462050</v>
      </c>
      <c r="M10" s="41">
        <f>MROUND(L10*Vendedor7!J$15,50)</f>
        <v>55450</v>
      </c>
      <c r="N10" s="42">
        <f t="shared" ref="N10:N27" si="9">D10+F10+H10+J10</f>
        <v>1650</v>
      </c>
      <c r="O10" s="41">
        <f t="shared" si="3"/>
        <v>140250</v>
      </c>
      <c r="P10" s="42">
        <f>Vendedor7!$F$5+Vendedor7!$F$9+Vendedor7!$F$13+Vendedor7!$F$17</f>
        <v>140250</v>
      </c>
      <c r="R10" s="41">
        <f t="shared" si="8"/>
        <v>266350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71350</v>
      </c>
      <c r="D12" s="30">
        <f>IF(Vendedor9!$E$5="",0,Vendedor9!$E$5)</f>
        <v>450</v>
      </c>
      <c r="E12" s="181">
        <f>IF(Vendedor9!$C$9="",0,Vendedor9!$C$9)</f>
        <v>47150</v>
      </c>
      <c r="F12" s="30">
        <f>IF(Vendedor9!$E$9="",0,Vendedor9!$E$9)</f>
        <v>300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118500</v>
      </c>
      <c r="M12" s="41">
        <f>MROUND(L12*Vendedor9!J$12,50)</f>
        <v>14200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40550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33050</v>
      </c>
      <c r="D13" s="30">
        <f>IF(Vendedor10!$E$5="",0,Vendedor10!$E$5)</f>
        <v>0</v>
      </c>
      <c r="E13" s="181">
        <f>IF(Vendedor10!$C$9="",0,Vendedor10!$C$9)</f>
        <v>24800</v>
      </c>
      <c r="F13" s="30">
        <f>IF(Vendedor10!$E$9="",0,Vendedor10!$E$9)</f>
        <v>1000</v>
      </c>
      <c r="G13" s="181">
        <f>IF(Vendedor10!$C$13="",0,Vendedor10!$C$13)</f>
        <v>6700</v>
      </c>
      <c r="H13" s="30">
        <f>IF(Vendedor10!$E$13="",0,Vendedor10!$E$13)</f>
        <v>0</v>
      </c>
      <c r="I13" s="181">
        <f>IF(Vendedor10!$C$17="",0,Vendedor10!$C$17)</f>
        <v>4800</v>
      </c>
      <c r="J13" s="30">
        <f>IF(Vendedor10!$E$17="",0,Vendedor10!$E$17)</f>
        <v>0</v>
      </c>
      <c r="L13" s="42">
        <f t="shared" si="7"/>
        <v>69350</v>
      </c>
      <c r="M13" s="41">
        <f>MROUND(L13*Vendedor10!J$10,50)</f>
        <v>8300</v>
      </c>
      <c r="N13" s="42">
        <f t="shared" si="9"/>
        <v>1000</v>
      </c>
      <c r="O13" s="41">
        <f t="shared" si="3"/>
        <v>85000</v>
      </c>
      <c r="P13" s="42">
        <f>Vendedor10!$F$5+Vendedor10!$F$9+Vendedor10!$F$13+Vendedor10!$F$17</f>
        <v>80000</v>
      </c>
      <c r="R13" s="41">
        <f t="shared" si="8"/>
        <v>-23950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6650</v>
      </c>
      <c r="D16" s="30">
        <f>IF(Vendedor13!$E$5="",0,Vendedor13!$E$5)</f>
        <v>0</v>
      </c>
      <c r="E16" s="181">
        <f>IF(Vendedor13!$C$9="",0,Vendedor13!$C$9)</f>
        <v>2600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21000</v>
      </c>
      <c r="J16" s="30">
        <f>IF(Vendedor13!$E$17="",0,Vendedor13!$E$17)</f>
        <v>100</v>
      </c>
      <c r="L16" s="42">
        <f t="shared" si="7"/>
        <v>30250</v>
      </c>
      <c r="M16" s="41">
        <f>MROUND(L16*Vendedor13!J$12,50)</f>
        <v>3650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18100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100150</v>
      </c>
      <c r="D17" s="30">
        <f>IF(Vendedor14!$E$5="",0,Vendedor14!$E$5)</f>
        <v>650</v>
      </c>
      <c r="E17" s="181">
        <f>IF(Vendedor14!$C$9="",0,Vendedor14!$C$9)</f>
        <v>77750</v>
      </c>
      <c r="F17" s="30">
        <f>IF(Vendedor14!$E$9="",0,Vendedor14!$E$9)</f>
        <v>450</v>
      </c>
      <c r="G17" s="181">
        <f>IF(Vendedor14!$C$13="",0,Vendedor14!$C$13)</f>
        <v>79300</v>
      </c>
      <c r="H17" s="30">
        <f>IF(Vendedor14!$E$13="",0,Vendedor14!$E$13)</f>
        <v>200</v>
      </c>
      <c r="I17" s="181">
        <f>IF(Vendedor14!$C$17="",0,Vendedor14!$C$17)</f>
        <v>171800</v>
      </c>
      <c r="J17" s="30">
        <f>IF(Vendedor14!$E$17="",0,Vendedor14!$E$17)</f>
        <v>1000</v>
      </c>
      <c r="L17" s="42">
        <f>C17+E17+G17+I17</f>
        <v>429000</v>
      </c>
      <c r="M17" s="41">
        <f>MROUND(L17*Vendedor14!J$16,50)</f>
        <v>51500</v>
      </c>
      <c r="N17" s="42">
        <f t="shared" si="9"/>
        <v>2300</v>
      </c>
      <c r="O17" s="41">
        <f t="shared" si="3"/>
        <v>195500</v>
      </c>
      <c r="P17" s="42">
        <f>Vendedor14!$F$5+Vendedor14!$F$9+Vendedor14!$F$13+Vendedor14!$F$17</f>
        <v>195500</v>
      </c>
      <c r="R17" s="41">
        <f t="shared" si="8"/>
        <v>182000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40300</v>
      </c>
      <c r="D18" s="30">
        <f>IF(Vendedor15!$E$5="",0,Vendedor15!$E$5)</f>
        <v>600</v>
      </c>
      <c r="E18" s="181">
        <f>IF(Vendedor15!$C$9="",0,Vendedor15!$C$9)</f>
        <v>37400</v>
      </c>
      <c r="F18" s="30">
        <f>IF(Vendedor15!$E$9="",0,Vendedor15!$E$9)</f>
        <v>350</v>
      </c>
      <c r="G18" s="181">
        <f>IF(Vendedor15!$C$13="",0,Vendedor15!$C$13)</f>
        <v>16800</v>
      </c>
      <c r="H18" s="30">
        <f>IF(Vendedor15!$E$13="",0,Vendedor15!$E$13)</f>
        <v>0</v>
      </c>
      <c r="I18" s="181">
        <f>IF(Vendedor15!$C$17="",0,Vendedor15!$C$17)</f>
        <v>4800</v>
      </c>
      <c r="J18" s="30">
        <f>IF(Vendedor15!$E$17="",0,Vendedor15!$E$17)</f>
        <v>0</v>
      </c>
      <c r="L18" s="42">
        <f t="shared" ref="L18:L27" si="10">C18+E18+G18+I18</f>
        <v>99300</v>
      </c>
      <c r="M18" s="41">
        <f>MROUND(L18*Vendedor15!J$16,50)</f>
        <v>11900</v>
      </c>
      <c r="N18" s="42">
        <f t="shared" si="9"/>
        <v>950</v>
      </c>
      <c r="O18" s="41">
        <f t="shared" si="3"/>
        <v>80750</v>
      </c>
      <c r="P18" s="42">
        <f>Vendedor15!$F$5+Vendedor15!$F$9+Vendedor15!$F$13+Vendedor15!$F$17</f>
        <v>80750</v>
      </c>
      <c r="R18" s="41">
        <f t="shared" si="8"/>
        <v>6650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446150</v>
      </c>
      <c r="D32" s="44">
        <f t="shared" si="14"/>
        <v>2650</v>
      </c>
      <c r="E32" s="43">
        <f t="shared" si="14"/>
        <v>367400</v>
      </c>
      <c r="F32" s="44">
        <f t="shared" si="14"/>
        <v>2550</v>
      </c>
      <c r="G32" s="43">
        <f t="shared" si="14"/>
        <v>180800</v>
      </c>
      <c r="H32" s="44">
        <f t="shared" si="14"/>
        <v>600</v>
      </c>
      <c r="I32" s="43">
        <f t="shared" si="14"/>
        <v>323800</v>
      </c>
      <c r="J32" s="44">
        <f t="shared" si="14"/>
        <v>1550</v>
      </c>
      <c r="L32" s="45">
        <f>SUM(L4:L31)</f>
        <v>1318150</v>
      </c>
      <c r="M32" s="45">
        <f>SUM(M7:M31)</f>
        <v>145000</v>
      </c>
      <c r="N32" s="96">
        <f>SUM(N4:N31)</f>
        <v>7350</v>
      </c>
      <c r="O32" s="46">
        <f>SUM(O4:O31)</f>
        <v>624750</v>
      </c>
      <c r="P32" s="141">
        <f>SUM(P4:P31)</f>
        <v>616250</v>
      </c>
      <c r="R32" s="80">
        <f>SUM(R4:R31)</f>
        <v>534150</v>
      </c>
    </row>
    <row r="33" spans="3:15" x14ac:dyDescent="0.35">
      <c r="D33" s="121">
        <f>+D32*85</f>
        <v>225250</v>
      </c>
      <c r="F33" s="121">
        <f>+F32*85</f>
        <v>216750</v>
      </c>
      <c r="H33" s="121">
        <f>+H32*85</f>
        <v>51000</v>
      </c>
      <c r="J33" s="121">
        <f>+J32*85</f>
        <v>131750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1318150</v>
      </c>
      <c r="E36" s="43">
        <f>+D36-L4-L5-L6</f>
        <v>1208450</v>
      </c>
    </row>
    <row r="37" spans="3:15" x14ac:dyDescent="0.35">
      <c r="C37" s="47" t="s">
        <v>33</v>
      </c>
      <c r="D37" s="48">
        <f>D36*13%</f>
        <v>171359.5</v>
      </c>
      <c r="E37">
        <f>+D37-M4-M5-M6</f>
        <v>157109.5</v>
      </c>
    </row>
    <row r="38" spans="3:15" x14ac:dyDescent="0.35">
      <c r="C38" s="47" t="s">
        <v>30</v>
      </c>
      <c r="D38" s="30">
        <f>SUM(O4:O27)</f>
        <v>624750</v>
      </c>
      <c r="G38" s="101"/>
    </row>
    <row r="39" spans="3:15" ht="15" thickBot="1" x14ac:dyDescent="0.4">
      <c r="C39" s="49" t="s">
        <v>4</v>
      </c>
      <c r="D39" s="81">
        <f>+D36-D37-D38</f>
        <v>522040.5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522040.5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55 Blanca</v>
      </c>
      <c r="D2" s="269"/>
      <c r="E2" s="268" t="str">
        <f>IF(E33=0,"",CONCATENATE(PREMIOS!$B11," ",PREMIOS!$B12))</f>
        <v>55 Blanca</v>
      </c>
      <c r="F2" s="269"/>
      <c r="G2" s="268" t="str">
        <f>IF(G33=0,"",CONCATENATE(PREMIOS!$B15," ",PREMIOS!$B16))</f>
        <v>14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23950</v>
      </c>
      <c r="D10" s="30">
        <f>IF(Vendedor7!$E$8="",0,Vendedor7!$E$8)</f>
        <v>0</v>
      </c>
      <c r="E10" s="181">
        <f>IF(Vendedor7!$C$12="",0,Vendedor7!$C$12)</f>
        <v>12850</v>
      </c>
      <c r="F10" s="30">
        <f>IF(Vendedor7!$E$12="",0,Vendedor7!$E$12)</f>
        <v>0</v>
      </c>
      <c r="G10" s="181">
        <f>IF(Vendedor7!$C$16="",0,Vendedor7!$C$16)</f>
        <v>30750</v>
      </c>
      <c r="H10" s="30">
        <f>IF(Vendedor7!$E$16="",0,Vendedor7!$E$16)</f>
        <v>400</v>
      </c>
      <c r="J10" s="42">
        <f t="shared" si="1"/>
        <v>67550</v>
      </c>
      <c r="K10" s="41">
        <f>J10*Vendedor7!J$16</f>
        <v>6755</v>
      </c>
      <c r="L10" s="42">
        <f t="shared" si="2"/>
        <v>0</v>
      </c>
      <c r="M10" s="42">
        <f t="shared" si="3"/>
        <v>400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60795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5450</v>
      </c>
      <c r="D12" s="30">
        <f>IF(Vendedor9!$E$8="",0,Vendedor9!$E$8)</f>
        <v>0</v>
      </c>
      <c r="E12" s="181">
        <f>IF(Vendedor9!$C$12="",0,Vendedor9!$C$12)</f>
        <v>2100</v>
      </c>
      <c r="F12" s="30">
        <f>IF(Vendedor9!$E$12="",0,Vendedor9!$E$12)</f>
        <v>0</v>
      </c>
      <c r="G12" s="181">
        <f>IF(Vendedor9!$C$16="",0,Vendedor9!$C$16)</f>
        <v>4500</v>
      </c>
      <c r="H12" s="30">
        <f>IF(Vendedor9!$E$16="",0,Vendedor9!$E$16)</f>
        <v>0</v>
      </c>
      <c r="J12" s="42">
        <f t="shared" si="1"/>
        <v>12050</v>
      </c>
      <c r="K12" s="41">
        <f>J12*Vendedor9!J$13</f>
        <v>1205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10845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800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6500</v>
      </c>
      <c r="H16" s="30">
        <f>IF(Vendedor13!$E$16="",0,Vendedor13!$E$16)</f>
        <v>0</v>
      </c>
      <c r="J16" s="42">
        <f t="shared" si="1"/>
        <v>7300</v>
      </c>
      <c r="K16" s="41">
        <f>J16*Vendedor13!J$13</f>
        <v>730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6570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20100</v>
      </c>
      <c r="D17" s="30">
        <f>IF(Vendedor14!$E$8="",0,Vendedor14!$E$8)</f>
        <v>2600</v>
      </c>
      <c r="E17" s="181">
        <f>IF(Vendedor14!$C$12="",0,Vendedor14!$C$12)</f>
        <v>14150</v>
      </c>
      <c r="F17" s="30">
        <f>IF(Vendedor14!$E$12="",0,Vendedor14!$E$12)</f>
        <v>1000</v>
      </c>
      <c r="G17" s="181">
        <f>IF(Vendedor14!$C$16="",0,Vendedor14!$C$16)</f>
        <v>24050</v>
      </c>
      <c r="H17" s="30">
        <f>IF(Vendedor14!$E$16="",0,Vendedor14!$E$16)</f>
        <v>1000</v>
      </c>
      <c r="J17" s="42">
        <f t="shared" si="1"/>
        <v>58300</v>
      </c>
      <c r="K17" s="41">
        <f>J17*Vendedor14!J$17</f>
        <v>5830</v>
      </c>
      <c r="L17" s="42">
        <f t="shared" si="2"/>
        <v>0</v>
      </c>
      <c r="M17" s="42">
        <f t="shared" si="3"/>
        <v>4600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52470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20300</v>
      </c>
      <c r="D18" s="30">
        <f>IF(Vendedor15!$E$8="",0,Vendedor15!$E$8)</f>
        <v>0</v>
      </c>
      <c r="E18" s="181">
        <f>IF(Vendedor15!$C$12="",0,Vendedor15!$C$12)</f>
        <v>13850</v>
      </c>
      <c r="F18" s="30">
        <f>IF(Vendedor15!$E$12="",0,Vendedor15!$E$12)</f>
        <v>0</v>
      </c>
      <c r="G18" s="181">
        <f>IF(Vendedor15!$C$16="",0,Vendedor15!$C$16)</f>
        <v>8750</v>
      </c>
      <c r="H18" s="30">
        <f>IF(Vendedor15!$E$16="",0,Vendedor15!$E$16)</f>
        <v>0</v>
      </c>
      <c r="J18" s="42">
        <f t="shared" ref="J18" si="5">+C18+E18+G18</f>
        <v>42900</v>
      </c>
      <c r="K18" s="41">
        <f>J18*Vendedor15!J$17</f>
        <v>4290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38610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70600</v>
      </c>
      <c r="D33" s="44">
        <f>IF(PREMIOS!E8&lt;&gt;0,SUM(D4:D32),0)</f>
        <v>0</v>
      </c>
      <c r="E33" s="43">
        <f>SUM(E4:E32)</f>
        <v>42950</v>
      </c>
      <c r="F33" s="44">
        <f>IF(PREMIOS!E12&lt;&gt;0,SUM(F4:F32),0)</f>
        <v>0</v>
      </c>
      <c r="G33" s="43">
        <f>SUM(G4:G32)</f>
        <v>74550</v>
      </c>
      <c r="H33" s="44">
        <f>IF(PREMIOS!E16&lt;&gt;0,SUM(H4:H32),0)</f>
        <v>0</v>
      </c>
      <c r="J33" s="45">
        <f>SUM(J4:J32)</f>
        <v>188100</v>
      </c>
      <c r="K33" s="45">
        <f>SUM(K7:K32)</f>
        <v>18810</v>
      </c>
      <c r="L33" s="96">
        <f>SUM(L7:L32)</f>
        <v>0</v>
      </c>
      <c r="M33" s="96">
        <f>SUM(M7:M32)</f>
        <v>5000</v>
      </c>
      <c r="N33" s="96">
        <f>SUM(N4:N27)</f>
        <v>0</v>
      </c>
      <c r="O33" s="96">
        <f>SUM(O4:O27)</f>
        <v>0</v>
      </c>
      <c r="Q33" s="80">
        <f>SUM(Q4:Q32)</f>
        <v>169290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188100</v>
      </c>
      <c r="E37" s="43">
        <f>+D37-J4-J5-J6</f>
        <v>188100</v>
      </c>
      <c r="F37" s="276"/>
      <c r="G37" s="276"/>
    </row>
    <row r="38" spans="3:17" ht="15" thickBot="1" x14ac:dyDescent="0.4">
      <c r="C38" s="47" t="s">
        <v>33</v>
      </c>
      <c r="D38" s="30">
        <f>D37*10%</f>
        <v>18810</v>
      </c>
      <c r="E38" s="43">
        <f>+D38-K4-K5-K6</f>
        <v>18810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169290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169290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49</v>
      </c>
      <c r="D2" s="269"/>
      <c r="E2" s="268">
        <f>DigitaPRIMERA!E2</f>
        <v>75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5100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5500</v>
      </c>
      <c r="I4" s="41">
        <f>MROUND(H4*Vendedor1!J$9,50)</f>
        <v>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4800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4350</v>
      </c>
      <c r="D5" s="30">
        <f>IF(Vendedor2!$E$19="",0,Vendedor2!$E$19)</f>
        <v>0</v>
      </c>
      <c r="E5" s="181">
        <f>IF(Vendedor2!$C$20="",0,Vendedor2!$C$20)</f>
        <v>3550</v>
      </c>
      <c r="F5" s="30">
        <f>IF(Vendedor2!$E$20="",0,Vendedor2!$E$20)</f>
        <v>0</v>
      </c>
      <c r="H5" s="42">
        <f t="shared" ref="H5:H31" si="1">+C5+E5</f>
        <v>7900</v>
      </c>
      <c r="I5" s="41">
        <f>MROUND(H5*Vendedor2!J$9,50)</f>
        <v>1050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37700</v>
      </c>
      <c r="D10" s="30">
        <f>IF(Vendedor7!$E$19="",0,Vendedor7!$E$19)</f>
        <v>0</v>
      </c>
      <c r="E10" s="181">
        <f>IF(Vendedor7!$C$20="",0,Vendedor7!$C$20)</f>
        <v>29200</v>
      </c>
      <c r="F10" s="30">
        <f>IF(Vendedor7!$E$20="",0,Vendedor7!$E$20)</f>
        <v>300</v>
      </c>
      <c r="H10" s="42">
        <f t="shared" si="1"/>
        <v>66900</v>
      </c>
      <c r="I10" s="41">
        <f>MROUND(H10*Vendedor7!J$14,50)</f>
        <v>8050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33350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49900</v>
      </c>
      <c r="D12" s="30">
        <f>IF(Vendedor9!$E$19="",0,Vendedor9!$E$19)</f>
        <v>800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49900</v>
      </c>
      <c r="I12" s="149">
        <f>MROUND(H12*Vendedor9!J$11,50)</f>
        <v>6000</v>
      </c>
      <c r="J12" s="134">
        <f t="shared" si="2"/>
        <v>800</v>
      </c>
      <c r="K12" s="134">
        <f t="shared" si="3"/>
        <v>68000</v>
      </c>
      <c r="L12" s="134">
        <f>Vendedor9!$F$19+Vendedor9!$F$20</f>
        <v>68000</v>
      </c>
      <c r="M12" s="156"/>
      <c r="N12" s="134">
        <f t="shared" si="0"/>
        <v>-24100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1000</v>
      </c>
      <c r="I16" s="149">
        <f>MROUND(H16*Vendedor13!J$11,50)</f>
        <v>100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900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81550</v>
      </c>
      <c r="D17" s="30">
        <f>IF(Vendedor14!$E$19="",0,Vendedor14!$E$19)</f>
        <v>350</v>
      </c>
      <c r="E17" s="181">
        <f>IF(Vendedor14!$C$20="",0,Vendedor14!$C$20)</f>
        <v>39950</v>
      </c>
      <c r="F17" s="30">
        <f>IF(Vendedor14!$E$20="",0,Vendedor14!$E$20)</f>
        <v>850</v>
      </c>
      <c r="H17" s="42">
        <f t="shared" si="1"/>
        <v>121500</v>
      </c>
      <c r="I17" s="41">
        <f>MROUND(H17*Vendedor14!J$15,50)</f>
        <v>14600</v>
      </c>
      <c r="J17" s="42">
        <f t="shared" si="2"/>
        <v>1200</v>
      </c>
      <c r="K17" s="42">
        <f t="shared" si="3"/>
        <v>102000</v>
      </c>
      <c r="L17" s="42">
        <f>Vendedor14!$F$19+Vendedor14!$F$20</f>
        <v>102000</v>
      </c>
      <c r="N17" s="42">
        <f t="shared" si="0"/>
        <v>4900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35800</v>
      </c>
      <c r="D18" s="30">
        <f>IF(Vendedor15!$E$19="",0,Vendedor15!$E$19)</f>
        <v>0</v>
      </c>
      <c r="E18" s="181">
        <f>IF(Vendedor15!$C$20="",0,Vendedor15!$C$20)</f>
        <v>23250</v>
      </c>
      <c r="F18" s="30">
        <f>IF(Vendedor15!$E$20="",0,Vendedor15!$E$20)</f>
        <v>200</v>
      </c>
      <c r="H18" s="42">
        <f t="shared" si="1"/>
        <v>59050</v>
      </c>
      <c r="I18" s="41">
        <f>MROUND(H18*Vendedor15!J$15,50)</f>
        <v>7100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34950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215400</v>
      </c>
      <c r="D32" s="44">
        <f>SUM(D4:D31)</f>
        <v>1150</v>
      </c>
      <c r="E32" s="43">
        <f>SUM(E4:E31)</f>
        <v>96350</v>
      </c>
      <c r="F32" s="44">
        <f>SUM(F4:F31)</f>
        <v>1350</v>
      </c>
      <c r="H32" s="96">
        <f>SUM(H4:H31)</f>
        <v>311750</v>
      </c>
      <c r="I32" s="45">
        <f>SUM(I7:I31)</f>
        <v>35850</v>
      </c>
      <c r="J32" s="96"/>
      <c r="K32" s="96">
        <f>SUM(K4:K31)</f>
        <v>212500</v>
      </c>
      <c r="L32" s="96">
        <f>SUM(L4:L31)</f>
        <v>212500</v>
      </c>
      <c r="N32" s="80">
        <f>SUM(N4:N31)</f>
        <v>61650</v>
      </c>
    </row>
    <row r="33" spans="3:6" x14ac:dyDescent="0.35">
      <c r="D33" s="100">
        <f>+D32*85</f>
        <v>97750</v>
      </c>
      <c r="F33" s="100">
        <f>+F32*85</f>
        <v>114750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311750</v>
      </c>
      <c r="E36" s="43">
        <f>+D36-H4-H5-H6</f>
        <v>298350</v>
      </c>
    </row>
    <row r="37" spans="3:6" x14ac:dyDescent="0.35">
      <c r="C37" s="47" t="s">
        <v>33</v>
      </c>
      <c r="D37" s="48">
        <f>D36*13%</f>
        <v>40527.5</v>
      </c>
      <c r="E37">
        <f>+D37-I4-I5-I6</f>
        <v>38777.5</v>
      </c>
    </row>
    <row r="38" spans="3:6" ht="15" thickBot="1" x14ac:dyDescent="0.4">
      <c r="C38" s="47" t="s">
        <v>30</v>
      </c>
      <c r="D38" s="30">
        <f>SUM(K4:K27)</f>
        <v>212500</v>
      </c>
    </row>
    <row r="39" spans="3:6" ht="15" thickBot="1" x14ac:dyDescent="0.4">
      <c r="C39" s="49" t="s">
        <v>4</v>
      </c>
      <c r="D39" s="81">
        <f>+D36-D37-D38</f>
        <v>58722.5</v>
      </c>
      <c r="F39" s="99">
        <f>+N32-D39</f>
        <v>2927.5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58722.5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32</v>
      </c>
      <c r="D2" s="269"/>
      <c r="E2" s="268">
        <f>DigitaHONDURAS!E2</f>
        <v>41</v>
      </c>
      <c r="F2" s="269"/>
      <c r="G2" s="268">
        <f>DigitaHONDURAS!G2</f>
        <v>23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1800</v>
      </c>
      <c r="D10" s="30">
        <f>IF(Vendedor7!$E$21="",0,Vendedor7!$E$21)</f>
        <v>0</v>
      </c>
      <c r="E10" s="181">
        <f>IF(Vendedor7!$C$22="",0,Vendedor7!$C$22)</f>
        <v>8000</v>
      </c>
      <c r="F10" s="30">
        <f>IF(Vendedor7!$E$22="",0,Vendedor7!$E$22)</f>
        <v>0</v>
      </c>
      <c r="G10" s="181">
        <f>IF(Vendedor7!$C$23="",0,Vendedor7!$C$23)</f>
        <v>4500</v>
      </c>
      <c r="H10" s="30">
        <f>IF(Vendedor7!$E$23="",0,Vendedor7!$E$23)</f>
        <v>0</v>
      </c>
      <c r="J10" s="42">
        <f t="shared" si="0"/>
        <v>14300</v>
      </c>
      <c r="K10" s="41">
        <f>MROUND(J10*Vendedor7!J$14,50)</f>
        <v>1700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12600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52700</v>
      </c>
      <c r="D17" s="30">
        <f>IF(Vendedor14!$E$21="",0,Vendedor14!$E$21)</f>
        <v>0</v>
      </c>
      <c r="E17" s="181">
        <f>IF(Vendedor14!$C$22="",0,Vendedor14!$C$22)</f>
        <v>8650</v>
      </c>
      <c r="F17" s="30">
        <f>IF(Vendedor14!$E$22="",0,Vendedor14!$E$22)</f>
        <v>0</v>
      </c>
      <c r="G17" s="181">
        <f>IF(Vendedor14!$C$23="",0,Vendedor14!$C$23)</f>
        <v>18200</v>
      </c>
      <c r="H17" s="30">
        <f>IF(Vendedor14!$E$23="",0,Vendedor14!$E$23)</f>
        <v>200</v>
      </c>
      <c r="J17" s="42">
        <f t="shared" si="0"/>
        <v>79550</v>
      </c>
      <c r="K17" s="41">
        <f>MROUND(J17*Vendedor14!J$15,50)</f>
        <v>9550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53000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3050</v>
      </c>
      <c r="D18" s="30">
        <f>IF(Vendedor15!$E$21="",0,Vendedor15!$E$21)</f>
        <v>0</v>
      </c>
      <c r="E18" s="181">
        <f>IF(Vendedor15!$C$22="",0,Vendedor15!$C$22)</f>
        <v>4700</v>
      </c>
      <c r="F18" s="30">
        <f>IF(Vendedor15!$E$22="",0,Vendedor15!$E$22)</f>
        <v>100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7750</v>
      </c>
      <c r="K18" s="41">
        <f>MROUND(J18*Vendedor15!J$15,50)</f>
        <v>950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-1700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57550</v>
      </c>
      <c r="D32" s="44">
        <f t="shared" si="8"/>
        <v>0</v>
      </c>
      <c r="E32" s="43">
        <f t="shared" si="8"/>
        <v>21350</v>
      </c>
      <c r="F32" s="44">
        <f t="shared" si="8"/>
        <v>100</v>
      </c>
      <c r="G32" s="43">
        <f t="shared" si="8"/>
        <v>22700</v>
      </c>
      <c r="H32" s="44">
        <f t="shared" si="8"/>
        <v>200</v>
      </c>
      <c r="J32" s="96">
        <f>SUM(J4:J31)</f>
        <v>101600</v>
      </c>
      <c r="K32" s="45">
        <f>SUM(K7:K31)</f>
        <v>12200</v>
      </c>
      <c r="L32" s="96"/>
      <c r="M32" s="96">
        <f>SUM(M4:M31)</f>
        <v>25500</v>
      </c>
      <c r="N32" s="96">
        <f>SUM(N4:N31)</f>
        <v>25500</v>
      </c>
      <c r="P32" s="80">
        <f>SUM(P4:P31)</f>
        <v>63900</v>
      </c>
    </row>
    <row r="33" spans="3:8" x14ac:dyDescent="0.35">
      <c r="D33" s="100">
        <f>+D32*85</f>
        <v>0</v>
      </c>
      <c r="F33" s="100">
        <f>+F32*85</f>
        <v>8500</v>
      </c>
      <c r="H33" s="100">
        <f>+H32*85</f>
        <v>17000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101600</v>
      </c>
      <c r="E36" s="43">
        <f>+D36-J4-J5-J6</f>
        <v>101600</v>
      </c>
    </row>
    <row r="37" spans="3:8" x14ac:dyDescent="0.35">
      <c r="C37" s="47" t="s">
        <v>33</v>
      </c>
      <c r="D37" s="48">
        <f>D36*13%</f>
        <v>13208</v>
      </c>
      <c r="E37">
        <f>+D37-K4-K5-K6</f>
        <v>13208</v>
      </c>
    </row>
    <row r="38" spans="3:8" ht="15" thickBot="1" x14ac:dyDescent="0.4">
      <c r="C38" s="47" t="s">
        <v>30</v>
      </c>
      <c r="D38" s="30">
        <f>SUM(M4:M27)</f>
        <v>25500</v>
      </c>
      <c r="G38" s="101"/>
    </row>
    <row r="39" spans="3:8" ht="15" thickBot="1" x14ac:dyDescent="0.4">
      <c r="C39" s="49" t="s">
        <v>4</v>
      </c>
      <c r="D39" s="81">
        <f>+D36-D37-D38</f>
        <v>62892</v>
      </c>
      <c r="F39" s="99">
        <f>+P32-D39</f>
        <v>1008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62892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37</v>
      </c>
      <c r="D2" s="269"/>
      <c r="E2" s="268">
        <f>DigitaDOMINICANA!E2</f>
        <v>61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54500</v>
      </c>
      <c r="D10" s="30">
        <f>IF(Vendedor7!$E$24="",0,Vendedor7!$E$24)</f>
        <v>0</v>
      </c>
      <c r="E10" s="181">
        <f>IF(Vendedor7!$C$25="",0,Vendedor7!$C$25)</f>
        <v>57500</v>
      </c>
      <c r="F10" s="30">
        <f>IF(Vendedor7!$E$25="",0,Vendedor7!$E$25)</f>
        <v>0</v>
      </c>
      <c r="H10" s="42">
        <f t="shared" si="1"/>
        <v>112000</v>
      </c>
      <c r="I10" s="41">
        <f>MROUND(H10*Vendedor7!J$14,50)</f>
        <v>13450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98550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54500</v>
      </c>
      <c r="D32" s="44">
        <f>SUM(D4:D31)</f>
        <v>0</v>
      </c>
      <c r="E32" s="43">
        <f>SUM(E4:E31)</f>
        <v>57500</v>
      </c>
      <c r="F32" s="44">
        <f>SUM(F4:F31)</f>
        <v>0</v>
      </c>
      <c r="H32" s="96">
        <f>SUM(H4:H31)</f>
        <v>112000</v>
      </c>
      <c r="I32" s="45">
        <f>SUM(I7:I31)</f>
        <v>13450</v>
      </c>
      <c r="J32" s="96"/>
      <c r="K32" s="96">
        <f>SUM(K4:K31)</f>
        <v>0</v>
      </c>
      <c r="L32" s="96">
        <f>SUM(L4:L31)</f>
        <v>0</v>
      </c>
      <c r="N32" s="80">
        <f>SUM(N4:N31)</f>
        <v>98550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112000</v>
      </c>
      <c r="E36" s="43">
        <f>+D36-H4-H5-H6</f>
        <v>112000</v>
      </c>
    </row>
    <row r="37" spans="3:6" x14ac:dyDescent="0.35">
      <c r="C37" s="47" t="s">
        <v>33</v>
      </c>
      <c r="D37" s="48">
        <f>D36*13%</f>
        <v>14560</v>
      </c>
      <c r="E37">
        <f>+D37-I4-I5-I6</f>
        <v>14560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97440</v>
      </c>
      <c r="F39" s="99">
        <f>+N32-D39</f>
        <v>1110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97440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75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5100</v>
      </c>
      <c r="D17" s="30">
        <f>IF(Vendedor14!$E$26="",0,Vendedor14!$E$26)</f>
        <v>0</v>
      </c>
      <c r="F17" s="42">
        <f t="shared" si="1"/>
        <v>5100</v>
      </c>
      <c r="G17" s="41">
        <f>MROUND(F17*Vendedor14!J$15,50)</f>
        <v>600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4500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5100</v>
      </c>
      <c r="D32" s="44">
        <f>SUM(D4:D31)</f>
        <v>0</v>
      </c>
      <c r="F32" s="96">
        <f>SUM(F4:F31)</f>
        <v>5100</v>
      </c>
      <c r="G32" s="96">
        <f>SUM(G7:G31)</f>
        <v>600</v>
      </c>
      <c r="H32" s="96"/>
      <c r="I32" s="96">
        <f>SUM(I4:I31)</f>
        <v>0</v>
      </c>
      <c r="J32" s="96">
        <f>SUM(J4:J31)</f>
        <v>0</v>
      </c>
      <c r="L32" s="92">
        <f>SUM(L4:L31)</f>
        <v>4500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5100</v>
      </c>
      <c r="F36" s="43">
        <f>+D36-F4-F5-F6</f>
        <v>5100</v>
      </c>
    </row>
    <row r="37" spans="3:6" x14ac:dyDescent="0.35">
      <c r="C37" s="47" t="s">
        <v>33</v>
      </c>
      <c r="D37" s="30">
        <f>D36*14%</f>
        <v>714.00000000000011</v>
      </c>
      <c r="E37" s="43"/>
      <c r="F37" s="43">
        <f>+D37-G4-G5-G6</f>
        <v>714.00000000000011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4386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4386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1208450</v>
      </c>
      <c r="C4" s="158">
        <f>HojaNICA!M32</f>
        <v>145000</v>
      </c>
      <c r="D4" s="151">
        <f>HojaNICA!E37</f>
        <v>157109.5</v>
      </c>
      <c r="E4" s="151">
        <f>HojaNICA!P32</f>
        <v>616250</v>
      </c>
      <c r="F4" s="151">
        <f>HojaNICA!O32</f>
        <v>624750</v>
      </c>
      <c r="G4" s="152">
        <f t="shared" ref="G4:G10" si="0">+D4-C4+F4-E4</f>
        <v>20609.5</v>
      </c>
      <c r="H4" s="21"/>
      <c r="I4" s="183"/>
    </row>
    <row r="5" spans="1:9" x14ac:dyDescent="0.35">
      <c r="A5" s="28" t="s">
        <v>19</v>
      </c>
      <c r="B5" s="157">
        <f>HojaTICA!$E$36</f>
        <v>1497150</v>
      </c>
      <c r="C5" s="158">
        <f>HojaTICA!K32</f>
        <v>182550</v>
      </c>
      <c r="D5" s="151">
        <f>HojaTICA!E37</f>
        <v>194648</v>
      </c>
      <c r="E5" s="151">
        <f>HojaTICA!N32</f>
        <v>2659250</v>
      </c>
      <c r="F5" s="151">
        <f>HojaTICA!D38</f>
        <v>2673250</v>
      </c>
      <c r="G5" s="152">
        <f t="shared" si="0"/>
        <v>26098</v>
      </c>
      <c r="H5" s="21"/>
      <c r="I5" s="183"/>
    </row>
    <row r="6" spans="1:9" x14ac:dyDescent="0.35">
      <c r="A6" s="28" t="s">
        <v>125</v>
      </c>
      <c r="B6" s="157">
        <f>HojaREVENTADO!$E$37</f>
        <v>188100</v>
      </c>
      <c r="C6" s="158">
        <f>HojaREVENTADO!K33</f>
        <v>18810</v>
      </c>
      <c r="D6" s="151">
        <f>HojaREVENTADO!E38</f>
        <v>18810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298350</v>
      </c>
      <c r="C7" s="158">
        <f>HojaPrimera!I32</f>
        <v>35850</v>
      </c>
      <c r="D7" s="151">
        <f>HojaPrimera!E37</f>
        <v>38777.5</v>
      </c>
      <c r="E7" s="151">
        <f>HojaPrimera!L32</f>
        <v>212500</v>
      </c>
      <c r="F7" s="151">
        <f>HojaPrimera!K32</f>
        <v>212500</v>
      </c>
      <c r="G7" s="152">
        <f t="shared" si="0"/>
        <v>2927.5</v>
      </c>
      <c r="H7" s="21"/>
      <c r="I7" s="21"/>
    </row>
    <row r="8" spans="1:9" x14ac:dyDescent="0.35">
      <c r="A8" s="28" t="s">
        <v>104</v>
      </c>
      <c r="B8" s="157">
        <f>HojaHonduras!$E$36</f>
        <v>101600</v>
      </c>
      <c r="C8" s="158">
        <f>HojaHonduras!K32</f>
        <v>12200</v>
      </c>
      <c r="D8" s="151">
        <f>HojaHonduras!E37</f>
        <v>13208</v>
      </c>
      <c r="E8" s="151">
        <f>HojaHonduras!N32</f>
        <v>25500</v>
      </c>
      <c r="F8" s="151">
        <f>HojaHonduras!M32</f>
        <v>25500</v>
      </c>
      <c r="G8" s="152">
        <f t="shared" si="0"/>
        <v>1008</v>
      </c>
      <c r="H8" s="21"/>
      <c r="I8" s="21"/>
    </row>
    <row r="9" spans="1:9" x14ac:dyDescent="0.35">
      <c r="A9" s="28" t="s">
        <v>20</v>
      </c>
      <c r="B9" s="157">
        <f>HojaDominicana!$E$36</f>
        <v>112000</v>
      </c>
      <c r="C9" s="158">
        <f>HojaDominicana!I32</f>
        <v>13450</v>
      </c>
      <c r="D9" s="151">
        <f>HojaDominicana!E37</f>
        <v>14560</v>
      </c>
      <c r="E9" s="151">
        <f>HojaDominicana!L32</f>
        <v>0</v>
      </c>
      <c r="F9" s="151">
        <f>HojaDominicana!K32</f>
        <v>0</v>
      </c>
      <c r="G9" s="152">
        <f t="shared" si="0"/>
        <v>1110</v>
      </c>
      <c r="H9" s="21"/>
      <c r="I9" s="21"/>
    </row>
    <row r="10" spans="1:9" ht="15" thickBot="1" x14ac:dyDescent="0.4">
      <c r="A10" s="168" t="s">
        <v>21</v>
      </c>
      <c r="B10" s="169">
        <f>HojaPANA!F36</f>
        <v>5100</v>
      </c>
      <c r="C10" s="170">
        <f>HojaPANA!G32</f>
        <v>600</v>
      </c>
      <c r="D10" s="171">
        <f>HojaPANA!F37</f>
        <v>714.00000000000011</v>
      </c>
      <c r="E10" s="171">
        <f>HojaPANA!J32</f>
        <v>0</v>
      </c>
      <c r="F10" s="171">
        <f>HojaPANA!I32</f>
        <v>0</v>
      </c>
      <c r="G10" s="172">
        <f t="shared" si="0"/>
        <v>114.00000000000011</v>
      </c>
      <c r="H10" s="21"/>
      <c r="I10" s="21"/>
    </row>
    <row r="11" spans="1:9" ht="19" thickBot="1" x14ac:dyDescent="0.5">
      <c r="A11" s="175" t="s">
        <v>32</v>
      </c>
      <c r="B11" s="176">
        <f>SUM(B4:B10)</f>
        <v>3410750</v>
      </c>
      <c r="C11" s="176">
        <f>SUM(C4:C10)</f>
        <v>408460</v>
      </c>
      <c r="D11" s="176">
        <f t="shared" ref="D11:F11" si="1">SUM(D4:D10)</f>
        <v>437827</v>
      </c>
      <c r="E11" s="176">
        <f t="shared" si="1"/>
        <v>3513500</v>
      </c>
      <c r="F11" s="176">
        <f t="shared" si="1"/>
        <v>3536000</v>
      </c>
      <c r="G11" s="177">
        <f>SUM(G4:G10)</f>
        <v>51867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16867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259000</v>
      </c>
      <c r="E16" s="158">
        <f>+Vendedor1!D21</f>
        <v>33670</v>
      </c>
      <c r="F16" s="159">
        <f>IF(D16&lt;&gt;0,15000,0)</f>
        <v>15000</v>
      </c>
      <c r="G16" s="152">
        <f>+E16-F16</f>
        <v>18670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191550</v>
      </c>
      <c r="E17" s="158">
        <f>+Vendedor2!D21</f>
        <v>24901.5</v>
      </c>
      <c r="F17" s="159">
        <f>IF(D17&lt;&gt;0,15000,0)</f>
        <v>15000</v>
      </c>
      <c r="G17" s="152">
        <f>+E17-F17</f>
        <v>9901.5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450550</v>
      </c>
      <c r="E19" s="160">
        <f>SUM(E16:E18)</f>
        <v>58571.5</v>
      </c>
      <c r="F19" s="161">
        <f>SUM(F16:F18)</f>
        <v>30000</v>
      </c>
      <c r="G19" s="162">
        <f>SUM(G16:G18)</f>
        <v>28571.5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45438.5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1318150</v>
      </c>
      <c r="C5" s="151">
        <f>HojaNICA!D37</f>
        <v>171359.5</v>
      </c>
      <c r="D5" s="151">
        <f>HojaNICA!D38</f>
        <v>624750</v>
      </c>
      <c r="E5" s="151"/>
      <c r="F5" s="152">
        <f>+B5-C5-D5+E5</f>
        <v>522040.5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1824600</v>
      </c>
      <c r="C6" s="151">
        <f>HojaTICA!D37</f>
        <v>237198</v>
      </c>
      <c r="D6" s="151">
        <f>HojaTICA!D38</f>
        <v>2673250</v>
      </c>
      <c r="E6" s="151"/>
      <c r="F6" s="152">
        <f t="shared" ref="F6:F11" si="0">+B6-C6-D6+E6</f>
        <v>-1085848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188100</v>
      </c>
      <c r="C7" s="151">
        <f>HojaREVENTADO!D38</f>
        <v>18810</v>
      </c>
      <c r="D7" s="151">
        <f>HojaREVENTADO!D39</f>
        <v>0</v>
      </c>
      <c r="E7" s="151"/>
      <c r="F7" s="152">
        <f t="shared" si="0"/>
        <v>169290</v>
      </c>
    </row>
    <row r="8" spans="1:15" x14ac:dyDescent="0.35">
      <c r="A8" s="47" t="s">
        <v>96</v>
      </c>
      <c r="B8" s="151">
        <f>HojaPrimera!$D36</f>
        <v>311750</v>
      </c>
      <c r="C8" s="151">
        <f>HojaPrimera!$D37</f>
        <v>40527.5</v>
      </c>
      <c r="D8" s="151">
        <f>HojaPrimera!$D38</f>
        <v>212500</v>
      </c>
      <c r="E8" s="151"/>
      <c r="F8" s="152">
        <f t="shared" si="0"/>
        <v>58722.5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101600</v>
      </c>
      <c r="C9" s="151">
        <f>HojaHonduras!$D37</f>
        <v>13208</v>
      </c>
      <c r="D9" s="151">
        <f>HojaHonduras!$D38</f>
        <v>25500</v>
      </c>
      <c r="E9" s="151"/>
      <c r="F9" s="152">
        <f t="shared" si="0"/>
        <v>62892</v>
      </c>
      <c r="H9" s="252">
        <f>+K12-K10-H6</f>
        <v>-171077</v>
      </c>
    </row>
    <row r="10" spans="1:15" ht="15" thickBot="1" x14ac:dyDescent="0.4">
      <c r="A10" s="47" t="s">
        <v>20</v>
      </c>
      <c r="B10" s="151">
        <f>HojaDominicana!$D36</f>
        <v>112000</v>
      </c>
      <c r="C10" s="151">
        <f>HojaDominicana!$D37</f>
        <v>14560</v>
      </c>
      <c r="D10" s="151">
        <f>HojaDominicana!$D38</f>
        <v>0</v>
      </c>
      <c r="E10" s="151"/>
      <c r="F10" s="152">
        <f t="shared" si="0"/>
        <v>97440</v>
      </c>
      <c r="H10" s="155"/>
      <c r="J10" t="s">
        <v>148</v>
      </c>
      <c r="K10" s="254">
        <v>5831127.4399999995</v>
      </c>
    </row>
    <row r="11" spans="1:15" ht="15" thickBot="1" x14ac:dyDescent="0.4">
      <c r="A11" s="47" t="s">
        <v>21</v>
      </c>
      <c r="B11" s="151">
        <f>HojaPANA!$D36</f>
        <v>5100</v>
      </c>
      <c r="C11" s="151">
        <f>HojaPANA!$D37</f>
        <v>714.00000000000011</v>
      </c>
      <c r="D11" s="166">
        <f>HojaPANA!$D38</f>
        <v>0</v>
      </c>
      <c r="E11" s="151"/>
      <c r="F11" s="152">
        <f t="shared" si="0"/>
        <v>4386</v>
      </c>
      <c r="H11" s="215" t="s">
        <v>154</v>
      </c>
      <c r="J11" t="s">
        <v>158</v>
      </c>
      <c r="K11" s="255">
        <f>+K10+F12+H6</f>
        <v>5660050.4399999995</v>
      </c>
    </row>
    <row r="12" spans="1:15" ht="16" thickBot="1" x14ac:dyDescent="0.4">
      <c r="A12" s="145" t="s">
        <v>5</v>
      </c>
      <c r="B12" s="153">
        <f>SUM(B5:B11)</f>
        <v>3861300</v>
      </c>
      <c r="C12" s="153">
        <f>SUM(C5:C11)</f>
        <v>496377</v>
      </c>
      <c r="D12" s="153">
        <f>SUM(D5:D11)</f>
        <v>3536000</v>
      </c>
      <c r="E12" s="153"/>
      <c r="F12" s="257">
        <f>SUM(F5:F11)</f>
        <v>-171077</v>
      </c>
      <c r="H12" s="253">
        <f>K12</f>
        <v>5660050.4399999995</v>
      </c>
      <c r="J12" t="s">
        <v>140</v>
      </c>
      <c r="K12" s="256">
        <f>2518666.07-2004609.01+2831569.8+2314423.58</f>
        <v>5660050.4399999995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200850</v>
      </c>
      <c r="K4" s="233">
        <f t="shared" ref="K4" si="0">D7+D11+D15</f>
        <v>26110.5</v>
      </c>
      <c r="L4" s="222">
        <f>F7+F11+F15</f>
        <v>289000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IF(DigitaNICA!C4&lt;&gt;"",DigitaNICA!C4,"")</f>
        <v>29750</v>
      </c>
      <c r="D5" s="42">
        <f>IF(C5="",0,C5*J$10)</f>
        <v>3867.5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17882.5</v>
      </c>
      <c r="I5" s="243" t="s">
        <v>37</v>
      </c>
      <c r="J5" s="223">
        <f>SUM(IF(C5="",0,C5),IF(C9="",0,C9),IF(C13="",0,C13),IF(C17="",0,C17))</f>
        <v>52650</v>
      </c>
      <c r="K5" s="227">
        <f t="shared" ref="K5" si="2">D5+D9+D13+D17</f>
        <v>6844.5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5500</v>
      </c>
      <c r="K6" s="230">
        <f>D19+D20</f>
        <v>715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IF(DigitaTICA!C4&lt;&gt;"",DigitaTICA!C4,"")</f>
        <v>75500</v>
      </c>
      <c r="D7" s="42">
        <f>IF(C7="",0,C7*J$9)</f>
        <v>9815</v>
      </c>
      <c r="E7" s="29">
        <f>IF(DigitaTICA!D4&lt;&gt;"",DigitaTICA!D4,"")</f>
        <v>1350</v>
      </c>
      <c r="F7" s="42">
        <f>IF(E7="",0,E7*PREMIOS!F7)</f>
        <v>114750</v>
      </c>
      <c r="G7" s="30">
        <f t="shared" si="1"/>
        <v>-49065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IF(DigitaNICA!E4&lt;&gt;"",DigitaNICA!E4,"")</f>
        <v>22200</v>
      </c>
      <c r="D9" s="42">
        <f>IF(C9="",0,C9*J$10)</f>
        <v>2886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19314</v>
      </c>
      <c r="I9" s="77" t="s">
        <v>36</v>
      </c>
      <c r="J9" s="78">
        <v>0.13</v>
      </c>
      <c r="K9" s="79">
        <f>MROUND(D7+D11+D15,50)</f>
        <v>26100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6850</v>
      </c>
    </row>
    <row r="11" spans="1:12" x14ac:dyDescent="0.35">
      <c r="A11" s="28" t="s">
        <v>59</v>
      </c>
      <c r="B11" s="133">
        <f>IF(DigitaTICA!E2&lt;&gt;"",DigitaTICA!E2,"")</f>
        <v>55</v>
      </c>
      <c r="C11" s="29">
        <f>IF(DigitaTICA!E4&lt;&gt;"",DigitaTICA!E4,"")</f>
        <v>43850</v>
      </c>
      <c r="D11" s="42">
        <f>IF(C11="",0,C11*J$9)</f>
        <v>5700.5</v>
      </c>
      <c r="E11" s="29">
        <f>IF(DigitaTICA!F4&lt;&gt;"",DigitaTICA!F4,"")</f>
        <v>1050</v>
      </c>
      <c r="F11" s="42">
        <f>IF(E11="",0,E11*PREMIOS!F11)</f>
        <v>89250</v>
      </c>
      <c r="G11" s="30">
        <f t="shared" si="1"/>
        <v>-51100.5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3">
        <f>IF(DigitaNICA!G2&lt;&gt;"",DigitaNICA!G2,"")</f>
        <v>97</v>
      </c>
      <c r="C13" s="29">
        <f>IF(DigitaNICA!G4&lt;&gt;"",DigitaNICA!G4,"")</f>
        <v>400</v>
      </c>
      <c r="D13" s="42">
        <f>IF(C13="",0,C13*J$10)</f>
        <v>52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348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IF(DigitaTICA!G4&lt;&gt;"",DigitaTICA!G4,"")</f>
        <v>81500</v>
      </c>
      <c r="D15" s="42">
        <f>IF(C15="",0,C15*J$9)</f>
        <v>10595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-14095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>
        <f>IF(DigitaNICA!I4&lt;&gt;"",DigitaNICA!I4,"")</f>
        <v>300</v>
      </c>
      <c r="D17" s="42">
        <f>IF(C17="",0,C17*J$10)</f>
        <v>39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261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IF(DigitaPRIMERA!C4&lt;&gt;"",DigitaPRIMERA!C4,"")</f>
        <v>5100</v>
      </c>
      <c r="D19" s="42">
        <f>IF(C19="",0,C19*J$12)</f>
        <v>663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4437</v>
      </c>
    </row>
    <row r="20" spans="1:7" x14ac:dyDescent="0.35">
      <c r="A20" s="28" t="s">
        <v>98</v>
      </c>
      <c r="B20" s="133">
        <f>IF(DigitaPRIMERA!E2&lt;&gt;"",DigitaPRIMERA!E2,"")</f>
        <v>75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259000</v>
      </c>
      <c r="D21" s="123">
        <f t="shared" ref="D21:G21" si="6">SUM(D5:D20)</f>
        <v>33670</v>
      </c>
      <c r="E21" s="123">
        <f t="shared" si="6"/>
        <v>3500</v>
      </c>
      <c r="F21" s="123">
        <f t="shared" si="6"/>
        <v>297000</v>
      </c>
      <c r="G21" s="124">
        <f t="shared" si="6"/>
        <v>-71670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126600</v>
      </c>
      <c r="K4" s="233">
        <f t="shared" ref="K4" si="0">D7+D11+D15</f>
        <v>16458</v>
      </c>
      <c r="L4" s="222">
        <f>F7+F11+F15</f>
        <v>80750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IF(DigitaNICA!C5&lt;&gt;"",DigitaNICA!C5,"")</f>
        <v>34950</v>
      </c>
      <c r="D5" s="42">
        <f>IF(C5="",0,C5*J$10)</f>
        <v>4543.5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-9593.5</v>
      </c>
      <c r="I5" s="243" t="s">
        <v>37</v>
      </c>
      <c r="J5" s="223">
        <f>SUM(IF(C5="",0,C5),IF(C9="",0,C9),IF(C13="",0,C13),IF(C17="",0,C17))</f>
        <v>57050</v>
      </c>
      <c r="K5" s="227">
        <f t="shared" ref="K5" si="2">D5+D9+D13+D17</f>
        <v>7416.5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7900</v>
      </c>
      <c r="K6" s="230">
        <f>D19+D20</f>
        <v>1027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IF(DigitaTICA!C5&lt;&gt;"",DigitaTICA!C5,"")</f>
        <v>42750</v>
      </c>
      <c r="D7" s="42">
        <f>IF(C7="",0,C7*J$9)</f>
        <v>5557.5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15942.5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IF(DigitaNICA!E5&lt;&gt;"",DigitaNICA!E5,"")</f>
        <v>11250</v>
      </c>
      <c r="D9" s="42">
        <f>IF(C9="",0,C9*J$10)</f>
        <v>1462.5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9787.5</v>
      </c>
      <c r="I9" s="60" t="s">
        <v>36</v>
      </c>
      <c r="J9" s="61">
        <v>0.13</v>
      </c>
      <c r="K9" s="62">
        <f>MROUND(D7+D11+D15,50)</f>
        <v>16450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7400</v>
      </c>
    </row>
    <row r="11" spans="1:12" x14ac:dyDescent="0.35">
      <c r="A11" s="28" t="s">
        <v>59</v>
      </c>
      <c r="B11" s="133">
        <f>IF(DigitaTICA!E2&lt;&gt;"",DigitaTICA!E2,"")</f>
        <v>55</v>
      </c>
      <c r="C11" s="29">
        <f>IF(DigitaTICA!E5&lt;&gt;"",DigitaTICA!E5,"")</f>
        <v>25050</v>
      </c>
      <c r="D11" s="42">
        <f>IF(C11="",0,C11*J$9)</f>
        <v>3256.5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543.5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3">
        <f>IF(DigitaNICA!G2&lt;&gt;"",DigitaNICA!G2,"")</f>
        <v>97</v>
      </c>
      <c r="C13" s="29">
        <f>IF(DigitaNICA!G5&lt;&gt;"",DigitaNICA!G5,"")</f>
        <v>6800</v>
      </c>
      <c r="D13" s="42">
        <f>IF(C13="",0,C13*J$10)</f>
        <v>884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5916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IF(DigitaTICA!G5&lt;&gt;"",DigitaTICA!G5,"")</f>
        <v>58800</v>
      </c>
      <c r="D15" s="42">
        <f>IF(C15="",0,C15*J$9)</f>
        <v>7644</v>
      </c>
      <c r="E15" s="29">
        <f>IF(DigitaTICA!H5&lt;&gt;"",DigitaTICA!H5,"")</f>
        <v>450</v>
      </c>
      <c r="F15" s="42">
        <f>IF(E15="",0,E15*PREMIOS!F15)</f>
        <v>38250</v>
      </c>
      <c r="G15" s="30">
        <f t="shared" si="3"/>
        <v>12906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>
        <f>IF(DigitaNICA!I5&lt;&gt;"",DigitaNICA!I5,"")</f>
        <v>4050</v>
      </c>
      <c r="D17" s="42">
        <f>IF(C17="",0,C17*J$10)</f>
        <v>526.5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3523.5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IF(DigitaPRIMERA!C5&lt;&gt;"",DigitaPRIMERA!C5,"")</f>
        <v>4350</v>
      </c>
      <c r="D19" s="42">
        <f>IF(C19="",0,C19*J$12)</f>
        <v>565.5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3784.5</v>
      </c>
    </row>
    <row r="20" spans="1:7" x14ac:dyDescent="0.35">
      <c r="A20" s="28" t="s">
        <v>98</v>
      </c>
      <c r="B20" s="133">
        <f>IF(DigitaPRIMERA!E2&lt;&gt;"",DigitaPRIMERA!E2,"")</f>
        <v>75</v>
      </c>
      <c r="C20" s="29">
        <f>IF(DigitaPRIMERA!E5&lt;&gt;"",DigitaPRIMERA!E5,"")</f>
        <v>3550</v>
      </c>
      <c r="D20" s="42">
        <f>IF(C20="",0,C20*J$12)</f>
        <v>461.5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3088.5</v>
      </c>
    </row>
    <row r="21" spans="1:7" ht="15" thickBot="1" x14ac:dyDescent="0.4">
      <c r="A21" s="67" t="s">
        <v>5</v>
      </c>
      <c r="B21" s="128"/>
      <c r="C21" s="68">
        <f>SUM(C5:C20)</f>
        <v>191550</v>
      </c>
      <c r="D21" s="68">
        <f t="shared" ref="D21:G21" si="4">SUM(D5:D20)</f>
        <v>24901.5</v>
      </c>
      <c r="E21" s="68">
        <f t="shared" si="4"/>
        <v>1450</v>
      </c>
      <c r="F21" s="68">
        <f t="shared" si="4"/>
        <v>120750</v>
      </c>
      <c r="G21" s="89">
        <f t="shared" si="4"/>
        <v>45898.5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55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55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55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75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518200</v>
      </c>
      <c r="K4" s="233">
        <f t="shared" ref="K4" si="0">D7+D11+D15</f>
        <v>62184</v>
      </c>
      <c r="L4" s="222">
        <f>F7+F11+F15</f>
        <v>743750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IF(DigitaNICA!C10&lt;&gt;"",DigitaNICA!C10,"")</f>
        <v>129950</v>
      </c>
      <c r="D5" s="42">
        <f>IF(C5="",0,C5*J$15)</f>
        <v>15594</v>
      </c>
      <c r="E5" s="29">
        <f>IF(DigitaNICA!D10&lt;&gt;"",DigitaNICA!D10,"")</f>
        <v>350</v>
      </c>
      <c r="F5" s="42">
        <f>IF(E5="",0,E5*PREMIOS!F5)</f>
        <v>29750</v>
      </c>
      <c r="G5" s="30">
        <f t="shared" ref="G5:G12" si="1">IF(OR(C5="",E5=""),0,C5-D5-F5)</f>
        <v>84606</v>
      </c>
      <c r="I5" s="219" t="s">
        <v>37</v>
      </c>
      <c r="J5" s="223">
        <f>SUM(IF(C5="",0,C5),IF(C9="",0,C9),IF(C13="",0,C13),IF(C17="",0,C17))</f>
        <v>462050</v>
      </c>
      <c r="K5" s="227">
        <f t="shared" ref="K5" si="2">D5+D9+D13+D17</f>
        <v>55446</v>
      </c>
      <c r="L5" s="224">
        <f>F5+F9+F13+F17</f>
        <v>140250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67550</v>
      </c>
      <c r="K6" s="228">
        <f t="shared" ref="K6" si="3">+D8+D12+D16</f>
        <v>6755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55</v>
      </c>
      <c r="C7" s="29">
        <f>IF(DigitaTICA!C10&lt;&gt;"",DigitaTICA!C10,"")</f>
        <v>175700</v>
      </c>
      <c r="D7" s="42">
        <f>IF(C7="",0,C7*J$14)</f>
        <v>21084</v>
      </c>
      <c r="E7" s="29">
        <f>IF(DigitaTICA!D10&lt;&gt;"",DigitaTICA!D10,"")</f>
        <v>1900</v>
      </c>
      <c r="F7" s="42">
        <f>IF(E7="",0,E7*PREMIOS!F7)</f>
        <v>161500</v>
      </c>
      <c r="G7" s="30">
        <f t="shared" si="1"/>
        <v>-6884</v>
      </c>
      <c r="I7" s="219" t="s">
        <v>96</v>
      </c>
      <c r="J7" s="225">
        <f>SUM(IF(C19="",0,C19),IF(C20="",0,C20))</f>
        <v>66900</v>
      </c>
      <c r="K7" s="228">
        <f>+D19+D20</f>
        <v>8028</v>
      </c>
      <c r="L7" s="229">
        <f>+F19+F20</f>
        <v>25500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23950</v>
      </c>
      <c r="D8" s="42">
        <f>IF(C8="",0,C8*J$16)</f>
        <v>2395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21555</v>
      </c>
      <c r="I8" s="219" t="s">
        <v>104</v>
      </c>
      <c r="J8" s="225">
        <f>SUM(IF(C21="",0,C21),IF(C22="",0,C22),IF(C23="",0,C23))</f>
        <v>14300</v>
      </c>
      <c r="K8" s="228">
        <f t="shared" ref="K8" si="4">D21+D22+D23</f>
        <v>1716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IF(DigitaNICA!E10&lt;&gt;"",DigitaNICA!E10,"")</f>
        <v>144250</v>
      </c>
      <c r="D9" s="42">
        <f>IF(C9="",0,C9*J$15)</f>
        <v>17310</v>
      </c>
      <c r="E9" s="29">
        <f>IF(DigitaNICA!F10&lt;&gt;"",DigitaNICA!F10,"")</f>
        <v>450</v>
      </c>
      <c r="F9" s="42">
        <f>IF(E9="",0,E9*PREMIOS!F9)</f>
        <v>38250</v>
      </c>
      <c r="G9" s="30">
        <f t="shared" si="1"/>
        <v>88690</v>
      </c>
      <c r="I9" s="219" t="s">
        <v>20</v>
      </c>
      <c r="J9" s="225">
        <f>SUM(IF(C24="",0,C24),IF(C25="",0,C25))</f>
        <v>112000</v>
      </c>
      <c r="K9" s="228">
        <f t="shared" ref="K9" si="5">+D24+D25</f>
        <v>13440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55</v>
      </c>
      <c r="C11" s="29">
        <f>IF(DigitaTICA!E10&lt;&gt;"",DigitaTICA!E10,"")</f>
        <v>181400</v>
      </c>
      <c r="D11" s="42">
        <f>IF(C11="",0,C11*J$14)</f>
        <v>21768</v>
      </c>
      <c r="E11" s="29">
        <f>IF(DigitaTICA!F10&lt;&gt;"",DigitaTICA!F10,"")</f>
        <v>2900</v>
      </c>
      <c r="F11" s="42">
        <f>IF(E11="",0,E11*PREMIOS!F11)</f>
        <v>246500</v>
      </c>
      <c r="G11" s="30">
        <f t="shared" si="1"/>
        <v>-86868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12850</v>
      </c>
      <c r="D12" s="42">
        <f>IF(C12="",0,C12*J$16)</f>
        <v>1285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11565</v>
      </c>
    </row>
    <row r="13" spans="1:12" ht="15" thickBot="1" x14ac:dyDescent="0.4">
      <c r="A13" s="28" t="s">
        <v>50</v>
      </c>
      <c r="B13" s="133">
        <f>IF(DigitaNICA!G2&lt;&gt;"",DigitaNICA!G2,"")</f>
        <v>97</v>
      </c>
      <c r="C13" s="29">
        <f>IF(DigitaNICA!G10&lt;&gt;"",DigitaNICA!G10,"")</f>
        <v>70800</v>
      </c>
      <c r="D13" s="42">
        <f>IF(C13="",0,C13*J$15)</f>
        <v>8496</v>
      </c>
      <c r="E13" s="29">
        <f>IF(DigitaNICA!H10&lt;&gt;"",DigitaNICA!H10,"")</f>
        <v>400</v>
      </c>
      <c r="F13" s="42">
        <f>IF(E13="",0,E13*PREMIOS!F13)</f>
        <v>34000</v>
      </c>
      <c r="G13" s="30">
        <f>IF(OR(C13="",E13=""),0,C13-D13-F13)</f>
        <v>28304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62200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IF(DigitaTICA!G10&lt;&gt;"",DigitaTICA!G10,"")</f>
        <v>161100</v>
      </c>
      <c r="D15" s="42">
        <f>IF(C15="",0,C15*J$14)</f>
        <v>19332</v>
      </c>
      <c r="E15" s="29">
        <f>IF(DigitaTICA!H10&lt;&gt;"",DigitaTICA!H10,"")</f>
        <v>3950</v>
      </c>
      <c r="F15" s="42">
        <f>IF(E15="",0,E15*PREMIOS!F15)</f>
        <v>335750</v>
      </c>
      <c r="G15" s="30">
        <f t="shared" si="6"/>
        <v>-193982</v>
      </c>
      <c r="I15" s="63" t="s">
        <v>37</v>
      </c>
      <c r="J15" s="64">
        <v>0.12</v>
      </c>
      <c r="K15" s="30">
        <f>MROUND(D5+D9+D13+D17,50)</f>
        <v>55450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30750</v>
      </c>
      <c r="D16" s="42">
        <f>IF(C16="",0,C16*J$16)</f>
        <v>3075</v>
      </c>
      <c r="E16" s="29">
        <f>IF(DigitaREVENTADO!H10&lt;&gt;"",DigitaREVENTADO!H10,"")</f>
        <v>400</v>
      </c>
      <c r="F16" s="42">
        <f>IF(E16="",0,E16*PREMIOS!F16)</f>
        <v>0</v>
      </c>
      <c r="G16" s="30">
        <f t="shared" si="6"/>
        <v>27675</v>
      </c>
      <c r="I16" s="63" t="s">
        <v>38</v>
      </c>
      <c r="J16" s="64">
        <v>0.1</v>
      </c>
      <c r="K16" s="30">
        <f>MROUND(D6+D8+D10+D12+D14+D16+D18,50)</f>
        <v>6750</v>
      </c>
    </row>
    <row r="17" spans="1:11" x14ac:dyDescent="0.35">
      <c r="A17" s="28" t="s">
        <v>52</v>
      </c>
      <c r="B17" s="133">
        <f>IF(DigitaNICA!I2&lt;&gt;"",DigitaNICA!I2,"")</f>
        <v>71</v>
      </c>
      <c r="C17" s="29">
        <f>IF(DigitaNICA!I10&lt;&gt;"",DigitaNICA!I10,"")</f>
        <v>117050</v>
      </c>
      <c r="D17" s="42">
        <f>IF(C17="",0,C17*J$15)</f>
        <v>14046</v>
      </c>
      <c r="E17" s="29">
        <f>IF(DigitaNICA!J10&lt;&gt;"",DigitaNICA!J10,"")</f>
        <v>450</v>
      </c>
      <c r="F17" s="42">
        <f>IF(E17="",0,E17*PREMIOS!F17)</f>
        <v>38250</v>
      </c>
      <c r="G17" s="30">
        <f t="shared" si="6"/>
        <v>64754</v>
      </c>
      <c r="I17" s="63" t="s">
        <v>96</v>
      </c>
      <c r="J17" s="64">
        <v>0.12</v>
      </c>
      <c r="K17" s="30">
        <f>MROUND(D19+D20,50)</f>
        <v>8050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1700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IF(DigitaPRIMERA!$C$10&lt;&gt;"",DigitaPRIMERA!$C$10,"")</f>
        <v>37700</v>
      </c>
      <c r="D19" s="42">
        <f>IF(C19="",0,C19*J$17)</f>
        <v>4524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33176</v>
      </c>
      <c r="I19" s="63" t="s">
        <v>20</v>
      </c>
      <c r="J19" s="64">
        <v>0.12</v>
      </c>
      <c r="K19" s="30">
        <f>MROUND(D24+D25,50)</f>
        <v>13450</v>
      </c>
    </row>
    <row r="20" spans="1:11" ht="15" thickBot="1" x14ac:dyDescent="0.4">
      <c r="A20" s="28" t="s">
        <v>98</v>
      </c>
      <c r="B20" s="133">
        <f>IF(DigitaPRIMERA!E2&lt;&gt;"",DigitaPRIMERA!E2,"")</f>
        <v>75</v>
      </c>
      <c r="C20" s="29">
        <f>IF(DigitaPRIMERA!$E$10&lt;&gt;"",DigitaPRIMERA!$E$10,"")</f>
        <v>29200</v>
      </c>
      <c r="D20" s="42">
        <f>IF(C20="",0,C20*J$17)</f>
        <v>3504</v>
      </c>
      <c r="E20" s="29">
        <f>IF(DigitaPRIMERA!$F$10&lt;&gt;"",DigitaPRIMERA!$F$10,"")</f>
        <v>300</v>
      </c>
      <c r="F20" s="42">
        <f>IF(E20="",0,E20*PREMIOS!F19)</f>
        <v>25500</v>
      </c>
      <c r="G20" s="30">
        <f t="shared" si="7"/>
        <v>196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32</v>
      </c>
      <c r="C21" s="29">
        <f>IF(DigitaHONDURAS!$C$10&lt;&gt;"",DigitaHONDURAS!$C$10,"")</f>
        <v>1800</v>
      </c>
      <c r="D21" s="42">
        <f>IF(C21="",0,C21*J$18)</f>
        <v>216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1584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IF(DigitaHONDURAS!$E$10&lt;&gt;"",DigitaHONDURAS!$E$10,"")</f>
        <v>8000</v>
      </c>
      <c r="D22" s="42">
        <f>IF(C22="",0,C22*J$18)</f>
        <v>960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7040</v>
      </c>
    </row>
    <row r="23" spans="1:11" x14ac:dyDescent="0.35">
      <c r="A23" s="28" t="s">
        <v>101</v>
      </c>
      <c r="B23" s="133">
        <f>IF(DigitaHONDURAS!G2&lt;&gt;"",DigitaHONDURAS!G2,"")</f>
        <v>23</v>
      </c>
      <c r="C23" s="29">
        <f>IF(DigitaHONDURAS!$G$10&lt;&gt;"",DigitaHONDURAS!$G$10,"")</f>
        <v>4500</v>
      </c>
      <c r="D23" s="42">
        <f>IF(C23="",0,C23*J$18)</f>
        <v>540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3960</v>
      </c>
    </row>
    <row r="24" spans="1:11" x14ac:dyDescent="0.35">
      <c r="A24" s="28" t="s">
        <v>107</v>
      </c>
      <c r="B24" s="133">
        <f>IF(DigitaDOMINICANA!C2&lt;&gt;"",DigitaDOMINICANA!C2,"")</f>
        <v>37</v>
      </c>
      <c r="C24" s="29">
        <f>IF(DigitaDOMINICANA!$C$10&lt;&gt;"",DigitaDOMINICANA!$C$10,"")</f>
        <v>54500</v>
      </c>
      <c r="D24" s="42">
        <f>IF(C24="",0,C24*J$19)</f>
        <v>6540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47960</v>
      </c>
    </row>
    <row r="25" spans="1:11" x14ac:dyDescent="0.35">
      <c r="A25" s="28" t="s">
        <v>108</v>
      </c>
      <c r="B25" s="133">
        <f>IF(DigitaDOMINICANA!E2&lt;&gt;"",DigitaDOMINICANA!E2,"")</f>
        <v>61</v>
      </c>
      <c r="C25" s="29">
        <f>IF(DigitaDOMINICANA!$E$10&lt;&gt;"",DigitaDOMINICANA!$E$10,"")</f>
        <v>57500</v>
      </c>
      <c r="D25" s="42">
        <f>IF(C25="",0,C25*J$19)</f>
        <v>6900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50600</v>
      </c>
    </row>
    <row r="26" spans="1:11" x14ac:dyDescent="0.35">
      <c r="A26" s="28" t="s">
        <v>21</v>
      </c>
      <c r="B26" s="133">
        <f>IF(DigitaPANAMENA!C2&lt;&gt;"",DigitaPANAMENA!C2,"")</f>
        <v>75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1241000</v>
      </c>
      <c r="D27" s="68">
        <f t="shared" ref="D27:F27" si="9">SUM(D5:D26)</f>
        <v>147569</v>
      </c>
      <c r="E27" s="68">
        <f t="shared" si="9"/>
        <v>11100</v>
      </c>
      <c r="F27" s="68">
        <f t="shared" si="9"/>
        <v>909500</v>
      </c>
      <c r="G27" s="89">
        <f>SUM(G5:G26)</f>
        <v>183931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24500</v>
      </c>
      <c r="K4" s="233">
        <f t="shared" ref="K4" si="0">D7+D11+D15</f>
        <v>2940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IF(DigitaTICA!C11&lt;&gt;"",DigitaTICA!C11,"")</f>
        <v>6500</v>
      </c>
      <c r="D7" s="42">
        <f>IF(C7="",0,C7*J$11)</f>
        <v>780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5720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2950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IF(DigitaTICA!G11&lt;&gt;"",DigitaTICA!G11,"")</f>
        <v>18000</v>
      </c>
      <c r="D15" s="42">
        <f>IF(C15="",0,C15*J$11)</f>
        <v>2160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15840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24500</v>
      </c>
      <c r="D21" s="123">
        <f t="shared" ref="D21:G21" si="5">SUM(D5:D20)</f>
        <v>2940</v>
      </c>
      <c r="E21" s="123">
        <f t="shared" si="5"/>
        <v>0</v>
      </c>
      <c r="F21" s="123">
        <f t="shared" si="5"/>
        <v>0</v>
      </c>
      <c r="G21" s="124">
        <f t="shared" si="5"/>
        <v>21560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127550</v>
      </c>
      <c r="K4" s="233">
        <f>D7+D11+D15</f>
        <v>15306</v>
      </c>
      <c r="L4" s="222">
        <f>F7+F11+F15</f>
        <v>182750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IF(DigitaNICA!C12&lt;&gt;"",DigitaNICA!C12,"")</f>
        <v>71350</v>
      </c>
      <c r="D5" s="42">
        <f>IF(C5="",0,C5*J$12)</f>
        <v>8562</v>
      </c>
      <c r="E5" s="29">
        <f>IF(DigitaNICA!D12&lt;&gt;"",DigitaNICA!D12,"")</f>
        <v>450</v>
      </c>
      <c r="F5" s="42">
        <f>IF(E5="",0,E5*PREMIOS!F5)</f>
        <v>38250</v>
      </c>
      <c r="G5" s="30">
        <f t="shared" ref="G5:G12" si="0">IF(OR(C5="",E5=""),0,C5-D5-F5)</f>
        <v>24538</v>
      </c>
      <c r="I5" s="219" t="s">
        <v>37</v>
      </c>
      <c r="J5" s="223">
        <f>SUM(IF(C5="",0,C5),IF(C9="",0,C9),IF(C13="",0,C13),IF(C17="",0,C17))</f>
        <v>118500</v>
      </c>
      <c r="K5" s="227">
        <f t="shared" ref="K5" si="1">D5+D9+D13+D17</f>
        <v>14220</v>
      </c>
      <c r="L5" s="224">
        <f>F5+F9+F13+F17</f>
        <v>63750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12050</v>
      </c>
      <c r="K6" s="228">
        <f t="shared" ref="K6" si="2">+D8+D12+D16</f>
        <v>1205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55</v>
      </c>
      <c r="C7" s="29">
        <f>IF(DigitaTICA!C12&lt;&gt;"",DigitaTICA!C12,"")</f>
        <v>65650</v>
      </c>
      <c r="D7" s="42">
        <f>IF(C7="",0,C7*J$11)</f>
        <v>7878</v>
      </c>
      <c r="E7" s="29">
        <f>IF(DigitaTICA!D12&lt;&gt;"",DigitaTICA!D12,"")</f>
        <v>1050</v>
      </c>
      <c r="F7" s="42">
        <f>IF(E7="",0,E7*PREMIOS!F7)</f>
        <v>89250</v>
      </c>
      <c r="G7" s="30">
        <f t="shared" si="0"/>
        <v>-31478</v>
      </c>
      <c r="I7" s="219" t="s">
        <v>96</v>
      </c>
      <c r="J7" s="225">
        <f>SUM(IF(C19="",0,C19),IF(C20="",0,C20))</f>
        <v>49900</v>
      </c>
      <c r="K7" s="228">
        <f>+D19+D20</f>
        <v>5988</v>
      </c>
      <c r="L7" s="229">
        <f>+F19+F20</f>
        <v>68000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5450</v>
      </c>
      <c r="D8" s="42">
        <f>IF(C8="",0,C8*J$13)</f>
        <v>545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4905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>
        <f>IF(DigitaNICA!E12&lt;&gt;"",DigitaNICA!E12,"")</f>
        <v>47150</v>
      </c>
      <c r="D9" s="42">
        <f>IF(C9="",0,C9*J$12)</f>
        <v>5658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15992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55</v>
      </c>
      <c r="C11" s="29">
        <f>IF(DigitaTICA!E12&lt;&gt;"",DigitaTICA!E12,"")</f>
        <v>37400</v>
      </c>
      <c r="D11" s="42">
        <f>IF(C11="",0,C11*J$11)</f>
        <v>4488</v>
      </c>
      <c r="E11" s="29">
        <f>IF(DigitaTICA!F12&lt;&gt;"",DigitaTICA!F12,"")</f>
        <v>800</v>
      </c>
      <c r="F11" s="42">
        <f>IF(E11="",0,E11*PREMIOS!F11)</f>
        <v>68000</v>
      </c>
      <c r="G11" s="30">
        <f t="shared" si="0"/>
        <v>-35088</v>
      </c>
      <c r="I11" s="60" t="s">
        <v>36</v>
      </c>
      <c r="J11" s="61">
        <v>0.12</v>
      </c>
      <c r="K11" s="62">
        <f>MROUND(D7+D11+D15,50)</f>
        <v>15300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2100</v>
      </c>
      <c r="D12" s="42">
        <f>IF(C12="",0,C12*J$13)</f>
        <v>210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1890</v>
      </c>
      <c r="I12" s="63" t="s">
        <v>37</v>
      </c>
      <c r="J12" s="64">
        <v>0.12</v>
      </c>
      <c r="K12" s="30">
        <f>MROUND(D5+D9+D13+D17,50)</f>
        <v>14200</v>
      </c>
    </row>
    <row r="13" spans="1:12" x14ac:dyDescent="0.35">
      <c r="A13" s="28" t="s">
        <v>50</v>
      </c>
      <c r="B13" s="133">
        <f>IF(DigitaNICA!G2&lt;&gt;"",DigitaNICA!G2,"")</f>
        <v>97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1200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6000</v>
      </c>
    </row>
    <row r="15" spans="1:12" ht="15" thickBot="1" x14ac:dyDescent="0.4">
      <c r="A15" s="28" t="s">
        <v>61</v>
      </c>
      <c r="B15" s="133">
        <f>IF(DigitaTICA!G2&lt;&gt;"",DigitaTICA!G2,"")</f>
        <v>14</v>
      </c>
      <c r="C15" s="29">
        <f>IF(DigitaTICA!G12&lt;&gt;"",DigitaTICA!G12,"")</f>
        <v>24500</v>
      </c>
      <c r="D15" s="42">
        <f>IF(C15="",0,C15*J$11)</f>
        <v>2940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-3940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4500</v>
      </c>
      <c r="D16" s="42">
        <f>IF(C16="",0,C16*J$13)</f>
        <v>450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4050</v>
      </c>
    </row>
    <row r="17" spans="1:7" x14ac:dyDescent="0.35">
      <c r="A17" s="28" t="s">
        <v>52</v>
      </c>
      <c r="B17" s="133">
        <f>IF(DigitaNICA!I2&lt;&gt;"",DigitaNICA!I2,"")</f>
        <v>71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IF(DigitaPRIMERA!$C$12&lt;&gt;"",DigitaPRIMERA!$C$12,"")</f>
        <v>49900</v>
      </c>
      <c r="D19" s="42">
        <f>IF(C19="",0,C19*J$14)</f>
        <v>5988</v>
      </c>
      <c r="E19" s="29">
        <f>IF(DigitaPRIMERA!$D$12&lt;&gt;"",DigitaPRIMERA!$D$12,"")</f>
        <v>800</v>
      </c>
      <c r="F19" s="42">
        <f>IF(E19="",0,E19*PREMIOS!F19)</f>
        <v>68000</v>
      </c>
      <c r="G19" s="30">
        <f t="shared" si="3"/>
        <v>-24088</v>
      </c>
    </row>
    <row r="20" spans="1:7" x14ac:dyDescent="0.35">
      <c r="A20" s="28" t="s">
        <v>98</v>
      </c>
      <c r="B20" s="133">
        <f>IF(DigitaPRIMERA!E2&lt;&gt;"",DigitaPRIMERA!E2,"")</f>
        <v>75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32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308000</v>
      </c>
      <c r="D24" s="68">
        <f t="shared" ref="D24:G24" si="4">SUM(D5:D23)</f>
        <v>36719</v>
      </c>
      <c r="E24" s="68">
        <f t="shared" si="4"/>
        <v>3700</v>
      </c>
      <c r="F24" s="68">
        <f t="shared" si="4"/>
        <v>314500</v>
      </c>
      <c r="G24" s="89">
        <f t="shared" si="4"/>
        <v>-43219</v>
      </c>
    </row>
    <row r="27" spans="1:7" x14ac:dyDescent="0.35">
      <c r="G27" s="21">
        <v>320293</v>
      </c>
    </row>
    <row r="28" spans="1:7" x14ac:dyDescent="0.35">
      <c r="G28" s="142">
        <f>+G24+G27</f>
        <v>277074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105650</v>
      </c>
      <c r="K4" s="233">
        <f t="shared" ref="K4" si="0">D7+D11+D15</f>
        <v>12678</v>
      </c>
      <c r="L4" s="222">
        <f>F7+F11+F15</f>
        <v>161500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>
        <f>IF(DigitaNICA!C13&lt;&gt;"",DigitaNICA!C13,"")</f>
        <v>33050</v>
      </c>
      <c r="D5" s="42">
        <f>IF(C5="",0,C5*J$10)</f>
        <v>3966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29084</v>
      </c>
      <c r="I5" s="220" t="s">
        <v>37</v>
      </c>
      <c r="J5" s="234">
        <f>SUM(IF(C5="",0,C5),IF(C9="",0,C9),IF(C13="",0,C13),IF(C17="",0,C17))</f>
        <v>69350</v>
      </c>
      <c r="K5" s="235">
        <f t="shared" ref="K5" si="2">D5+D9+D13+D17</f>
        <v>8322</v>
      </c>
      <c r="L5" s="236">
        <f>F5+F9+F13+F17</f>
        <v>80000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IF(DigitaTICA!C13&lt;&gt;"",DigitaTICA!C13,"")</f>
        <v>42300</v>
      </c>
      <c r="D7" s="42">
        <f>IF(C7="",0,C7*J$9)</f>
        <v>5076</v>
      </c>
      <c r="E7" s="29">
        <f>IF(DigitaTICA!D13&lt;&gt;"",DigitaTICA!D13,"")</f>
        <v>1000</v>
      </c>
      <c r="F7" s="134">
        <f>IF(E7="",0,E7*PREMIOS!F7)</f>
        <v>85000</v>
      </c>
      <c r="G7" s="30">
        <f t="shared" si="1"/>
        <v>-47776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IF(DigitaNICA!E13&lt;&gt;"",DigitaNICA!E13,"")</f>
        <v>24800</v>
      </c>
      <c r="D9" s="42">
        <f>IF(C9="",0,C9*J$10)</f>
        <v>2976</v>
      </c>
      <c r="E9" s="29">
        <f>IF(DigitaNICA!F13&lt;&gt;"",DigitaNICA!F13,"")</f>
        <v>1000</v>
      </c>
      <c r="F9" s="134">
        <f>IF(E9="",0,E9*PREMIOS!E9)</f>
        <v>80000</v>
      </c>
      <c r="G9" s="30">
        <f t="shared" si="1"/>
        <v>-58176</v>
      </c>
      <c r="I9" s="60" t="s">
        <v>36</v>
      </c>
      <c r="J9" s="61">
        <v>0.12</v>
      </c>
      <c r="K9" s="62">
        <f>MROUND(D7+D11+D15,50)</f>
        <v>12700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8300</v>
      </c>
    </row>
    <row r="11" spans="1:12" ht="15" thickBot="1" x14ac:dyDescent="0.4">
      <c r="A11" s="28" t="s">
        <v>59</v>
      </c>
      <c r="B11" s="133">
        <f>IF(DigitaTICA!E2&lt;&gt;"",DigitaTICA!E2,"")</f>
        <v>55</v>
      </c>
      <c r="C11" s="29">
        <f>IF(DigitaTICA!E13&lt;&gt;"",DigitaTICA!E13,"")</f>
        <v>16000</v>
      </c>
      <c r="D11" s="42">
        <f>IF(C11="",0,C11*J$9)</f>
        <v>1920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14080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>
        <f>IF(DigitaNICA!G13&lt;&gt;"",DigitaNICA!G13,"")</f>
        <v>6700</v>
      </c>
      <c r="D13" s="42">
        <f>IF(C13="",0,C13*J$10)</f>
        <v>804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5896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IF(DigitaTICA!G13&lt;&gt;"",DigitaTICA!G13,"")</f>
        <v>47350</v>
      </c>
      <c r="D15" s="42">
        <f>IF(C15="",0,C15*J$9)</f>
        <v>5682</v>
      </c>
      <c r="E15" s="29">
        <f>IF(DigitaTICA!H13&lt;&gt;"",DigitaTICA!H13,"")</f>
        <v>900</v>
      </c>
      <c r="F15" s="134">
        <f>IF(E15="",0,E15*PREMIOS!F15)</f>
        <v>76500</v>
      </c>
      <c r="G15" s="30">
        <f t="shared" si="3"/>
        <v>-34832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>
        <f>IF(DigitaNICA!I13&lt;&gt;"",DigitaNICA!I13,"")</f>
        <v>4800</v>
      </c>
      <c r="D17" s="42">
        <f>IF(C17="",0,C17*J$10)</f>
        <v>576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4224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175000</v>
      </c>
      <c r="D19" s="68">
        <f>MROUND(SUM(D5:D18),50)</f>
        <v>21000</v>
      </c>
      <c r="E19" s="68">
        <f>SUM(E5:E18)</f>
        <v>2900</v>
      </c>
      <c r="F19" s="68">
        <f>SUM(F5:F18)</f>
        <v>241500</v>
      </c>
      <c r="G19" s="89">
        <f>SUM(G5:G18)</f>
        <v>-87500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94050</v>
      </c>
      <c r="K4" s="238">
        <f t="shared" ref="K4" si="0">D7+D11+D15</f>
        <v>14107.5</v>
      </c>
      <c r="L4" s="239">
        <f>F7+F11+F15</f>
        <v>224000</v>
      </c>
    </row>
    <row r="5" spans="1:12" x14ac:dyDescent="0.35">
      <c r="A5" s="28" t="s">
        <v>43</v>
      </c>
      <c r="B5" s="133">
        <f>IF(DigitaNICA!C2&lt;&gt;"",DigitaNICA!C2,"")</f>
        <v>53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>
        <f>IF(DigitaTICA!C14&lt;&gt;"",DigitaTICA!C14,"")</f>
        <v>41900</v>
      </c>
      <c r="D7" s="42">
        <f>IF(C7="",0,C7*J$9)</f>
        <v>6285</v>
      </c>
      <c r="E7" s="29">
        <f>IF(DigitaTICA!D14&lt;&gt;"",DigitaTICA!D14,"")</f>
        <v>2000</v>
      </c>
      <c r="F7" s="42">
        <f>IF(E7="",0,E7*PREMIOS!E7)</f>
        <v>160000</v>
      </c>
      <c r="G7" s="30">
        <f t="shared" si="1"/>
        <v>-124385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14100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55</v>
      </c>
      <c r="C11" s="29">
        <f>IF(DigitaTICA!E14&lt;&gt;"",DigitaTICA!E14,"")</f>
        <v>17600</v>
      </c>
      <c r="D11" s="42">
        <f>IF(C11="",0,C11*J$9)</f>
        <v>2640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-25040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IF(DigitaTICA!G14&lt;&gt;"",DigitaTICA!G14,"")</f>
        <v>34550</v>
      </c>
      <c r="D15" s="42">
        <f>IF(C15="",0,C15*J$9)</f>
        <v>5182.5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5367.5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94050</v>
      </c>
      <c r="D19" s="68">
        <f>MROUND(SUM(D5:D18),50)</f>
        <v>14100</v>
      </c>
      <c r="E19" s="68">
        <f>SUM(E5:E18)</f>
        <v>2800</v>
      </c>
      <c r="F19" s="68">
        <f>SUM(F5:F18)</f>
        <v>224000</v>
      </c>
      <c r="G19" s="89">
        <f>SUM(G5:G18)</f>
        <v>-144057.5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63150</v>
      </c>
      <c r="K4" s="233">
        <f>D7+D11+D15</f>
        <v>7578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IF(DigitaNICA!C16&lt;&gt;"",DigitaNICA!C16,"")</f>
        <v>6650</v>
      </c>
      <c r="D5" s="42">
        <f>IF(C5="",0,C5*J$12)</f>
        <v>798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5852</v>
      </c>
      <c r="I5" s="63" t="s">
        <v>37</v>
      </c>
      <c r="J5" s="227">
        <f>SUM(IF(C5="",0,C5),IF(C9="",0,C9),IF(C13="",0,C13),IF(C17="",0,C17))</f>
        <v>30250</v>
      </c>
      <c r="K5" s="227">
        <f t="shared" ref="K5" si="1">D5+D9+D13+D17</f>
        <v>3630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7300</v>
      </c>
      <c r="K6" s="228">
        <f t="shared" ref="K6" si="2">+D8+D12+D16</f>
        <v>730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55</v>
      </c>
      <c r="C7" s="29">
        <f>IF(DigitaTICA!C16&lt;&gt;"",DigitaTICA!C16,"")</f>
        <v>15000</v>
      </c>
      <c r="D7" s="42">
        <f>IF(C7="",0,C7*J$11)</f>
        <v>1800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13200</v>
      </c>
      <c r="I7" s="63" t="s">
        <v>96</v>
      </c>
      <c r="J7" s="228">
        <f>SUM(IF(C19="",0,C19),IF(C20="",0,C20))</f>
        <v>1000</v>
      </c>
      <c r="K7" s="228">
        <f>+D19+D20</f>
        <v>120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800</v>
      </c>
      <c r="D8" s="42">
        <f>IF(C8="",0,C8*J$13)</f>
        <v>80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720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>
        <f>IF(DigitaNICA!E16&lt;&gt;"",DigitaNICA!E16,"")</f>
        <v>2600</v>
      </c>
      <c r="D9" s="42">
        <f>IF(C9="",0,C9*J$12)</f>
        <v>312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2288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55</v>
      </c>
      <c r="C11" s="29">
        <f>IF(DigitaTICA!E16&lt;&gt;"",DigitaTICA!E16,"")</f>
        <v>15100</v>
      </c>
      <c r="D11" s="42">
        <f>IF(C11="",0,C11*J$11)</f>
        <v>1812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13288</v>
      </c>
      <c r="I11" s="77" t="s">
        <v>36</v>
      </c>
      <c r="J11" s="78">
        <v>0.12</v>
      </c>
      <c r="K11" s="79">
        <f>MROUND(D7+D11+D15,50)</f>
        <v>7600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3650</v>
      </c>
    </row>
    <row r="13" spans="1:12" x14ac:dyDescent="0.35">
      <c r="A13" s="28" t="s">
        <v>50</v>
      </c>
      <c r="B13" s="133">
        <f>IF(DigitaNICA!G2&lt;&gt;"",DigitaNICA!G2,"")</f>
        <v>97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3">
        <f>IF(DigitaTICA!G2&lt;&gt;"",DigitaTICA!G2,"")</f>
        <v>14</v>
      </c>
      <c r="C15" s="29">
        <f>IF(DigitaTICA!G16&lt;&gt;"",DigitaTICA!G16,"")</f>
        <v>33050</v>
      </c>
      <c r="D15" s="42">
        <f>IF(C15="",0,C15*J$11)</f>
        <v>3966</v>
      </c>
      <c r="E15" s="29">
        <f>IF(DigitaTICA!H16&lt;&gt;"",DigitaTICA!H16,"")</f>
        <v>500</v>
      </c>
      <c r="F15" s="134">
        <f>IF(E15="",0,E15*PREMIOS!F15)</f>
        <v>42500</v>
      </c>
      <c r="G15" s="30">
        <f t="shared" si="3"/>
        <v>-13416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6500</v>
      </c>
      <c r="D16" s="42">
        <f>IF(C16="",0,C16*J$13)</f>
        <v>650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5850</v>
      </c>
    </row>
    <row r="17" spans="1:7" x14ac:dyDescent="0.35">
      <c r="A17" s="28" t="s">
        <v>52</v>
      </c>
      <c r="B17" s="133">
        <f>IF(DigitaNICA!I2&lt;&gt;"",DigitaNICA!I2,"")</f>
        <v>71</v>
      </c>
      <c r="C17" s="29">
        <f>IF(DigitaNICA!I16&lt;&gt;"",DigitaNICA!I16,"")</f>
        <v>21000</v>
      </c>
      <c r="D17" s="42">
        <f>IF(C17="",0,C17*J$12)</f>
        <v>2520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10480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3">
        <f>IF(DigitaPRIMERA!E2&lt;&gt;"",DigitaPRIMERA!E2,"")</f>
        <v>75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32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101700</v>
      </c>
      <c r="D24" s="123">
        <f t="shared" ref="D24:G24" si="5">SUM(D5:D23)</f>
        <v>12058</v>
      </c>
      <c r="E24" s="123">
        <f t="shared" si="5"/>
        <v>600</v>
      </c>
      <c r="F24" s="123">
        <f t="shared" si="5"/>
        <v>50500</v>
      </c>
      <c r="G24" s="124">
        <f t="shared" si="5"/>
        <v>39142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410850</v>
      </c>
      <c r="K4" s="233">
        <f t="shared" ref="K4" si="0">D7+D11+D15</f>
        <v>49302</v>
      </c>
      <c r="L4" s="222">
        <f>F7+F11+F15</f>
        <v>896750</v>
      </c>
    </row>
    <row r="5" spans="1:12" x14ac:dyDescent="0.35">
      <c r="A5" s="28" t="s">
        <v>43</v>
      </c>
      <c r="B5" s="133">
        <f>IF(DigitaNICA!C2&lt;&gt;"",DigitaNICA!C2,"")</f>
        <v>53</v>
      </c>
      <c r="C5" s="90">
        <f>IF(DigitaNICA!C17&lt;&gt;"",DigitaNICA!C17,"")</f>
        <v>100150</v>
      </c>
      <c r="D5" s="42">
        <f>IF(C5="",0,C5*J$16)</f>
        <v>12018</v>
      </c>
      <c r="E5" s="90">
        <f>IF(DigitaNICA!D17&lt;&gt;"",DigitaNICA!D17,"")</f>
        <v>650</v>
      </c>
      <c r="F5" s="42">
        <f>IF(E5="",0,E5*PREMIOS!F5)</f>
        <v>55250</v>
      </c>
      <c r="G5" s="91">
        <f t="shared" ref="G5:G12" si="1">IF(OR(C5="",E5=""),0,C5-D5-F5)</f>
        <v>32882</v>
      </c>
      <c r="I5" s="219" t="s">
        <v>37</v>
      </c>
      <c r="J5" s="223">
        <f>SUM(IF(C5="",0,C5),IF(C9="",0,C9),IF(C13="",0,C13),IF(C17="",0,C17))</f>
        <v>429000</v>
      </c>
      <c r="K5" s="227">
        <f t="shared" ref="K5" si="2">D5+D9+D13+D17</f>
        <v>51480</v>
      </c>
      <c r="L5" s="224">
        <f>F5+F9+F13+F17</f>
        <v>195500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58300</v>
      </c>
      <c r="K6" s="228">
        <f t="shared" ref="K6" si="3">+D8+D12+D16</f>
        <v>5830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55</v>
      </c>
      <c r="C7" s="90">
        <f>IF(DigitaTICA!C17&lt;&gt;"",DigitaTICA!C17,"")</f>
        <v>100000</v>
      </c>
      <c r="D7" s="42">
        <f>IF(C7="",0,C7*J$15)</f>
        <v>12000</v>
      </c>
      <c r="E7" s="90">
        <f>IF(DigitaTICA!D17&lt;&gt;"",DigitaTICA!D17,"")</f>
        <v>4800</v>
      </c>
      <c r="F7" s="42">
        <f>IF(E7="",0,E7*PREMIOS!F7)</f>
        <v>408000</v>
      </c>
      <c r="G7" s="91">
        <f t="shared" si="1"/>
        <v>-320000</v>
      </c>
      <c r="I7" s="219" t="s">
        <v>96</v>
      </c>
      <c r="J7" s="225">
        <f>SUM(IF(C19="",0,C19),IF(C20="",0,C20))</f>
        <v>121500</v>
      </c>
      <c r="K7" s="228">
        <f>+D19+D20</f>
        <v>14580</v>
      </c>
      <c r="L7" s="229">
        <f>+F19+F20</f>
        <v>102000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20100</v>
      </c>
      <c r="D8" s="42">
        <f>IF(C8="",0,C8*J$17)</f>
        <v>2010</v>
      </c>
      <c r="E8" s="90">
        <f>IF(DigitaREVENTADO!D17&lt;&gt;"",DigitaREVENTADO!D17,"")</f>
        <v>2600</v>
      </c>
      <c r="F8" s="42">
        <f>IF(E8="",0,E8*PREMIOS!F8)</f>
        <v>0</v>
      </c>
      <c r="G8" s="91">
        <f t="shared" si="1"/>
        <v>18090</v>
      </c>
      <c r="I8" s="219" t="s">
        <v>104</v>
      </c>
      <c r="J8" s="225">
        <f>SUM(IF(C21="",0,C21),IF(C22="",0,C22),IF(C23="",0,C23))</f>
        <v>79550</v>
      </c>
      <c r="K8" s="228">
        <f t="shared" ref="K8" si="4">D21+D22+D23</f>
        <v>9546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46</v>
      </c>
      <c r="C9" s="90">
        <f>IF(DigitaNICA!E17&lt;&gt;"",DigitaNICA!E17,"")</f>
        <v>77750</v>
      </c>
      <c r="D9" s="42">
        <f>IF(C9="",0,C9*J$16)</f>
        <v>9330</v>
      </c>
      <c r="E9" s="90">
        <f>IF(DigitaNICA!F17&lt;&gt;"",DigitaNICA!F17,"")</f>
        <v>450</v>
      </c>
      <c r="F9" s="42">
        <f>IF(E9="",0,E9*PREMIOS!F9)</f>
        <v>38250</v>
      </c>
      <c r="G9" s="91">
        <f t="shared" si="1"/>
        <v>30170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5100</v>
      </c>
      <c r="K10" s="230">
        <f>+D26</f>
        <v>612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55</v>
      </c>
      <c r="C11" s="90">
        <f>IF(DigitaTICA!E17&lt;&gt;"",DigitaTICA!E17,"")</f>
        <v>121200</v>
      </c>
      <c r="D11" s="42">
        <f>IF(C11="",0,C11*J$15)</f>
        <v>14544</v>
      </c>
      <c r="E11" s="90">
        <f>IF(DigitaTICA!F17&lt;&gt;"",DigitaTICA!F17,"")</f>
        <v>2800</v>
      </c>
      <c r="F11" s="42">
        <f>IF(E11="",0,E11*PREMIOS!F11)</f>
        <v>238000</v>
      </c>
      <c r="G11" s="91">
        <f t="shared" si="1"/>
        <v>-131344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14150</v>
      </c>
      <c r="D12" s="42">
        <f>IF(C12="",0,C12*J$17)</f>
        <v>1415</v>
      </c>
      <c r="E12" s="90">
        <f>IF(DigitaREVENTADO!F17&lt;&gt;"",DigitaREVENTADO!F17,"")</f>
        <v>1000</v>
      </c>
      <c r="F12" s="42">
        <f>IF(E12="",0,E12*PREMIOS!F12)</f>
        <v>0</v>
      </c>
      <c r="G12" s="91">
        <f t="shared" si="1"/>
        <v>12735</v>
      </c>
    </row>
    <row r="13" spans="1:12" ht="15" thickBot="1" x14ac:dyDescent="0.4">
      <c r="A13" s="28" t="s">
        <v>50</v>
      </c>
      <c r="B13" s="133">
        <f>IF(DigitaNICA!G2&lt;&gt;"",DigitaNICA!G2,"")</f>
        <v>97</v>
      </c>
      <c r="C13" s="90">
        <f>IF(DigitaNICA!G17&lt;&gt;"",DigitaNICA!G17,"")</f>
        <v>79300</v>
      </c>
      <c r="D13" s="42">
        <f>IF(C13="",0,C13*J$16)</f>
        <v>9516</v>
      </c>
      <c r="E13" s="90">
        <f>IF(DigitaNICA!H17&lt;&gt;"",DigitaNICA!H17,"")</f>
        <v>200</v>
      </c>
      <c r="F13" s="42">
        <f>IF(E13="",0,E13*PREMIOS!F13)</f>
        <v>17000</v>
      </c>
      <c r="G13" s="91">
        <f>IF(OR(C13="",E13=""),0,C13-D13-F13)</f>
        <v>52784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14</v>
      </c>
      <c r="C15" s="90">
        <f>IF(DigitaTICA!G17&lt;&gt;"",DigitaTICA!G17,"")</f>
        <v>189650</v>
      </c>
      <c r="D15" s="42">
        <f>IF(C15="",0,C15*J$15)</f>
        <v>22758</v>
      </c>
      <c r="E15" s="90">
        <f>IF(DigitaTICA!H17&lt;&gt;"",DigitaTICA!H17,"")</f>
        <v>2950</v>
      </c>
      <c r="F15" s="42">
        <f>IF(E15="",0,E15*PREMIOS!F15)</f>
        <v>250750</v>
      </c>
      <c r="G15" s="91">
        <f t="shared" si="6"/>
        <v>-83858</v>
      </c>
      <c r="I15" s="77" t="s">
        <v>36</v>
      </c>
      <c r="J15" s="78">
        <v>0.12</v>
      </c>
      <c r="K15" s="79">
        <f>MROUND(D7+D11+D15,50)</f>
        <v>49300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24050</v>
      </c>
      <c r="D16" s="42">
        <f>IF(C16="",0,C16*J$17)</f>
        <v>2405</v>
      </c>
      <c r="E16" s="90">
        <f>IF(DigitaREVENTADO!H17&lt;&gt;"",DigitaREVENTADO!H17,"")</f>
        <v>1000</v>
      </c>
      <c r="F16" s="42">
        <f>IF(E16="",0,E16*PREMIOS!F16)</f>
        <v>0</v>
      </c>
      <c r="G16" s="91">
        <f t="shared" si="6"/>
        <v>21645</v>
      </c>
      <c r="I16" s="63" t="s">
        <v>37</v>
      </c>
      <c r="J16" s="64">
        <v>0.12</v>
      </c>
      <c r="K16" s="30">
        <f>MROUND(D5+D9+D13+D17,50)</f>
        <v>51500</v>
      </c>
    </row>
    <row r="17" spans="1:11" x14ac:dyDescent="0.35">
      <c r="A17" s="28" t="s">
        <v>52</v>
      </c>
      <c r="B17" s="133">
        <f>IF(DigitaNICA!I2&lt;&gt;"",DigitaNICA!I2,"")</f>
        <v>71</v>
      </c>
      <c r="C17" s="90">
        <f>IF(DigitaNICA!I17&lt;&gt;"",DigitaNICA!I17,"")</f>
        <v>171800</v>
      </c>
      <c r="D17" s="42">
        <f>IF(C17="",0,C17*J$16)</f>
        <v>20616</v>
      </c>
      <c r="E17" s="90">
        <f>IF(DigitaNICA!J17&lt;&gt;"",DigitaNICA!J17,"")</f>
        <v>1000</v>
      </c>
      <c r="F17" s="42">
        <f>IF(E17="",0,E17*PREMIOS!F17)</f>
        <v>85000</v>
      </c>
      <c r="G17" s="91">
        <f t="shared" si="6"/>
        <v>66184</v>
      </c>
      <c r="I17" s="63" t="s">
        <v>38</v>
      </c>
      <c r="J17" s="64">
        <v>0.1</v>
      </c>
      <c r="K17" s="30">
        <f>MROUND(D6+D8+D10+D12+D14+D16+D18,50)</f>
        <v>5850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14600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IF(DigitaPRIMERA!$C$17&lt;&gt;"",DigitaPRIMERA!$C$17,"")</f>
        <v>81550</v>
      </c>
      <c r="D19" s="42">
        <f>IF(C19="",0,C19*J$18)</f>
        <v>9786</v>
      </c>
      <c r="E19" s="29">
        <f>IF(DigitaPRIMERA!$D$17&lt;&gt;"",DigitaPRIMERA!$D$17,"")</f>
        <v>350</v>
      </c>
      <c r="F19" s="42">
        <f>IF(E19="",0,E19*PREMIOS!F19)</f>
        <v>29750</v>
      </c>
      <c r="G19" s="30">
        <f t="shared" si="6"/>
        <v>42014</v>
      </c>
      <c r="I19" s="63" t="s">
        <v>104</v>
      </c>
      <c r="J19" s="64">
        <v>0.12</v>
      </c>
      <c r="K19" s="30">
        <f>MROUND(D21+D22+D23,50)</f>
        <v>9550</v>
      </c>
    </row>
    <row r="20" spans="1:11" x14ac:dyDescent="0.35">
      <c r="A20" s="28" t="s">
        <v>98</v>
      </c>
      <c r="B20" s="133">
        <f>IF(DigitaPRIMERA!E2&lt;&gt;"",DigitaPRIMERA!E2,"")</f>
        <v>75</v>
      </c>
      <c r="C20" s="29">
        <f>IF(DigitaPRIMERA!$E$17&lt;&gt;"",DigitaPRIMERA!$E$17,"")</f>
        <v>39950</v>
      </c>
      <c r="D20" s="42">
        <f>IF(C20="",0,C20*J$18)</f>
        <v>4794</v>
      </c>
      <c r="E20" s="29">
        <f>IF(DigitaPRIMERA!$F$17&lt;&gt;"",DigitaPRIMERA!$F$17,"")</f>
        <v>850</v>
      </c>
      <c r="F20" s="42">
        <f>IF(E20="",0,E20*PREMIOS!F19)</f>
        <v>72250</v>
      </c>
      <c r="G20" s="30">
        <f t="shared" si="6"/>
        <v>-37094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32</v>
      </c>
      <c r="C21" s="29">
        <f>IF(DigitaHONDURAS!$C$17&lt;&gt;"",DigitaHONDURAS!$C$17,"")</f>
        <v>52700</v>
      </c>
      <c r="D21" s="42">
        <f>IF(C21="",0,C21*J$19)</f>
        <v>6324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46376</v>
      </c>
      <c r="I21" s="65" t="s">
        <v>21</v>
      </c>
      <c r="J21" s="66">
        <v>0.12</v>
      </c>
      <c r="K21" s="50">
        <f>MROUND(D26,50)</f>
        <v>600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IF(DigitaHONDURAS!$E$17&lt;&gt;"",DigitaHONDURAS!$E$17,"")</f>
        <v>8650</v>
      </c>
      <c r="D22" s="42">
        <f>IF(C22="",0,C22*J$19)</f>
        <v>1038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7612</v>
      </c>
    </row>
    <row r="23" spans="1:11" x14ac:dyDescent="0.35">
      <c r="A23" s="28" t="s">
        <v>101</v>
      </c>
      <c r="B23" s="133">
        <f>IF(DigitaHONDURAS!G2&lt;&gt;"",DigitaHONDURAS!G2,"")</f>
        <v>23</v>
      </c>
      <c r="C23" s="29">
        <f>IF(DigitaHONDURAS!$G$17&lt;&gt;"",DigitaHONDURAS!$G$17,"")</f>
        <v>18200</v>
      </c>
      <c r="D23" s="42">
        <f>IF(C23="",0,C23*J$19)</f>
        <v>2184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-984</v>
      </c>
    </row>
    <row r="24" spans="1:11" x14ac:dyDescent="0.35">
      <c r="A24" s="28" t="s">
        <v>102</v>
      </c>
      <c r="B24" s="133">
        <f>IF(DigitaDOMINICANA!C2&lt;&gt;"",DigitaDOMINICANA!C2,"")</f>
        <v>37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75</v>
      </c>
      <c r="C26" s="29">
        <f>IF(DigitaPANAMENA!$C$17&lt;&gt;"",DigitaPANAMENA!$C$17,"")</f>
        <v>5100</v>
      </c>
      <c r="D26" s="42">
        <f>IF(C26="",0,C26*J$21)</f>
        <v>612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4488</v>
      </c>
    </row>
    <row r="27" spans="1:11" ht="15" thickBot="1" x14ac:dyDescent="0.4">
      <c r="A27" s="67" t="s">
        <v>5</v>
      </c>
      <c r="B27" s="128"/>
      <c r="C27" s="68">
        <f>SUM(C5:C26)</f>
        <v>1104300</v>
      </c>
      <c r="D27" s="68">
        <f t="shared" ref="D27:G27" si="7">SUM(D5:D26)</f>
        <v>131350</v>
      </c>
      <c r="E27" s="68">
        <f t="shared" si="7"/>
        <v>18850</v>
      </c>
      <c r="F27" s="68">
        <f t="shared" si="7"/>
        <v>1211250</v>
      </c>
      <c r="G27" s="89">
        <f t="shared" si="7"/>
        <v>-238300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153200</v>
      </c>
      <c r="K4" s="233">
        <f t="shared" ref="K4" si="0">D7+D11+D15</f>
        <v>18384</v>
      </c>
      <c r="L4" s="222">
        <f>F7+F11+F15</f>
        <v>38250</v>
      </c>
    </row>
    <row r="5" spans="1:12" x14ac:dyDescent="0.35">
      <c r="A5" s="28" t="str">
        <f>+Vendedor1!A5</f>
        <v>Nica 11am</v>
      </c>
      <c r="B5" s="133">
        <f>IF(DigitaNICA!C2&lt;&gt;"",DigitaNICA!C2,"")</f>
        <v>53</v>
      </c>
      <c r="C5" s="29">
        <f>IF(DigitaNICA!C18&lt;&gt;"",DigitaNICA!C18,"")</f>
        <v>40300</v>
      </c>
      <c r="D5" s="42">
        <f>IF(C5="",0,C5*J$16)</f>
        <v>4836</v>
      </c>
      <c r="E5" s="29">
        <f>IF(DigitaNICA!D18&lt;&gt;"",DigitaNICA!D18,"")</f>
        <v>600</v>
      </c>
      <c r="F5" s="42">
        <f>IF(E5="",0,E5*PREMIOS!F5)</f>
        <v>51000</v>
      </c>
      <c r="G5" s="30">
        <f t="shared" ref="G5:G12" si="1">IF(OR(C5="",E5=""),0,C5-D5-F5)</f>
        <v>-15536</v>
      </c>
      <c r="I5" s="219" t="s">
        <v>37</v>
      </c>
      <c r="J5" s="223">
        <f>SUM(IF(C5="",0,C5),IF(C9="",0,C9),IF(C13="",0,C13),IF(C17="",0,C17))</f>
        <v>99300</v>
      </c>
      <c r="K5" s="227">
        <f t="shared" ref="K5" si="2">D5+D9+D13+D17</f>
        <v>11916</v>
      </c>
      <c r="L5" s="224">
        <f>F5+F9+F13+F17</f>
        <v>80750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42900</v>
      </c>
      <c r="K6" s="228">
        <f t="shared" ref="K6" si="3">+D8+D12+D16</f>
        <v>4290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55</v>
      </c>
      <c r="C7" s="29">
        <f>IF(DigitaTICA!C18&lt;&gt;"",DigitaTICA!C18,"")</f>
        <v>56850</v>
      </c>
      <c r="D7" s="42">
        <f>IF(C7="",0,C7*J$15)</f>
        <v>6822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24528</v>
      </c>
      <c r="I7" s="219" t="s">
        <v>96</v>
      </c>
      <c r="J7" s="225">
        <f>SUM(IF(C19="",0,C19),IF(C20="",0,C20))</f>
        <v>59050</v>
      </c>
      <c r="K7" s="228">
        <f>+D19+D20</f>
        <v>7086</v>
      </c>
      <c r="L7" s="229">
        <f>+F19+F20</f>
        <v>17000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20300</v>
      </c>
      <c r="D8" s="42">
        <f>IF(C8="",0,C8*J$17)</f>
        <v>2030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18270</v>
      </c>
      <c r="I8" s="219" t="s">
        <v>104</v>
      </c>
      <c r="J8" s="225">
        <f>SUM(IF(C21="",0,C21),IF(C22="",0,C22),IF(C23="",0,C23))</f>
        <v>7750</v>
      </c>
      <c r="K8" s="228">
        <f t="shared" ref="K8" si="4">D21+D22+D23</f>
        <v>930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46</v>
      </c>
      <c r="C9" s="29">
        <f>IF(DigitaNICA!E18&lt;&gt;"",DigitaNICA!E18,"")</f>
        <v>37400</v>
      </c>
      <c r="D9" s="42">
        <f>IF(C9="",0,C9*J$16)</f>
        <v>4488</v>
      </c>
      <c r="E9" s="29">
        <f>IF(DigitaNICA!F18&lt;&gt;"",DigitaNICA!F18,"")</f>
        <v>350</v>
      </c>
      <c r="F9" s="42">
        <f>IF(E9="",0,E9*PREMIOS!F9)</f>
        <v>29750</v>
      </c>
      <c r="G9" s="30">
        <f t="shared" si="1"/>
        <v>3162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55</v>
      </c>
      <c r="C11" s="29">
        <f>IF(DigitaTICA!E18&lt;&gt;"",DigitaTICA!E18,"")</f>
        <v>51000</v>
      </c>
      <c r="D11" s="42">
        <f>IF(C11="",0,C11*J$15)</f>
        <v>6120</v>
      </c>
      <c r="E11" s="29">
        <f>IF(DigitaTICA!F18&lt;&gt;"",DigitaTICA!F18,"")</f>
        <v>150</v>
      </c>
      <c r="F11" s="42">
        <f>IF(E11="",0,E11*PREMIOS!F11)</f>
        <v>12750</v>
      </c>
      <c r="G11" s="30">
        <f t="shared" si="1"/>
        <v>32130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13850</v>
      </c>
      <c r="D12" s="42">
        <f>IF(C12="",0,C12*J$17)</f>
        <v>1385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12465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97</v>
      </c>
      <c r="C13" s="29">
        <f>IF(DigitaNICA!G18&lt;&gt;"",DigitaNICA!G18,"")</f>
        <v>16800</v>
      </c>
      <c r="D13" s="42">
        <f>IF(C13="",0,C13*J$16)</f>
        <v>2016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14784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14</v>
      </c>
      <c r="C15" s="29">
        <f>IF(DigitaTICA!G18&lt;&gt;"",DigitaTICA!G18,"")</f>
        <v>45350</v>
      </c>
      <c r="D15" s="42">
        <f>IF(C15="",0,C15*J$15)</f>
        <v>5442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39908</v>
      </c>
      <c r="I15" s="77" t="s">
        <v>36</v>
      </c>
      <c r="J15" s="78">
        <v>0.12</v>
      </c>
      <c r="K15" s="79">
        <f>MROUND(D7+D11+D15,50)</f>
        <v>18400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8750</v>
      </c>
      <c r="D16" s="42">
        <f>IF(C16="",0,C16*J$17)</f>
        <v>875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7875</v>
      </c>
      <c r="I16" s="63" t="s">
        <v>37</v>
      </c>
      <c r="J16" s="64">
        <v>0.12</v>
      </c>
      <c r="K16" s="30">
        <f>MROUND(D5+D9+D13+D17,50)</f>
        <v>11900</v>
      </c>
    </row>
    <row r="17" spans="1:11" x14ac:dyDescent="0.35">
      <c r="A17" s="28" t="str">
        <f>+Vendedor1!A17</f>
        <v>Nica 9pm</v>
      </c>
      <c r="B17" s="133">
        <f>IF(DigitaNICA!I2&lt;&gt;"",DigitaNICA!I2,"")</f>
        <v>71</v>
      </c>
      <c r="C17" s="29">
        <f>IF(DigitaNICA!I18&lt;&gt;"",DigitaNICA!I18,"")</f>
        <v>4800</v>
      </c>
      <c r="D17" s="42">
        <f>IF(C17="",0,C17*J$16)</f>
        <v>576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4224</v>
      </c>
      <c r="I17" s="63" t="s">
        <v>38</v>
      </c>
      <c r="J17" s="64">
        <v>0.1</v>
      </c>
      <c r="K17" s="30">
        <f>MROUND(D6+D8+D10+D12+D14+D16+D18,50)</f>
        <v>4300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7100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IF(DigitaPRIMERA!$C$18&lt;&gt;"",DigitaPRIMERA!$C$18,"")</f>
        <v>35800</v>
      </c>
      <c r="D19" s="42">
        <f>IF(C19="",0,C19*J$18)</f>
        <v>4296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31504</v>
      </c>
      <c r="I19" s="63" t="s">
        <v>104</v>
      </c>
      <c r="J19" s="64">
        <v>0.12</v>
      </c>
      <c r="K19" s="30">
        <f>MROUND(D21+D22+D23,50)</f>
        <v>950</v>
      </c>
    </row>
    <row r="20" spans="1:11" x14ac:dyDescent="0.35">
      <c r="A20" s="28" t="s">
        <v>98</v>
      </c>
      <c r="B20" s="133">
        <f>IF(DigitaPRIMERA!E2&lt;&gt;"",DigitaPRIMERA!E2,"")</f>
        <v>75</v>
      </c>
      <c r="C20" s="29">
        <f>IF(DigitaPRIMERA!$E$18&lt;&gt;"",DigitaPRIMERA!$E$18,"")</f>
        <v>23250</v>
      </c>
      <c r="D20" s="42">
        <f>IF(C20="",0,C20*J$18)</f>
        <v>2790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3460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32</v>
      </c>
      <c r="C21" s="29">
        <f>IF(DigitaHONDURAS!$C$18&lt;&gt;"",DigitaHONDURAS!$C$18,"")</f>
        <v>3050</v>
      </c>
      <c r="D21" s="42">
        <f>IF(C21="",0,C21*J$19)</f>
        <v>366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2684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IF(DigitaHONDURAS!$E$18&lt;&gt;"",DigitaHONDURAS!$E$18,"")</f>
        <v>4700</v>
      </c>
      <c r="D22" s="42">
        <f>IF(C22="",0,C22*J$19)</f>
        <v>564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-4364</v>
      </c>
    </row>
    <row r="23" spans="1:11" x14ac:dyDescent="0.35">
      <c r="A23" s="28" t="s">
        <v>101</v>
      </c>
      <c r="B23" s="133">
        <f>IF(DigitaHONDURAS!G2&lt;&gt;"",DigitaHONDURAS!G2,"")</f>
        <v>23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37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75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362200</v>
      </c>
      <c r="D27" s="68">
        <f t="shared" ref="D27:G27" si="7">SUM(D5:D26)</f>
        <v>42606</v>
      </c>
      <c r="E27" s="68">
        <f t="shared" si="7"/>
        <v>1700</v>
      </c>
      <c r="F27" s="68">
        <f t="shared" si="7"/>
        <v>144500</v>
      </c>
      <c r="G27" s="89">
        <f t="shared" si="7"/>
        <v>175094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46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55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71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55</v>
      </c>
      <c r="D2" s="269"/>
      <c r="E2" s="268">
        <f>IF(PREMIOS!$B11="","",PREMIOS!$B11)</f>
        <v>55</v>
      </c>
      <c r="F2" s="269"/>
      <c r="G2" s="268">
        <f>IF(PREMIOS!$B15="","",PREMIOS!$B15)</f>
        <v>14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75500</v>
      </c>
      <c r="D4" s="79">
        <v>1350</v>
      </c>
      <c r="E4" s="190">
        <v>43850</v>
      </c>
      <c r="F4" s="79">
        <v>1050</v>
      </c>
      <c r="G4" s="190">
        <v>81500</v>
      </c>
      <c r="H4" s="79">
        <v>1000</v>
      </c>
      <c r="J4" s="42">
        <f t="shared" ref="J4:J8" si="0">+C4+E4+G4</f>
        <v>200850</v>
      </c>
      <c r="K4" s="42">
        <f>IF(D4="",0,IF(F4="",D4,IF(H4="",D4+F4,D4+F4+H4)))</f>
        <v>3400</v>
      </c>
    </row>
    <row r="5" spans="1:11" x14ac:dyDescent="0.35">
      <c r="A5" s="47">
        <v>2</v>
      </c>
      <c r="B5" s="179" t="str">
        <f>Vendedor2!$B$2</f>
        <v>PUESTO 2</v>
      </c>
      <c r="C5" s="181">
        <v>42750</v>
      </c>
      <c r="D5" s="30">
        <v>250</v>
      </c>
      <c r="E5" s="181">
        <v>25050</v>
      </c>
      <c r="F5" s="30">
        <v>250</v>
      </c>
      <c r="G5" s="181">
        <v>58800</v>
      </c>
      <c r="H5" s="30">
        <v>450</v>
      </c>
      <c r="J5" s="42">
        <f t="shared" si="0"/>
        <v>126600</v>
      </c>
      <c r="K5" s="42">
        <f t="shared" ref="K5:K27" si="1">IF(D5="",0,IF(F5="",D5,IF(H5="",D5+F5,D5+F5+H5)))</f>
        <v>950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ref="D6:H27" si="2">IF(C6="","",0)</f>
        <v/>
      </c>
      <c r="E6" s="181"/>
      <c r="F6" s="30" t="str">
        <f t="shared" si="2"/>
        <v/>
      </c>
      <c r="G6" s="181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2"/>
        <v/>
      </c>
      <c r="E7" s="181"/>
      <c r="F7" s="30" t="str">
        <f t="shared" si="2"/>
        <v/>
      </c>
      <c r="G7" s="181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2"/>
        <v/>
      </c>
      <c r="E8" s="181"/>
      <c r="F8" s="30" t="str">
        <f t="shared" si="2"/>
        <v/>
      </c>
      <c r="G8" s="181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2"/>
        <v/>
      </c>
      <c r="E9" s="181"/>
      <c r="F9" s="30" t="str">
        <f t="shared" si="2"/>
        <v/>
      </c>
      <c r="G9" s="181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53550+122150</f>
        <v>175700</v>
      </c>
      <c r="D10" s="30">
        <f>100+1800</f>
        <v>1900</v>
      </c>
      <c r="E10" s="181">
        <f>27600+153800</f>
        <v>181400</v>
      </c>
      <c r="F10" s="30">
        <f>1100+1800</f>
        <v>2900</v>
      </c>
      <c r="G10" s="181">
        <f>65950+95150</f>
        <v>161100</v>
      </c>
      <c r="H10" s="30">
        <f>200+3750</f>
        <v>3950</v>
      </c>
      <c r="J10" s="42">
        <f t="shared" si="3"/>
        <v>518200</v>
      </c>
      <c r="K10" s="42">
        <f t="shared" si="1"/>
        <v>8750</v>
      </c>
    </row>
    <row r="11" spans="1:11" x14ac:dyDescent="0.35">
      <c r="A11" s="47">
        <v>8</v>
      </c>
      <c r="B11" s="179" t="str">
        <f>Vendedor8!$B$2</f>
        <v>ISA</v>
      </c>
      <c r="C11" s="181">
        <v>6500</v>
      </c>
      <c r="D11" s="30">
        <f t="shared" si="2"/>
        <v>0</v>
      </c>
      <c r="E11" s="181"/>
      <c r="F11" s="30" t="str">
        <f t="shared" si="2"/>
        <v/>
      </c>
      <c r="G11" s="181">
        <v>18000</v>
      </c>
      <c r="H11" s="30">
        <f t="shared" si="2"/>
        <v>0</v>
      </c>
      <c r="J11" s="42">
        <f t="shared" si="3"/>
        <v>24500</v>
      </c>
      <c r="K11" s="42">
        <f t="shared" si="1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65650</v>
      </c>
      <c r="D12" s="30">
        <v>1050</v>
      </c>
      <c r="E12" s="181">
        <v>37400</v>
      </c>
      <c r="F12" s="30">
        <v>800</v>
      </c>
      <c r="G12" s="181">
        <v>24500</v>
      </c>
      <c r="H12" s="30">
        <v>300</v>
      </c>
      <c r="J12" s="42">
        <f t="shared" si="3"/>
        <v>127550</v>
      </c>
      <c r="K12" s="42">
        <f t="shared" si="1"/>
        <v>2150</v>
      </c>
    </row>
    <row r="13" spans="1:11" x14ac:dyDescent="0.35">
      <c r="A13" s="47">
        <v>10</v>
      </c>
      <c r="B13" s="179" t="str">
        <f>Vendedor10!$B$2</f>
        <v>MARIALIZ</v>
      </c>
      <c r="C13" s="181">
        <v>42300</v>
      </c>
      <c r="D13" s="30">
        <v>1000</v>
      </c>
      <c r="E13" s="181">
        <v>16000</v>
      </c>
      <c r="F13" s="30">
        <f t="shared" si="2"/>
        <v>0</v>
      </c>
      <c r="G13" s="181">
        <v>47350</v>
      </c>
      <c r="H13" s="30">
        <v>900</v>
      </c>
      <c r="J13" s="42">
        <f t="shared" si="3"/>
        <v>105650</v>
      </c>
      <c r="K13" s="42">
        <f t="shared" si="1"/>
        <v>1900</v>
      </c>
    </row>
    <row r="14" spans="1:11" x14ac:dyDescent="0.35">
      <c r="A14" s="47">
        <v>11</v>
      </c>
      <c r="B14" s="179" t="str">
        <f>Vendedor11!$B$2</f>
        <v>CHARLY</v>
      </c>
      <c r="C14" s="181">
        <v>41900</v>
      </c>
      <c r="D14" s="30">
        <v>2000</v>
      </c>
      <c r="E14" s="181">
        <v>17600</v>
      </c>
      <c r="F14" s="30">
        <v>500</v>
      </c>
      <c r="G14" s="181">
        <v>34550</v>
      </c>
      <c r="H14" s="30">
        <v>300</v>
      </c>
      <c r="J14" s="42">
        <f t="shared" si="3"/>
        <v>94050</v>
      </c>
      <c r="K14" s="42">
        <f t="shared" si="1"/>
        <v>2800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2"/>
        <v/>
      </c>
      <c r="E15" s="181"/>
      <c r="F15" s="30" t="str">
        <f t="shared" si="2"/>
        <v/>
      </c>
      <c r="G15" s="181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15000</v>
      </c>
      <c r="D16" s="30">
        <f t="shared" si="2"/>
        <v>0</v>
      </c>
      <c r="E16" s="181">
        <v>15100</v>
      </c>
      <c r="F16" s="30">
        <f t="shared" si="2"/>
        <v>0</v>
      </c>
      <c r="G16" s="181">
        <v>33050</v>
      </c>
      <c r="H16" s="30">
        <v>500</v>
      </c>
      <c r="J16" s="42">
        <f t="shared" si="3"/>
        <v>63150</v>
      </c>
      <c r="K16" s="42">
        <f t="shared" si="1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20750+79250</f>
        <v>100000</v>
      </c>
      <c r="D17" s="30">
        <f>2600+2200</f>
        <v>4800</v>
      </c>
      <c r="E17" s="181">
        <f>104000+17200</f>
        <v>121200</v>
      </c>
      <c r="F17" s="30">
        <f>1800+1000</f>
        <v>2800</v>
      </c>
      <c r="G17" s="181">
        <f>157200+32450</f>
        <v>189650</v>
      </c>
      <c r="H17" s="30">
        <f>1950+1000</f>
        <v>2950</v>
      </c>
      <c r="J17" s="42">
        <f t="shared" si="3"/>
        <v>410850</v>
      </c>
      <c r="K17" s="42">
        <f t="shared" si="1"/>
        <v>10550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21800+35050</f>
        <v>56850</v>
      </c>
      <c r="D18" s="30">
        <v>300</v>
      </c>
      <c r="E18" s="181">
        <f>37150+13850</f>
        <v>51000</v>
      </c>
      <c r="F18" s="30">
        <f>150+0</f>
        <v>150</v>
      </c>
      <c r="G18" s="181">
        <f>35600+9750</f>
        <v>45350</v>
      </c>
      <c r="H18" s="30">
        <f t="shared" si="2"/>
        <v>0</v>
      </c>
      <c r="J18" s="42">
        <f t="shared" si="3"/>
        <v>153200</v>
      </c>
      <c r="K18" s="42">
        <f t="shared" si="1"/>
        <v>450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2"/>
        <v/>
      </c>
      <c r="E19" s="181"/>
      <c r="F19" s="30" t="str">
        <f t="shared" si="2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2"/>
        <v/>
      </c>
      <c r="E20" s="181"/>
      <c r="F20" s="30" t="str">
        <f t="shared" si="2"/>
        <v/>
      </c>
      <c r="G20" s="181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2"/>
        <v/>
      </c>
      <c r="E21" s="181"/>
      <c r="F21" s="30" t="str">
        <f t="shared" si="2"/>
        <v/>
      </c>
      <c r="G21" s="181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2"/>
        <v/>
      </c>
      <c r="E22" s="181"/>
      <c r="F22" s="30" t="str">
        <f t="shared" si="2"/>
        <v/>
      </c>
      <c r="G22" s="181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2"/>
        <v/>
      </c>
      <c r="E23" s="181"/>
      <c r="F23" s="30" t="str">
        <f t="shared" si="2"/>
        <v/>
      </c>
      <c r="G23" s="181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2"/>
        <v/>
      </c>
      <c r="E24" s="181"/>
      <c r="F24" s="30" t="str">
        <f t="shared" si="2"/>
        <v/>
      </c>
      <c r="G24" s="181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2"/>
        <v/>
      </c>
      <c r="E25" s="181"/>
      <c r="F25" s="30" t="str">
        <f t="shared" si="2"/>
        <v/>
      </c>
      <c r="G25" s="181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2"/>
        <v/>
      </c>
      <c r="E26" s="181"/>
      <c r="F26" s="30" t="str">
        <f t="shared" si="2"/>
        <v/>
      </c>
      <c r="G26" s="181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2"/>
        <v/>
      </c>
      <c r="E27" s="182"/>
      <c r="F27" s="50" t="str">
        <f t="shared" si="2"/>
        <v/>
      </c>
      <c r="G27" s="182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622150</v>
      </c>
      <c r="D32" s="44">
        <f t="shared" si="6"/>
        <v>12650</v>
      </c>
      <c r="E32" s="43">
        <f t="shared" si="6"/>
        <v>508600</v>
      </c>
      <c r="F32" s="44">
        <f t="shared" si="6"/>
        <v>8450</v>
      </c>
      <c r="G32" s="43">
        <f t="shared" si="6"/>
        <v>693850</v>
      </c>
      <c r="H32" s="44">
        <f t="shared" si="6"/>
        <v>10350</v>
      </c>
      <c r="J32" s="96">
        <f>SUM(J4:J31)</f>
        <v>1824600</v>
      </c>
      <c r="K32" s="96"/>
    </row>
    <row r="33" spans="2:8" x14ac:dyDescent="0.35">
      <c r="D33" s="100">
        <f>+D32*85</f>
        <v>1075250</v>
      </c>
      <c r="F33" s="100">
        <f>+F32*85</f>
        <v>718250</v>
      </c>
      <c r="H33" s="100">
        <f>+H32*85</f>
        <v>879750</v>
      </c>
    </row>
    <row r="34" spans="2:8" x14ac:dyDescent="0.35">
      <c r="B34" s="249" t="s">
        <v>149</v>
      </c>
      <c r="C34" s="43">
        <f t="shared" ref="C34:H34" si="7">+C4+C5+C6+C8+C13</f>
        <v>160550</v>
      </c>
      <c r="D34" s="43" t="e">
        <f t="shared" si="7"/>
        <v>#VALUE!</v>
      </c>
      <c r="E34" s="43">
        <f t="shared" si="7"/>
        <v>84900</v>
      </c>
      <c r="F34" s="43" t="e">
        <f t="shared" si="7"/>
        <v>#VALUE!</v>
      </c>
      <c r="G34" s="43">
        <f t="shared" si="7"/>
        <v>187650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205250</v>
      </c>
      <c r="D35" s="43" t="e">
        <f t="shared" ref="D35:H35" si="8">+D11+D14+D15+D17+D18</f>
        <v>#VALUE!</v>
      </c>
      <c r="E35" s="43">
        <f t="shared" si="8"/>
        <v>189800</v>
      </c>
      <c r="F35" s="43" t="e">
        <f t="shared" si="8"/>
        <v>#VALUE!</v>
      </c>
      <c r="G35" s="43">
        <f t="shared" si="8"/>
        <v>287550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241350</v>
      </c>
      <c r="D36" s="43" t="e">
        <f t="shared" ref="D36:H36" si="9">+D10+D12+D27</f>
        <v>#VALUE!</v>
      </c>
      <c r="E36" s="43">
        <f t="shared" si="9"/>
        <v>218800</v>
      </c>
      <c r="F36" s="43" t="e">
        <f t="shared" si="9"/>
        <v>#VALUE!</v>
      </c>
      <c r="G36" s="43">
        <f t="shared" si="9"/>
        <v>185600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53</v>
      </c>
      <c r="D2" s="269"/>
      <c r="E2" s="268">
        <f>IF(PREMIOS!$B9="","",PREMIOS!$B9)</f>
        <v>46</v>
      </c>
      <c r="F2" s="269"/>
      <c r="G2" s="268">
        <f>IF(PREMIOS!$B13="","",PREMIOS!$B13)</f>
        <v>97</v>
      </c>
      <c r="H2" s="269"/>
      <c r="I2" s="268">
        <f>IF(PREMIOS!$B17="","",PREMIOS!$B17)</f>
        <v>71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29750</v>
      </c>
      <c r="D4" s="79">
        <v>100</v>
      </c>
      <c r="E4" s="207">
        <v>22200</v>
      </c>
      <c r="F4" s="79">
        <f t="shared" ref="D4:J27" si="0">IF(E4="","",0)</f>
        <v>0</v>
      </c>
      <c r="G4" s="190">
        <v>400</v>
      </c>
      <c r="H4" s="79">
        <f t="shared" ref="H4:H27" si="1">IF(G4="","",0)</f>
        <v>0</v>
      </c>
      <c r="I4" s="190">
        <v>300</v>
      </c>
      <c r="J4" s="79">
        <f t="shared" si="0"/>
        <v>0</v>
      </c>
      <c r="L4" s="42">
        <f t="shared" ref="L4:L8" si="2">+C4+E4+G4+I4</f>
        <v>52650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9" t="str">
        <f>Vendedor2!$B$2</f>
        <v>PUESTO 2</v>
      </c>
      <c r="C5" s="181">
        <v>34950</v>
      </c>
      <c r="D5" s="30">
        <v>500</v>
      </c>
      <c r="E5" s="208">
        <v>11250</v>
      </c>
      <c r="F5" s="30">
        <f t="shared" si="0"/>
        <v>0</v>
      </c>
      <c r="G5" s="181">
        <v>6800</v>
      </c>
      <c r="H5" s="30">
        <f t="shared" si="1"/>
        <v>0</v>
      </c>
      <c r="I5" s="181">
        <v>4050</v>
      </c>
      <c r="J5" s="30">
        <f t="shared" ref="J5:J27" si="3">IF(I5="","",0)</f>
        <v>0</v>
      </c>
      <c r="L5" s="42">
        <f t="shared" si="2"/>
        <v>57050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57250+72700</f>
        <v>129950</v>
      </c>
      <c r="D10" s="30">
        <v>350</v>
      </c>
      <c r="E10" s="208">
        <f>43700+100550</f>
        <v>144250</v>
      </c>
      <c r="F10" s="30">
        <f>200+250</f>
        <v>450</v>
      </c>
      <c r="G10" s="181">
        <f>41000+29800</f>
        <v>70800</v>
      </c>
      <c r="H10" s="30">
        <v>400</v>
      </c>
      <c r="I10" s="181">
        <f>51950+65100</f>
        <v>117050</v>
      </c>
      <c r="J10" s="30">
        <f>250+200</f>
        <v>450</v>
      </c>
      <c r="L10" s="42">
        <f t="shared" si="5"/>
        <v>462050</v>
      </c>
      <c r="M10" s="42">
        <f t="shared" si="4"/>
        <v>1650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71350</v>
      </c>
      <c r="D12" s="30">
        <v>450</v>
      </c>
      <c r="E12" s="208">
        <v>47150</v>
      </c>
      <c r="F12" s="30">
        <v>300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118500</v>
      </c>
      <c r="M12" s="42">
        <f t="shared" si="4"/>
        <v>750</v>
      </c>
    </row>
    <row r="13" spans="1:13" x14ac:dyDescent="0.35">
      <c r="A13" s="47">
        <v>10</v>
      </c>
      <c r="B13" s="179" t="str">
        <f>Vendedor10!$B$2</f>
        <v>MARIALIZ</v>
      </c>
      <c r="C13" s="181">
        <v>33050</v>
      </c>
      <c r="D13" s="30">
        <f t="shared" si="0"/>
        <v>0</v>
      </c>
      <c r="E13" s="208">
        <v>24800</v>
      </c>
      <c r="F13" s="30">
        <v>1000</v>
      </c>
      <c r="G13" s="181">
        <v>6700</v>
      </c>
      <c r="H13" s="30">
        <f t="shared" si="0"/>
        <v>0</v>
      </c>
      <c r="I13" s="181">
        <v>4800</v>
      </c>
      <c r="J13" s="30">
        <f t="shared" si="0"/>
        <v>0</v>
      </c>
      <c r="L13" s="42">
        <f t="shared" si="5"/>
        <v>69350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6650</v>
      </c>
      <c r="D16" s="30">
        <f t="shared" si="0"/>
        <v>0</v>
      </c>
      <c r="E16" s="208">
        <v>2600</v>
      </c>
      <c r="F16" s="30">
        <f t="shared" si="0"/>
        <v>0</v>
      </c>
      <c r="G16" s="181"/>
      <c r="H16" s="30" t="str">
        <f t="shared" si="0"/>
        <v/>
      </c>
      <c r="I16" s="181">
        <v>21000</v>
      </c>
      <c r="J16" s="30">
        <v>100</v>
      </c>
      <c r="L16" s="42">
        <f t="shared" si="5"/>
        <v>30250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100150</v>
      </c>
      <c r="D17" s="30">
        <v>650</v>
      </c>
      <c r="E17" s="208">
        <v>77750</v>
      </c>
      <c r="F17" s="30">
        <v>450</v>
      </c>
      <c r="G17" s="181">
        <v>79300</v>
      </c>
      <c r="H17" s="30">
        <v>200</v>
      </c>
      <c r="I17" s="181">
        <v>171800</v>
      </c>
      <c r="J17" s="30">
        <v>1000</v>
      </c>
      <c r="L17" s="42">
        <f t="shared" si="5"/>
        <v>429000</v>
      </c>
      <c r="M17" s="42">
        <f t="shared" si="4"/>
        <v>2300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40300</v>
      </c>
      <c r="D18" s="30">
        <v>600</v>
      </c>
      <c r="E18" s="208">
        <v>37400</v>
      </c>
      <c r="F18" s="30">
        <v>350</v>
      </c>
      <c r="G18" s="181">
        <v>16800</v>
      </c>
      <c r="H18" s="30">
        <f t="shared" si="0"/>
        <v>0</v>
      </c>
      <c r="I18" s="181">
        <v>4800</v>
      </c>
      <c r="J18" s="30">
        <f t="shared" si="3"/>
        <v>0</v>
      </c>
      <c r="L18" s="42">
        <f t="shared" si="5"/>
        <v>99300</v>
      </c>
      <c r="M18" s="42">
        <f t="shared" si="4"/>
        <v>950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446150</v>
      </c>
      <c r="D32" s="44">
        <f t="shared" si="7"/>
        <v>2650</v>
      </c>
      <c r="E32" s="43">
        <f t="shared" si="7"/>
        <v>367400</v>
      </c>
      <c r="F32" s="44">
        <f t="shared" si="7"/>
        <v>2550</v>
      </c>
      <c r="G32" s="43">
        <f t="shared" si="7"/>
        <v>180800</v>
      </c>
      <c r="H32" s="44">
        <f t="shared" si="7"/>
        <v>600</v>
      </c>
      <c r="I32" s="43">
        <f t="shared" si="7"/>
        <v>323800</v>
      </c>
      <c r="J32" s="44">
        <f t="shared" si="7"/>
        <v>1550</v>
      </c>
      <c r="L32" s="96">
        <f>SUM(L9:L31)</f>
        <v>1208450</v>
      </c>
      <c r="M32" s="96">
        <f>SUM(M9:M31)</f>
        <v>5650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55 Blanca</v>
      </c>
      <c r="D2" s="269"/>
      <c r="E2" s="268" t="str">
        <f>IF(E33=0,"",CONCATENATE(PREMIOS!$B11," ",PREMIOS!$B12))</f>
        <v>55 Blanca</v>
      </c>
      <c r="F2" s="269"/>
      <c r="G2" s="268" t="str">
        <f>IF(G33=0,"",CONCATENATE(PREMIOS!$B15," ",PREMIOS!$B16))</f>
        <v>14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14800+9150</f>
        <v>23950</v>
      </c>
      <c r="D10" s="30">
        <f t="shared" si="0"/>
        <v>0</v>
      </c>
      <c r="E10" s="181">
        <f>5300+7550</f>
        <v>12850</v>
      </c>
      <c r="F10" s="30">
        <f t="shared" si="0"/>
        <v>0</v>
      </c>
      <c r="G10" s="181">
        <f>24600+6150</f>
        <v>30750</v>
      </c>
      <c r="H10" s="30">
        <v>400</v>
      </c>
      <c r="J10" s="42">
        <f t="shared" si="3"/>
        <v>67550</v>
      </c>
      <c r="K10" s="42">
        <f t="shared" si="4"/>
        <v>400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5450</v>
      </c>
      <c r="D12" s="30">
        <f t="shared" si="0"/>
        <v>0</v>
      </c>
      <c r="E12" s="181">
        <v>2100</v>
      </c>
      <c r="F12" s="30">
        <f t="shared" si="1"/>
        <v>0</v>
      </c>
      <c r="G12" s="181">
        <v>4500</v>
      </c>
      <c r="H12" s="30">
        <f t="shared" si="0"/>
        <v>0</v>
      </c>
      <c r="J12" s="42">
        <f t="shared" si="3"/>
        <v>12050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800</v>
      </c>
      <c r="D16" s="196">
        <f t="shared" si="0"/>
        <v>0</v>
      </c>
      <c r="E16" s="195">
        <v>0</v>
      </c>
      <c r="F16" s="196">
        <f t="shared" si="1"/>
        <v>0</v>
      </c>
      <c r="G16" s="195">
        <v>6500</v>
      </c>
      <c r="H16" s="196">
        <f t="shared" si="0"/>
        <v>0</v>
      </c>
      <c r="J16" s="42">
        <f t="shared" si="3"/>
        <v>7300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20100</v>
      </c>
      <c r="D17" s="30">
        <v>2600</v>
      </c>
      <c r="E17" s="181">
        <v>14150</v>
      </c>
      <c r="F17" s="30">
        <v>1000</v>
      </c>
      <c r="G17" s="181">
        <v>24050</v>
      </c>
      <c r="H17" s="30">
        <v>1000</v>
      </c>
      <c r="J17" s="42">
        <f t="shared" si="3"/>
        <v>58300</v>
      </c>
      <c r="K17" s="42">
        <f t="shared" si="4"/>
        <v>4600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20300</v>
      </c>
      <c r="D18" s="30">
        <f t="shared" si="0"/>
        <v>0</v>
      </c>
      <c r="E18" s="181">
        <v>13850</v>
      </c>
      <c r="F18" s="30">
        <f t="shared" si="0"/>
        <v>0</v>
      </c>
      <c r="G18" s="181">
        <v>8750</v>
      </c>
      <c r="H18" s="30">
        <f t="shared" si="0"/>
        <v>0</v>
      </c>
      <c r="J18" s="42">
        <f t="shared" si="3"/>
        <v>42900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70600</v>
      </c>
      <c r="D33" s="44">
        <f t="shared" si="7"/>
        <v>2600</v>
      </c>
      <c r="E33" s="43">
        <f t="shared" si="7"/>
        <v>42950</v>
      </c>
      <c r="F33" s="44">
        <f t="shared" si="7"/>
        <v>1000</v>
      </c>
      <c r="G33" s="43">
        <f t="shared" si="7"/>
        <v>74550</v>
      </c>
      <c r="H33" s="44">
        <f t="shared" si="7"/>
        <v>1400</v>
      </c>
      <c r="J33" s="45">
        <f>SUM(J4:J32)</f>
        <v>188100</v>
      </c>
      <c r="K33" s="96">
        <f>SUM(K4:K32)</f>
        <v>5000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49</v>
      </c>
      <c r="D2" s="269"/>
      <c r="E2" s="268">
        <f>IF(PREMIOS!$C19="","",PREMIOS!$C19)</f>
        <v>75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5100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5500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4350</v>
      </c>
      <c r="D5" s="30">
        <f t="shared" si="0"/>
        <v>0</v>
      </c>
      <c r="E5" s="181">
        <v>3550</v>
      </c>
      <c r="F5" s="30">
        <f t="shared" ref="F5:F27" si="1">IF(E5="","",0)</f>
        <v>0</v>
      </c>
      <c r="H5" s="42">
        <f t="shared" ref="H5:H32" si="2">+C5+E5</f>
        <v>7900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37700</v>
      </c>
      <c r="D10" s="30">
        <f t="shared" si="0"/>
        <v>0</v>
      </c>
      <c r="E10" s="181">
        <v>29200</v>
      </c>
      <c r="F10" s="196">
        <v>300</v>
      </c>
      <c r="H10" s="42">
        <f t="shared" si="2"/>
        <v>66900</v>
      </c>
      <c r="I10" s="42">
        <f t="shared" si="3"/>
        <v>300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49900</v>
      </c>
      <c r="D12" s="30">
        <v>800</v>
      </c>
      <c r="E12" s="195"/>
      <c r="F12" s="30" t="str">
        <f t="shared" si="0"/>
        <v/>
      </c>
      <c r="H12" s="42">
        <f t="shared" si="2"/>
        <v>49900</v>
      </c>
      <c r="I12" s="42">
        <f t="shared" si="3"/>
        <v>800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81550</v>
      </c>
      <c r="D17" s="196">
        <v>350</v>
      </c>
      <c r="E17" s="181">
        <v>39950</v>
      </c>
      <c r="F17" s="30">
        <v>850</v>
      </c>
      <c r="H17" s="42">
        <f t="shared" si="2"/>
        <v>121500</v>
      </c>
      <c r="I17" s="42">
        <f t="shared" si="3"/>
        <v>1200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35800</v>
      </c>
      <c r="D18" s="196">
        <f t="shared" si="0"/>
        <v>0</v>
      </c>
      <c r="E18" s="181">
        <v>23250</v>
      </c>
      <c r="F18" s="30">
        <v>200</v>
      </c>
      <c r="H18" s="42">
        <f t="shared" si="2"/>
        <v>59050</v>
      </c>
      <c r="I18" s="42">
        <f t="shared" si="3"/>
        <v>200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215400</v>
      </c>
      <c r="D33" s="44">
        <f>SUM(D4:D32)</f>
        <v>1150</v>
      </c>
      <c r="E33" s="43">
        <f>SUM(E4:E32)</f>
        <v>96350</v>
      </c>
      <c r="F33" s="44">
        <f>SUM(F4:F32)</f>
        <v>1350</v>
      </c>
      <c r="H33" s="96">
        <f>SUM(H4:H32)</f>
        <v>311750</v>
      </c>
      <c r="I33" s="96">
        <f>SUM(I4:I32)</f>
        <v>2500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32</v>
      </c>
      <c r="D2" s="269"/>
      <c r="E2" s="268">
        <f>IF(PREMIOS!$C20="","",PREMIOS!$C20)</f>
        <v>41</v>
      </c>
      <c r="F2" s="269"/>
      <c r="G2" s="268">
        <f>IF(PREMIOS!$D20="","",PREMIOS!$D20)</f>
        <v>23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1800</v>
      </c>
      <c r="D10" s="196">
        <f t="shared" si="0"/>
        <v>0</v>
      </c>
      <c r="E10" s="181">
        <f>2000+6000</f>
        <v>8000</v>
      </c>
      <c r="F10" s="30">
        <f t="shared" si="0"/>
        <v>0</v>
      </c>
      <c r="G10" s="181">
        <v>4500</v>
      </c>
      <c r="H10" s="196">
        <f t="shared" si="0"/>
        <v>0</v>
      </c>
      <c r="J10" s="42">
        <f t="shared" si="3"/>
        <v>14300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52700</v>
      </c>
      <c r="D17" s="196">
        <f t="shared" si="0"/>
        <v>0</v>
      </c>
      <c r="E17" s="195">
        <v>8650</v>
      </c>
      <c r="F17" s="196">
        <f t="shared" si="0"/>
        <v>0</v>
      </c>
      <c r="G17" s="195">
        <v>18200</v>
      </c>
      <c r="H17" s="196">
        <v>200</v>
      </c>
      <c r="J17" s="42">
        <f t="shared" si="3"/>
        <v>79550</v>
      </c>
      <c r="K17" s="42">
        <f t="shared" si="4"/>
        <v>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3050</v>
      </c>
      <c r="D18" s="196">
        <f t="shared" si="0"/>
        <v>0</v>
      </c>
      <c r="E18" s="181">
        <v>4700</v>
      </c>
      <c r="F18" s="30">
        <v>100</v>
      </c>
      <c r="G18" s="181"/>
      <c r="H18" s="30" t="str">
        <f t="shared" si="2"/>
        <v/>
      </c>
      <c r="J18" s="42">
        <f t="shared" si="3"/>
        <v>7750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57550</v>
      </c>
      <c r="D33" s="44">
        <f t="shared" si="6"/>
        <v>0</v>
      </c>
      <c r="E33" s="43">
        <f t="shared" si="6"/>
        <v>21350</v>
      </c>
      <c r="F33" s="44">
        <f t="shared" si="6"/>
        <v>100</v>
      </c>
      <c r="G33" s="43">
        <f t="shared" si="6"/>
        <v>22700</v>
      </c>
      <c r="H33" s="44">
        <f t="shared" si="6"/>
        <v>200</v>
      </c>
      <c r="J33" s="45">
        <f>SUM(J4:J32)</f>
        <v>101600</v>
      </c>
      <c r="K33" s="96">
        <f>SUM(K4:K32)</f>
        <v>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37</v>
      </c>
      <c r="D2" s="269"/>
      <c r="E2" s="268">
        <f>IF(PREMIOS!$C21="","",PREMIOS!$C21)</f>
        <v>61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54500</v>
      </c>
      <c r="D10" s="30">
        <f t="shared" si="0"/>
        <v>0</v>
      </c>
      <c r="E10" s="181">
        <v>57500</v>
      </c>
      <c r="F10" s="30">
        <f t="shared" si="0"/>
        <v>0</v>
      </c>
      <c r="H10" s="42">
        <f t="shared" si="2"/>
        <v>112000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54500</v>
      </c>
      <c r="D33" s="44">
        <f>SUM(D4:D32)</f>
        <v>0</v>
      </c>
      <c r="E33" s="43">
        <f>SUM(E4:E32)</f>
        <v>57500</v>
      </c>
      <c r="F33" s="44">
        <f>SUM(F4:F32)</f>
        <v>0</v>
      </c>
      <c r="H33" s="45">
        <f>SUM(H4:H32)</f>
        <v>112000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5" sqref="C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75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>
        <v>5100</v>
      </c>
      <c r="D17" s="30">
        <f t="shared" si="0"/>
        <v>0</v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5100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cp:lastPrinted>2026-03-04T17:01:34Z</cp:lastPrinted>
  <dcterms:created xsi:type="dcterms:W3CDTF">2015-06-05T18:19:34Z</dcterms:created>
  <dcterms:modified xsi:type="dcterms:W3CDTF">2026-03-11T18:33:49Z</dcterms:modified>
  <dc:language>es-CR</dc:language>
</cp:coreProperties>
</file>
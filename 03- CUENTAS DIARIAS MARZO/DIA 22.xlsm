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87EEC713-C357-451A-81D0-086201965A1D}" xr6:coauthVersionLast="47" xr6:coauthVersionMax="47" xr10:uidLastSave="{7A3A8AA4-A4E2-4CA4-9006-0023AF78DF7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I10" i="61"/>
  <c r="H17" i="60"/>
  <c r="G17" i="60"/>
  <c r="H18" i="60"/>
  <c r="G18" i="60"/>
  <c r="F17" i="60"/>
  <c r="E17" i="60"/>
  <c r="F18" i="60"/>
  <c r="E18" i="60"/>
  <c r="D17" i="60"/>
  <c r="C17" i="60"/>
  <c r="D18" i="60"/>
  <c r="C18" i="60"/>
  <c r="D11" i="65" l="1"/>
  <c r="D10" i="65"/>
  <c r="D9" i="61"/>
  <c r="C23" i="15"/>
  <c r="D23" i="15" s="1"/>
  <c r="C22" i="15"/>
  <c r="E16" i="71" s="1"/>
  <c r="C21" i="15"/>
  <c r="C16" i="71" s="1"/>
  <c r="H16" i="64"/>
  <c r="E23" i="15" s="1"/>
  <c r="E21" i="15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D22" i="15" l="1"/>
  <c r="K8" i="15" s="1"/>
  <c r="F23" i="15"/>
  <c r="H16" i="71"/>
  <c r="G16" i="71"/>
  <c r="F21" i="15"/>
  <c r="D16" i="71"/>
  <c r="D21" i="15"/>
  <c r="G23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K15" i="15" l="1"/>
  <c r="G36" i="60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5" i="60"/>
  <c r="D14" i="60"/>
  <c r="D13" i="60"/>
  <c r="D12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D5" i="61"/>
  <c r="D6" i="60"/>
  <c r="F15" i="60"/>
  <c r="F35" i="60"/>
  <c r="F11" i="60"/>
  <c r="F36" i="60"/>
  <c r="F9" i="60"/>
  <c r="F7" i="60"/>
  <c r="F6" i="60"/>
  <c r="H15" i="60"/>
  <c r="H12" i="60"/>
  <c r="H11" i="60"/>
  <c r="H9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H35" i="60"/>
  <c r="D35" i="60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11" i="64"/>
  <c r="E22" i="21"/>
  <c r="F22" i="21" s="1"/>
  <c r="E21" i="29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21"/>
  <c r="J10" i="21"/>
  <c r="K27" i="64"/>
  <c r="F16" i="71"/>
  <c r="L16" i="71" s="1"/>
  <c r="M16" i="71" s="1"/>
  <c r="F22" i="15"/>
  <c r="L8" i="15" s="1"/>
  <c r="G22" i="15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0" i="29"/>
  <c r="D21" i="29"/>
  <c r="G21" i="29" s="1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1"/>
  <c r="M27" i="71" s="1"/>
  <c r="N27" i="71"/>
  <c r="P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N18" i="71" l="1"/>
  <c r="F17" i="52"/>
  <c r="F12" i="8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9" s="1"/>
  <c r="G7" i="20"/>
  <c r="D7" i="20"/>
  <c r="D19" i="58"/>
  <c r="F7" i="20"/>
  <c r="D27" i="52"/>
  <c r="M27" i="52" s="1"/>
  <c r="D8" i="29"/>
  <c r="G8" i="29"/>
  <c r="C27" i="58"/>
  <c r="D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<sst xmlns="http://schemas.openxmlformats.org/spreadsheetml/2006/main" count="1294" uniqueCount="161">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</sst>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225950</v>
      </c>
      <c r="C3" s="9">
        <f>+HojaTICA!K4+HojaNICA!M4+HojaREVENTADO!K4+HojaPrimera!I4+HojaHonduras!K4+HojaDominicana!I4+HojaPANA!G4</f>
        <v>29350</v>
      </c>
      <c r="D3" s="9">
        <f>+HojaTICA!N4+HojaNICA!P4+HojaREVENTADO!O4+HojaPrimera!L4+HojaHonduras!N4+HojaDominicana!L4+HojaPANA!J4</f>
        <v>113750</v>
      </c>
      <c r="F3" s="10">
        <f t="shared" ref="F3:F27" si="0">+B3-C3-D3</f>
        <v>82850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192350</v>
      </c>
      <c r="C4" s="9">
        <f>+HojaTICA!K5+HojaNICA!M5+HojaREVENTADO!K5+HojaPrimera!I5+HojaHonduras!K5+HojaDominicana!I5+HojaPANA!G5</f>
        <v>25050</v>
      </c>
      <c r="D4" s="9">
        <f>+HojaTICA!N5+HojaNICA!P5+HojaREVENTADO!O5+HojaPrimera!L5+HojaHonduras!N5+HojaDominicana!L5+HojaPANA!J5</f>
        <v>259250</v>
      </c>
      <c r="F4" s="14">
        <f t="shared" si="0"/>
        <v>-91950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1000</v>
      </c>
      <c r="C6" s="9">
        <f>+HojaTICA!K7+HojaNICA!M7+HojaREVENTADO!K7+HojaPrimera!I7+HojaHonduras!K7+HojaDominicana!I7+HojaPANA!G7</f>
        <v>100</v>
      </c>
      <c r="D6" s="9">
        <f>+HojaTICA!N7+HojaNICA!P7+HojaREVENTADO!O7+HojaPrimera!L7+HojaHonduras!N7+HojaDominicana!L7+HojaPANA!J7</f>
        <v>0</v>
      </c>
      <c r="F6" s="14">
        <f t="shared" si="0"/>
        <v>900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372150</v>
      </c>
      <c r="C7" s="9">
        <f>+HojaTICA!K8+HojaNICA!M8+HojaREVENTADO!K8+HojaPrimera!I8+HojaHonduras!K8+HojaDominicana!I8+HojaPANA!G8</f>
        <v>44650</v>
      </c>
      <c r="D7" s="9">
        <f>+HojaTICA!N8+HojaNICA!P8+HojaREVENTADO!O8+HojaPrimera!L8+HojaHonduras!N8+HojaDominicana!L8+HojaPANA!J8</f>
        <v>365750</v>
      </c>
      <c r="F7" s="14">
        <f t="shared" si="0"/>
        <v>-38250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1111050</v>
      </c>
      <c r="C9" s="9">
        <f>+HojaTICA!K10+HojaNICA!M10+HojaREVENTADO!K10+HojaPrimera!I10+HojaHonduras!K10+HojaDominicana!I10+HojaPANA!G10</f>
        <v>131740</v>
      </c>
      <c r="D9" s="9">
        <f>+HojaTICA!N10+HojaNICA!P10+HojaREVENTADO!O10+HojaPrimera!L10+HojaHonduras!N10+HojaDominicana!L10+HojaPANA!J10</f>
        <v>1153750</v>
      </c>
      <c r="F9" s="14">
        <f t="shared" si="0"/>
        <v>-174440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46200</v>
      </c>
      <c r="C10" s="9">
        <f>+HojaTICA!K11+HojaNICA!M11+HojaREVENTADO!K11+HojaPrimera!I11+HojaHonduras!K11+HojaDominicana!I11+HojaPANA!G11</f>
        <v>5550</v>
      </c>
      <c r="D10" s="9">
        <f>+HojaTICA!N11+HojaNICA!P11+HojaREVENTADO!O11+HojaPrimera!L11+HojaHonduras!N11+HojaDominicana!L11+HojaPANA!J11</f>
        <v>0</v>
      </c>
      <c r="F10" s="14">
        <f t="shared" si="0"/>
        <v>40650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79150</v>
      </c>
      <c r="C11" s="9">
        <f>+HojaTICA!K12+HojaNICA!M12+HojaREVENTADO!K12+HojaPrimera!I12+HojaHonduras!K12+HojaDominicana!I12+HojaPANA!G12</f>
        <v>9500</v>
      </c>
      <c r="D11" s="9">
        <f>+HojaTICA!N12+HojaNICA!P12+HojaREVENTADO!O12+HojaPrimera!L12+HojaHonduras!N12+HojaDominicana!L12+HojaPANA!J12</f>
        <v>153000</v>
      </c>
      <c r="F11" s="14">
        <f t="shared" si="0"/>
        <v>-83350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182150</v>
      </c>
      <c r="C12" s="9">
        <f>+HojaTICA!K13+HojaNICA!M13+HojaREVENTADO!K13+HojaPrimera!I13+HojaHonduras!K13+HojaDominicana!I13+HojaPANA!G13</f>
        <v>21850</v>
      </c>
      <c r="D12" s="9">
        <f>+HojaTICA!N13+HojaNICA!P13+HojaREVENTADO!O13+HojaPrimera!L13+HojaHonduras!N13+HojaDominicana!L13+HojaPANA!J13</f>
        <v>130500</v>
      </c>
      <c r="F12" s="14">
        <f t="shared" si="0"/>
        <v>29800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91000</v>
      </c>
      <c r="C13" s="9">
        <f>+HojaTICA!K14+HojaNICA!M14+HojaREVENTADO!K14+HojaPrimera!I14+HojaHonduras!K14+HojaDominicana!I14+HojaPANA!G14</f>
        <v>13650</v>
      </c>
      <c r="D13" s="9">
        <f>+HojaTICA!N14+HojaNICA!P14+HojaREVENTADO!O14+HojaPrimera!L14+HojaHonduras!N14+HojaDominicana!L14+HojaPANA!J14</f>
        <v>88000</v>
      </c>
      <c r="F13" s="14">
        <f t="shared" si="0"/>
        <v>-10650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144900</v>
      </c>
      <c r="C15" s="9">
        <f>+HojaTICA!K16+HojaNICA!M16+HojaREVENTADO!K16+HojaPrimera!I16+HojaHonduras!K16+HojaDominicana!I16+HojaPANA!G16</f>
        <v>17250</v>
      </c>
      <c r="D15" s="9">
        <f>+HojaTICA!N16+HojaNICA!P16+HojaREVENTADO!O16+HojaPrimera!L16+HojaHonduras!N16+HojaDominicana!L16+HojaPANA!J16</f>
        <v>200750</v>
      </c>
      <c r="F15" s="14">
        <f t="shared" si="0"/>
        <v>-73100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958950</v>
      </c>
      <c r="C16" s="9">
        <f>+HojaTICA!K17+HojaNICA!M17+HojaREVENTADO!K17+HojaPrimera!I17+HojaHonduras!K17+HojaDominicana!I17+HojaPANA!G17</f>
        <v>113735</v>
      </c>
      <c r="D16" s="9">
        <f>+HojaTICA!N17+HojaNICA!P17+HojaREVENTADO!O17+HojaPrimera!L17+HojaHonduras!N17+HojaDominicana!L17+HojaPANA!J17</f>
        <v>725500</v>
      </c>
      <c r="F16" s="14">
        <f t="shared" si="0"/>
        <v>119715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569500</v>
      </c>
      <c r="C17" s="9">
        <f>+HojaTICA!K18+HojaNICA!M18+HojaREVENTADO!K18+HojaPrimera!I18+HojaHonduras!K18+HojaDominicana!I18+HojaPANA!G18</f>
        <v>66665</v>
      </c>
      <c r="D17" s="9">
        <f>+HojaTICA!N18+HojaNICA!P18+HojaREVENTADO!O18+HojaPrimera!L18+HojaHonduras!N18+HojaDominicana!L18+HojaPANA!J18</f>
        <v>650000</v>
      </c>
      <c r="F17" s="14">
        <f t="shared" si="0"/>
        <v>-147165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-3700</v>
      </c>
      <c r="C26" s="9">
        <f>+HojaTICA!K27+HojaNICA!M27+HojaREVENTADO!K27+HojaPrimera!I27+HojaHonduras!K27+HojaDominicana!I27+HojaPANA!G27</f>
        <v>-450</v>
      </c>
      <c r="D26" s="9">
        <f>+HojaTICA!N27+HojaNICA!P27+HojaREVENTADO!O27+HojaPrimera!L27+HojaHonduras!N27+HojaDominicana!L27+HojaPANA!J27</f>
        <v>-17000</v>
      </c>
      <c r="F26" s="14">
        <f t="shared" si="0"/>
        <v>13750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3970650</v>
      </c>
      <c r="C28" s="17">
        <f t="shared" si="1"/>
        <v>478640</v>
      </c>
      <c r="D28" s="18">
        <f t="shared" si="1"/>
        <v>3823250</v>
      </c>
      <c r="F28" s="20">
        <f>SUM(F3:F27)</f>
        <v>-331240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66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13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35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22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59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14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61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17</v>
      </c>
      <c r="C19" s="133">
        <v>35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75</v>
      </c>
      <c r="C20" s="163">
        <v>41</v>
      </c>
      <c r="D20" s="166">
        <v>63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 t="s">
        <v>160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22</v>
      </c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13</v>
      </c>
      <c r="D2" s="268"/>
      <c r="E2" s="267">
        <f>DigitaTICA!E2</f>
        <v>22</v>
      </c>
      <c r="F2" s="268"/>
      <c r="G2" s="267">
        <f>DigitaTICA!G2</f>
        <v>14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55450</v>
      </c>
      <c r="D4" s="30">
        <f>IF(Vendedor1!$E$7="",0,Vendedor1!$E$7)</f>
        <v>350</v>
      </c>
      <c r="E4" s="180">
        <f>IF(Vendedor1!$C$11="",0,Vendedor1!$C$11)</f>
        <v>32000</v>
      </c>
      <c r="F4" s="30">
        <f>IF(Vendedor1!$E$11="",0,Vendedor1!$E$11)</f>
        <v>500</v>
      </c>
      <c r="G4" s="180">
        <f>IF(Vendedor1!$C$15="",0,Vendedor1!$C$15)</f>
        <v>104500</v>
      </c>
      <c r="H4" s="30">
        <f>IF(Vendedor1!$E$15="",0,Vendedor1!$E$15)</f>
        <v>300</v>
      </c>
      <c r="J4" s="42">
        <f t="shared" ref="J4:J7" si="0">+C4+E4+G4</f>
        <v>191950</v>
      </c>
      <c r="K4" s="41">
        <f>MROUND(J4*Vendedor1!J$9,50)</f>
        <v>24950</v>
      </c>
      <c r="L4" s="42">
        <f t="shared" ref="L4:L7" si="1">+D4+F4+H4</f>
        <v>1150</v>
      </c>
      <c r="M4" s="42">
        <f t="shared" ref="M4:M7" si="2">+L4*85</f>
        <v>97750</v>
      </c>
      <c r="N4" s="42">
        <f>Vendedor1!$F$7+Vendedor1!$F$11+Vendedor1!$F$15</f>
        <v>97750</v>
      </c>
      <c r="P4" s="42">
        <f t="shared" ref="P4:P7" si="3">+J4-K4-N4</f>
        <v>69250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68150</v>
      </c>
      <c r="D5" s="30">
        <f>IF(Vendedor2!$E$7="",0,Vendedor2!$E$7)</f>
        <v>1250</v>
      </c>
      <c r="E5" s="180">
        <f>IF(Vendedor2!$C$11="",0,Vendedor2!$C$11)</f>
        <v>23900</v>
      </c>
      <c r="F5" s="30">
        <f>IF(Vendedor2!$E$11="",0,Vendedor2!$E$11)</f>
        <v>550</v>
      </c>
      <c r="G5" s="180">
        <f>IF(Vendedor2!$C$15="",0,Vendedor2!$C$15)</f>
        <v>67200</v>
      </c>
      <c r="H5" s="30">
        <f>IF(Vendedor2!$E$15="",0,Vendedor2!$E$15)</f>
        <v>1250</v>
      </c>
      <c r="J5" s="42">
        <f t="shared" si="0"/>
        <v>159250</v>
      </c>
      <c r="K5" s="41">
        <f>MROUND(J5*Vendedor2!J$9,50)</f>
        <v>20700</v>
      </c>
      <c r="L5" s="42">
        <f t="shared" si="1"/>
        <v>3050</v>
      </c>
      <c r="M5" s="42">
        <f t="shared" si="2"/>
        <v>259250</v>
      </c>
      <c r="N5" s="42">
        <f>Vendedor2!$F$7+Vendedor2!$F$11+Vendedor2!$F$15</f>
        <v>259250</v>
      </c>
      <c r="P5" s="42">
        <f t="shared" si="3"/>
        <v>-120700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1000</v>
      </c>
      <c r="H7" s="30">
        <f>IF(Vendedor4!$E$15="",0,Vendedor4!$E$15)</f>
        <v>0</v>
      </c>
      <c r="J7" s="42">
        <f t="shared" si="0"/>
        <v>1000</v>
      </c>
      <c r="K7" s="41">
        <f>MROUND(J7*Vendedor4!J$9,50)</f>
        <v>100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900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79200</v>
      </c>
      <c r="D8" s="30">
        <f>IF(Vendedor5!$E$7="",0,Vendedor5!$E$7)</f>
        <v>400</v>
      </c>
      <c r="E8" s="180">
        <f>IF(Vendedor5!$C$11="",0,Vendedor5!$C$11)</f>
        <v>51650</v>
      </c>
      <c r="F8" s="30">
        <f>IF(Vendedor5!$E$11="",0,Vendedor5!$E$11)</f>
        <v>1450</v>
      </c>
      <c r="G8" s="180">
        <f>IF(Vendedor5!$C$15="",0,Vendedor5!$C$15)</f>
        <v>38400</v>
      </c>
      <c r="H8" s="30">
        <f>IF(Vendedor5!$E$15="",0,Vendedor5!$E$15)</f>
        <v>900</v>
      </c>
      <c r="J8" s="42">
        <f t="shared" ref="J8" si="4">+C8+E8+G8</f>
        <v>169250</v>
      </c>
      <c r="K8" s="41">
        <f>MROUND(J8*Vendedor5!J$11,50)</f>
        <v>20300</v>
      </c>
      <c r="L8" s="42">
        <f t="shared" ref="L8" si="5">+D8+F8+H8</f>
        <v>2750</v>
      </c>
      <c r="M8" s="42">
        <f t="shared" ref="M8" si="6">+L8*85</f>
        <v>233750</v>
      </c>
      <c r="N8" s="42">
        <f>Vendedor5!$F$7+Vendedor5!$F$11+Vendedor5!$F$15</f>
        <v>233750</v>
      </c>
      <c r="P8" s="42">
        <f t="shared" ref="P8" si="7">+J8-K8-N8</f>
        <v>-84800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152850</v>
      </c>
      <c r="D10" s="30">
        <f>IF(Vendedor7!$E$7="",0,Vendedor7!$E$7)</f>
        <v>4850</v>
      </c>
      <c r="E10" s="180">
        <f>IF(Vendedor7!$C$11="",0,Vendedor7!$C$11)</f>
        <v>150700</v>
      </c>
      <c r="F10" s="30">
        <f>IF(Vendedor7!$E$11="",0,Vendedor7!$E$11)</f>
        <v>1550</v>
      </c>
      <c r="G10" s="180">
        <f>IF(Vendedor7!$C$15="",0,Vendedor7!$C$15)</f>
        <v>180500</v>
      </c>
      <c r="H10" s="30">
        <f>IF(Vendedor7!$E$15="",0,Vendedor7!$E$15)</f>
        <v>700</v>
      </c>
      <c r="J10" s="42">
        <f t="shared" si="8"/>
        <v>484050</v>
      </c>
      <c r="K10" s="41">
        <f>MROUND(J10*Vendedor7!J$14,50)</f>
        <v>58100</v>
      </c>
      <c r="L10" s="42">
        <f t="shared" si="9"/>
        <v>7100</v>
      </c>
      <c r="M10" s="42">
        <f t="shared" si="10"/>
        <v>603500</v>
      </c>
      <c r="N10" s="42">
        <f>Vendedor7!$F$7+Vendedor7!$F$11+Vendedor7!$F$15</f>
        <v>603500</v>
      </c>
      <c r="P10" s="42">
        <f t="shared" si="11"/>
        <v>-177550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17100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29100</v>
      </c>
      <c r="H11" s="30">
        <f>IF(Vendedor8!$E$15="",0,Vendedor8!$E$15)</f>
        <v>0</v>
      </c>
      <c r="J11" s="42">
        <f t="shared" si="8"/>
        <v>46200</v>
      </c>
      <c r="K11" s="41">
        <f>MROUND(J11*Vendedor8!J$11,50)</f>
        <v>5550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40650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10400</v>
      </c>
      <c r="D12" s="30">
        <f>IF(Vendedor9!$E$7="",0,Vendedor9!$E$7)</f>
        <v>0</v>
      </c>
      <c r="E12" s="180">
        <f>IF(Vendedor9!$C$11="",0,Vendedor9!$C$11)</f>
        <v>5000</v>
      </c>
      <c r="F12" s="30">
        <f>IF(Vendedor9!$E$11="",0,Vendedor9!$E$11)</f>
        <v>500</v>
      </c>
      <c r="G12" s="180">
        <f>IF(Vendedor9!$C$15="",0,Vendedor9!$C$15)</f>
        <v>17000</v>
      </c>
      <c r="H12" s="30">
        <f>IF(Vendedor9!$E$15="",0,Vendedor9!$E$15)</f>
        <v>0</v>
      </c>
      <c r="J12" s="42">
        <f t="shared" si="8"/>
        <v>32400</v>
      </c>
      <c r="K12" s="41">
        <f>MROUND(J12*Vendedor9!J$11,50)</f>
        <v>3900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-14000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28800</v>
      </c>
      <c r="D13" s="30">
        <f>IF(Vendedor10!$E$7="",0,Vendedor10!$E$7)</f>
        <v>0</v>
      </c>
      <c r="E13" s="180">
        <f>IF(Vendedor10!$C$11="",0,Vendedor10!$C$11)</f>
        <v>21150</v>
      </c>
      <c r="F13" s="30">
        <f>IF(Vendedor10!$E$11="",0,Vendedor10!$E$11)</f>
        <v>500</v>
      </c>
      <c r="G13" s="180">
        <f>IF(Vendedor10!$C$15="",0,Vendedor10!$C$15)</f>
        <v>78100</v>
      </c>
      <c r="H13" s="30">
        <f>IF(Vendedor10!$E$15="",0,Vendedor10!$E$15)</f>
        <v>800</v>
      </c>
      <c r="J13" s="42">
        <f t="shared" si="8"/>
        <v>128050</v>
      </c>
      <c r="K13" s="41">
        <f>MROUND(J13*Vendedor10!J$9,50)</f>
        <v>15350</v>
      </c>
      <c r="L13" s="42">
        <f t="shared" si="9"/>
        <v>1300</v>
      </c>
      <c r="M13" s="42">
        <f t="shared" si="10"/>
        <v>110500</v>
      </c>
      <c r="N13" s="42">
        <f>Vendedor10!$F$7+Vendedor10!$F$11+Vendedor10!$F$15</f>
        <v>110500</v>
      </c>
      <c r="P13" s="42">
        <f t="shared" si="11"/>
        <v>2200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37550</v>
      </c>
      <c r="D14" s="30">
        <f>IF(Vendedor11!$E$7="",0,Vendedor11!$E$7)</f>
        <v>0</v>
      </c>
      <c r="E14" s="180">
        <f>IF(Vendedor11!$C$11="",0,Vendedor11!$C$11)</f>
        <v>15650</v>
      </c>
      <c r="F14" s="30">
        <f>IF(Vendedor11!$E$11="",0,Vendedor11!$E$11)</f>
        <v>400</v>
      </c>
      <c r="G14" s="180">
        <f>IF(Vendedor11!$C$15="",0,Vendedor11!$C$15)</f>
        <v>37800</v>
      </c>
      <c r="H14" s="30">
        <f>IF(Vendedor11!$E$15="",0,Vendedor11!$E$15)</f>
        <v>700</v>
      </c>
      <c r="J14" s="42">
        <f t="shared" si="8"/>
        <v>91000</v>
      </c>
      <c r="K14" s="41">
        <f>MROUND(J14*Vendedor11!J$9,50)</f>
        <v>13650</v>
      </c>
      <c r="L14" s="42">
        <f t="shared" si="9"/>
        <v>1100</v>
      </c>
      <c r="M14" s="42">
        <f t="shared" si="10"/>
        <v>93500</v>
      </c>
      <c r="N14" s="42">
        <f>Vendedor11!$F$7+Vendedor11!$F$11+Vendedor11!$F$15</f>
        <v>88000</v>
      </c>
      <c r="P14" s="42">
        <f t="shared" si="11"/>
        <v>-10650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17400</v>
      </c>
      <c r="D16" s="30">
        <f>IF(Vendedor13!$E$7="",0,Vendedor13!$E$7)</f>
        <v>250</v>
      </c>
      <c r="E16" s="180">
        <f>IF(Vendedor13!$C$11="",0,Vendedor13!$C$11)</f>
        <v>29900</v>
      </c>
      <c r="F16" s="30">
        <f>IF(Vendedor13!$E$11="",0,Vendedor13!$E$11)</f>
        <v>1250</v>
      </c>
      <c r="G16" s="180">
        <f>IF(Vendedor13!$C$15="",0,Vendedor13!$C$15)</f>
        <v>44150</v>
      </c>
      <c r="H16" s="30">
        <f>IF(Vendedor13!$E$15="",0,Vendedor13!$E$15)</f>
        <v>250</v>
      </c>
      <c r="J16" s="42">
        <f t="shared" si="8"/>
        <v>91450</v>
      </c>
      <c r="K16" s="41">
        <f>MROUND(J16*Vendedor13!J$11,50)</f>
        <v>10950</v>
      </c>
      <c r="L16" s="42">
        <f t="shared" si="9"/>
        <v>1750</v>
      </c>
      <c r="M16" s="42">
        <f t="shared" si="10"/>
        <v>148750</v>
      </c>
      <c r="N16" s="42">
        <f>Vendedor13!$F$7+Vendedor13!$F$11+Vendedor13!$F$15</f>
        <v>148750</v>
      </c>
      <c r="P16" s="42">
        <f t="shared" si="11"/>
        <v>-68250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98950</v>
      </c>
      <c r="D17" s="30">
        <f>IF(Vendedor14!$E$7="",0,Vendedor14!$E$7)</f>
        <v>1000</v>
      </c>
      <c r="E17" s="180">
        <f>IF(Vendedor14!$C$11="",0,Vendedor14!$C$11)</f>
        <v>79400</v>
      </c>
      <c r="F17" s="30">
        <f>IF(Vendedor14!$E$11="",0,Vendedor14!$E$11)</f>
        <v>1450</v>
      </c>
      <c r="G17" s="180">
        <f>IF(Vendedor14!$C$15="",0,Vendedor14!$C$15)</f>
        <v>198050</v>
      </c>
      <c r="H17" s="30">
        <f>IF(Vendedor14!$E$15="",0,Vendedor14!$E$15)</f>
        <v>3350</v>
      </c>
      <c r="J17" s="42">
        <f t="shared" si="8"/>
        <v>376400</v>
      </c>
      <c r="K17" s="41">
        <f>MROUND(J17*Vendedor14!J$15,50)</f>
        <v>45150</v>
      </c>
      <c r="L17" s="42">
        <f t="shared" si="9"/>
        <v>5800</v>
      </c>
      <c r="M17" s="42">
        <f t="shared" si="10"/>
        <v>493000</v>
      </c>
      <c r="N17" s="42">
        <f>Vendedor14!$F$7+Vendedor14!$F$11+Vendedor14!$F$15</f>
        <v>493000</v>
      </c>
      <c r="P17" s="42">
        <f t="shared" si="11"/>
        <v>-161750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55150</v>
      </c>
      <c r="D18" s="30">
        <f>IF(Vendedor15!$E$7="",0,Vendedor15!$E$7)</f>
        <v>700</v>
      </c>
      <c r="E18" s="180">
        <f>IF(Vendedor15!$C$11="",0,Vendedor15!$C$11)</f>
        <v>36550</v>
      </c>
      <c r="F18" s="30">
        <f>IF(Vendedor15!$E$11="",0,Vendedor15!$E$11)</f>
        <v>1250</v>
      </c>
      <c r="G18" s="180">
        <f>IF(Vendedor15!$C$15="",0,Vendedor15!$C$15)</f>
        <v>62800</v>
      </c>
      <c r="H18" s="30">
        <f>IF(Vendedor15!$E$15="",0,Vendedor15!$E$15)</f>
        <v>1200</v>
      </c>
      <c r="J18" s="42">
        <f t="shared" ref="J18" si="12">+C18+E18+G18</f>
        <v>154500</v>
      </c>
      <c r="K18" s="41">
        <f>MROUND(J18*Vendedor15!J$15,50)</f>
        <v>18550</v>
      </c>
      <c r="L18" s="42">
        <f t="shared" ref="L18" si="13">+D18+F18+H18</f>
        <v>3150</v>
      </c>
      <c r="M18" s="42">
        <f t="shared" ref="M18" si="14">+L18*85</f>
        <v>267750</v>
      </c>
      <c r="N18" s="42">
        <f>Vendedor15!$F$7+Vendedor15!$F$11+Vendedor15!$F$15</f>
        <v>267750</v>
      </c>
      <c r="P18" s="42">
        <f t="shared" ref="P18" si="15">+J18-K18-N18</f>
        <v>-131800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621000</v>
      </c>
      <c r="D32" s="44">
        <f t="shared" si="16"/>
        <v>8800</v>
      </c>
      <c r="E32" s="43">
        <f t="shared" si="16"/>
        <v>445900</v>
      </c>
      <c r="F32" s="44">
        <f t="shared" si="16"/>
        <v>9400</v>
      </c>
      <c r="G32" s="43">
        <f t="shared" si="16"/>
        <v>858600</v>
      </c>
      <c r="H32" s="44">
        <f t="shared" si="16"/>
        <v>9450</v>
      </c>
      <c r="J32" s="96">
        <f>SUM(J4:J31)</f>
        <v>1925500</v>
      </c>
      <c r="K32" s="45">
        <f>SUM(K7:K31)</f>
        <v>191600</v>
      </c>
      <c r="L32" s="96">
        <f>SUM(L4:L31)</f>
        <v>27650</v>
      </c>
      <c r="M32" s="96">
        <f>SUM(M4:M31)</f>
        <v>2350250</v>
      </c>
      <c r="N32" s="96">
        <f>SUM(N4:N31)</f>
        <v>2344750</v>
      </c>
      <c r="P32" s="80">
        <f>SUM(P4:P31)</f>
        <v>-656500</v>
      </c>
    </row>
    <row r="33" spans="3:13" x14ac:dyDescent="0.35">
      <c r="D33" s="100">
        <f>+D32*85</f>
        <v>748000</v>
      </c>
      <c r="F33" s="100">
        <f>+F32*85</f>
        <v>799000</v>
      </c>
      <c r="H33" s="100">
        <f>+H32*85</f>
        <v>803250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1925500</v>
      </c>
      <c r="E36" s="43">
        <f>+D36-J4-J5-J6</f>
        <v>1574300</v>
      </c>
      <c r="G36" s="102"/>
    </row>
    <row r="37" spans="3:13" x14ac:dyDescent="0.35">
      <c r="C37" s="47" t="s">
        <v>33</v>
      </c>
      <c r="D37" s="48">
        <f>D36*13%</f>
        <v>250315</v>
      </c>
      <c r="E37">
        <f>+D37-K4-K5-K6</f>
        <v>204665</v>
      </c>
      <c r="G37" s="101"/>
      <c r="H37" s="101"/>
    </row>
    <row r="38" spans="3:13" ht="15" thickBot="1" x14ac:dyDescent="0.4">
      <c r="C38" s="47" t="s">
        <v>30</v>
      </c>
      <c r="D38" s="30">
        <f>M32</f>
        <v>2350250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-675065</v>
      </c>
      <c r="F39" s="99">
        <f>+P32-D39</f>
        <v>18565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-675065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66</v>
      </c>
      <c r="D2" s="268"/>
      <c r="E2" s="267">
        <f>DigitaNICA!E2</f>
        <v>35</v>
      </c>
      <c r="F2" s="268"/>
      <c r="G2" s="267">
        <f>DigitaNICA!G2</f>
        <v>59</v>
      </c>
      <c r="H2" s="268"/>
      <c r="I2" s="267">
        <f>DigitaNICA!I2</f>
        <v>61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16800</v>
      </c>
      <c r="D4" s="79">
        <f>IF(Vendedor1!$E$5="",0,Vendedor1!$E$5)</f>
        <v>200</v>
      </c>
      <c r="E4" s="189">
        <f>IF(Vendedor1!$C$9="",0,Vendedor1!$C$9)</f>
        <v>3900</v>
      </c>
      <c r="F4" s="79">
        <f>IF(Vendedor1!$E$9="",0,Vendedor1!$E$9)</f>
        <v>0</v>
      </c>
      <c r="G4" s="189">
        <f>IF(Vendedor1!$C$13="",0,Vendedor1!$C$13)</f>
        <v>4000</v>
      </c>
      <c r="H4" s="79">
        <f>IF(Vendedor1!$E$13="",0,Vendedor1!$E$13)</f>
        <v>0</v>
      </c>
      <c r="I4" s="189">
        <f>IF(Vendedor1!$C$17="",0,Vendedor1!$C$17)</f>
        <v>4600</v>
      </c>
      <c r="J4" s="79">
        <f>IF(Vendedor1!$E$17="",0,Vendedor1!$E$17)</f>
        <v>0</v>
      </c>
      <c r="L4" s="42">
        <f t="shared" ref="L4:L7" si="0">C4+E4+G4+I4</f>
        <v>29300</v>
      </c>
      <c r="M4" s="41">
        <f>MROUND(L4*Vendedor1!J$10,50)</f>
        <v>3800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8500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18800</v>
      </c>
      <c r="D5" s="30">
        <f>IF(Vendedor2!$E$5="",0,Vendedor2!$E$5)</f>
        <v>0</v>
      </c>
      <c r="E5" s="180">
        <f>IF(Vendedor2!$C$9="",0,Vendedor2!$C$9)</f>
        <v>5400</v>
      </c>
      <c r="F5" s="30">
        <f>IF(Vendedor2!$E$9="",0,Vendedor2!$E$9)</f>
        <v>0</v>
      </c>
      <c r="G5" s="180">
        <f>IF(Vendedor2!$C$13="",0,Vendedor2!$C$13)</f>
        <v>6700</v>
      </c>
      <c r="H5" s="30">
        <f>IF(Vendedor2!$E$13="",0,Vendedor2!$E$13)</f>
        <v>0</v>
      </c>
      <c r="I5" s="180">
        <f>IF(Vendedor2!$C$17="",0,Vendedor2!$C$17)</f>
        <v>2000</v>
      </c>
      <c r="J5" s="30">
        <f>IF(Vendedor2!$E$17="",0,Vendedor2!$E$17)</f>
        <v>0</v>
      </c>
      <c r="L5" s="42">
        <f t="shared" si="0"/>
        <v>32900</v>
      </c>
      <c r="M5" s="41">
        <f>MROUND(L5*Vendedor2!J$10,50)</f>
        <v>4300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28600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87350</v>
      </c>
      <c r="D8" s="30">
        <f>IF(Vendedor5!$E$5="",0,Vendedor5!$E$5)</f>
        <v>750</v>
      </c>
      <c r="E8" s="180">
        <f>IF(Vendedor5!$C$9="",0,Vendedor5!$C$9)</f>
        <v>54400</v>
      </c>
      <c r="F8" s="30">
        <f>IF(Vendedor5!$E$9="",0,Vendedor5!$E$9)</f>
        <v>0</v>
      </c>
      <c r="G8" s="180">
        <f>IF(Vendedor5!$C$13="",0,Vendedor5!$C$13)</f>
        <v>5200</v>
      </c>
      <c r="H8" s="30">
        <f>IF(Vendedor5!$E$13="",0,Vendedor5!$E$13)</f>
        <v>250</v>
      </c>
      <c r="I8" s="180">
        <f>IF(Vendedor5!$C$17="",0,Vendedor5!$C$17)</f>
        <v>7700</v>
      </c>
      <c r="J8" s="30">
        <f>IF(Vendedor5!$E$17="",0,Vendedor5!$E$17)</f>
        <v>0</v>
      </c>
      <c r="L8" s="42">
        <f t="shared" ref="L8" si="4">C8+E8+G8+I8</f>
        <v>154650</v>
      </c>
      <c r="M8" s="41">
        <f>MROUND(L8*Vendedor5!J$12,50)</f>
        <v>18550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51100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90300</v>
      </c>
      <c r="D10" s="30">
        <f>IF(Vendedor7!$E$5="",0,Vendedor7!$E$5)</f>
        <v>900</v>
      </c>
      <c r="E10" s="180">
        <f>IF(Vendedor7!$C$9="",0,Vendedor7!$C$9)</f>
        <v>122850</v>
      </c>
      <c r="F10" s="30">
        <f>IF(Vendedor7!$E$9="",0,Vendedor7!$E$9)</f>
        <v>1950</v>
      </c>
      <c r="G10" s="180">
        <f>IF(Vendedor7!$C$13="",0,Vendedor7!$C$13)</f>
        <v>76950</v>
      </c>
      <c r="H10" s="30">
        <f>IF(Vendedor7!$E$13="",0,Vendedor7!$E$13)</f>
        <v>0</v>
      </c>
      <c r="I10" s="180">
        <f>IF(Vendedor7!$C$17="",0,Vendedor7!$C$17)</f>
        <v>118400</v>
      </c>
      <c r="J10" s="30">
        <f>IF(Vendedor7!$E$17="",0,Vendedor7!$E$17)</f>
        <v>300</v>
      </c>
      <c r="L10" s="42">
        <f t="shared" si="7"/>
        <v>408500</v>
      </c>
      <c r="M10" s="41">
        <f>MROUND(L10*Vendedor7!J$15,50)</f>
        <v>49000</v>
      </c>
      <c r="N10" s="42">
        <f t="shared" ref="N10:N27" si="9">D10+F10+H10+J10</f>
        <v>3150</v>
      </c>
      <c r="O10" s="41">
        <f t="shared" si="3"/>
        <v>267750</v>
      </c>
      <c r="P10" s="42">
        <f>Vendedor7!$F$5+Vendedor7!$F$9+Vendedor7!$F$13+Vendedor7!$F$17</f>
        <v>267750</v>
      </c>
      <c r="R10" s="41">
        <f t="shared" si="8"/>
        <v>91750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19600</v>
      </c>
      <c r="D12" s="30">
        <f>IF(Vendedor9!$E$5="",0,Vendedor9!$E$5)</f>
        <v>150</v>
      </c>
      <c r="E12" s="180">
        <f>IF(Vendedor9!$C$9="",0,Vendedor9!$C$9)</f>
        <v>9600</v>
      </c>
      <c r="F12" s="30">
        <f>IF(Vendedor9!$E$9="",0,Vendedor9!$E$9)</f>
        <v>1000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29200</v>
      </c>
      <c r="M12" s="41">
        <f>MROUND(L12*Vendedor9!J$12,50)</f>
        <v>3500</v>
      </c>
      <c r="N12" s="42">
        <f t="shared" si="9"/>
        <v>1150</v>
      </c>
      <c r="O12" s="41">
        <f t="shared" si="3"/>
        <v>97750</v>
      </c>
      <c r="P12" s="42">
        <f>Vendedor9!$F$5+Vendedor9!$F$9+Vendedor9!$F$13+Vendedor9!$F$17</f>
        <v>97750</v>
      </c>
      <c r="R12" s="41">
        <f t="shared" si="8"/>
        <v>-72050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35850</v>
      </c>
      <c r="D13" s="30">
        <f>IF(Vendedor10!$E$5="",0,Vendedor10!$E$5)</f>
        <v>250</v>
      </c>
      <c r="E13" s="180">
        <f>IF(Vendedor10!$C$9="",0,Vendedor10!$C$9)</f>
        <v>11650</v>
      </c>
      <c r="F13" s="30">
        <f>IF(Vendedor10!$E$9="",0,Vendedor10!$E$9)</f>
        <v>0</v>
      </c>
      <c r="G13" s="180">
        <f>IF(Vendedor10!$C$13="",0,Vendedor10!$C$13)</f>
        <v>2300</v>
      </c>
      <c r="H13" s="30">
        <f>IF(Vendedor10!$E$13="",0,Vendedor10!$E$13)</f>
        <v>0</v>
      </c>
      <c r="I13" s="180">
        <f>IF(Vendedor10!$C$17="",0,Vendedor10!$C$17)</f>
        <v>4300</v>
      </c>
      <c r="J13" s="30">
        <f>IF(Vendedor10!$E$17="",0,Vendedor10!$E$17)</f>
        <v>0</v>
      </c>
      <c r="L13" s="42">
        <f t="shared" si="7"/>
        <v>54100</v>
      </c>
      <c r="M13" s="41">
        <f>MROUND(L13*Vendedor10!J$10,50)</f>
        <v>6500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26350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4600</v>
      </c>
      <c r="D16" s="30">
        <f>IF(Vendedor13!$E$5="",0,Vendedor13!$E$5)</f>
        <v>200</v>
      </c>
      <c r="E16" s="180">
        <f>IF(Vendedor13!$C$9="",0,Vendedor13!$C$9)</f>
        <v>8600</v>
      </c>
      <c r="F16" s="30">
        <f>IF(Vendedor13!$E$9="",0,Vendedor13!$E$9)</f>
        <v>250</v>
      </c>
      <c r="G16" s="180">
        <f>IF(Vendedor13!$C$13="",0,Vendedor13!$C$13)</f>
        <v>5900</v>
      </c>
      <c r="H16" s="30">
        <f>IF(Vendedor13!$E$13="",0,Vendedor13!$E$13)</f>
        <v>0</v>
      </c>
      <c r="I16" s="180">
        <f>IF(Vendedor13!$C$17="",0,Vendedor13!$C$17)</f>
        <v>21950</v>
      </c>
      <c r="J16" s="30">
        <f>IF(Vendedor13!$E$17="",0,Vendedor13!$E$17)</f>
        <v>200</v>
      </c>
      <c r="L16" s="42">
        <f t="shared" si="7"/>
        <v>41050</v>
      </c>
      <c r="M16" s="41">
        <f>MROUND(L16*Vendedor13!J$12,50)</f>
        <v>4950</v>
      </c>
      <c r="N16" s="42">
        <f t="shared" si="9"/>
        <v>650</v>
      </c>
      <c r="O16" s="41">
        <f t="shared" si="3"/>
        <v>55250</v>
      </c>
      <c r="P16" s="42">
        <f>Vendedor13!$F$5+Vendedor13!$F$9+Vendedor13!$F$13+Vendedor13!$F$17</f>
        <v>52000</v>
      </c>
      <c r="R16" s="41">
        <f t="shared" si="8"/>
        <v>-19150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101150</v>
      </c>
      <c r="D17" s="30">
        <f>IF(Vendedor14!$E$5="",0,Vendedor14!$E$5)</f>
        <v>150</v>
      </c>
      <c r="E17" s="180">
        <f>IF(Vendedor14!$C$9="",0,Vendedor14!$C$9)</f>
        <v>76150</v>
      </c>
      <c r="F17" s="30">
        <f>IF(Vendedor14!$E$9="",0,Vendedor14!$E$9)</f>
        <v>200</v>
      </c>
      <c r="G17" s="180">
        <f>IF(Vendedor14!$C$13="",0,Vendedor14!$C$13)</f>
        <v>68550</v>
      </c>
      <c r="H17" s="30">
        <f>IF(Vendedor14!$E$13="",0,Vendedor14!$E$13)</f>
        <v>400</v>
      </c>
      <c r="I17" s="180">
        <f>IF(Vendedor14!$C$17="",0,Vendedor14!$C$17)</f>
        <v>112800</v>
      </c>
      <c r="J17" s="30">
        <f>IF(Vendedor14!$E$17="",0,Vendedor14!$E$17)</f>
        <v>700</v>
      </c>
      <c r="L17" s="42">
        <f>C17+E17+G17+I17</f>
        <v>358650</v>
      </c>
      <c r="M17" s="41">
        <f>MROUND(L17*Vendedor14!J$16,50)</f>
        <v>43050</v>
      </c>
      <c r="N17" s="42">
        <f t="shared" si="9"/>
        <v>1450</v>
      </c>
      <c r="O17" s="41">
        <f t="shared" si="3"/>
        <v>123250</v>
      </c>
      <c r="P17" s="42">
        <f>Vendedor14!$F$5+Vendedor14!$F$9+Vendedor14!$F$13+Vendedor14!$F$17</f>
        <v>123250</v>
      </c>
      <c r="R17" s="41">
        <f t="shared" si="8"/>
        <v>192350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77100</v>
      </c>
      <c r="D18" s="30">
        <f>IF(Vendedor15!$E$5="",0,Vendedor15!$E$5)</f>
        <v>450</v>
      </c>
      <c r="E18" s="180">
        <f>IF(Vendedor15!$C$9="",0,Vendedor15!$C$9)</f>
        <v>45700</v>
      </c>
      <c r="F18" s="30">
        <f>IF(Vendedor15!$E$9="",0,Vendedor15!$E$9)</f>
        <v>300</v>
      </c>
      <c r="G18" s="180">
        <f>IF(Vendedor15!$C$13="",0,Vendedor15!$C$13)</f>
        <v>49400</v>
      </c>
      <c r="H18" s="30">
        <f>IF(Vendedor15!$E$13="",0,Vendedor15!$E$13)</f>
        <v>1100</v>
      </c>
      <c r="I18" s="180">
        <f>IF(Vendedor15!$C$17="",0,Vendedor15!$C$17)</f>
        <v>600</v>
      </c>
      <c r="J18" s="30">
        <f>IF(Vendedor15!$E$17="",0,Vendedor15!$E$17)</f>
        <v>0</v>
      </c>
      <c r="L18" s="42">
        <f t="shared" ref="L18:L27" si="10">C18+E18+G18+I18</f>
        <v>172800</v>
      </c>
      <c r="M18" s="41">
        <f>MROUND(L18*Vendedor15!J$16,50)</f>
        <v>20750</v>
      </c>
      <c r="N18" s="42">
        <f t="shared" si="9"/>
        <v>1850</v>
      </c>
      <c r="O18" s="41">
        <f t="shared" si="3"/>
        <v>157250</v>
      </c>
      <c r="P18" s="42">
        <f>Vendedor15!$F$5+Vendedor15!$F$9+Vendedor15!$F$13+Vendedor15!$F$17</f>
        <v>157250</v>
      </c>
      <c r="R18" s="41">
        <f t="shared" si="8"/>
        <v>-5200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451550</v>
      </c>
      <c r="D32" s="44">
        <f t="shared" si="14"/>
        <v>3050</v>
      </c>
      <c r="E32" s="43">
        <f t="shared" si="14"/>
        <v>338250</v>
      </c>
      <c r="F32" s="44">
        <f t="shared" si="14"/>
        <v>3700</v>
      </c>
      <c r="G32" s="43">
        <f t="shared" si="14"/>
        <v>219000</v>
      </c>
      <c r="H32" s="44">
        <f t="shared" si="14"/>
        <v>1750</v>
      </c>
      <c r="I32" s="43">
        <f t="shared" si="14"/>
        <v>272350</v>
      </c>
      <c r="J32" s="44">
        <f t="shared" si="14"/>
        <v>1200</v>
      </c>
      <c r="L32" s="45">
        <f>SUM(L4:L31)</f>
        <v>1281150</v>
      </c>
      <c r="M32" s="45">
        <f>SUM(M7:M31)</f>
        <v>146300</v>
      </c>
      <c r="N32" s="96">
        <f>SUM(N4:N31)</f>
        <v>9700</v>
      </c>
      <c r="O32" s="46">
        <f>SUM(O4:O31)</f>
        <v>824500</v>
      </c>
      <c r="P32" s="140">
        <f>SUM(P4:P31)</f>
        <v>814000</v>
      </c>
      <c r="R32" s="80">
        <f>SUM(R4:R31)</f>
        <v>302250</v>
      </c>
    </row>
    <row r="33" spans="3:15" x14ac:dyDescent="0.35">
      <c r="D33" s="121">
        <f>+D32*85</f>
        <v>259250</v>
      </c>
      <c r="F33" s="121">
        <f>+F32*85</f>
        <v>314500</v>
      </c>
      <c r="H33" s="121">
        <f>+H32*85</f>
        <v>148750</v>
      </c>
      <c r="J33" s="121">
        <f>+J32*85</f>
        <v>102000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1281150</v>
      </c>
      <c r="E36" s="43">
        <f>+D36-L4-L5-L6</f>
        <v>1218950</v>
      </c>
    </row>
    <row r="37" spans="3:15" x14ac:dyDescent="0.35">
      <c r="C37" s="47" t="s">
        <v>33</v>
      </c>
      <c r="D37" s="48">
        <f>D36*13%</f>
        <v>166549.5</v>
      </c>
      <c r="E37">
        <f>+D37-M4-M5-M6</f>
        <v>158449.5</v>
      </c>
    </row>
    <row r="38" spans="3:15" x14ac:dyDescent="0.35">
      <c r="C38" s="47" t="s">
        <v>30</v>
      </c>
      <c r="D38" s="30">
        <f>SUM(O4:O27)</f>
        <v>824500</v>
      </c>
      <c r="G38" s="101"/>
    </row>
    <row r="39" spans="3:15" ht="15" thickBot="1" x14ac:dyDescent="0.4">
      <c r="C39" s="49" t="s">
        <v>4</v>
      </c>
      <c r="D39" s="81">
        <f>+D36-D37-D38</f>
        <v>290100.5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290100.5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13 Blanca</v>
      </c>
      <c r="D2" s="268"/>
      <c r="E2" s="267" t="str">
        <f>IF(E33=0,"",CONCATENATE(PREMIOS!$B11," ",PREMIOS!$B12))</f>
        <v>22 Blanca</v>
      </c>
      <c r="F2" s="268"/>
      <c r="G2" s="267" t="str">
        <f>IF(G33=0,"",CONCATENATE(PREMIOS!$B15," ",PREMIOS!$B16))</f>
        <v>14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30250</v>
      </c>
      <c r="D10" s="30">
        <f>IF(Vendedor7!$E$8="",0,Vendedor7!$E$8)</f>
        <v>250</v>
      </c>
      <c r="E10" s="180">
        <f>IF(Vendedor7!$C$12="",0,Vendedor7!$C$12)</f>
        <v>19000</v>
      </c>
      <c r="F10" s="30">
        <f>IF(Vendedor7!$E$12="",0,Vendedor7!$E$12)</f>
        <v>100</v>
      </c>
      <c r="G10" s="180">
        <f>IF(Vendedor7!$C$16="",0,Vendedor7!$C$16)</f>
        <v>33150</v>
      </c>
      <c r="H10" s="30">
        <f>IF(Vendedor7!$E$16="",0,Vendedor7!$E$16)</f>
        <v>1200</v>
      </c>
      <c r="J10" s="42">
        <f t="shared" si="1"/>
        <v>82400</v>
      </c>
      <c r="K10" s="41">
        <f>J10*Vendedor7!J$16</f>
        <v>8240</v>
      </c>
      <c r="L10" s="42">
        <f t="shared" si="2"/>
        <v>1200</v>
      </c>
      <c r="M10" s="42">
        <f t="shared" si="3"/>
        <v>1550</v>
      </c>
      <c r="N10" s="42">
        <f t="shared" si="0"/>
        <v>264000</v>
      </c>
      <c r="O10" s="42">
        <f>Vendedor7!$F$8+Vendedor7!$F$12+Vendedor7!$F$16</f>
        <v>240000</v>
      </c>
      <c r="Q10" s="42">
        <f t="shared" si="4"/>
        <v>-165840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4000</v>
      </c>
      <c r="F16" s="30">
        <f>IF(Vendedor13!$E$12="",0,Vendedor13!$E$12)</f>
        <v>0</v>
      </c>
      <c r="G16" s="180">
        <f>IF(Vendedor13!$C$16="",0,Vendedor13!$C$16)</f>
        <v>2000</v>
      </c>
      <c r="H16" s="30">
        <f>IF(Vendedor13!$E$16="",0,Vendedor13!$E$16)</f>
        <v>0</v>
      </c>
      <c r="J16" s="42">
        <f t="shared" si="1"/>
        <v>7500</v>
      </c>
      <c r="K16" s="41">
        <f>J16*Vendedor13!J$13</f>
        <v>750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6750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26700</v>
      </c>
      <c r="D17" s="30">
        <f>IF(Vendedor14!$E$8="",0,Vendedor14!$E$8)</f>
        <v>500</v>
      </c>
      <c r="E17" s="180">
        <f>IF(Vendedor14!$C$12="",0,Vendedor14!$C$12)</f>
        <v>11600</v>
      </c>
      <c r="F17" s="30">
        <f>IF(Vendedor14!$E$12="",0,Vendedor14!$E$12)</f>
        <v>0</v>
      </c>
      <c r="G17" s="180">
        <f>IF(Vendedor14!$C$16="",0,Vendedor14!$C$16)</f>
        <v>27550</v>
      </c>
      <c r="H17" s="30">
        <f>IF(Vendedor14!$E$16="",0,Vendedor14!$E$16)</f>
        <v>100</v>
      </c>
      <c r="J17" s="42">
        <f t="shared" si="1"/>
        <v>65850</v>
      </c>
      <c r="K17" s="41">
        <f>J17*Vendedor14!J$17</f>
        <v>6585</v>
      </c>
      <c r="L17" s="42">
        <f t="shared" si="2"/>
        <v>100</v>
      </c>
      <c r="M17" s="42">
        <f t="shared" si="3"/>
        <v>600</v>
      </c>
      <c r="N17" s="42">
        <f t="shared" si="0"/>
        <v>22000</v>
      </c>
      <c r="O17" s="42">
        <f>Vendedor14!$F$8+Vendedor14!$F$12+Vendedor14!$F$16</f>
        <v>20000</v>
      </c>
      <c r="Q17" s="42">
        <f t="shared" si="4"/>
        <v>39265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25850</v>
      </c>
      <c r="D18" s="30">
        <f>IF(Vendedor15!$E$8="",0,Vendedor15!$E$8)</f>
        <v>500</v>
      </c>
      <c r="E18" s="180">
        <f>IF(Vendedor15!$C$12="",0,Vendedor15!$C$12)</f>
        <v>24000</v>
      </c>
      <c r="F18" s="30">
        <f>IF(Vendedor15!$E$12="",0,Vendedor15!$E$12)</f>
        <v>1000</v>
      </c>
      <c r="G18" s="180">
        <f>IF(Vendedor15!$C$16="",0,Vendedor15!$C$16)</f>
        <v>36300</v>
      </c>
      <c r="H18" s="30">
        <f>IF(Vendedor15!$E$16="",0,Vendedor15!$E$16)</f>
        <v>700</v>
      </c>
      <c r="J18" s="42">
        <f t="shared" ref="J18" si="5">+C18+E18+G18</f>
        <v>86150</v>
      </c>
      <c r="K18" s="41">
        <f>J18*Vendedor15!J$17</f>
        <v>8615</v>
      </c>
      <c r="L18" s="42">
        <f t="shared" si="2"/>
        <v>700</v>
      </c>
      <c r="M18" s="42">
        <f t="shared" si="3"/>
        <v>2200</v>
      </c>
      <c r="N18" s="42">
        <f t="shared" si="0"/>
        <v>154000</v>
      </c>
      <c r="O18" s="42">
        <f>Vendedor15!$F$8+Vendedor15!$F$12+Vendedor15!$F$16</f>
        <v>140000</v>
      </c>
      <c r="Q18" s="42">
        <f t="shared" si="4"/>
        <v>-62465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84300</v>
      </c>
      <c r="D33" s="44">
        <f>IF(PREMIOS!E8&lt;&gt;0,SUM(D4:D32),0)</f>
        <v>0</v>
      </c>
      <c r="E33" s="43">
        <f>SUM(E4:E32)</f>
        <v>58600</v>
      </c>
      <c r="F33" s="44">
        <f>IF(PREMIOS!E12&lt;&gt;0,SUM(F4:F32),0)</f>
        <v>0</v>
      </c>
      <c r="G33" s="43">
        <f>SUM(G4:G32)</f>
        <v>100000</v>
      </c>
      <c r="H33" s="44">
        <f>IF(PREMIOS!E16&lt;&gt;0,SUM(H4:H32),0)</f>
        <v>2000</v>
      </c>
      <c r="J33" s="45">
        <f>SUM(J4:J32)</f>
        <v>242900</v>
      </c>
      <c r="K33" s="45">
        <f>SUM(K7:K32)</f>
        <v>24290</v>
      </c>
      <c r="L33" s="96">
        <f>SUM(L7:L32)</f>
        <v>2000</v>
      </c>
      <c r="M33" s="96">
        <f>SUM(M7:M32)</f>
        <v>4350</v>
      </c>
      <c r="N33" s="96">
        <f>SUM(N4:N27)</f>
        <v>440000</v>
      </c>
      <c r="O33" s="96">
        <f>SUM(O4:O27)</f>
        <v>400000</v>
      </c>
      <c r="Q33" s="80">
        <f>SUM(Q4:Q32)</f>
        <v>-181390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440000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242900</v>
      </c>
      <c r="E37" s="43">
        <f>+D37-J4-J5-J6</f>
        <v>242900</v>
      </c>
      <c r="F37" s="275"/>
      <c r="G37" s="275"/>
    </row>
    <row r="38" spans="3:17" ht="15" thickBot="1" x14ac:dyDescent="0.4">
      <c r="C38" s="47" t="s">
        <v>33</v>
      </c>
      <c r="D38" s="30">
        <f>D37*10%</f>
        <v>24290</v>
      </c>
      <c r="E38" s="43">
        <f>+D38-K4-K5-K6</f>
        <v>24290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440000</v>
      </c>
    </row>
    <row r="40" spans="3:17" ht="15" thickBot="1" x14ac:dyDescent="0.4">
      <c r="C40" s="49" t="s">
        <v>4</v>
      </c>
      <c r="D40" s="81">
        <f>+D37-D38-D39</f>
        <v>-221390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-221390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17</v>
      </c>
      <c r="D2" s="268"/>
      <c r="E2" s="267">
        <f>DigitaPRIMERA!E2</f>
        <v>35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3200</v>
      </c>
      <c r="D4" s="79">
        <f>IF(Vendedor1!$E$19="",0,Vendedor1!$E$19)</f>
        <v>0</v>
      </c>
      <c r="E4" s="189">
        <f>IF(Vendedor1!$C$20="",0,Vendedor1!$C$20)</f>
        <v>1500</v>
      </c>
      <c r="F4" s="79">
        <f>IF(Vendedor1!$E$20="",0,Vendedor1!$E$20)</f>
        <v>0</v>
      </c>
      <c r="H4" s="42">
        <f>+C4+E4</f>
        <v>4700</v>
      </c>
      <c r="I4" s="41">
        <f>MROUND(H4*Vendedor1!J$9,50)</f>
        <v>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30950</v>
      </c>
      <c r="D8" s="30">
        <f>IF(Vendedor5!$E$19="",0,Vendedor5!$E$19)</f>
        <v>500</v>
      </c>
      <c r="E8" s="180">
        <f>IF(Vendedor5!$C$20="",0,Vendedor5!$C$20)</f>
        <v>17300</v>
      </c>
      <c r="F8" s="30">
        <f>IF(Vendedor5!$E$20="",0,Vendedor5!$E$20)</f>
        <v>150</v>
      </c>
      <c r="H8" s="134">
        <f t="shared" si="1"/>
        <v>48250</v>
      </c>
      <c r="I8" s="148">
        <f>MROUND(H8*Vendedor5!J$11,50)</f>
        <v>5800</v>
      </c>
      <c r="J8" s="134">
        <f t="shared" si="2"/>
        <v>650</v>
      </c>
      <c r="K8" s="134">
        <f t="shared" si="3"/>
        <v>55250</v>
      </c>
      <c r="L8" s="134">
        <f>Vendedor5!$F$19+Vendedor5!$F$20</f>
        <v>52000</v>
      </c>
      <c r="M8" s="155"/>
      <c r="N8" s="134">
        <f t="shared" si="0"/>
        <v>-9550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34800</v>
      </c>
      <c r="D10" s="30">
        <f>IF(Vendedor7!$E$19="",0,Vendedor7!$E$19)</f>
        <v>0</v>
      </c>
      <c r="E10" s="180">
        <f>IF(Vendedor7!$C$20="",0,Vendedor7!$C$20)</f>
        <v>46250</v>
      </c>
      <c r="F10" s="30">
        <f>IF(Vendedor7!$E$20="",0,Vendedor7!$E$20)</f>
        <v>400</v>
      </c>
      <c r="H10" s="42">
        <f t="shared" si="1"/>
        <v>81050</v>
      </c>
      <c r="I10" s="41">
        <f>MROUND(H10*Vendedor7!J$14,50)</f>
        <v>9750</v>
      </c>
      <c r="J10" s="42">
        <f t="shared" si="2"/>
        <v>400</v>
      </c>
      <c r="K10" s="42">
        <f t="shared" si="3"/>
        <v>34000</v>
      </c>
      <c r="L10" s="42">
        <f>Vendedor7!$F$19+Vendedor7!$F$20</f>
        <v>34000</v>
      </c>
      <c r="N10" s="42">
        <f t="shared" si="0"/>
        <v>37300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16550</v>
      </c>
      <c r="D12" s="30">
        <f>IF(Vendedor9!$E$19="",0,Vendedor9!$E$19)</f>
        <v>150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16550</v>
      </c>
      <c r="I12" s="148">
        <f>MROUND(H12*Vendedor9!J$11,50)</f>
        <v>2000</v>
      </c>
      <c r="J12" s="134">
        <f t="shared" si="2"/>
        <v>150</v>
      </c>
      <c r="K12" s="134">
        <f t="shared" si="3"/>
        <v>12750</v>
      </c>
      <c r="L12" s="134">
        <f>Vendedor9!$F$19+Vendedor9!$F$20</f>
        <v>12750</v>
      </c>
      <c r="M12" s="155"/>
      <c r="N12" s="134">
        <f t="shared" si="0"/>
        <v>1800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8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55600</v>
      </c>
      <c r="D17" s="30">
        <f>IF(Vendedor14!$E$19="",0,Vendedor14!$E$19)</f>
        <v>750</v>
      </c>
      <c r="E17" s="180">
        <f>IF(Vendedor14!$C$20="",0,Vendedor14!$C$20)</f>
        <v>45350</v>
      </c>
      <c r="F17" s="30">
        <f>IF(Vendedor14!$E$20="",0,Vendedor14!$E$20)</f>
        <v>300</v>
      </c>
      <c r="H17" s="42">
        <f t="shared" si="1"/>
        <v>100950</v>
      </c>
      <c r="I17" s="41">
        <f>MROUND(H17*Vendedor14!J$15,50)</f>
        <v>12100</v>
      </c>
      <c r="J17" s="42">
        <f t="shared" si="2"/>
        <v>1050</v>
      </c>
      <c r="K17" s="42">
        <f t="shared" si="3"/>
        <v>89250</v>
      </c>
      <c r="L17" s="42">
        <f>Vendedor14!$F$19+Vendedor14!$F$20</f>
        <v>89250</v>
      </c>
      <c r="N17" s="42">
        <f t="shared" si="0"/>
        <v>-400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71150</v>
      </c>
      <c r="D18" s="30">
        <f>IF(Vendedor15!$E$19="",0,Vendedor15!$E$19)</f>
        <v>700</v>
      </c>
      <c r="E18" s="180">
        <f>IF(Vendedor15!$C$20="",0,Vendedor15!$C$20)</f>
        <v>55450</v>
      </c>
      <c r="F18" s="30">
        <f>IF(Vendedor15!$E$20="",0,Vendedor15!$E$20)</f>
        <v>100</v>
      </c>
      <c r="H18" s="42">
        <f t="shared" si="1"/>
        <v>126600</v>
      </c>
      <c r="I18" s="41">
        <f>MROUND(H18*Vendedor15!J$15,50)</f>
        <v>15200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43400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212450</v>
      </c>
      <c r="D32" s="44">
        <f>SUM(D4:D31)</f>
        <v>2100</v>
      </c>
      <c r="E32" s="43">
        <f>SUM(E4:E31)</f>
        <v>165850</v>
      </c>
      <c r="F32" s="44">
        <f>SUM(F4:F31)</f>
        <v>950</v>
      </c>
      <c r="H32" s="96">
        <f>SUM(H4:H31)</f>
        <v>378300</v>
      </c>
      <c r="I32" s="45">
        <f>SUM(I7:I31)</f>
        <v>44850</v>
      </c>
      <c r="J32" s="96"/>
      <c r="K32" s="96">
        <f>SUM(K4:K31)</f>
        <v>259250</v>
      </c>
      <c r="L32" s="96">
        <f>SUM(L4:L31)</f>
        <v>256000</v>
      </c>
      <c r="N32" s="80">
        <f>SUM(N4:N31)</f>
        <v>76800</v>
      </c>
    </row>
    <row r="33" spans="3:6" x14ac:dyDescent="0.35">
      <c r="D33" s="100">
        <f>+D32*85</f>
        <v>178500</v>
      </c>
      <c r="F33" s="100">
        <f>+F32*85</f>
        <v>80750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378300</v>
      </c>
      <c r="E36" s="43">
        <f>+D36-H4-H5-H6</f>
        <v>373400</v>
      </c>
    </row>
    <row r="37" spans="3:6" x14ac:dyDescent="0.35">
      <c r="C37" s="47" t="s">
        <v>33</v>
      </c>
      <c r="D37" s="48">
        <f>D36*13%</f>
        <v>49179</v>
      </c>
      <c r="E37">
        <f>+D37-I4-I5-I6</f>
        <v>48529</v>
      </c>
    </row>
    <row r="38" spans="3:6" ht="15" thickBot="1" x14ac:dyDescent="0.4">
      <c r="C38" s="47" t="s">
        <v>30</v>
      </c>
      <c r="D38" s="30">
        <f>SUM(K4:K27)</f>
        <v>259250</v>
      </c>
    </row>
    <row r="39" spans="3:6" ht="15" thickBot="1" x14ac:dyDescent="0.4">
      <c r="C39" s="49" t="s">
        <v>4</v>
      </c>
      <c r="D39" s="81">
        <f>+D36-D37-D38</f>
        <v>69871</v>
      </c>
      <c r="F39" s="99">
        <f>+N32-D39</f>
        <v>6929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69871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75</v>
      </c>
      <c r="D2" s="268"/>
      <c r="E2" s="267">
        <f>DigitaHONDURAS!E2</f>
        <v>41</v>
      </c>
      <c r="F2" s="268"/>
      <c r="G2" s="267">
        <f>DigitaHONDURAS!G2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2600</v>
      </c>
      <c r="D10" s="30">
        <f>IF(Vendedor7!$E$21="",0,Vendedor7!$E$21)</f>
        <v>0</v>
      </c>
      <c r="E10" s="180">
        <f>IF(Vendedor7!$C$22="",0,Vendedor7!$C$22)</f>
        <v>10500</v>
      </c>
      <c r="F10" s="30">
        <f>IF(Vendedor7!$E$22="",0,Vendedor7!$E$22)</f>
        <v>0</v>
      </c>
      <c r="G10" s="180">
        <f>IF(Vendedor7!$C$23="",0,Vendedor7!$C$23)</f>
        <v>20150</v>
      </c>
      <c r="H10" s="30">
        <f>IF(Vendedor7!$E$23="",0,Vendedor7!$E$23)</f>
        <v>0</v>
      </c>
      <c r="J10" s="42">
        <f t="shared" si="0"/>
        <v>33250</v>
      </c>
      <c r="K10" s="41">
        <f>MROUND(J10*Vendedor7!J$14,50)</f>
        <v>4000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29250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2200</v>
      </c>
      <c r="D16" s="30">
        <f>IF(Vendedor13!$E$21="",0,Vendedor13!$E$21)</f>
        <v>200</v>
      </c>
      <c r="E16" s="180">
        <f>IF(Vendedor13!$C$22="",0,Vendedor13!$C$22)</f>
        <v>1200</v>
      </c>
      <c r="F16" s="30">
        <f>IF(Vendedor13!$E$22="",0,Vendedor13!$E$22)</f>
        <v>0</v>
      </c>
      <c r="G16" s="180">
        <f>IF(Vendedor13!$C$23="",0,Vendedor13!$C$23)</f>
        <v>1500</v>
      </c>
      <c r="H16" s="30">
        <f>IF(Vendedor13!$E$23="",0,Vendedor13!$E$23)</f>
        <v>0</v>
      </c>
      <c r="J16" s="134">
        <f t="shared" si="0"/>
        <v>4900</v>
      </c>
      <c r="K16" s="148">
        <f>MROUND(J16*Vendedor13!J$11,50)</f>
        <v>600</v>
      </c>
      <c r="L16" s="134">
        <f t="shared" si="1"/>
        <v>200</v>
      </c>
      <c r="M16" s="134">
        <f t="shared" si="3"/>
        <v>17000</v>
      </c>
      <c r="N16" s="134"/>
      <c r="P16" s="42">
        <f t="shared" si="2"/>
        <v>4300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37750</v>
      </c>
      <c r="D17" s="30">
        <f>IF(Vendedor14!$E$21="",0,Vendedor14!$E$21)</f>
        <v>0</v>
      </c>
      <c r="E17" s="180">
        <f>IF(Vendedor14!$C$22="",0,Vendedor14!$C$22)</f>
        <v>900</v>
      </c>
      <c r="F17" s="30">
        <f>IF(Vendedor14!$E$22="",0,Vendedor14!$E$22)</f>
        <v>0</v>
      </c>
      <c r="G17" s="180">
        <f>IF(Vendedor14!$C$23="",0,Vendedor14!$C$23)</f>
        <v>18450</v>
      </c>
      <c r="H17" s="30">
        <f>IF(Vendedor14!$E$23="",0,Vendedor14!$E$23)</f>
        <v>0</v>
      </c>
      <c r="J17" s="42">
        <f t="shared" si="0"/>
        <v>57100</v>
      </c>
      <c r="K17" s="41">
        <f>MROUND(J17*Vendedor14!J$15,50)</f>
        <v>6850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50250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24950</v>
      </c>
      <c r="D18" s="30">
        <f>IF(Vendedor15!$E$21="",0,Vendedor15!$E$21)</f>
        <v>200</v>
      </c>
      <c r="E18" s="180">
        <f>IF(Vendedor15!$C$22="",0,Vendedor15!$C$22)</f>
        <v>4500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29450</v>
      </c>
      <c r="K18" s="41">
        <f>MROUND(J18*Vendedor15!J$15,50)</f>
        <v>3550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8900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-2200</v>
      </c>
      <c r="D27" s="50">
        <f>IF(Vendedor24!$E$21="",0,Vendedor24!$E$21)</f>
        <v>-200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-1500</v>
      </c>
      <c r="H27" s="50">
        <f>IF(Vendedor24!$E$23="",0,Vendedor24!$E$23)</f>
        <v>0</v>
      </c>
      <c r="J27" s="42">
        <f t="shared" si="0"/>
        <v>-3700</v>
      </c>
      <c r="K27" s="41">
        <f>IF(J27*Vendedor24!J$9&gt;0,MROUND(J27*Vendedor24!J$9,50),MROUND(J27*Vendedor24!J$9,-50))</f>
        <v>-450</v>
      </c>
      <c r="L27" s="42">
        <f t="shared" si="1"/>
        <v>-200</v>
      </c>
      <c r="M27" s="42">
        <f t="shared" si="3"/>
        <v>-17000</v>
      </c>
      <c r="N27" s="42">
        <f>Vendedor24!$F$21+Vendedor24!$F$22+Vendedor24!$F$23</f>
        <v>-17000</v>
      </c>
      <c r="P27" s="42">
        <f t="shared" si="2"/>
        <v>13750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65300</v>
      </c>
      <c r="D32" s="44">
        <f t="shared" si="8"/>
        <v>200</v>
      </c>
      <c r="E32" s="43">
        <f t="shared" si="8"/>
        <v>17100</v>
      </c>
      <c r="F32" s="44">
        <f t="shared" si="8"/>
        <v>0</v>
      </c>
      <c r="G32" s="43">
        <f t="shared" si="8"/>
        <v>38600</v>
      </c>
      <c r="H32" s="44">
        <f t="shared" si="8"/>
        <v>0</v>
      </c>
      <c r="J32" s="96">
        <f>SUM(J4:J31)</f>
        <v>121000</v>
      </c>
      <c r="K32" s="45">
        <f>SUM(K7:K31)</f>
        <v>14550</v>
      </c>
      <c r="L32" s="96"/>
      <c r="M32" s="96">
        <f>SUM(M4:M31)</f>
        <v>17000</v>
      </c>
      <c r="N32" s="96">
        <f>SUM(N4:N31)</f>
        <v>0</v>
      </c>
      <c r="P32" s="80">
        <f>SUM(P4:P31)</f>
        <v>106450</v>
      </c>
    </row>
    <row r="33" spans="3:8" x14ac:dyDescent="0.35">
      <c r="D33" s="100">
        <f>+D32*85</f>
        <v>17000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121000</v>
      </c>
      <c r="E36" s="43">
        <f>+D36-J4-J5-J6</f>
        <v>121000</v>
      </c>
    </row>
    <row r="37" spans="3:8" x14ac:dyDescent="0.35">
      <c r="C37" s="47" t="s">
        <v>33</v>
      </c>
      <c r="D37" s="48">
        <f>D36*13%</f>
        <v>15730</v>
      </c>
      <c r="E37">
        <f>+D37-K4-K5-K6</f>
        <v>15730</v>
      </c>
    </row>
    <row r="38" spans="3:8" ht="15" thickBot="1" x14ac:dyDescent="0.4">
      <c r="C38" s="47" t="s">
        <v>30</v>
      </c>
      <c r="D38" s="30">
        <f>SUM(M4:M27)</f>
        <v>17000</v>
      </c>
      <c r="G38" s="101"/>
    </row>
    <row r="39" spans="3:8" ht="15" thickBot="1" x14ac:dyDescent="0.4">
      <c r="C39" s="49" t="s">
        <v>4</v>
      </c>
      <c r="D39" s="81">
        <f>+D36-D37-D38</f>
        <v>88270</v>
      </c>
      <c r="F39" s="99">
        <f>+P32-D39</f>
        <v>18180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88270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07</v>
      </c>
      <c r="D2" s="268"/>
      <c r="E2" s="267" t="str">
        <f>DigitaDOMINICANA!E2</f>
        <v>05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17000</v>
      </c>
      <c r="F10" s="30">
        <f>IF(Vendedor7!$E$25="",0,Vendedor7!$E$25)</f>
        <v>0</v>
      </c>
      <c r="H10" s="42">
        <f t="shared" si="1"/>
        <v>17000</v>
      </c>
      <c r="I10" s="41">
        <f>MROUND(H10*Vendedor7!J$14,50)</f>
        <v>2050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14950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17000</v>
      </c>
      <c r="F32" s="44">
        <f>SUM(F4:F31)</f>
        <v>0</v>
      </c>
      <c r="H32" s="96">
        <f>SUM(H4:H31)</f>
        <v>17000</v>
      </c>
      <c r="I32" s="45">
        <f>SUM(I7:I31)</f>
        <v>2050</v>
      </c>
      <c r="J32" s="96"/>
      <c r="K32" s="96">
        <f>SUM(K4:K31)</f>
        <v>0</v>
      </c>
      <c r="L32" s="96">
        <f>SUM(L4:L31)</f>
        <v>0</v>
      </c>
      <c r="N32" s="80">
        <f>SUM(N4:N31)</f>
        <v>14950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17000</v>
      </c>
      <c r="E36" s="43">
        <f>+D36-H4-H5-H6</f>
        <v>17000</v>
      </c>
    </row>
    <row r="37" spans="3:6" x14ac:dyDescent="0.35">
      <c r="C37" s="47" t="s">
        <v>33</v>
      </c>
      <c r="D37" s="48">
        <f>D36*13%</f>
        <v>2210</v>
      </c>
      <c r="E37">
        <f>+D37-I4-I5-I6</f>
        <v>2210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14790</v>
      </c>
      <c r="F39" s="99">
        <f>+N32-D39</f>
        <v>160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14790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22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4800</v>
      </c>
      <c r="D10" s="30">
        <f>IF(Vendedor7!$E$26="",0,Vendedor7!$E$26)</f>
        <v>100</v>
      </c>
      <c r="F10" s="42">
        <f t="shared" si="1"/>
        <v>4800</v>
      </c>
      <c r="G10" s="41">
        <f>MROUND(F10*Vendedor7!J$14,50)</f>
        <v>600</v>
      </c>
      <c r="H10" s="42">
        <f t="shared" si="2"/>
        <v>100</v>
      </c>
      <c r="I10" s="42">
        <f t="shared" si="3"/>
        <v>8500</v>
      </c>
      <c r="J10" s="42">
        <f>Vendedor7!$F$26</f>
        <v>8500</v>
      </c>
      <c r="L10" s="42">
        <f t="shared" si="0"/>
        <v>-4300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4800</v>
      </c>
      <c r="D32" s="44">
        <f>SUM(D4:D31)</f>
        <v>100</v>
      </c>
      <c r="F32" s="96">
        <f>SUM(F4:F31)</f>
        <v>4800</v>
      </c>
      <c r="G32" s="96">
        <f>SUM(G7:G31)</f>
        <v>600</v>
      </c>
      <c r="H32" s="96"/>
      <c r="I32" s="96">
        <f>SUM(I4:I31)</f>
        <v>8500</v>
      </c>
      <c r="J32" s="96">
        <f>SUM(J4:J31)</f>
        <v>8500</v>
      </c>
      <c r="L32" s="92">
        <f>SUM(L4:L31)</f>
        <v>-4300</v>
      </c>
    </row>
    <row r="33" spans="3:6" ht="16" customHeight="1" x14ac:dyDescent="0.35">
      <c r="D33" s="100">
        <f>+D32*85</f>
        <v>8500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4800</v>
      </c>
      <c r="F36" s="43">
        <f>+D36-F4-F5-F6</f>
        <v>4800</v>
      </c>
    </row>
    <row r="37" spans="3:6" x14ac:dyDescent="0.35">
      <c r="C37" s="47" t="s">
        <v>33</v>
      </c>
      <c r="D37" s="30">
        <f>D36*14%</f>
        <v>672.00000000000011</v>
      </c>
      <c r="E37" s="43"/>
      <c r="F37" s="43">
        <f>+D37-G4-G5-G6</f>
        <v>672.00000000000011</v>
      </c>
    </row>
    <row r="38" spans="3:6" x14ac:dyDescent="0.35">
      <c r="C38" s="47" t="s">
        <v>30</v>
      </c>
      <c r="D38" s="30">
        <f>SUM(I4:I27)</f>
        <v>8500</v>
      </c>
    </row>
    <row r="39" spans="3:6" ht="15" thickBot="1" x14ac:dyDescent="0.4">
      <c r="C39" s="49" t="s">
        <v>4</v>
      </c>
      <c r="D39" s="81">
        <f>+D36-D37-D38</f>
        <v>-4372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-4372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26-03-2026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1218950</v>
      </c>
      <c r="C4" s="157">
        <f>HojaNICA!M32</f>
        <v>146300</v>
      </c>
      <c r="D4" s="150">
        <f>HojaNICA!E37</f>
        <v>158449.5</v>
      </c>
      <c r="E4" s="150">
        <f>HojaNICA!P32</f>
        <v>814000</v>
      </c>
      <c r="F4" s="150">
        <f>HojaNICA!O32</f>
        <v>824500</v>
      </c>
      <c r="G4" s="151">
        <f t="shared" ref="G4:G10" si="0">+D4-C4+F4-E4</f>
        <v>22649.5</v>
      </c>
      <c r="H4" s="21"/>
      <c r="I4" s="182"/>
    </row>
    <row r="5" spans="1:9" x14ac:dyDescent="0.35">
      <c r="A5" s="28" t="s">
        <v>19</v>
      </c>
      <c r="B5" s="156">
        <f>HojaTICA!$E$36</f>
        <v>1574300</v>
      </c>
      <c r="C5" s="157">
        <f>HojaTICA!K32</f>
        <v>191600</v>
      </c>
      <c r="D5" s="150">
        <f>HojaTICA!E37</f>
        <v>204665</v>
      </c>
      <c r="E5" s="150">
        <f>HojaTICA!N32</f>
        <v>2344750</v>
      </c>
      <c r="F5" s="150">
        <f>HojaTICA!D38</f>
        <v>2350250</v>
      </c>
      <c r="G5" s="151">
        <f t="shared" si="0"/>
        <v>18565</v>
      </c>
      <c r="H5" s="21"/>
      <c r="I5" s="182"/>
    </row>
    <row r="6" spans="1:9" x14ac:dyDescent="0.35">
      <c r="A6" s="28" t="s">
        <v>125</v>
      </c>
      <c r="B6" s="156">
        <f>HojaREVENTADO!$E$37</f>
        <v>242900</v>
      </c>
      <c r="C6" s="157">
        <f>HojaREVENTADO!K33</f>
        <v>24290</v>
      </c>
      <c r="D6" s="150">
        <f>HojaREVENTADO!E38</f>
        <v>24290</v>
      </c>
      <c r="E6" s="150">
        <f>HojaREVENTADO!O33</f>
        <v>400000</v>
      </c>
      <c r="F6" s="150">
        <f>HojaREVENTADO!N33</f>
        <v>440000</v>
      </c>
      <c r="G6" s="151">
        <f t="shared" si="0"/>
        <v>40000</v>
      </c>
      <c r="H6" s="21"/>
      <c r="I6" s="182"/>
    </row>
    <row r="7" spans="1:9" x14ac:dyDescent="0.35">
      <c r="A7" s="28" t="s">
        <v>96</v>
      </c>
      <c r="B7" s="156">
        <f>HojaPrimera!$E$36</f>
        <v>373400</v>
      </c>
      <c r="C7" s="157">
        <f>HojaPrimera!I32</f>
        <v>44850</v>
      </c>
      <c r="D7" s="150">
        <f>HojaPrimera!E37</f>
        <v>48529</v>
      </c>
      <c r="E7" s="150">
        <f>HojaPrimera!L32</f>
        <v>256000</v>
      </c>
      <c r="F7" s="150">
        <f>HojaPrimera!K32</f>
        <v>259250</v>
      </c>
      <c r="G7" s="151">
        <f t="shared" si="0"/>
        <v>6929</v>
      </c>
      <c r="H7" s="21"/>
      <c r="I7" s="21"/>
    </row>
    <row r="8" spans="1:9" x14ac:dyDescent="0.35">
      <c r="A8" s="28" t="s">
        <v>104</v>
      </c>
      <c r="B8" s="156">
        <f>HojaHonduras!$E$36</f>
        <v>121000</v>
      </c>
      <c r="C8" s="157">
        <f>HojaHonduras!K32</f>
        <v>14550</v>
      </c>
      <c r="D8" s="150">
        <f>HojaHonduras!E37</f>
        <v>15730</v>
      </c>
      <c r="E8" s="150">
        <f>HojaHonduras!N32</f>
        <v>0</v>
      </c>
      <c r="F8" s="150">
        <f>HojaHonduras!M32</f>
        <v>17000</v>
      </c>
      <c r="G8" s="151">
        <f t="shared" si="0"/>
        <v>18180</v>
      </c>
      <c r="H8" s="21"/>
      <c r="I8" s="21"/>
    </row>
    <row r="9" spans="1:9" x14ac:dyDescent="0.35">
      <c r="A9" s="28" t="s">
        <v>20</v>
      </c>
      <c r="B9" s="156">
        <f>HojaDominicana!$E$36</f>
        <v>17000</v>
      </c>
      <c r="C9" s="157">
        <f>HojaDominicana!I32</f>
        <v>2050</v>
      </c>
      <c r="D9" s="150">
        <f>HojaDominicana!E37</f>
        <v>2210</v>
      </c>
      <c r="E9" s="150">
        <f>HojaDominicana!L32</f>
        <v>0</v>
      </c>
      <c r="F9" s="150">
        <f>HojaDominicana!K32</f>
        <v>0</v>
      </c>
      <c r="G9" s="151">
        <f t="shared" si="0"/>
        <v>160</v>
      </c>
      <c r="H9" s="21"/>
      <c r="I9" s="21"/>
    </row>
    <row r="10" spans="1:9" ht="15" thickBot="1" x14ac:dyDescent="0.4">
      <c r="A10" s="167" t="s">
        <v>21</v>
      </c>
      <c r="B10" s="168">
        <f>HojaPANA!F36</f>
        <v>4800</v>
      </c>
      <c r="C10" s="169">
        <f>HojaPANA!G32</f>
        <v>600</v>
      </c>
      <c r="D10" s="170">
        <f>HojaPANA!F37</f>
        <v>672.00000000000011</v>
      </c>
      <c r="E10" s="170">
        <f>HojaPANA!J32</f>
        <v>8500</v>
      </c>
      <c r="F10" s="170">
        <f>HojaPANA!I32</f>
        <v>8500</v>
      </c>
      <c r="G10" s="171">
        <f t="shared" si="0"/>
        <v>72</v>
      </c>
      <c r="H10" s="21"/>
      <c r="I10" s="21"/>
    </row>
    <row r="11" spans="1:9" ht="19" thickBot="1" x14ac:dyDescent="0.5">
      <c r="A11" s="174" t="s">
        <v>32</v>
      </c>
      <c r="B11" s="175">
        <f>SUM(B4:B10)</f>
        <v>3552350</v>
      </c>
      <c r="C11" s="175">
        <f>SUM(C4:C10)</f>
        <v>424240</v>
      </c>
      <c r="D11" s="175">
        <f t="shared" ref="D11:F11" si="1">SUM(D4:D10)</f>
        <v>454545.5</v>
      </c>
      <c r="E11" s="175">
        <f t="shared" si="1"/>
        <v>3823250</v>
      </c>
      <c r="F11" s="175">
        <f t="shared" si="1"/>
        <v>3899500</v>
      </c>
      <c r="G11" s="176">
        <f>SUM(G4:G10)</f>
        <v>106555.5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91555.5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225950</v>
      </c>
      <c r="E16" s="157">
        <f>+Vendedor1!D21</f>
        <v>29373.5</v>
      </c>
      <c r="F16" s="158">
        <f>IF(D16&lt;&gt;0,15000,0)</f>
        <v>15000</v>
      </c>
      <c r="G16" s="151">
        <f>+E16-F16</f>
        <v>14373.5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192350</v>
      </c>
      <c r="E17" s="157">
        <f>+Vendedor2!D21</f>
        <v>25005.5</v>
      </c>
      <c r="F17" s="158">
        <f>IF(D17&lt;&gt;0,15000,0)</f>
        <v>15000</v>
      </c>
      <c r="G17" s="151">
        <f>+E17-F17</f>
        <v>10005.5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418300</v>
      </c>
      <c r="E19" s="159">
        <f>SUM(E16:E18)</f>
        <v>54379</v>
      </c>
      <c r="F19" s="160">
        <f>SUM(F16:F18)</f>
        <v>30000</v>
      </c>
      <c r="G19" s="161">
        <f>SUM(G16:G18)</f>
        <v>24379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115934.5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26-03-2026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1281150</v>
      </c>
      <c r="C5" s="150">
        <f>HojaNICA!D37</f>
        <v>166549.5</v>
      </c>
      <c r="D5" s="150">
        <f>HojaNICA!D38</f>
        <v>824500</v>
      </c>
      <c r="E5" s="150"/>
      <c r="F5" s="151">
        <f>+B5-C5-D5+E5</f>
        <v>290100.5</v>
      </c>
      <c r="H5" s="250" t="s">
        <v>105</v>
      </c>
      <c r="I5" s="244">
        <f ca="1">TODAY()-1</f>
        <v>46107</v>
      </c>
      <c r="O5" s="120"/>
    </row>
    <row r="6" spans="1:15" ht="15" thickBot="1" x14ac:dyDescent="0.4">
      <c r="A6" s="47" t="s">
        <v>36</v>
      </c>
      <c r="B6" s="150">
        <f>HojaTICA!D36</f>
        <v>1925500</v>
      </c>
      <c r="C6" s="150">
        <f>HojaTICA!D37</f>
        <v>250315</v>
      </c>
      <c r="D6" s="150">
        <f>HojaTICA!D38</f>
        <v>2350250</v>
      </c>
      <c r="E6" s="150"/>
      <c r="F6" s="151">
        <f t="shared" ref="F6:F11" si="0">+B6-C6-D6+E6</f>
        <v>-675065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242900</v>
      </c>
      <c r="C7" s="150">
        <f>HojaREVENTADO!D38</f>
        <v>24290</v>
      </c>
      <c r="D7" s="150">
        <f>HojaREVENTADO!D39</f>
        <v>440000</v>
      </c>
      <c r="E7" s="150"/>
      <c r="F7" s="151">
        <f t="shared" si="0"/>
        <v>-221390</v>
      </c>
    </row>
    <row r="8" spans="1:15" x14ac:dyDescent="0.35">
      <c r="A8" s="47" t="s">
        <v>96</v>
      </c>
      <c r="B8" s="150">
        <f>HojaPrimera!$D36</f>
        <v>378300</v>
      </c>
      <c r="C8" s="150">
        <f>HojaPrimera!$D37</f>
        <v>49179</v>
      </c>
      <c r="D8" s="150">
        <f>HojaPrimera!$D38</f>
        <v>259250</v>
      </c>
      <c r="E8" s="150"/>
      <c r="F8" s="151">
        <f t="shared" si="0"/>
        <v>69871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121000</v>
      </c>
      <c r="C9" s="150">
        <f>HojaHonduras!$D37</f>
        <v>15730</v>
      </c>
      <c r="D9" s="150">
        <f>HojaHonduras!$D38</f>
        <v>17000</v>
      </c>
      <c r="E9" s="150"/>
      <c r="F9" s="151">
        <f t="shared" si="0"/>
        <v>88270</v>
      </c>
      <c r="H9" s="251">
        <f>+K12-K10-H6</f>
        <v>-437795.5</v>
      </c>
    </row>
    <row r="10" spans="1:15" ht="15" thickBot="1" x14ac:dyDescent="0.4">
      <c r="A10" s="47" t="s">
        <v>20</v>
      </c>
      <c r="B10" s="150">
        <f>HojaDominicana!$D36</f>
        <v>17000</v>
      </c>
      <c r="C10" s="150">
        <f>HojaDominicana!$D37</f>
        <v>2210</v>
      </c>
      <c r="D10" s="150">
        <f>HojaDominicana!$D38</f>
        <v>0</v>
      </c>
      <c r="E10" s="150"/>
      <c r="F10" s="151">
        <f t="shared" si="0"/>
        <v>14790</v>
      </c>
      <c r="H10" s="154"/>
      <c r="J10" t="s">
        <v>148</v>
      </c>
      <c r="K10" s="253">
        <v>5145144.4400000004</v>
      </c>
    </row>
    <row r="11" spans="1:15" ht="15" thickBot="1" x14ac:dyDescent="0.4">
      <c r="A11" s="47" t="s">
        <v>21</v>
      </c>
      <c r="B11" s="150">
        <f>HojaPANA!$D36</f>
        <v>4800</v>
      </c>
      <c r="C11" s="150">
        <f>HojaPANA!$D37</f>
        <v>672.00000000000011</v>
      </c>
      <c r="D11" s="165">
        <f>HojaPANA!$D38</f>
        <v>8500</v>
      </c>
      <c r="E11" s="150"/>
      <c r="F11" s="151">
        <f t="shared" si="0"/>
        <v>-4372</v>
      </c>
      <c r="H11" s="214" t="s">
        <v>154</v>
      </c>
      <c r="J11" t="s">
        <v>158</v>
      </c>
      <c r="K11" s="254">
        <f>+K10+F12+H6</f>
        <v>4707348.9400000004</v>
      </c>
    </row>
    <row r="12" spans="1:15" ht="16" thickBot="1" x14ac:dyDescent="0.4">
      <c r="A12" s="144" t="s">
        <v>5</v>
      </c>
      <c r="B12" s="152">
        <f>SUM(B5:B11)</f>
        <v>3970650</v>
      </c>
      <c r="C12" s="152">
        <f>SUM(C5:C11)</f>
        <v>508945.5</v>
      </c>
      <c r="D12" s="152">
        <f>SUM(D5:D11)</f>
        <v>3899500</v>
      </c>
      <c r="E12" s="152"/>
      <c r="F12" s="256">
        <f>SUM(F5:F11)</f>
        <v>-437795.5</v>
      </c>
      <c r="H12" s="252">
        <f>K12</f>
        <v>4707348.9400000004</v>
      </c>
      <c r="J12" t="s">
        <v>140</v>
      </c>
      <c r="K12" s="255">
        <f>-1281572.43+2829989.99+522734.8+2636196.58</f>
        <v>4707348.9400000004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191950</v>
      </c>
      <c r="K4" s="232">
        <f t="shared" ref="K4" si="0">D7+D11+D15</f>
        <v>24953.5</v>
      </c>
      <c r="L4" s="221">
        <f>F7+F11+F15</f>
        <v>97750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IF(DigitaNICA!C4&lt;&gt;"",DigitaNICA!C4,"")</f>
        <v>16800</v>
      </c>
      <c r="D5" s="42">
        <f>IF(C5="",0,C5*J$10)</f>
        <v>2184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-1384</v>
      </c>
      <c r="I5" s="242" t="s">
        <v>37</v>
      </c>
      <c r="J5" s="222">
        <f>SUM(IF(C5="",0,C5),IF(C9="",0,C9),IF(C13="",0,C13),IF(C17="",0,C17))</f>
        <v>29300</v>
      </c>
      <c r="K5" s="226">
        <f t="shared" ref="K5" si="2">D5+D9+D13+D17</f>
        <v>3809</v>
      </c>
      <c r="L5" s="223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4700</v>
      </c>
      <c r="K6" s="229">
        <f>D19+D20</f>
        <v>611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IF(DigitaTICA!C4&lt;&gt;"",DigitaTICA!C4,"")</f>
        <v>55450</v>
      </c>
      <c r="D7" s="42">
        <f>IF(C7="",0,C7*J$9)</f>
        <v>7208.5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18491.5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35</v>
      </c>
      <c r="C9" s="29">
        <f>IF(DigitaNICA!E4&lt;&gt;"",DigitaNICA!E4,"")</f>
        <v>3900</v>
      </c>
      <c r="D9" s="42">
        <f>IF(C9="",0,C9*J$10)</f>
        <v>507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3393</v>
      </c>
      <c r="I9" s="77" t="s">
        <v>36</v>
      </c>
      <c r="J9" s="78">
        <v>0.13</v>
      </c>
      <c r="K9" s="79">
        <f>MROUND(D7+D11+D15,50)</f>
        <v>24950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3800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IF(DigitaTICA!E4&lt;&gt;"",DigitaTICA!E4,"")</f>
        <v>32000</v>
      </c>
      <c r="D11" s="42">
        <f>IF(C11="",0,C11*J$9)</f>
        <v>4160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-14660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IF(DigitaNICA!G4&lt;&gt;"",DigitaNICA!G4,"")</f>
        <v>4000</v>
      </c>
      <c r="D13" s="42">
        <f>IF(C13="",0,C13*J$10)</f>
        <v>520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3480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IF(DigitaTICA!G4&lt;&gt;"",DigitaTICA!G4,"")</f>
        <v>104500</v>
      </c>
      <c r="D15" s="42">
        <f>IF(C15="",0,C15*J$9)</f>
        <v>13585</v>
      </c>
      <c r="E15" s="29">
        <f>IF(DigitaTICA!H4&lt;&gt;"",DigitaTICA!H4,"")</f>
        <v>300</v>
      </c>
      <c r="F15" s="42">
        <f>IF(E15="",0,E15*PREMIOS!F15)</f>
        <v>25500</v>
      </c>
      <c r="G15" s="30">
        <f t="shared" si="3"/>
        <v>65415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>
        <f>IF(DigitaNICA!I4&lt;&gt;"",DigitaNICA!I4,"")</f>
        <v>4600</v>
      </c>
      <c r="D17" s="42">
        <f>IF(C17="",0,C17*J$10)</f>
        <v>598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4002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IF(DigitaPRIMERA!C4&lt;&gt;"",DigitaPRIMERA!C4,"")</f>
        <v>3200</v>
      </c>
      <c r="D19" s="42">
        <f>IF(C19="",0,C19*J$12)</f>
        <v>416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2784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" thickBot="1" x14ac:dyDescent="0.4">
      <c r="A21" s="122" t="s">
        <v>5</v>
      </c>
      <c r="B21" s="129"/>
      <c r="C21" s="123">
        <f>SUM(C5:C20)</f>
        <v>225950</v>
      </c>
      <c r="D21" s="123">
        <f t="shared" ref="D21:G21" si="6">SUM(D5:D20)</f>
        <v>29373.5</v>
      </c>
      <c r="E21" s="123">
        <f t="shared" si="6"/>
        <v>1350</v>
      </c>
      <c r="F21" s="123">
        <f t="shared" si="6"/>
        <v>113750</v>
      </c>
      <c r="G21" s="124">
        <f t="shared" si="6"/>
        <v>82826.5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159250</v>
      </c>
      <c r="K4" s="232">
        <f t="shared" ref="K4" si="0">D7+D11+D15</f>
        <v>20702.5</v>
      </c>
      <c r="L4" s="221">
        <f>F7+F11+F15</f>
        <v>259250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IF(DigitaNICA!C5&lt;&gt;"",DigitaNICA!C5,"")</f>
        <v>18800</v>
      </c>
      <c r="D5" s="42">
        <f>IF(C5="",0,C5*J$10)</f>
        <v>2444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16356</v>
      </c>
      <c r="I5" s="242" t="s">
        <v>37</v>
      </c>
      <c r="J5" s="222">
        <f>SUM(IF(C5="",0,C5),IF(C9="",0,C9),IF(C13="",0,C13),IF(C17="",0,C17))</f>
        <v>32900</v>
      </c>
      <c r="K5" s="226">
        <f t="shared" ref="K5" si="2">D5+D9+D13+D17</f>
        <v>4277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200</v>
      </c>
      <c r="K6" s="229">
        <f>D19+D20</f>
        <v>26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IF(DigitaTICA!C5&lt;&gt;"",DigitaTICA!C5,"")</f>
        <v>68150</v>
      </c>
      <c r="D7" s="42">
        <f>IF(C7="",0,C7*J$9)</f>
        <v>8859.5</v>
      </c>
      <c r="E7" s="29">
        <f>IF(DigitaTICA!D5&lt;&gt;"",DigitaTICA!D5,"")</f>
        <v>1250</v>
      </c>
      <c r="F7" s="42">
        <f>IF(E7="",0,E7*PREMIOS!F7)</f>
        <v>106250</v>
      </c>
      <c r="G7" s="30">
        <f t="shared" si="1"/>
        <v>-46959.5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>
        <f>IF(DigitaNICA!E5&lt;&gt;"",DigitaNICA!E5,"")</f>
        <v>5400</v>
      </c>
      <c r="D9" s="42">
        <f>IF(C9="",0,C9*J$10)</f>
        <v>702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4698</v>
      </c>
      <c r="I9" s="60" t="s">
        <v>36</v>
      </c>
      <c r="J9" s="61">
        <v>0.13</v>
      </c>
      <c r="K9" s="62">
        <f>MROUND(D7+D11+D15,50)</f>
        <v>20700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4300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IF(DigitaTICA!E5&lt;&gt;"",DigitaTICA!E5,"")</f>
        <v>23900</v>
      </c>
      <c r="D11" s="42">
        <f>IF(C11="",0,C11*J$9)</f>
        <v>3107</v>
      </c>
      <c r="E11" s="29">
        <f>IF(DigitaTICA!F5&lt;&gt;"",DigitaTICA!F5,"")</f>
        <v>550</v>
      </c>
      <c r="F11" s="42">
        <f>IF(E11="",0,E11*PREMIOS!F11)</f>
        <v>46750</v>
      </c>
      <c r="G11" s="30">
        <f t="shared" si="1"/>
        <v>-25957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IF(DigitaNICA!G5&lt;&gt;"",DigitaNICA!G5,"")</f>
        <v>6700</v>
      </c>
      <c r="D13" s="42">
        <f>IF(C13="",0,C13*J$10)</f>
        <v>871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5829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IF(DigitaTICA!G5&lt;&gt;"",DigitaTICA!G5,"")</f>
        <v>67200</v>
      </c>
      <c r="D15" s="42">
        <f>IF(C15="",0,C15*J$9)</f>
        <v>8736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-47786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IF(DigitaPRIMERA!C5&lt;&gt;"",DigitaPRIMERA!C5,"")</f>
        <v>200</v>
      </c>
      <c r="D19" s="42">
        <f>IF(C19="",0,C19*J$12)</f>
        <v>26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192350</v>
      </c>
      <c r="D21" s="68">
        <f t="shared" ref="D21:G21" si="4">SUM(D5:D20)</f>
        <v>25005.5</v>
      </c>
      <c r="E21" s="68">
        <f t="shared" si="4"/>
        <v>3050</v>
      </c>
      <c r="F21" s="68">
        <f t="shared" si="4"/>
        <v>259250</v>
      </c>
      <c r="G21" s="89">
        <f t="shared" si="4"/>
        <v>-91905.5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35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1000</v>
      </c>
      <c r="K4" s="232">
        <f t="shared" ref="K4" si="0">D7+D11+D15</f>
        <v>120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95">
        <f>IF(DigitaTICA!G7&lt;&gt;"",DigitaTICA!G7,"")</f>
        <v>1000</v>
      </c>
      <c r="D15" s="113">
        <f>IF(C15="",0,C15*J$9)</f>
        <v>120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880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1000</v>
      </c>
      <c r="D19" s="68">
        <f>SUM(D5:D18)</f>
        <v>120</v>
      </c>
      <c r="E19" s="68">
        <f>SUM(E5:E18)</f>
        <v>0</v>
      </c>
      <c r="F19" s="68">
        <f>SUM(F5:F18)</f>
        <v>0</v>
      </c>
      <c r="G19" s="89">
        <f>SUM(G5:G18)</f>
        <v>880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169250</v>
      </c>
      <c r="K4" s="232">
        <f t="shared" ref="K4" si="0">D7+D11+D15</f>
        <v>20310</v>
      </c>
      <c r="L4" s="221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IF(DigitaNICA!C8&lt;&gt;"",DigitaNICA!C8,"")</f>
        <v>87350</v>
      </c>
      <c r="D5" s="42">
        <f>IF(C5="",0,C5*J$12)</f>
        <v>10482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16868</v>
      </c>
      <c r="I5" s="242" t="s">
        <v>37</v>
      </c>
      <c r="J5" s="222">
        <f>SUM(IF(C5="",0,C5),IF(C9="",0,C9),IF(C13="",0,C13),IF(C17="",0,C17))</f>
        <v>154650</v>
      </c>
      <c r="K5" s="226">
        <f t="shared" ref="K5" si="2">D5+D9+D13+D17</f>
        <v>18558</v>
      </c>
      <c r="L5" s="223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IF(DigitaTICA!C8&lt;&gt;"",DigitaTICA!C8,"")</f>
        <v>79200</v>
      </c>
      <c r="D7" s="42">
        <f>IF(C7="",0,C7*J$11)</f>
        <v>9504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35696</v>
      </c>
      <c r="I7" s="243" t="s">
        <v>96</v>
      </c>
      <c r="J7" s="225">
        <f>SUM(IF(C19="",0,C19),IF(C20="",0,C20))</f>
        <v>48250</v>
      </c>
      <c r="K7" s="229">
        <f>+D19+D20</f>
        <v>5790</v>
      </c>
      <c r="L7" s="230">
        <f>+F19+F20</f>
        <v>52000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35</v>
      </c>
      <c r="C9" s="29">
        <f>IF(DigitaNICA!E8&lt;&gt;"",DigitaNICA!E8,"")</f>
        <v>54400</v>
      </c>
      <c r="D9" s="42">
        <f>IF(C9="",0,C9*J$12)</f>
        <v>6528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47872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IF(DigitaTICA!E8&lt;&gt;"",DigitaTICA!E8,"")</f>
        <v>51650</v>
      </c>
      <c r="D11" s="42">
        <f>IF(C11="",0,C11*J$11)</f>
        <v>6198</v>
      </c>
      <c r="E11" s="29">
        <f>IF(DigitaTICA!F8&lt;&gt;"",DigitaTICA!F8,"")</f>
        <v>1450</v>
      </c>
      <c r="F11" s="42">
        <f>IF(E11="",0,E11*PREMIOS!F11)</f>
        <v>123250</v>
      </c>
      <c r="G11" s="30">
        <f t="shared" si="1"/>
        <v>-77798</v>
      </c>
      <c r="I11" s="60" t="s">
        <v>36</v>
      </c>
      <c r="J11" s="61">
        <v>0.12</v>
      </c>
      <c r="K11" s="62">
        <f>MROUND(D7+D11+D15,50)</f>
        <v>20300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18550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IF(DigitaNICA!G8&lt;&gt;"",DigitaNICA!G8,"")</f>
        <v>5200</v>
      </c>
      <c r="D13" s="42">
        <f>IF(C13="",0,C13*J$12)</f>
        <v>624</v>
      </c>
      <c r="E13" s="29">
        <f>IF(DigitaNICA!H8&lt;&gt;"",DigitaNICA!H8,"")</f>
        <v>250</v>
      </c>
      <c r="F13" s="42">
        <f>IF(E13="",0,E13*PREMIOS!E13)</f>
        <v>20000</v>
      </c>
      <c r="G13" s="30">
        <f>IF(OR(C13="",E13=""),0,C13-D13-F13)</f>
        <v>-15424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IF(DigitaTICA!G8&lt;&gt;"",DigitaTICA!G8,"")</f>
        <v>38400</v>
      </c>
      <c r="D15" s="42">
        <f>IF(C15="",0,C15*J$11)</f>
        <v>4608</v>
      </c>
      <c r="E15" s="29">
        <f>IF(DigitaTICA!H8&lt;&gt;"",DigitaTICA!H8,"")</f>
        <v>900</v>
      </c>
      <c r="F15" s="42">
        <f>IF(E15="",0,E15*PREMIOS!F15)</f>
        <v>76500</v>
      </c>
      <c r="G15" s="30">
        <f t="shared" si="4"/>
        <v>-42708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>
        <f>IF(DigitaNICA!I8&lt;&gt;"",DigitaNICA!I8,"")</f>
        <v>7700</v>
      </c>
      <c r="D17" s="42">
        <f>IF(C17="",0,C17*J$12)</f>
        <v>924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6776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IF(DigitaPRIMERA!C8&lt;&gt;"",DigitaPRIMERA!C8,"")</f>
        <v>30950</v>
      </c>
      <c r="D19" s="42">
        <f>IF(C19="",0,C19*J$14)</f>
        <v>3714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-12764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>
        <f>IF(DigitaPRIMERA!E8&lt;&gt;"",DigitaPRIMERA!E8,"")</f>
        <v>17300</v>
      </c>
      <c r="D20" s="42">
        <f>IF(C20="",0,C20*J$14)</f>
        <v>2076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3224</v>
      </c>
    </row>
    <row r="21" spans="1:7" ht="15" thickBot="1" x14ac:dyDescent="0.4">
      <c r="A21" s="122" t="s">
        <v>5</v>
      </c>
      <c r="B21" s="129"/>
      <c r="C21" s="123">
        <f>SUM(C5:C20)</f>
        <v>372150</v>
      </c>
      <c r="D21" s="123">
        <f t="shared" ref="D21:G21" si="5">SUM(D5:D20)</f>
        <v>44658</v>
      </c>
      <c r="E21" s="123">
        <f t="shared" si="5"/>
        <v>4400</v>
      </c>
      <c r="F21" s="123">
        <f t="shared" si="5"/>
        <v>365750</v>
      </c>
      <c r="G21" s="124">
        <f t="shared" si="5"/>
        <v>-38258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484050</v>
      </c>
      <c r="K4" s="232">
        <f t="shared" ref="K4" si="0">D7+D11+D15</f>
        <v>58086</v>
      </c>
      <c r="L4" s="221">
        <f>F7+F11+F15</f>
        <v>603500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IF(DigitaNICA!C10&lt;&gt;"",DigitaNICA!C10,"")</f>
        <v>90300</v>
      </c>
      <c r="D5" s="42">
        <f>IF(C5="",0,C5*J$15)</f>
        <v>10836</v>
      </c>
      <c r="E5" s="29">
        <f>IF(DigitaNICA!D10&lt;&gt;"",DigitaNICA!D10,"")</f>
        <v>900</v>
      </c>
      <c r="F5" s="42">
        <f>IF(E5="",0,E5*PREMIOS!F5)</f>
        <v>76500</v>
      </c>
      <c r="G5" s="30">
        <f t="shared" ref="G5:G12" si="1">IF(OR(C5="",E5=""),0,C5-D5-F5)</f>
        <v>2964</v>
      </c>
      <c r="I5" s="218" t="s">
        <v>37</v>
      </c>
      <c r="J5" s="222">
        <f>SUM(IF(C5="",0,C5),IF(C9="",0,C9),IF(C13="",0,C13),IF(C17="",0,C17))</f>
        <v>408500</v>
      </c>
      <c r="K5" s="226">
        <f t="shared" ref="K5" si="2">D5+D9+D13+D17</f>
        <v>49020</v>
      </c>
      <c r="L5" s="223">
        <f>F5+F9+F13+F17</f>
        <v>267750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82400</v>
      </c>
      <c r="K6" s="227">
        <f t="shared" ref="K6" si="3">+D8+D12+D16</f>
        <v>8240</v>
      </c>
      <c r="L6" s="228">
        <f>F8+F12+F16</f>
        <v>240000</v>
      </c>
    </row>
    <row r="7" spans="1:12" x14ac:dyDescent="0.35">
      <c r="A7" s="28" t="s">
        <v>46</v>
      </c>
      <c r="B7" s="133">
        <f>IF(DigitaTICA!C2&lt;&gt;"",DigitaTICA!C2,"")</f>
        <v>13</v>
      </c>
      <c r="C7" s="29">
        <f>IF(DigitaTICA!C10&lt;&gt;"",DigitaTICA!C10,"")</f>
        <v>152850</v>
      </c>
      <c r="D7" s="42">
        <f>IF(C7="",0,C7*J$14)</f>
        <v>18342</v>
      </c>
      <c r="E7" s="29">
        <f>IF(DigitaTICA!D10&lt;&gt;"",DigitaTICA!D10,"")</f>
        <v>4850</v>
      </c>
      <c r="F7" s="42">
        <f>IF(E7="",0,E7*PREMIOS!F7)</f>
        <v>412250</v>
      </c>
      <c r="G7" s="30">
        <f t="shared" si="1"/>
        <v>-277742</v>
      </c>
      <c r="I7" s="218" t="s">
        <v>96</v>
      </c>
      <c r="J7" s="224">
        <f>SUM(IF(C19="",0,C19),IF(C20="",0,C20))</f>
        <v>81050</v>
      </c>
      <c r="K7" s="227">
        <f>+D19+D20</f>
        <v>9726</v>
      </c>
      <c r="L7" s="228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30250</v>
      </c>
      <c r="D8" s="42">
        <f>IF(C8="",0,C8*J$16)</f>
        <v>3025</v>
      </c>
      <c r="E8" s="29">
        <f>IF(DigitaREVENTADO!D10&lt;&gt;"",DigitaREVENTADO!D10,"")</f>
        <v>250</v>
      </c>
      <c r="F8" s="42">
        <f>IF(E8="",0,E8*PREMIOS!F8)</f>
        <v>0</v>
      </c>
      <c r="G8" s="30">
        <f t="shared" si="1"/>
        <v>27225</v>
      </c>
      <c r="I8" s="218" t="s">
        <v>104</v>
      </c>
      <c r="J8" s="224">
        <f>SUM(IF(C21="",0,C21),IF(C22="",0,C22),IF(C23="",0,C23))</f>
        <v>33250</v>
      </c>
      <c r="K8" s="227">
        <f t="shared" ref="K8" si="4">D21+D22+D23</f>
        <v>3990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35</v>
      </c>
      <c r="C9" s="29">
        <f>IF(DigitaNICA!E10&lt;&gt;"",DigitaNICA!E10,"")</f>
        <v>122850</v>
      </c>
      <c r="D9" s="42">
        <f>IF(C9="",0,C9*J$15)</f>
        <v>14742</v>
      </c>
      <c r="E9" s="29">
        <f>IF(DigitaNICA!F10&lt;&gt;"",DigitaNICA!F10,"")</f>
        <v>1950</v>
      </c>
      <c r="F9" s="42">
        <f>IF(E9="",0,E9*PREMIOS!F9)</f>
        <v>165750</v>
      </c>
      <c r="G9" s="30">
        <f t="shared" si="1"/>
        <v>-57642</v>
      </c>
      <c r="I9" s="218" t="s">
        <v>20</v>
      </c>
      <c r="J9" s="224">
        <f>SUM(IF(C24="",0,C24),IF(C25="",0,C25))</f>
        <v>17000</v>
      </c>
      <c r="K9" s="227">
        <f t="shared" ref="K9" si="5">+D24+D25</f>
        <v>2040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4800</v>
      </c>
      <c r="K10" s="229">
        <f>+D26</f>
        <v>576</v>
      </c>
      <c r="L10" s="230">
        <f>F26</f>
        <v>8500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IF(DigitaTICA!E10&lt;&gt;"",DigitaTICA!E10,"")</f>
        <v>150700</v>
      </c>
      <c r="D11" s="42">
        <f>IF(C11="",0,C11*J$14)</f>
        <v>18084</v>
      </c>
      <c r="E11" s="29">
        <f>IF(DigitaTICA!F10&lt;&gt;"",DigitaTICA!F10,"")</f>
        <v>1550</v>
      </c>
      <c r="F11" s="42">
        <f>IF(E11="",0,E11*PREMIOS!F11)</f>
        <v>131750</v>
      </c>
      <c r="G11" s="30">
        <f t="shared" si="1"/>
        <v>866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19000</v>
      </c>
      <c r="D12" s="42">
        <f>IF(C12="",0,C12*J$16)</f>
        <v>1900</v>
      </c>
      <c r="E12" s="29">
        <f>IF(DigitaREVENTADO!F10&lt;&gt;"",DigitaREVENTADO!F10,"")</f>
        <v>100</v>
      </c>
      <c r="F12" s="42">
        <f>IF(E12="",0,E12*PREMIOS!F12)</f>
        <v>0</v>
      </c>
      <c r="G12" s="30">
        <f t="shared" si="1"/>
        <v>17100</v>
      </c>
    </row>
    <row r="13" spans="1:12" ht="15" thickBot="1" x14ac:dyDescent="0.4">
      <c r="A13" s="28" t="s">
        <v>50</v>
      </c>
      <c r="B13" s="133">
        <f>IF(DigitaNICA!G2&lt;&gt;"",DigitaNICA!G2,"")</f>
        <v>59</v>
      </c>
      <c r="C13" s="29">
        <f>IF(DigitaNICA!G10&lt;&gt;"",DigitaNICA!G10,"")</f>
        <v>76950</v>
      </c>
      <c r="D13" s="42">
        <f>IF(C13="",0,C13*J$15)</f>
        <v>9234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67716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58100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IF(DigitaTICA!G10&lt;&gt;"",DigitaTICA!G10,"")</f>
        <v>180500</v>
      </c>
      <c r="D15" s="42">
        <f>IF(C15="",0,C15*J$14)</f>
        <v>21660</v>
      </c>
      <c r="E15" s="29">
        <f>IF(DigitaTICA!H10&lt;&gt;"",DigitaTICA!H10,"")</f>
        <v>700</v>
      </c>
      <c r="F15" s="42">
        <f>IF(E15="",0,E15*PREMIOS!F15)</f>
        <v>59500</v>
      </c>
      <c r="G15" s="30">
        <f t="shared" si="6"/>
        <v>99340</v>
      </c>
      <c r="I15" s="63" t="s">
        <v>37</v>
      </c>
      <c r="J15" s="64">
        <v>0.12</v>
      </c>
      <c r="K15" s="30">
        <f>MROUND(D5+D9+D13+D17,50)</f>
        <v>49000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33150</v>
      </c>
      <c r="D16" s="42">
        <f>IF(C16="",0,C16*J$16)</f>
        <v>3315</v>
      </c>
      <c r="E16" s="29">
        <f>IF(DigitaREVENTADO!H10&lt;&gt;"",DigitaREVENTADO!H10,"")</f>
        <v>1200</v>
      </c>
      <c r="F16" s="42">
        <f>IF(E16="",0,E16*PREMIOS!F16)</f>
        <v>240000</v>
      </c>
      <c r="G16" s="30">
        <f t="shared" si="6"/>
        <v>-210165</v>
      </c>
      <c r="I16" s="63" t="s">
        <v>38</v>
      </c>
      <c r="J16" s="64">
        <v>0.1</v>
      </c>
      <c r="K16" s="30">
        <f>MROUND(D6+D8+D10+D12+D14+D16+D18,50)</f>
        <v>8250</v>
      </c>
    </row>
    <row r="17" spans="1:11" x14ac:dyDescent="0.35">
      <c r="A17" s="28" t="s">
        <v>52</v>
      </c>
      <c r="B17" s="133">
        <f>IF(DigitaNICA!I2&lt;&gt;"",DigitaNICA!I2,"")</f>
        <v>61</v>
      </c>
      <c r="C17" s="29">
        <f>IF(DigitaNICA!I10&lt;&gt;"",DigitaNICA!I10,"")</f>
        <v>118400</v>
      </c>
      <c r="D17" s="42">
        <f>IF(C17="",0,C17*J$15)</f>
        <v>14208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78692</v>
      </c>
      <c r="I17" s="63" t="s">
        <v>96</v>
      </c>
      <c r="J17" s="64">
        <v>0.12</v>
      </c>
      <c r="K17" s="30">
        <f>MROUND(D19+D20,50)</f>
        <v>9750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4000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IF(DigitaPRIMERA!$C$10&lt;&gt;"",DigitaPRIMERA!$C$10,"")</f>
        <v>34800</v>
      </c>
      <c r="D19" s="42">
        <f>IF(C19="",0,C19*J$17)</f>
        <v>4176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30624</v>
      </c>
      <c r="I19" s="63" t="s">
        <v>20</v>
      </c>
      <c r="J19" s="64">
        <v>0.12</v>
      </c>
      <c r="K19" s="30">
        <f>MROUND(D24+D25,50)</f>
        <v>2050</v>
      </c>
    </row>
    <row r="20" spans="1:11" ht="15" thickBot="1" x14ac:dyDescent="0.4">
      <c r="A20" s="28" t="s">
        <v>98</v>
      </c>
      <c r="B20" s="133">
        <f>IF(DigitaPRIMERA!E2&lt;&gt;"",DigitaPRIMERA!E2,"")</f>
        <v>35</v>
      </c>
      <c r="C20" s="29">
        <f>IF(DigitaPRIMERA!$E$10&lt;&gt;"",DigitaPRIMERA!$E$10,"")</f>
        <v>46250</v>
      </c>
      <c r="D20" s="42">
        <f>IF(C20="",0,C20*J$17)</f>
        <v>5550</v>
      </c>
      <c r="E20" s="29">
        <f>IF(DigitaPRIMERA!$F$10&lt;&gt;"",DigitaPRIMERA!$F$10,"")</f>
        <v>400</v>
      </c>
      <c r="F20" s="42">
        <f>IF(E20="",0,E20*PREMIOS!F19)</f>
        <v>34000</v>
      </c>
      <c r="G20" s="30">
        <f t="shared" si="7"/>
        <v>6700</v>
      </c>
      <c r="I20" s="65" t="s">
        <v>21</v>
      </c>
      <c r="J20" s="66">
        <v>0.12</v>
      </c>
      <c r="K20" s="50">
        <f>MROUND(D26,50)</f>
        <v>600</v>
      </c>
    </row>
    <row r="21" spans="1:11" x14ac:dyDescent="0.35">
      <c r="A21" s="28" t="s">
        <v>99</v>
      </c>
      <c r="B21" s="133">
        <f>IF(DigitaHONDURAS!C2&lt;&gt;"",DigitaHONDURAS!C2,"")</f>
        <v>75</v>
      </c>
      <c r="C21" s="29">
        <f>IF(DigitaHONDURAS!$C$10&lt;&gt;"",DigitaHONDURAS!$C$10,"")</f>
        <v>2600</v>
      </c>
      <c r="D21" s="42">
        <f>IF(C21="",0,C21*J$18)</f>
        <v>312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2288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IF(DigitaHONDURAS!$E$10&lt;&gt;"",DigitaHONDURAS!$E$10,"")</f>
        <v>10500</v>
      </c>
      <c r="D22" s="42">
        <f>IF(C22="",0,C22*J$18)</f>
        <v>1260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9240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>
        <f>IF(DigitaHONDURAS!$G$10&lt;&gt;"",DigitaHONDURAS!$G$10,"")</f>
        <v>20150</v>
      </c>
      <c r="D23" s="42">
        <f>IF(C23="",0,C23*J$18)</f>
        <v>2418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17732</v>
      </c>
    </row>
    <row r="24" spans="1:11" x14ac:dyDescent="0.35">
      <c r="A24" s="28" t="s">
        <v>107</v>
      </c>
      <c r="B24" s="133" t="str">
        <f>IF(DigitaDOMINICANA!C2&lt;&gt;"",DigitaDOMINICANA!C2,"")</f>
        <v>07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 t="str">
        <f>IF(DigitaDOMINICANA!E2&lt;&gt;"",DigitaDOMINICANA!E2,"")</f>
        <v>05</v>
      </c>
      <c r="C25" s="29">
        <f>IF(DigitaDOMINICANA!$E$10&lt;&gt;"",DigitaDOMINICANA!$E$10,"")</f>
        <v>17000</v>
      </c>
      <c r="D25" s="42">
        <f>IF(C25="",0,C25*J$19)</f>
        <v>2040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14960</v>
      </c>
    </row>
    <row r="26" spans="1:11" x14ac:dyDescent="0.35">
      <c r="A26" s="28" t="s">
        <v>21</v>
      </c>
      <c r="B26" s="133">
        <f>IF(DigitaPANAMENA!C2&lt;&gt;"",DigitaPANAMENA!C2,"")</f>
        <v>22</v>
      </c>
      <c r="C26" s="29">
        <f>IF(DigitaPANAMENA!$C$10&lt;&gt;"",DigitaPANAMENA!$C$10,"")</f>
        <v>4800</v>
      </c>
      <c r="D26" s="42">
        <f>IF(C26="",0,C26*J$20)</f>
        <v>576</v>
      </c>
      <c r="E26" s="29">
        <f>IF(DigitaPANAMENA!$D$10&lt;&gt;"",DigitaPANAMENA!$D$10,"")</f>
        <v>100</v>
      </c>
      <c r="F26" s="42">
        <f>IF(E26="",0,E26*PREMIOS!F22)</f>
        <v>8500</v>
      </c>
      <c r="G26" s="30">
        <f t="shared" si="8"/>
        <v>-4276</v>
      </c>
    </row>
    <row r="27" spans="1:11" ht="15" thickBot="1" x14ac:dyDescent="0.4">
      <c r="A27" s="67" t="s">
        <v>5</v>
      </c>
      <c r="B27" s="128"/>
      <c r="C27" s="68">
        <f>SUM(C5:C26)</f>
        <v>1111050</v>
      </c>
      <c r="D27" s="68">
        <f t="shared" ref="D27:F27" si="9">SUM(D5:D26)</f>
        <v>131678</v>
      </c>
      <c r="E27" s="68">
        <f t="shared" si="9"/>
        <v>12300</v>
      </c>
      <c r="F27" s="68">
        <f t="shared" si="9"/>
        <v>1153750</v>
      </c>
      <c r="G27" s="89">
        <f>SUM(G5:G26)</f>
        <v>-174378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46200</v>
      </c>
      <c r="K4" s="232">
        <f t="shared" ref="K4" si="0">D7+D11+D15</f>
        <v>5544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IF(DigitaTICA!C11&lt;&gt;"",DigitaTICA!C11,"")</f>
        <v>17100</v>
      </c>
      <c r="D7" s="42">
        <f>IF(C7="",0,C7*J$11)</f>
        <v>2052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15048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5550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IF(DigitaTICA!G11&lt;&gt;"",DigitaTICA!G11,"")</f>
        <v>29100</v>
      </c>
      <c r="D15" s="42">
        <f>IF(C15="",0,C15*J$11)</f>
        <v>3492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25608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46200</v>
      </c>
      <c r="D21" s="123">
        <f t="shared" ref="D21:G21" si="5">SUM(D5:D20)</f>
        <v>5544</v>
      </c>
      <c r="E21" s="123">
        <f t="shared" si="5"/>
        <v>0</v>
      </c>
      <c r="F21" s="123">
        <f t="shared" si="5"/>
        <v>0</v>
      </c>
      <c r="G21" s="124">
        <f t="shared" si="5"/>
        <v>40656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32400</v>
      </c>
      <c r="K4" s="232">
        <f>D7+D11+D15</f>
        <v>3888</v>
      </c>
      <c r="L4" s="221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IF(DigitaNICA!C12&lt;&gt;"",DigitaNICA!C12,"")</f>
        <v>19600</v>
      </c>
      <c r="D5" s="42">
        <f>IF(C5="",0,C5*J$12)</f>
        <v>2352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4498</v>
      </c>
      <c r="I5" s="218" t="s">
        <v>37</v>
      </c>
      <c r="J5" s="222">
        <f>SUM(IF(C5="",0,C5),IF(C9="",0,C9),IF(C13="",0,C13),IF(C17="",0,C17))</f>
        <v>29200</v>
      </c>
      <c r="K5" s="226">
        <f t="shared" ref="K5" si="1">D5+D9+D13+D17</f>
        <v>3504</v>
      </c>
      <c r="L5" s="223">
        <f>F5+F9+F13+F17</f>
        <v>97750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1000</v>
      </c>
      <c r="K6" s="227">
        <f t="shared" ref="K6" si="2">+D8+D12+D16</f>
        <v>100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13</v>
      </c>
      <c r="C7" s="29">
        <f>IF(DigitaTICA!C12&lt;&gt;"",DigitaTICA!C12,"")</f>
        <v>10400</v>
      </c>
      <c r="D7" s="42">
        <f>IF(C7="",0,C7*J$11)</f>
        <v>1248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9152</v>
      </c>
      <c r="I7" s="218" t="s">
        <v>96</v>
      </c>
      <c r="J7" s="224">
        <f>SUM(IF(C19="",0,C19),IF(C20="",0,C20))</f>
        <v>16550</v>
      </c>
      <c r="K7" s="227">
        <f>+D19+D20</f>
        <v>1986</v>
      </c>
      <c r="L7" s="228">
        <f>+F19+F20</f>
        <v>12750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35</v>
      </c>
      <c r="C9" s="29">
        <f>IF(DigitaNICA!E12&lt;&gt;"",DigitaNICA!E12,"")</f>
        <v>9600</v>
      </c>
      <c r="D9" s="42">
        <f>IF(C9="",0,C9*J$12)</f>
        <v>1152</v>
      </c>
      <c r="E9" s="29">
        <f>IF(DigitaNICA!F12&lt;&gt;"",DigitaNICA!F12,"")</f>
        <v>1000</v>
      </c>
      <c r="F9" s="42">
        <f>IF(E9="",0,E9*PREMIOS!F9)</f>
        <v>85000</v>
      </c>
      <c r="G9" s="30">
        <f t="shared" si="0"/>
        <v>-76552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IF(DigitaTICA!E12&lt;&gt;"",DigitaTICA!E12,"")</f>
        <v>5000</v>
      </c>
      <c r="D11" s="42">
        <f>IF(C11="",0,C11*J$11)</f>
        <v>600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-38100</v>
      </c>
      <c r="I11" s="60" t="s">
        <v>36</v>
      </c>
      <c r="J11" s="61">
        <v>0.12</v>
      </c>
      <c r="K11" s="62">
        <f>MROUND(D7+D11+D15,50)</f>
        <v>3900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3500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3">
        <f>IF(DigitaTICA!G2&lt;&gt;"",DigitaTICA!G2,"")</f>
        <v>14</v>
      </c>
      <c r="C15" s="29">
        <f>IF(DigitaTICA!G12&lt;&gt;"",DigitaTICA!G12,"")</f>
        <v>17000</v>
      </c>
      <c r="D15" s="42">
        <f>IF(C15="",0,C15*J$11)</f>
        <v>2040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14960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IF(DigitaPRIMERA!$C$12&lt;&gt;"",DigitaPRIMERA!$C$12,"")</f>
        <v>16550</v>
      </c>
      <c r="D19" s="42">
        <f>IF(C19="",0,C19*J$14)</f>
        <v>1986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1814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79150</v>
      </c>
      <c r="D24" s="68">
        <f t="shared" ref="D24:G24" si="4">SUM(D5:D23)</f>
        <v>9478</v>
      </c>
      <c r="E24" s="68">
        <f t="shared" si="4"/>
        <v>1800</v>
      </c>
      <c r="F24" s="68">
        <f t="shared" si="4"/>
        <v>153000</v>
      </c>
      <c r="G24" s="89">
        <f t="shared" si="4"/>
        <v>-83328</v>
      </c>
    </row>
    <row r="27" spans="1:7" x14ac:dyDescent="0.35">
      <c r="G27" s="21">
        <v>350018</v>
      </c>
    </row>
    <row r="28" spans="1:7" x14ac:dyDescent="0.35">
      <c r="G28" s="141">
        <f>+G24+G27</f>
        <v>266690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128050</v>
      </c>
      <c r="K4" s="232">
        <f t="shared" ref="K4" si="0">D7+D11+D15</f>
        <v>15366</v>
      </c>
      <c r="L4" s="221">
        <f>F7+F11+F15</f>
        <v>110500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>
        <f>IF(DigitaNICA!C13&lt;&gt;"",DigitaNICA!C13,"")</f>
        <v>35850</v>
      </c>
      <c r="D5" s="42">
        <f>IF(C5="",0,C5*J$10)</f>
        <v>4302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11548</v>
      </c>
      <c r="I5" s="219" t="s">
        <v>37</v>
      </c>
      <c r="J5" s="233">
        <f>SUM(IF(C5="",0,C5),IF(C9="",0,C9),IF(C13="",0,C13),IF(C17="",0,C17))</f>
        <v>54100</v>
      </c>
      <c r="K5" s="234">
        <f t="shared" ref="K5" si="2">D5+D9+D13+D17</f>
        <v>6492</v>
      </c>
      <c r="L5" s="235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IF(DigitaTICA!C13&lt;&gt;"",DigitaTICA!C13,"")</f>
        <v>28800</v>
      </c>
      <c r="D7" s="42">
        <f>IF(C7="",0,C7*J$9)</f>
        <v>3456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25344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>
        <f>IF(DigitaNICA!E13&lt;&gt;"",DigitaNICA!E13,"")</f>
        <v>11650</v>
      </c>
      <c r="D9" s="42">
        <f>IF(C9="",0,C9*J$10)</f>
        <v>1398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10252</v>
      </c>
      <c r="I9" s="60" t="s">
        <v>36</v>
      </c>
      <c r="J9" s="61">
        <v>0.12</v>
      </c>
      <c r="K9" s="62">
        <f>MROUND(D7+D11+D15,50)</f>
        <v>15350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6500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>
        <f>IF(DigitaTICA!E13&lt;&gt;"",DigitaTICA!E13,"")</f>
        <v>21150</v>
      </c>
      <c r="D11" s="42">
        <f>IF(C11="",0,C11*J$9)</f>
        <v>2538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-23888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IF(DigitaNICA!G13&lt;&gt;"",DigitaNICA!G13,"")</f>
        <v>2300</v>
      </c>
      <c r="D13" s="42">
        <f>IF(C13="",0,C13*J$10)</f>
        <v>276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2024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IF(DigitaTICA!G13&lt;&gt;"",DigitaTICA!G13,"")</f>
        <v>78100</v>
      </c>
      <c r="D15" s="42">
        <f>IF(C15="",0,C15*J$9)</f>
        <v>9372</v>
      </c>
      <c r="E15" s="29">
        <f>IF(DigitaTICA!H13&lt;&gt;"",DigitaTICA!H13,"")</f>
        <v>800</v>
      </c>
      <c r="F15" s="134">
        <f>IF(E15="",0,E15*PREMIOS!F15)</f>
        <v>68000</v>
      </c>
      <c r="G15" s="30">
        <f t="shared" si="3"/>
        <v>728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>
        <f>IF(DigitaNICA!I13&lt;&gt;"",DigitaNICA!I13,"")</f>
        <v>4300</v>
      </c>
      <c r="D17" s="42">
        <f>IF(C17="",0,C17*J$10)</f>
        <v>516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3784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182150</v>
      </c>
      <c r="D19" s="68">
        <f>MROUND(SUM(D5:D18),50)</f>
        <v>21850</v>
      </c>
      <c r="E19" s="68">
        <f>SUM(E5:E18)</f>
        <v>1550</v>
      </c>
      <c r="F19" s="68">
        <f>SUM(F5:F18)</f>
        <v>130500</v>
      </c>
      <c r="G19" s="89">
        <f>SUM(G5:G18)</f>
        <v>29792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91000</v>
      </c>
      <c r="K4" s="237">
        <f t="shared" ref="K4" si="0">D7+D11+D15</f>
        <v>13650</v>
      </c>
      <c r="L4" s="238">
        <f>F7+F11+F15</f>
        <v>88000</v>
      </c>
    </row>
    <row r="5" spans="1:12" x14ac:dyDescent="0.35">
      <c r="A5" s="28" t="s">
        <v>43</v>
      </c>
      <c r="B5" s="133">
        <f>IF(DigitaNICA!C2&lt;&gt;"",DigitaNICA!C2,"")</f>
        <v>66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>
        <f>IF(DigitaTICA!C14&lt;&gt;"",DigitaTICA!C14,"")</f>
        <v>37550</v>
      </c>
      <c r="D7" s="42">
        <f>IF(C7="",0,C7*J$9)</f>
        <v>5632.5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31917.5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13650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>
        <f>IF(DigitaTICA!E14&lt;&gt;"",DigitaTICA!E14,"")</f>
        <v>15650</v>
      </c>
      <c r="D11" s="42">
        <f>IF(C11="",0,C11*J$9)</f>
        <v>2347.5</v>
      </c>
      <c r="E11" s="29">
        <f>IF(DigitaTICA!F14&lt;&gt;"",DigitaTICA!F14,"")</f>
        <v>400</v>
      </c>
      <c r="F11" s="42">
        <f>IF(E11="",0,E11*PREMIOS!E11)</f>
        <v>32000</v>
      </c>
      <c r="G11" s="30">
        <f t="shared" si="1"/>
        <v>-18697.5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>
        <f>IF(DigitaTICA!G14&lt;&gt;"",DigitaTICA!G14,"")</f>
        <v>37800</v>
      </c>
      <c r="D15" s="42">
        <f>IF(C15="",0,C15*J$9)</f>
        <v>5670</v>
      </c>
      <c r="E15" s="29">
        <f>IF(DigitaTICA!H14&lt;&gt;"",DigitaTICA!H14,"")</f>
        <v>700</v>
      </c>
      <c r="F15" s="42">
        <f>IF(E15="",0,E15*PREMIOS!E15)</f>
        <v>56000</v>
      </c>
      <c r="G15" s="30">
        <f t="shared" si="2"/>
        <v>-23870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91000</v>
      </c>
      <c r="D19" s="68">
        <f>MROUND(SUM(D5:D18),50)</f>
        <v>13650</v>
      </c>
      <c r="E19" s="68">
        <f>SUM(E5:E18)</f>
        <v>1100</v>
      </c>
      <c r="F19" s="68">
        <f>SUM(F5:F18)</f>
        <v>88000</v>
      </c>
      <c r="G19" s="89">
        <f>SUM(G5:G18)</f>
        <v>-10650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2">
        <f>SUM(IF(C7="",0,C7),IF(C11="",0,C11),IF(C15="",0,C15))</f>
        <v>91450</v>
      </c>
      <c r="K4" s="232">
        <f>D7+D11+D15</f>
        <v>10974</v>
      </c>
      <c r="L4" s="221">
        <f>F7+F11+F15</f>
        <v>148750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IF(DigitaNICA!C16&lt;&gt;"",DigitaNICA!C16,"")</f>
        <v>4600</v>
      </c>
      <c r="D5" s="42">
        <f>IF(C5="",0,C5*J$12)</f>
        <v>552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-11952</v>
      </c>
      <c r="I5" s="63" t="s">
        <v>37</v>
      </c>
      <c r="J5" s="226">
        <f>SUM(IF(C5="",0,C5),IF(C9="",0,C9),IF(C13="",0,C13),IF(C17="",0,C17))</f>
        <v>41050</v>
      </c>
      <c r="K5" s="226">
        <f t="shared" ref="K5" si="1">D5+D9+D13+D17</f>
        <v>4926</v>
      </c>
      <c r="L5" s="223">
        <f>F5+F9+F13+F17</f>
        <v>52000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7">
        <f>SUM(IF(C8="",0,C8),IF(C12="",0,C12),IF(C16="",0,C16))</f>
        <v>7500</v>
      </c>
      <c r="K6" s="227">
        <f t="shared" ref="K6" si="2">+D8+D12+D16</f>
        <v>750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13</v>
      </c>
      <c r="C7" s="29">
        <f>IF(DigitaTICA!C16&lt;&gt;"",DigitaTICA!C16,"")</f>
        <v>17400</v>
      </c>
      <c r="D7" s="42">
        <f>IF(C7="",0,C7*J$11)</f>
        <v>2088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-5938</v>
      </c>
      <c r="I7" s="63" t="s">
        <v>96</v>
      </c>
      <c r="J7" s="227">
        <f>SUM(IF(C19="",0,C19),IF(C20="",0,C20))</f>
        <v>0</v>
      </c>
      <c r="K7" s="227">
        <f>+D19+D20</f>
        <v>0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1350</v>
      </c>
      <c r="I8" s="65" t="s">
        <v>104</v>
      </c>
      <c r="J8" s="229">
        <f>SUM(IF(C21="",0,C21),IF(C22="",0,C22),IF(C23="",0,C23))</f>
        <v>4900</v>
      </c>
      <c r="K8" s="229">
        <f>D21+D22+D23</f>
        <v>588</v>
      </c>
      <c r="L8" s="230">
        <f>F21+F22+F23</f>
        <v>16000</v>
      </c>
    </row>
    <row r="9" spans="1:12" ht="15" thickBot="1" x14ac:dyDescent="0.4">
      <c r="A9" s="28" t="s">
        <v>48</v>
      </c>
      <c r="B9" s="133">
        <f>IF(DigitaNICA!E2&lt;&gt;"",DigitaNICA!E2,"")</f>
        <v>35</v>
      </c>
      <c r="C9" s="29">
        <f>IF(DigitaNICA!E16&lt;&gt;"",DigitaNICA!E16,"")</f>
        <v>8600</v>
      </c>
      <c r="D9" s="42">
        <f>IF(C9="",0,C9*J$12)</f>
        <v>1032</v>
      </c>
      <c r="E9" s="29">
        <f>IF(DigitaNICA!F16&lt;&gt;"",DigitaNICA!F16,"")</f>
        <v>250</v>
      </c>
      <c r="F9" s="134">
        <f>IF(E9="",0,E9*PREMIOS!E9)</f>
        <v>20000</v>
      </c>
      <c r="G9" s="30">
        <f t="shared" si="0"/>
        <v>-12432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IF(DigitaTICA!E16&lt;&gt;"",DigitaTICA!E16,"")</f>
        <v>29900</v>
      </c>
      <c r="D11" s="42">
        <f>IF(C11="",0,C11*J$11)</f>
        <v>3588</v>
      </c>
      <c r="E11" s="29">
        <f>IF(DigitaTICA!F16&lt;&gt;"",DigitaTICA!F16,"")</f>
        <v>1250</v>
      </c>
      <c r="F11" s="134">
        <f>IF(E11="",0,E11*PREMIOS!F11)</f>
        <v>106250</v>
      </c>
      <c r="G11" s="30">
        <f t="shared" si="0"/>
        <v>-79938</v>
      </c>
      <c r="I11" s="77" t="s">
        <v>36</v>
      </c>
      <c r="J11" s="78">
        <v>0.12</v>
      </c>
      <c r="K11" s="79">
        <f>MROUND(D7+D11+D15,50)</f>
        <v>10950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4950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IF(DigitaNICA!G16&lt;&gt;"",DigitaNICA!G16,"")</f>
        <v>5900</v>
      </c>
      <c r="D13" s="42">
        <f>IF(C13="",0,C13*J$12)</f>
        <v>708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14</v>
      </c>
      <c r="C15" s="29">
        <f>IF(DigitaTICA!G16&lt;&gt;"",DigitaTICA!G16,"")</f>
        <v>44150</v>
      </c>
      <c r="D15" s="42">
        <f>IF(C15="",0,C15*J$11)</f>
        <v>5298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17602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61</v>
      </c>
      <c r="C17" s="29">
        <f>IF(DigitaNICA!I16&lt;&gt;"",DigitaNICA!I16,"")</f>
        <v>21950</v>
      </c>
      <c r="D17" s="42">
        <f>IF(C17="",0,C17*J$12)</f>
        <v>2634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3316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35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75</v>
      </c>
      <c r="C21" s="29">
        <f>IF(DigitaHONDURAS!$C$16&lt;&gt;"",DigitaHONDURAS!$C$16,"")</f>
        <v>2200</v>
      </c>
      <c r="D21" s="42">
        <f>IF(C21="",0,C21*J$15)</f>
        <v>264</v>
      </c>
      <c r="E21" s="29">
        <f>IF(DigitaHONDURAS!$D$16&lt;&gt;"",DigitaHONDURAS!$D$16,"")</f>
        <v>200</v>
      </c>
      <c r="F21" s="42">
        <f>IF(E21="",0,E21*PREMIOS!E20)</f>
        <v>16000</v>
      </c>
      <c r="G21" s="30">
        <f t="shared" si="3"/>
        <v>-14064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>
        <f>IF(DigitaHONDURAS!$E$16&lt;&gt;"",DigitaHONDURAS!$E$16,"")</f>
        <v>1200</v>
      </c>
      <c r="D22" s="42">
        <f t="shared" ref="D22:D23" si="4">IF(C22="",0,C22*J$15)</f>
        <v>144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1056</v>
      </c>
    </row>
    <row r="23" spans="1:7" x14ac:dyDescent="0.35">
      <c r="A23" s="28" t="s">
        <v>101</v>
      </c>
      <c r="B23" s="133">
        <f>IF(DigitaHONDURAS!G2&lt;&gt;"",DigitaHONDURAS!G2,"")</f>
        <v>63</v>
      </c>
      <c r="C23" s="29">
        <f>IF(DigitaHONDURAS!$G$16&lt;&gt;"",DigitaHONDURAS!$G$16,"")</f>
        <v>1500</v>
      </c>
      <c r="D23" s="42">
        <f t="shared" si="4"/>
        <v>180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1320</v>
      </c>
    </row>
    <row r="24" spans="1:7" ht="15" thickBot="1" x14ac:dyDescent="0.4">
      <c r="A24" s="122" t="s">
        <v>5</v>
      </c>
      <c r="B24" s="129"/>
      <c r="C24" s="123">
        <f>SUM(C5:C23)</f>
        <v>144900</v>
      </c>
      <c r="D24" s="123">
        <f t="shared" ref="D24:G24" si="5">SUM(D5:D23)</f>
        <v>17238</v>
      </c>
      <c r="E24" s="123">
        <f t="shared" si="5"/>
        <v>2600</v>
      </c>
      <c r="F24" s="123">
        <f t="shared" si="5"/>
        <v>216750</v>
      </c>
      <c r="G24" s="124">
        <f t="shared" si="5"/>
        <v>-89088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376400</v>
      </c>
      <c r="K4" s="232">
        <f t="shared" ref="K4" si="0">D7+D11+D15</f>
        <v>45168</v>
      </c>
      <c r="L4" s="221">
        <f>F7+F11+F15</f>
        <v>493000</v>
      </c>
    </row>
    <row r="5" spans="1:12" x14ac:dyDescent="0.35">
      <c r="A5" s="28" t="s">
        <v>43</v>
      </c>
      <c r="B5" s="133">
        <f>IF(DigitaNICA!C2&lt;&gt;"",DigitaNICA!C2,"")</f>
        <v>66</v>
      </c>
      <c r="C5" s="90">
        <f>IF(DigitaNICA!C17&lt;&gt;"",DigitaNICA!C17,"")</f>
        <v>101150</v>
      </c>
      <c r="D5" s="42">
        <f>IF(C5="",0,C5*J$16)</f>
        <v>12138</v>
      </c>
      <c r="E5" s="90">
        <f>IF(DigitaNICA!D17&lt;&gt;"",DigitaNICA!D17,"")</f>
        <v>150</v>
      </c>
      <c r="F5" s="42">
        <f>IF(E5="",0,E5*PREMIOS!F5)</f>
        <v>12750</v>
      </c>
      <c r="G5" s="91">
        <f t="shared" ref="G5:G12" si="1">IF(OR(C5="",E5=""),0,C5-D5-F5)</f>
        <v>76262</v>
      </c>
      <c r="I5" s="218" t="s">
        <v>37</v>
      </c>
      <c r="J5" s="222">
        <f>SUM(IF(C5="",0,C5),IF(C9="",0,C9),IF(C13="",0,C13),IF(C17="",0,C17))</f>
        <v>358650</v>
      </c>
      <c r="K5" s="226">
        <f t="shared" ref="K5" si="2">D5+D9+D13+D17</f>
        <v>43038</v>
      </c>
      <c r="L5" s="223">
        <f>F5+F9+F13+F17</f>
        <v>123250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65850</v>
      </c>
      <c r="K6" s="227">
        <f t="shared" ref="K6" si="3">+D8+D12+D16</f>
        <v>6585</v>
      </c>
      <c r="L6" s="228">
        <f>+F8+F12+F16</f>
        <v>20000</v>
      </c>
    </row>
    <row r="7" spans="1:12" x14ac:dyDescent="0.35">
      <c r="A7" s="28" t="s">
        <v>46</v>
      </c>
      <c r="B7" s="133">
        <f>IF(DigitaTICA!C2&lt;&gt;"",DigitaTICA!C2,"")</f>
        <v>13</v>
      </c>
      <c r="C7" s="90">
        <f>IF(DigitaTICA!C17&lt;&gt;"",DigitaTICA!C17,"")</f>
        <v>98950</v>
      </c>
      <c r="D7" s="42">
        <f>IF(C7="",0,C7*J$15)</f>
        <v>11874</v>
      </c>
      <c r="E7" s="90">
        <f>IF(DigitaTICA!D17&lt;&gt;"",DigitaTICA!D17,"")</f>
        <v>1000</v>
      </c>
      <c r="F7" s="42">
        <f>IF(E7="",0,E7*PREMIOS!F7)</f>
        <v>85000</v>
      </c>
      <c r="G7" s="91">
        <f t="shared" si="1"/>
        <v>2076</v>
      </c>
      <c r="I7" s="218" t="s">
        <v>96</v>
      </c>
      <c r="J7" s="224">
        <f>SUM(IF(C19="",0,C19),IF(C20="",0,C20))</f>
        <v>100950</v>
      </c>
      <c r="K7" s="227">
        <f>+D19+D20</f>
        <v>12114</v>
      </c>
      <c r="L7" s="228">
        <f>+F19+F20</f>
        <v>89250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26700</v>
      </c>
      <c r="D8" s="42">
        <f>IF(C8="",0,C8*J$17)</f>
        <v>2670</v>
      </c>
      <c r="E8" s="90">
        <f>IF(DigitaREVENTADO!D17&lt;&gt;"",DigitaREVENTADO!D17,"")</f>
        <v>500</v>
      </c>
      <c r="F8" s="42">
        <f>IF(E8="",0,E8*PREMIOS!F8)</f>
        <v>0</v>
      </c>
      <c r="G8" s="91">
        <f t="shared" si="1"/>
        <v>24030</v>
      </c>
      <c r="I8" s="218" t="s">
        <v>104</v>
      </c>
      <c r="J8" s="224">
        <f>SUM(IF(C21="",0,C21),IF(C22="",0,C22),IF(C23="",0,C23))</f>
        <v>57100</v>
      </c>
      <c r="K8" s="227">
        <f t="shared" ref="K8" si="4">D21+D22+D23</f>
        <v>6852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35</v>
      </c>
      <c r="C9" s="90">
        <f>IF(DigitaNICA!E17&lt;&gt;"",DigitaNICA!E17,"")</f>
        <v>76150</v>
      </c>
      <c r="D9" s="42">
        <f>IF(C9="",0,C9*J$16)</f>
        <v>9138</v>
      </c>
      <c r="E9" s="90">
        <f>IF(DigitaNICA!F17&lt;&gt;"",DigitaNICA!F17,"")</f>
        <v>200</v>
      </c>
      <c r="F9" s="42">
        <f>IF(E9="",0,E9*PREMIOS!F9)</f>
        <v>17000</v>
      </c>
      <c r="G9" s="91">
        <f t="shared" si="1"/>
        <v>50012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90">
        <f>IF(DigitaTICA!E17&lt;&gt;"",DigitaTICA!E17,"")</f>
        <v>79400</v>
      </c>
      <c r="D11" s="42">
        <f>IF(C11="",0,C11*J$15)</f>
        <v>9528</v>
      </c>
      <c r="E11" s="90">
        <f>IF(DigitaTICA!F17&lt;&gt;"",DigitaTICA!F17,"")</f>
        <v>1450</v>
      </c>
      <c r="F11" s="42">
        <f>IF(E11="",0,E11*PREMIOS!F11)</f>
        <v>123250</v>
      </c>
      <c r="G11" s="91">
        <f t="shared" si="1"/>
        <v>-53378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11600</v>
      </c>
      <c r="D12" s="42">
        <f>IF(C12="",0,C12*J$17)</f>
        <v>1160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10440</v>
      </c>
    </row>
    <row r="13" spans="1:12" ht="15" thickBot="1" x14ac:dyDescent="0.4">
      <c r="A13" s="28" t="s">
        <v>50</v>
      </c>
      <c r="B13" s="133">
        <f>IF(DigitaNICA!G2&lt;&gt;"",DigitaNICA!G2,"")</f>
        <v>59</v>
      </c>
      <c r="C13" s="90">
        <f>IF(DigitaNICA!G17&lt;&gt;"",DigitaNICA!G17,"")</f>
        <v>68550</v>
      </c>
      <c r="D13" s="42">
        <f>IF(C13="",0,C13*J$16)</f>
        <v>8226</v>
      </c>
      <c r="E13" s="90">
        <f>IF(DigitaNICA!H17&lt;&gt;"",DigitaNICA!H17,"")</f>
        <v>400</v>
      </c>
      <c r="F13" s="42">
        <f>IF(E13="",0,E13*PREMIOS!F13)</f>
        <v>34000</v>
      </c>
      <c r="G13" s="91">
        <f>IF(OR(C13="",E13=""),0,C13-D13-F13)</f>
        <v>26324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14</v>
      </c>
      <c r="C15" s="90">
        <f>IF(DigitaTICA!G17&lt;&gt;"",DigitaTICA!G17,"")</f>
        <v>198050</v>
      </c>
      <c r="D15" s="42">
        <f>IF(C15="",0,C15*J$15)</f>
        <v>23766</v>
      </c>
      <c r="E15" s="90">
        <f>IF(DigitaTICA!H17&lt;&gt;"",DigitaTICA!H17,"")</f>
        <v>3350</v>
      </c>
      <c r="F15" s="42">
        <f>IF(E15="",0,E15*PREMIOS!F15)</f>
        <v>284750</v>
      </c>
      <c r="G15" s="91">
        <f t="shared" si="6"/>
        <v>-110466</v>
      </c>
      <c r="I15" s="77" t="s">
        <v>36</v>
      </c>
      <c r="J15" s="78">
        <v>0.12</v>
      </c>
      <c r="K15" s="79">
        <f>MROUND(D7+D11+D15,50)</f>
        <v>45150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27550</v>
      </c>
      <c r="D16" s="42">
        <f>IF(C16="",0,C16*J$17)</f>
        <v>2755</v>
      </c>
      <c r="E16" s="90">
        <f>IF(DigitaREVENTADO!H17&lt;&gt;"",DigitaREVENTADO!H17,"")</f>
        <v>100</v>
      </c>
      <c r="F16" s="42">
        <f>IF(E16="",0,E16*PREMIOS!F16)</f>
        <v>20000</v>
      </c>
      <c r="G16" s="91">
        <f t="shared" si="6"/>
        <v>4795</v>
      </c>
      <c r="I16" s="63" t="s">
        <v>37</v>
      </c>
      <c r="J16" s="64">
        <v>0.12</v>
      </c>
      <c r="K16" s="30">
        <f>MROUND(D5+D9+D13+D17,50)</f>
        <v>43050</v>
      </c>
    </row>
    <row r="17" spans="1:11" x14ac:dyDescent="0.35">
      <c r="A17" s="28" t="s">
        <v>52</v>
      </c>
      <c r="B17" s="133">
        <f>IF(DigitaNICA!I2&lt;&gt;"",DigitaNICA!I2,"")</f>
        <v>61</v>
      </c>
      <c r="C17" s="90">
        <f>IF(DigitaNICA!I17&lt;&gt;"",DigitaNICA!I17,"")</f>
        <v>112800</v>
      </c>
      <c r="D17" s="42">
        <f>IF(C17="",0,C17*J$16)</f>
        <v>13536</v>
      </c>
      <c r="E17" s="90">
        <f>IF(DigitaNICA!J17&lt;&gt;"",DigitaNICA!J17,"")</f>
        <v>700</v>
      </c>
      <c r="F17" s="42">
        <f>IF(E17="",0,E17*PREMIOS!F17)</f>
        <v>59500</v>
      </c>
      <c r="G17" s="91">
        <f t="shared" si="6"/>
        <v>39764</v>
      </c>
      <c r="I17" s="63" t="s">
        <v>38</v>
      </c>
      <c r="J17" s="64">
        <v>0.1</v>
      </c>
      <c r="K17" s="30">
        <f>MROUND(D6+D8+D10+D12+D14+D16+D18,50)</f>
        <v>6600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12100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IF(DigitaPRIMERA!$C$17&lt;&gt;"",DigitaPRIMERA!$C$17,"")</f>
        <v>55600</v>
      </c>
      <c r="D19" s="42">
        <f>IF(C19="",0,C19*J$18)</f>
        <v>6672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-14822</v>
      </c>
      <c r="I19" s="63" t="s">
        <v>104</v>
      </c>
      <c r="J19" s="64">
        <v>0.12</v>
      </c>
      <c r="K19" s="30">
        <f>MROUND(D21+D22+D23,50)</f>
        <v>6850</v>
      </c>
    </row>
    <row r="20" spans="1:11" x14ac:dyDescent="0.35">
      <c r="A20" s="28" t="s">
        <v>98</v>
      </c>
      <c r="B20" s="133">
        <f>IF(DigitaPRIMERA!E2&lt;&gt;"",DigitaPRIMERA!E2,"")</f>
        <v>35</v>
      </c>
      <c r="C20" s="29">
        <f>IF(DigitaPRIMERA!$E$17&lt;&gt;"",DigitaPRIMERA!$E$17,"")</f>
        <v>45350</v>
      </c>
      <c r="D20" s="42">
        <f>IF(C20="",0,C20*J$18)</f>
        <v>5442</v>
      </c>
      <c r="E20" s="29">
        <f>IF(DigitaPRIMERA!$F$17&lt;&gt;"",DigitaPRIMERA!$F$17,"")</f>
        <v>300</v>
      </c>
      <c r="F20" s="42">
        <f>IF(E20="",0,E20*PREMIOS!F19)</f>
        <v>25500</v>
      </c>
      <c r="G20" s="30">
        <f t="shared" si="6"/>
        <v>14408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75</v>
      </c>
      <c r="C21" s="29">
        <f>IF(DigitaHONDURAS!$C$17&lt;&gt;"",DigitaHONDURAS!$C$17,"")</f>
        <v>37750</v>
      </c>
      <c r="D21" s="42">
        <f>IF(C21="",0,C21*J$19)</f>
        <v>4530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33220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IF(DigitaHONDURAS!$E$17&lt;&gt;"",DigitaHONDURAS!$E$17,"")</f>
        <v>900</v>
      </c>
      <c r="D22" s="42">
        <f>IF(C22="",0,C22*J$19)</f>
        <v>108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792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>
        <f>IF(DigitaHONDURAS!$G$17&lt;&gt;"",DigitaHONDURAS!$G$17,"")</f>
        <v>18450</v>
      </c>
      <c r="D23" s="42">
        <f>IF(C23="",0,C23*J$19)</f>
        <v>2214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16236</v>
      </c>
    </row>
    <row r="24" spans="1:11" x14ac:dyDescent="0.35">
      <c r="A24" s="28" t="s">
        <v>102</v>
      </c>
      <c r="B24" s="133" t="str">
        <f>IF(DigitaDOMINICANA!C2&lt;&gt;"",DigitaDOMINICANA!C2,"")</f>
        <v>07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22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958950</v>
      </c>
      <c r="D27" s="68">
        <f t="shared" ref="D27:G27" si="7">SUM(D5:D26)</f>
        <v>113757</v>
      </c>
      <c r="E27" s="68">
        <f t="shared" si="7"/>
        <v>8900</v>
      </c>
      <c r="F27" s="68">
        <f t="shared" si="7"/>
        <v>725500</v>
      </c>
      <c r="G27" s="89">
        <f t="shared" si="7"/>
        <v>119693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154500</v>
      </c>
      <c r="K4" s="232">
        <f t="shared" ref="K4" si="0">D7+D11+D15</f>
        <v>18540</v>
      </c>
      <c r="L4" s="221">
        <f>F7+F11+F15</f>
        <v>267750</v>
      </c>
    </row>
    <row r="5" spans="1:12" x14ac:dyDescent="0.35">
      <c r="A5" s="28" t="str">
        <f>+Vendedor1!A5</f>
        <v>Nica 11am</v>
      </c>
      <c r="B5" s="133">
        <f>IF(DigitaNICA!C2&lt;&gt;"",DigitaNICA!C2,"")</f>
        <v>66</v>
      </c>
      <c r="C5" s="29">
        <f>IF(DigitaNICA!C18&lt;&gt;"",DigitaNICA!C18,"")</f>
        <v>77100</v>
      </c>
      <c r="D5" s="42">
        <f>IF(C5="",0,C5*J$16)</f>
        <v>9252</v>
      </c>
      <c r="E5" s="29">
        <f>IF(DigitaNICA!D18&lt;&gt;"",DigitaNICA!D18,"")</f>
        <v>450</v>
      </c>
      <c r="F5" s="42">
        <f>IF(E5="",0,E5*PREMIOS!F5)</f>
        <v>38250</v>
      </c>
      <c r="G5" s="30">
        <f t="shared" ref="G5:G12" si="1">IF(OR(C5="",E5=""),0,C5-D5-F5)</f>
        <v>29598</v>
      </c>
      <c r="I5" s="218" t="s">
        <v>37</v>
      </c>
      <c r="J5" s="222">
        <f>SUM(IF(C5="",0,C5),IF(C9="",0,C9),IF(C13="",0,C13),IF(C17="",0,C17))</f>
        <v>172800</v>
      </c>
      <c r="K5" s="226">
        <f t="shared" ref="K5" si="2">D5+D9+D13+D17</f>
        <v>20736</v>
      </c>
      <c r="L5" s="223">
        <f>F5+F9+F13+F17</f>
        <v>157250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86150</v>
      </c>
      <c r="K6" s="227">
        <f t="shared" ref="K6" si="3">+D8+D12+D16</f>
        <v>8615</v>
      </c>
      <c r="L6" s="228">
        <f>+F8+F12+F16</f>
        <v>140000</v>
      </c>
    </row>
    <row r="7" spans="1:12" x14ac:dyDescent="0.35">
      <c r="A7" s="28" t="str">
        <f>+Vendedor1!A7</f>
        <v>Tica 1pm</v>
      </c>
      <c r="B7" s="133">
        <f>IF(DigitaTICA!C2&lt;&gt;"",DigitaTICA!C2,"")</f>
        <v>13</v>
      </c>
      <c r="C7" s="29">
        <f>IF(DigitaTICA!C18&lt;&gt;"",DigitaTICA!C18,"")</f>
        <v>55150</v>
      </c>
      <c r="D7" s="42">
        <f>IF(C7="",0,C7*J$15)</f>
        <v>6618</v>
      </c>
      <c r="E7" s="29">
        <f>IF(DigitaTICA!D18&lt;&gt;"",DigitaTICA!D18,"")</f>
        <v>700</v>
      </c>
      <c r="F7" s="42">
        <f>IF(E7="",0,E7*PREMIOS!F7)</f>
        <v>59500</v>
      </c>
      <c r="G7" s="30">
        <f t="shared" si="1"/>
        <v>-10968</v>
      </c>
      <c r="I7" s="218" t="s">
        <v>96</v>
      </c>
      <c r="J7" s="224">
        <f>SUM(IF(C19="",0,C19),IF(C20="",0,C20))</f>
        <v>126600</v>
      </c>
      <c r="K7" s="227">
        <f>+D19+D20</f>
        <v>15192</v>
      </c>
      <c r="L7" s="228">
        <f>+F19+F20</f>
        <v>68000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25850</v>
      </c>
      <c r="D8" s="42">
        <f>IF(C8="",0,C8*J$17)</f>
        <v>2585</v>
      </c>
      <c r="E8" s="29">
        <f>IF(DigitaREVENTADO!D18&lt;&gt;"",DigitaREVENTADO!D18,"")</f>
        <v>500</v>
      </c>
      <c r="F8" s="42">
        <f>IF(E8="",0,E8*PREMIOS!F8)</f>
        <v>0</v>
      </c>
      <c r="G8" s="30">
        <f t="shared" si="1"/>
        <v>23265</v>
      </c>
      <c r="I8" s="218" t="s">
        <v>104</v>
      </c>
      <c r="J8" s="224">
        <f>SUM(IF(C21="",0,C21),IF(C22="",0,C22),IF(C23="",0,C23))</f>
        <v>29450</v>
      </c>
      <c r="K8" s="227">
        <f t="shared" ref="K8" si="4">D21+D22+D23</f>
        <v>3534</v>
      </c>
      <c r="L8" s="228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35</v>
      </c>
      <c r="C9" s="29">
        <f>IF(DigitaNICA!E18&lt;&gt;"",DigitaNICA!E18,"")</f>
        <v>45700</v>
      </c>
      <c r="D9" s="42">
        <f>IF(C9="",0,C9*J$16)</f>
        <v>5484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14716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IF(DigitaTICA!E18&lt;&gt;"",DigitaTICA!E18,"")</f>
        <v>36550</v>
      </c>
      <c r="D11" s="42">
        <f>IF(C11="",0,C11*J$15)</f>
        <v>4386</v>
      </c>
      <c r="E11" s="29">
        <f>IF(DigitaTICA!F18&lt;&gt;"",DigitaTICA!F18,"")</f>
        <v>1250</v>
      </c>
      <c r="F11" s="42">
        <f>IF(E11="",0,E11*PREMIOS!F11)</f>
        <v>106250</v>
      </c>
      <c r="G11" s="30">
        <f t="shared" si="1"/>
        <v>-74086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24000</v>
      </c>
      <c r="D12" s="42">
        <f>IF(C12="",0,C12*J$17)</f>
        <v>2400</v>
      </c>
      <c r="E12" s="29">
        <f>IF(DigitaREVENTADO!F18&lt;&gt;"",DigitaREVENTADO!F18,"")</f>
        <v>1000</v>
      </c>
      <c r="F12" s="42">
        <f>IF(E12="",0,E12*PREMIOS!F12)</f>
        <v>0</v>
      </c>
      <c r="G12" s="30">
        <f t="shared" si="1"/>
        <v>21600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59</v>
      </c>
      <c r="C13" s="29">
        <f>IF(DigitaNICA!G18&lt;&gt;"",DigitaNICA!G18,"")</f>
        <v>49400</v>
      </c>
      <c r="D13" s="42">
        <f>IF(C13="",0,C13*J$16)</f>
        <v>5928</v>
      </c>
      <c r="E13" s="29">
        <f>IF(DigitaNICA!H18&lt;&gt;"",DigitaNICA!H18,"")</f>
        <v>1100</v>
      </c>
      <c r="F13" s="42">
        <f>IF(E13="",0,E13*PREMIOS!F13)</f>
        <v>93500</v>
      </c>
      <c r="G13" s="30">
        <f>IF(OR(C13="",E13=""),0,C13-D13-F13)</f>
        <v>-50028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14</v>
      </c>
      <c r="C15" s="29">
        <f>IF(DigitaTICA!G18&lt;&gt;"",DigitaTICA!G18,"")</f>
        <v>62800</v>
      </c>
      <c r="D15" s="42">
        <f>IF(C15="",0,C15*J$15)</f>
        <v>7536</v>
      </c>
      <c r="E15" s="29">
        <f>IF(DigitaTICA!H18&lt;&gt;"",DigitaTICA!H18,"")</f>
        <v>1200</v>
      </c>
      <c r="F15" s="42">
        <f>IF(E15="",0,E15*PREMIOS!F15)</f>
        <v>102000</v>
      </c>
      <c r="G15" s="30">
        <f t="shared" si="6"/>
        <v>-46736</v>
      </c>
      <c r="I15" s="77" t="s">
        <v>36</v>
      </c>
      <c r="J15" s="78">
        <v>0.12</v>
      </c>
      <c r="K15" s="79">
        <f>MROUND(D7+D11+D15,50)</f>
        <v>18550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36300</v>
      </c>
      <c r="D16" s="42">
        <f>IF(C16="",0,C16*J$17)</f>
        <v>3630</v>
      </c>
      <c r="E16" s="29">
        <f>IF(DigitaREVENTADO!H18&lt;&gt;"",DigitaREVENTADO!H18,"")</f>
        <v>700</v>
      </c>
      <c r="F16" s="42">
        <f>IF(E16="",0,E16*PREMIOS!F16)</f>
        <v>140000</v>
      </c>
      <c r="G16" s="30">
        <f t="shared" si="6"/>
        <v>-107330</v>
      </c>
      <c r="I16" s="63" t="s">
        <v>37</v>
      </c>
      <c r="J16" s="64">
        <v>0.12</v>
      </c>
      <c r="K16" s="30">
        <f>MROUND(D5+D9+D13+D17,50)</f>
        <v>20750</v>
      </c>
    </row>
    <row r="17" spans="1:11" x14ac:dyDescent="0.35">
      <c r="A17" s="28" t="str">
        <f>+Vendedor1!A17</f>
        <v>Nica 9pm</v>
      </c>
      <c r="B17" s="133">
        <f>IF(DigitaNICA!I2&lt;&gt;"",DigitaNICA!I2,"")</f>
        <v>61</v>
      </c>
      <c r="C17" s="29">
        <f>IF(DigitaNICA!I18&lt;&gt;"",DigitaNICA!I18,"")</f>
        <v>600</v>
      </c>
      <c r="D17" s="42">
        <f>IF(C17="",0,C17*J$16)</f>
        <v>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528</v>
      </c>
      <c r="I17" s="63" t="s">
        <v>38</v>
      </c>
      <c r="J17" s="64">
        <v>0.1</v>
      </c>
      <c r="K17" s="30">
        <f>MROUND(D6+D8+D10+D12+D14+D16+D18,50)</f>
        <v>8600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15200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IF(DigitaPRIMERA!$C$18&lt;&gt;"",DigitaPRIMERA!$C$18,"")</f>
        <v>71150</v>
      </c>
      <c r="D19" s="42">
        <f>IF(C19="",0,C19*J$18)</f>
        <v>8538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3112</v>
      </c>
      <c r="I19" s="63" t="s">
        <v>104</v>
      </c>
      <c r="J19" s="64">
        <v>0.12</v>
      </c>
      <c r="K19" s="30">
        <f>MROUND(D21+D22+D23,50)</f>
        <v>3550</v>
      </c>
    </row>
    <row r="20" spans="1:11" x14ac:dyDescent="0.35">
      <c r="A20" s="28" t="s">
        <v>98</v>
      </c>
      <c r="B20" s="133">
        <f>IF(DigitaPRIMERA!E2&lt;&gt;"",DigitaPRIMERA!E2,"")</f>
        <v>35</v>
      </c>
      <c r="C20" s="29">
        <f>IF(DigitaPRIMERA!$E$18&lt;&gt;"",DigitaPRIMERA!$E$18,"")</f>
        <v>55450</v>
      </c>
      <c r="D20" s="42">
        <f>IF(C20="",0,C20*J$18)</f>
        <v>6654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40296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75</v>
      </c>
      <c r="C21" s="29">
        <f>IF(DigitaHONDURAS!$C$18&lt;&gt;"",DigitaHONDURAS!$C$18,"")</f>
        <v>24950</v>
      </c>
      <c r="D21" s="42">
        <f>IF(C21="",0,C21*J$19)</f>
        <v>2994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4956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IF(DigitaHONDURAS!$E$18&lt;&gt;"",DigitaHONDURAS!$E$18,"")</f>
        <v>4500</v>
      </c>
      <c r="D22" s="42">
        <f>IF(C22="",0,C22*J$19)</f>
        <v>540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3960</v>
      </c>
    </row>
    <row r="23" spans="1:11" x14ac:dyDescent="0.35">
      <c r="A23" s="28" t="s">
        <v>101</v>
      </c>
      <c r="B23" s="133">
        <f>IF(DigitaHONDURAS!G2&lt;&gt;"",DigitaHONDURAS!G2,"")</f>
        <v>63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22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569500</v>
      </c>
      <c r="D27" s="68">
        <f t="shared" ref="D27:G27" si="7">SUM(D5:D26)</f>
        <v>66617</v>
      </c>
      <c r="E27" s="68">
        <f t="shared" si="7"/>
        <v>8200</v>
      </c>
      <c r="F27" s="68">
        <f t="shared" si="7"/>
        <v>650000</v>
      </c>
      <c r="G27" s="89">
        <f t="shared" si="7"/>
        <v>-147117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35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>
        <f>IF(DigitaHONDURAS!$C$27&lt;&gt;"",DigitaHONDURAS!$C$27,"")</f>
        <v>-2200</v>
      </c>
      <c r="D21" s="42">
        <f>IF(C21="",0,C21*J$13)</f>
        <v>-264</v>
      </c>
      <c r="E21" s="29">
        <f>IF(DigitaHONDURAS!$D$27&lt;&gt;"",DigitaHONDURAS!$D$27,"")</f>
        <v>-200</v>
      </c>
      <c r="F21" s="42">
        <f>IF(E21="",0,E21*PREMIOS!F20)</f>
        <v>-17000</v>
      </c>
      <c r="G21" s="30">
        <f t="shared" si="1"/>
        <v>15064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>
        <f>IF(DigitaHONDURAS!$G$27&lt;&gt;"",DigitaHONDURAS!$G$27,"")</f>
        <v>-1500</v>
      </c>
      <c r="D23" s="42">
        <f>IF(C23="",0,C23*J$13)</f>
        <v>-180</v>
      </c>
      <c r="E23" s="29">
        <f>IF(DigitaHONDURAS!$H$27&lt;&gt;"",DigitaHONDURAS!$H$27,"")</f>
        <v>0</v>
      </c>
      <c r="F23" s="42">
        <f>IF(E23="",0,E23*PREMIOS!F20)</f>
        <v>0</v>
      </c>
      <c r="G23" s="30">
        <f t="shared" si="1"/>
        <v>-1320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-3700</v>
      </c>
      <c r="D27" s="68">
        <f t="shared" ref="D27:G27" si="2">SUM(D5:D26)</f>
        <v>-444</v>
      </c>
      <c r="E27" s="68">
        <f t="shared" si="2"/>
        <v>-200</v>
      </c>
      <c r="F27" s="68">
        <f t="shared" si="2"/>
        <v>-17000</v>
      </c>
      <c r="G27" s="89">
        <f t="shared" si="2"/>
        <v>13744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13</v>
      </c>
      <c r="D2" s="268"/>
      <c r="E2" s="267">
        <f>IF(PREMIOS!$B11="","",PREMIOS!$B11)</f>
        <v>22</v>
      </c>
      <c r="F2" s="268"/>
      <c r="G2" s="267">
        <f>IF(PREMIOS!$B15="","",PREMIOS!$B15)</f>
        <v>14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55450</v>
      </c>
      <c r="D4" s="79">
        <v>350</v>
      </c>
      <c r="E4" s="189">
        <v>32000</v>
      </c>
      <c r="F4" s="79">
        <v>500</v>
      </c>
      <c r="G4" s="189">
        <v>104500</v>
      </c>
      <c r="H4" s="79">
        <v>300</v>
      </c>
      <c r="J4" s="42">
        <f t="shared" ref="J4:J8" si="0">+C4+E4+G4</f>
        <v>191950</v>
      </c>
      <c r="K4" s="42">
        <f>IF(D4="",0,IF(F4="",D4,IF(H4="",D4+F4,D4+F4+H4)))</f>
        <v>1150</v>
      </c>
    </row>
    <row r="5" spans="1:11" x14ac:dyDescent="0.35">
      <c r="A5" s="47">
        <v>2</v>
      </c>
      <c r="B5" s="178" t="str">
        <f>Vendedor2!$B$2</f>
        <v>PUESTO 2</v>
      </c>
      <c r="C5" s="180">
        <v>68150</v>
      </c>
      <c r="D5" s="30">
        <v>1250</v>
      </c>
      <c r="E5" s="180">
        <v>23900</v>
      </c>
      <c r="F5" s="30">
        <v>550</v>
      </c>
      <c r="G5" s="180">
        <v>67200</v>
      </c>
      <c r="H5" s="30">
        <v>1250</v>
      </c>
      <c r="J5" s="42">
        <f t="shared" si="0"/>
        <v>159250</v>
      </c>
      <c r="K5" s="42">
        <f t="shared" ref="K5:K27" si="1">IF(D5="",0,IF(F5="",D5,IF(H5="",D5+F5,D5+F5+H5)))</f>
        <v>3050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>
        <v>1000</v>
      </c>
      <c r="H7" s="30">
        <f t="shared" si="2"/>
        <v>0</v>
      </c>
      <c r="J7" s="42">
        <f t="shared" si="0"/>
        <v>1000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79200</v>
      </c>
      <c r="D8" s="30">
        <v>400</v>
      </c>
      <c r="E8" s="180">
        <v>51650</v>
      </c>
      <c r="F8" s="30">
        <v>1450</v>
      </c>
      <c r="G8" s="180">
        <v>38400</v>
      </c>
      <c r="H8" s="30">
        <v>900</v>
      </c>
      <c r="J8" s="42">
        <f t="shared" si="0"/>
        <v>169250</v>
      </c>
      <c r="K8" s="42">
        <f t="shared" si="1"/>
        <v>2750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152850</v>
      </c>
      <c r="D10" s="30">
        <v>4850</v>
      </c>
      <c r="E10" s="180">
        <v>150700</v>
      </c>
      <c r="F10" s="30">
        <v>1550</v>
      </c>
      <c r="G10" s="180">
        <v>180500</v>
      </c>
      <c r="H10" s="30">
        <v>700</v>
      </c>
      <c r="J10" s="42">
        <f t="shared" si="3"/>
        <v>484050</v>
      </c>
      <c r="K10" s="42">
        <f t="shared" si="1"/>
        <v>7100</v>
      </c>
    </row>
    <row r="11" spans="1:11" x14ac:dyDescent="0.35">
      <c r="A11" s="47">
        <v>8</v>
      </c>
      <c r="B11" s="178" t="str">
        <f>Vendedor8!$B$2</f>
        <v>ISA</v>
      </c>
      <c r="C11" s="180">
        <v>17100</v>
      </c>
      <c r="D11" s="30">
        <f t="shared" si="2"/>
        <v>0</v>
      </c>
      <c r="E11" s="180"/>
      <c r="F11" s="30" t="str">
        <f t="shared" si="2"/>
        <v/>
      </c>
      <c r="G11" s="180">
        <v>29100</v>
      </c>
      <c r="H11" s="30">
        <f t="shared" si="2"/>
        <v>0</v>
      </c>
      <c r="J11" s="42">
        <f t="shared" si="3"/>
        <v>46200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10400</v>
      </c>
      <c r="D12" s="30">
        <f t="shared" si="2"/>
        <v>0</v>
      </c>
      <c r="E12" s="180">
        <v>5000</v>
      </c>
      <c r="F12" s="30">
        <v>500</v>
      </c>
      <c r="G12" s="180">
        <v>17000</v>
      </c>
      <c r="H12" s="30">
        <f t="shared" si="2"/>
        <v>0</v>
      </c>
      <c r="J12" s="42">
        <f t="shared" si="3"/>
        <v>32400</v>
      </c>
      <c r="K12" s="42">
        <f t="shared" si="1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28800</v>
      </c>
      <c r="D13" s="30">
        <f t="shared" si="2"/>
        <v>0</v>
      </c>
      <c r="E13" s="180">
        <v>21150</v>
      </c>
      <c r="F13" s="30">
        <v>500</v>
      </c>
      <c r="G13" s="180">
        <v>78100</v>
      </c>
      <c r="H13" s="30">
        <v>800</v>
      </c>
      <c r="J13" s="42">
        <f t="shared" si="3"/>
        <v>128050</v>
      </c>
      <c r="K13" s="42">
        <f t="shared" si="1"/>
        <v>1300</v>
      </c>
    </row>
    <row r="14" spans="1:11" x14ac:dyDescent="0.35">
      <c r="A14" s="47">
        <v>11</v>
      </c>
      <c r="B14" s="178" t="str">
        <f>Vendedor11!$B$2</f>
        <v>CHARLY</v>
      </c>
      <c r="C14" s="180">
        <v>37550</v>
      </c>
      <c r="D14" s="30">
        <f t="shared" si="2"/>
        <v>0</v>
      </c>
      <c r="E14" s="180">
        <v>15650</v>
      </c>
      <c r="F14" s="30">
        <v>400</v>
      </c>
      <c r="G14" s="180">
        <v>37800</v>
      </c>
      <c r="H14" s="30">
        <v>700</v>
      </c>
      <c r="J14" s="42">
        <f t="shared" si="3"/>
        <v>91000</v>
      </c>
      <c r="K14" s="42">
        <f t="shared" si="1"/>
        <v>1100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17400</v>
      </c>
      <c r="D16" s="30">
        <v>250</v>
      </c>
      <c r="E16" s="180">
        <v>29900</v>
      </c>
      <c r="F16" s="30">
        <v>1250</v>
      </c>
      <c r="G16" s="180">
        <v>44150</v>
      </c>
      <c r="H16" s="30">
        <v>250</v>
      </c>
      <c r="J16" s="42">
        <f t="shared" si="3"/>
        <v>91450</v>
      </c>
      <c r="K16" s="42">
        <f t="shared" si="1"/>
        <v>1750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68500+30450</f>
        <v>98950</v>
      </c>
      <c r="D17" s="30">
        <f>500+500</f>
        <v>1000</v>
      </c>
      <c r="E17" s="180">
        <f>67800+11600</f>
        <v>79400</v>
      </c>
      <c r="F17" s="30">
        <f>1450+0</f>
        <v>1450</v>
      </c>
      <c r="G17" s="180">
        <f>167650+30400</f>
        <v>198050</v>
      </c>
      <c r="H17" s="30">
        <f>3250+100</f>
        <v>3350</v>
      </c>
      <c r="J17" s="42">
        <f t="shared" si="3"/>
        <v>376400</v>
      </c>
      <c r="K17" s="42">
        <f t="shared" si="1"/>
        <v>5800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28300+26850</f>
        <v>55150</v>
      </c>
      <c r="D18" s="30">
        <f>200+500</f>
        <v>700</v>
      </c>
      <c r="E18" s="180">
        <f>12550+24000</f>
        <v>36550</v>
      </c>
      <c r="F18" s="30">
        <f>250+1000</f>
        <v>1250</v>
      </c>
      <c r="G18" s="180">
        <f>24350+38450</f>
        <v>62800</v>
      </c>
      <c r="H18" s="30">
        <f>500+700</f>
        <v>1200</v>
      </c>
      <c r="J18" s="42">
        <f t="shared" si="3"/>
        <v>154500</v>
      </c>
      <c r="K18" s="42">
        <f t="shared" si="1"/>
        <v>3150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621000</v>
      </c>
      <c r="D32" s="44">
        <f t="shared" si="6"/>
        <v>8800</v>
      </c>
      <c r="E32" s="43">
        <f t="shared" si="6"/>
        <v>445900</v>
      </c>
      <c r="F32" s="44">
        <f t="shared" si="6"/>
        <v>9400</v>
      </c>
      <c r="G32" s="43">
        <f t="shared" si="6"/>
        <v>858600</v>
      </c>
      <c r="H32" s="44">
        <f t="shared" si="6"/>
        <v>9450</v>
      </c>
      <c r="J32" s="96">
        <f>SUM(J4:J31)</f>
        <v>1925500</v>
      </c>
      <c r="K32" s="96"/>
    </row>
    <row r="33" spans="2:8" x14ac:dyDescent="0.35">
      <c r="D33" s="100">
        <f>+D32*85</f>
        <v>748000</v>
      </c>
      <c r="F33" s="100">
        <f>+F32*85</f>
        <v>799000</v>
      </c>
      <c r="H33" s="100">
        <f>+H32*85</f>
        <v>803250</v>
      </c>
    </row>
    <row r="34" spans="2:8" x14ac:dyDescent="0.35">
      <c r="B34" s="248" t="s">
        <v>149</v>
      </c>
      <c r="C34" s="43">
        <f t="shared" ref="C34:H34" si="7">+C4+C5+C6+C8+C13</f>
        <v>231600</v>
      </c>
      <c r="D34" s="43" t="e">
        <f t="shared" si="7"/>
        <v>#VALUE!</v>
      </c>
      <c r="E34" s="43">
        <f t="shared" si="7"/>
        <v>128700</v>
      </c>
      <c r="F34" s="43" t="e">
        <f t="shared" si="7"/>
        <v>#VALUE!</v>
      </c>
      <c r="G34" s="43">
        <f t="shared" si="7"/>
        <v>288200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208750</v>
      </c>
      <c r="D35" s="43" t="e">
        <f t="shared" ref="D35:H35" si="8">+D11+D14+D15+D17+D18</f>
        <v>#VALUE!</v>
      </c>
      <c r="E35" s="43">
        <f t="shared" si="8"/>
        <v>131600</v>
      </c>
      <c r="F35" s="43" t="e">
        <f t="shared" si="8"/>
        <v>#VALUE!</v>
      </c>
      <c r="G35" s="43">
        <f t="shared" si="8"/>
        <v>327750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163250</v>
      </c>
      <c r="D36" s="43" t="e">
        <f t="shared" ref="D36:H36" si="9">+D10+D12+D27</f>
        <v>#VALUE!</v>
      </c>
      <c r="E36" s="43">
        <f t="shared" si="9"/>
        <v>155700</v>
      </c>
      <c r="F36" s="43" t="e">
        <f t="shared" si="9"/>
        <v>#VALUE!</v>
      </c>
      <c r="G36" s="43">
        <f t="shared" si="9"/>
        <v>197500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66</v>
      </c>
      <c r="D2" s="268"/>
      <c r="E2" s="267">
        <f>IF(PREMIOS!$B9="","",PREMIOS!$B9)</f>
        <v>35</v>
      </c>
      <c r="F2" s="268"/>
      <c r="G2" s="267">
        <f>IF(PREMIOS!$B13="","",PREMIOS!$B13)</f>
        <v>59</v>
      </c>
      <c r="H2" s="268"/>
      <c r="I2" s="267">
        <f>IF(PREMIOS!$B17="","",PREMIOS!$B17)</f>
        <v>61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16800</v>
      </c>
      <c r="D4" s="79">
        <v>200</v>
      </c>
      <c r="E4" s="206">
        <v>3900</v>
      </c>
      <c r="F4" s="79">
        <f t="shared" ref="D4:J27" si="0">IF(E4="","",0)</f>
        <v>0</v>
      </c>
      <c r="G4" s="189">
        <v>4000</v>
      </c>
      <c r="H4" s="79">
        <f t="shared" ref="H4:H27" si="1">IF(G4="","",0)</f>
        <v>0</v>
      </c>
      <c r="I4" s="189">
        <v>4600</v>
      </c>
      <c r="J4" s="79">
        <f t="shared" si="0"/>
        <v>0</v>
      </c>
      <c r="L4" s="42">
        <f t="shared" ref="L4:L8" si="2">+C4+E4+G4+I4</f>
        <v>29300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8" t="str">
        <f>Vendedor2!$B$2</f>
        <v>PUESTO 2</v>
      </c>
      <c r="C5" s="180">
        <v>18800</v>
      </c>
      <c r="D5" s="30">
        <f t="shared" si="0"/>
        <v>0</v>
      </c>
      <c r="E5" s="207">
        <v>5400</v>
      </c>
      <c r="F5" s="30">
        <f t="shared" si="0"/>
        <v>0</v>
      </c>
      <c r="G5" s="180">
        <v>6700</v>
      </c>
      <c r="H5" s="30">
        <f t="shared" si="1"/>
        <v>0</v>
      </c>
      <c r="I5" s="180">
        <v>2000</v>
      </c>
      <c r="J5" s="30">
        <f t="shared" ref="J5:J27" si="3">IF(I5="","",0)</f>
        <v>0</v>
      </c>
      <c r="L5" s="42">
        <f t="shared" si="2"/>
        <v>32900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87350</v>
      </c>
      <c r="D8" s="30">
        <v>750</v>
      </c>
      <c r="E8" s="207">
        <v>54400</v>
      </c>
      <c r="F8" s="30">
        <f t="shared" si="0"/>
        <v>0</v>
      </c>
      <c r="G8" s="180">
        <v>5200</v>
      </c>
      <c r="H8" s="30">
        <v>250</v>
      </c>
      <c r="I8" s="180">
        <v>7700</v>
      </c>
      <c r="J8" s="30">
        <f t="shared" si="0"/>
        <v>0</v>
      </c>
      <c r="L8" s="42">
        <f t="shared" si="2"/>
        <v>154650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90300</v>
      </c>
      <c r="D10" s="30">
        <v>900</v>
      </c>
      <c r="E10" s="207">
        <v>122850</v>
      </c>
      <c r="F10" s="30">
        <v>1950</v>
      </c>
      <c r="G10" s="180">
        <v>76950</v>
      </c>
      <c r="H10" s="30">
        <f t="shared" si="0"/>
        <v>0</v>
      </c>
      <c r="I10" s="180">
        <f>67900+50500</f>
        <v>118400</v>
      </c>
      <c r="J10" s="30">
        <v>300</v>
      </c>
      <c r="L10" s="42">
        <f t="shared" si="5"/>
        <v>408500</v>
      </c>
      <c r="M10" s="42">
        <f t="shared" si="4"/>
        <v>3150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19600</v>
      </c>
      <c r="D12" s="30">
        <v>150</v>
      </c>
      <c r="E12" s="207">
        <v>9600</v>
      </c>
      <c r="F12" s="30">
        <v>1000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29200</v>
      </c>
      <c r="M12" s="42">
        <f t="shared" si="4"/>
        <v>1150</v>
      </c>
    </row>
    <row r="13" spans="1:13" x14ac:dyDescent="0.35">
      <c r="A13" s="47">
        <v>10</v>
      </c>
      <c r="B13" s="178" t="str">
        <f>Vendedor10!$B$2</f>
        <v>MARIALIZ</v>
      </c>
      <c r="C13" s="180">
        <v>35850</v>
      </c>
      <c r="D13" s="30">
        <v>250</v>
      </c>
      <c r="E13" s="207">
        <v>11650</v>
      </c>
      <c r="F13" s="30">
        <f t="shared" si="0"/>
        <v>0</v>
      </c>
      <c r="G13" s="180">
        <v>2300</v>
      </c>
      <c r="H13" s="30">
        <f t="shared" si="0"/>
        <v>0</v>
      </c>
      <c r="I13" s="180">
        <v>4300</v>
      </c>
      <c r="J13" s="30">
        <f t="shared" si="0"/>
        <v>0</v>
      </c>
      <c r="L13" s="42">
        <f t="shared" si="5"/>
        <v>54100</v>
      </c>
      <c r="M13" s="42">
        <f t="shared" si="4"/>
        <v>250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4600</v>
      </c>
      <c r="D16" s="30">
        <v>200</v>
      </c>
      <c r="E16" s="207">
        <v>8600</v>
      </c>
      <c r="F16" s="30">
        <v>250</v>
      </c>
      <c r="G16" s="180">
        <v>5900</v>
      </c>
      <c r="H16" s="30">
        <f t="shared" si="0"/>
        <v>0</v>
      </c>
      <c r="I16" s="180">
        <v>21950</v>
      </c>
      <c r="J16" s="30">
        <v>200</v>
      </c>
      <c r="L16" s="42">
        <f t="shared" si="5"/>
        <v>41050</v>
      </c>
      <c r="M16" s="42">
        <f t="shared" si="4"/>
        <v>650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101150</v>
      </c>
      <c r="D17" s="30">
        <v>150</v>
      </c>
      <c r="E17" s="207">
        <v>76150</v>
      </c>
      <c r="F17" s="30">
        <v>200</v>
      </c>
      <c r="G17" s="180">
        <v>68550</v>
      </c>
      <c r="H17" s="30">
        <v>400</v>
      </c>
      <c r="I17" s="180">
        <v>112800</v>
      </c>
      <c r="J17" s="30">
        <v>700</v>
      </c>
      <c r="L17" s="42">
        <f t="shared" si="5"/>
        <v>358650</v>
      </c>
      <c r="M17" s="42">
        <f t="shared" si="4"/>
        <v>1450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77100</v>
      </c>
      <c r="D18" s="30">
        <v>450</v>
      </c>
      <c r="E18" s="207">
        <v>45700</v>
      </c>
      <c r="F18" s="30">
        <v>300</v>
      </c>
      <c r="G18" s="180">
        <v>49400</v>
      </c>
      <c r="H18" s="30">
        <v>1100</v>
      </c>
      <c r="I18" s="180">
        <v>600</v>
      </c>
      <c r="J18" s="30">
        <f t="shared" si="3"/>
        <v>0</v>
      </c>
      <c r="L18" s="42">
        <f t="shared" si="5"/>
        <v>172800</v>
      </c>
      <c r="M18" s="42">
        <f t="shared" si="4"/>
        <v>1850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451550</v>
      </c>
      <c r="D32" s="44">
        <f t="shared" si="7"/>
        <v>3050</v>
      </c>
      <c r="E32" s="43">
        <f t="shared" si="7"/>
        <v>338250</v>
      </c>
      <c r="F32" s="44">
        <f t="shared" si="7"/>
        <v>3700</v>
      </c>
      <c r="G32" s="43">
        <f t="shared" si="7"/>
        <v>219000</v>
      </c>
      <c r="H32" s="44">
        <f t="shared" si="7"/>
        <v>1750</v>
      </c>
      <c r="I32" s="43">
        <f t="shared" si="7"/>
        <v>272350</v>
      </c>
      <c r="J32" s="44">
        <f t="shared" si="7"/>
        <v>1200</v>
      </c>
      <c r="L32" s="96">
        <f>SUM(L9:L31)</f>
        <v>1064300</v>
      </c>
      <c r="M32" s="96">
        <f>SUM(M9:M31)</f>
        <v>8500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13 Blanca</v>
      </c>
      <c r="D2" s="268"/>
      <c r="E2" s="267" t="str">
        <f>IF(E33=0,"",CONCATENATE(PREMIOS!$B11," ",PREMIOS!$B12))</f>
        <v>22 Blanca</v>
      </c>
      <c r="F2" s="268"/>
      <c r="G2" s="267" t="str">
        <f>IF(G33=0,"",CONCATENATE(PREMIOS!$B15," ",PREMIOS!$B16))</f>
        <v>14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30250</v>
      </c>
      <c r="D10" s="30">
        <v>250</v>
      </c>
      <c r="E10" s="180">
        <v>19000</v>
      </c>
      <c r="F10" s="30">
        <v>100</v>
      </c>
      <c r="G10" s="180">
        <v>33150</v>
      </c>
      <c r="H10" s="30">
        <v>1200</v>
      </c>
      <c r="J10" s="42">
        <f t="shared" si="3"/>
        <v>82400</v>
      </c>
      <c r="K10" s="42">
        <f t="shared" si="4"/>
        <v>1550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>
        <v>1000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4000</v>
      </c>
      <c r="F16" s="195">
        <f t="shared" si="1"/>
        <v>0</v>
      </c>
      <c r="G16" s="194">
        <v>2000</v>
      </c>
      <c r="H16" s="195">
        <f t="shared" si="0"/>
        <v>0</v>
      </c>
      <c r="J16" s="42">
        <f t="shared" si="3"/>
        <v>7500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26700</v>
      </c>
      <c r="D17" s="30">
        <v>500</v>
      </c>
      <c r="E17" s="180">
        <v>11600</v>
      </c>
      <c r="F17" s="30">
        <f t="shared" si="0"/>
        <v>0</v>
      </c>
      <c r="G17" s="180">
        <v>27550</v>
      </c>
      <c r="H17" s="30">
        <v>100</v>
      </c>
      <c r="J17" s="42">
        <f t="shared" si="3"/>
        <v>65850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25850</v>
      </c>
      <c r="D18" s="30">
        <v>500</v>
      </c>
      <c r="E18" s="180">
        <v>24000</v>
      </c>
      <c r="F18" s="30">
        <v>1000</v>
      </c>
      <c r="G18" s="180">
        <v>36300</v>
      </c>
      <c r="H18" s="30">
        <v>700</v>
      </c>
      <c r="J18" s="42">
        <f t="shared" si="3"/>
        <v>86150</v>
      </c>
      <c r="K18" s="42">
        <f t="shared" si="4"/>
        <v>2200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84300</v>
      </c>
      <c r="D33" s="44">
        <f t="shared" si="7"/>
        <v>1250</v>
      </c>
      <c r="E33" s="43">
        <f t="shared" si="7"/>
        <v>58600</v>
      </c>
      <c r="F33" s="44">
        <f t="shared" si="7"/>
        <v>1100</v>
      </c>
      <c r="G33" s="43">
        <f t="shared" si="7"/>
        <v>100000</v>
      </c>
      <c r="H33" s="44">
        <f t="shared" si="7"/>
        <v>2000</v>
      </c>
      <c r="J33" s="45">
        <f>SUM(J4:J32)</f>
        <v>242900</v>
      </c>
      <c r="K33" s="96">
        <f>SUM(K4:K32)</f>
        <v>4350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17</v>
      </c>
      <c r="D2" s="268"/>
      <c r="E2" s="267">
        <f>IF(PREMIOS!$C19="","",PREMIOS!$C19)</f>
        <v>35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3200</v>
      </c>
      <c r="D4" s="79">
        <f t="shared" ref="D4:F27" si="0">IF(C4="","",0)</f>
        <v>0</v>
      </c>
      <c r="E4" s="189">
        <v>1500</v>
      </c>
      <c r="F4" s="79">
        <f t="shared" si="0"/>
        <v>0</v>
      </c>
      <c r="H4" s="42">
        <f>+C4+E4</f>
        <v>4700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30950</v>
      </c>
      <c r="D8" s="30">
        <v>500</v>
      </c>
      <c r="E8" s="194">
        <v>17300</v>
      </c>
      <c r="F8" s="195">
        <v>150</v>
      </c>
      <c r="H8" s="42">
        <f t="shared" si="2"/>
        <v>48250</v>
      </c>
      <c r="I8" s="42">
        <f t="shared" si="3"/>
        <v>650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34800</v>
      </c>
      <c r="D10" s="30">
        <f t="shared" si="0"/>
        <v>0</v>
      </c>
      <c r="E10" s="180">
        <v>46250</v>
      </c>
      <c r="F10" s="195">
        <v>400</v>
      </c>
      <c r="H10" s="42">
        <f t="shared" si="2"/>
        <v>81050</v>
      </c>
      <c r="I10" s="42">
        <f t="shared" si="3"/>
        <v>400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16550</v>
      </c>
      <c r="D12" s="30">
        <v>150</v>
      </c>
      <c r="E12" s="194"/>
      <c r="F12" s="30" t="str">
        <f t="shared" si="0"/>
        <v/>
      </c>
      <c r="H12" s="42">
        <f t="shared" si="2"/>
        <v>16550</v>
      </c>
      <c r="I12" s="42">
        <f t="shared" si="3"/>
        <v>150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55600</v>
      </c>
      <c r="D17" s="195">
        <v>750</v>
      </c>
      <c r="E17" s="180">
        <v>45350</v>
      </c>
      <c r="F17" s="30">
        <v>300</v>
      </c>
      <c r="H17" s="42">
        <f t="shared" si="2"/>
        <v>100950</v>
      </c>
      <c r="I17" s="42">
        <f t="shared" si="3"/>
        <v>1050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71150</v>
      </c>
      <c r="D18" s="195">
        <v>700</v>
      </c>
      <c r="E18" s="180">
        <v>55450</v>
      </c>
      <c r="F18" s="30">
        <v>100</v>
      </c>
      <c r="H18" s="42">
        <f t="shared" si="2"/>
        <v>126600</v>
      </c>
      <c r="I18" s="42">
        <f t="shared" si="3"/>
        <v>800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212450</v>
      </c>
      <c r="D33" s="44">
        <f>SUM(D4:D32)</f>
        <v>2100</v>
      </c>
      <c r="E33" s="43">
        <f>SUM(E4:E32)</f>
        <v>165850</v>
      </c>
      <c r="F33" s="44">
        <f>SUM(F4:F32)</f>
        <v>950</v>
      </c>
      <c r="H33" s="96">
        <f>SUM(H4:H32)</f>
        <v>378300</v>
      </c>
      <c r="I33" s="96">
        <f>SUM(I4:I32)</f>
        <v>3050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75</v>
      </c>
      <c r="D2" s="268"/>
      <c r="E2" s="267">
        <f>IF(PREMIOS!$C20="","",PREMIOS!$C20)</f>
        <v>41</v>
      </c>
      <c r="F2" s="268"/>
      <c r="G2" s="267">
        <f>IF(PREMIOS!$D20="","",PREMIOS!$D20)</f>
        <v>63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6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2600</v>
      </c>
      <c r="D10" s="195">
        <f t="shared" si="0"/>
        <v>0</v>
      </c>
      <c r="E10" s="180">
        <v>10500</v>
      </c>
      <c r="F10" s="30">
        <f t="shared" si="0"/>
        <v>0</v>
      </c>
      <c r="G10" s="180">
        <f>2750+17400</f>
        <v>20150</v>
      </c>
      <c r="H10" s="195">
        <f t="shared" si="0"/>
        <v>0</v>
      </c>
      <c r="J10" s="42">
        <f t="shared" si="3"/>
        <v>33250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2200</v>
      </c>
      <c r="D16" s="195">
        <v>200</v>
      </c>
      <c r="E16" s="194">
        <v>1200</v>
      </c>
      <c r="F16" s="195">
        <f t="shared" si="1"/>
        <v>0</v>
      </c>
      <c r="G16" s="194">
        <v>1500</v>
      </c>
      <c r="H16" s="195">
        <f>IF(G16="","",0)</f>
        <v>0</v>
      </c>
      <c r="J16" s="42">
        <f t="shared" si="3"/>
        <v>4900</v>
      </c>
      <c r="K16" s="42">
        <f t="shared" si="4"/>
        <v>200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37750</v>
      </c>
      <c r="D17" s="195">
        <f t="shared" si="0"/>
        <v>0</v>
      </c>
      <c r="E17" s="194">
        <v>900</v>
      </c>
      <c r="F17" s="195">
        <f t="shared" si="0"/>
        <v>0</v>
      </c>
      <c r="G17" s="194">
        <v>18450</v>
      </c>
      <c r="H17" s="195">
        <f t="shared" si="2"/>
        <v>0</v>
      </c>
      <c r="J17" s="42">
        <f t="shared" si="3"/>
        <v>57100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24950</v>
      </c>
      <c r="D18" s="195">
        <v>200</v>
      </c>
      <c r="E18" s="180">
        <v>4500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29450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-2200</v>
      </c>
      <c r="D27" s="50">
        <v>-200</v>
      </c>
      <c r="E27" s="181"/>
      <c r="F27" s="50" t="str">
        <f t="shared" si="1"/>
        <v/>
      </c>
      <c r="G27" s="181">
        <v>-1500</v>
      </c>
      <c r="H27" s="50">
        <f t="shared" si="2"/>
        <v>0</v>
      </c>
      <c r="J27" s="42">
        <f t="shared" si="3"/>
        <v>-3700</v>
      </c>
      <c r="K27" s="42">
        <f t="shared" si="4"/>
        <v>-200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65300</v>
      </c>
      <c r="D33" s="44">
        <f t="shared" si="6"/>
        <v>200</v>
      </c>
      <c r="E33" s="43">
        <f t="shared" si="6"/>
        <v>17100</v>
      </c>
      <c r="F33" s="44">
        <f t="shared" si="6"/>
        <v>0</v>
      </c>
      <c r="G33" s="43">
        <f t="shared" si="6"/>
        <v>38600</v>
      </c>
      <c r="H33" s="44">
        <f t="shared" si="6"/>
        <v>0</v>
      </c>
      <c r="J33" s="45">
        <f>SUM(J4:J32)</f>
        <v>121000</v>
      </c>
      <c r="K33" s="96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07</v>
      </c>
      <c r="D2" s="268"/>
      <c r="E2" s="267" t="str">
        <f>IF(PREMIOS!$C21="","",PREMIOS!$C21)</f>
        <v>05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17000</v>
      </c>
      <c r="F10" s="30">
        <f t="shared" si="0"/>
        <v>0</v>
      </c>
      <c r="H10" s="42">
        <f t="shared" si="2"/>
        <v>17000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17000</v>
      </c>
      <c r="F33" s="44">
        <f>SUM(F4:F32)</f>
        <v>0</v>
      </c>
      <c r="H33" s="45">
        <f>SUM(H4:H32)</f>
        <v>17000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22</v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4800</v>
      </c>
      <c r="D10" s="30">
        <v>100</v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4800</v>
      </c>
      <c r="D33" s="44">
        <f>SUM(D4:D32)</f>
        <v>100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2026-03-27T16:03:26Z</dcterms:modified>
  <dc:language>es-CR</dc:language>
</cp:coreProperties>
</file>
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49" documentId="11_1A909EBD2CA8599CF639E8E755635D3FFA157C42" xr6:coauthVersionLast="47" xr6:coauthVersionMax="47" xr10:uidLastSave="{E9662530-92C6-4BD1-813D-F2C43F4C739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2"/>
  <c r="F10" i="61"/>
  <c r="E10" i="61"/>
  <c r="E10" i="60"/>
  <c r="G17" i="60"/>
  <c r="H17" i="60"/>
  <c r="H18" i="60"/>
  <c r="G18" i="60"/>
  <c r="F18" i="60"/>
  <c r="E18" i="60"/>
  <c r="F17" i="60"/>
  <c r="E17" i="60"/>
  <c r="C10" i="62" l="1"/>
  <c r="C10" i="61"/>
  <c r="D10" i="60"/>
  <c r="C10" i="60"/>
  <c r="C17" i="60"/>
  <c r="D18" i="60"/>
  <c r="C18" i="60"/>
  <c r="C10" i="65" l="1"/>
  <c r="D18" i="65" l="1"/>
  <c r="D11" i="65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1" i="60"/>
  <c r="D36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0" i="62"/>
  <c r="F16" i="61"/>
  <c r="D6" i="60"/>
  <c r="F16" i="60"/>
  <c r="F15" i="60"/>
  <c r="F14" i="60"/>
  <c r="F11" i="60"/>
  <c r="F9" i="60"/>
  <c r="F7" i="60"/>
  <c r="F6" i="60"/>
  <c r="F4" i="60"/>
  <c r="H15" i="60"/>
  <c r="H14" i="60"/>
  <c r="H12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F35" i="60" l="1"/>
  <c r="H34" i="60"/>
  <c r="F34" i="60"/>
  <c r="D35" i="60"/>
  <c r="E7" i="16"/>
  <c r="D34" i="60"/>
  <c r="J8" i="14"/>
  <c r="D21" i="14"/>
  <c r="C12" i="71"/>
  <c r="D22" i="14"/>
  <c r="G12" i="71"/>
  <c r="E19" i="16"/>
  <c r="D4" i="65"/>
  <c r="D20" i="16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H29" i="72" s="1"/>
  <c r="I29" i="72" s="1"/>
  <c r="D29" i="72"/>
  <c r="C29" i="72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5" i="66"/>
  <c r="I14" i="66"/>
  <c r="I12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I25" i="72"/>
  <c r="N25" i="72" s="1"/>
  <c r="F25" i="29"/>
  <c r="F27" i="72"/>
  <c r="F22" i="15"/>
  <c r="L8" i="15" s="1"/>
  <c r="F16" i="71"/>
  <c r="L16" i="71" s="1"/>
  <c r="M16" i="71" s="1"/>
  <c r="G22" i="15"/>
  <c r="L25" i="71"/>
  <c r="M25" i="71" s="1"/>
  <c r="K28" i="70"/>
  <c r="H29" i="66"/>
  <c r="J23" i="70"/>
  <c r="K23" i="70" s="1"/>
  <c r="L22" i="71"/>
  <c r="M22" i="71" s="1"/>
  <c r="H23" i="72"/>
  <c r="J30" i="72"/>
  <c r="K30" i="72" s="1"/>
  <c r="E27" i="72"/>
  <c r="J32" i="64"/>
  <c r="L6" i="6"/>
  <c r="K20" i="19"/>
  <c r="K9" i="19"/>
  <c r="L21" i="71"/>
  <c r="M21" i="71" s="1"/>
  <c r="J22" i="71"/>
  <c r="J31" i="71"/>
  <c r="K31" i="71" s="1"/>
  <c r="D17" i="72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J7" i="19"/>
  <c r="F25" i="19"/>
  <c r="L9" i="19" s="1"/>
  <c r="F18" i="72"/>
  <c r="L29" i="71"/>
  <c r="M29" i="71" s="1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K21" i="8"/>
  <c r="K10" i="8"/>
  <c r="K20" i="21"/>
  <c r="K10" i="21"/>
  <c r="L27" i="71"/>
  <c r="M27" i="71" s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5" i="23" l="1"/>
  <c r="M25" i="52"/>
  <c r="L4" i="23"/>
  <c r="F17" i="52"/>
  <c r="F12" i="8"/>
  <c r="M24" i="52"/>
  <c r="M21" i="52"/>
  <c r="M26" i="52"/>
  <c r="C24" i="15"/>
  <c r="J5" i="23"/>
  <c r="M23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K5" i="19"/>
  <c r="E32" i="60"/>
  <c r="J32" i="61"/>
  <c r="C32" i="61"/>
  <c r="I32" i="61"/>
  <c r="L6" i="22"/>
  <c r="M19" i="52"/>
  <c r="G32" i="60"/>
  <c r="F24" i="15"/>
  <c r="H32" i="60"/>
  <c r="H33" i="60" s="1"/>
  <c r="K5" i="23"/>
  <c r="J19" i="70"/>
  <c r="K19" i="70" s="1"/>
  <c r="G32" i="61"/>
  <c r="F32" i="61"/>
  <c r="F32" i="60"/>
  <c r="F33" i="60" s="1"/>
  <c r="H32" i="6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M5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2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<sst xmlns="http://schemas.openxmlformats.org/spreadsheetml/2006/main" count="1294" uniqueCount="161">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</sst>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8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4" borderId="17" xfId="0" applyNumberFormat="1" applyFill="1" applyBorder="1"/>
    <xf numFmtId="2" fontId="0" fillId="24" borderId="19" xfId="0" applyNumberFormat="1" applyFill="1" applyBorder="1"/>
    <xf numFmtId="2" fontId="0" fillId="24" borderId="21" xfId="0" applyNumberFormat="1" applyFill="1" applyBorder="1"/>
    <xf numFmtId="2" fontId="0" fillId="24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4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4" borderId="18" xfId="0" applyNumberFormat="1" applyFill="1" applyBorder="1"/>
    <xf numFmtId="2" fontId="0" fillId="24" borderId="27" xfId="0" applyNumberFormat="1" applyFill="1" applyBorder="1"/>
    <xf numFmtId="2" fontId="0" fillId="24" borderId="22" xfId="0" applyNumberFormat="1" applyFill="1" applyBorder="1"/>
    <xf numFmtId="2" fontId="0" fillId="24" borderId="23" xfId="0" applyNumberFormat="1" applyFill="1" applyBorder="1"/>
    <xf numFmtId="2" fontId="0" fillId="24" borderId="2" xfId="0" applyNumberFormat="1" applyFill="1" applyBorder="1"/>
    <xf numFmtId="2" fontId="0" fillId="24" borderId="3" xfId="0" applyNumberFormat="1" applyFill="1" applyBorder="1"/>
    <xf numFmtId="2" fontId="0" fillId="24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5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6" borderId="23" xfId="2" applyNumberFormat="1" applyFont="1" applyFill="1" applyBorder="1"/>
    <xf numFmtId="166" fontId="21" fillId="27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7057</xdr:colOff>
      <xdr:row>32</xdr:row>
      <xdr:rowOff>14111</xdr:rowOff>
    </xdr:from>
    <xdr:to>
      <xdr:col>10</xdr:col>
      <xdr:colOff>839146</xdr:colOff>
      <xdr:row>33</xdr:row>
      <xdr:rowOff>155222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69390" y="3781778"/>
          <a:ext cx="1706978" cy="32455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81640625" style="1" bestFit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205700</v>
      </c>
      <c r="C3" s="9">
        <f>+HojaTICA!K4+HojaNICA!M4+HojaREVENTADO!K4+HojaPrimera!I4+HojaHonduras!K4+HojaDominicana!I4+HojaPANA!G4</f>
        <v>26750</v>
      </c>
      <c r="D3" s="9">
        <f>+HojaTICA!N4+HojaNICA!P4+HojaREVENTADO!O4+HojaPrimera!L4+HojaHonduras!N4+HojaDominicana!L4+HojaPANA!J4</f>
        <v>484500</v>
      </c>
      <c r="F3" s="10">
        <f t="shared" ref="F3:F27" si="0">+B3-C3-D3</f>
        <v>-305550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251700</v>
      </c>
      <c r="C4" s="9">
        <f>+HojaTICA!K5+HojaNICA!M5+HojaREVENTADO!K5+HojaPrimera!I5+HojaHonduras!K5+HojaDominicana!I5+HojaPANA!G5</f>
        <v>32700</v>
      </c>
      <c r="D4" s="9">
        <f>+HojaTICA!N5+HojaNICA!P5+HojaREVENTADO!O5+HojaPrimera!L5+HojaHonduras!N5+HojaDominicana!L5+HojaPANA!J5</f>
        <v>205250</v>
      </c>
      <c r="F4" s="14">
        <f t="shared" si="0"/>
        <v>13750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422000</v>
      </c>
      <c r="C7" s="9">
        <f>+HojaTICA!K8+HojaNICA!M8+HojaREVENTADO!K8+HojaPrimera!I8+HojaHonduras!K8+HojaDominicana!I8+HojaPANA!G8</f>
        <v>50600</v>
      </c>
      <c r="D7" s="9">
        <f>+HojaTICA!N8+HojaNICA!P8+HojaREVENTADO!O8+HojaPrimera!L8+HojaHonduras!N8+HojaDominicana!L8+HojaPANA!J8</f>
        <v>239000</v>
      </c>
      <c r="F7" s="14">
        <f t="shared" si="0"/>
        <v>132400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1188200</v>
      </c>
      <c r="C9" s="9">
        <f>+HojaTICA!K10+HojaNICA!M10+HojaREVENTADO!K10+HojaPrimera!I10+HojaHonduras!K10+HojaDominicana!I10+HojaPANA!G10</f>
        <v>141145</v>
      </c>
      <c r="D9" s="9">
        <f>+HojaTICA!N10+HojaNICA!P10+HojaREVENTADO!O10+HojaPrimera!L10+HojaHonduras!N10+HojaDominicana!L10+HojaPANA!J10</f>
        <v>1823750</v>
      </c>
      <c r="F9" s="14">
        <f t="shared" si="0"/>
        <v>-776695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25600</v>
      </c>
      <c r="C10" s="9">
        <f>+HojaTICA!K11+HojaNICA!M11+HojaREVENTADO!K11+HojaPrimera!I11+HojaHonduras!K11+HojaDominicana!I11+HojaPANA!G11</f>
        <v>3050</v>
      </c>
      <c r="D10" s="9">
        <f>+HojaTICA!N11+HojaNICA!P11+HojaREVENTADO!O11+HojaPrimera!L11+HojaHonduras!N11+HojaDominicana!L11+HojaPANA!J11</f>
        <v>0</v>
      </c>
      <c r="F10" s="14">
        <f t="shared" si="0"/>
        <v>22550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291100</v>
      </c>
      <c r="C11" s="9">
        <f>+HojaTICA!K12+HojaNICA!M12+HojaREVENTADO!K12+HojaPrimera!I12+HojaHonduras!K12+HojaDominicana!I12+HojaPANA!G12</f>
        <v>34790</v>
      </c>
      <c r="D11" s="9">
        <f>+HojaTICA!N12+HojaNICA!P12+HojaREVENTADO!O12+HojaPrimera!L12+HojaHonduras!N12+HojaDominicana!L12+HojaPANA!J12</f>
        <v>229500</v>
      </c>
      <c r="F11" s="14">
        <f t="shared" si="0"/>
        <v>26810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141800</v>
      </c>
      <c r="C12" s="9">
        <f>+HojaTICA!K13+HojaNICA!M13+HojaREVENTADO!K13+HojaPrimera!I13+HojaHonduras!K13+HojaDominicana!I13+HojaPANA!G13</f>
        <v>17000</v>
      </c>
      <c r="D12" s="9">
        <f>+HojaTICA!N13+HojaNICA!P13+HojaREVENTADO!O13+HojaPrimera!L13+HojaHonduras!N13+HojaDominicana!L13+HojaPANA!J13</f>
        <v>127500</v>
      </c>
      <c r="F12" s="14">
        <f t="shared" si="0"/>
        <v>-2700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110050</v>
      </c>
      <c r="C13" s="9">
        <f>+HojaTICA!K14+HojaNICA!M14+HojaREVENTADO!K14+HojaPrimera!I14+HojaHonduras!K14+HojaDominicana!I14+HojaPANA!G14</f>
        <v>16500</v>
      </c>
      <c r="D13" s="9">
        <f>+HojaTICA!N14+HojaNICA!P14+HojaREVENTADO!O14+HojaPrimera!L14+HojaHonduras!N14+HojaDominicana!L14+HojaPANA!J14</f>
        <v>272000</v>
      </c>
      <c r="F13" s="14">
        <f t="shared" si="0"/>
        <v>-178450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79250</v>
      </c>
      <c r="C15" s="9">
        <f>+HojaTICA!K16+HojaNICA!M16+HojaREVENTADO!K16+HojaPrimera!I16+HojaHonduras!K16+HojaDominicana!I16+HojaPANA!G16</f>
        <v>9500</v>
      </c>
      <c r="D15" s="9">
        <f>+HojaTICA!N16+HojaNICA!P16+HojaREVENTADO!O16+HojaPrimera!L16+HojaHonduras!N16+HojaDominicana!L16+HojaPANA!J16</f>
        <v>42500</v>
      </c>
      <c r="F15" s="14">
        <f t="shared" si="0"/>
        <v>27250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1390450</v>
      </c>
      <c r="C16" s="9">
        <f>+HojaTICA!K17+HojaNICA!M17+HojaREVENTADO!K17+HojaPrimera!I17+HojaHonduras!K17+HojaDominicana!I17+HojaPANA!G17</f>
        <v>164600</v>
      </c>
      <c r="D16" s="9">
        <f>+HojaTICA!N17+HojaNICA!P17+HojaREVENTADO!O17+HojaPrimera!L17+HojaHonduras!N17+HojaDominicana!L17+HojaPANA!J17</f>
        <v>1208500</v>
      </c>
      <c r="F16" s="14">
        <f t="shared" si="0"/>
        <v>17350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642400</v>
      </c>
      <c r="C17" s="9">
        <f>+HojaTICA!K18+HojaNICA!M18+HojaREVENTADO!K18+HojaPrimera!I18+HojaHonduras!K18+HojaDominicana!I18+HojaPANA!G18</f>
        <v>75485</v>
      </c>
      <c r="D17" s="9">
        <f>+HojaTICA!N18+HojaNICA!P18+HojaREVENTADO!O18+HojaPrimera!L18+HojaHonduras!N18+HojaDominicana!L18+HojaPANA!J18</f>
        <v>763750</v>
      </c>
      <c r="F17" s="14">
        <f t="shared" si="0"/>
        <v>-196835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4748250</v>
      </c>
      <c r="C28" s="17">
        <f t="shared" si="1"/>
        <v>572120</v>
      </c>
      <c r="D28" s="18">
        <f t="shared" si="1"/>
        <v>5396250</v>
      </c>
      <c r="F28" s="20">
        <f>SUM(F3:F27)</f>
        <v>-1220120</v>
      </c>
    </row>
    <row r="32" spans="1:6" ht="18" x14ac:dyDescent="0.4">
      <c r="B32" s="98"/>
      <c r="C32" s="98"/>
      <c r="D32" s="98"/>
      <c r="E32" s="98"/>
      <c r="F32" s="97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view="pageBreakPreview" zoomScale="6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61</v>
      </c>
      <c r="C5" s="133"/>
      <c r="D5" s="138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39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23</v>
      </c>
      <c r="C11" s="133"/>
      <c r="D11" s="138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28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 t="s">
        <v>160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49</v>
      </c>
      <c r="C19" s="133">
        <v>60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85</v>
      </c>
      <c r="C20" s="164">
        <v>10</v>
      </c>
      <c r="D20" s="167">
        <v>53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35</v>
      </c>
      <c r="C21" s="165">
        <v>57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78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6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07</v>
      </c>
      <c r="D2" s="268"/>
      <c r="E2" s="267">
        <f>DigitaTICA!E2</f>
        <v>23</v>
      </c>
      <c r="F2" s="268"/>
      <c r="G2" s="267">
        <f>DigitaTICA!G2</f>
        <v>28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24950</v>
      </c>
      <c r="D4" s="30">
        <f>IF(Vendedor1!$E$7="",0,Vendedor1!$E$7)</f>
        <v>0</v>
      </c>
      <c r="E4" s="181">
        <f>IF(Vendedor1!$C$11="",0,Vendedor1!$C$11)</f>
        <v>19400</v>
      </c>
      <c r="F4" s="30">
        <f>IF(Vendedor1!$E$11="",0,Vendedor1!$E$11)</f>
        <v>0</v>
      </c>
      <c r="G4" s="181">
        <f>IF(Vendedor1!$C$15="",0,Vendedor1!$C$15)</f>
        <v>99700</v>
      </c>
      <c r="H4" s="30">
        <f>IF(Vendedor1!$E$15="",0,Vendedor1!$E$15)</f>
        <v>5700</v>
      </c>
      <c r="J4" s="42">
        <f t="shared" ref="J4:J7" si="0">+C4+E4+G4</f>
        <v>144050</v>
      </c>
      <c r="K4" s="41">
        <f>MROUND(J4*Vendedor1!J$9,50)</f>
        <v>18750</v>
      </c>
      <c r="L4" s="42">
        <f t="shared" ref="L4:L7" si="1">+D4+F4+H4</f>
        <v>5700</v>
      </c>
      <c r="M4" s="42">
        <f t="shared" ref="M4:M7" si="2">+L4*85</f>
        <v>484500</v>
      </c>
      <c r="N4" s="42">
        <f>Vendedor1!$F$7+Vendedor1!$F$11+Vendedor1!$F$15</f>
        <v>484500</v>
      </c>
      <c r="P4" s="42">
        <f t="shared" ref="P4:P7" si="3">+J4-K4-N4</f>
        <v>-359200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68900</v>
      </c>
      <c r="D5" s="30">
        <f>IF(Vendedor2!$E$7="",0,Vendedor2!$E$7)</f>
        <v>500</v>
      </c>
      <c r="E5" s="181">
        <f>IF(Vendedor2!$C$11="",0,Vendedor2!$C$11)</f>
        <v>40650</v>
      </c>
      <c r="F5" s="30">
        <f>IF(Vendedor2!$E$11="",0,Vendedor2!$E$11)</f>
        <v>250</v>
      </c>
      <c r="G5" s="181">
        <f>IF(Vendedor2!$C$15="",0,Vendedor2!$C$15)</f>
        <v>85150</v>
      </c>
      <c r="H5" s="30">
        <f>IF(Vendedor2!$E$15="",0,Vendedor2!$E$15)</f>
        <v>300</v>
      </c>
      <c r="J5" s="42">
        <f t="shared" si="0"/>
        <v>194700</v>
      </c>
      <c r="K5" s="41">
        <f>MROUND(J5*Vendedor2!J$9,50)</f>
        <v>25300</v>
      </c>
      <c r="L5" s="42">
        <f t="shared" si="1"/>
        <v>1050</v>
      </c>
      <c r="M5" s="42">
        <f t="shared" si="2"/>
        <v>89250</v>
      </c>
      <c r="N5" s="42">
        <f>Vendedor2!$F$7+Vendedor2!$F$11+Vendedor2!$F$15</f>
        <v>89250</v>
      </c>
      <c r="P5" s="42">
        <f t="shared" si="3"/>
        <v>80150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70050</v>
      </c>
      <c r="D8" s="30">
        <f>IF(Vendedor5!$E$7="",0,Vendedor5!$E$7)</f>
        <v>900</v>
      </c>
      <c r="E8" s="181">
        <f>IF(Vendedor5!$C$11="",0,Vendedor5!$C$11)</f>
        <v>54150</v>
      </c>
      <c r="F8" s="30">
        <f>IF(Vendedor5!$E$11="",0,Vendedor5!$E$11)</f>
        <v>500</v>
      </c>
      <c r="G8" s="181">
        <f>IF(Vendedor5!$C$15="",0,Vendedor5!$C$15)</f>
        <v>71350</v>
      </c>
      <c r="H8" s="30">
        <f>IF(Vendedor5!$E$15="",0,Vendedor5!$E$15)</f>
        <v>0</v>
      </c>
      <c r="J8" s="42">
        <f t="shared" ref="J8" si="4">+C8+E8+G8</f>
        <v>195550</v>
      </c>
      <c r="K8" s="41">
        <f>MROUND(J8*Vendedor5!J$11,50)</f>
        <v>23450</v>
      </c>
      <c r="L8" s="42">
        <f t="shared" ref="L8" si="5">+D8+F8+H8</f>
        <v>1400</v>
      </c>
      <c r="M8" s="42">
        <f t="shared" ref="M8" si="6">+L8*85</f>
        <v>119000</v>
      </c>
      <c r="N8" s="42">
        <f>Vendedor5!$F$7+Vendedor5!$F$11+Vendedor5!$F$15</f>
        <v>119000</v>
      </c>
      <c r="P8" s="42">
        <f t="shared" ref="P8" si="7">+J8-K8-N8</f>
        <v>53100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170400</v>
      </c>
      <c r="D10" s="30">
        <f>IF(Vendedor7!$E$7="",0,Vendedor7!$E$7)</f>
        <v>1900</v>
      </c>
      <c r="E10" s="181">
        <f>IF(Vendedor7!$C$11="",0,Vendedor7!$C$11)</f>
        <v>157950</v>
      </c>
      <c r="F10" s="30">
        <f>IF(Vendedor7!$E$11="",0,Vendedor7!$E$11)</f>
        <v>450</v>
      </c>
      <c r="G10" s="181">
        <f>IF(Vendedor7!$C$15="",0,Vendedor7!$C$15)</f>
        <v>219100</v>
      </c>
      <c r="H10" s="30">
        <f>IF(Vendedor7!$E$15="",0,Vendedor7!$E$15)</f>
        <v>9700</v>
      </c>
      <c r="J10" s="42">
        <f t="shared" si="8"/>
        <v>547450</v>
      </c>
      <c r="K10" s="41">
        <f>MROUND(J10*Vendedor7!J$14,50)</f>
        <v>65700</v>
      </c>
      <c r="L10" s="42">
        <f t="shared" si="9"/>
        <v>12050</v>
      </c>
      <c r="M10" s="42">
        <f t="shared" si="10"/>
        <v>1024250</v>
      </c>
      <c r="N10" s="42">
        <f>Vendedor7!$F$7+Vendedor7!$F$11+Vendedor7!$F$15</f>
        <v>1024250</v>
      </c>
      <c r="P10" s="42">
        <f t="shared" si="11"/>
        <v>-542500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18600</v>
      </c>
      <c r="H11" s="30">
        <f>IF(Vendedor8!$E$15="",0,Vendedor8!$E$15)</f>
        <v>0</v>
      </c>
      <c r="J11" s="42">
        <f t="shared" si="8"/>
        <v>25600</v>
      </c>
      <c r="K11" s="41">
        <f>MROUND(J11*Vendedor8!J$11,50)</f>
        <v>3050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22550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64100</v>
      </c>
      <c r="D12" s="30">
        <f>IF(Vendedor9!$E$7="",0,Vendedor9!$E$7)</f>
        <v>950</v>
      </c>
      <c r="E12" s="181">
        <f>IF(Vendedor9!$C$11="",0,Vendedor9!$C$11)</f>
        <v>31100</v>
      </c>
      <c r="F12" s="30">
        <f>IF(Vendedor9!$E$11="",0,Vendedor9!$E$11)</f>
        <v>1100</v>
      </c>
      <c r="G12" s="181">
        <f>IF(Vendedor9!$C$15="",0,Vendedor9!$C$15)</f>
        <v>32750</v>
      </c>
      <c r="H12" s="30">
        <f>IF(Vendedor9!$E$15="",0,Vendedor9!$E$15)</f>
        <v>0</v>
      </c>
      <c r="J12" s="42">
        <f t="shared" si="8"/>
        <v>127950</v>
      </c>
      <c r="K12" s="41">
        <f>MROUND(J12*Vendedor9!J$11,50)</f>
        <v>15350</v>
      </c>
      <c r="L12" s="42">
        <f t="shared" si="9"/>
        <v>2050</v>
      </c>
      <c r="M12" s="42">
        <f t="shared" si="10"/>
        <v>174250</v>
      </c>
      <c r="N12" s="42">
        <f>Vendedor9!$F$7+Vendedor9!$F$11+Vendedor9!$F$15</f>
        <v>174250</v>
      </c>
      <c r="P12" s="42">
        <f t="shared" si="11"/>
        <v>-61650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33800</v>
      </c>
      <c r="D13" s="30">
        <f>IF(Vendedor10!$E$7="",0,Vendedor10!$E$7)</f>
        <v>400</v>
      </c>
      <c r="E13" s="181">
        <f>IF(Vendedor10!$C$11="",0,Vendedor10!$C$11)</f>
        <v>12350</v>
      </c>
      <c r="F13" s="30">
        <f>IF(Vendedor10!$E$11="",0,Vendedor10!$E$11)</f>
        <v>200</v>
      </c>
      <c r="G13" s="181">
        <f>IF(Vendedor10!$C$15="",0,Vendedor10!$C$15)</f>
        <v>56900</v>
      </c>
      <c r="H13" s="30">
        <f>IF(Vendedor10!$E$15="",0,Vendedor10!$E$15)</f>
        <v>900</v>
      </c>
      <c r="J13" s="42">
        <f t="shared" si="8"/>
        <v>103050</v>
      </c>
      <c r="K13" s="41">
        <f>MROUND(J13*Vendedor10!J$9,50)</f>
        <v>12350</v>
      </c>
      <c r="L13" s="42">
        <f t="shared" si="9"/>
        <v>1500</v>
      </c>
      <c r="M13" s="42">
        <f t="shared" si="10"/>
        <v>127500</v>
      </c>
      <c r="N13" s="42">
        <f>Vendedor10!$F$7+Vendedor10!$F$11+Vendedor10!$F$15</f>
        <v>127500</v>
      </c>
      <c r="P13" s="42">
        <f t="shared" si="11"/>
        <v>-36800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50150</v>
      </c>
      <c r="D14" s="30">
        <f>IF(Vendedor11!$E$7="",0,Vendedor11!$E$7)</f>
        <v>3400</v>
      </c>
      <c r="E14" s="181">
        <f>IF(Vendedor11!$C$11="",0,Vendedor11!$C$11)</f>
        <v>19950</v>
      </c>
      <c r="F14" s="30">
        <f>IF(Vendedor11!$E$11="",0,Vendedor11!$E$11)</f>
        <v>0</v>
      </c>
      <c r="G14" s="181">
        <f>IF(Vendedor11!$C$15="",0,Vendedor11!$C$15)</f>
        <v>39950</v>
      </c>
      <c r="H14" s="30">
        <f>IF(Vendedor11!$E$15="",0,Vendedor11!$E$15)</f>
        <v>0</v>
      </c>
      <c r="J14" s="42">
        <f t="shared" si="8"/>
        <v>110050</v>
      </c>
      <c r="K14" s="41">
        <f>MROUND(J14*Vendedor11!J$9,50)</f>
        <v>16500</v>
      </c>
      <c r="L14" s="42">
        <f t="shared" si="9"/>
        <v>3400</v>
      </c>
      <c r="M14" s="42">
        <f t="shared" si="10"/>
        <v>289000</v>
      </c>
      <c r="N14" s="42">
        <f>Vendedor11!$F$7+Vendedor11!$F$11+Vendedor11!$F$15</f>
        <v>272000</v>
      </c>
      <c r="P14" s="42">
        <f t="shared" si="11"/>
        <v>-178450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17000</v>
      </c>
      <c r="D16" s="30">
        <f>IF(Vendedor13!$E$7="",0,Vendedor13!$E$7)</f>
        <v>0</v>
      </c>
      <c r="E16" s="181">
        <f>IF(Vendedor13!$C$11="",0,Vendedor13!$C$11)</f>
        <v>9000</v>
      </c>
      <c r="F16" s="30">
        <f>IF(Vendedor13!$E$11="",0,Vendedor13!$E$11)</f>
        <v>0</v>
      </c>
      <c r="G16" s="181">
        <f>IF(Vendedor13!$C$15="",0,Vendedor13!$C$15)</f>
        <v>17750</v>
      </c>
      <c r="H16" s="30">
        <f>IF(Vendedor13!$E$15="",0,Vendedor13!$E$15)</f>
        <v>500</v>
      </c>
      <c r="J16" s="42">
        <f t="shared" si="8"/>
        <v>43750</v>
      </c>
      <c r="K16" s="41">
        <f>MROUND(J16*Vendedor13!J$11,50)</f>
        <v>5250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-4000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175600</v>
      </c>
      <c r="D17" s="30">
        <f>IF(Vendedor14!$E$7="",0,Vendedor14!$E$7)</f>
        <v>1700</v>
      </c>
      <c r="E17" s="181">
        <f>IF(Vendedor14!$C$11="",0,Vendedor14!$C$11)</f>
        <v>152000</v>
      </c>
      <c r="F17" s="30">
        <f>IF(Vendedor14!$E$11="",0,Vendedor14!$E$11)</f>
        <v>1800</v>
      </c>
      <c r="G17" s="181">
        <f>IF(Vendedor14!$C$15="",0,Vendedor14!$C$15)</f>
        <v>216950</v>
      </c>
      <c r="H17" s="30">
        <f>IF(Vendedor14!$E$15="",0,Vendedor14!$E$15)</f>
        <v>3850</v>
      </c>
      <c r="J17" s="42">
        <f t="shared" si="8"/>
        <v>544550</v>
      </c>
      <c r="K17" s="41">
        <f>MROUND(J17*Vendedor14!J$15,50)</f>
        <v>65350</v>
      </c>
      <c r="L17" s="42">
        <f t="shared" si="9"/>
        <v>7350</v>
      </c>
      <c r="M17" s="42">
        <f t="shared" si="10"/>
        <v>624750</v>
      </c>
      <c r="N17" s="42">
        <f>Vendedor14!$F$7+Vendedor14!$F$11+Vendedor14!$F$15</f>
        <v>624750</v>
      </c>
      <c r="P17" s="42">
        <f t="shared" si="11"/>
        <v>-145550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53950</v>
      </c>
      <c r="D18" s="30">
        <f>IF(Vendedor15!$E$7="",0,Vendedor15!$E$7)</f>
        <v>1050</v>
      </c>
      <c r="E18" s="181">
        <f>IF(Vendedor15!$C$11="",0,Vendedor15!$C$11)</f>
        <v>65500</v>
      </c>
      <c r="F18" s="30">
        <f>IF(Vendedor15!$E$11="",0,Vendedor15!$E$11)</f>
        <v>250</v>
      </c>
      <c r="G18" s="181">
        <f>IF(Vendedor15!$C$15="",0,Vendedor15!$C$15)</f>
        <v>94200</v>
      </c>
      <c r="H18" s="30">
        <f>IF(Vendedor15!$E$15="",0,Vendedor15!$E$15)</f>
        <v>2750</v>
      </c>
      <c r="J18" s="42">
        <f t="shared" ref="J18" si="12">+C18+E18+G18</f>
        <v>213650</v>
      </c>
      <c r="K18" s="41">
        <f>MROUND(J18*Vendedor15!J$15,50)</f>
        <v>25650</v>
      </c>
      <c r="L18" s="42">
        <f t="shared" ref="L18" si="13">+D18+F18+H18</f>
        <v>4050</v>
      </c>
      <c r="M18" s="42">
        <f t="shared" ref="M18" si="14">+L18*85</f>
        <v>344250</v>
      </c>
      <c r="N18" s="42">
        <f>Vendedor15!$F$7+Vendedor15!$F$11+Vendedor15!$F$15</f>
        <v>344250</v>
      </c>
      <c r="P18" s="42">
        <f t="shared" ref="P18" si="15">+J18-K18-N18</f>
        <v>-156250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735900</v>
      </c>
      <c r="D32" s="44">
        <f t="shared" si="16"/>
        <v>10800</v>
      </c>
      <c r="E32" s="43">
        <f t="shared" si="16"/>
        <v>562050</v>
      </c>
      <c r="F32" s="44">
        <f t="shared" si="16"/>
        <v>4550</v>
      </c>
      <c r="G32" s="43">
        <f t="shared" si="16"/>
        <v>952400</v>
      </c>
      <c r="H32" s="44">
        <f t="shared" si="16"/>
        <v>23700</v>
      </c>
      <c r="J32" s="96">
        <f>SUM(J4:J31)</f>
        <v>2250350</v>
      </c>
      <c r="K32" s="45">
        <f>SUM(K7:K31)</f>
        <v>232650</v>
      </c>
      <c r="L32" s="96">
        <f>SUM(L4:L31)</f>
        <v>39050</v>
      </c>
      <c r="M32" s="96">
        <f>SUM(M4:M31)</f>
        <v>3319250</v>
      </c>
      <c r="N32" s="96">
        <f>SUM(N4:N31)</f>
        <v>3302250</v>
      </c>
      <c r="P32" s="80">
        <f>SUM(P4:P31)</f>
        <v>-1328600</v>
      </c>
    </row>
    <row r="33" spans="3:13" x14ac:dyDescent="0.35">
      <c r="D33" s="100">
        <f>+D32*85</f>
        <v>918000</v>
      </c>
      <c r="F33" s="100">
        <f>+F32*85</f>
        <v>386750</v>
      </c>
      <c r="H33" s="100">
        <f>+H32*85</f>
        <v>2014500</v>
      </c>
    </row>
    <row r="34" spans="3:13" ht="15" thickBot="1" x14ac:dyDescent="0.4">
      <c r="L34" s="150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2250350</v>
      </c>
      <c r="E36" s="43">
        <f>+D36-J4-J5-J6</f>
        <v>1911600</v>
      </c>
      <c r="G36" s="102"/>
    </row>
    <row r="37" spans="3:13" x14ac:dyDescent="0.35">
      <c r="C37" s="47" t="s">
        <v>33</v>
      </c>
      <c r="D37" s="48">
        <f>D36*13%</f>
        <v>292545.5</v>
      </c>
      <c r="E37">
        <f>+D37-K4-K5-K6</f>
        <v>248495.5</v>
      </c>
      <c r="G37" s="101"/>
      <c r="H37" s="101"/>
    </row>
    <row r="38" spans="3:13" ht="15" thickBot="1" x14ac:dyDescent="0.4">
      <c r="C38" s="47" t="s">
        <v>30</v>
      </c>
      <c r="D38" s="30">
        <f>M32</f>
        <v>3319250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-1361445.5</v>
      </c>
      <c r="F39" s="99">
        <f>+P32-D39</f>
        <v>32845.5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-1361445.5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61</v>
      </c>
      <c r="D2" s="268"/>
      <c r="E2" s="267">
        <f>DigitaNICA!E2</f>
        <v>39</v>
      </c>
      <c r="F2" s="268"/>
      <c r="G2" s="267">
        <f>DigitaNICA!G2</f>
        <v>49</v>
      </c>
      <c r="H2" s="268"/>
      <c r="I2" s="267" t="str">
        <f>DigitaNICA!I2</f>
        <v>02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20100</v>
      </c>
      <c r="D4" s="79">
        <f>IF(Vendedor1!$E$5="",0,Vendedor1!$E$5)</f>
        <v>0</v>
      </c>
      <c r="E4" s="190">
        <f>IF(Vendedor1!$C$9="",0,Vendedor1!$C$9)</f>
        <v>19300</v>
      </c>
      <c r="F4" s="79">
        <f>IF(Vendedor1!$E$9="",0,Vendedor1!$E$9)</f>
        <v>0</v>
      </c>
      <c r="G4" s="190">
        <f>IF(Vendedor1!$C$13="",0,Vendedor1!$C$13)</f>
        <v>5650</v>
      </c>
      <c r="H4" s="79">
        <f>IF(Vendedor1!$E$13="",0,Vendedor1!$E$13)</f>
        <v>0</v>
      </c>
      <c r="I4" s="190">
        <f>IF(Vendedor1!$C$17="",0,Vendedor1!$C$17)</f>
        <v>3200</v>
      </c>
      <c r="J4" s="79">
        <f>IF(Vendedor1!$E$17="",0,Vendedor1!$E$17)</f>
        <v>0</v>
      </c>
      <c r="L4" s="42">
        <f t="shared" ref="L4:L7" si="0">C4+E4+G4+I4</f>
        <v>48250</v>
      </c>
      <c r="M4" s="41">
        <f>MROUND(L4*Vendedor1!J$10,50)</f>
        <v>6250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42000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22750</v>
      </c>
      <c r="D5" s="30">
        <f>IF(Vendedor2!$E$5="",0,Vendedor2!$E$5)</f>
        <v>250</v>
      </c>
      <c r="E5" s="181">
        <f>IF(Vendedor2!$C$9="",0,Vendedor2!$C$9)</f>
        <v>19650</v>
      </c>
      <c r="F5" s="30">
        <f>IF(Vendedor2!$E$9="",0,Vendedor2!$E$9)</f>
        <v>1200</v>
      </c>
      <c r="G5" s="181">
        <f>IF(Vendedor2!$C$13="",0,Vendedor2!$C$13)</f>
        <v>4200</v>
      </c>
      <c r="H5" s="30">
        <f>IF(Vendedor2!$E$13="",0,Vendedor2!$E$13)</f>
        <v>0</v>
      </c>
      <c r="I5" s="181">
        <f>IF(Vendedor2!$C$17="",0,Vendedor2!$C$17)</f>
        <v>1200</v>
      </c>
      <c r="J5" s="30">
        <f>IF(Vendedor2!$E$17="",0,Vendedor2!$E$17)</f>
        <v>0</v>
      </c>
      <c r="L5" s="42">
        <f t="shared" si="0"/>
        <v>47800</v>
      </c>
      <c r="M5" s="41">
        <f>MROUND(L5*Vendedor2!J$10,50)</f>
        <v>6200</v>
      </c>
      <c r="N5" s="42">
        <f t="shared" si="1"/>
        <v>1450</v>
      </c>
      <c r="O5" s="41">
        <f t="shared" ref="O5:O27" si="3">IFERROR(N5*85,0)</f>
        <v>123250</v>
      </c>
      <c r="P5" s="42">
        <f>Vendedor2!$F$5+Vendedor2!$F$9+Vendedor2!$F$13+Vendedor2!$F$17</f>
        <v>116000</v>
      </c>
      <c r="Q5">
        <v>5</v>
      </c>
      <c r="R5" s="41">
        <f t="shared" si="2"/>
        <v>-81650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75250</v>
      </c>
      <c r="D8" s="30">
        <f>IF(Vendedor5!$E$5="",0,Vendedor5!$E$5)</f>
        <v>0</v>
      </c>
      <c r="E8" s="181">
        <f>IF(Vendedor5!$C$9="",0,Vendedor5!$C$9)</f>
        <v>49550</v>
      </c>
      <c r="F8" s="30">
        <f>IF(Vendedor5!$E$9="",0,Vendedor5!$E$9)</f>
        <v>0</v>
      </c>
      <c r="G8" s="181">
        <f>IF(Vendedor5!$C$13="",0,Vendedor5!$C$13)</f>
        <v>14300</v>
      </c>
      <c r="H8" s="30">
        <f>IF(Vendedor5!$E$13="",0,Vendedor5!$E$13)</f>
        <v>0</v>
      </c>
      <c r="I8" s="181">
        <f>IF(Vendedor5!$C$17="",0,Vendedor5!$C$17)</f>
        <v>26050</v>
      </c>
      <c r="J8" s="30">
        <f>IF(Vendedor5!$E$17="",0,Vendedor5!$E$17)</f>
        <v>0</v>
      </c>
      <c r="L8" s="42">
        <f t="shared" ref="L8" si="4">C8+E8+G8+I8</f>
        <v>165150</v>
      </c>
      <c r="M8" s="41">
        <f>MROUND(L8*Vendedor5!J$12,50)</f>
        <v>19800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145350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87450</v>
      </c>
      <c r="D10" s="30">
        <f>IF(Vendedor7!$E$5="",0,Vendedor7!$E$5)</f>
        <v>2100</v>
      </c>
      <c r="E10" s="181">
        <f>IF(Vendedor7!$C$9="",0,Vendedor7!$C$9)</f>
        <v>101400</v>
      </c>
      <c r="F10" s="30">
        <f>IF(Vendedor7!$E$9="",0,Vendedor7!$E$9)</f>
        <v>500</v>
      </c>
      <c r="G10" s="181">
        <f>IF(Vendedor7!$C$13="",0,Vendedor7!$C$13)</f>
        <v>94450</v>
      </c>
      <c r="H10" s="30">
        <f>IF(Vendedor7!$E$13="",0,Vendedor7!$E$13)</f>
        <v>300</v>
      </c>
      <c r="I10" s="181">
        <f>IF(Vendedor7!$C$17="",0,Vendedor7!$C$17)</f>
        <v>137400</v>
      </c>
      <c r="J10" s="30">
        <f>IF(Vendedor7!$E$17="",0,Vendedor7!$E$17)</f>
        <v>100</v>
      </c>
      <c r="L10" s="42">
        <f t="shared" si="7"/>
        <v>420700</v>
      </c>
      <c r="M10" s="41">
        <f>MROUND(L10*Vendedor7!J$15,50)</f>
        <v>50500</v>
      </c>
      <c r="N10" s="42">
        <f t="shared" ref="N10:N27" si="9">D10+F10+H10+J10</f>
        <v>3000</v>
      </c>
      <c r="O10" s="41">
        <f t="shared" si="3"/>
        <v>255000</v>
      </c>
      <c r="P10" s="42">
        <f>Vendedor7!$F$5+Vendedor7!$F$9+Vendedor7!$F$13+Vendedor7!$F$17</f>
        <v>255000</v>
      </c>
      <c r="R10" s="41">
        <f t="shared" si="8"/>
        <v>115200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58400</v>
      </c>
      <c r="D12" s="30">
        <f>IF(Vendedor9!$E$5="",0,Vendedor9!$E$5)</f>
        <v>300</v>
      </c>
      <c r="E12" s="181">
        <f>IF(Vendedor9!$C$9="",0,Vendedor9!$C$9)</f>
        <v>20700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79100</v>
      </c>
      <c r="M12" s="41">
        <f>MROUND(L12*Vendedor9!J$12,50)</f>
        <v>9500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44100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18450</v>
      </c>
      <c r="D13" s="30">
        <f>IF(Vendedor10!$E$5="",0,Vendedor10!$E$5)</f>
        <v>0</v>
      </c>
      <c r="E13" s="181">
        <f>IF(Vendedor10!$C$9="",0,Vendedor10!$C$9)</f>
        <v>10700</v>
      </c>
      <c r="F13" s="30">
        <f>IF(Vendedor10!$E$9="",0,Vendedor10!$E$9)</f>
        <v>0</v>
      </c>
      <c r="G13" s="181">
        <f>IF(Vendedor10!$C$13="",0,Vendedor10!$C$13)</f>
        <v>7900</v>
      </c>
      <c r="H13" s="30">
        <f>IF(Vendedor10!$E$13="",0,Vendedor10!$E$13)</f>
        <v>0</v>
      </c>
      <c r="I13" s="181">
        <f>IF(Vendedor10!$C$17="",0,Vendedor10!$C$17)</f>
        <v>1700</v>
      </c>
      <c r="J13" s="30">
        <f>IF(Vendedor10!$E$17="",0,Vendedor10!$E$17)</f>
        <v>0</v>
      </c>
      <c r="L13" s="42">
        <f t="shared" si="7"/>
        <v>38750</v>
      </c>
      <c r="M13" s="41">
        <f>MROUND(L13*Vendedor10!J$10,50)</f>
        <v>4650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34100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9300</v>
      </c>
      <c r="D16" s="30">
        <f>IF(Vendedor13!$E$5="",0,Vendedor13!$E$5)</f>
        <v>0</v>
      </c>
      <c r="E16" s="181">
        <f>IF(Vendedor13!$C$9="",0,Vendedor13!$C$9)</f>
        <v>0</v>
      </c>
      <c r="F16" s="30">
        <f>IF(Vendedor13!$E$9="",0,Vendedor13!$E$9)</f>
        <v>0</v>
      </c>
      <c r="G16" s="181">
        <f>IF(Vendedor13!$C$13="",0,Vendedor13!$C$13)</f>
        <v>1200</v>
      </c>
      <c r="H16" s="30">
        <f>IF(Vendedor13!$E$13="",0,Vendedor13!$E$13)</f>
        <v>0</v>
      </c>
      <c r="I16" s="181">
        <f>IF(Vendedor13!$C$17="",0,Vendedor13!$C$17)</f>
        <v>12200</v>
      </c>
      <c r="J16" s="30">
        <f>IF(Vendedor13!$E$17="",0,Vendedor13!$E$17)</f>
        <v>0</v>
      </c>
      <c r="L16" s="42">
        <f t="shared" si="7"/>
        <v>22700</v>
      </c>
      <c r="M16" s="41">
        <f>MROUND(L16*Vendedor13!J$12,50)</f>
        <v>2700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20000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128850</v>
      </c>
      <c r="D17" s="30">
        <f>IF(Vendedor14!$E$5="",0,Vendedor14!$E$5)</f>
        <v>1000</v>
      </c>
      <c r="E17" s="181">
        <f>IF(Vendedor14!$C$9="",0,Vendedor14!$C$9)</f>
        <v>119300</v>
      </c>
      <c r="F17" s="30">
        <f>IF(Vendedor14!$E$9="",0,Vendedor14!$E$9)</f>
        <v>200</v>
      </c>
      <c r="G17" s="181">
        <f>IF(Vendedor14!$C$13="",0,Vendedor14!$C$13)</f>
        <v>66100</v>
      </c>
      <c r="H17" s="30">
        <f>IF(Vendedor14!$E$13="",0,Vendedor14!$E$13)</f>
        <v>300</v>
      </c>
      <c r="I17" s="181">
        <f>IF(Vendedor14!$C$17="",0,Vendedor14!$C$17)</f>
        <v>165200</v>
      </c>
      <c r="J17" s="30">
        <f>IF(Vendedor14!$E$17="",0,Vendedor14!$E$17)</f>
        <v>3750</v>
      </c>
      <c r="L17" s="42">
        <f>C17+E17+G17+I17</f>
        <v>479450</v>
      </c>
      <c r="M17" s="41">
        <f>MROUND(L17*Vendedor14!J$16,50)</f>
        <v>57550</v>
      </c>
      <c r="N17" s="42">
        <f t="shared" si="9"/>
        <v>5250</v>
      </c>
      <c r="O17" s="41">
        <f t="shared" si="3"/>
        <v>446250</v>
      </c>
      <c r="P17" s="42">
        <f>Vendedor14!$F$5+Vendedor14!$F$9+Vendedor14!$F$13+Vendedor14!$F$17</f>
        <v>446250</v>
      </c>
      <c r="R17" s="41">
        <f t="shared" si="8"/>
        <v>-24350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48850</v>
      </c>
      <c r="D18" s="30">
        <f>IF(Vendedor15!$E$5="",0,Vendedor15!$E$5)</f>
        <v>650</v>
      </c>
      <c r="E18" s="181">
        <f>IF(Vendedor15!$C$9="",0,Vendedor15!$C$9)</f>
        <v>52700</v>
      </c>
      <c r="F18" s="30">
        <f>IF(Vendedor15!$E$9="",0,Vendedor15!$E$9)</f>
        <v>450</v>
      </c>
      <c r="G18" s="181">
        <f>IF(Vendedor15!$C$13="",0,Vendedor15!$C$13)</f>
        <v>60250</v>
      </c>
      <c r="H18" s="30">
        <f>IF(Vendedor15!$E$13="",0,Vendedor15!$E$13)</f>
        <v>350</v>
      </c>
      <c r="I18" s="181">
        <f>IF(Vendedor15!$C$17="",0,Vendedor15!$C$17)</f>
        <v>42300</v>
      </c>
      <c r="J18" s="30">
        <f>IF(Vendedor15!$E$17="",0,Vendedor15!$E$17)</f>
        <v>1900</v>
      </c>
      <c r="L18" s="42">
        <f t="shared" ref="L18:L27" si="10">C18+E18+G18+I18</f>
        <v>204100</v>
      </c>
      <c r="M18" s="41">
        <f>MROUND(L18*Vendedor15!J$16,50)</f>
        <v>24500</v>
      </c>
      <c r="N18" s="42">
        <f t="shared" si="9"/>
        <v>3350</v>
      </c>
      <c r="O18" s="41">
        <f t="shared" si="3"/>
        <v>284750</v>
      </c>
      <c r="P18" s="42">
        <f>Vendedor15!$F$5+Vendedor15!$F$9+Vendedor15!$F$13+Vendedor15!$F$17</f>
        <v>284750</v>
      </c>
      <c r="R18" s="41">
        <f t="shared" si="8"/>
        <v>-105150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469400</v>
      </c>
      <c r="D32" s="44">
        <f t="shared" si="14"/>
        <v>4300</v>
      </c>
      <c r="E32" s="43">
        <f t="shared" si="14"/>
        <v>393300</v>
      </c>
      <c r="F32" s="44">
        <f t="shared" si="14"/>
        <v>2350</v>
      </c>
      <c r="G32" s="43">
        <f t="shared" si="14"/>
        <v>254050</v>
      </c>
      <c r="H32" s="44">
        <f t="shared" si="14"/>
        <v>950</v>
      </c>
      <c r="I32" s="43">
        <f t="shared" si="14"/>
        <v>389250</v>
      </c>
      <c r="J32" s="44">
        <f t="shared" si="14"/>
        <v>5750</v>
      </c>
      <c r="L32" s="45">
        <f>SUM(L4:L31)</f>
        <v>1506000</v>
      </c>
      <c r="M32" s="45">
        <f>SUM(M7:M31)</f>
        <v>169200</v>
      </c>
      <c r="N32" s="96">
        <f>SUM(N4:N31)</f>
        <v>13350</v>
      </c>
      <c r="O32" s="46">
        <f>SUM(O4:O31)</f>
        <v>1134750</v>
      </c>
      <c r="P32" s="141">
        <f>SUM(P4:P31)</f>
        <v>1127500</v>
      </c>
      <c r="R32" s="80">
        <f>SUM(R4:R31)</f>
        <v>189600</v>
      </c>
    </row>
    <row r="33" spans="3:15" x14ac:dyDescent="0.35">
      <c r="D33" s="121">
        <f>+D32*85</f>
        <v>365500</v>
      </c>
      <c r="F33" s="121">
        <f>+F32*85</f>
        <v>199750</v>
      </c>
      <c r="H33" s="121">
        <f>+H32*85</f>
        <v>80750</v>
      </c>
      <c r="J33" s="121">
        <f>+J32*85</f>
        <v>488750</v>
      </c>
    </row>
    <row r="34" spans="3:15" ht="15" thickBot="1" x14ac:dyDescent="0.4"/>
    <row r="35" spans="3:15" x14ac:dyDescent="0.35">
      <c r="C35" s="266" t="s">
        <v>89</v>
      </c>
      <c r="D35" s="266"/>
      <c r="N35" s="150"/>
      <c r="O35" s="43"/>
    </row>
    <row r="36" spans="3:15" x14ac:dyDescent="0.35">
      <c r="C36" s="47" t="s">
        <v>28</v>
      </c>
      <c r="D36" s="30">
        <f>+C32+E32+G32+I32</f>
        <v>1506000</v>
      </c>
      <c r="E36" s="43">
        <f>+D36-L4-L5-L6</f>
        <v>1409950</v>
      </c>
    </row>
    <row r="37" spans="3:15" x14ac:dyDescent="0.35">
      <c r="C37" s="47" t="s">
        <v>33</v>
      </c>
      <c r="D37" s="48">
        <f>D36*13%</f>
        <v>195780</v>
      </c>
      <c r="E37">
        <f>+D37-M4-M5-M6</f>
        <v>183330</v>
      </c>
    </row>
    <row r="38" spans="3:15" x14ac:dyDescent="0.35">
      <c r="C38" s="47" t="s">
        <v>30</v>
      </c>
      <c r="D38" s="30">
        <f>SUM(O4:O27)</f>
        <v>1134750</v>
      </c>
      <c r="G38" s="101"/>
    </row>
    <row r="39" spans="3:15" ht="15" thickBot="1" x14ac:dyDescent="0.4">
      <c r="C39" s="49" t="s">
        <v>4</v>
      </c>
      <c r="D39" s="81">
        <f>+D36-D37-D38</f>
        <v>175470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175470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07 Blanca</v>
      </c>
      <c r="D2" s="268"/>
      <c r="E2" s="267" t="str">
        <f>IF(E33=0,"",CONCATENATE(PREMIOS!$B11," ",PREMIOS!$B12))</f>
        <v>23 Blanca</v>
      </c>
      <c r="F2" s="268"/>
      <c r="G2" s="267" t="str">
        <f>IF(G33=0,"",CONCATENATE(PREMIOS!$B15," ",PREMIOS!$B16))</f>
        <v>28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22950</v>
      </c>
      <c r="D10" s="30">
        <f>IF(Vendedor7!$E$8="",0,Vendedor7!$E$8)</f>
        <v>1000</v>
      </c>
      <c r="E10" s="181">
        <f>IF(Vendedor7!$C$12="",0,Vendedor7!$C$12)</f>
        <v>15700</v>
      </c>
      <c r="F10" s="30">
        <f>IF(Vendedor7!$E$12="",0,Vendedor7!$E$12)</f>
        <v>0</v>
      </c>
      <c r="G10" s="181">
        <f>IF(Vendedor7!$C$16="",0,Vendedor7!$C$16)</f>
        <v>34800</v>
      </c>
      <c r="H10" s="30">
        <f>IF(Vendedor7!$E$16="",0,Vendedor7!$E$16)</f>
        <v>2000</v>
      </c>
      <c r="J10" s="42">
        <f t="shared" si="1"/>
        <v>73450</v>
      </c>
      <c r="K10" s="41">
        <f>J10*Vendedor7!J$16</f>
        <v>7345</v>
      </c>
      <c r="L10" s="42">
        <f t="shared" si="2"/>
        <v>2000</v>
      </c>
      <c r="M10" s="42">
        <f t="shared" si="3"/>
        <v>3000</v>
      </c>
      <c r="N10" s="42">
        <f t="shared" si="0"/>
        <v>440000</v>
      </c>
      <c r="O10" s="42">
        <f>Vendedor7!$F$8+Vendedor7!$F$12+Vendedor7!$F$16</f>
        <v>400000</v>
      </c>
      <c r="Q10" s="42">
        <f t="shared" si="4"/>
        <v>-333895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4900</v>
      </c>
      <c r="D12" s="30">
        <f>IF(Vendedor9!$E$8="",0,Vendedor9!$E$8)</f>
        <v>0</v>
      </c>
      <c r="E12" s="181">
        <f>IF(Vendedor9!$C$12="",0,Vendedor9!$C$12)</f>
        <v>4500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9400</v>
      </c>
      <c r="K12" s="41">
        <f>J12*Vendedor9!J$13</f>
        <v>940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8460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44300</v>
      </c>
      <c r="D17" s="30">
        <f>IF(Vendedor14!$E$8="",0,Vendedor14!$E$8)</f>
        <v>0</v>
      </c>
      <c r="E17" s="181">
        <f>IF(Vendedor14!$C$12="",0,Vendedor14!$C$12)</f>
        <v>31250</v>
      </c>
      <c r="F17" s="30">
        <f>IF(Vendedor14!$E$12="",0,Vendedor14!$E$12)</f>
        <v>450</v>
      </c>
      <c r="G17" s="181">
        <f>IF(Vendedor14!$C$16="",0,Vendedor14!$C$16)</f>
        <v>37950</v>
      </c>
      <c r="H17" s="30">
        <f>IF(Vendedor14!$E$16="",0,Vendedor14!$E$16)</f>
        <v>50</v>
      </c>
      <c r="J17" s="42">
        <f t="shared" si="1"/>
        <v>113500</v>
      </c>
      <c r="K17" s="41">
        <f>J17*Vendedor14!J$17</f>
        <v>11350</v>
      </c>
      <c r="L17" s="42">
        <f t="shared" si="2"/>
        <v>50</v>
      </c>
      <c r="M17" s="42">
        <f t="shared" si="3"/>
        <v>500</v>
      </c>
      <c r="N17" s="42">
        <f t="shared" si="0"/>
        <v>11000</v>
      </c>
      <c r="O17" s="42">
        <f>Vendedor14!$F$8+Vendedor14!$F$12+Vendedor14!$F$16</f>
        <v>10000</v>
      </c>
      <c r="Q17" s="42">
        <f t="shared" si="4"/>
        <v>92150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25950</v>
      </c>
      <c r="D18" s="30">
        <f>IF(Vendedor15!$E$8="",0,Vendedor15!$E$8)</f>
        <v>100</v>
      </c>
      <c r="E18" s="181">
        <f>IF(Vendedor15!$C$12="",0,Vendedor15!$C$12)</f>
        <v>30550</v>
      </c>
      <c r="F18" s="30">
        <f>IF(Vendedor15!$E$12="",0,Vendedor15!$E$12)</f>
        <v>100</v>
      </c>
      <c r="G18" s="181">
        <f>IF(Vendedor15!$C$16="",0,Vendedor15!$C$16)</f>
        <v>25850</v>
      </c>
      <c r="H18" s="30">
        <f>IF(Vendedor15!$E$16="",0,Vendedor15!$E$16)</f>
        <v>100</v>
      </c>
      <c r="J18" s="42">
        <f t="shared" ref="J18" si="5">+C18+E18+G18</f>
        <v>82350</v>
      </c>
      <c r="K18" s="41">
        <f>J18*Vendedor15!J$17</f>
        <v>8235</v>
      </c>
      <c r="L18" s="42">
        <f t="shared" si="2"/>
        <v>100</v>
      </c>
      <c r="M18" s="42">
        <f t="shared" si="3"/>
        <v>300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54115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98100</v>
      </c>
      <c r="D33" s="44">
        <f>IF(PREMIOS!E8&lt;&gt;0,SUM(D4:D32),0)</f>
        <v>0</v>
      </c>
      <c r="E33" s="43">
        <f>SUM(E4:E32)</f>
        <v>82000</v>
      </c>
      <c r="F33" s="44">
        <f>IF(PREMIOS!E12&lt;&gt;0,SUM(F4:F32),0)</f>
        <v>0</v>
      </c>
      <c r="G33" s="43">
        <f>SUM(G4:G32)</f>
        <v>98600</v>
      </c>
      <c r="H33" s="44">
        <f>IF(PREMIOS!E16&lt;&gt;0,SUM(H4:H32),0)</f>
        <v>2150</v>
      </c>
      <c r="J33" s="45">
        <f>SUM(J4:J32)</f>
        <v>278700</v>
      </c>
      <c r="K33" s="45">
        <f>SUM(K7:K32)</f>
        <v>27870</v>
      </c>
      <c r="L33" s="96">
        <f>SUM(L7:L32)</f>
        <v>2150</v>
      </c>
      <c r="M33" s="96">
        <f>SUM(M7:M32)</f>
        <v>3800</v>
      </c>
      <c r="N33" s="96">
        <f>SUM(N4:N27)</f>
        <v>473000</v>
      </c>
      <c r="O33" s="96">
        <f>SUM(O4:O27)</f>
        <v>430000</v>
      </c>
      <c r="Q33" s="80">
        <f>SUM(Q4:Q32)</f>
        <v>-179170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473000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278700</v>
      </c>
      <c r="E37" s="43">
        <f>+D37-J4-J5-J6</f>
        <v>278700</v>
      </c>
      <c r="F37" s="275"/>
      <c r="G37" s="275"/>
    </row>
    <row r="38" spans="3:17" ht="15" thickBot="1" x14ac:dyDescent="0.4">
      <c r="C38" s="47" t="s">
        <v>33</v>
      </c>
      <c r="D38" s="30">
        <f>D37*10%</f>
        <v>27870</v>
      </c>
      <c r="E38" s="43">
        <f>+D38-K4-K5-K6</f>
        <v>27870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473000</v>
      </c>
    </row>
    <row r="40" spans="3:17" ht="15" thickBot="1" x14ac:dyDescent="0.4">
      <c r="C40" s="49" t="s">
        <v>4</v>
      </c>
      <c r="D40" s="81">
        <f>+D37-D38-D39</f>
        <v>-222170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-222170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49</v>
      </c>
      <c r="D2" s="268"/>
      <c r="E2" s="267">
        <f>DigitaPRIMERA!E2</f>
        <v>60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12400</v>
      </c>
      <c r="D4" s="79">
        <f>IF(Vendedor1!$E$19="",0,Vendedor1!$E$19)</f>
        <v>0</v>
      </c>
      <c r="E4" s="190">
        <f>IF(Vendedor1!$C$20="",0,Vendedor1!$C$20)</f>
        <v>1000</v>
      </c>
      <c r="F4" s="79">
        <f>IF(Vendedor1!$E$20="",0,Vendedor1!$E$20)</f>
        <v>0</v>
      </c>
      <c r="H4" s="42">
        <f>+C4+E4</f>
        <v>13400</v>
      </c>
      <c r="I4" s="41">
        <f>MROUND(H4*Vendedor1!J$9,50)</f>
        <v>1750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11650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4200</v>
      </c>
      <c r="D5" s="30">
        <f>IF(Vendedor2!$E$19="",0,Vendedor2!$E$19)</f>
        <v>0</v>
      </c>
      <c r="E5" s="181">
        <f>IF(Vendedor2!$C$20="",0,Vendedor2!$C$20)</f>
        <v>5000</v>
      </c>
      <c r="F5" s="30">
        <f>IF(Vendedor2!$E$20="",0,Vendedor2!$E$20)</f>
        <v>0</v>
      </c>
      <c r="H5" s="42">
        <f t="shared" ref="H5:H31" si="1">+C5+E5</f>
        <v>9200</v>
      </c>
      <c r="I5" s="41">
        <f>MROUND(H5*Vendedor2!J$9,50)</f>
        <v>1200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8000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45300</v>
      </c>
      <c r="D8" s="30">
        <f>IF(Vendedor5!$E$19="",0,Vendedor5!$E$19)</f>
        <v>500</v>
      </c>
      <c r="E8" s="181">
        <f>IF(Vendedor5!$C$20="",0,Vendedor5!$C$20)</f>
        <v>16000</v>
      </c>
      <c r="F8" s="30">
        <f>IF(Vendedor5!$E$20="",0,Vendedor5!$E$20)</f>
        <v>1000</v>
      </c>
      <c r="H8" s="134">
        <f t="shared" si="1"/>
        <v>61300</v>
      </c>
      <c r="I8" s="149">
        <f>MROUND(H8*Vendedor5!J$11,50)</f>
        <v>7350</v>
      </c>
      <c r="J8" s="134">
        <f t="shared" si="2"/>
        <v>1500</v>
      </c>
      <c r="K8" s="134">
        <f t="shared" si="3"/>
        <v>127500</v>
      </c>
      <c r="L8" s="134">
        <f>Vendedor5!$F$19+Vendedor5!$F$20</f>
        <v>120000</v>
      </c>
      <c r="M8" s="156"/>
      <c r="N8" s="134">
        <f t="shared" si="0"/>
        <v>-66050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16750</v>
      </c>
      <c r="D10" s="30">
        <f>IF(Vendedor7!$E$19="",0,Vendedor7!$E$19)</f>
        <v>200</v>
      </c>
      <c r="E10" s="181">
        <f>IF(Vendedor7!$C$20="",0,Vendedor7!$C$20)</f>
        <v>7750</v>
      </c>
      <c r="F10" s="30">
        <f>IF(Vendedor7!$E$20="",0,Vendedor7!$E$20)</f>
        <v>0</v>
      </c>
      <c r="H10" s="42">
        <f t="shared" si="1"/>
        <v>24500</v>
      </c>
      <c r="I10" s="41">
        <f>MROUND(H10*Vendedor7!J$14,50)</f>
        <v>2950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4550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59400</v>
      </c>
      <c r="D12" s="30">
        <f>IF(Vendedor9!$E$19="",0,Vendedor9!$E$19)</f>
        <v>350</v>
      </c>
      <c r="E12" s="181">
        <f>IF(Vendedor9!$C$20="",0,Vendedor9!$C$20)</f>
        <v>9600</v>
      </c>
      <c r="F12" s="30">
        <f>IF(Vendedor9!$E$20="",0,Vendedor9!$E$20)</f>
        <v>0</v>
      </c>
      <c r="H12" s="134">
        <f t="shared" si="1"/>
        <v>69000</v>
      </c>
      <c r="I12" s="149">
        <f>MROUND(H12*Vendedor9!J$11,50)</f>
        <v>8300</v>
      </c>
      <c r="J12" s="134">
        <f t="shared" si="2"/>
        <v>350</v>
      </c>
      <c r="K12" s="134">
        <f t="shared" si="3"/>
        <v>29750</v>
      </c>
      <c r="L12" s="134">
        <f>Vendedor9!$F$19+Vendedor9!$F$20</f>
        <v>29750</v>
      </c>
      <c r="M12" s="156"/>
      <c r="N12" s="134">
        <f t="shared" si="0"/>
        <v>30950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12800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12800</v>
      </c>
      <c r="I16" s="149">
        <f>MROUND(H16*Vendedor13!J$11,50)</f>
        <v>1550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11250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105600</v>
      </c>
      <c r="D17" s="30">
        <f>IF(Vendedor14!$E$19="",0,Vendedor14!$E$19)</f>
        <v>1100</v>
      </c>
      <c r="E17" s="181">
        <f>IF(Vendedor14!$C$20="",0,Vendedor14!$C$20)</f>
        <v>43050</v>
      </c>
      <c r="F17" s="30">
        <f>IF(Vendedor14!$E$20="",0,Vendedor14!$E$20)</f>
        <v>100</v>
      </c>
      <c r="H17" s="42">
        <f t="shared" si="1"/>
        <v>148650</v>
      </c>
      <c r="I17" s="41">
        <f>MROUND(H17*Vendedor14!J$15,50)</f>
        <v>17850</v>
      </c>
      <c r="J17" s="42">
        <f t="shared" si="2"/>
        <v>1200</v>
      </c>
      <c r="K17" s="42">
        <f t="shared" si="3"/>
        <v>102000</v>
      </c>
      <c r="L17" s="42">
        <f>Vendedor14!$F$19+Vendedor14!$F$20</f>
        <v>102000</v>
      </c>
      <c r="N17" s="42">
        <f t="shared" si="0"/>
        <v>28800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73000</v>
      </c>
      <c r="D18" s="30">
        <f>IF(Vendedor15!$E$19="",0,Vendedor15!$E$19)</f>
        <v>0</v>
      </c>
      <c r="E18" s="181">
        <f>IF(Vendedor15!$C$20="",0,Vendedor15!$C$20)</f>
        <v>45300</v>
      </c>
      <c r="F18" s="30">
        <f>IF(Vendedor15!$E$20="",0,Vendedor15!$E$20)</f>
        <v>700</v>
      </c>
      <c r="H18" s="42">
        <f t="shared" si="1"/>
        <v>118300</v>
      </c>
      <c r="I18" s="41">
        <f>MROUND(H18*Vendedor15!J$15,50)</f>
        <v>14200</v>
      </c>
      <c r="J18" s="42">
        <f t="shared" si="2"/>
        <v>700</v>
      </c>
      <c r="K18" s="42">
        <f t="shared" si="3"/>
        <v>59500</v>
      </c>
      <c r="L18" s="42">
        <f>Vendedor15!$F$19+Vendedor15!$F$20</f>
        <v>59500</v>
      </c>
      <c r="N18" s="42">
        <f t="shared" si="0"/>
        <v>44600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329450</v>
      </c>
      <c r="D32" s="44">
        <f>SUM(D4:D31)</f>
        <v>2150</v>
      </c>
      <c r="E32" s="43">
        <f>SUM(E4:E31)</f>
        <v>127700</v>
      </c>
      <c r="F32" s="44">
        <f>SUM(F4:F31)</f>
        <v>1800</v>
      </c>
      <c r="H32" s="96">
        <f>SUM(H4:H31)</f>
        <v>457150</v>
      </c>
      <c r="I32" s="45">
        <f>SUM(I7:I31)</f>
        <v>52200</v>
      </c>
      <c r="J32" s="96"/>
      <c r="K32" s="96">
        <f>SUM(K4:K31)</f>
        <v>335750</v>
      </c>
      <c r="L32" s="96">
        <f>SUM(L4:L31)</f>
        <v>328250</v>
      </c>
      <c r="N32" s="80">
        <f>SUM(N4:N31)</f>
        <v>73750</v>
      </c>
    </row>
    <row r="33" spans="3:6" x14ac:dyDescent="0.35">
      <c r="D33" s="100">
        <f>+D32*85</f>
        <v>182750</v>
      </c>
      <c r="F33" s="100">
        <f>+F32*85</f>
        <v>153000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457150</v>
      </c>
      <c r="E36" s="43">
        <f>+D36-H4-H5-H6</f>
        <v>434550</v>
      </c>
    </row>
    <row r="37" spans="3:6" x14ac:dyDescent="0.35">
      <c r="C37" s="47" t="s">
        <v>33</v>
      </c>
      <c r="D37" s="48">
        <f>D36*13%</f>
        <v>59429.5</v>
      </c>
      <c r="E37">
        <f>+D37-I4-I5-I6</f>
        <v>56479.5</v>
      </c>
    </row>
    <row r="38" spans="3:6" ht="15" thickBot="1" x14ac:dyDescent="0.4">
      <c r="C38" s="47" t="s">
        <v>30</v>
      </c>
      <c r="D38" s="30">
        <f>SUM(K4:K27)</f>
        <v>335750</v>
      </c>
    </row>
    <row r="39" spans="3:6" ht="15" thickBot="1" x14ac:dyDescent="0.4">
      <c r="C39" s="49" t="s">
        <v>4</v>
      </c>
      <c r="D39" s="81">
        <f>+D36-D37-D38</f>
        <v>61970.5</v>
      </c>
      <c r="F39" s="99">
        <f>+N32-D39</f>
        <v>11779.5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61970.5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85</v>
      </c>
      <c r="D2" s="268"/>
      <c r="E2" s="267">
        <f>DigitaHONDURAS!E2</f>
        <v>10</v>
      </c>
      <c r="F2" s="268"/>
      <c r="G2" s="267">
        <f>DigitaHONDURAS!G2</f>
        <v>53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1900</v>
      </c>
      <c r="D10" s="30">
        <f>IF(Vendedor7!$E$21="",0,Vendedor7!$E$21)</f>
        <v>0</v>
      </c>
      <c r="E10" s="181">
        <f>IF(Vendedor7!$C$22="",0,Vendedor7!$C$22)</f>
        <v>6200</v>
      </c>
      <c r="F10" s="30">
        <f>IF(Vendedor7!$E$22="",0,Vendedor7!$E$22)</f>
        <v>1500</v>
      </c>
      <c r="G10" s="181">
        <f>IF(Vendedor7!$C$23="",0,Vendedor7!$C$23)</f>
        <v>38900</v>
      </c>
      <c r="H10" s="30">
        <f>IF(Vendedor7!$E$23="",0,Vendedor7!$E$23)</f>
        <v>0</v>
      </c>
      <c r="J10" s="42">
        <f t="shared" si="0"/>
        <v>47000</v>
      </c>
      <c r="K10" s="41">
        <f>MROUND(J10*Vendedor7!J$14,50)</f>
        <v>5650</v>
      </c>
      <c r="L10" s="42">
        <f t="shared" si="1"/>
        <v>1500</v>
      </c>
      <c r="M10" s="42">
        <f t="shared" si="3"/>
        <v>127500</v>
      </c>
      <c r="N10" s="42">
        <f>Vendedor7!$F$21+Vendedor7!$F$22+Vendedor7!$F$23</f>
        <v>127500</v>
      </c>
      <c r="P10" s="42">
        <f t="shared" si="2"/>
        <v>-86150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5650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5650</v>
      </c>
      <c r="K12" s="41">
        <f>MROUND(J12*Vendedor9!J$14,50)</f>
        <v>700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4950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60800</v>
      </c>
      <c r="D17" s="30">
        <f>IF(Vendedor14!$E$21="",0,Vendedor14!$E$21)</f>
        <v>100</v>
      </c>
      <c r="E17" s="181">
        <f>IF(Vendedor14!$C$22="",0,Vendedor14!$C$22)</f>
        <v>10400</v>
      </c>
      <c r="F17" s="30">
        <f>IF(Vendedor14!$E$22="",0,Vendedor14!$E$22)</f>
        <v>0</v>
      </c>
      <c r="G17" s="181">
        <f>IF(Vendedor14!$C$23="",0,Vendedor14!$C$23)</f>
        <v>33100</v>
      </c>
      <c r="H17" s="30">
        <f>IF(Vendedor14!$E$23="",0,Vendedor14!$E$23)</f>
        <v>200</v>
      </c>
      <c r="J17" s="42">
        <f t="shared" si="0"/>
        <v>104300</v>
      </c>
      <c r="K17" s="41">
        <f>MROUND(J17*Vendedor14!J$15,50)</f>
        <v>12500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66300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10300</v>
      </c>
      <c r="D18" s="30">
        <f>IF(Vendedor15!$E$21="",0,Vendedor15!$E$21)</f>
        <v>150</v>
      </c>
      <c r="E18" s="181">
        <f>IF(Vendedor15!$C$22="",0,Vendedor15!$C$22)</f>
        <v>7900</v>
      </c>
      <c r="F18" s="30">
        <f>IF(Vendedor15!$E$22="",0,Vendedor15!$E$22)</f>
        <v>350</v>
      </c>
      <c r="G18" s="181">
        <f>IF(Vendedor15!$C$23="",0,Vendedor15!$C$23)</f>
        <v>5800</v>
      </c>
      <c r="H18" s="30">
        <f>IF(Vendedor15!$E$23="",0,Vendedor15!$E$23)</f>
        <v>150</v>
      </c>
      <c r="J18" s="42">
        <f t="shared" si="0"/>
        <v>24000</v>
      </c>
      <c r="K18" s="41">
        <f>MROUND(J18*Vendedor15!J$15,50)</f>
        <v>2900</v>
      </c>
      <c r="L18" s="42">
        <f t="shared" si="1"/>
        <v>650</v>
      </c>
      <c r="M18" s="42">
        <f t="shared" si="3"/>
        <v>55250</v>
      </c>
      <c r="N18" s="42">
        <f>Vendedor15!$F$21+Vendedor15!$F$22+Vendedor15!$F$23</f>
        <v>55250</v>
      </c>
      <c r="P18" s="42">
        <f t="shared" si="2"/>
        <v>-34150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78650</v>
      </c>
      <c r="D32" s="44">
        <f t="shared" si="8"/>
        <v>250</v>
      </c>
      <c r="E32" s="43">
        <f t="shared" si="8"/>
        <v>24500</v>
      </c>
      <c r="F32" s="44">
        <f t="shared" si="8"/>
        <v>1850</v>
      </c>
      <c r="G32" s="43">
        <f t="shared" si="8"/>
        <v>77800</v>
      </c>
      <c r="H32" s="44">
        <f t="shared" si="8"/>
        <v>350</v>
      </c>
      <c r="J32" s="96">
        <f>SUM(J4:J31)</f>
        <v>180950</v>
      </c>
      <c r="K32" s="45">
        <f>SUM(K7:K31)</f>
        <v>21750</v>
      </c>
      <c r="L32" s="96"/>
      <c r="M32" s="96">
        <f>SUM(M4:M31)</f>
        <v>208250</v>
      </c>
      <c r="N32" s="96">
        <f>SUM(N4:N31)</f>
        <v>208250</v>
      </c>
      <c r="P32" s="80">
        <f>SUM(P4:P31)</f>
        <v>-49050</v>
      </c>
    </row>
    <row r="33" spans="3:8" x14ac:dyDescent="0.35">
      <c r="D33" s="100">
        <f>+D32*85</f>
        <v>21250</v>
      </c>
      <c r="F33" s="100">
        <f>+F32*85</f>
        <v>157250</v>
      </c>
      <c r="H33" s="100">
        <f>+H32*85</f>
        <v>29750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180950</v>
      </c>
      <c r="E36" s="43">
        <f>+D36-J4-J5-J6</f>
        <v>180950</v>
      </c>
    </row>
    <row r="37" spans="3:8" x14ac:dyDescent="0.35">
      <c r="C37" s="47" t="s">
        <v>33</v>
      </c>
      <c r="D37" s="48">
        <f>D36*13%</f>
        <v>23523.5</v>
      </c>
      <c r="E37">
        <f>+D37-K4-K5-K6</f>
        <v>23523.5</v>
      </c>
    </row>
    <row r="38" spans="3:8" ht="15" thickBot="1" x14ac:dyDescent="0.4">
      <c r="C38" s="47" t="s">
        <v>30</v>
      </c>
      <c r="D38" s="30">
        <f>SUM(M4:M27)</f>
        <v>208250</v>
      </c>
      <c r="G38" s="101"/>
    </row>
    <row r="39" spans="3:8" ht="15" thickBot="1" x14ac:dyDescent="0.4">
      <c r="C39" s="49" t="s">
        <v>4</v>
      </c>
      <c r="D39" s="81">
        <f>+D36-D37-D38</f>
        <v>-50823.5</v>
      </c>
      <c r="F39" s="99">
        <f>+P32-D39</f>
        <v>1773.5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-50823.5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35</v>
      </c>
      <c r="D2" s="268"/>
      <c r="E2" s="267">
        <f>DigitaDOMINICANA!E2</f>
        <v>57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44000</v>
      </c>
      <c r="D10" s="30">
        <f>IF(Vendedor7!$E$24="",0,Vendedor7!$E$24)</f>
        <v>0</v>
      </c>
      <c r="E10" s="181">
        <f>IF(Vendedor7!$C$25="",0,Vendedor7!$C$25)</f>
        <v>31100</v>
      </c>
      <c r="F10" s="30">
        <f>IF(Vendedor7!$E$25="",0,Vendedor7!$E$25)</f>
        <v>0</v>
      </c>
      <c r="H10" s="42">
        <f t="shared" si="1"/>
        <v>75100</v>
      </c>
      <c r="I10" s="41">
        <f>MROUND(H10*Vendedor7!J$14,50)</f>
        <v>9000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66100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44000</v>
      </c>
      <c r="D32" s="44">
        <f>SUM(D4:D31)</f>
        <v>0</v>
      </c>
      <c r="E32" s="43">
        <f>SUM(E4:E31)</f>
        <v>31100</v>
      </c>
      <c r="F32" s="44">
        <f>SUM(F4:F31)</f>
        <v>0</v>
      </c>
      <c r="H32" s="96">
        <f>SUM(H4:H31)</f>
        <v>75100</v>
      </c>
      <c r="I32" s="45">
        <f>SUM(I7:I31)</f>
        <v>9000</v>
      </c>
      <c r="J32" s="96"/>
      <c r="K32" s="96">
        <f>SUM(K4:K31)</f>
        <v>0</v>
      </c>
      <c r="L32" s="96">
        <f>SUM(L4:L31)</f>
        <v>0</v>
      </c>
      <c r="N32" s="80">
        <f>SUM(N4:N31)</f>
        <v>66100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75100</v>
      </c>
      <c r="E36" s="43">
        <f>+D36-H4-H5-H6</f>
        <v>75100</v>
      </c>
    </row>
    <row r="37" spans="3:6" x14ac:dyDescent="0.35">
      <c r="C37" s="47" t="s">
        <v>33</v>
      </c>
      <c r="D37" s="48">
        <f>D36*13%</f>
        <v>9763</v>
      </c>
      <c r="E37">
        <f>+D37-I4-I5-I6</f>
        <v>9763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65337</v>
      </c>
      <c r="F39" s="99">
        <f>+N32-D39</f>
        <v>763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65337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>
        <f>DigitaPANAMENA!C2</f>
        <v>78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1409950</v>
      </c>
      <c r="C4" s="158">
        <f>HojaNICA!M32</f>
        <v>169200</v>
      </c>
      <c r="D4" s="151">
        <f>HojaNICA!E37</f>
        <v>183330</v>
      </c>
      <c r="E4" s="151">
        <f>HojaNICA!P32</f>
        <v>1127500</v>
      </c>
      <c r="F4" s="151">
        <f>HojaNICA!O32</f>
        <v>1134750</v>
      </c>
      <c r="G4" s="152">
        <f t="shared" ref="G4:G10" si="0">+D4-C4+F4-E4</f>
        <v>21380</v>
      </c>
      <c r="H4" s="21"/>
      <c r="I4" s="183"/>
    </row>
    <row r="5" spans="1:9" x14ac:dyDescent="0.35">
      <c r="A5" s="28" t="s">
        <v>19</v>
      </c>
      <c r="B5" s="157">
        <f>HojaTICA!$E$36</f>
        <v>1911600</v>
      </c>
      <c r="C5" s="158">
        <f>HojaTICA!K32</f>
        <v>232650</v>
      </c>
      <c r="D5" s="151">
        <f>HojaTICA!E37</f>
        <v>248495.5</v>
      </c>
      <c r="E5" s="151">
        <f>HojaTICA!N32</f>
        <v>3302250</v>
      </c>
      <c r="F5" s="151">
        <f>HojaTICA!D38</f>
        <v>3319250</v>
      </c>
      <c r="G5" s="152">
        <f t="shared" si="0"/>
        <v>32845.5</v>
      </c>
      <c r="H5" s="21"/>
      <c r="I5" s="183"/>
    </row>
    <row r="6" spans="1:9" x14ac:dyDescent="0.35">
      <c r="A6" s="28" t="s">
        <v>125</v>
      </c>
      <c r="B6" s="157">
        <f>HojaREVENTADO!$E$37</f>
        <v>278700</v>
      </c>
      <c r="C6" s="158">
        <f>HojaREVENTADO!K33</f>
        <v>27870</v>
      </c>
      <c r="D6" s="151">
        <f>HojaREVENTADO!E38</f>
        <v>27870</v>
      </c>
      <c r="E6" s="151">
        <f>HojaREVENTADO!O33</f>
        <v>430000</v>
      </c>
      <c r="F6" s="151">
        <f>HojaREVENTADO!N33</f>
        <v>473000</v>
      </c>
      <c r="G6" s="152">
        <f t="shared" si="0"/>
        <v>43000</v>
      </c>
      <c r="H6" s="21"/>
      <c r="I6" s="183"/>
    </row>
    <row r="7" spans="1:9" x14ac:dyDescent="0.35">
      <c r="A7" s="28" t="s">
        <v>96</v>
      </c>
      <c r="B7" s="157">
        <f>HojaPrimera!$E$36</f>
        <v>434550</v>
      </c>
      <c r="C7" s="158">
        <f>HojaPrimera!I32</f>
        <v>52200</v>
      </c>
      <c r="D7" s="151">
        <f>HojaPrimera!E37</f>
        <v>56479.5</v>
      </c>
      <c r="E7" s="151">
        <f>HojaPrimera!L32</f>
        <v>328250</v>
      </c>
      <c r="F7" s="151">
        <f>HojaPrimera!K32</f>
        <v>335750</v>
      </c>
      <c r="G7" s="152">
        <f t="shared" si="0"/>
        <v>11779.5</v>
      </c>
      <c r="H7" s="21"/>
      <c r="I7" s="21"/>
    </row>
    <row r="8" spans="1:9" x14ac:dyDescent="0.35">
      <c r="A8" s="28" t="s">
        <v>104</v>
      </c>
      <c r="B8" s="157">
        <f>HojaHonduras!$E$36</f>
        <v>180950</v>
      </c>
      <c r="C8" s="158">
        <f>HojaHonduras!K32</f>
        <v>21750</v>
      </c>
      <c r="D8" s="151">
        <f>HojaHonduras!E37</f>
        <v>23523.5</v>
      </c>
      <c r="E8" s="151">
        <f>HojaHonduras!N32</f>
        <v>208250</v>
      </c>
      <c r="F8" s="151">
        <f>HojaHonduras!M32</f>
        <v>208250</v>
      </c>
      <c r="G8" s="152">
        <f t="shared" si="0"/>
        <v>1773.5</v>
      </c>
      <c r="H8" s="21"/>
      <c r="I8" s="21"/>
    </row>
    <row r="9" spans="1:9" x14ac:dyDescent="0.35">
      <c r="A9" s="28" t="s">
        <v>20</v>
      </c>
      <c r="B9" s="157">
        <f>HojaDominicana!$E$36</f>
        <v>75100</v>
      </c>
      <c r="C9" s="158">
        <f>HojaDominicana!I32</f>
        <v>9000</v>
      </c>
      <c r="D9" s="151">
        <f>HojaDominicana!E37</f>
        <v>9763</v>
      </c>
      <c r="E9" s="151">
        <f>HojaDominicana!L32</f>
        <v>0</v>
      </c>
      <c r="F9" s="151">
        <f>HojaDominicana!K32</f>
        <v>0</v>
      </c>
      <c r="G9" s="152">
        <f t="shared" si="0"/>
        <v>763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4290850</v>
      </c>
      <c r="C11" s="176">
        <f>SUM(C4:C10)</f>
        <v>512670</v>
      </c>
      <c r="D11" s="176">
        <f t="shared" ref="D11:F11" si="1">SUM(D4:D10)</f>
        <v>549461.5</v>
      </c>
      <c r="E11" s="176">
        <f t="shared" si="1"/>
        <v>5396250</v>
      </c>
      <c r="F11" s="176">
        <f t="shared" si="1"/>
        <v>5471000</v>
      </c>
      <c r="G11" s="177">
        <f>SUM(G4:G10)</f>
        <v>111541.5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76541.5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205700</v>
      </c>
      <c r="E16" s="158">
        <f>+Vendedor1!D21</f>
        <v>26741</v>
      </c>
      <c r="F16" s="159">
        <f>IF(D16&lt;&gt;0,15000,0)</f>
        <v>15000</v>
      </c>
      <c r="G16" s="152">
        <f>+E16-F16</f>
        <v>11741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251700</v>
      </c>
      <c r="E17" s="158">
        <f>+Vendedor2!D21</f>
        <v>32721</v>
      </c>
      <c r="F17" s="159">
        <f>IF(D17&lt;&gt;0,15000,0)</f>
        <v>15000</v>
      </c>
      <c r="G17" s="152">
        <f>+E17-F17</f>
        <v>17721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457400</v>
      </c>
      <c r="E19" s="160">
        <f>SUM(E16:E18)</f>
        <v>59462</v>
      </c>
      <c r="F19" s="161">
        <f>SUM(F16:F18)</f>
        <v>30000</v>
      </c>
      <c r="G19" s="162">
        <f>SUM(G16:G18)</f>
        <v>29462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106003.5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48" t="s">
        <v>144</v>
      </c>
      <c r="L4" s="155"/>
    </row>
    <row r="5" spans="1:15" ht="21" x14ac:dyDescent="0.5">
      <c r="A5" s="47" t="s">
        <v>37</v>
      </c>
      <c r="B5" s="151">
        <f>HojaNICA!D36</f>
        <v>1506000</v>
      </c>
      <c r="C5" s="151">
        <f>HojaNICA!D37</f>
        <v>195780</v>
      </c>
      <c r="D5" s="151">
        <f>HojaNICA!D38</f>
        <v>1134750</v>
      </c>
      <c r="E5" s="151"/>
      <c r="F5" s="152">
        <f>+B5-C5-D5+E5</f>
        <v>175470</v>
      </c>
      <c r="H5" s="249" t="s">
        <v>105</v>
      </c>
      <c r="I5" s="243">
        <f ca="1">TODAY()-1</f>
        <v>46128</v>
      </c>
      <c r="O5" s="120"/>
    </row>
    <row r="6" spans="1:15" ht="15" thickBot="1" x14ac:dyDescent="0.4">
      <c r="A6" s="47" t="s">
        <v>36</v>
      </c>
      <c r="B6" s="151">
        <f>HojaTICA!D36</f>
        <v>2250350</v>
      </c>
      <c r="C6" s="151">
        <f>HojaTICA!D37</f>
        <v>292545.5</v>
      </c>
      <c r="D6" s="151">
        <f>HojaTICA!D38</f>
        <v>3319250</v>
      </c>
      <c r="E6" s="151"/>
      <c r="F6" s="152">
        <f t="shared" ref="F6:F11" si="0">+B6-C6-D6+E6</f>
        <v>-1361445.5</v>
      </c>
      <c r="H6" s="256">
        <v>0</v>
      </c>
    </row>
    <row r="7" spans="1:15" ht="15" thickBot="1" x14ac:dyDescent="0.4">
      <c r="A7" s="47" t="s">
        <v>38</v>
      </c>
      <c r="B7" s="151">
        <f>HojaREVENTADO!D37</f>
        <v>278700</v>
      </c>
      <c r="C7" s="151">
        <f>HojaREVENTADO!D38</f>
        <v>27870</v>
      </c>
      <c r="D7" s="151">
        <f>HojaREVENTADO!D39</f>
        <v>473000</v>
      </c>
      <c r="E7" s="151"/>
      <c r="F7" s="152">
        <f t="shared" si="0"/>
        <v>-222170</v>
      </c>
    </row>
    <row r="8" spans="1:15" x14ac:dyDescent="0.35">
      <c r="A8" s="47" t="s">
        <v>96</v>
      </c>
      <c r="B8" s="151">
        <f>HojaPrimera!$D36</f>
        <v>457150</v>
      </c>
      <c r="C8" s="151">
        <f>HojaPrimera!$D37</f>
        <v>59429.5</v>
      </c>
      <c r="D8" s="151">
        <f>HojaPrimera!$D38</f>
        <v>335750</v>
      </c>
      <c r="E8" s="151"/>
      <c r="F8" s="152">
        <f t="shared" si="0"/>
        <v>61970.5</v>
      </c>
      <c r="H8" s="249" t="s">
        <v>153</v>
      </c>
    </row>
    <row r="9" spans="1:15" ht="15" thickBot="1" x14ac:dyDescent="0.4">
      <c r="A9" s="47" t="s">
        <v>104</v>
      </c>
      <c r="B9" s="151">
        <f>HojaHonduras!$D36</f>
        <v>180950</v>
      </c>
      <c r="C9" s="151">
        <f>HojaHonduras!$D37</f>
        <v>23523.5</v>
      </c>
      <c r="D9" s="151">
        <f>HojaHonduras!$D38</f>
        <v>208250</v>
      </c>
      <c r="E9" s="151"/>
      <c r="F9" s="152">
        <f t="shared" si="0"/>
        <v>-50823.5</v>
      </c>
      <c r="H9" s="250">
        <f>+K12-K10-H6</f>
        <v>-1331661.4999999998</v>
      </c>
    </row>
    <row r="10" spans="1:15" ht="15" thickBot="1" x14ac:dyDescent="0.4">
      <c r="A10" s="47" t="s">
        <v>20</v>
      </c>
      <c r="B10" s="151">
        <f>HojaDominicana!$D36</f>
        <v>75100</v>
      </c>
      <c r="C10" s="151">
        <f>HojaDominicana!$D37</f>
        <v>9763</v>
      </c>
      <c r="D10" s="151">
        <f>HojaDominicana!$D38</f>
        <v>0</v>
      </c>
      <c r="E10" s="151"/>
      <c r="F10" s="152">
        <f t="shared" si="0"/>
        <v>65337</v>
      </c>
      <c r="H10" s="155"/>
      <c r="J10" t="s">
        <v>148</v>
      </c>
      <c r="K10" s="252">
        <v>3155887.2600000002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3">
        <f>+K10+F12+H6</f>
        <v>1824225.7600000002</v>
      </c>
    </row>
    <row r="12" spans="1:15" ht="16" thickBot="1" x14ac:dyDescent="0.4">
      <c r="A12" s="145" t="s">
        <v>5</v>
      </c>
      <c r="B12" s="153">
        <f>SUM(B5:B11)</f>
        <v>4748250</v>
      </c>
      <c r="C12" s="153">
        <f>SUM(C5:C11)</f>
        <v>608911.5</v>
      </c>
      <c r="D12" s="153">
        <f>SUM(D5:D11)</f>
        <v>5471000</v>
      </c>
      <c r="E12" s="153"/>
      <c r="F12" s="255">
        <f>SUM(F5:F11)</f>
        <v>-1331661.5</v>
      </c>
      <c r="H12" s="251">
        <f>K12</f>
        <v>1824225.7600000005</v>
      </c>
      <c r="J12" t="s">
        <v>140</v>
      </c>
      <c r="K12" s="254">
        <f>-2837161.61+3137911.99-786995.2+2310470.58</f>
        <v>1824225.7600000005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144050</v>
      </c>
      <c r="K4" s="231">
        <f t="shared" ref="K4" si="0">D7+D11+D15</f>
        <v>18726.5</v>
      </c>
      <c r="L4" s="220">
        <f>F7+F11+F15</f>
        <v>484500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IF(DigitaNICA!C4&lt;&gt;"",DigitaNICA!C4,"")</f>
        <v>20100</v>
      </c>
      <c r="D5" s="42">
        <f>IF(C5="",0,C5*J$10)</f>
        <v>2613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17487</v>
      </c>
      <c r="I5" s="241" t="s">
        <v>37</v>
      </c>
      <c r="J5" s="221">
        <f>SUM(IF(C5="",0,C5),IF(C9="",0,C9),IF(C13="",0,C13),IF(C17="",0,C17))</f>
        <v>48250</v>
      </c>
      <c r="K5" s="225">
        <f t="shared" ref="K5" si="2">D5+D9+D13+D17</f>
        <v>6272.5</v>
      </c>
      <c r="L5" s="222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13400</v>
      </c>
      <c r="K6" s="228">
        <f>D19+D20</f>
        <v>1742</v>
      </c>
      <c r="L6" s="229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>
        <f>IF(DigitaTICA!C4&lt;&gt;"",DigitaTICA!C4,"")</f>
        <v>24950</v>
      </c>
      <c r="D7" s="42">
        <f>IF(C7="",0,C7*J$9)</f>
        <v>3243.5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21706.5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IF(DigitaNICA!E4&lt;&gt;"",DigitaNICA!E4,"")</f>
        <v>19300</v>
      </c>
      <c r="D9" s="42">
        <f>IF(C9="",0,C9*J$10)</f>
        <v>2509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16791</v>
      </c>
      <c r="I9" s="77" t="s">
        <v>36</v>
      </c>
      <c r="J9" s="78">
        <v>0.13</v>
      </c>
      <c r="K9" s="79">
        <f>MROUND(D7+D11+D15,50)</f>
        <v>18750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6250</v>
      </c>
    </row>
    <row r="11" spans="1:12" x14ac:dyDescent="0.35">
      <c r="A11" s="28" t="s">
        <v>59</v>
      </c>
      <c r="B11" s="133">
        <f>IF(DigitaTICA!E2&lt;&gt;"",DigitaTICA!E2,"")</f>
        <v>23</v>
      </c>
      <c r="C11" s="29">
        <f>IF(DigitaTICA!E4&lt;&gt;"",DigitaTICA!E4,"")</f>
        <v>19400</v>
      </c>
      <c r="D11" s="42">
        <f>IF(C11="",0,C11*J$9)</f>
        <v>2522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16878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IF(DigitaNICA!G4&lt;&gt;"",DigitaNICA!G4,"")</f>
        <v>5650</v>
      </c>
      <c r="D13" s="42">
        <f>IF(C13="",0,C13*J$10)</f>
        <v>734.5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4915.5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IF(DigitaTICA!G4&lt;&gt;"",DigitaTICA!G4,"")</f>
        <v>99700</v>
      </c>
      <c r="D15" s="42">
        <f>IF(C15="",0,C15*J$9)</f>
        <v>12961</v>
      </c>
      <c r="E15" s="29">
        <f>IF(DigitaTICA!H4&lt;&gt;"",DigitaTICA!H4,"")</f>
        <v>5700</v>
      </c>
      <c r="F15" s="42">
        <f>IF(E15="",0,E15*PREMIOS!F15)</f>
        <v>484500</v>
      </c>
      <c r="G15" s="30">
        <f t="shared" si="3"/>
        <v>-397761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>
        <f>IF(DigitaNICA!I4&lt;&gt;"",DigitaNICA!I4,"")</f>
        <v>3200</v>
      </c>
      <c r="D17" s="42">
        <f>IF(C17="",0,C17*J$10)</f>
        <v>416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2784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IF(DigitaPRIMERA!C4&lt;&gt;"",DigitaPRIMERA!C4,"")</f>
        <v>12400</v>
      </c>
      <c r="D19" s="42">
        <f>IF(C19="",0,C19*J$12)</f>
        <v>1612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10788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2" t="s">
        <v>5</v>
      </c>
      <c r="B21" s="129"/>
      <c r="C21" s="123">
        <f>SUM(C5:C20)</f>
        <v>205700</v>
      </c>
      <c r="D21" s="123">
        <f t="shared" ref="D21:G21" si="6">SUM(D5:D20)</f>
        <v>26741</v>
      </c>
      <c r="E21" s="123">
        <f t="shared" si="6"/>
        <v>5700</v>
      </c>
      <c r="F21" s="123">
        <f t="shared" si="6"/>
        <v>484500</v>
      </c>
      <c r="G21" s="124">
        <f t="shared" si="6"/>
        <v>-305541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194700</v>
      </c>
      <c r="K4" s="231">
        <f t="shared" ref="K4" si="0">D7+D11+D15</f>
        <v>25311</v>
      </c>
      <c r="L4" s="220">
        <f>F7+F11+F15</f>
        <v>89250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IF(DigitaNICA!C5&lt;&gt;"",DigitaNICA!C5,"")</f>
        <v>22750</v>
      </c>
      <c r="D5" s="42">
        <f>IF(C5="",0,C5*J$10)</f>
        <v>2957.5</v>
      </c>
      <c r="E5" s="29">
        <f>IF(DigitaNICA!D5&lt;&gt;"",DigitaNICA!D5,"")</f>
        <v>250</v>
      </c>
      <c r="F5" s="42">
        <f>IF(E5="",0,E5*PREMIOS!E5)</f>
        <v>20000</v>
      </c>
      <c r="G5" s="30">
        <f t="shared" ref="G5:G12" si="1">IF(OR(C5="",E5=""),0,C5-D5-F5)</f>
        <v>-207.5</v>
      </c>
      <c r="I5" s="241" t="s">
        <v>37</v>
      </c>
      <c r="J5" s="221">
        <f>SUM(IF(C5="",0,C5),IF(C9="",0,C9),IF(C13="",0,C13),IF(C17="",0,C17))</f>
        <v>47800</v>
      </c>
      <c r="K5" s="225">
        <f t="shared" ref="K5" si="2">D5+D9+D13+D17</f>
        <v>6214</v>
      </c>
      <c r="L5" s="222">
        <f>F5+F9+F13+F17</f>
        <v>116000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9200</v>
      </c>
      <c r="K6" s="228">
        <f>D19+D20</f>
        <v>1196</v>
      </c>
      <c r="L6" s="229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>
        <f>IF(DigitaTICA!C5&lt;&gt;"",DigitaTICA!C5,"")</f>
        <v>68900</v>
      </c>
      <c r="D7" s="42">
        <f>IF(C7="",0,C7*J$9)</f>
        <v>8957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17443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IF(DigitaNICA!E5&lt;&gt;"",DigitaNICA!E5,"")</f>
        <v>19650</v>
      </c>
      <c r="D9" s="42">
        <f>IF(C9="",0,C9*J$10)</f>
        <v>2554.5</v>
      </c>
      <c r="E9" s="29">
        <f>IF(DigitaNICA!F5&lt;&gt;"",DigitaNICA!F5,"")</f>
        <v>1200</v>
      </c>
      <c r="F9" s="42">
        <f>IF(E9="",0,E9*PREMIOS!E9)</f>
        <v>96000</v>
      </c>
      <c r="G9" s="30">
        <f t="shared" si="1"/>
        <v>-78904.5</v>
      </c>
      <c r="I9" s="60" t="s">
        <v>36</v>
      </c>
      <c r="J9" s="61">
        <v>0.13</v>
      </c>
      <c r="K9" s="62">
        <f>MROUND(D7+D11+D15,50)</f>
        <v>25300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6200</v>
      </c>
    </row>
    <row r="11" spans="1:12" x14ac:dyDescent="0.35">
      <c r="A11" s="28" t="s">
        <v>59</v>
      </c>
      <c r="B11" s="133">
        <f>IF(DigitaTICA!E2&lt;&gt;"",DigitaTICA!E2,"")</f>
        <v>23</v>
      </c>
      <c r="C11" s="29">
        <f>IF(DigitaTICA!E5&lt;&gt;"",DigitaTICA!E5,"")</f>
        <v>40650</v>
      </c>
      <c r="D11" s="42">
        <f>IF(C11="",0,C11*J$9)</f>
        <v>5284.5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14115.5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IF(DigitaNICA!G5&lt;&gt;"",DigitaNICA!G5,"")</f>
        <v>4200</v>
      </c>
      <c r="D13" s="42">
        <f>IF(C13="",0,C13*J$10)</f>
        <v>546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3654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IF(DigitaTICA!G5&lt;&gt;"",DigitaTICA!G5,"")</f>
        <v>85150</v>
      </c>
      <c r="D15" s="42">
        <f>IF(C15="",0,C15*J$9)</f>
        <v>11069.5</v>
      </c>
      <c r="E15" s="29">
        <f>IF(DigitaTICA!H5&lt;&gt;"",DigitaTICA!H5,"")</f>
        <v>300</v>
      </c>
      <c r="F15" s="42">
        <f>IF(E15="",0,E15*PREMIOS!F15)</f>
        <v>25500</v>
      </c>
      <c r="G15" s="30">
        <f t="shared" si="3"/>
        <v>48580.5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IF(DigitaPRIMERA!C5&lt;&gt;"",DigitaPRIMERA!C5,"")</f>
        <v>4200</v>
      </c>
      <c r="D19" s="42">
        <f>IF(C19="",0,C19*J$12)</f>
        <v>546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3654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>
        <f>IF(DigitaPRIMERA!E5&lt;&gt;"",DigitaPRIMERA!E5,"")</f>
        <v>5000</v>
      </c>
      <c r="D20" s="42">
        <f>IF(C20="",0,C20*J$12)</f>
        <v>650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4350</v>
      </c>
    </row>
    <row r="21" spans="1:7" ht="15" thickBot="1" x14ac:dyDescent="0.4">
      <c r="A21" s="67" t="s">
        <v>5</v>
      </c>
      <c r="B21" s="128"/>
      <c r="C21" s="68">
        <f>SUM(C5:C20)</f>
        <v>251700</v>
      </c>
      <c r="D21" s="68">
        <f t="shared" ref="D21:G21" si="4">SUM(D5:D20)</f>
        <v>32721</v>
      </c>
      <c r="E21" s="68">
        <f t="shared" si="4"/>
        <v>2500</v>
      </c>
      <c r="F21" s="68">
        <f t="shared" si="4"/>
        <v>205250</v>
      </c>
      <c r="G21" s="89">
        <f t="shared" si="4"/>
        <v>13729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39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195550</v>
      </c>
      <c r="K4" s="231">
        <f t="shared" ref="K4" si="0">D7+D11+D15</f>
        <v>23466</v>
      </c>
      <c r="L4" s="220">
        <f>F7+F11+F15</f>
        <v>119000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IF(DigitaNICA!C8&lt;&gt;"",DigitaNICA!C8,"")</f>
        <v>75250</v>
      </c>
      <c r="D5" s="42">
        <f>IF(C5="",0,C5*J$12)</f>
        <v>9030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66220</v>
      </c>
      <c r="I5" s="241" t="s">
        <v>37</v>
      </c>
      <c r="J5" s="221">
        <f>SUM(IF(C5="",0,C5),IF(C9="",0,C9),IF(C13="",0,C13),IF(C17="",0,C17))</f>
        <v>165150</v>
      </c>
      <c r="K5" s="225">
        <f t="shared" ref="K5" si="2">D5+D9+D13+D17</f>
        <v>19818</v>
      </c>
      <c r="L5" s="222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>
        <f>IF(DigitaTICA!C8&lt;&gt;"",DigitaTICA!C8,"")</f>
        <v>70050</v>
      </c>
      <c r="D7" s="42">
        <f>IF(C7="",0,C7*J$11)</f>
        <v>8406</v>
      </c>
      <c r="E7" s="29">
        <f>IF(DigitaTICA!D8&lt;&gt;"",DigitaTICA!D8,"")</f>
        <v>900</v>
      </c>
      <c r="F7" s="42">
        <f>IF(E7="",0,E7*PREMIOS!F7)</f>
        <v>76500</v>
      </c>
      <c r="G7" s="30">
        <f t="shared" si="1"/>
        <v>-14856</v>
      </c>
      <c r="I7" s="242" t="s">
        <v>96</v>
      </c>
      <c r="J7" s="224">
        <f>SUM(IF(C19="",0,C19),IF(C20="",0,C20))</f>
        <v>61300</v>
      </c>
      <c r="K7" s="228">
        <f>+D19+D20</f>
        <v>7356</v>
      </c>
      <c r="L7" s="229">
        <f>+F19+F20</f>
        <v>120000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>
        <f>IF(DigitaNICA!E8&lt;&gt;"",DigitaNICA!E8,"")</f>
        <v>49550</v>
      </c>
      <c r="D9" s="42">
        <f>IF(C9="",0,C9*J$12)</f>
        <v>5946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43604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23</v>
      </c>
      <c r="C11" s="29">
        <f>IF(DigitaTICA!E8&lt;&gt;"",DigitaTICA!E8,"")</f>
        <v>54150</v>
      </c>
      <c r="D11" s="42">
        <f>IF(C11="",0,C11*J$11)</f>
        <v>6498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5152</v>
      </c>
      <c r="I11" s="60" t="s">
        <v>36</v>
      </c>
      <c r="J11" s="61">
        <v>0.12</v>
      </c>
      <c r="K11" s="62">
        <f>MROUND(D7+D11+D15,50)</f>
        <v>23450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19800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IF(DigitaNICA!G8&lt;&gt;"",DigitaNICA!G8,"")</f>
        <v>14300</v>
      </c>
      <c r="D13" s="42">
        <f>IF(C13="",0,C13*J$12)</f>
        <v>1716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12584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7350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IF(DigitaTICA!G8&lt;&gt;"",DigitaTICA!G8,"")</f>
        <v>71350</v>
      </c>
      <c r="D15" s="42">
        <f>IF(C15="",0,C15*J$11)</f>
        <v>8562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62788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>
        <f>IF(DigitaNICA!I8&lt;&gt;"",DigitaNICA!I8,"")</f>
        <v>26050</v>
      </c>
      <c r="D17" s="42">
        <f>IF(C17="",0,C17*J$12)</f>
        <v>3126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22924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IF(DigitaPRIMERA!C8&lt;&gt;"",DigitaPRIMERA!C8,"")</f>
        <v>45300</v>
      </c>
      <c r="D19" s="42">
        <f>IF(C19="",0,C19*J$14)</f>
        <v>5436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-136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>
        <f>IF(DigitaPRIMERA!E8&lt;&gt;"",DigitaPRIMERA!E8,"")</f>
        <v>16000</v>
      </c>
      <c r="D20" s="42">
        <f>IF(C20="",0,C20*J$14)</f>
        <v>1920</v>
      </c>
      <c r="E20" s="29">
        <f>IF(DigitaPRIMERA!F8&lt;&gt;"",DigitaPRIMERA!F8,"")</f>
        <v>1000</v>
      </c>
      <c r="F20" s="42">
        <f>IF(E20="",0,E20*PREMIOS!E19)</f>
        <v>80000</v>
      </c>
      <c r="G20" s="30">
        <f t="shared" si="4"/>
        <v>-65920</v>
      </c>
    </row>
    <row r="21" spans="1:7" ht="15" thickBot="1" x14ac:dyDescent="0.4">
      <c r="A21" s="122" t="s">
        <v>5</v>
      </c>
      <c r="B21" s="129"/>
      <c r="C21" s="123">
        <f>SUM(C5:C20)</f>
        <v>422000</v>
      </c>
      <c r="D21" s="123">
        <f t="shared" ref="D21:G21" si="5">SUM(D5:D20)</f>
        <v>50640</v>
      </c>
      <c r="E21" s="123">
        <f t="shared" si="5"/>
        <v>2900</v>
      </c>
      <c r="F21" s="123">
        <f t="shared" si="5"/>
        <v>239000</v>
      </c>
      <c r="G21" s="124">
        <f t="shared" si="5"/>
        <v>132360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K22" sqref="K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547450</v>
      </c>
      <c r="K4" s="231">
        <f t="shared" ref="K4" si="0">D7+D11+D15</f>
        <v>65694</v>
      </c>
      <c r="L4" s="220">
        <f>F7+F11+F15</f>
        <v>1024250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IF(DigitaNICA!C10&lt;&gt;"",DigitaNICA!C10,"")</f>
        <v>87450</v>
      </c>
      <c r="D5" s="42">
        <f>IF(C5="",0,C5*J$15)</f>
        <v>10494</v>
      </c>
      <c r="E5" s="29">
        <f>IF(DigitaNICA!D10&lt;&gt;"",DigitaNICA!D10,"")</f>
        <v>2100</v>
      </c>
      <c r="F5" s="42">
        <f>IF(E5="",0,E5*PREMIOS!F5)</f>
        <v>178500</v>
      </c>
      <c r="G5" s="30">
        <f t="shared" ref="G5:G12" si="1">IF(OR(C5="",E5=""),0,C5-D5-F5)</f>
        <v>-101544</v>
      </c>
      <c r="I5" s="217" t="s">
        <v>37</v>
      </c>
      <c r="J5" s="221">
        <f>SUM(IF(C5="",0,C5),IF(C9="",0,C9),IF(C13="",0,C13),IF(C17="",0,C17))</f>
        <v>420700</v>
      </c>
      <c r="K5" s="225">
        <f t="shared" ref="K5" si="2">D5+D9+D13+D17</f>
        <v>50484</v>
      </c>
      <c r="L5" s="222">
        <f>F5+F9+F13+F17</f>
        <v>255000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73450</v>
      </c>
      <c r="K6" s="226">
        <f t="shared" ref="K6" si="3">+D8+D12+D16</f>
        <v>7345</v>
      </c>
      <c r="L6" s="227">
        <f>F8+F12+F16</f>
        <v>400000</v>
      </c>
    </row>
    <row r="7" spans="1:12" x14ac:dyDescent="0.35">
      <c r="A7" s="28" t="s">
        <v>46</v>
      </c>
      <c r="B7" s="133" t="str">
        <f>IF(DigitaTICA!C2&lt;&gt;"",DigitaTICA!C2,"")</f>
        <v>07</v>
      </c>
      <c r="C7" s="29">
        <f>IF(DigitaTICA!C10&lt;&gt;"",DigitaTICA!C10,"")</f>
        <v>170400</v>
      </c>
      <c r="D7" s="42">
        <f>IF(C7="",0,C7*J$14)</f>
        <v>20448</v>
      </c>
      <c r="E7" s="29">
        <f>IF(DigitaTICA!D10&lt;&gt;"",DigitaTICA!D10,"")</f>
        <v>1900</v>
      </c>
      <c r="F7" s="42">
        <f>IF(E7="",0,E7*PREMIOS!F7)</f>
        <v>161500</v>
      </c>
      <c r="G7" s="30">
        <f t="shared" si="1"/>
        <v>-11548</v>
      </c>
      <c r="I7" s="217" t="s">
        <v>96</v>
      </c>
      <c r="J7" s="223">
        <f>SUM(IF(C19="",0,C19),IF(C20="",0,C20))</f>
        <v>24500</v>
      </c>
      <c r="K7" s="226">
        <f>+D19+D20</f>
        <v>2940</v>
      </c>
      <c r="L7" s="227">
        <f>+F19+F20</f>
        <v>17000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22950</v>
      </c>
      <c r="D8" s="42">
        <f>IF(C8="",0,C8*J$16)</f>
        <v>2295</v>
      </c>
      <c r="E8" s="29">
        <f>IF(DigitaREVENTADO!D10&lt;&gt;"",DigitaREVENTADO!D10,"")</f>
        <v>1000</v>
      </c>
      <c r="F8" s="42">
        <f>IF(E8="",0,E8*PREMIOS!F8)</f>
        <v>0</v>
      </c>
      <c r="G8" s="30">
        <f t="shared" si="1"/>
        <v>20655</v>
      </c>
      <c r="I8" s="217" t="s">
        <v>104</v>
      </c>
      <c r="J8" s="223">
        <f>SUM(IF(C21="",0,C21),IF(C22="",0,C22),IF(C23="",0,C23))</f>
        <v>47000</v>
      </c>
      <c r="K8" s="226">
        <f t="shared" ref="K8" si="4">D21+D22+D23</f>
        <v>5640</v>
      </c>
      <c r="L8" s="227">
        <f>F21+F22+F23</f>
        <v>127500</v>
      </c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IF(DigitaNICA!E10&lt;&gt;"",DigitaNICA!E10,"")</f>
        <v>101400</v>
      </c>
      <c r="D9" s="42">
        <f>IF(C9="",0,C9*J$15)</f>
        <v>12168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46732</v>
      </c>
      <c r="I9" s="217" t="s">
        <v>20</v>
      </c>
      <c r="J9" s="223">
        <f>SUM(IF(C24="",0,C24),IF(C25="",0,C25))</f>
        <v>75100</v>
      </c>
      <c r="K9" s="226">
        <f t="shared" ref="K9" si="5">+D24+D25</f>
        <v>9012</v>
      </c>
      <c r="L9" s="227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3">
        <f>IF(DigitaTICA!E2&lt;&gt;"",DigitaTICA!E2,"")</f>
        <v>23</v>
      </c>
      <c r="C11" s="29">
        <f>IF(DigitaTICA!E10&lt;&gt;"",DigitaTICA!E10,"")</f>
        <v>157950</v>
      </c>
      <c r="D11" s="42">
        <f>IF(C11="",0,C11*J$14)</f>
        <v>18954</v>
      </c>
      <c r="E11" s="29">
        <f>IF(DigitaTICA!F10&lt;&gt;"",DigitaTICA!F10,"")</f>
        <v>450</v>
      </c>
      <c r="F11" s="42">
        <f>IF(E11="",0,E11*PREMIOS!F11)</f>
        <v>38250</v>
      </c>
      <c r="G11" s="30">
        <f t="shared" si="1"/>
        <v>100746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15700</v>
      </c>
      <c r="D12" s="42">
        <f>IF(C12="",0,C12*J$16)</f>
        <v>1570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14130</v>
      </c>
    </row>
    <row r="13" spans="1:12" ht="15" thickBot="1" x14ac:dyDescent="0.4">
      <c r="A13" s="28" t="s">
        <v>50</v>
      </c>
      <c r="B13" s="133">
        <f>IF(DigitaNICA!G2&lt;&gt;"",DigitaNICA!G2,"")</f>
        <v>49</v>
      </c>
      <c r="C13" s="29">
        <f>IF(DigitaNICA!G10&lt;&gt;"",DigitaNICA!G10,"")</f>
        <v>94450</v>
      </c>
      <c r="D13" s="42">
        <f>IF(C13="",0,C13*J$15)</f>
        <v>11334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57616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65700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IF(DigitaTICA!G10&lt;&gt;"",DigitaTICA!G10,"")</f>
        <v>219100</v>
      </c>
      <c r="D15" s="42">
        <f>IF(C15="",0,C15*J$14)</f>
        <v>26292</v>
      </c>
      <c r="E15" s="29">
        <f>IF(DigitaTICA!H10&lt;&gt;"",DigitaTICA!H10,"")</f>
        <v>9700</v>
      </c>
      <c r="F15" s="42">
        <f>IF(E15="",0,E15*PREMIOS!F15)</f>
        <v>824500</v>
      </c>
      <c r="G15" s="30">
        <f t="shared" si="6"/>
        <v>-631692</v>
      </c>
      <c r="I15" s="63" t="s">
        <v>37</v>
      </c>
      <c r="J15" s="64">
        <v>0.12</v>
      </c>
      <c r="K15" s="30">
        <f>MROUND(D5+D9+D13+D17,50)</f>
        <v>50500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34800</v>
      </c>
      <c r="D16" s="42">
        <f>IF(C16="",0,C16*J$16)</f>
        <v>3480</v>
      </c>
      <c r="E16" s="29">
        <f>IF(DigitaREVENTADO!H10&lt;&gt;"",DigitaREVENTADO!H10,"")</f>
        <v>2000</v>
      </c>
      <c r="F16" s="42">
        <f>IF(E16="",0,E16*PREMIOS!F16)</f>
        <v>400000</v>
      </c>
      <c r="G16" s="30">
        <f t="shared" si="6"/>
        <v>-368680</v>
      </c>
      <c r="I16" s="63" t="s">
        <v>38</v>
      </c>
      <c r="J16" s="64">
        <v>0.1</v>
      </c>
      <c r="K16" s="30">
        <f>MROUND(D6+D8+D10+D12+D14+D16+D18,50)</f>
        <v>7350</v>
      </c>
    </row>
    <row r="17" spans="1:11" x14ac:dyDescent="0.35">
      <c r="A17" s="28" t="s">
        <v>52</v>
      </c>
      <c r="B17" s="133" t="str">
        <f>IF(DigitaNICA!I2&lt;&gt;"",DigitaNICA!I2,"")</f>
        <v>02</v>
      </c>
      <c r="C17" s="29">
        <f>IF(DigitaNICA!I10&lt;&gt;"",DigitaNICA!I10,"")</f>
        <v>137400</v>
      </c>
      <c r="D17" s="42">
        <f>IF(C17="",0,C17*J$15)</f>
        <v>16488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112412</v>
      </c>
      <c r="I17" s="63" t="s">
        <v>96</v>
      </c>
      <c r="J17" s="64">
        <v>0.12</v>
      </c>
      <c r="K17" s="30">
        <f>MROUND(D19+D20,50)</f>
        <v>2950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5650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IF(DigitaPRIMERA!$C$10&lt;&gt;"",DigitaPRIMERA!$C$10,"")</f>
        <v>16750</v>
      </c>
      <c r="D19" s="42">
        <f>IF(C19="",0,C19*J$17)</f>
        <v>2010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-2260</v>
      </c>
      <c r="I19" s="63" t="s">
        <v>20</v>
      </c>
      <c r="J19" s="64">
        <v>0.12</v>
      </c>
      <c r="K19" s="30">
        <f>MROUND(D24+D25,50)</f>
        <v>9000</v>
      </c>
    </row>
    <row r="20" spans="1:11" ht="15" thickBot="1" x14ac:dyDescent="0.4">
      <c r="A20" s="28" t="s">
        <v>98</v>
      </c>
      <c r="B20" s="133">
        <f>IF(DigitaPRIMERA!E2&lt;&gt;"",DigitaPRIMERA!E2,"")</f>
        <v>60</v>
      </c>
      <c r="C20" s="29">
        <f>IF(DigitaPRIMERA!$E$10&lt;&gt;"",DigitaPRIMERA!$E$10,"")</f>
        <v>7750</v>
      </c>
      <c r="D20" s="42">
        <f>IF(C20="",0,C20*J$17)</f>
        <v>930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6820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85</v>
      </c>
      <c r="C21" s="29">
        <f>IF(DigitaHONDURAS!$C$10&lt;&gt;"",DigitaHONDURAS!$C$10,"")</f>
        <v>1900</v>
      </c>
      <c r="D21" s="42">
        <f>IF(C21="",0,C21*J$18)</f>
        <v>228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1672</v>
      </c>
    </row>
    <row r="22" spans="1:11" x14ac:dyDescent="0.35">
      <c r="A22" s="28" t="s">
        <v>100</v>
      </c>
      <c r="B22" s="133">
        <f>IF(DigitaHONDURAS!E2&lt;&gt;"",DigitaHONDURAS!E2,"")</f>
        <v>10</v>
      </c>
      <c r="C22" s="29">
        <f>IF(DigitaHONDURAS!$E$10&lt;&gt;"",DigitaHONDURAS!$E$10,"")</f>
        <v>6200</v>
      </c>
      <c r="D22" s="42">
        <f>IF(C22="",0,C22*J$18)</f>
        <v>744</v>
      </c>
      <c r="E22" s="29">
        <f>IF(DigitaHONDURAS!$F$10&lt;&gt;"",DigitaHONDURAS!$F$10,"")</f>
        <v>1500</v>
      </c>
      <c r="F22" s="42">
        <f>IF(E22="",0,E22*PREMIOS!F20)</f>
        <v>127500</v>
      </c>
      <c r="G22" s="30">
        <f t="shared" si="7"/>
        <v>-122044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IF(DigitaHONDURAS!$G$10&lt;&gt;"",DigitaHONDURAS!$G$10,"")</f>
        <v>38900</v>
      </c>
      <c r="D23" s="42">
        <f>IF(C23="",0,C23*J$18)</f>
        <v>4668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34232</v>
      </c>
    </row>
    <row r="24" spans="1:11" x14ac:dyDescent="0.35">
      <c r="A24" s="28" t="s">
        <v>107</v>
      </c>
      <c r="B24" s="133">
        <f>IF(DigitaDOMINICANA!C2&lt;&gt;"",DigitaDOMINICANA!C2,"")</f>
        <v>35</v>
      </c>
      <c r="C24" s="29">
        <f>IF(DigitaDOMINICANA!$C$10&lt;&gt;"",DigitaDOMINICANA!$C$10,"")</f>
        <v>44000</v>
      </c>
      <c r="D24" s="42">
        <f>IF(C24="",0,C24*J$19)</f>
        <v>5280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38720</v>
      </c>
    </row>
    <row r="25" spans="1:11" x14ac:dyDescent="0.35">
      <c r="A25" s="28" t="s">
        <v>108</v>
      </c>
      <c r="B25" s="133">
        <f>IF(DigitaDOMINICANA!E2&lt;&gt;"",DigitaDOMINICANA!E2,"")</f>
        <v>57</v>
      </c>
      <c r="C25" s="29">
        <f>IF(DigitaDOMINICANA!$E$10&lt;&gt;"",DigitaDOMINICANA!$E$10,"")</f>
        <v>31100</v>
      </c>
      <c r="D25" s="42">
        <f>IF(C25="",0,C25*J$19)</f>
        <v>3732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27368</v>
      </c>
    </row>
    <row r="26" spans="1:11" x14ac:dyDescent="0.35">
      <c r="A26" s="28" t="s">
        <v>21</v>
      </c>
      <c r="B26" s="133">
        <f>IF(DigitaPANAMENA!C2&lt;&gt;"",DigitaPANAMENA!C2,"")</f>
        <v>78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1188200</v>
      </c>
      <c r="D27" s="68">
        <f t="shared" ref="D27:F27" si="9">SUM(D5:D26)</f>
        <v>141115</v>
      </c>
      <c r="E27" s="68">
        <f t="shared" si="9"/>
        <v>19750</v>
      </c>
      <c r="F27" s="68">
        <f t="shared" si="9"/>
        <v>1823750</v>
      </c>
      <c r="G27" s="89">
        <f>SUM(G5:G26)</f>
        <v>-776665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25600</v>
      </c>
      <c r="K4" s="231">
        <f t="shared" ref="K4" si="0">D7+D11+D15</f>
        <v>3072</v>
      </c>
      <c r="L4" s="220">
        <f>F7+F11+F15</f>
        <v>0</v>
      </c>
    </row>
    <row r="5" spans="1:12" x14ac:dyDescent="0.35">
      <c r="A5" s="28" t="s">
        <v>43</v>
      </c>
      <c r="B5" s="133">
        <f>IF(DigitaNICA!C2&lt;&gt;"",DigitaNICA!C2,"")</f>
        <v>61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>
        <f>IF(DigitaTICA!C11&lt;&gt;"",DigitaTICA!C11,"")</f>
        <v>7000</v>
      </c>
      <c r="D7" s="42">
        <f>IF(C7="",0,C7*J$11)</f>
        <v>840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6160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IF(DigitaTICA!G11&lt;&gt;"",DigitaTICA!G11,"")</f>
        <v>18600</v>
      </c>
      <c r="D15" s="42">
        <f>IF(C15="",0,C15*J$11)</f>
        <v>2232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16368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25600</v>
      </c>
      <c r="D21" s="123">
        <f t="shared" ref="D21:G21" si="5">SUM(D5:D20)</f>
        <v>3072</v>
      </c>
      <c r="E21" s="123">
        <f t="shared" si="5"/>
        <v>0</v>
      </c>
      <c r="F21" s="123">
        <f t="shared" si="5"/>
        <v>0</v>
      </c>
      <c r="G21" s="124">
        <f t="shared" si="5"/>
        <v>22528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127950</v>
      </c>
      <c r="K4" s="231">
        <f>D7+D11+D15</f>
        <v>15354</v>
      </c>
      <c r="L4" s="220">
        <f>F7+F11+F15</f>
        <v>174250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IF(DigitaNICA!C12&lt;&gt;"",DigitaNICA!C12,"")</f>
        <v>58400</v>
      </c>
      <c r="D5" s="42">
        <f>IF(C5="",0,C5*J$12)</f>
        <v>7008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25892</v>
      </c>
      <c r="I5" s="217" t="s">
        <v>37</v>
      </c>
      <c r="J5" s="221">
        <f>SUM(IF(C5="",0,C5),IF(C9="",0,C9),IF(C13="",0,C13),IF(C17="",0,C17))</f>
        <v>79100</v>
      </c>
      <c r="K5" s="225">
        <f t="shared" ref="K5" si="1">D5+D9+D13+D17</f>
        <v>9492</v>
      </c>
      <c r="L5" s="222">
        <f>F5+F9+F13+F17</f>
        <v>25500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9400</v>
      </c>
      <c r="K6" s="226">
        <f t="shared" ref="K6" si="2">+D8+D12+D16</f>
        <v>940</v>
      </c>
      <c r="L6" s="227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07</v>
      </c>
      <c r="C7" s="29">
        <f>IF(DigitaTICA!C12&lt;&gt;"",DigitaTICA!C12,"")</f>
        <v>64100</v>
      </c>
      <c r="D7" s="42">
        <f>IF(C7="",0,C7*J$11)</f>
        <v>7692</v>
      </c>
      <c r="E7" s="29">
        <f>IF(DigitaTICA!D12&lt;&gt;"",DigitaTICA!D12,"")</f>
        <v>950</v>
      </c>
      <c r="F7" s="42">
        <f>IF(E7="",0,E7*PREMIOS!F7)</f>
        <v>80750</v>
      </c>
      <c r="G7" s="30">
        <f t="shared" si="0"/>
        <v>-24342</v>
      </c>
      <c r="I7" s="217" t="s">
        <v>96</v>
      </c>
      <c r="J7" s="223">
        <f>SUM(IF(C19="",0,C19),IF(C20="",0,C20))</f>
        <v>69000</v>
      </c>
      <c r="K7" s="226">
        <f>+D19+D20</f>
        <v>8280</v>
      </c>
      <c r="L7" s="227">
        <f>+F19+F20</f>
        <v>29750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4900</v>
      </c>
      <c r="D8" s="42">
        <f>IF(C8="",0,C8*J$13)</f>
        <v>490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4410</v>
      </c>
      <c r="I8" s="218" t="s">
        <v>104</v>
      </c>
      <c r="J8" s="224">
        <f>SUM(IF(C21="",0,C21),IF(C22="",0,C22),IF(C23="",0,C23))</f>
        <v>5650</v>
      </c>
      <c r="K8" s="228">
        <f>+D21+D22+D23</f>
        <v>678</v>
      </c>
      <c r="L8" s="229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>
        <f>IF(DigitaNICA!E12&lt;&gt;"",DigitaNICA!E12,"")</f>
        <v>20700</v>
      </c>
      <c r="D9" s="42">
        <f>IF(C9="",0,C9*J$12)</f>
        <v>2484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18216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23</v>
      </c>
      <c r="C11" s="29">
        <f>IF(DigitaTICA!E12&lt;&gt;"",DigitaTICA!E12,"")</f>
        <v>31100</v>
      </c>
      <c r="D11" s="42">
        <f>IF(C11="",0,C11*J$11)</f>
        <v>3732</v>
      </c>
      <c r="E11" s="29">
        <f>IF(DigitaTICA!F12&lt;&gt;"",DigitaTICA!F12,"")</f>
        <v>1100</v>
      </c>
      <c r="F11" s="42">
        <f>IF(E11="",0,E11*PREMIOS!F11)</f>
        <v>93500</v>
      </c>
      <c r="G11" s="30">
        <f t="shared" si="0"/>
        <v>-66132</v>
      </c>
      <c r="I11" s="60" t="s">
        <v>36</v>
      </c>
      <c r="J11" s="61">
        <v>0.12</v>
      </c>
      <c r="K11" s="62">
        <f>MROUND(D7+D11+D15,50)</f>
        <v>15350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4500</v>
      </c>
      <c r="D12" s="42">
        <f>IF(C12="",0,C12*J$13)</f>
        <v>450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4050</v>
      </c>
      <c r="I12" s="63" t="s">
        <v>37</v>
      </c>
      <c r="J12" s="64">
        <v>0.12</v>
      </c>
      <c r="K12" s="30">
        <f>MROUND(D5+D9+D13+D17,50)</f>
        <v>9500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950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8300</v>
      </c>
    </row>
    <row r="15" spans="1:12" ht="15" thickBot="1" x14ac:dyDescent="0.4">
      <c r="A15" s="28" t="s">
        <v>61</v>
      </c>
      <c r="B15" s="133">
        <f>IF(DigitaTICA!G2&lt;&gt;"",DigitaTICA!G2,"")</f>
        <v>28</v>
      </c>
      <c r="C15" s="29">
        <f>IF(DigitaTICA!G12&lt;&gt;"",DigitaTICA!G12,"")</f>
        <v>32750</v>
      </c>
      <c r="D15" s="42">
        <f>IF(C15="",0,C15*J$11)</f>
        <v>3930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28820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IF(DigitaPRIMERA!$C$12&lt;&gt;"",DigitaPRIMERA!$C$12,"")</f>
        <v>59400</v>
      </c>
      <c r="D19" s="42">
        <f>IF(C19="",0,C19*J$14)</f>
        <v>7128</v>
      </c>
      <c r="E19" s="29">
        <f>IF(DigitaPRIMERA!$D$12&lt;&gt;"",DigitaPRIMERA!$D$12,"")</f>
        <v>350</v>
      </c>
      <c r="F19" s="42">
        <f>IF(E19="",0,E19*PREMIOS!F19)</f>
        <v>29750</v>
      </c>
      <c r="G19" s="30">
        <f t="shared" si="3"/>
        <v>22522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>
        <f>IF(DigitaPRIMERA!$E$12&lt;&gt;"",DigitaPRIMERA!$E$12,"")</f>
        <v>9600</v>
      </c>
      <c r="D20" s="42">
        <f>IF(C20="",0,C20*J$14)</f>
        <v>1152</v>
      </c>
      <c r="E20" s="29">
        <f>IF(DigitaPRIMERA!$F$12&lt;&gt;"",DigitaPRIMERA!$F$12,"")</f>
        <v>0</v>
      </c>
      <c r="F20" s="42">
        <f>IF(E20="",0,E20*PREMIOS!F19)</f>
        <v>0</v>
      </c>
      <c r="G20" s="30">
        <f t="shared" si="3"/>
        <v>8448</v>
      </c>
    </row>
    <row r="21" spans="1:7" x14ac:dyDescent="0.35">
      <c r="A21" s="28" t="s">
        <v>99</v>
      </c>
      <c r="B21" s="133">
        <f>IF(DigitaHONDURAS!C2&lt;&gt;"",DigitaHONDURAS!C2,"")</f>
        <v>85</v>
      </c>
      <c r="C21" s="29">
        <f>IF(DigitaHONDURAS!$C$12&lt;&gt;"",DigitaHONDURAS!$C$12,"")</f>
        <v>5650</v>
      </c>
      <c r="D21" s="42">
        <f>IF(C21="",0,C21*J$15)</f>
        <v>678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4972</v>
      </c>
    </row>
    <row r="22" spans="1:7" x14ac:dyDescent="0.35">
      <c r="A22" s="28" t="s">
        <v>100</v>
      </c>
      <c r="B22" s="133">
        <f>IF(DigitaHONDURAS!E2&lt;&gt;"",DigitaHONDURAS!E2,"")</f>
        <v>10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291100</v>
      </c>
      <c r="D24" s="68">
        <f t="shared" ref="D24:G24" si="4">SUM(D5:D23)</f>
        <v>34744</v>
      </c>
      <c r="E24" s="68">
        <f t="shared" si="4"/>
        <v>2700</v>
      </c>
      <c r="F24" s="68">
        <f t="shared" si="4"/>
        <v>229500</v>
      </c>
      <c r="G24" s="89">
        <f t="shared" si="4"/>
        <v>26856</v>
      </c>
    </row>
    <row r="27" spans="1:7" x14ac:dyDescent="0.35">
      <c r="G27" s="21">
        <v>72567</v>
      </c>
    </row>
    <row r="28" spans="1:7" x14ac:dyDescent="0.35">
      <c r="G28" s="142">
        <f>+G24+G27</f>
        <v>99423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103050</v>
      </c>
      <c r="K4" s="231">
        <f t="shared" ref="K4" si="0">D7+D11+D15</f>
        <v>12366</v>
      </c>
      <c r="L4" s="220">
        <f>F7+F11+F15</f>
        <v>127500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>
        <f>IF(DigitaNICA!C13&lt;&gt;"",DigitaNICA!C13,"")</f>
        <v>18450</v>
      </c>
      <c r="D5" s="42">
        <f>IF(C5="",0,C5*J$10)</f>
        <v>2214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16236</v>
      </c>
      <c r="I5" s="218" t="s">
        <v>37</v>
      </c>
      <c r="J5" s="232">
        <f>SUM(IF(C5="",0,C5),IF(C9="",0,C9),IF(C13="",0,C13),IF(C17="",0,C17))</f>
        <v>38750</v>
      </c>
      <c r="K5" s="233">
        <f t="shared" ref="K5" si="2">D5+D9+D13+D17</f>
        <v>4650</v>
      </c>
      <c r="L5" s="23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>
        <f>IF(DigitaTICA!C13&lt;&gt;"",DigitaTICA!C13,"")</f>
        <v>33800</v>
      </c>
      <c r="D7" s="42">
        <f>IF(C7="",0,C7*J$9)</f>
        <v>4056</v>
      </c>
      <c r="E7" s="29">
        <f>IF(DigitaTICA!D13&lt;&gt;"",DigitaTICA!D13,"")</f>
        <v>400</v>
      </c>
      <c r="F7" s="134">
        <f>IF(E7="",0,E7*PREMIOS!F7)</f>
        <v>34000</v>
      </c>
      <c r="G7" s="30">
        <f t="shared" si="1"/>
        <v>-4256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IF(DigitaNICA!E13&lt;&gt;"",DigitaNICA!E13,"")</f>
        <v>10700</v>
      </c>
      <c r="D9" s="42">
        <f>IF(C9="",0,C9*J$10)</f>
        <v>1284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9416</v>
      </c>
      <c r="I9" s="60" t="s">
        <v>36</v>
      </c>
      <c r="J9" s="61">
        <v>0.12</v>
      </c>
      <c r="K9" s="62">
        <f>MROUND(D7+D11+D15,50)</f>
        <v>12350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4650</v>
      </c>
    </row>
    <row r="11" spans="1:12" ht="15" thickBot="1" x14ac:dyDescent="0.4">
      <c r="A11" s="28" t="s">
        <v>59</v>
      </c>
      <c r="B11" s="133">
        <f>IF(DigitaTICA!E2&lt;&gt;"",DigitaTICA!E2,"")</f>
        <v>23</v>
      </c>
      <c r="C11" s="29">
        <f>IF(DigitaTICA!E13&lt;&gt;"",DigitaTICA!E13,"")</f>
        <v>12350</v>
      </c>
      <c r="D11" s="42">
        <f>IF(C11="",0,C11*J$9)</f>
        <v>1482</v>
      </c>
      <c r="E11" s="29">
        <f>IF(DigitaTICA!F13&lt;&gt;"",DigitaTICA!F13,"")</f>
        <v>200</v>
      </c>
      <c r="F11" s="134">
        <f>IF(E11="",0,E11*PREMIOS!F11)</f>
        <v>17000</v>
      </c>
      <c r="G11" s="30">
        <f t="shared" si="1"/>
        <v>-6132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IF(DigitaNICA!G13&lt;&gt;"",DigitaNICA!G13,"")</f>
        <v>7900</v>
      </c>
      <c r="D13" s="42">
        <f>IF(C13="",0,C13*J$10)</f>
        <v>948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6952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IF(DigitaTICA!G13&lt;&gt;"",DigitaTICA!G13,"")</f>
        <v>56900</v>
      </c>
      <c r="D15" s="42">
        <f>IF(C15="",0,C15*J$9)</f>
        <v>6828</v>
      </c>
      <c r="E15" s="29">
        <f>IF(DigitaTICA!H13&lt;&gt;"",DigitaTICA!H13,"")</f>
        <v>900</v>
      </c>
      <c r="F15" s="134">
        <f>IF(E15="",0,E15*PREMIOS!F15)</f>
        <v>76500</v>
      </c>
      <c r="G15" s="30">
        <f t="shared" si="3"/>
        <v>-26428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>
        <f>IF(DigitaNICA!I13&lt;&gt;"",DigitaNICA!I13,"")</f>
        <v>1700</v>
      </c>
      <c r="D17" s="42">
        <f>IF(C17="",0,C17*J$10)</f>
        <v>204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1496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141800</v>
      </c>
      <c r="D19" s="68">
        <f>MROUND(SUM(D5:D18),50)</f>
        <v>17000</v>
      </c>
      <c r="E19" s="68">
        <f>SUM(E5:E18)</f>
        <v>1500</v>
      </c>
      <c r="F19" s="68">
        <f>SUM(F5:F18)</f>
        <v>127500</v>
      </c>
      <c r="G19" s="89">
        <f>SUM(G5:G18)</f>
        <v>-2716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110050</v>
      </c>
      <c r="K4" s="236">
        <f t="shared" ref="K4" si="0">D7+D11+D15</f>
        <v>16507.5</v>
      </c>
      <c r="L4" s="237">
        <f>F7+F11+F15</f>
        <v>272000</v>
      </c>
    </row>
    <row r="5" spans="1:12" x14ac:dyDescent="0.35">
      <c r="A5" s="28" t="s">
        <v>43</v>
      </c>
      <c r="B5" s="133">
        <f>IF(DigitaNICA!C2&lt;&gt;"",DigitaNICA!C2,"")</f>
        <v>61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>
        <f>IF(DigitaTICA!C14&lt;&gt;"",DigitaTICA!C14,"")</f>
        <v>50150</v>
      </c>
      <c r="D7" s="42">
        <f>IF(C7="",0,C7*J$9)</f>
        <v>7522.5</v>
      </c>
      <c r="E7" s="29">
        <f>IF(DigitaTICA!D14&lt;&gt;"",DigitaTICA!D14,"")</f>
        <v>3400</v>
      </c>
      <c r="F7" s="42">
        <f>IF(E7="",0,E7*PREMIOS!E7)</f>
        <v>272000</v>
      </c>
      <c r="G7" s="30">
        <f t="shared" si="1"/>
        <v>-229372.5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16500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23</v>
      </c>
      <c r="C11" s="29">
        <f>IF(DigitaTICA!E14&lt;&gt;"",DigitaTICA!E14,"")</f>
        <v>19950</v>
      </c>
      <c r="D11" s="42">
        <f>IF(C11="",0,C11*J$9)</f>
        <v>2992.5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16957.5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IF(DigitaTICA!G14&lt;&gt;"",DigitaTICA!G14,"")</f>
        <v>39950</v>
      </c>
      <c r="D15" s="42">
        <f>IF(C15="",0,C15*J$9)</f>
        <v>5992.5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33957.5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110050</v>
      </c>
      <c r="D19" s="68">
        <f>MROUND(SUM(D5:D18),50)</f>
        <v>16500</v>
      </c>
      <c r="E19" s="68">
        <f>SUM(E5:E18)</f>
        <v>3400</v>
      </c>
      <c r="F19" s="68">
        <f>SUM(F5:F18)</f>
        <v>272000</v>
      </c>
      <c r="G19" s="89">
        <f>SUM(G5:G18)</f>
        <v>-178457.5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1">
        <f>SUM(IF(C7="",0,C7),IF(C11="",0,C11),IF(C15="",0,C15))</f>
        <v>43750</v>
      </c>
      <c r="K4" s="231">
        <f>D7+D11+D15</f>
        <v>5250</v>
      </c>
      <c r="L4" s="220">
        <f>F7+F11+F15</f>
        <v>42500</v>
      </c>
    </row>
    <row r="5" spans="1:12" x14ac:dyDescent="0.35">
      <c r="A5" s="28" t="s">
        <v>43</v>
      </c>
      <c r="B5" s="133">
        <f>IF(DigitaNICA!C2&lt;&gt;"",DigitaNICA!C2,"")</f>
        <v>61</v>
      </c>
      <c r="C5" s="29">
        <f>IF(DigitaNICA!C16&lt;&gt;"",DigitaNICA!C16,"")</f>
        <v>9300</v>
      </c>
      <c r="D5" s="42">
        <f>IF(C5="",0,C5*J$12)</f>
        <v>1116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8184</v>
      </c>
      <c r="I5" s="63" t="s">
        <v>37</v>
      </c>
      <c r="J5" s="225">
        <f>SUM(IF(C5="",0,C5),IF(C9="",0,C9),IF(C13="",0,C13),IF(C17="",0,C17))</f>
        <v>22700</v>
      </c>
      <c r="K5" s="225">
        <f t="shared" ref="K5" si="1">D5+D9+D13+D17</f>
        <v>2724</v>
      </c>
      <c r="L5" s="222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07</v>
      </c>
      <c r="C7" s="29">
        <f>IF(DigitaTICA!C16&lt;&gt;"",DigitaTICA!C16,"")</f>
        <v>17000</v>
      </c>
      <c r="D7" s="42">
        <f>IF(C7="",0,C7*J$11)</f>
        <v>2040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14960</v>
      </c>
      <c r="I7" s="63" t="s">
        <v>96</v>
      </c>
      <c r="J7" s="226">
        <f>SUM(IF(C19="",0,C19),IF(C20="",0,C20))</f>
        <v>12800</v>
      </c>
      <c r="K7" s="226">
        <f>+D19+D20</f>
        <v>1536</v>
      </c>
      <c r="L7" s="227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23</v>
      </c>
      <c r="C11" s="29">
        <f>IF(DigitaTICA!E16&lt;&gt;"",DigitaTICA!E16,"")</f>
        <v>9000</v>
      </c>
      <c r="D11" s="42">
        <f>IF(C11="",0,C11*J$11)</f>
        <v>1080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7920</v>
      </c>
      <c r="I11" s="77" t="s">
        <v>36</v>
      </c>
      <c r="J11" s="78">
        <v>0.12</v>
      </c>
      <c r="K11" s="79">
        <f>MROUND(D7+D11+D15,50)</f>
        <v>5250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2700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IF(DigitaNICA!G16&lt;&gt;"",DigitaNICA!G16,"")</f>
        <v>1200</v>
      </c>
      <c r="D13" s="42">
        <f>IF(C13="",0,C13*J$12)</f>
        <v>144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1056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1550</v>
      </c>
    </row>
    <row r="15" spans="1:12" ht="15" thickBot="1" x14ac:dyDescent="0.4">
      <c r="A15" s="28" t="s">
        <v>61</v>
      </c>
      <c r="B15" s="133">
        <f>IF(DigitaTICA!G2&lt;&gt;"",DigitaTICA!G2,"")</f>
        <v>28</v>
      </c>
      <c r="C15" s="29">
        <f>IF(DigitaTICA!G16&lt;&gt;"",DigitaTICA!G16,"")</f>
        <v>17750</v>
      </c>
      <c r="D15" s="42">
        <f>IF(C15="",0,C15*J$11)</f>
        <v>2130</v>
      </c>
      <c r="E15" s="29">
        <f>IF(DigitaTICA!H16&lt;&gt;"",DigitaTICA!H16,"")</f>
        <v>500</v>
      </c>
      <c r="F15" s="134">
        <f>IF(E15="",0,E15*PREMIOS!F15)</f>
        <v>42500</v>
      </c>
      <c r="G15" s="30">
        <f t="shared" si="3"/>
        <v>-26880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>
        <f>IF(DigitaNICA!I16&lt;&gt;"",DigitaNICA!I16,"")</f>
        <v>12200</v>
      </c>
      <c r="D17" s="42">
        <f>IF(C17="",0,C17*J$12)</f>
        <v>1464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10736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IF(DigitaPRIMERA!C16&lt;&gt;"",DigitaPRIMERA!C16,"")</f>
        <v>12800</v>
      </c>
      <c r="D19" s="42">
        <f>IF(C19="",0,C19*J$14)</f>
        <v>1536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11264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10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79250</v>
      </c>
      <c r="D24" s="123">
        <f t="shared" ref="D24:G24" si="5">SUM(D5:D23)</f>
        <v>9510</v>
      </c>
      <c r="E24" s="123">
        <f t="shared" si="5"/>
        <v>500</v>
      </c>
      <c r="F24" s="123">
        <f t="shared" si="5"/>
        <v>42500</v>
      </c>
      <c r="G24" s="124">
        <f t="shared" si="5"/>
        <v>27240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544550</v>
      </c>
      <c r="K4" s="231">
        <f t="shared" ref="K4" si="0">D7+D11+D15</f>
        <v>65346</v>
      </c>
      <c r="L4" s="220">
        <f>F7+F11+F15</f>
        <v>624750</v>
      </c>
    </row>
    <row r="5" spans="1:12" x14ac:dyDescent="0.35">
      <c r="A5" s="28" t="s">
        <v>43</v>
      </c>
      <c r="B5" s="133">
        <f>IF(DigitaNICA!C2&lt;&gt;"",DigitaNICA!C2,"")</f>
        <v>61</v>
      </c>
      <c r="C5" s="90">
        <f>IF(DigitaNICA!C17&lt;&gt;"",DigitaNICA!C17,"")</f>
        <v>128850</v>
      </c>
      <c r="D5" s="42">
        <f>IF(C5="",0,C5*J$16)</f>
        <v>15462</v>
      </c>
      <c r="E5" s="90">
        <f>IF(DigitaNICA!D17&lt;&gt;"",DigitaNICA!D17,"")</f>
        <v>1000</v>
      </c>
      <c r="F5" s="42">
        <f>IF(E5="",0,E5*PREMIOS!F5)</f>
        <v>85000</v>
      </c>
      <c r="G5" s="91">
        <f t="shared" ref="G5:G12" si="1">IF(OR(C5="",E5=""),0,C5-D5-F5)</f>
        <v>28388</v>
      </c>
      <c r="I5" s="217" t="s">
        <v>37</v>
      </c>
      <c r="J5" s="221">
        <f>SUM(IF(C5="",0,C5),IF(C9="",0,C9),IF(C13="",0,C13),IF(C17="",0,C17))</f>
        <v>479450</v>
      </c>
      <c r="K5" s="225">
        <f t="shared" ref="K5" si="2">D5+D9+D13+D17</f>
        <v>57534</v>
      </c>
      <c r="L5" s="222">
        <f>F5+F9+F13+F17</f>
        <v>446250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7" t="s">
        <v>38</v>
      </c>
      <c r="J6" s="221">
        <f>SUM(IF(C8="",0,C8),IF(C12="",0,C12),IF(C16="",0,C16))</f>
        <v>113500</v>
      </c>
      <c r="K6" s="226">
        <f t="shared" ref="K6" si="3">+D8+D12+D16</f>
        <v>11350</v>
      </c>
      <c r="L6" s="227">
        <f>+F8+F12+F16</f>
        <v>10000</v>
      </c>
    </row>
    <row r="7" spans="1:12" x14ac:dyDescent="0.35">
      <c r="A7" s="28" t="s">
        <v>46</v>
      </c>
      <c r="B7" s="133" t="str">
        <f>IF(DigitaTICA!C2&lt;&gt;"",DigitaTICA!C2,"")</f>
        <v>07</v>
      </c>
      <c r="C7" s="90">
        <f>IF(DigitaTICA!C17&lt;&gt;"",DigitaTICA!C17,"")</f>
        <v>175600</v>
      </c>
      <c r="D7" s="42">
        <f>IF(C7="",0,C7*J$15)</f>
        <v>21072</v>
      </c>
      <c r="E7" s="90">
        <f>IF(DigitaTICA!D17&lt;&gt;"",DigitaTICA!D17,"")</f>
        <v>1700</v>
      </c>
      <c r="F7" s="42">
        <f>IF(E7="",0,E7*PREMIOS!F7)</f>
        <v>144500</v>
      </c>
      <c r="G7" s="91">
        <f t="shared" si="1"/>
        <v>10028</v>
      </c>
      <c r="I7" s="217" t="s">
        <v>96</v>
      </c>
      <c r="J7" s="223">
        <f>SUM(IF(C19="",0,C19),IF(C20="",0,C20))</f>
        <v>148650</v>
      </c>
      <c r="K7" s="226">
        <f>+D19+D20</f>
        <v>17838</v>
      </c>
      <c r="L7" s="227">
        <f>+F19+F20</f>
        <v>102000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44300</v>
      </c>
      <c r="D8" s="42">
        <f>IF(C8="",0,C8*J$17)</f>
        <v>4430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39870</v>
      </c>
      <c r="I8" s="217" t="s">
        <v>104</v>
      </c>
      <c r="J8" s="223">
        <f>SUM(IF(C21="",0,C21),IF(C22="",0,C22),IF(C23="",0,C23))</f>
        <v>104300</v>
      </c>
      <c r="K8" s="226">
        <f t="shared" ref="K8" si="4">D21+D22+D23</f>
        <v>12516</v>
      </c>
      <c r="L8" s="227">
        <f>F21+F22+F23</f>
        <v>25500</v>
      </c>
    </row>
    <row r="9" spans="1:12" x14ac:dyDescent="0.35">
      <c r="A9" s="28" t="s">
        <v>48</v>
      </c>
      <c r="B9" s="133">
        <f>IF(DigitaNICA!E2&lt;&gt;"",DigitaNICA!E2,"")</f>
        <v>39</v>
      </c>
      <c r="C9" s="90">
        <f>IF(DigitaNICA!E17&lt;&gt;"",DigitaNICA!E17,"")</f>
        <v>119300</v>
      </c>
      <c r="D9" s="42">
        <f>IF(C9="",0,C9*J$16)</f>
        <v>14316</v>
      </c>
      <c r="E9" s="90">
        <f>IF(DigitaNICA!F17&lt;&gt;"",DigitaNICA!F17,"")</f>
        <v>200</v>
      </c>
      <c r="F9" s="42">
        <f>IF(E9="",0,E9*PREMIOS!F9)</f>
        <v>17000</v>
      </c>
      <c r="G9" s="91">
        <f t="shared" si="1"/>
        <v>87984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3">
        <f>IF(DigitaTICA!E2&lt;&gt;"",DigitaTICA!E2,"")</f>
        <v>23</v>
      </c>
      <c r="C11" s="90">
        <f>IF(DigitaTICA!E17&lt;&gt;"",DigitaTICA!E17,"")</f>
        <v>152000</v>
      </c>
      <c r="D11" s="42">
        <f>IF(C11="",0,C11*J$15)</f>
        <v>18240</v>
      </c>
      <c r="E11" s="90">
        <f>IF(DigitaTICA!F17&lt;&gt;"",DigitaTICA!F17,"")</f>
        <v>1800</v>
      </c>
      <c r="F11" s="42">
        <f>IF(E11="",0,E11*PREMIOS!F11)</f>
        <v>153000</v>
      </c>
      <c r="G11" s="91">
        <f t="shared" si="1"/>
        <v>-19240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31250</v>
      </c>
      <c r="D12" s="42">
        <f>IF(C12="",0,C12*J$17)</f>
        <v>3125</v>
      </c>
      <c r="E12" s="90">
        <f>IF(DigitaREVENTADO!F17&lt;&gt;"",DigitaREVENTADO!F17,"")</f>
        <v>450</v>
      </c>
      <c r="F12" s="42">
        <f>IF(E12="",0,E12*PREMIOS!F12)</f>
        <v>0</v>
      </c>
      <c r="G12" s="91">
        <f t="shared" si="1"/>
        <v>28125</v>
      </c>
    </row>
    <row r="13" spans="1:12" ht="15" thickBot="1" x14ac:dyDescent="0.4">
      <c r="A13" s="28" t="s">
        <v>50</v>
      </c>
      <c r="B13" s="133">
        <f>IF(DigitaNICA!G2&lt;&gt;"",DigitaNICA!G2,"")</f>
        <v>49</v>
      </c>
      <c r="C13" s="90">
        <f>IF(DigitaNICA!G17&lt;&gt;"",DigitaNICA!G17,"")</f>
        <v>66100</v>
      </c>
      <c r="D13" s="42">
        <f>IF(C13="",0,C13*J$16)</f>
        <v>7932</v>
      </c>
      <c r="E13" s="90">
        <f>IF(DigitaNICA!H17&lt;&gt;"",DigitaNICA!H17,"")</f>
        <v>300</v>
      </c>
      <c r="F13" s="42">
        <f>IF(E13="",0,E13*PREMIOS!F13)</f>
        <v>25500</v>
      </c>
      <c r="G13" s="91">
        <f>IF(OR(C13="",E13=""),0,C13-D13-F13)</f>
        <v>32668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28</v>
      </c>
      <c r="C15" s="90">
        <f>IF(DigitaTICA!G17&lt;&gt;"",DigitaTICA!G17,"")</f>
        <v>216950</v>
      </c>
      <c r="D15" s="42">
        <f>IF(C15="",0,C15*J$15)</f>
        <v>26034</v>
      </c>
      <c r="E15" s="90">
        <f>IF(DigitaTICA!H17&lt;&gt;"",DigitaTICA!H17,"")</f>
        <v>3850</v>
      </c>
      <c r="F15" s="42">
        <f>IF(E15="",0,E15*PREMIOS!F15)</f>
        <v>327250</v>
      </c>
      <c r="G15" s="91">
        <f t="shared" si="6"/>
        <v>-136334</v>
      </c>
      <c r="I15" s="77" t="s">
        <v>36</v>
      </c>
      <c r="J15" s="78">
        <v>0.12</v>
      </c>
      <c r="K15" s="79">
        <f>MROUND(D7+D11+D15,50)</f>
        <v>65350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37950</v>
      </c>
      <c r="D16" s="42">
        <f>IF(C16="",0,C16*J$17)</f>
        <v>3795</v>
      </c>
      <c r="E16" s="90">
        <f>IF(DigitaREVENTADO!H17&lt;&gt;"",DigitaREVENTADO!H17,"")</f>
        <v>50</v>
      </c>
      <c r="F16" s="42">
        <f>IF(E16="",0,E16*PREMIOS!F16)</f>
        <v>10000</v>
      </c>
      <c r="G16" s="91">
        <f t="shared" si="6"/>
        <v>24155</v>
      </c>
      <c r="I16" s="63" t="s">
        <v>37</v>
      </c>
      <c r="J16" s="64">
        <v>0.12</v>
      </c>
      <c r="K16" s="30">
        <f>MROUND(D5+D9+D13+D17,50)</f>
        <v>57550</v>
      </c>
    </row>
    <row r="17" spans="1:11" x14ac:dyDescent="0.35">
      <c r="A17" s="28" t="s">
        <v>52</v>
      </c>
      <c r="B17" s="133" t="str">
        <f>IF(DigitaNICA!I2&lt;&gt;"",DigitaNICA!I2,"")</f>
        <v>02</v>
      </c>
      <c r="C17" s="90">
        <f>IF(DigitaNICA!I17&lt;&gt;"",DigitaNICA!I17,"")</f>
        <v>165200</v>
      </c>
      <c r="D17" s="42">
        <f>IF(C17="",0,C17*J$16)</f>
        <v>19824</v>
      </c>
      <c r="E17" s="90">
        <f>IF(DigitaNICA!J17&lt;&gt;"",DigitaNICA!J17,"")</f>
        <v>3750</v>
      </c>
      <c r="F17" s="42">
        <f>IF(E17="",0,E17*PREMIOS!F17)</f>
        <v>318750</v>
      </c>
      <c r="G17" s="91">
        <f t="shared" si="6"/>
        <v>-173374</v>
      </c>
      <c r="I17" s="63" t="s">
        <v>38</v>
      </c>
      <c r="J17" s="64">
        <v>0.1</v>
      </c>
      <c r="K17" s="30">
        <f>MROUND(D6+D8+D10+D12+D14+D16+D18,50)</f>
        <v>11350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17850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IF(DigitaPRIMERA!$C$17&lt;&gt;"",DigitaPRIMERA!$C$17,"")</f>
        <v>105600</v>
      </c>
      <c r="D19" s="42">
        <f>IF(C19="",0,C19*J$18)</f>
        <v>12672</v>
      </c>
      <c r="E19" s="29">
        <f>IF(DigitaPRIMERA!$D$17&lt;&gt;"",DigitaPRIMERA!$D$17,"")</f>
        <v>1100</v>
      </c>
      <c r="F19" s="42">
        <f>IF(E19="",0,E19*PREMIOS!F19)</f>
        <v>93500</v>
      </c>
      <c r="G19" s="30">
        <f t="shared" si="6"/>
        <v>-572</v>
      </c>
      <c r="I19" s="63" t="s">
        <v>104</v>
      </c>
      <c r="J19" s="64">
        <v>0.12</v>
      </c>
      <c r="K19" s="30">
        <f>MROUND(D21+D22+D23,50)</f>
        <v>12500</v>
      </c>
    </row>
    <row r="20" spans="1:11" x14ac:dyDescent="0.35">
      <c r="A20" s="28" t="s">
        <v>98</v>
      </c>
      <c r="B20" s="133">
        <f>IF(DigitaPRIMERA!E2&lt;&gt;"",DigitaPRIMERA!E2,"")</f>
        <v>60</v>
      </c>
      <c r="C20" s="29">
        <f>IF(DigitaPRIMERA!$E$17&lt;&gt;"",DigitaPRIMERA!$E$17,"")</f>
        <v>43050</v>
      </c>
      <c r="D20" s="42">
        <f>IF(C20="",0,C20*J$18)</f>
        <v>5166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29384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85</v>
      </c>
      <c r="C21" s="29">
        <f>IF(DigitaHONDURAS!$C$17&lt;&gt;"",DigitaHONDURAS!$C$17,"")</f>
        <v>60800</v>
      </c>
      <c r="D21" s="42">
        <f>IF(C21="",0,C21*J$19)</f>
        <v>7296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45004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10</v>
      </c>
      <c r="C22" s="29">
        <f>IF(DigitaHONDURAS!$E$17&lt;&gt;"",DigitaHONDURAS!$E$17,"")</f>
        <v>10400</v>
      </c>
      <c r="D22" s="42">
        <f>IF(C22="",0,C22*J$19)</f>
        <v>1248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9152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IF(DigitaHONDURAS!$G$17&lt;&gt;"",DigitaHONDURAS!$G$17,"")</f>
        <v>33100</v>
      </c>
      <c r="D23" s="42">
        <f>IF(C23="",0,C23*J$19)</f>
        <v>3972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12128</v>
      </c>
    </row>
    <row r="24" spans="1:11" x14ac:dyDescent="0.35">
      <c r="A24" s="28" t="s">
        <v>102</v>
      </c>
      <c r="B24" s="133">
        <f>IF(DigitaDOMINICANA!C2&lt;&gt;"",DigitaDOMINICANA!C2,"")</f>
        <v>35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78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1390450</v>
      </c>
      <c r="D27" s="68">
        <f t="shared" ref="D27:G27" si="7">SUM(D5:D26)</f>
        <v>164584</v>
      </c>
      <c r="E27" s="68">
        <f t="shared" si="7"/>
        <v>14600</v>
      </c>
      <c r="F27" s="68">
        <f t="shared" si="7"/>
        <v>1208500</v>
      </c>
      <c r="G27" s="89">
        <f t="shared" si="7"/>
        <v>17366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0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213650</v>
      </c>
      <c r="K4" s="231">
        <f t="shared" ref="K4" si="0">D7+D11+D15</f>
        <v>25638</v>
      </c>
      <c r="L4" s="220">
        <f>F7+F11+F15</f>
        <v>344250</v>
      </c>
    </row>
    <row r="5" spans="1:12" x14ac:dyDescent="0.35">
      <c r="A5" s="28" t="str">
        <f>+Vendedor1!A5</f>
        <v>Nica 11am</v>
      </c>
      <c r="B5" s="133">
        <f>IF(DigitaNICA!C2&lt;&gt;"",DigitaNICA!C2,"")</f>
        <v>61</v>
      </c>
      <c r="C5" s="29">
        <f>IF(DigitaNICA!C18&lt;&gt;"",DigitaNICA!C18,"")</f>
        <v>48850</v>
      </c>
      <c r="D5" s="42">
        <f>IF(C5="",0,C5*J$16)</f>
        <v>5862</v>
      </c>
      <c r="E5" s="29">
        <f>IF(DigitaNICA!D18&lt;&gt;"",DigitaNICA!D18,"")</f>
        <v>650</v>
      </c>
      <c r="F5" s="42">
        <f>IF(E5="",0,E5*PREMIOS!F5)</f>
        <v>55250</v>
      </c>
      <c r="G5" s="30">
        <f t="shared" ref="G5:G12" si="1">IF(OR(C5="",E5=""),0,C5-D5-F5)</f>
        <v>-12262</v>
      </c>
      <c r="I5" s="217" t="s">
        <v>37</v>
      </c>
      <c r="J5" s="221">
        <f>SUM(IF(C5="",0,C5),IF(C9="",0,C9),IF(C13="",0,C13),IF(C17="",0,C17))</f>
        <v>204100</v>
      </c>
      <c r="K5" s="225">
        <f t="shared" ref="K5" si="2">D5+D9+D13+D17</f>
        <v>24492</v>
      </c>
      <c r="L5" s="222">
        <f>F5+F9+F13+F17</f>
        <v>284750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82350</v>
      </c>
      <c r="K6" s="226">
        <f t="shared" ref="K6" si="3">+D8+D12+D16</f>
        <v>8235</v>
      </c>
      <c r="L6" s="227">
        <f>+F8+F12+F16</f>
        <v>20000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07</v>
      </c>
      <c r="C7" s="29">
        <f>IF(DigitaTICA!C18&lt;&gt;"",DigitaTICA!C18,"")</f>
        <v>53950</v>
      </c>
      <c r="D7" s="42">
        <f>IF(C7="",0,C7*J$15)</f>
        <v>6474</v>
      </c>
      <c r="E7" s="29">
        <f>IF(DigitaTICA!D18&lt;&gt;"",DigitaTICA!D18,"")</f>
        <v>1050</v>
      </c>
      <c r="F7" s="42">
        <f>IF(E7="",0,E7*PREMIOS!F7)</f>
        <v>89250</v>
      </c>
      <c r="G7" s="30">
        <f t="shared" si="1"/>
        <v>-41774</v>
      </c>
      <c r="I7" s="217" t="s">
        <v>96</v>
      </c>
      <c r="J7" s="223">
        <f>SUM(IF(C19="",0,C19),IF(C20="",0,C20))</f>
        <v>118300</v>
      </c>
      <c r="K7" s="226">
        <f>+D19+D20</f>
        <v>14196</v>
      </c>
      <c r="L7" s="227">
        <f>+F19+F20</f>
        <v>59500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25950</v>
      </c>
      <c r="D8" s="42">
        <f>IF(C8="",0,C8*J$17)</f>
        <v>2595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23355</v>
      </c>
      <c r="I8" s="217" t="s">
        <v>104</v>
      </c>
      <c r="J8" s="223">
        <f>SUM(IF(C21="",0,C21),IF(C22="",0,C22),IF(C23="",0,C23))</f>
        <v>24000</v>
      </c>
      <c r="K8" s="226">
        <f t="shared" ref="K8" si="4">D21+D22+D23</f>
        <v>2880</v>
      </c>
      <c r="L8" s="227">
        <f>F21+F22+F23</f>
        <v>55250</v>
      </c>
    </row>
    <row r="9" spans="1:12" x14ac:dyDescent="0.35">
      <c r="A9" s="28" t="str">
        <f>+Vendedor1!A9</f>
        <v>Nica 3pm</v>
      </c>
      <c r="B9" s="133">
        <f>IF(DigitaNICA!E2&lt;&gt;"",DigitaNICA!E2,"")</f>
        <v>39</v>
      </c>
      <c r="C9" s="29">
        <f>IF(DigitaNICA!E18&lt;&gt;"",DigitaNICA!E18,"")</f>
        <v>52700</v>
      </c>
      <c r="D9" s="42">
        <f>IF(C9="",0,C9*J$16)</f>
        <v>6324</v>
      </c>
      <c r="E9" s="29">
        <f>IF(DigitaNICA!F18&lt;&gt;"",DigitaNICA!F18,"")</f>
        <v>450</v>
      </c>
      <c r="F9" s="42">
        <f>IF(E9="",0,E9*PREMIOS!F9)</f>
        <v>38250</v>
      </c>
      <c r="G9" s="30">
        <f t="shared" si="1"/>
        <v>8126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3">
        <f>IF(DigitaTICA!E2&lt;&gt;"",DigitaTICA!E2,"")</f>
        <v>23</v>
      </c>
      <c r="C11" s="29">
        <f>IF(DigitaTICA!E18&lt;&gt;"",DigitaTICA!E18,"")</f>
        <v>65500</v>
      </c>
      <c r="D11" s="42">
        <f>IF(C11="",0,C11*J$15)</f>
        <v>7860</v>
      </c>
      <c r="E11" s="29">
        <f>IF(DigitaTICA!F18&lt;&gt;"",DigitaTICA!F18,"")</f>
        <v>250</v>
      </c>
      <c r="F11" s="42">
        <f>IF(E11="",0,E11*PREMIOS!F11)</f>
        <v>21250</v>
      </c>
      <c r="G11" s="30">
        <f t="shared" si="1"/>
        <v>36390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30550</v>
      </c>
      <c r="D12" s="42">
        <f>IF(C12="",0,C12*J$17)</f>
        <v>3055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27495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49</v>
      </c>
      <c r="C13" s="29">
        <f>IF(DigitaNICA!G18&lt;&gt;"",DigitaNICA!G18,"")</f>
        <v>60250</v>
      </c>
      <c r="D13" s="42">
        <f>IF(C13="",0,C13*J$16)</f>
        <v>7230</v>
      </c>
      <c r="E13" s="29">
        <f>IF(DigitaNICA!H18&lt;&gt;"",DigitaNICA!H18,"")</f>
        <v>350</v>
      </c>
      <c r="F13" s="42">
        <f>IF(E13="",0,E13*PREMIOS!F13)</f>
        <v>29750</v>
      </c>
      <c r="G13" s="30">
        <f>IF(OR(C13="",E13=""),0,C13-D13-F13)</f>
        <v>23270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28</v>
      </c>
      <c r="C15" s="29">
        <f>IF(DigitaTICA!G18&lt;&gt;"",DigitaTICA!G18,"")</f>
        <v>94200</v>
      </c>
      <c r="D15" s="42">
        <f>IF(C15="",0,C15*J$15)</f>
        <v>11304</v>
      </c>
      <c r="E15" s="29">
        <f>IF(DigitaTICA!H18&lt;&gt;"",DigitaTICA!H18,"")</f>
        <v>2750</v>
      </c>
      <c r="F15" s="42">
        <f>IF(E15="",0,E15*PREMIOS!F15)</f>
        <v>233750</v>
      </c>
      <c r="G15" s="30">
        <f t="shared" si="6"/>
        <v>-150854</v>
      </c>
      <c r="I15" s="77" t="s">
        <v>36</v>
      </c>
      <c r="J15" s="78">
        <v>0.12</v>
      </c>
      <c r="K15" s="79">
        <f>MROUND(D7+D11+D15,50)</f>
        <v>25650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25850</v>
      </c>
      <c r="D16" s="42">
        <f>IF(C16="",0,C16*J$17)</f>
        <v>2585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3265</v>
      </c>
      <c r="I16" s="63" t="s">
        <v>37</v>
      </c>
      <c r="J16" s="64">
        <v>0.12</v>
      </c>
      <c r="K16" s="30">
        <f>MROUND(D5+D9+D13+D17,50)</f>
        <v>24500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02</v>
      </c>
      <c r="C17" s="29">
        <f>IF(DigitaNICA!I18&lt;&gt;"",DigitaNICA!I18,"")</f>
        <v>42300</v>
      </c>
      <c r="D17" s="42">
        <f>IF(C17="",0,C17*J$16)</f>
        <v>5076</v>
      </c>
      <c r="E17" s="29">
        <f>IF(DigitaNICA!J18&lt;&gt;"",DigitaNICA!J18,"")</f>
        <v>1900</v>
      </c>
      <c r="F17" s="42">
        <f>IF(E17="",0,E17*PREMIOS!F17)</f>
        <v>161500</v>
      </c>
      <c r="G17" s="30">
        <f t="shared" si="6"/>
        <v>-124276</v>
      </c>
      <c r="I17" s="63" t="s">
        <v>38</v>
      </c>
      <c r="J17" s="64">
        <v>0.1</v>
      </c>
      <c r="K17" s="30">
        <f>MROUND(D6+D8+D10+D12+D14+D16+D18,50)</f>
        <v>8250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14200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IF(DigitaPRIMERA!$C$18&lt;&gt;"",DigitaPRIMERA!$C$18,"")</f>
        <v>73000</v>
      </c>
      <c r="D19" s="42">
        <f>IF(C19="",0,C19*J$18)</f>
        <v>8760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64240</v>
      </c>
      <c r="I19" s="63" t="s">
        <v>104</v>
      </c>
      <c r="J19" s="64">
        <v>0.12</v>
      </c>
      <c r="K19" s="30">
        <f>MROUND(D21+D22+D23,50)</f>
        <v>2900</v>
      </c>
    </row>
    <row r="20" spans="1:11" x14ac:dyDescent="0.35">
      <c r="A20" s="28" t="s">
        <v>98</v>
      </c>
      <c r="B20" s="133">
        <f>IF(DigitaPRIMERA!E2&lt;&gt;"",DigitaPRIMERA!E2,"")</f>
        <v>60</v>
      </c>
      <c r="C20" s="29">
        <f>IF(DigitaPRIMERA!$E$18&lt;&gt;"",DigitaPRIMERA!$E$18,"")</f>
        <v>45300</v>
      </c>
      <c r="D20" s="42">
        <f>IF(C20="",0,C20*J$18)</f>
        <v>5436</v>
      </c>
      <c r="E20" s="29">
        <f>IF(DigitaPRIMERA!$F$18&lt;&gt;"",DigitaPRIMERA!$F$18,"")</f>
        <v>700</v>
      </c>
      <c r="F20" s="42">
        <f>IF(E20="",0,E20*PREMIOS!F19)</f>
        <v>59500</v>
      </c>
      <c r="G20" s="30">
        <f t="shared" si="6"/>
        <v>-19636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85</v>
      </c>
      <c r="C21" s="29">
        <f>IF(DigitaHONDURAS!$C$18&lt;&gt;"",DigitaHONDURAS!$C$18,"")</f>
        <v>10300</v>
      </c>
      <c r="D21" s="42">
        <f>IF(C21="",0,C21*J$19)</f>
        <v>1236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-3686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10</v>
      </c>
      <c r="C22" s="29">
        <f>IF(DigitaHONDURAS!$E$18&lt;&gt;"",DigitaHONDURAS!$E$18,"")</f>
        <v>7900</v>
      </c>
      <c r="D22" s="42">
        <f>IF(C22="",0,C22*J$19)</f>
        <v>948</v>
      </c>
      <c r="E22" s="29">
        <f>IF(DigitaHONDURAS!$F$18&lt;&gt;"",DigitaHONDURAS!$F$18,"")</f>
        <v>350</v>
      </c>
      <c r="F22" s="42">
        <f>IF(E22="",0,E22*PREMIOS!F20)</f>
        <v>29750</v>
      </c>
      <c r="G22" s="30">
        <f t="shared" si="6"/>
        <v>-22798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IF(DigitaHONDURAS!$G$18&lt;&gt;"",DigitaHONDURAS!$G$18,"")</f>
        <v>5800</v>
      </c>
      <c r="D23" s="42">
        <f>IF(C23="",0,C23*J$19)</f>
        <v>696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-7646</v>
      </c>
    </row>
    <row r="24" spans="1:11" x14ac:dyDescent="0.35">
      <c r="A24" s="28" t="s">
        <v>102</v>
      </c>
      <c r="B24" s="133">
        <f>IF(DigitaDOMINICANA!C2&lt;&gt;"",DigitaDOMINICANA!C2,"")</f>
        <v>35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78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642400</v>
      </c>
      <c r="D27" s="68">
        <f t="shared" ref="D27:G27" si="7">SUM(D5:D26)</f>
        <v>75441</v>
      </c>
      <c r="E27" s="68">
        <f t="shared" si="7"/>
        <v>9050</v>
      </c>
      <c r="F27" s="68">
        <f t="shared" si="7"/>
        <v>763750</v>
      </c>
      <c r="G27" s="89">
        <f t="shared" si="7"/>
        <v>-196791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39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28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07</v>
      </c>
      <c r="D2" s="268"/>
      <c r="E2" s="267">
        <f>IF(PREMIOS!$B11="","",PREMIOS!$B11)</f>
        <v>23</v>
      </c>
      <c r="F2" s="268"/>
      <c r="G2" s="267">
        <f>IF(PREMIOS!$B15="","",PREMIOS!$B15)</f>
        <v>28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24950</v>
      </c>
      <c r="D4" s="79">
        <f t="shared" ref="D4:H27" si="0">IF(C4="","",0)</f>
        <v>0</v>
      </c>
      <c r="E4" s="190">
        <v>19400</v>
      </c>
      <c r="F4" s="79">
        <f t="shared" si="0"/>
        <v>0</v>
      </c>
      <c r="G4" s="190">
        <v>99700</v>
      </c>
      <c r="H4" s="79">
        <v>5700</v>
      </c>
      <c r="J4" s="42">
        <f t="shared" ref="J4:J8" si="1">+C4+E4+G4</f>
        <v>144050</v>
      </c>
      <c r="K4" s="42">
        <f>IF(D4="",0,IF(F4="",D4,IF(H4="",D4+F4,D4+F4+H4)))</f>
        <v>5700</v>
      </c>
    </row>
    <row r="5" spans="1:11" x14ac:dyDescent="0.35">
      <c r="A5" s="47">
        <v>2</v>
      </c>
      <c r="B5" s="179" t="str">
        <f>Vendedor2!$B$2</f>
        <v>PUESTO 2</v>
      </c>
      <c r="C5" s="181">
        <v>68900</v>
      </c>
      <c r="D5" s="30">
        <v>500</v>
      </c>
      <c r="E5" s="181">
        <v>40650</v>
      </c>
      <c r="F5" s="30">
        <v>250</v>
      </c>
      <c r="G5" s="181">
        <v>85150</v>
      </c>
      <c r="H5" s="30">
        <v>300</v>
      </c>
      <c r="J5" s="42">
        <f t="shared" si="1"/>
        <v>194700</v>
      </c>
      <c r="K5" s="42">
        <f t="shared" ref="K5:K27" si="2">IF(D5="",0,IF(F5="",D5,IF(H5="",D5+F5,D5+F5+H5)))</f>
        <v>1050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70050</v>
      </c>
      <c r="D8" s="30">
        <v>900</v>
      </c>
      <c r="E8" s="181">
        <v>54150</v>
      </c>
      <c r="F8" s="30">
        <v>500</v>
      </c>
      <c r="G8" s="181">
        <v>71350</v>
      </c>
      <c r="H8" s="30">
        <f t="shared" si="0"/>
        <v>0</v>
      </c>
      <c r="J8" s="42">
        <f t="shared" si="1"/>
        <v>195550</v>
      </c>
      <c r="K8" s="42">
        <f t="shared" si="2"/>
        <v>1400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55500+114900</f>
        <v>170400</v>
      </c>
      <c r="D10" s="30">
        <f>1500+400</f>
        <v>1900</v>
      </c>
      <c r="E10" s="181">
        <f>45300+112650</f>
        <v>157950</v>
      </c>
      <c r="F10" s="30">
        <v>450</v>
      </c>
      <c r="G10" s="181">
        <v>219100</v>
      </c>
      <c r="H10" s="30">
        <v>9700</v>
      </c>
      <c r="J10" s="42">
        <f t="shared" si="3"/>
        <v>547450</v>
      </c>
      <c r="K10" s="42">
        <f t="shared" si="2"/>
        <v>12050</v>
      </c>
    </row>
    <row r="11" spans="1:11" x14ac:dyDescent="0.35">
      <c r="A11" s="47">
        <v>8</v>
      </c>
      <c r="B11" s="179" t="str">
        <f>Vendedor8!$B$2</f>
        <v>ISA</v>
      </c>
      <c r="C11" s="181">
        <v>7000</v>
      </c>
      <c r="D11" s="30">
        <f t="shared" si="0"/>
        <v>0</v>
      </c>
      <c r="E11" s="181"/>
      <c r="F11" s="30" t="str">
        <f t="shared" si="0"/>
        <v/>
      </c>
      <c r="G11" s="181">
        <v>18600</v>
      </c>
      <c r="H11" s="30">
        <f t="shared" si="0"/>
        <v>0</v>
      </c>
      <c r="J11" s="42">
        <f t="shared" si="3"/>
        <v>25600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64100</v>
      </c>
      <c r="D12" s="30">
        <v>950</v>
      </c>
      <c r="E12" s="181">
        <v>31100</v>
      </c>
      <c r="F12" s="30">
        <v>1100</v>
      </c>
      <c r="G12" s="181">
        <v>32750</v>
      </c>
      <c r="H12" s="30">
        <f t="shared" si="0"/>
        <v>0</v>
      </c>
      <c r="J12" s="42">
        <f t="shared" si="3"/>
        <v>127950</v>
      </c>
      <c r="K12" s="42">
        <f t="shared" si="2"/>
        <v>2050</v>
      </c>
    </row>
    <row r="13" spans="1:11" x14ac:dyDescent="0.35">
      <c r="A13" s="47">
        <v>10</v>
      </c>
      <c r="B13" s="179" t="str">
        <f>Vendedor10!$B$2</f>
        <v>MARIALIZ</v>
      </c>
      <c r="C13" s="181">
        <v>33800</v>
      </c>
      <c r="D13" s="30">
        <v>400</v>
      </c>
      <c r="E13" s="181">
        <v>12350</v>
      </c>
      <c r="F13" s="30">
        <v>200</v>
      </c>
      <c r="G13" s="181">
        <v>56900</v>
      </c>
      <c r="H13" s="30">
        <v>900</v>
      </c>
      <c r="J13" s="42">
        <f t="shared" si="3"/>
        <v>103050</v>
      </c>
      <c r="K13" s="42">
        <f t="shared" si="2"/>
        <v>1500</v>
      </c>
    </row>
    <row r="14" spans="1:11" x14ac:dyDescent="0.35">
      <c r="A14" s="47">
        <v>11</v>
      </c>
      <c r="B14" s="179" t="str">
        <f>Vendedor11!$B$2</f>
        <v>CHARLY</v>
      </c>
      <c r="C14" s="181">
        <v>50150</v>
      </c>
      <c r="D14" s="30">
        <v>3400</v>
      </c>
      <c r="E14" s="181">
        <v>19950</v>
      </c>
      <c r="F14" s="30">
        <f t="shared" si="0"/>
        <v>0</v>
      </c>
      <c r="G14" s="181">
        <v>39950</v>
      </c>
      <c r="H14" s="30">
        <f t="shared" si="0"/>
        <v>0</v>
      </c>
      <c r="J14" s="42">
        <f t="shared" si="3"/>
        <v>110050</v>
      </c>
      <c r="K14" s="42">
        <f t="shared" si="2"/>
        <v>3400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17000</v>
      </c>
      <c r="D16" s="30">
        <f t="shared" si="0"/>
        <v>0</v>
      </c>
      <c r="E16" s="181">
        <v>9000</v>
      </c>
      <c r="F16" s="30">
        <f t="shared" si="0"/>
        <v>0</v>
      </c>
      <c r="G16" s="181">
        <v>17750</v>
      </c>
      <c r="H16" s="30">
        <v>500</v>
      </c>
      <c r="J16" s="42">
        <f t="shared" si="3"/>
        <v>43750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53150+122450</f>
        <v>175600</v>
      </c>
      <c r="D17" s="30">
        <v>1700</v>
      </c>
      <c r="E17" s="181">
        <f>117250+34750</f>
        <v>152000</v>
      </c>
      <c r="F17" s="30">
        <f>1300+500</f>
        <v>1800</v>
      </c>
      <c r="G17" s="181">
        <f>174200+42750</f>
        <v>216950</v>
      </c>
      <c r="H17" s="30">
        <f>3800+50</f>
        <v>3850</v>
      </c>
      <c r="J17" s="42">
        <f t="shared" si="3"/>
        <v>544550</v>
      </c>
      <c r="K17" s="42">
        <f t="shared" si="2"/>
        <v>7350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26850+27100</f>
        <v>53950</v>
      </c>
      <c r="D18" s="30">
        <f>950+100</f>
        <v>1050</v>
      </c>
      <c r="E18" s="181">
        <f>33600+31900</f>
        <v>65500</v>
      </c>
      <c r="F18" s="30">
        <f>150+100</f>
        <v>250</v>
      </c>
      <c r="G18" s="181">
        <f>64950+29250</f>
        <v>94200</v>
      </c>
      <c r="H18" s="30">
        <f>2650+100</f>
        <v>2750</v>
      </c>
      <c r="J18" s="42">
        <f t="shared" si="3"/>
        <v>213650</v>
      </c>
      <c r="K18" s="42">
        <f t="shared" si="2"/>
        <v>4050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735900</v>
      </c>
      <c r="D32" s="44">
        <f t="shared" si="6"/>
        <v>10800</v>
      </c>
      <c r="E32" s="43">
        <f t="shared" si="6"/>
        <v>562050</v>
      </c>
      <c r="F32" s="44">
        <f t="shared" si="6"/>
        <v>4550</v>
      </c>
      <c r="G32" s="43">
        <f t="shared" si="6"/>
        <v>952400</v>
      </c>
      <c r="H32" s="44">
        <f t="shared" si="6"/>
        <v>23700</v>
      </c>
      <c r="J32" s="96">
        <f>SUM(J4:J31)</f>
        <v>2250350</v>
      </c>
      <c r="K32" s="96"/>
    </row>
    <row r="33" spans="2:8" x14ac:dyDescent="0.35">
      <c r="D33" s="100">
        <f>+D32*85</f>
        <v>918000</v>
      </c>
      <c r="F33" s="100">
        <f>+F32*85</f>
        <v>386750</v>
      </c>
      <c r="H33" s="100">
        <f>+H32*85</f>
        <v>2014500</v>
      </c>
    </row>
    <row r="34" spans="2:8" x14ac:dyDescent="0.35">
      <c r="B34" s="247" t="s">
        <v>149</v>
      </c>
      <c r="C34" s="43">
        <f t="shared" ref="C34:H34" si="7">+C4+C5+C6+C8+C13</f>
        <v>197700</v>
      </c>
      <c r="D34" s="43" t="e">
        <f t="shared" si="7"/>
        <v>#VALUE!</v>
      </c>
      <c r="E34" s="43">
        <f t="shared" si="7"/>
        <v>126550</v>
      </c>
      <c r="F34" s="43" t="e">
        <f t="shared" si="7"/>
        <v>#VALUE!</v>
      </c>
      <c r="G34" s="43">
        <f t="shared" si="7"/>
        <v>313100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286700</v>
      </c>
      <c r="D35" s="43" t="e">
        <f t="shared" ref="D35:H35" si="8">+D11+D14+D15+D17+D18</f>
        <v>#VALUE!</v>
      </c>
      <c r="E35" s="43">
        <f t="shared" si="8"/>
        <v>237450</v>
      </c>
      <c r="F35" s="43" t="e">
        <f t="shared" si="8"/>
        <v>#VALUE!</v>
      </c>
      <c r="G35" s="43">
        <f t="shared" si="8"/>
        <v>369700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234500</v>
      </c>
      <c r="D36" s="43" t="e">
        <f t="shared" ref="D36:H36" si="9">+D10+D12+D27</f>
        <v>#VALUE!</v>
      </c>
      <c r="E36" s="43">
        <f t="shared" si="9"/>
        <v>189050</v>
      </c>
      <c r="F36" s="43" t="e">
        <f t="shared" si="9"/>
        <v>#VALUE!</v>
      </c>
      <c r="G36" s="43">
        <f t="shared" si="9"/>
        <v>251850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r:id="rId1"/>
  <colBreaks count="1" manualBreakCount="1">
    <brk id="11" max="1048575" man="1"/>
  </colBreaks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61</v>
      </c>
      <c r="D2" s="268"/>
      <c r="E2" s="267">
        <f>IF(PREMIOS!$B9="","",PREMIOS!$B9)</f>
        <v>39</v>
      </c>
      <c r="F2" s="268"/>
      <c r="G2" s="267">
        <f>IF(PREMIOS!$B13="","",PREMIOS!$B13)</f>
        <v>49</v>
      </c>
      <c r="H2" s="268"/>
      <c r="I2" s="267" t="str">
        <f>IF(PREMIOS!$B17="","",PREMIOS!$B17)</f>
        <v>02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20100</v>
      </c>
      <c r="D4" s="79">
        <f t="shared" ref="D4:J27" si="0">IF(C4="","",0)</f>
        <v>0</v>
      </c>
      <c r="E4" s="207">
        <v>19300</v>
      </c>
      <c r="F4" s="79">
        <f t="shared" si="0"/>
        <v>0</v>
      </c>
      <c r="G4" s="190">
        <v>5650</v>
      </c>
      <c r="H4" s="79">
        <f t="shared" ref="H4:H27" si="1">IF(G4="","",0)</f>
        <v>0</v>
      </c>
      <c r="I4" s="190">
        <v>3200</v>
      </c>
      <c r="J4" s="79">
        <f t="shared" si="0"/>
        <v>0</v>
      </c>
      <c r="L4" s="42">
        <f t="shared" ref="L4:L8" si="2">+C4+E4+G4+I4</f>
        <v>48250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22750</v>
      </c>
      <c r="D5" s="30">
        <v>250</v>
      </c>
      <c r="E5" s="208">
        <v>19650</v>
      </c>
      <c r="F5" s="30">
        <v>1200</v>
      </c>
      <c r="G5" s="181">
        <v>4200</v>
      </c>
      <c r="H5" s="30">
        <f t="shared" si="1"/>
        <v>0</v>
      </c>
      <c r="I5" s="181">
        <v>1200</v>
      </c>
      <c r="J5" s="30">
        <f t="shared" ref="J5:J27" si="3">IF(I5="","",0)</f>
        <v>0</v>
      </c>
      <c r="L5" s="42">
        <f t="shared" si="2"/>
        <v>47800</v>
      </c>
      <c r="M5" s="42">
        <f t="shared" ref="M5:M27" si="4">IF(D5=0,0,IF(F5="",D5,IF(H5="",D5+F5,IF(J5="",D5+F5+H5,D5+F5+H5+J5))))</f>
        <v>1450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75250</v>
      </c>
      <c r="D8" s="30">
        <f t="shared" si="0"/>
        <v>0</v>
      </c>
      <c r="E8" s="208">
        <v>49550</v>
      </c>
      <c r="F8" s="30">
        <f t="shared" si="0"/>
        <v>0</v>
      </c>
      <c r="G8" s="181">
        <v>14300</v>
      </c>
      <c r="H8" s="30">
        <f t="shared" si="1"/>
        <v>0</v>
      </c>
      <c r="I8" s="181">
        <v>26050</v>
      </c>
      <c r="J8" s="30">
        <f t="shared" si="0"/>
        <v>0</v>
      </c>
      <c r="L8" s="42">
        <f t="shared" si="2"/>
        <v>165150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25000+62450</f>
        <v>87450</v>
      </c>
      <c r="D10" s="30">
        <v>2100</v>
      </c>
      <c r="E10" s="208">
        <f>34150+67250</f>
        <v>101400</v>
      </c>
      <c r="F10" s="30">
        <f>200+300</f>
        <v>500</v>
      </c>
      <c r="G10" s="181">
        <v>94450</v>
      </c>
      <c r="H10" s="30">
        <v>300</v>
      </c>
      <c r="I10" s="181">
        <v>137400</v>
      </c>
      <c r="J10" s="30">
        <v>100</v>
      </c>
      <c r="L10" s="42">
        <f t="shared" si="5"/>
        <v>420700</v>
      </c>
      <c r="M10" s="42">
        <f t="shared" si="4"/>
        <v>3000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58400</v>
      </c>
      <c r="D12" s="30">
        <v>300</v>
      </c>
      <c r="E12" s="208">
        <v>20700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79100</v>
      </c>
      <c r="M12" s="42">
        <f t="shared" si="4"/>
        <v>300</v>
      </c>
    </row>
    <row r="13" spans="1:13" x14ac:dyDescent="0.35">
      <c r="A13" s="47">
        <v>10</v>
      </c>
      <c r="B13" s="179" t="str">
        <f>Vendedor10!$B$2</f>
        <v>MARIALIZ</v>
      </c>
      <c r="C13" s="181">
        <v>18450</v>
      </c>
      <c r="D13" s="30">
        <f t="shared" si="0"/>
        <v>0</v>
      </c>
      <c r="E13" s="208">
        <v>10700</v>
      </c>
      <c r="F13" s="30">
        <f t="shared" si="0"/>
        <v>0</v>
      </c>
      <c r="G13" s="181">
        <v>7900</v>
      </c>
      <c r="H13" s="30">
        <f t="shared" si="0"/>
        <v>0</v>
      </c>
      <c r="I13" s="181">
        <v>1700</v>
      </c>
      <c r="J13" s="30">
        <f t="shared" si="0"/>
        <v>0</v>
      </c>
      <c r="L13" s="42">
        <f t="shared" si="5"/>
        <v>38750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9300</v>
      </c>
      <c r="D16" s="30">
        <f t="shared" si="0"/>
        <v>0</v>
      </c>
      <c r="E16" s="208"/>
      <c r="F16" s="30" t="str">
        <f t="shared" si="0"/>
        <v/>
      </c>
      <c r="G16" s="181">
        <v>1200</v>
      </c>
      <c r="H16" s="30">
        <f t="shared" si="0"/>
        <v>0</v>
      </c>
      <c r="I16" s="181">
        <v>12200</v>
      </c>
      <c r="J16" s="30">
        <f t="shared" si="0"/>
        <v>0</v>
      </c>
      <c r="L16" s="42">
        <f t="shared" si="5"/>
        <v>22700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128850</v>
      </c>
      <c r="D17" s="30">
        <v>1000</v>
      </c>
      <c r="E17" s="208">
        <v>119300</v>
      </c>
      <c r="F17" s="30">
        <v>200</v>
      </c>
      <c r="G17" s="181">
        <v>66100</v>
      </c>
      <c r="H17" s="30">
        <v>300</v>
      </c>
      <c r="I17" s="181">
        <v>165200</v>
      </c>
      <c r="J17" s="30">
        <v>3750</v>
      </c>
      <c r="L17" s="42">
        <f t="shared" si="5"/>
        <v>479450</v>
      </c>
      <c r="M17" s="42">
        <f t="shared" si="4"/>
        <v>5250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48850</v>
      </c>
      <c r="D18" s="30">
        <v>650</v>
      </c>
      <c r="E18" s="208">
        <v>52700</v>
      </c>
      <c r="F18" s="30">
        <v>450</v>
      </c>
      <c r="G18" s="181">
        <v>60250</v>
      </c>
      <c r="H18" s="30">
        <v>350</v>
      </c>
      <c r="I18" s="181">
        <v>42300</v>
      </c>
      <c r="J18" s="30">
        <v>1900</v>
      </c>
      <c r="L18" s="42">
        <f t="shared" si="5"/>
        <v>204100</v>
      </c>
      <c r="M18" s="42">
        <f t="shared" si="4"/>
        <v>3350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469400</v>
      </c>
      <c r="D32" s="44">
        <f t="shared" si="7"/>
        <v>4300</v>
      </c>
      <c r="E32" s="43">
        <f t="shared" si="7"/>
        <v>393300</v>
      </c>
      <c r="F32" s="44">
        <f t="shared" si="7"/>
        <v>2350</v>
      </c>
      <c r="G32" s="43">
        <f t="shared" si="7"/>
        <v>254050</v>
      </c>
      <c r="H32" s="44">
        <f t="shared" si="7"/>
        <v>950</v>
      </c>
      <c r="I32" s="43">
        <f t="shared" si="7"/>
        <v>389250</v>
      </c>
      <c r="J32" s="44">
        <f t="shared" si="7"/>
        <v>5750</v>
      </c>
      <c r="L32" s="96">
        <f>SUM(L9:L31)</f>
        <v>1244800</v>
      </c>
      <c r="M32" s="96">
        <f>SUM(M9:M31)</f>
        <v>11900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07 Blanca</v>
      </c>
      <c r="D2" s="268"/>
      <c r="E2" s="267" t="str">
        <f>IF(E33=0,"",CONCATENATE(PREMIOS!$B11," ",PREMIOS!$B12))</f>
        <v>23 Blanca</v>
      </c>
      <c r="F2" s="268"/>
      <c r="G2" s="267" t="str">
        <f>IF(G33=0,"",CONCATENATE(PREMIOS!$B15," ",PREMIOS!$B16))</f>
        <v>28 Roja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20700+2250</f>
        <v>22950</v>
      </c>
      <c r="D10" s="30">
        <v>1000</v>
      </c>
      <c r="E10" s="181">
        <f>15500+200</f>
        <v>15700</v>
      </c>
      <c r="F10" s="30">
        <f t="shared" si="0"/>
        <v>0</v>
      </c>
      <c r="G10" s="181">
        <v>34800</v>
      </c>
      <c r="H10" s="30">
        <v>2000</v>
      </c>
      <c r="J10" s="42">
        <f t="shared" si="3"/>
        <v>73450</v>
      </c>
      <c r="K10" s="42">
        <f t="shared" si="4"/>
        <v>3000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4900</v>
      </c>
      <c r="D12" s="30">
        <f t="shared" si="0"/>
        <v>0</v>
      </c>
      <c r="E12" s="181">
        <v>4500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9400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44300</v>
      </c>
      <c r="D17" s="30">
        <f t="shared" si="0"/>
        <v>0</v>
      </c>
      <c r="E17" s="181">
        <v>31250</v>
      </c>
      <c r="F17" s="30">
        <v>450</v>
      </c>
      <c r="G17" s="181">
        <v>37950</v>
      </c>
      <c r="H17" s="30">
        <v>50</v>
      </c>
      <c r="J17" s="42">
        <f t="shared" si="3"/>
        <v>113500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25950</v>
      </c>
      <c r="D18" s="30">
        <v>100</v>
      </c>
      <c r="E18" s="181">
        <v>30550</v>
      </c>
      <c r="F18" s="30">
        <v>100</v>
      </c>
      <c r="G18" s="181">
        <v>25850</v>
      </c>
      <c r="H18" s="30">
        <v>100</v>
      </c>
      <c r="J18" s="42">
        <f t="shared" si="3"/>
        <v>82350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98100</v>
      </c>
      <c r="D33" s="44">
        <f t="shared" si="7"/>
        <v>1100</v>
      </c>
      <c r="E33" s="43">
        <f t="shared" si="7"/>
        <v>82000</v>
      </c>
      <c r="F33" s="44">
        <f t="shared" si="7"/>
        <v>550</v>
      </c>
      <c r="G33" s="43">
        <f t="shared" si="7"/>
        <v>98600</v>
      </c>
      <c r="H33" s="44">
        <f t="shared" si="7"/>
        <v>2150</v>
      </c>
      <c r="J33" s="45">
        <f>SUM(J4:J32)</f>
        <v>278700</v>
      </c>
      <c r="K33" s="96">
        <f>SUM(K4:K32)</f>
        <v>3800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49</v>
      </c>
      <c r="D2" s="268"/>
      <c r="E2" s="267">
        <f>IF(PREMIOS!$C19="","",PREMIOS!$C19)</f>
        <v>60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12400</v>
      </c>
      <c r="D4" s="79">
        <f t="shared" ref="D4:F27" si="0">IF(C4="","",0)</f>
        <v>0</v>
      </c>
      <c r="E4" s="190">
        <v>1000</v>
      </c>
      <c r="F4" s="79">
        <f t="shared" si="0"/>
        <v>0</v>
      </c>
      <c r="H4" s="42">
        <f>+C4+E4</f>
        <v>13400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4200</v>
      </c>
      <c r="D5" s="30">
        <f t="shared" si="0"/>
        <v>0</v>
      </c>
      <c r="E5" s="181">
        <v>5000</v>
      </c>
      <c r="F5" s="30">
        <f t="shared" ref="F5:F27" si="1">IF(E5="","",0)</f>
        <v>0</v>
      </c>
      <c r="H5" s="42">
        <f t="shared" ref="H5:H32" si="2">+C5+E5</f>
        <v>9200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45300</v>
      </c>
      <c r="D8" s="30">
        <v>500</v>
      </c>
      <c r="E8" s="195">
        <v>16000</v>
      </c>
      <c r="F8" s="196">
        <v>1000</v>
      </c>
      <c r="H8" s="42">
        <f t="shared" si="2"/>
        <v>61300</v>
      </c>
      <c r="I8" s="42">
        <f t="shared" si="3"/>
        <v>1500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5500+11250</f>
        <v>16750</v>
      </c>
      <c r="D10" s="30">
        <v>200</v>
      </c>
      <c r="E10" s="181">
        <v>7750</v>
      </c>
      <c r="F10" s="196">
        <f t="shared" si="1"/>
        <v>0</v>
      </c>
      <c r="H10" s="42">
        <f t="shared" si="2"/>
        <v>24500</v>
      </c>
      <c r="I10" s="42">
        <f t="shared" si="3"/>
        <v>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59400</v>
      </c>
      <c r="D12" s="30">
        <v>350</v>
      </c>
      <c r="E12" s="195">
        <v>9600</v>
      </c>
      <c r="F12" s="30">
        <f t="shared" si="0"/>
        <v>0</v>
      </c>
      <c r="H12" s="42">
        <f t="shared" si="2"/>
        <v>69000</v>
      </c>
      <c r="I12" s="42">
        <f t="shared" si="3"/>
        <v>350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12800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12800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105600</v>
      </c>
      <c r="D17" s="196">
        <v>1100</v>
      </c>
      <c r="E17" s="181">
        <v>43050</v>
      </c>
      <c r="F17" s="30">
        <v>100</v>
      </c>
      <c r="H17" s="42">
        <f t="shared" si="2"/>
        <v>148650</v>
      </c>
      <c r="I17" s="42">
        <f t="shared" si="3"/>
        <v>1200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73000</v>
      </c>
      <c r="D18" s="196">
        <f t="shared" si="0"/>
        <v>0</v>
      </c>
      <c r="E18" s="181">
        <v>45300</v>
      </c>
      <c r="F18" s="30">
        <v>700</v>
      </c>
      <c r="H18" s="42">
        <f t="shared" si="2"/>
        <v>118300</v>
      </c>
      <c r="I18" s="42">
        <f t="shared" si="3"/>
        <v>700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329450</v>
      </c>
      <c r="D33" s="44">
        <f>SUM(D4:D32)</f>
        <v>2150</v>
      </c>
      <c r="E33" s="43">
        <f>SUM(E4:E32)</f>
        <v>127700</v>
      </c>
      <c r="F33" s="44">
        <f>SUM(F4:F32)</f>
        <v>1800</v>
      </c>
      <c r="H33" s="96">
        <f>SUM(H4:H32)</f>
        <v>457150</v>
      </c>
      <c r="I33" s="96">
        <f>SUM(I4:I32)</f>
        <v>3950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85</v>
      </c>
      <c r="D2" s="268"/>
      <c r="E2" s="267">
        <f>IF(PREMIOS!$C20="","",PREMIOS!$C20)</f>
        <v>10</v>
      </c>
      <c r="F2" s="268"/>
      <c r="G2" s="267">
        <f>IF(PREMIOS!$D20="","",PREMIOS!$D20)</f>
        <v>53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1900</v>
      </c>
      <c r="D10" s="196">
        <f t="shared" si="0"/>
        <v>0</v>
      </c>
      <c r="E10" s="181">
        <v>6200</v>
      </c>
      <c r="F10" s="30">
        <v>1500</v>
      </c>
      <c r="G10" s="181">
        <v>38900</v>
      </c>
      <c r="H10" s="196">
        <f t="shared" si="0"/>
        <v>0</v>
      </c>
      <c r="J10" s="42">
        <f t="shared" si="3"/>
        <v>47000</v>
      </c>
      <c r="K10" s="42">
        <f t="shared" si="4"/>
        <v>1500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5650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5650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60800</v>
      </c>
      <c r="D17" s="196">
        <v>100</v>
      </c>
      <c r="E17" s="195">
        <v>10400</v>
      </c>
      <c r="F17" s="196">
        <f t="shared" si="0"/>
        <v>0</v>
      </c>
      <c r="G17" s="195">
        <v>33100</v>
      </c>
      <c r="H17" s="196">
        <v>200</v>
      </c>
      <c r="J17" s="42">
        <f t="shared" si="3"/>
        <v>104300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10300</v>
      </c>
      <c r="D18" s="196">
        <v>150</v>
      </c>
      <c r="E18" s="181">
        <v>7900</v>
      </c>
      <c r="F18" s="30">
        <v>350</v>
      </c>
      <c r="G18" s="181">
        <v>5800</v>
      </c>
      <c r="H18" s="30">
        <v>150</v>
      </c>
      <c r="J18" s="42">
        <f t="shared" si="3"/>
        <v>24000</v>
      </c>
      <c r="K18" s="42">
        <f t="shared" si="4"/>
        <v>650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78650</v>
      </c>
      <c r="D33" s="44">
        <f t="shared" si="6"/>
        <v>250</v>
      </c>
      <c r="E33" s="43">
        <f t="shared" si="6"/>
        <v>24500</v>
      </c>
      <c r="F33" s="44">
        <f t="shared" si="6"/>
        <v>1850</v>
      </c>
      <c r="G33" s="43">
        <f t="shared" si="6"/>
        <v>77800</v>
      </c>
      <c r="H33" s="44">
        <f t="shared" si="6"/>
        <v>350</v>
      </c>
      <c r="J33" s="45">
        <f>SUM(J4:J32)</f>
        <v>180950</v>
      </c>
      <c r="K33" s="96">
        <f>SUM(K4:K32)</f>
        <v>2450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>
        <f>IF(PREMIOS!$B21="","",PREMIOS!$B21)</f>
        <v>35</v>
      </c>
      <c r="D2" s="268"/>
      <c r="E2" s="267">
        <f>IF(PREMIOS!$C21="","",PREMIOS!$C21)</f>
        <v>57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44000</v>
      </c>
      <c r="D10" s="30">
        <f t="shared" si="0"/>
        <v>0</v>
      </c>
      <c r="E10" s="181">
        <v>31100</v>
      </c>
      <c r="F10" s="30">
        <f t="shared" si="0"/>
        <v>0</v>
      </c>
      <c r="H10" s="42">
        <f t="shared" si="2"/>
        <v>75100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44000</v>
      </c>
      <c r="D33" s="44">
        <f>SUM(D4:D32)</f>
        <v>0</v>
      </c>
      <c r="E33" s="43">
        <f>SUM(E4:E32)</f>
        <v>31100</v>
      </c>
      <c r="F33" s="44">
        <f>SUM(F4:F32)</f>
        <v>0</v>
      </c>
      <c r="H33" s="45">
        <f>SUM(H4:H32)</f>
        <v>75100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>
        <f>IF(PREMIOS!$B22="","",PREMIOS!$B22)</f>
        <v>78</v>
      </c>
      <c r="D2" s="268"/>
    </row>
    <row r="3" spans="1:4" ht="15" thickBot="1" x14ac:dyDescent="0.4">
      <c r="C3" s="267"/>
      <c r="D3" s="268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cp:lastPrinted>2026-03-28T17:15:39Z</cp:lastPrinted>
  <dcterms:created xsi:type="dcterms:W3CDTF">2015-06-05T18:19:34Z</dcterms:created>
  <dcterms:modified xsi:type="dcterms:W3CDTF">2026-04-17T16:19:03Z</dcterms:modified>
  <dc:language>es-CR</dc:language>
</cp:coreProperties>
</file>
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21" documentId="11_A8D6EC0D6B49D559DE17F084BEAC0186F09FD56A" xr6:coauthVersionLast="47" xr6:coauthVersionMax="47" xr10:uidLastSave="{FFD9AC6B-9980-4B25-9E0D-F84BDF85B68A}"/>
  <bookViews>
    <workbookView xWindow="-110" yWindow="-110" windowWidth="19420" windowHeight="10300" tabRatio="692" firstSheet="1" activeTab="1" xr2:uid="{00000000-000D-0000-FFFF-FFFF00000000}"/>
  </bookViews>
  <sheets>
    <sheet name="DigitaPRIMERA (2)" sheetId="75" r:id="rId1"/>
    <sheet name="Resumen" sheetId="1" r:id="rId2"/>
    <sheet name="PREMIOS" sheetId="2" r:id="rId3"/>
    <sheet name="HojaTICA" sheetId="58" r:id="rId4"/>
    <sheet name="HojaNICA" sheetId="59" r:id="rId5"/>
    <sheet name="HojaREVENTADO" sheetId="52" r:id="rId6"/>
    <sheet name="HojaPrimera" sheetId="70" r:id="rId7"/>
    <sheet name="HojaHonduras" sheetId="71" r:id="rId8"/>
    <sheet name="HojaDominicana" sheetId="72" r:id="rId9"/>
    <sheet name="HojaPANA" sheetId="73" r:id="rId10"/>
    <sheet name="Cta ALI" sheetId="74" r:id="rId11"/>
    <sheet name="Ctas Banca" sheetId="69" r:id="rId12"/>
    <sheet name="Vendedor1" sheetId="6" r:id="rId13"/>
    <sheet name="Vendedor2" sheetId="7" r:id="rId14"/>
    <sheet name="Vendedor3" sheetId="17" r:id="rId15"/>
    <sheet name="Vendedor4" sheetId="25" r:id="rId16"/>
    <sheet name="Vendedor5" sheetId="22" r:id="rId17"/>
    <sheet name="Vendedor6" sheetId="23" r:id="rId18"/>
    <sheet name="Vendedor7" sheetId="21" r:id="rId19"/>
    <sheet name="Vendedor8" sheetId="16" r:id="rId20"/>
    <sheet name="Vendedor9" sheetId="14" r:id="rId21"/>
    <sheet name="Vendedor10" sheetId="24" r:id="rId22"/>
    <sheet name="Vendedor11" sheetId="10" r:id="rId23"/>
    <sheet name="Vendedor12" sheetId="13" r:id="rId24"/>
    <sheet name="Vendedor13" sheetId="15" r:id="rId25"/>
    <sheet name="Vendedor14" sheetId="8" r:id="rId26"/>
    <sheet name="Vendedor15" sheetId="19" r:id="rId27"/>
    <sheet name="Vendedor16" sheetId="20" r:id="rId28"/>
    <sheet name="Vendedor17" sheetId="18" r:id="rId29"/>
    <sheet name="Vendedor18" sheetId="9" r:id="rId30"/>
    <sheet name="Vendedor19" sheetId="11" r:id="rId31"/>
    <sheet name="Vendedor20" sheetId="12" r:id="rId32"/>
    <sheet name="Vendedor21" sheetId="26" r:id="rId33"/>
    <sheet name="Vendedor22" sheetId="27" r:id="rId34"/>
    <sheet name="Vendedor23" sheetId="28" r:id="rId35"/>
    <sheet name="Vendedor24" sheetId="29" r:id="rId36"/>
    <sheet name="Vendedor25" sheetId="30" r:id="rId37"/>
    <sheet name="Vendedor26" sheetId="31" r:id="rId38"/>
    <sheet name="Vendedor27" sheetId="32" r:id="rId39"/>
    <sheet name="Vendedor28" sheetId="33" r:id="rId40"/>
    <sheet name="Vendedor29" sheetId="34" r:id="rId41"/>
    <sheet name="DigitaTICA" sheetId="60" r:id="rId42"/>
    <sheet name="DigitaNICA" sheetId="61" r:id="rId43"/>
    <sheet name="DigitaREVENTADO" sheetId="62" r:id="rId44"/>
    <sheet name="DigitaPRIMERA" sheetId="65" r:id="rId45"/>
    <sheet name="DigitaHONDURAS" sheetId="64" r:id="rId46"/>
    <sheet name="DigitaDOMINICANA" sheetId="66" r:id="rId47"/>
    <sheet name="DigitaPANAMENA" sheetId="68" r:id="rId48"/>
  </sheets>
  <definedNames>
    <definedName name="_xlnm._FilterDatabase" localSheetId="2" hidden="1">PREMIOS!$J$5:$J$8</definedName>
    <definedName name="_xlnm.Print_Area" localSheetId="6">HojaPrimera!$A$1:$N$43</definedName>
    <definedName name="_xlnm.Print_Area" localSheetId="30">Vendedor19!$A$1:$K$19</definedName>
    <definedName name="_xlnm.Criteria" localSheetId="2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2" i="69" l="1"/>
  <c r="K15" i="69"/>
  <c r="K16" i="69"/>
  <c r="B2" i="7"/>
  <c r="B2" i="6"/>
  <c r="B2" i="15"/>
  <c r="B2" i="14"/>
  <c r="B2" i="16"/>
  <c r="B2" i="21"/>
  <c r="B2" i="22"/>
  <c r="I5" i="69"/>
  <c r="C40" i="65"/>
  <c r="E41" i="65"/>
  <c r="E39" i="65"/>
  <c r="E40" i="65"/>
  <c r="D10" i="75"/>
  <c r="D9" i="75"/>
  <c r="D8" i="75"/>
  <c r="D7" i="75"/>
  <c r="D6" i="75"/>
  <c r="D4" i="75"/>
  <c r="B11" i="75"/>
  <c r="A10" i="75"/>
  <c r="A9" i="75"/>
  <c r="C5" i="75"/>
  <c r="B2" i="75"/>
  <c r="D39" i="65"/>
  <c r="D38" i="65"/>
  <c r="D35" i="65"/>
  <c r="C35" i="65"/>
  <c r="E35" i="65" s="1"/>
  <c r="E10" i="62"/>
  <c r="D36" i="65" l="1"/>
  <c r="D37" i="65" s="1"/>
  <c r="C37" i="65"/>
  <c r="C11" i="75"/>
  <c r="D11" i="75" s="1"/>
  <c r="C10" i="62"/>
  <c r="J10" i="61"/>
  <c r="I10" i="61"/>
  <c r="G10" i="61"/>
  <c r="E10" i="61"/>
  <c r="C10" i="61"/>
  <c r="H17" i="60"/>
  <c r="G17" i="60"/>
  <c r="H18" i="60"/>
  <c r="G18" i="60"/>
  <c r="F17" i="60"/>
  <c r="E17" i="60"/>
  <c r="F18" i="60"/>
  <c r="E18" i="60"/>
  <c r="E10" i="60"/>
  <c r="D17" i="60"/>
  <c r="C17" i="60"/>
  <c r="C10" i="60"/>
  <c r="D18" i="60"/>
  <c r="C18" i="60"/>
  <c r="E37" i="65" l="1"/>
  <c r="D11" i="65"/>
  <c r="D9" i="61"/>
  <c r="D8" i="61"/>
  <c r="C23" i="15"/>
  <c r="G16" i="71" s="1"/>
  <c r="C22" i="15"/>
  <c r="D22" i="15" s="1"/>
  <c r="C21" i="15"/>
  <c r="C16" i="71" s="1"/>
  <c r="H16" i="64"/>
  <c r="E23" i="15" s="1"/>
  <c r="D16" i="64"/>
  <c r="E21" i="15" s="1"/>
  <c r="A5" i="75"/>
  <c r="A4" i="75"/>
  <c r="B2" i="23"/>
  <c r="A6" i="75"/>
  <c r="B2" i="25"/>
  <c r="A8" i="75"/>
  <c r="A7" i="7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2" i="60"/>
  <c r="D11" i="60"/>
  <c r="D35" i="60" s="1"/>
  <c r="D36" i="60"/>
  <c r="D9" i="60"/>
  <c r="D7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0" i="62"/>
  <c r="D5" i="61"/>
  <c r="F16" i="61"/>
  <c r="D6" i="60"/>
  <c r="F16" i="60"/>
  <c r="F15" i="60"/>
  <c r="F14" i="60"/>
  <c r="F11" i="60"/>
  <c r="F35" i="60" s="1"/>
  <c r="F9" i="60"/>
  <c r="F7" i="60"/>
  <c r="F6" i="60"/>
  <c r="H15" i="60"/>
  <c r="H14" i="60"/>
  <c r="H13" i="60"/>
  <c r="H12" i="60"/>
  <c r="H11" i="60"/>
  <c r="H9" i="60"/>
  <c r="H7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E7" i="16" l="1"/>
  <c r="H34" i="60"/>
  <c r="F34" i="60"/>
  <c r="D34" i="60"/>
  <c r="J8" i="14"/>
  <c r="D21" i="14"/>
  <c r="C12" i="71"/>
  <c r="D22" i="14"/>
  <c r="K15" i="14" s="1"/>
  <c r="G12" i="71"/>
  <c r="E19" i="16"/>
  <c r="D20" i="16"/>
  <c r="F18" i="64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7" i="61"/>
  <c r="H16" i="61"/>
  <c r="H15" i="61"/>
  <c r="H14" i="61"/>
  <c r="H13" i="61"/>
  <c r="H12" i="61"/>
  <c r="H11" i="61"/>
  <c r="E13" i="16" s="1"/>
  <c r="H10" i="6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4" i="73"/>
  <c r="I24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21" i="66"/>
  <c r="I19" i="66"/>
  <c r="I16" i="66"/>
  <c r="I15" i="66"/>
  <c r="I14" i="66"/>
  <c r="I13" i="66"/>
  <c r="I12" i="66"/>
  <c r="I11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B23" i="70"/>
  <c r="F22" i="70"/>
  <c r="E22" i="70"/>
  <c r="D22" i="70"/>
  <c r="J22" i="70" s="1"/>
  <c r="K22" i="70" s="1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32" i="66"/>
  <c r="H23" i="70"/>
  <c r="J26" i="70"/>
  <c r="K26" i="70" s="1"/>
  <c r="K28" i="70"/>
  <c r="L22" i="71"/>
  <c r="M22" i="71" s="1"/>
  <c r="J22" i="72"/>
  <c r="K22" i="72" s="1"/>
  <c r="H29" i="66"/>
  <c r="J23" i="70"/>
  <c r="K23" i="70" s="1"/>
  <c r="K20" i="19"/>
  <c r="K9" i="19"/>
  <c r="L21" i="71"/>
  <c r="M21" i="71" s="1"/>
  <c r="J31" i="71"/>
  <c r="D18" i="72"/>
  <c r="J31" i="64"/>
  <c r="E33" i="66"/>
  <c r="H22" i="70"/>
  <c r="J25" i="70"/>
  <c r="K25" i="70" s="1"/>
  <c r="C17" i="73"/>
  <c r="F17" i="73" s="1"/>
  <c r="J10" i="8"/>
  <c r="D26" i="19"/>
  <c r="J10" i="19"/>
  <c r="J29" i="71"/>
  <c r="J21" i="72"/>
  <c r="K21" i="72" s="1"/>
  <c r="J31" i="72"/>
  <c r="K31" i="72" s="1"/>
  <c r="L7" i="23"/>
  <c r="J7" i="19"/>
  <c r="F25" i="19"/>
  <c r="L9" i="19" s="1"/>
  <c r="F18" i="72"/>
  <c r="H21" i="72"/>
  <c r="I18" i="66"/>
  <c r="H30" i="66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H28" i="72"/>
  <c r="D17" i="72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G19" i="29" s="1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D42" i="65" s="1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1"/>
  <c r="N27" i="72"/>
  <c r="K12" i="17"/>
  <c r="L27" i="70"/>
  <c r="L27" i="71"/>
  <c r="M27" i="71" s="1"/>
  <c r="K21" i="19"/>
  <c r="K10" i="19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5" i="23" l="1"/>
  <c r="L4" i="23"/>
  <c r="M22" i="52"/>
  <c r="M24" i="52"/>
  <c r="M23" i="52"/>
  <c r="J5" i="23"/>
  <c r="J4" i="23"/>
  <c r="N18" i="71"/>
  <c r="F17" i="52"/>
  <c r="J5" i="19"/>
  <c r="C24" i="15"/>
  <c r="L6" i="23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J32" i="61"/>
  <c r="M19" i="52"/>
  <c r="D32" i="61"/>
  <c r="K4" i="23"/>
  <c r="L19" i="59"/>
  <c r="M19" i="59" s="1"/>
  <c r="J19" i="70"/>
  <c r="K19" i="70" s="1"/>
  <c r="G32" i="60"/>
  <c r="H32" i="60"/>
  <c r="K5" i="23"/>
  <c r="K5" i="8"/>
  <c r="K5" i="19"/>
  <c r="D24" i="15"/>
  <c r="L5" i="15"/>
  <c r="L6" i="22"/>
  <c r="L6" i="2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4" i="58"/>
  <c r="P25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5" i="52"/>
  <c r="C4" i="1" s="1"/>
  <c r="B4" i="1"/>
  <c r="K23" i="52"/>
  <c r="C22" i="1" s="1"/>
  <c r="B22" i="1"/>
  <c r="K4" i="52"/>
  <c r="C3" i="1" s="1"/>
  <c r="B3" i="1"/>
  <c r="F16" i="19"/>
  <c r="F16" i="8"/>
  <c r="F16" i="15"/>
  <c r="K20" i="52"/>
  <c r="C19" i="1" s="1"/>
  <c r="B19" i="1"/>
  <c r="F12" i="19"/>
  <c r="L6" i="19" s="1"/>
  <c r="F12" i="15"/>
  <c r="G12" i="15" s="1"/>
  <c r="F12" i="8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<sst xmlns="http://schemas.openxmlformats.org/spreadsheetml/2006/main" count="1295" uniqueCount="161">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</sst>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291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10" fontId="0" fillId="0" borderId="0" xfId="3" applyNumberFormat="1" applyFont="1" applyAlignment="1">
      <alignment horizontal="center"/>
    </xf>
    <xf numFmtId="10" fontId="0" fillId="0" borderId="14" xfId="3" applyNumberFormat="1" applyFont="1" applyBorder="1" applyAlignment="1">
      <alignment horizontal="center"/>
    </xf>
    <xf numFmtId="2" fontId="0" fillId="0" borderId="0" xfId="0" applyNumberFormat="1" applyFill="1" applyBorder="1"/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4">
    <cellStyle name="Hipervínculo" xfId="1" builtinId="8"/>
    <cellStyle name="Millares" xfId="2" builtinId="3"/>
    <cellStyle name="Normal" xfId="0" builtinId="0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70556</xdr:rowOff>
    </xdr:from>
    <xdr:to>
      <xdr:col>3</xdr:col>
      <xdr:colOff>0</xdr:colOff>
      <xdr:row>1</xdr:row>
      <xdr:rowOff>232835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71961" y="70556"/>
          <a:ext cx="1665816" cy="35277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1"/>
  <dimension ref="A1:D13"/>
  <sheetViews>
    <sheetView showGridLines="0" zoomScale="90" zoomScaleNormal="90" workbookViewId="0">
      <selection sqref="A1:D11"/>
    </sheetView>
  </sheetViews>
  <sheetFormatPr baseColWidth="10" defaultColWidth="10.54296875" defaultRowHeight="14.5" x14ac:dyDescent="0.35"/>
  <cols>
    <col min="1" max="1" width="27.453125" bestFit="1" customWidth="1"/>
    <col min="2" max="3" width="12.54296875" customWidth="1"/>
    <col min="4" max="4" width="10.54296875" customWidth="1"/>
  </cols>
  <sheetData>
    <row r="1" spans="1:4" x14ac:dyDescent="0.35">
      <c r="A1" s="79"/>
      <c r="B1" s="261" t="s">
        <v>97</v>
      </c>
      <c r="C1" s="262"/>
    </row>
    <row r="2" spans="1:4" ht="21" customHeight="1" x14ac:dyDescent="0.35">
      <c r="B2" s="263" t="str">
        <f>IF(PREMIOS!$B19="","",PREMIOS!$B19)</f>
        <v>00</v>
      </c>
      <c r="C2" s="264"/>
    </row>
    <row r="3" spans="1:4" ht="21" customHeight="1" thickBot="1" x14ac:dyDescent="0.4">
      <c r="B3" s="263"/>
      <c r="C3" s="264"/>
      <c r="D3" s="100" t="s">
        <v>160</v>
      </c>
    </row>
    <row r="4" spans="1:4" x14ac:dyDescent="0.35">
      <c r="A4" s="188" t="str">
        <f>Vendedor1!$B$2</f>
        <v>VENTANA</v>
      </c>
      <c r="B4" s="189">
        <v>3200</v>
      </c>
      <c r="C4" s="188">
        <v>400</v>
      </c>
      <c r="D4" s="259">
        <f>+C4/B4</f>
        <v>0.125</v>
      </c>
    </row>
    <row r="5" spans="1:4" x14ac:dyDescent="0.35">
      <c r="A5" s="178" t="str">
        <f>Vendedor2!$B$2</f>
        <v>PUESTO 2</v>
      </c>
      <c r="B5" s="180"/>
      <c r="C5" s="178" t="str">
        <f t="shared" ref="C5" si="0">IF(B5="","",0)</f>
        <v/>
      </c>
      <c r="D5" s="259">
        <v>0</v>
      </c>
    </row>
    <row r="6" spans="1:4" x14ac:dyDescent="0.35">
      <c r="A6" s="178" t="str">
        <f>Vendedor5!$B$2</f>
        <v>YOYO</v>
      </c>
      <c r="B6" s="194">
        <v>22150</v>
      </c>
      <c r="C6" s="178">
        <v>1700</v>
      </c>
      <c r="D6" s="259">
        <f t="shared" ref="D6:D11" si="1">+C6/B6</f>
        <v>7.6749435665914217E-2</v>
      </c>
    </row>
    <row r="7" spans="1:4" x14ac:dyDescent="0.35">
      <c r="A7" s="178" t="str">
        <f>Vendedor7!$B$2</f>
        <v>PIKIS</v>
      </c>
      <c r="B7" s="180">
        <v>41900</v>
      </c>
      <c r="C7" s="178">
        <v>1750</v>
      </c>
      <c r="D7" s="259">
        <f t="shared" si="1"/>
        <v>4.1766109785202864E-2</v>
      </c>
    </row>
    <row r="8" spans="1:4" x14ac:dyDescent="0.35">
      <c r="A8" s="178" t="str">
        <f>Vendedor9!$B$2</f>
        <v>JUAN FELIX</v>
      </c>
      <c r="B8" s="194">
        <v>25450</v>
      </c>
      <c r="C8" s="178">
        <v>500</v>
      </c>
      <c r="D8" s="259">
        <f t="shared" si="1"/>
        <v>1.9646365422396856E-2</v>
      </c>
    </row>
    <row r="9" spans="1:4" x14ac:dyDescent="0.35">
      <c r="A9" s="178" t="str">
        <f>Vendedor14!$B$2</f>
        <v>EDUARDO TIEMPOS LICORERA</v>
      </c>
      <c r="B9" s="180">
        <v>83600</v>
      </c>
      <c r="C9" s="196">
        <v>3450</v>
      </c>
      <c r="D9" s="259">
        <f t="shared" si="1"/>
        <v>4.1267942583732058E-2</v>
      </c>
    </row>
    <row r="10" spans="1:4" x14ac:dyDescent="0.35">
      <c r="A10" s="178" t="str">
        <f>Vendedor15!$B$2</f>
        <v>EDUARDO PUESTO CENTRO</v>
      </c>
      <c r="B10" s="180">
        <v>55700</v>
      </c>
      <c r="C10" s="196">
        <v>3200</v>
      </c>
      <c r="D10" s="259">
        <f t="shared" si="1"/>
        <v>5.7450628366247758E-2</v>
      </c>
    </row>
    <row r="11" spans="1:4" x14ac:dyDescent="0.35">
      <c r="B11" s="43">
        <f>SUM(B4:B10)</f>
        <v>232000</v>
      </c>
      <c r="C11" s="44">
        <f>SUM(C4:C10)</f>
        <v>11000</v>
      </c>
      <c r="D11" s="258">
        <f t="shared" si="1"/>
        <v>4.7413793103448273E-2</v>
      </c>
    </row>
    <row r="13" spans="1:4" x14ac:dyDescent="0.35">
      <c r="B13" s="260"/>
    </row>
  </sheetData>
  <mergeCells count="2">
    <mergeCell ref="B1:C1"/>
    <mergeCell ref="B2:C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210100</v>
      </c>
      <c r="C3" s="9">
        <f>+HojaTICA!K4+HojaNICA!M4+HojaREVENTADO!K4+HojaPrimera!I4+HojaHonduras!K4+HojaDominicana!I4+HojaPANA!G4</f>
        <v>27300</v>
      </c>
      <c r="D3" s="9">
        <f>+HojaTICA!N4+HojaNICA!P4+HojaREVENTADO!O4+HojaPrimera!L4+HojaHonduras!N4+HojaDominicana!L4+HojaPANA!J4</f>
        <v>270000</v>
      </c>
      <c r="F3" s="10">
        <f t="shared" ref="F3:F27" si="0">+B3-C3-D3</f>
        <v>-87200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183950</v>
      </c>
      <c r="C4" s="9">
        <f>+HojaTICA!K5+HojaNICA!M5+HojaREVENTADO!K5+HojaPrimera!I5+HojaHonduras!K5+HojaDominicana!I5+HojaPANA!G5</f>
        <v>23950</v>
      </c>
      <c r="D4" s="9">
        <f>+HojaTICA!N5+HojaNICA!P5+HojaREVENTADO!O5+HojaPrimera!L5+HojaHonduras!N5+HojaDominicana!L5+HojaPANA!J5</f>
        <v>80750</v>
      </c>
      <c r="F4" s="14">
        <f t="shared" si="0"/>
        <v>79250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399450</v>
      </c>
      <c r="C7" s="9">
        <f>+HojaTICA!K8+HojaNICA!M8+HojaREVENTADO!K8+HojaPrimera!I8+HojaHonduras!K8+HojaDominicana!I8+HojaPANA!G8</f>
        <v>47950</v>
      </c>
      <c r="D7" s="9">
        <f>+HojaTICA!N8+HojaNICA!P8+HojaREVENTADO!O8+HojaPrimera!L8+HojaHonduras!N8+HojaDominicana!L8+HojaPANA!J8</f>
        <v>321500</v>
      </c>
      <c r="F7" s="14">
        <f t="shared" si="0"/>
        <v>30000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984350</v>
      </c>
      <c r="C9" s="9">
        <f>+HojaTICA!K10+HojaNICA!M10+HojaREVENTADO!K10+HojaPrimera!I10+HojaHonduras!K10+HojaDominicana!I10+HojaPANA!G10</f>
        <v>116405</v>
      </c>
      <c r="D9" s="9">
        <f>+HojaTICA!N10+HojaNICA!P10+HojaREVENTADO!O10+HojaPrimera!L10+HojaHonduras!N10+HojaDominicana!L10+HojaPANA!J10</f>
        <v>654500</v>
      </c>
      <c r="F9" s="14">
        <f t="shared" si="0"/>
        <v>213445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27600</v>
      </c>
      <c r="C10" s="9">
        <f>+HojaTICA!K11+HojaNICA!M11+HojaREVENTADO!K11+HojaPrimera!I11+HojaHonduras!K11+HojaDominicana!I11+HojaPANA!G11</f>
        <v>3300</v>
      </c>
      <c r="D10" s="9">
        <f>+HojaTICA!N11+HojaNICA!P11+HojaREVENTADO!O11+HojaPrimera!L11+HojaHonduras!N11+HojaDominicana!L11+HojaPANA!J11</f>
        <v>0</v>
      </c>
      <c r="F10" s="14">
        <f t="shared" si="0"/>
        <v>24300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115200</v>
      </c>
      <c r="C11" s="9">
        <f>+HojaTICA!K12+HojaNICA!M12+HojaREVENTADO!K12+HojaPrimera!I12+HojaHonduras!K12+HojaDominicana!I12+HojaPANA!G12</f>
        <v>13760</v>
      </c>
      <c r="D11" s="9">
        <f>+HojaTICA!N12+HojaNICA!P12+HojaREVENTADO!O12+HojaPrimera!L12+HojaHonduras!N12+HojaDominicana!L12+HojaPANA!J12</f>
        <v>63750</v>
      </c>
      <c r="F11" s="14">
        <f t="shared" si="0"/>
        <v>37690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164150</v>
      </c>
      <c r="C12" s="9">
        <f>+HojaTICA!K13+HojaNICA!M13+HojaREVENTADO!K13+HojaPrimera!I13+HojaHonduras!K13+HojaDominicana!I13+HojaPANA!G13</f>
        <v>19700</v>
      </c>
      <c r="D12" s="9">
        <f>+HojaTICA!N13+HojaNICA!P13+HojaREVENTADO!O13+HojaPrimera!L13+HojaHonduras!N13+HojaDominicana!L13+HojaPANA!J13</f>
        <v>8500</v>
      </c>
      <c r="F12" s="14">
        <f t="shared" si="0"/>
        <v>135950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94400</v>
      </c>
      <c r="C15" s="9">
        <f>+HojaTICA!K16+HojaNICA!M16+HojaREVENTADO!K16+HojaPrimera!I16+HojaHonduras!K16+HojaDominicana!I16+HojaPANA!G16</f>
        <v>11200</v>
      </c>
      <c r="D15" s="9">
        <f>+HojaTICA!N16+HojaNICA!P16+HojaREVENTADO!O16+HojaPrimera!L16+HojaHonduras!N16+HojaDominicana!L16+HojaPANA!J16</f>
        <v>85000</v>
      </c>
      <c r="F15" s="14">
        <f t="shared" si="0"/>
        <v>-1800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1296550</v>
      </c>
      <c r="C16" s="9">
        <f>+HojaTICA!K17+HojaNICA!M17+HojaREVENTADO!K17+HojaPrimera!I17+HojaHonduras!K17+HojaDominicana!I17+HojaPANA!G17</f>
        <v>154015</v>
      </c>
      <c r="D16" s="9">
        <f>+HojaTICA!N17+HojaNICA!P17+HojaREVENTADO!O17+HojaPrimera!L17+HojaHonduras!N17+HojaDominicana!L17+HojaPANA!J17</f>
        <v>868000</v>
      </c>
      <c r="F16" s="14">
        <f t="shared" si="0"/>
        <v>274535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694050</v>
      </c>
      <c r="C17" s="9">
        <f>+HojaTICA!K18+HojaNICA!M18+HojaREVENTADO!K18+HojaPrimera!I18+HojaHonduras!K18+HojaDominicana!I18+HojaPANA!G18</f>
        <v>81570</v>
      </c>
      <c r="D17" s="9">
        <f>+HojaTICA!N18+HojaNICA!P18+HojaREVENTADO!O18+HojaPrimera!L18+HojaHonduras!N18+HojaDominicana!L18+HojaPANA!J18</f>
        <v>672500</v>
      </c>
      <c r="F17" s="14">
        <f t="shared" si="0"/>
        <v>-60020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-4040</v>
      </c>
      <c r="C26" s="9">
        <f>+HojaTICA!K27+HojaNICA!M27+HojaREVENTADO!K27+HojaPrimera!I27+HojaHonduras!K27+HojaDominicana!I27+HojaPANA!G27</f>
        <v>-500</v>
      </c>
      <c r="D26" s="9">
        <f>+HojaTICA!N27+HojaNICA!P27+HojaREVENTADO!O27+HojaPrimera!L27+HojaHonduras!N27+HojaDominicana!L27+HojaPANA!J27</f>
        <v>-256785</v>
      </c>
      <c r="F26" s="14">
        <f t="shared" si="0"/>
        <v>253245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4165760</v>
      </c>
      <c r="C28" s="17">
        <f t="shared" si="1"/>
        <v>498650</v>
      </c>
      <c r="D28" s="18">
        <f t="shared" si="1"/>
        <v>2767715</v>
      </c>
      <c r="F28" s="20">
        <f>SUM(F3:F27)</f>
        <v>899395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100-000000000000}"/>
    <hyperlink ref="A5" location="Vendedor3!B5" display="Vendedor3!B5" xr:uid="{00000000-0004-0000-0100-000001000000}"/>
    <hyperlink ref="A6" location="Vendedor4!B5" display="#Vendedor4.B5" xr:uid="{00000000-0004-0000-0100-000002000000}"/>
    <hyperlink ref="A7" location="Vendedor5!B5" display="Vendedor5!B5" xr:uid="{00000000-0004-0000-0100-000003000000}"/>
    <hyperlink ref="A8" location="Vendedor6!B5" display="#Vendedor6.B5" xr:uid="{00000000-0004-0000-0100-000004000000}"/>
    <hyperlink ref="A9" location="Vendedor7!B5" display="#Vendedor7.B5" xr:uid="{00000000-0004-0000-0100-000005000000}"/>
    <hyperlink ref="A10" location="Vendedor8!B5" display="#Vendedor8.B5" xr:uid="{00000000-0004-0000-0100-000006000000}"/>
    <hyperlink ref="A11" location="Vendedor9!B5" display="Vendedor9!B5" xr:uid="{00000000-0004-0000-0100-000007000000}"/>
    <hyperlink ref="A12" location="Vendedor10!B5" display="#Vendedor10.B5" xr:uid="{00000000-0004-0000-0100-000008000000}"/>
    <hyperlink ref="A13" location="Vendedor11!B5" display="#Vendedor11.B5" xr:uid="{00000000-0004-0000-0100-000009000000}"/>
    <hyperlink ref="A14" location="Vendedor12!B5" display="#Vendedor12.B5" xr:uid="{00000000-0004-0000-0100-00000A000000}"/>
    <hyperlink ref="A15" location="Vendedor13!B5" display="#Vendedor13.B5" xr:uid="{00000000-0004-0000-0100-00000B000000}"/>
    <hyperlink ref="A16" location="Vendedor14!B5" display="#Vendedor14.B5" xr:uid="{00000000-0004-0000-0100-00000C000000}"/>
    <hyperlink ref="A17" location="Vendedor15!B5" display="#Vendedor15.B5" xr:uid="{00000000-0004-0000-0100-00000D000000}"/>
    <hyperlink ref="A18" location="Vendedor16!B5" display="#Vendedor16.B5" xr:uid="{00000000-0004-0000-0100-00000E000000}"/>
    <hyperlink ref="A19" location="Vendedor17!B5" display="#Vendedor17.B5" xr:uid="{00000000-0004-0000-0100-00000F000000}"/>
    <hyperlink ref="A20" location="Vendedor18!B5" display="#Vendedor18.B5" xr:uid="{00000000-0004-0000-0100-000010000000}"/>
    <hyperlink ref="A21" location="Vendedor19!B5" display="#Vendedor19.B5" xr:uid="{00000000-0004-0000-0100-000011000000}"/>
    <hyperlink ref="A22" location="Vendedor20!B5" display="#Vendedor20.B5" xr:uid="{00000000-0004-0000-0100-000012000000}"/>
    <hyperlink ref="A23" location="Vendedor21!B5" display="#Vendedor21.B5" xr:uid="{00000000-0004-0000-0100-000013000000}"/>
    <hyperlink ref="A24" location="Vendedor22!B5" display="#Vendedor22.B5" xr:uid="{00000000-0004-0000-0100-000014000000}"/>
    <hyperlink ref="A25" location="Vendedor23!B5" display="#Vendedor23.B5" xr:uid="{00000000-0004-0000-0100-000015000000}"/>
    <hyperlink ref="A26" location="Vendedor24!B5" display="#Vendedor24.B5" xr:uid="{00000000-0004-0000-0100-000016000000}"/>
    <hyperlink ref="A27" location="Vendedor25!B5" display="#Vendedor25.B5" xr:uid="{00000000-0004-0000-0100-000017000000}"/>
    <hyperlink ref="A4" location="Vendedor2!B5" display="Vendedor2!B5" xr:uid="{00000000-0004-0000-01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70" t="s">
        <v>6</v>
      </c>
      <c r="B2" s="271"/>
      <c r="C2" s="271"/>
      <c r="D2" s="272"/>
      <c r="E2" s="272"/>
      <c r="F2" s="272"/>
      <c r="G2" s="117"/>
      <c r="I2" s="265" t="s">
        <v>7</v>
      </c>
      <c r="J2" s="265"/>
      <c r="K2" s="265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42</v>
      </c>
      <c r="C5" s="132"/>
      <c r="D5" s="137"/>
      <c r="E5" s="30">
        <v>80</v>
      </c>
      <c r="F5" s="30">
        <v>85</v>
      </c>
      <c r="G5" s="30">
        <v>85</v>
      </c>
      <c r="I5" s="266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6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14</v>
      </c>
      <c r="C7" s="132"/>
      <c r="D7" s="137"/>
      <c r="E7" s="30">
        <v>80</v>
      </c>
      <c r="F7" s="30">
        <v>85</v>
      </c>
      <c r="G7" s="30">
        <v>85</v>
      </c>
      <c r="I7" s="266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6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7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33</v>
      </c>
      <c r="C11" s="132"/>
      <c r="D11" s="137"/>
      <c r="E11" s="30">
        <v>80</v>
      </c>
      <c r="F11" s="30">
        <v>85</v>
      </c>
      <c r="G11" s="30">
        <v>85</v>
      </c>
      <c r="I11" s="268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9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46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32">
        <v>27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16</v>
      </c>
      <c r="C20" s="163">
        <v>83</v>
      </c>
      <c r="D20" s="166">
        <v>93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85</v>
      </c>
      <c r="C21" s="164">
        <v>84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64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200-000000000000}">
      <formula1>PREMIOS!_xlnm.Criteria</formula1>
      <formula2>0</formula2>
    </dataValidation>
    <dataValidation type="list" allowBlank="1" showInputMessage="1" showErrorMessage="1" sqref="D8 D16 D12" xr:uid="{00000000-0002-0000-02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61" t="s">
        <v>71</v>
      </c>
      <c r="D1" s="262"/>
      <c r="E1" s="261" t="s">
        <v>72</v>
      </c>
      <c r="F1" s="262"/>
      <c r="G1" s="261" t="s">
        <v>73</v>
      </c>
      <c r="H1" s="262"/>
    </row>
    <row r="2" spans="1:16" x14ac:dyDescent="0.35">
      <c r="C2" s="263">
        <f>DigitaTICA!C2</f>
        <v>14</v>
      </c>
      <c r="D2" s="264"/>
      <c r="E2" s="263">
        <f>DigitaTICA!E2</f>
        <v>33</v>
      </c>
      <c r="F2" s="264"/>
      <c r="G2" s="263">
        <f>DigitaTICA!G2</f>
        <v>46</v>
      </c>
      <c r="H2" s="264"/>
    </row>
    <row r="3" spans="1:16" x14ac:dyDescent="0.35">
      <c r="C3" s="274"/>
      <c r="D3" s="275"/>
      <c r="E3" s="274"/>
      <c r="F3" s="275"/>
      <c r="G3" s="274"/>
      <c r="H3" s="275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49200</v>
      </c>
      <c r="D4" s="30">
        <f>IF(Vendedor1!$E$7="",0,Vendedor1!$E$7)</f>
        <v>500</v>
      </c>
      <c r="E4" s="180">
        <f>IF(Vendedor1!$C$11="",0,Vendedor1!$C$11)</f>
        <v>23900</v>
      </c>
      <c r="F4" s="30">
        <f>IF(Vendedor1!$E$11="",0,Vendedor1!$E$11)</f>
        <v>300</v>
      </c>
      <c r="G4" s="180">
        <f>IF(Vendedor1!$C$15="",0,Vendedor1!$C$15)</f>
        <v>92800</v>
      </c>
      <c r="H4" s="30">
        <f>IF(Vendedor1!$E$15="",0,Vendedor1!$E$15)</f>
        <v>2000</v>
      </c>
      <c r="J4" s="42">
        <f t="shared" ref="J4:J7" si="0">+C4+E4+G4</f>
        <v>165900</v>
      </c>
      <c r="K4" s="41">
        <f>MROUND(J4*Vendedor1!J$9,50)</f>
        <v>21550</v>
      </c>
      <c r="L4" s="42">
        <f t="shared" ref="L4:L7" si="1">+D4+F4+H4</f>
        <v>2800</v>
      </c>
      <c r="M4" s="42">
        <f t="shared" ref="M4:M7" si="2">+L4*85</f>
        <v>238000</v>
      </c>
      <c r="N4" s="42">
        <f>Vendedor1!$F$7+Vendedor1!$F$11+Vendedor1!$F$15</f>
        <v>238000</v>
      </c>
      <c r="P4" s="42">
        <f t="shared" ref="P4:P7" si="3">+J4-K4-N4</f>
        <v>-93650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42000</v>
      </c>
      <c r="D5" s="30">
        <f>IF(Vendedor2!$E$7="",0,Vendedor2!$E$7)</f>
        <v>450</v>
      </c>
      <c r="E5" s="180">
        <f>IF(Vendedor2!$C$11="",0,Vendedor2!$C$11)</f>
        <v>33950</v>
      </c>
      <c r="F5" s="30">
        <f>IF(Vendedor2!$E$11="",0,Vendedor2!$E$11)</f>
        <v>500</v>
      </c>
      <c r="G5" s="180">
        <f>IF(Vendedor2!$C$15="",0,Vendedor2!$C$15)</f>
        <v>85650</v>
      </c>
      <c r="H5" s="30">
        <f>IF(Vendedor2!$E$15="",0,Vendedor2!$E$15)</f>
        <v>0</v>
      </c>
      <c r="J5" s="42">
        <f t="shared" si="0"/>
        <v>161600</v>
      </c>
      <c r="K5" s="41">
        <f>MROUND(J5*Vendedor2!J$9,50)</f>
        <v>21000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59850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54650</v>
      </c>
      <c r="D8" s="30">
        <f>IF(Vendedor5!$E$7="",0,Vendedor5!$E$7)</f>
        <v>900</v>
      </c>
      <c r="E8" s="180">
        <f>IF(Vendedor5!$C$11="",0,Vendedor5!$C$11)</f>
        <v>50550</v>
      </c>
      <c r="F8" s="30">
        <f>IF(Vendedor5!$E$11="",0,Vendedor5!$E$11)</f>
        <v>600</v>
      </c>
      <c r="G8" s="180">
        <f>IF(Vendedor5!$C$15="",0,Vendedor5!$C$15)</f>
        <v>60100</v>
      </c>
      <c r="H8" s="30">
        <f>IF(Vendedor5!$E$15="",0,Vendedor5!$E$15)</f>
        <v>400</v>
      </c>
      <c r="J8" s="42">
        <f t="shared" ref="J8" si="4">+C8+E8+G8</f>
        <v>165300</v>
      </c>
      <c r="K8" s="41">
        <f>MROUND(J8*Vendedor5!J$11,50)</f>
        <v>19850</v>
      </c>
      <c r="L8" s="42">
        <f t="shared" ref="L8" si="5">+D8+F8+H8</f>
        <v>1900</v>
      </c>
      <c r="M8" s="42">
        <f t="shared" ref="M8" si="6">+L8*85</f>
        <v>161500</v>
      </c>
      <c r="N8" s="42">
        <f>Vendedor5!$F$7+Vendedor5!$F$11+Vendedor5!$F$15</f>
        <v>161500</v>
      </c>
      <c r="P8" s="42">
        <f t="shared" ref="P8" si="7">+J8-K8-N8</f>
        <v>-16050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110900</v>
      </c>
      <c r="D10" s="30">
        <f>IF(Vendedor7!$E$7="",0,Vendedor7!$E$7)</f>
        <v>100</v>
      </c>
      <c r="E10" s="180">
        <f>IF(Vendedor7!$C$11="",0,Vendedor7!$C$11)</f>
        <v>74850</v>
      </c>
      <c r="F10" s="30">
        <f>IF(Vendedor7!$E$11="",0,Vendedor7!$E$11)</f>
        <v>350</v>
      </c>
      <c r="G10" s="180">
        <f>IF(Vendedor7!$C$15="",0,Vendedor7!$C$15)</f>
        <v>141250</v>
      </c>
      <c r="H10" s="30">
        <f>IF(Vendedor7!$E$15="",0,Vendedor7!$E$15)</f>
        <v>1600</v>
      </c>
      <c r="J10" s="42">
        <f t="shared" si="8"/>
        <v>327000</v>
      </c>
      <c r="K10" s="41">
        <f>MROUND(J10*Vendedor7!J$14,50)</f>
        <v>39250</v>
      </c>
      <c r="L10" s="42">
        <f t="shared" si="9"/>
        <v>2050</v>
      </c>
      <c r="M10" s="42">
        <f t="shared" si="10"/>
        <v>174250</v>
      </c>
      <c r="N10" s="42">
        <f>Vendedor7!$F$7+Vendedor7!$F$11+Vendedor7!$F$15</f>
        <v>174250</v>
      </c>
      <c r="P10" s="42">
        <f t="shared" si="11"/>
        <v>113500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7000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20600</v>
      </c>
      <c r="H11" s="30">
        <f>IF(Vendedor8!$E$15="",0,Vendedor8!$E$15)</f>
        <v>0</v>
      </c>
      <c r="J11" s="42">
        <f t="shared" si="8"/>
        <v>27600</v>
      </c>
      <c r="K11" s="41">
        <f>MROUND(J11*Vendedor8!J$11,50)</f>
        <v>3300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24300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11100</v>
      </c>
      <c r="D12" s="30">
        <f>IF(Vendedor9!$E$7="",0,Vendedor9!$E$7)</f>
        <v>0</v>
      </c>
      <c r="E12" s="180">
        <f>IF(Vendedor9!$C$11="",0,Vendedor9!$C$11)</f>
        <v>5100</v>
      </c>
      <c r="F12" s="30">
        <f>IF(Vendedor9!$E$11="",0,Vendedor9!$E$11)</f>
        <v>250</v>
      </c>
      <c r="G12" s="180">
        <f>IF(Vendedor9!$C$15="",0,Vendedor9!$C$15)</f>
        <v>21700</v>
      </c>
      <c r="H12" s="30">
        <f>IF(Vendedor9!$E$15="",0,Vendedor9!$E$15)</f>
        <v>0</v>
      </c>
      <c r="J12" s="42">
        <f t="shared" si="8"/>
        <v>37900</v>
      </c>
      <c r="K12" s="41">
        <f>MROUND(J12*Vendedor9!J$11,50)</f>
        <v>4550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12100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37350</v>
      </c>
      <c r="D13" s="30">
        <f>IF(Vendedor10!$E$7="",0,Vendedor10!$E$7)</f>
        <v>0</v>
      </c>
      <c r="E13" s="180">
        <f>IF(Vendedor10!$C$11="",0,Vendedor10!$C$11)</f>
        <v>10700</v>
      </c>
      <c r="F13" s="30">
        <f>IF(Vendedor10!$E$11="",0,Vendedor10!$E$11)</f>
        <v>100</v>
      </c>
      <c r="G13" s="180">
        <f>IF(Vendedor10!$C$15="",0,Vendedor10!$C$15)</f>
        <v>63500</v>
      </c>
      <c r="H13" s="30">
        <f>IF(Vendedor10!$E$15="",0,Vendedor10!$E$15)</f>
        <v>0</v>
      </c>
      <c r="J13" s="42">
        <f t="shared" si="8"/>
        <v>111550</v>
      </c>
      <c r="K13" s="41">
        <f>MROUND(J13*Vendedor10!J$9,50)</f>
        <v>13400</v>
      </c>
      <c r="L13" s="42">
        <f t="shared" si="9"/>
        <v>100</v>
      </c>
      <c r="M13" s="42">
        <f t="shared" si="10"/>
        <v>8500</v>
      </c>
      <c r="N13" s="42">
        <f>Vendedor10!$F$7+Vendedor10!$F$11+Vendedor10!$F$15</f>
        <v>8500</v>
      </c>
      <c r="P13" s="42">
        <f t="shared" si="11"/>
        <v>89650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16550</v>
      </c>
      <c r="D16" s="30">
        <f>IF(Vendedor13!$E$7="",0,Vendedor13!$E$7)</f>
        <v>0</v>
      </c>
      <c r="E16" s="180">
        <f>IF(Vendedor13!$C$11="",0,Vendedor13!$C$11)</f>
        <v>13800</v>
      </c>
      <c r="F16" s="30">
        <f>IF(Vendedor13!$E$11="",0,Vendedor13!$E$11)</f>
        <v>0</v>
      </c>
      <c r="G16" s="180">
        <f>IF(Vendedor13!$C$15="",0,Vendedor13!$C$15)</f>
        <v>45100</v>
      </c>
      <c r="H16" s="30">
        <f>IF(Vendedor13!$E$15="",0,Vendedor13!$E$15)</f>
        <v>1000</v>
      </c>
      <c r="J16" s="42">
        <f t="shared" si="8"/>
        <v>75450</v>
      </c>
      <c r="K16" s="41">
        <f>MROUND(J16*Vendedor13!J$11,50)</f>
        <v>9050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-18600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154900</v>
      </c>
      <c r="D17" s="30">
        <f>IF(Vendedor14!$E$7="",0,Vendedor14!$E$7)</f>
        <v>1300</v>
      </c>
      <c r="E17" s="180">
        <f>IF(Vendedor14!$C$11="",0,Vendedor14!$C$11)</f>
        <v>114750</v>
      </c>
      <c r="F17" s="30">
        <f>IF(Vendedor14!$E$11="",0,Vendedor14!$E$11)</f>
        <v>1400</v>
      </c>
      <c r="G17" s="180">
        <f>IF(Vendedor14!$C$15="",0,Vendedor14!$C$15)</f>
        <v>271700</v>
      </c>
      <c r="H17" s="30">
        <f>IF(Vendedor14!$E$15="",0,Vendedor14!$E$15)</f>
        <v>850</v>
      </c>
      <c r="J17" s="42">
        <f t="shared" si="8"/>
        <v>541350</v>
      </c>
      <c r="K17" s="41">
        <f>MROUND(J17*Vendedor14!J$15,50)</f>
        <v>64950</v>
      </c>
      <c r="L17" s="42">
        <f t="shared" si="9"/>
        <v>3550</v>
      </c>
      <c r="M17" s="42">
        <f t="shared" si="10"/>
        <v>301750</v>
      </c>
      <c r="N17" s="42">
        <f>Vendedor14!$F$7+Vendedor14!$F$11+Vendedor14!$F$15</f>
        <v>301750</v>
      </c>
      <c r="P17" s="42">
        <f t="shared" si="11"/>
        <v>174650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75500</v>
      </c>
      <c r="D18" s="30">
        <f>IF(Vendedor15!$E$7="",0,Vendedor15!$E$7)</f>
        <v>350</v>
      </c>
      <c r="E18" s="180">
        <f>IF(Vendedor15!$C$11="",0,Vendedor15!$C$11)</f>
        <v>64650</v>
      </c>
      <c r="F18" s="30">
        <f>IF(Vendedor15!$E$11="",0,Vendedor15!$E$11)</f>
        <v>750</v>
      </c>
      <c r="G18" s="180">
        <f>IF(Vendedor15!$C$15="",0,Vendedor15!$C$15)</f>
        <v>79900</v>
      </c>
      <c r="H18" s="30">
        <f>IF(Vendedor15!$E$15="",0,Vendedor15!$E$15)</f>
        <v>300</v>
      </c>
      <c r="J18" s="42">
        <f t="shared" ref="J18" si="12">+C18+E18+G18</f>
        <v>220050</v>
      </c>
      <c r="K18" s="41">
        <f>MROUND(J18*Vendedor15!J$15,50)</f>
        <v>26400</v>
      </c>
      <c r="L18" s="42">
        <f t="shared" ref="L18" si="13">+D18+F18+H18</f>
        <v>1400</v>
      </c>
      <c r="M18" s="42">
        <f t="shared" ref="M18" si="14">+L18*85</f>
        <v>119000</v>
      </c>
      <c r="N18" s="42">
        <f>Vendedor15!$F$7+Vendedor15!$F$11+Vendedor15!$F$15</f>
        <v>119000</v>
      </c>
      <c r="P18" s="42">
        <f t="shared" ref="P18" si="15">+J18-K18-N18</f>
        <v>74650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559150</v>
      </c>
      <c r="D32" s="44">
        <f t="shared" si="16"/>
        <v>3600</v>
      </c>
      <c r="E32" s="43">
        <f t="shared" si="16"/>
        <v>392250</v>
      </c>
      <c r="F32" s="44">
        <f t="shared" si="16"/>
        <v>4250</v>
      </c>
      <c r="G32" s="43">
        <f t="shared" si="16"/>
        <v>882300</v>
      </c>
      <c r="H32" s="44">
        <f t="shared" si="16"/>
        <v>6150</v>
      </c>
      <c r="J32" s="95">
        <f>SUM(J4:J31)</f>
        <v>1833700</v>
      </c>
      <c r="K32" s="45">
        <f>SUM(K7:K31)</f>
        <v>180750</v>
      </c>
      <c r="L32" s="95">
        <f>SUM(L4:L31)</f>
        <v>14000</v>
      </c>
      <c r="M32" s="95">
        <f>SUM(M4:M31)</f>
        <v>1190000</v>
      </c>
      <c r="N32" s="95">
        <f>SUM(N4:N31)</f>
        <v>1190000</v>
      </c>
      <c r="P32" s="79">
        <f>SUM(P4:P31)</f>
        <v>420400</v>
      </c>
    </row>
    <row r="33" spans="3:13" x14ac:dyDescent="0.35">
      <c r="D33" s="99">
        <f>+D32*85</f>
        <v>306000</v>
      </c>
      <c r="F33" s="99">
        <f>+F32*85</f>
        <v>361250</v>
      </c>
      <c r="H33" s="99">
        <f>+H32*85</f>
        <v>522750</v>
      </c>
    </row>
    <row r="34" spans="3:13" ht="15" thickBot="1" x14ac:dyDescent="0.4">
      <c r="L34" s="149"/>
      <c r="M34" s="43"/>
    </row>
    <row r="35" spans="3:13" x14ac:dyDescent="0.35">
      <c r="C35" s="273" t="s">
        <v>89</v>
      </c>
      <c r="D35" s="273"/>
    </row>
    <row r="36" spans="3:13" x14ac:dyDescent="0.35">
      <c r="C36" s="47" t="s">
        <v>28</v>
      </c>
      <c r="D36" s="30">
        <f>+C32+E32+G32</f>
        <v>1833700</v>
      </c>
      <c r="E36" s="43">
        <f>+D36-J4-J5-J6</f>
        <v>1506200</v>
      </c>
      <c r="G36" s="101"/>
    </row>
    <row r="37" spans="3:13" x14ac:dyDescent="0.35">
      <c r="C37" s="47" t="s">
        <v>33</v>
      </c>
      <c r="D37" s="48">
        <f>D36*13%</f>
        <v>238381</v>
      </c>
      <c r="E37">
        <f>+D37-K4-K5-K6</f>
        <v>195831</v>
      </c>
      <c r="G37" s="100"/>
      <c r="H37" s="100"/>
    </row>
    <row r="38" spans="3:13" ht="15" thickBot="1" x14ac:dyDescent="0.4">
      <c r="C38" s="47" t="s">
        <v>30</v>
      </c>
      <c r="D38" s="30">
        <f>M32</f>
        <v>1190000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405319</v>
      </c>
      <c r="F39" s="98">
        <f>+P32-D39</f>
        <v>15081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405319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61" t="s">
        <v>23</v>
      </c>
      <c r="D1" s="262"/>
      <c r="E1" s="261" t="s">
        <v>24</v>
      </c>
      <c r="F1" s="262"/>
      <c r="G1" s="261" t="s">
        <v>25</v>
      </c>
      <c r="H1" s="262"/>
      <c r="I1" s="261" t="s">
        <v>26</v>
      </c>
      <c r="J1" s="262"/>
    </row>
    <row r="2" spans="1:18" x14ac:dyDescent="0.35">
      <c r="C2" s="263">
        <f>DigitaNICA!C2</f>
        <v>42</v>
      </c>
      <c r="D2" s="264"/>
      <c r="E2" s="263">
        <f>DigitaNICA!E2</f>
        <v>46</v>
      </c>
      <c r="F2" s="264"/>
      <c r="G2" s="263">
        <f>DigitaNICA!G2</f>
        <v>65</v>
      </c>
      <c r="H2" s="264"/>
      <c r="I2" s="263">
        <f>DigitaNICA!I2</f>
        <v>39</v>
      </c>
      <c r="J2" s="264"/>
    </row>
    <row r="3" spans="1:18" ht="15" thickBot="1" x14ac:dyDescent="0.4">
      <c r="C3" s="263"/>
      <c r="D3" s="264"/>
      <c r="E3" s="263"/>
      <c r="F3" s="264"/>
      <c r="G3" s="263"/>
      <c r="H3" s="264"/>
      <c r="I3" s="263"/>
      <c r="J3" s="264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29350</v>
      </c>
      <c r="D4" s="78">
        <f>IF(Vendedor1!$E$5="",0,Vendedor1!$E$5)</f>
        <v>0</v>
      </c>
      <c r="E4" s="189">
        <f>IF(Vendedor1!$C$9="",0,Vendedor1!$C$9)</f>
        <v>11100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550</v>
      </c>
      <c r="J4" s="78">
        <f>IF(Vendedor1!$E$17="",0,Vendedor1!$E$17)</f>
        <v>0</v>
      </c>
      <c r="L4" s="42">
        <f t="shared" ref="L4:L7" si="0">C4+E4+G4+I4</f>
        <v>41000</v>
      </c>
      <c r="M4" s="41">
        <f>MROUND(L4*Vendedor1!J$10,50)</f>
        <v>5350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35650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11550</v>
      </c>
      <c r="D5" s="30">
        <f>IF(Vendedor2!$E$5="",0,Vendedor2!$E$5)</f>
        <v>0</v>
      </c>
      <c r="E5" s="180">
        <f>IF(Vendedor2!$C$9="",0,Vendedor2!$C$9)</f>
        <v>3400</v>
      </c>
      <c r="F5" s="30">
        <f>IF(Vendedor2!$E$9="",0,Vendedor2!$E$9)</f>
        <v>0</v>
      </c>
      <c r="G5" s="180">
        <f>IF(Vendedor2!$C$13="",0,Vendedor2!$C$13)</f>
        <v>2900</v>
      </c>
      <c r="H5" s="30">
        <f>IF(Vendedor2!$E$13="",0,Vendedor2!$E$13)</f>
        <v>0</v>
      </c>
      <c r="I5" s="180">
        <f>IF(Vendedor2!$C$17="",0,Vendedor2!$C$17)</f>
        <v>1200</v>
      </c>
      <c r="J5" s="30">
        <f>IF(Vendedor2!$E$17="",0,Vendedor2!$E$17)</f>
        <v>0</v>
      </c>
      <c r="L5" s="42">
        <f t="shared" si="0"/>
        <v>19050</v>
      </c>
      <c r="M5" s="41">
        <f>MROUND(L5*Vendedor2!J$10,50)</f>
        <v>2500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16550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87350</v>
      </c>
      <c r="D8" s="30">
        <f>IF(Vendedor5!$E$5="",0,Vendedor5!$E$5)</f>
        <v>0</v>
      </c>
      <c r="E8" s="180">
        <f>IF(Vendedor5!$C$9="",0,Vendedor5!$C$9)</f>
        <v>80600</v>
      </c>
      <c r="F8" s="30">
        <f>IF(Vendedor5!$E$9="",0,Vendedor5!$E$9)</f>
        <v>200</v>
      </c>
      <c r="G8" s="180">
        <f>IF(Vendedor5!$C$13="",0,Vendedor5!$C$13)</f>
        <v>13100</v>
      </c>
      <c r="H8" s="30">
        <f>IF(Vendedor5!$E$13="",0,Vendedor5!$E$13)</f>
        <v>0</v>
      </c>
      <c r="I8" s="180">
        <f>IF(Vendedor5!$C$17="",0,Vendedor5!$C$17)</f>
        <v>19750</v>
      </c>
      <c r="J8" s="30">
        <f>IF(Vendedor5!$E$17="",0,Vendedor5!$E$17)</f>
        <v>100</v>
      </c>
      <c r="L8" s="42">
        <f t="shared" ref="L8" si="4">C8+E8+G8+I8</f>
        <v>200800</v>
      </c>
      <c r="M8" s="41">
        <f>MROUND(L8*Vendedor5!J$12,50)</f>
        <v>24100</v>
      </c>
      <c r="N8" s="42">
        <f t="shared" ref="N8" si="5">D8+F8+H8+J8</f>
        <v>300</v>
      </c>
      <c r="O8" s="41">
        <f t="shared" si="3"/>
        <v>25500</v>
      </c>
      <c r="P8" s="42">
        <f>Vendedor5!$F$5+Vendedor5!$F$9+Vendedor5!$F$13+Vendedor5!$F$17</f>
        <v>24000</v>
      </c>
      <c r="Q8">
        <v>17</v>
      </c>
      <c r="R8" s="41">
        <f t="shared" ref="R8" si="6">+L8-M8-O8</f>
        <v>151200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112350</v>
      </c>
      <c r="D10" s="30">
        <f>IF(Vendedor7!$E$5="",0,Vendedor7!$E$5)</f>
        <v>2400</v>
      </c>
      <c r="E10" s="180">
        <f>IF(Vendedor7!$C$9="",0,Vendedor7!$C$9)</f>
        <v>85550</v>
      </c>
      <c r="F10" s="30">
        <f>IF(Vendedor7!$E$9="",0,Vendedor7!$E$9)</f>
        <v>0</v>
      </c>
      <c r="G10" s="180">
        <f>IF(Vendedor7!$C$13="",0,Vendedor7!$C$13)</f>
        <v>66700</v>
      </c>
      <c r="H10" s="30">
        <f>IF(Vendedor7!$E$13="",0,Vendedor7!$E$13)</f>
        <v>0</v>
      </c>
      <c r="I10" s="180">
        <f>IF(Vendedor7!$C$17="",0,Vendedor7!$C$17)</f>
        <v>80050</v>
      </c>
      <c r="J10" s="30">
        <f>IF(Vendedor7!$E$17="",0,Vendedor7!$E$17)</f>
        <v>500</v>
      </c>
      <c r="L10" s="42">
        <f t="shared" si="7"/>
        <v>344650</v>
      </c>
      <c r="M10" s="41">
        <f>MROUND(L10*Vendedor7!J$15,50)</f>
        <v>41350</v>
      </c>
      <c r="N10" s="42">
        <f t="shared" ref="N10:N27" si="9">D10+F10+H10+J10</f>
        <v>2900</v>
      </c>
      <c r="O10" s="41">
        <f t="shared" si="3"/>
        <v>246500</v>
      </c>
      <c r="P10" s="42">
        <f>Vendedor7!$F$5+Vendedor7!$F$9+Vendedor7!$F$13+Vendedor7!$F$17</f>
        <v>246500</v>
      </c>
      <c r="R10" s="41">
        <f t="shared" si="8"/>
        <v>56800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38100</v>
      </c>
      <c r="D12" s="30">
        <f>IF(Vendedor9!$E$5="",0,Vendedor9!$E$5)</f>
        <v>0</v>
      </c>
      <c r="E12" s="180">
        <f>IF(Vendedor9!$C$9="",0,Vendedor9!$C$9)</f>
        <v>11650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49750</v>
      </c>
      <c r="M12" s="41">
        <f>MROUND(L12*Vendedor9!J$12,50)</f>
        <v>5950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43800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32300</v>
      </c>
      <c r="D13" s="30">
        <f>IF(Vendedor10!$E$5="",0,Vendedor10!$E$5)</f>
        <v>0</v>
      </c>
      <c r="E13" s="180">
        <f>IF(Vendedor10!$C$9="",0,Vendedor10!$C$9)</f>
        <v>17900</v>
      </c>
      <c r="F13" s="30">
        <f>IF(Vendedor10!$E$9="",0,Vendedor10!$E$9)</f>
        <v>0</v>
      </c>
      <c r="G13" s="180">
        <f>IF(Vendedor10!$C$13="",0,Vendedor10!$C$13)</f>
        <v>1500</v>
      </c>
      <c r="H13" s="30">
        <f>IF(Vendedor10!$E$13="",0,Vendedor10!$E$13)</f>
        <v>0</v>
      </c>
      <c r="I13" s="180">
        <f>IF(Vendedor10!$C$17="",0,Vendedor10!$C$17)</f>
        <v>900</v>
      </c>
      <c r="J13" s="30">
        <f>IF(Vendedor10!$E$17="",0,Vendedor10!$E$17)</f>
        <v>0</v>
      </c>
      <c r="L13" s="42">
        <f t="shared" si="7"/>
        <v>52600</v>
      </c>
      <c r="M13" s="41">
        <f>MROUND(L13*Vendedor10!J$10,50)</f>
        <v>6300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46300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2100</v>
      </c>
      <c r="D16" s="30">
        <f>IF(Vendedor13!$E$5="",0,Vendedor13!$E$5)</f>
        <v>0</v>
      </c>
      <c r="E16" s="180">
        <f>IF(Vendedor13!$C$9="",0,Vendedor13!$C$9)</f>
        <v>400</v>
      </c>
      <c r="F16" s="30">
        <f>IF(Vendedor13!$E$9="",0,Vendedor13!$E$9)</f>
        <v>0</v>
      </c>
      <c r="G16" s="180">
        <f>IF(Vendedor13!$C$13="",0,Vendedor13!$C$13)</f>
        <v>1750</v>
      </c>
      <c r="H16" s="30">
        <f>IF(Vendedor13!$E$13="",0,Vendedor13!$E$13)</f>
        <v>0</v>
      </c>
      <c r="I16" s="180">
        <f>IF(Vendedor13!$C$17="",0,Vendedor13!$C$17)</f>
        <v>8200</v>
      </c>
      <c r="J16" s="30">
        <f>IF(Vendedor13!$E$17="",0,Vendedor13!$E$17)</f>
        <v>0</v>
      </c>
      <c r="L16" s="42">
        <f t="shared" si="7"/>
        <v>12450</v>
      </c>
      <c r="M16" s="41">
        <f>MROUND(L16*Vendedor13!J$12,50)</f>
        <v>1500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10950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165350</v>
      </c>
      <c r="D17" s="30">
        <f>IF(Vendedor14!$E$5="",0,Vendedor14!$E$5)</f>
        <v>1100</v>
      </c>
      <c r="E17" s="180">
        <f>IF(Vendedor14!$C$9="",0,Vendedor14!$C$9)</f>
        <v>107600</v>
      </c>
      <c r="F17" s="30">
        <f>IF(Vendedor14!$E$9="",0,Vendedor14!$E$9)</f>
        <v>300</v>
      </c>
      <c r="G17" s="180">
        <f>IF(Vendedor14!$C$13="",0,Vendedor14!$C$13)</f>
        <v>55450</v>
      </c>
      <c r="H17" s="30">
        <f>IF(Vendedor14!$E$13="",0,Vendedor14!$E$13)</f>
        <v>0</v>
      </c>
      <c r="I17" s="180">
        <f>IF(Vendedor14!$C$17="",0,Vendedor14!$C$17)</f>
        <v>157700</v>
      </c>
      <c r="J17" s="30">
        <f>IF(Vendedor14!$E$17="",0,Vendedor14!$E$17)</f>
        <v>200</v>
      </c>
      <c r="L17" s="42">
        <f>C17+E17+G17+I17</f>
        <v>486100</v>
      </c>
      <c r="M17" s="41">
        <f>MROUND(L17*Vendedor14!J$16,50)</f>
        <v>58350</v>
      </c>
      <c r="N17" s="42">
        <f t="shared" si="9"/>
        <v>1600</v>
      </c>
      <c r="O17" s="41">
        <f t="shared" si="3"/>
        <v>136000</v>
      </c>
      <c r="P17" s="42">
        <f>Vendedor14!$F$5+Vendedor14!$F$9+Vendedor14!$F$13+Vendedor14!$F$17</f>
        <v>136000</v>
      </c>
      <c r="R17" s="41">
        <f t="shared" si="8"/>
        <v>291750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96650</v>
      </c>
      <c r="D18" s="30">
        <f>IF(Vendedor15!$E$5="",0,Vendedor15!$E$5)</f>
        <v>300</v>
      </c>
      <c r="E18" s="180">
        <f>IF(Vendedor15!$C$9="",0,Vendedor15!$C$9)</f>
        <v>56500</v>
      </c>
      <c r="F18" s="30">
        <f>IF(Vendedor15!$E$9="",0,Vendedor15!$E$9)</f>
        <v>200</v>
      </c>
      <c r="G18" s="180">
        <f>IF(Vendedor15!$C$13="",0,Vendedor15!$C$13)</f>
        <v>67950</v>
      </c>
      <c r="H18" s="30">
        <f>IF(Vendedor15!$E$13="",0,Vendedor15!$E$13)</f>
        <v>300</v>
      </c>
      <c r="I18" s="180">
        <f>IF(Vendedor15!$C$17="",0,Vendedor15!$C$17)</f>
        <v>7700</v>
      </c>
      <c r="J18" s="30">
        <f>IF(Vendedor15!$E$17="",0,Vendedor15!$E$17)</f>
        <v>100</v>
      </c>
      <c r="L18" s="42">
        <f t="shared" ref="L18:L27" si="10">C18+E18+G18+I18</f>
        <v>228800</v>
      </c>
      <c r="M18" s="41">
        <f>MROUND(L18*Vendedor15!J$16,50)</f>
        <v>27450</v>
      </c>
      <c r="N18" s="42">
        <f t="shared" si="9"/>
        <v>900</v>
      </c>
      <c r="O18" s="41">
        <f t="shared" si="3"/>
        <v>76500</v>
      </c>
      <c r="P18" s="42">
        <f>Vendedor15!$F$5+Vendedor15!$F$9+Vendedor15!$F$13+Vendedor15!$F$17</f>
        <v>76500</v>
      </c>
      <c r="R18" s="41">
        <f t="shared" si="8"/>
        <v>124850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575100</v>
      </c>
      <c r="D32" s="44">
        <f t="shared" si="14"/>
        <v>3800</v>
      </c>
      <c r="E32" s="43">
        <f t="shared" si="14"/>
        <v>374700</v>
      </c>
      <c r="F32" s="44">
        <f t="shared" si="14"/>
        <v>700</v>
      </c>
      <c r="G32" s="43">
        <f t="shared" si="14"/>
        <v>209350</v>
      </c>
      <c r="H32" s="44">
        <f t="shared" si="14"/>
        <v>300</v>
      </c>
      <c r="I32" s="43">
        <f t="shared" si="14"/>
        <v>276050</v>
      </c>
      <c r="J32" s="44">
        <f t="shared" si="14"/>
        <v>900</v>
      </c>
      <c r="L32" s="45">
        <f>SUM(L4:L31)</f>
        <v>1435200</v>
      </c>
      <c r="M32" s="45">
        <f>SUM(M7:M31)</f>
        <v>165000</v>
      </c>
      <c r="N32" s="95">
        <f>SUM(N4:N31)</f>
        <v>5700</v>
      </c>
      <c r="O32" s="46">
        <f>SUM(O4:O31)</f>
        <v>484500</v>
      </c>
      <c r="P32" s="140">
        <f>SUM(P4:P31)</f>
        <v>483000</v>
      </c>
      <c r="R32" s="79">
        <f>SUM(R4:R31)</f>
        <v>777850</v>
      </c>
    </row>
    <row r="33" spans="3:15" x14ac:dyDescent="0.35">
      <c r="D33" s="120">
        <f>+D32*85</f>
        <v>323000</v>
      </c>
      <c r="F33" s="120">
        <f>+F32*85</f>
        <v>59500</v>
      </c>
      <c r="H33" s="120">
        <f>+H32*85</f>
        <v>25500</v>
      </c>
      <c r="J33" s="120">
        <f>+J32*85</f>
        <v>76500</v>
      </c>
    </row>
    <row r="34" spans="3:15" ht="15" thickBot="1" x14ac:dyDescent="0.4"/>
    <row r="35" spans="3:15" x14ac:dyDescent="0.35">
      <c r="C35" s="273" t="s">
        <v>89</v>
      </c>
      <c r="D35" s="273"/>
      <c r="N35" s="149"/>
      <c r="O35" s="43"/>
    </row>
    <row r="36" spans="3:15" x14ac:dyDescent="0.35">
      <c r="C36" s="47" t="s">
        <v>28</v>
      </c>
      <c r="D36" s="30">
        <f>+C32+E32+G32+I32</f>
        <v>1435200</v>
      </c>
      <c r="E36" s="43">
        <f>+D36-L4-L5-L6</f>
        <v>1375150</v>
      </c>
    </row>
    <row r="37" spans="3:15" x14ac:dyDescent="0.35">
      <c r="C37" s="47" t="s">
        <v>33</v>
      </c>
      <c r="D37" s="48">
        <f>D36*13%</f>
        <v>186576</v>
      </c>
      <c r="E37">
        <f>+D37-M4-M5-M6</f>
        <v>178726</v>
      </c>
    </row>
    <row r="38" spans="3:15" x14ac:dyDescent="0.35">
      <c r="C38" s="47" t="s">
        <v>30</v>
      </c>
      <c r="D38" s="30">
        <f>SUM(O4:O27)</f>
        <v>484500</v>
      </c>
      <c r="G38" s="100"/>
    </row>
    <row r="39" spans="3:15" ht="15" thickBot="1" x14ac:dyDescent="0.4">
      <c r="C39" s="49" t="s">
        <v>4</v>
      </c>
      <c r="D39" s="80">
        <f>+D36-D37-D38</f>
        <v>764124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764124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61" t="s">
        <v>71</v>
      </c>
      <c r="D1" s="262"/>
      <c r="E1" s="261" t="s">
        <v>72</v>
      </c>
      <c r="F1" s="262"/>
      <c r="G1" s="261" t="s">
        <v>73</v>
      </c>
      <c r="H1" s="262"/>
    </row>
    <row r="2" spans="1:17" ht="14.5" customHeight="1" x14ac:dyDescent="0.35">
      <c r="C2" s="263" t="str">
        <f>IF(C33=0,"",CONCATENATE(PREMIOS!$B7," ",PREMIOS!$B8))</f>
        <v>14 Roja</v>
      </c>
      <c r="D2" s="264"/>
      <c r="E2" s="263" t="str">
        <f>IF(E33=0,"",CONCATENATE(PREMIOS!$B11," ",PREMIOS!$B12))</f>
        <v>33 Roja</v>
      </c>
      <c r="F2" s="264"/>
      <c r="G2" s="263" t="str">
        <f>IF(G33=0,"",CONCATENATE(PREMIOS!$B15," ",PREMIOS!$B16))</f>
        <v>46 Blanca</v>
      </c>
      <c r="H2" s="264"/>
    </row>
    <row r="3" spans="1:17" ht="15" customHeight="1" thickBot="1" x14ac:dyDescent="0.4">
      <c r="C3" s="263"/>
      <c r="D3" s="264"/>
      <c r="E3" s="263"/>
      <c r="F3" s="264"/>
      <c r="G3" s="263"/>
      <c r="H3" s="264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26500</v>
      </c>
      <c r="D10" s="30">
        <f>IF(Vendedor7!$E$8="",0,Vendedor7!$E$8)</f>
        <v>0</v>
      </c>
      <c r="E10" s="180">
        <f>IF(Vendedor7!$C$12="",0,Vendedor7!$C$12)</f>
        <v>22300</v>
      </c>
      <c r="F10" s="30">
        <f>IF(Vendedor7!$E$12="",0,Vendedor7!$E$12)</f>
        <v>0</v>
      </c>
      <c r="G10" s="180">
        <f>IF(Vendedor7!$C$16="",0,Vendedor7!$C$16)</f>
        <v>36250</v>
      </c>
      <c r="H10" s="30">
        <f>IF(Vendedor7!$E$16="",0,Vendedor7!$E$16)</f>
        <v>200</v>
      </c>
      <c r="J10" s="42">
        <f t="shared" si="1"/>
        <v>85050</v>
      </c>
      <c r="K10" s="41">
        <f>J10*Vendedor7!J$16</f>
        <v>8505</v>
      </c>
      <c r="L10" s="42">
        <f t="shared" si="2"/>
        <v>0</v>
      </c>
      <c r="M10" s="42">
        <f t="shared" si="3"/>
        <v>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76545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2100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2100</v>
      </c>
      <c r="K12" s="41">
        <f>J12*Vendedor9!J$13</f>
        <v>210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1890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2000</v>
      </c>
      <c r="F16" s="30">
        <f>IF(Vendedor13!$E$12="",0,Vendedor13!$E$12)</f>
        <v>0</v>
      </c>
      <c r="G16" s="180">
        <f>IF(Vendedor13!$C$16="",0,Vendedor13!$C$16)</f>
        <v>3000</v>
      </c>
      <c r="H16" s="30">
        <f>IF(Vendedor13!$E$16="",0,Vendedor13!$E$16)</f>
        <v>0</v>
      </c>
      <c r="J16" s="42">
        <f t="shared" si="1"/>
        <v>6500</v>
      </c>
      <c r="K16" s="41">
        <f>J16*Vendedor13!J$13</f>
        <v>650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5850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36650</v>
      </c>
      <c r="D17" s="30">
        <f>IF(Vendedor14!$E$8="",0,Vendedor14!$E$8)</f>
        <v>100</v>
      </c>
      <c r="E17" s="180">
        <f>IF(Vendedor14!$C$12="",0,Vendedor14!$C$12)</f>
        <v>17300</v>
      </c>
      <c r="F17" s="30">
        <f>IF(Vendedor14!$E$12="",0,Vendedor14!$E$12)</f>
        <v>500</v>
      </c>
      <c r="G17" s="180">
        <f>IF(Vendedor14!$C$16="",0,Vendedor14!$C$16)</f>
        <v>26700</v>
      </c>
      <c r="H17" s="30">
        <f>IF(Vendedor14!$E$16="",0,Vendedor14!$E$16)</f>
        <v>0</v>
      </c>
      <c r="J17" s="42">
        <f t="shared" si="1"/>
        <v>80650</v>
      </c>
      <c r="K17" s="41">
        <f>J17*Vendedor14!J$17</f>
        <v>8065</v>
      </c>
      <c r="L17" s="42">
        <f t="shared" si="2"/>
        <v>600</v>
      </c>
      <c r="M17" s="42">
        <f t="shared" si="3"/>
        <v>600</v>
      </c>
      <c r="N17" s="42">
        <f t="shared" si="0"/>
        <v>132000</v>
      </c>
      <c r="O17" s="42">
        <f>Vendedor14!$F$8+Vendedor14!$F$12+Vendedor14!$F$16</f>
        <v>120000</v>
      </c>
      <c r="Q17" s="42">
        <f t="shared" si="4"/>
        <v>-47415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26350</v>
      </c>
      <c r="D18" s="30">
        <f>IF(Vendedor15!$E$8="",0,Vendedor15!$E$8)</f>
        <v>200</v>
      </c>
      <c r="E18" s="180">
        <f>IF(Vendedor15!$C$12="",0,Vendedor15!$C$12)</f>
        <v>26700</v>
      </c>
      <c r="F18" s="30">
        <f>IF(Vendedor15!$E$12="",0,Vendedor15!$E$12)</f>
        <v>400</v>
      </c>
      <c r="G18" s="180">
        <f>IF(Vendedor15!$C$16="",0,Vendedor15!$C$16)</f>
        <v>33150</v>
      </c>
      <c r="H18" s="30">
        <f>IF(Vendedor15!$E$16="",0,Vendedor15!$E$16)</f>
        <v>0</v>
      </c>
      <c r="J18" s="42">
        <f t="shared" ref="J18" si="5">+C18+E18+G18</f>
        <v>86200</v>
      </c>
      <c r="K18" s="41">
        <f>J18*Vendedor15!J$17</f>
        <v>8620</v>
      </c>
      <c r="L18" s="42">
        <f t="shared" si="2"/>
        <v>600</v>
      </c>
      <c r="M18" s="42">
        <f t="shared" si="3"/>
        <v>600</v>
      </c>
      <c r="N18" s="42">
        <f t="shared" si="0"/>
        <v>132000</v>
      </c>
      <c r="O18" s="42">
        <f>Vendedor15!$F$8+Vendedor15!$F$12+Vendedor15!$F$16</f>
        <v>120000</v>
      </c>
      <c r="Q18" s="42">
        <f t="shared" si="4"/>
        <v>-42420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93100</v>
      </c>
      <c r="D33" s="44">
        <f>IF(PREMIOS!E8&lt;&gt;0,SUM(D4:D32),0)</f>
        <v>300</v>
      </c>
      <c r="E33" s="43">
        <f>SUM(E4:E32)</f>
        <v>68300</v>
      </c>
      <c r="F33" s="44">
        <f>IF(PREMIOS!E12&lt;&gt;0,SUM(F4:F32),0)</f>
        <v>900</v>
      </c>
      <c r="G33" s="43">
        <f>SUM(G4:G32)</f>
        <v>99100</v>
      </c>
      <c r="H33" s="44">
        <f>IF(PREMIOS!E16&lt;&gt;0,SUM(H4:H32),0)</f>
        <v>0</v>
      </c>
      <c r="J33" s="45">
        <f>SUM(J4:J32)</f>
        <v>260500</v>
      </c>
      <c r="K33" s="45">
        <f>SUM(K7:K32)</f>
        <v>26050</v>
      </c>
      <c r="L33" s="95">
        <f>SUM(L7:L32)</f>
        <v>1200</v>
      </c>
      <c r="M33" s="95">
        <f>SUM(M7:M32)</f>
        <v>1400</v>
      </c>
      <c r="N33" s="95">
        <f>SUM(N4:N27)</f>
        <v>264000</v>
      </c>
      <c r="O33" s="95">
        <f>SUM(O4:O27)</f>
        <v>240000</v>
      </c>
      <c r="Q33" s="79">
        <f>SUM(Q4:Q32)</f>
        <v>-5550</v>
      </c>
    </row>
    <row r="34" spans="3:17" x14ac:dyDescent="0.35">
      <c r="D34" s="118">
        <f>IF(PREMIOS!$D8=PREMIOS!$J$10,D33*$G$38,IF(PREMIOS!$D8=PREMIOS!$J$11,D33*$F$38,IF(PREMIOS!$D8=PREMIOS!$J$12,0,"")))</f>
        <v>66000</v>
      </c>
      <c r="F34" s="118">
        <f>IF(PREMIOS!$D12=PREMIOS!$J$10,F33*$G$38,IF(PREMIOS!$D12=PREMIOS!$J$11,F33*$F$38,IF(PREMIOS!$D12=PREMIOS!$J$12,0,"")))</f>
        <v>198000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6" t="s">
        <v>90</v>
      </c>
      <c r="D36" s="276"/>
      <c r="F36" s="277" t="s">
        <v>94</v>
      </c>
      <c r="G36" s="277" t="s">
        <v>95</v>
      </c>
    </row>
    <row r="37" spans="3:17" ht="14.5" customHeight="1" x14ac:dyDescent="0.35">
      <c r="C37" s="47" t="s">
        <v>28</v>
      </c>
      <c r="D37" s="30">
        <f>+C33+E33+G33</f>
        <v>260500</v>
      </c>
      <c r="E37" s="43">
        <f>+D37-J4-J5-J6</f>
        <v>260500</v>
      </c>
      <c r="F37" s="278"/>
      <c r="G37" s="278"/>
    </row>
    <row r="38" spans="3:17" ht="15" thickBot="1" x14ac:dyDescent="0.4">
      <c r="C38" s="47" t="s">
        <v>33</v>
      </c>
      <c r="D38" s="30">
        <f>D37*10%</f>
        <v>26050</v>
      </c>
      <c r="E38" s="43">
        <f>+D38-K4-K5-K6</f>
        <v>26050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264000</v>
      </c>
    </row>
    <row r="40" spans="3:17" ht="15" thickBot="1" x14ac:dyDescent="0.4">
      <c r="C40" s="49" t="s">
        <v>4</v>
      </c>
      <c r="D40" s="80">
        <f>+D37-D38-D39</f>
        <v>-29550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-29550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N43"/>
  <sheetViews>
    <sheetView showGridLines="0" topLeftCell="A4" zoomScale="90" zoomScaleNormal="90" workbookViewId="0">
      <selection activeCell="K8" sqref="K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61" t="s">
        <v>113</v>
      </c>
      <c r="D1" s="262"/>
      <c r="E1" s="261" t="s">
        <v>98</v>
      </c>
      <c r="F1" s="262"/>
    </row>
    <row r="2" spans="1:14" ht="14.5" customHeight="1" x14ac:dyDescent="0.35">
      <c r="C2" s="263" t="str">
        <f>DigitaPRIMERA!C2</f>
        <v>00</v>
      </c>
      <c r="D2" s="264"/>
      <c r="E2" s="263">
        <f>DigitaPRIMERA!E2</f>
        <v>27</v>
      </c>
      <c r="F2" s="264"/>
    </row>
    <row r="3" spans="1:14" ht="14.5" customHeight="1" thickBot="1" x14ac:dyDescent="0.4">
      <c r="C3" s="263"/>
      <c r="D3" s="264"/>
      <c r="E3" s="263"/>
      <c r="F3" s="264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3200</v>
      </c>
      <c r="D4" s="78">
        <f>IF(Vendedor1!$E$19="",0,Vendedor1!$E$19)</f>
        <v>400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3200</v>
      </c>
      <c r="I4" s="41">
        <f>MROUND(H4*Vendedor1!J$9,50)</f>
        <v>400</v>
      </c>
      <c r="J4" s="42">
        <f>+D4+F4</f>
        <v>400</v>
      </c>
      <c r="K4" s="42">
        <f>+J4*85</f>
        <v>34000</v>
      </c>
      <c r="L4" s="42">
        <f>Vendedor1!$F$19+Vendedor1!$F$20</f>
        <v>32000</v>
      </c>
      <c r="N4" s="42">
        <f t="shared" ref="N4:N31" si="0">+H4-I4-L4</f>
        <v>-29200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3300</v>
      </c>
      <c r="F5" s="30">
        <f>IF(Vendedor2!$E$20="",0,Vendedor2!$E$20)</f>
        <v>0</v>
      </c>
      <c r="H5" s="42">
        <f t="shared" ref="H5:H31" si="1">+C5+E5</f>
        <v>3300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22150</v>
      </c>
      <c r="D8" s="30">
        <f>IF(Vendedor5!$E$19="",0,Vendedor5!$E$19)</f>
        <v>1700</v>
      </c>
      <c r="E8" s="180">
        <f>IF(Vendedor5!$C$20="",0,Vendedor5!$C$20)</f>
        <v>11200</v>
      </c>
      <c r="F8" s="30">
        <f>IF(Vendedor5!$E$20="",0,Vendedor5!$E$20)</f>
        <v>0</v>
      </c>
      <c r="H8" s="133">
        <f t="shared" si="1"/>
        <v>33350</v>
      </c>
      <c r="I8" s="148">
        <f>MROUND(H8*Vendedor5!J$11,50)</f>
        <v>4000</v>
      </c>
      <c r="J8" s="133">
        <f t="shared" si="2"/>
        <v>1700</v>
      </c>
      <c r="K8" s="133">
        <f t="shared" si="3"/>
        <v>144500</v>
      </c>
      <c r="L8" s="133">
        <f>Vendedor5!$F$19+Vendedor5!$F$20</f>
        <v>136000</v>
      </c>
      <c r="M8" s="155"/>
      <c r="N8" s="133">
        <f t="shared" si="0"/>
        <v>-106650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41900</v>
      </c>
      <c r="D10" s="30">
        <f>IF(Vendedor7!$E$19="",0,Vendedor7!$E$19)</f>
        <v>1750</v>
      </c>
      <c r="E10" s="180">
        <f>IF(Vendedor7!$C$20="",0,Vendedor7!$C$20)</f>
        <v>26950</v>
      </c>
      <c r="F10" s="30">
        <f>IF(Vendedor7!$E$20="",0,Vendedor7!$E$20)</f>
        <v>0</v>
      </c>
      <c r="H10" s="42">
        <f t="shared" si="1"/>
        <v>68850</v>
      </c>
      <c r="I10" s="41">
        <f>MROUND(H10*Vendedor7!J$14,50)</f>
        <v>8250</v>
      </c>
      <c r="J10" s="42">
        <f t="shared" si="2"/>
        <v>1750</v>
      </c>
      <c r="K10" s="42">
        <f t="shared" si="3"/>
        <v>148750</v>
      </c>
      <c r="L10" s="42">
        <f>Vendedor7!$F$19+Vendedor7!$F$20</f>
        <v>148750</v>
      </c>
      <c r="N10" s="42">
        <f t="shared" si="0"/>
        <v>-88150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25450</v>
      </c>
      <c r="D12" s="30">
        <f>IF(Vendedor9!$E$19="",0,Vendedor9!$E$19)</f>
        <v>500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25450</v>
      </c>
      <c r="I12" s="148">
        <f>MROUND(H12*Vendedor9!J$11,50)</f>
        <v>3050</v>
      </c>
      <c r="J12" s="133">
        <f t="shared" si="2"/>
        <v>500</v>
      </c>
      <c r="K12" s="133">
        <f t="shared" si="3"/>
        <v>42500</v>
      </c>
      <c r="L12" s="133">
        <f>Vendedor9!$F$19+Vendedor9!$F$20</f>
        <v>42500</v>
      </c>
      <c r="M12" s="155"/>
      <c r="N12" s="133">
        <f t="shared" si="0"/>
        <v>-20100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83600</v>
      </c>
      <c r="D17" s="30">
        <f>IF(Vendedor14!$E$19="",0,Vendedor14!$E$19)</f>
        <v>3450</v>
      </c>
      <c r="E17" s="180">
        <f>IF(Vendedor14!$C$20="",0,Vendedor14!$C$20)</f>
        <v>35850</v>
      </c>
      <c r="F17" s="30">
        <f>IF(Vendedor14!$E$20="",0,Vendedor14!$E$20)</f>
        <v>0</v>
      </c>
      <c r="H17" s="42">
        <f t="shared" si="1"/>
        <v>119450</v>
      </c>
      <c r="I17" s="41">
        <f>MROUND(H17*Vendedor14!J$15,50)</f>
        <v>14350</v>
      </c>
      <c r="J17" s="42">
        <f t="shared" si="2"/>
        <v>3450</v>
      </c>
      <c r="K17" s="42">
        <f t="shared" si="3"/>
        <v>293250</v>
      </c>
      <c r="L17" s="42">
        <f>Vendedor14!$F$19+Vendedor14!$F$20</f>
        <v>293250</v>
      </c>
      <c r="N17" s="42">
        <f t="shared" si="0"/>
        <v>-188150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55700</v>
      </c>
      <c r="D18" s="30">
        <f>IF(Vendedor15!$E$19="",0,Vendedor15!$E$19)</f>
        <v>3200</v>
      </c>
      <c r="E18" s="180">
        <f>IF(Vendedor15!$C$20="",0,Vendedor15!$C$20)</f>
        <v>67550</v>
      </c>
      <c r="F18" s="30">
        <f>IF(Vendedor15!$E$20="",0,Vendedor15!$E$20)</f>
        <v>800</v>
      </c>
      <c r="H18" s="42">
        <f t="shared" si="1"/>
        <v>123250</v>
      </c>
      <c r="I18" s="41">
        <f>MROUND(H18*Vendedor15!J$15,50)</f>
        <v>14800</v>
      </c>
      <c r="J18" s="42">
        <f t="shared" si="2"/>
        <v>4000</v>
      </c>
      <c r="K18" s="42">
        <f t="shared" si="3"/>
        <v>340000</v>
      </c>
      <c r="L18" s="42">
        <f>Vendedor15!$F$19+Vendedor15!$F$20</f>
        <v>340000</v>
      </c>
      <c r="N18" s="42">
        <f t="shared" si="0"/>
        <v>-231550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-4040</v>
      </c>
      <c r="D27" s="50">
        <f>IF(Vendedor24!$E$19="",0,Vendedor24!$E$19)</f>
        <v>-3021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-4040</v>
      </c>
      <c r="I27" s="41">
        <f>IF(H27*Vendedor24!J$9&gt;0,MROUND(H27*Vendedor24!J$9,50),MROUND(H27*Vendedor24!J$9,-50))</f>
        <v>-500</v>
      </c>
      <c r="J27" s="42">
        <f t="shared" si="2"/>
        <v>-3021</v>
      </c>
      <c r="K27" s="42">
        <f t="shared" si="3"/>
        <v>-256785</v>
      </c>
      <c r="L27" s="42">
        <f>Vendedor24!$F$19+Vendedor24!$F$20</f>
        <v>-256785</v>
      </c>
      <c r="N27" s="42">
        <f t="shared" si="0"/>
        <v>253245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227960</v>
      </c>
      <c r="D32" s="44">
        <f>SUM(D4:D31)</f>
        <v>7979</v>
      </c>
      <c r="E32" s="43">
        <f>SUM(E4:E31)</f>
        <v>144850</v>
      </c>
      <c r="F32" s="44">
        <f>SUM(F4:F31)</f>
        <v>800</v>
      </c>
      <c r="H32" s="95">
        <f>SUM(H4:H31)</f>
        <v>372810</v>
      </c>
      <c r="I32" s="45">
        <f>SUM(I7:I31)</f>
        <v>43950</v>
      </c>
      <c r="J32" s="95"/>
      <c r="K32" s="95">
        <f>SUM(K4:K31)</f>
        <v>746215</v>
      </c>
      <c r="L32" s="95">
        <f>SUM(L4:L31)</f>
        <v>735715</v>
      </c>
      <c r="N32" s="79">
        <f>SUM(N4:N31)</f>
        <v>-407705</v>
      </c>
    </row>
    <row r="33" spans="3:6" x14ac:dyDescent="0.35">
      <c r="D33" s="99">
        <f>+D32*85</f>
        <v>678215</v>
      </c>
      <c r="F33" s="99">
        <f>+F32*85</f>
        <v>68000</v>
      </c>
    </row>
    <row r="34" spans="3:6" ht="15" thickBot="1" x14ac:dyDescent="0.4"/>
    <row r="35" spans="3:6" x14ac:dyDescent="0.35">
      <c r="C35" s="273" t="s">
        <v>89</v>
      </c>
      <c r="D35" s="273"/>
    </row>
    <row r="36" spans="3:6" x14ac:dyDescent="0.35">
      <c r="C36" s="47" t="s">
        <v>28</v>
      </c>
      <c r="D36" s="30">
        <f>+C32+E32</f>
        <v>372810</v>
      </c>
      <c r="E36" s="43">
        <f>+D36-H4-H5-H6</f>
        <v>366310</v>
      </c>
    </row>
    <row r="37" spans="3:6" x14ac:dyDescent="0.35">
      <c r="C37" s="47" t="s">
        <v>33</v>
      </c>
      <c r="D37" s="48">
        <f>D36*13%</f>
        <v>48465.3</v>
      </c>
      <c r="E37">
        <f>+D37-I4-I5-I6</f>
        <v>47615.3</v>
      </c>
    </row>
    <row r="38" spans="3:6" ht="15" thickBot="1" x14ac:dyDescent="0.4">
      <c r="C38" s="47" t="s">
        <v>30</v>
      </c>
      <c r="D38" s="30">
        <f>SUM(K4:K27)</f>
        <v>746215</v>
      </c>
    </row>
    <row r="39" spans="3:6" ht="15" thickBot="1" x14ac:dyDescent="0.4">
      <c r="C39" s="49" t="s">
        <v>4</v>
      </c>
      <c r="D39" s="80">
        <f>+D36-D37-D38</f>
        <v>-421870.3</v>
      </c>
      <c r="F39" s="98">
        <f>+N32-D39</f>
        <v>14165.299999999988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-421870.3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61" t="s">
        <v>132</v>
      </c>
      <c r="D1" s="262"/>
      <c r="E1" s="261" t="s">
        <v>133</v>
      </c>
      <c r="F1" s="262"/>
      <c r="G1" s="261" t="s">
        <v>134</v>
      </c>
      <c r="H1" s="262"/>
    </row>
    <row r="2" spans="1:16" x14ac:dyDescent="0.35">
      <c r="C2" s="263">
        <f>DigitaHONDURAS!C2</f>
        <v>16</v>
      </c>
      <c r="D2" s="264"/>
      <c r="E2" s="263">
        <f>DigitaHONDURAS!E2</f>
        <v>83</v>
      </c>
      <c r="F2" s="264"/>
      <c r="G2" s="263">
        <f>DigitaHONDURAS!G2</f>
        <v>93</v>
      </c>
      <c r="H2" s="264"/>
    </row>
    <row r="3" spans="1:16" x14ac:dyDescent="0.35">
      <c r="C3" s="274"/>
      <c r="D3" s="275"/>
      <c r="E3" s="274"/>
      <c r="F3" s="275"/>
      <c r="G3" s="274"/>
      <c r="H3" s="275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48100</v>
      </c>
      <c r="D10" s="30">
        <f>IF(Vendedor7!$E$21="",0,Vendedor7!$E$21)</f>
        <v>1000</v>
      </c>
      <c r="E10" s="180">
        <f>IF(Vendedor7!$C$22="",0,Vendedor7!$C$22)</f>
        <v>20750</v>
      </c>
      <c r="F10" s="30">
        <f>IF(Vendedor7!$E$22="",0,Vendedor7!$E$22)</f>
        <v>0</v>
      </c>
      <c r="G10" s="180">
        <f>IF(Vendedor7!$C$23="",0,Vendedor7!$C$23)</f>
        <v>21600</v>
      </c>
      <c r="H10" s="30">
        <f>IF(Vendedor7!$E$23="",0,Vendedor7!$E$23)</f>
        <v>0</v>
      </c>
      <c r="J10" s="42">
        <f t="shared" si="0"/>
        <v>90450</v>
      </c>
      <c r="K10" s="41">
        <f>MROUND(J10*Vendedor7!J$14,50)</f>
        <v>10850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-5400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40900</v>
      </c>
      <c r="D17" s="30">
        <f>IF(Vendedor14!$E$21="",0,Vendedor14!$E$21)</f>
        <v>100</v>
      </c>
      <c r="E17" s="180">
        <f>IF(Vendedor14!$C$22="",0,Vendedor14!$C$22)</f>
        <v>13200</v>
      </c>
      <c r="F17" s="30">
        <f>IF(Vendedor14!$E$22="",0,Vendedor14!$E$22)</f>
        <v>0</v>
      </c>
      <c r="G17" s="180">
        <f>IF(Vendedor14!$C$23="",0,Vendedor14!$C$23)</f>
        <v>14900</v>
      </c>
      <c r="H17" s="30">
        <f>IF(Vendedor14!$E$23="",0,Vendedor14!$E$23)</f>
        <v>100</v>
      </c>
      <c r="J17" s="42">
        <f t="shared" si="0"/>
        <v>69000</v>
      </c>
      <c r="K17" s="41">
        <f>MROUND(J17*Vendedor14!J$15,50)</f>
        <v>8300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43700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27750</v>
      </c>
      <c r="D18" s="30">
        <f>IF(Vendedor15!$E$21="",0,Vendedor15!$E$21)</f>
        <v>200</v>
      </c>
      <c r="E18" s="180">
        <f>IF(Vendedor15!$C$22="",0,Vendedor15!$C$22)</f>
        <v>6800</v>
      </c>
      <c r="F18" s="30">
        <f>IF(Vendedor15!$E$22="",0,Vendedor15!$E$22)</f>
        <v>0</v>
      </c>
      <c r="G18" s="180">
        <f>IF(Vendedor15!$C$23="",0,Vendedor15!$C$23)</f>
        <v>1200</v>
      </c>
      <c r="H18" s="30">
        <f>IF(Vendedor15!$E$23="",0,Vendedor15!$E$23)</f>
        <v>0</v>
      </c>
      <c r="J18" s="42">
        <f t="shared" si="0"/>
        <v>35750</v>
      </c>
      <c r="K18" s="41">
        <f>MROUND(J18*Vendedor15!J$15,50)</f>
        <v>4300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14450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116750</v>
      </c>
      <c r="D32" s="44">
        <f t="shared" si="8"/>
        <v>1300</v>
      </c>
      <c r="E32" s="43">
        <f t="shared" si="8"/>
        <v>40750</v>
      </c>
      <c r="F32" s="44">
        <f t="shared" si="8"/>
        <v>0</v>
      </c>
      <c r="G32" s="43">
        <f t="shared" si="8"/>
        <v>37700</v>
      </c>
      <c r="H32" s="44">
        <f t="shared" si="8"/>
        <v>100</v>
      </c>
      <c r="J32" s="95">
        <f>SUM(J4:J31)</f>
        <v>195200</v>
      </c>
      <c r="K32" s="45">
        <f>SUM(K7:K31)</f>
        <v>23450</v>
      </c>
      <c r="L32" s="95"/>
      <c r="M32" s="95">
        <f>SUM(M4:M31)</f>
        <v>119000</v>
      </c>
      <c r="N32" s="95">
        <f>SUM(N4:N31)</f>
        <v>119000</v>
      </c>
      <c r="P32" s="79">
        <f>SUM(P4:P31)</f>
        <v>52750</v>
      </c>
    </row>
    <row r="33" spans="3:8" x14ac:dyDescent="0.35">
      <c r="D33" s="99">
        <f>+D32*85</f>
        <v>110500</v>
      </c>
      <c r="F33" s="99">
        <f>+F32*85</f>
        <v>0</v>
      </c>
      <c r="H33" s="99">
        <f>+H32*85</f>
        <v>8500</v>
      </c>
    </row>
    <row r="34" spans="3:8" ht="15" thickBot="1" x14ac:dyDescent="0.4"/>
    <row r="35" spans="3:8" x14ac:dyDescent="0.35">
      <c r="C35" s="273" t="s">
        <v>89</v>
      </c>
      <c r="D35" s="273"/>
    </row>
    <row r="36" spans="3:8" x14ac:dyDescent="0.35">
      <c r="C36" s="47" t="s">
        <v>28</v>
      </c>
      <c r="D36" s="30">
        <f>+C32+E32+G32</f>
        <v>195200</v>
      </c>
      <c r="E36" s="43">
        <f>+D36-J4-J5-J6</f>
        <v>195200</v>
      </c>
    </row>
    <row r="37" spans="3:8" x14ac:dyDescent="0.35">
      <c r="C37" s="47" t="s">
        <v>33</v>
      </c>
      <c r="D37" s="48">
        <f>D36*13%</f>
        <v>25376</v>
      </c>
      <c r="E37">
        <f>+D37-K4-K5-K6</f>
        <v>25376</v>
      </c>
    </row>
    <row r="38" spans="3:8" ht="15" thickBot="1" x14ac:dyDescent="0.4">
      <c r="C38" s="47" t="s">
        <v>30</v>
      </c>
      <c r="D38" s="30">
        <f>SUM(M4:M27)</f>
        <v>119000</v>
      </c>
      <c r="G38" s="100"/>
    </row>
    <row r="39" spans="3:8" ht="15" thickBot="1" x14ac:dyDescent="0.4">
      <c r="C39" s="49" t="s">
        <v>4</v>
      </c>
      <c r="D39" s="80">
        <f>+D36-D37-D38</f>
        <v>50824</v>
      </c>
      <c r="F39" s="98">
        <f>+P32-D39</f>
        <v>1926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50824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61" t="s">
        <v>114</v>
      </c>
      <c r="D1" s="262"/>
      <c r="E1" s="261" t="s">
        <v>115</v>
      </c>
      <c r="F1" s="262"/>
    </row>
    <row r="2" spans="1:14" x14ac:dyDescent="0.35">
      <c r="C2" s="263">
        <f>DigitaDOMINICANA!C2</f>
        <v>85</v>
      </c>
      <c r="D2" s="264"/>
      <c r="E2" s="263">
        <f>DigitaDOMINICANA!E2</f>
        <v>84</v>
      </c>
      <c r="F2" s="264"/>
    </row>
    <row r="3" spans="1:14" ht="15" thickBot="1" x14ac:dyDescent="0.4">
      <c r="C3" s="263"/>
      <c r="D3" s="264"/>
      <c r="E3" s="263"/>
      <c r="F3" s="264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27000</v>
      </c>
      <c r="D10" s="30">
        <f>IF(Vendedor7!$E$24="",0,Vendedor7!$E$24)</f>
        <v>0</v>
      </c>
      <c r="E10" s="180">
        <f>IF(Vendedor7!$C$25="",0,Vendedor7!$C$25)</f>
        <v>28000</v>
      </c>
      <c r="F10" s="30">
        <f>IF(Vendedor7!$E$25="",0,Vendedor7!$E$25)</f>
        <v>0</v>
      </c>
      <c r="H10" s="42">
        <f t="shared" si="1"/>
        <v>55000</v>
      </c>
      <c r="I10" s="41">
        <f>MROUND(H10*Vendedor7!J$14,50)</f>
        <v>6600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48400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27000</v>
      </c>
      <c r="D32" s="44">
        <f>SUM(D4:D31)</f>
        <v>0</v>
      </c>
      <c r="E32" s="43">
        <f>SUM(E4:E31)</f>
        <v>28000</v>
      </c>
      <c r="F32" s="44">
        <f>SUM(F4:F31)</f>
        <v>0</v>
      </c>
      <c r="H32" s="95">
        <f>SUM(H4:H31)</f>
        <v>55000</v>
      </c>
      <c r="I32" s="45">
        <f>SUM(I7:I31)</f>
        <v>6600</v>
      </c>
      <c r="J32" s="95"/>
      <c r="K32" s="95">
        <f>SUM(K4:K31)</f>
        <v>0</v>
      </c>
      <c r="L32" s="95">
        <f>SUM(L4:L31)</f>
        <v>0</v>
      </c>
      <c r="N32" s="79">
        <f>SUM(N4:N31)</f>
        <v>48400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73" t="s">
        <v>89</v>
      </c>
      <c r="D35" s="273"/>
    </row>
    <row r="36" spans="3:6" x14ac:dyDescent="0.35">
      <c r="C36" s="47" t="s">
        <v>28</v>
      </c>
      <c r="D36" s="30">
        <f>+C32+E32</f>
        <v>55000</v>
      </c>
      <c r="E36" s="43">
        <f>+D36-H4-H5-H6</f>
        <v>55000</v>
      </c>
    </row>
    <row r="37" spans="3:6" x14ac:dyDescent="0.35">
      <c r="C37" s="47" t="s">
        <v>33</v>
      </c>
      <c r="D37" s="48">
        <f>D36*13%</f>
        <v>7150</v>
      </c>
      <c r="E37">
        <f>+D37-I4-I5-I6</f>
        <v>7150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47850</v>
      </c>
      <c r="F39" s="98">
        <f>+N32-D39</f>
        <v>550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47850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61" t="s">
        <v>109</v>
      </c>
      <c r="D1" s="262"/>
    </row>
    <row r="2" spans="1:12" x14ac:dyDescent="0.35">
      <c r="C2" s="263">
        <f>DigitaPANAMENA!C2</f>
        <v>64</v>
      </c>
      <c r="D2" s="264"/>
    </row>
    <row r="3" spans="1:12" ht="15" thickBot="1" x14ac:dyDescent="0.4">
      <c r="C3" s="263"/>
      <c r="D3" s="264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13350</v>
      </c>
      <c r="D10" s="30">
        <f>IF(Vendedor7!$E$26="",0,Vendedor7!$E$26)</f>
        <v>0</v>
      </c>
      <c r="F10" s="42">
        <f t="shared" si="1"/>
        <v>13350</v>
      </c>
      <c r="G10" s="41">
        <f>MROUND(F10*Vendedor7!J$14,50)</f>
        <v>1600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11750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13350</v>
      </c>
      <c r="D32" s="44">
        <f>SUM(D4:D31)</f>
        <v>0</v>
      </c>
      <c r="F32" s="95">
        <f>SUM(F4:F31)</f>
        <v>13350</v>
      </c>
      <c r="G32" s="95">
        <f>SUM(G7:G31)</f>
        <v>1600</v>
      </c>
      <c r="H32" s="95"/>
      <c r="I32" s="95">
        <f>SUM(I4:I31)</f>
        <v>0</v>
      </c>
      <c r="J32" s="95">
        <f>SUM(J4:J31)</f>
        <v>0</v>
      </c>
      <c r="L32" s="91">
        <f>SUM(L4:L31)</f>
        <v>11750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73" t="s">
        <v>89</v>
      </c>
      <c r="D35" s="273"/>
    </row>
    <row r="36" spans="3:6" x14ac:dyDescent="0.35">
      <c r="C36" s="47" t="s">
        <v>28</v>
      </c>
      <c r="D36" s="30">
        <f>+C32</f>
        <v>13350</v>
      </c>
      <c r="F36" s="43">
        <f>+D36-F4-F5-F6</f>
        <v>13350</v>
      </c>
    </row>
    <row r="37" spans="3:6" x14ac:dyDescent="0.35">
      <c r="C37" s="47" t="s">
        <v>33</v>
      </c>
      <c r="D37" s="30">
        <f>D36*14%</f>
        <v>1869.0000000000002</v>
      </c>
      <c r="E37" s="43"/>
      <c r="F37" s="43">
        <f>+D37-G4-G5-G6</f>
        <v>1869.0000000000002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11481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11481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9" t="str">
        <f ca="1">CONCATENATE("Cuentas ALI ",TEXT('Ctas Banca'!I5,"dd-mm-yyyy"))</f>
        <v>Cuentas ALI 16-04-2026</v>
      </c>
      <c r="B1" s="279"/>
      <c r="C1" s="279"/>
      <c r="D1" s="279"/>
      <c r="E1" s="279"/>
      <c r="F1" s="279"/>
      <c r="G1" s="279"/>
      <c r="H1" s="21"/>
      <c r="I1" s="21"/>
    </row>
    <row r="2" spans="1:9" ht="15" thickBot="1" x14ac:dyDescent="0.4">
      <c r="A2" s="280" t="s">
        <v>137</v>
      </c>
      <c r="B2" s="280"/>
      <c r="C2" s="280"/>
      <c r="D2" s="280"/>
      <c r="E2" s="280"/>
      <c r="F2" s="280"/>
      <c r="G2" s="280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1375150</v>
      </c>
      <c r="C4" s="157">
        <f>HojaNICA!M32</f>
        <v>165000</v>
      </c>
      <c r="D4" s="150">
        <f>HojaNICA!E37</f>
        <v>178726</v>
      </c>
      <c r="E4" s="150">
        <f>HojaNICA!P32</f>
        <v>483000</v>
      </c>
      <c r="F4" s="150">
        <f>HojaNICA!O32</f>
        <v>484500</v>
      </c>
      <c r="G4" s="151">
        <f t="shared" ref="G4:G10" si="0">+D4-C4+F4-E4</f>
        <v>15226</v>
      </c>
      <c r="H4" s="21"/>
      <c r="I4" s="182"/>
    </row>
    <row r="5" spans="1:9" x14ac:dyDescent="0.35">
      <c r="A5" s="28" t="s">
        <v>19</v>
      </c>
      <c r="B5" s="156">
        <f>HojaTICA!$E$36</f>
        <v>1506200</v>
      </c>
      <c r="C5" s="157">
        <f>HojaTICA!K32</f>
        <v>180750</v>
      </c>
      <c r="D5" s="150">
        <f>HojaTICA!E37</f>
        <v>195831</v>
      </c>
      <c r="E5" s="150">
        <f>HojaTICA!N32</f>
        <v>1190000</v>
      </c>
      <c r="F5" s="150">
        <f>HojaTICA!D38</f>
        <v>1190000</v>
      </c>
      <c r="G5" s="151">
        <f t="shared" si="0"/>
        <v>15081</v>
      </c>
      <c r="H5" s="21"/>
      <c r="I5" s="182"/>
    </row>
    <row r="6" spans="1:9" x14ac:dyDescent="0.35">
      <c r="A6" s="28" t="s">
        <v>125</v>
      </c>
      <c r="B6" s="156">
        <f>HojaREVENTADO!$E$37</f>
        <v>260500</v>
      </c>
      <c r="C6" s="157">
        <f>HojaREVENTADO!K33</f>
        <v>26050</v>
      </c>
      <c r="D6" s="150">
        <f>HojaREVENTADO!E38</f>
        <v>26050</v>
      </c>
      <c r="E6" s="150">
        <f>HojaREVENTADO!O33</f>
        <v>240000</v>
      </c>
      <c r="F6" s="150">
        <f>HojaREVENTADO!N33</f>
        <v>264000</v>
      </c>
      <c r="G6" s="151">
        <f t="shared" si="0"/>
        <v>24000</v>
      </c>
      <c r="H6" s="21"/>
      <c r="I6" s="182"/>
    </row>
    <row r="7" spans="1:9" x14ac:dyDescent="0.35">
      <c r="A7" s="28" t="s">
        <v>96</v>
      </c>
      <c r="B7" s="156">
        <f>HojaPrimera!$E$36</f>
        <v>366310</v>
      </c>
      <c r="C7" s="157">
        <f>HojaPrimera!I32</f>
        <v>43950</v>
      </c>
      <c r="D7" s="150">
        <f>HojaPrimera!E37</f>
        <v>47615.3</v>
      </c>
      <c r="E7" s="150">
        <f>HojaPrimera!L32</f>
        <v>735715</v>
      </c>
      <c r="F7" s="150">
        <f>HojaPrimera!K32</f>
        <v>746215</v>
      </c>
      <c r="G7" s="151">
        <f t="shared" si="0"/>
        <v>14165.300000000047</v>
      </c>
      <c r="H7" s="21"/>
      <c r="I7" s="21"/>
    </row>
    <row r="8" spans="1:9" x14ac:dyDescent="0.35">
      <c r="A8" s="28" t="s">
        <v>104</v>
      </c>
      <c r="B8" s="156">
        <f>HojaHonduras!$E$36</f>
        <v>195200</v>
      </c>
      <c r="C8" s="157">
        <f>HojaHonduras!K32</f>
        <v>23450</v>
      </c>
      <c r="D8" s="150">
        <f>HojaHonduras!E37</f>
        <v>25376</v>
      </c>
      <c r="E8" s="150">
        <f>HojaHonduras!N32</f>
        <v>119000</v>
      </c>
      <c r="F8" s="150">
        <f>HojaHonduras!M32</f>
        <v>119000</v>
      </c>
      <c r="G8" s="151">
        <f t="shared" si="0"/>
        <v>1926</v>
      </c>
      <c r="H8" s="21"/>
      <c r="I8" s="21"/>
    </row>
    <row r="9" spans="1:9" x14ac:dyDescent="0.35">
      <c r="A9" s="28" t="s">
        <v>20</v>
      </c>
      <c r="B9" s="156">
        <f>HojaDominicana!$E$36</f>
        <v>55000</v>
      </c>
      <c r="C9" s="157">
        <f>HojaDominicana!I32</f>
        <v>6600</v>
      </c>
      <c r="D9" s="150">
        <f>HojaDominicana!E37</f>
        <v>7150</v>
      </c>
      <c r="E9" s="150">
        <f>HojaDominicana!L32</f>
        <v>0</v>
      </c>
      <c r="F9" s="150">
        <f>HojaDominicana!K32</f>
        <v>0</v>
      </c>
      <c r="G9" s="151">
        <f t="shared" si="0"/>
        <v>550</v>
      </c>
      <c r="H9" s="21"/>
      <c r="I9" s="21"/>
    </row>
    <row r="10" spans="1:9" ht="15" thickBot="1" x14ac:dyDescent="0.4">
      <c r="A10" s="167" t="s">
        <v>21</v>
      </c>
      <c r="B10" s="168">
        <f>HojaPANA!F36</f>
        <v>13350</v>
      </c>
      <c r="C10" s="169">
        <f>HojaPANA!G32</f>
        <v>1600</v>
      </c>
      <c r="D10" s="170">
        <f>HojaPANA!F37</f>
        <v>1869.0000000000002</v>
      </c>
      <c r="E10" s="170">
        <f>HojaPANA!J32</f>
        <v>0</v>
      </c>
      <c r="F10" s="170">
        <f>HojaPANA!I32</f>
        <v>0</v>
      </c>
      <c r="G10" s="171">
        <f t="shared" si="0"/>
        <v>269.00000000000023</v>
      </c>
      <c r="H10" s="21"/>
      <c r="I10" s="21"/>
    </row>
    <row r="11" spans="1:9" ht="19" thickBot="1" x14ac:dyDescent="0.5">
      <c r="A11" s="174" t="s">
        <v>32</v>
      </c>
      <c r="B11" s="175">
        <f>SUM(B4:B10)</f>
        <v>3771710</v>
      </c>
      <c r="C11" s="175">
        <f>SUM(C4:C10)</f>
        <v>447400</v>
      </c>
      <c r="D11" s="175">
        <f t="shared" ref="D11:F11" si="1">SUM(D4:D10)</f>
        <v>482617.3</v>
      </c>
      <c r="E11" s="175">
        <f t="shared" si="1"/>
        <v>2767715</v>
      </c>
      <c r="F11" s="175">
        <f t="shared" si="1"/>
        <v>2803715</v>
      </c>
      <c r="G11" s="176">
        <f>SUM(G4:G10)</f>
        <v>71217.300000000047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56217.300000000047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80" t="s">
        <v>136</v>
      </c>
      <c r="D14" s="280"/>
      <c r="E14" s="280"/>
      <c r="F14" s="280"/>
      <c r="G14" s="280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210100</v>
      </c>
      <c r="E16" s="157">
        <f>+Vendedor1!D21</f>
        <v>27313</v>
      </c>
      <c r="F16" s="158">
        <f>IF(D16&lt;&gt;0,15000,0)</f>
        <v>15000</v>
      </c>
      <c r="G16" s="151">
        <f>+E16-F16</f>
        <v>12313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183950</v>
      </c>
      <c r="E17" s="157">
        <f>+Vendedor2!D21</f>
        <v>23913.5</v>
      </c>
      <c r="F17" s="158">
        <f>IF(D17&lt;&gt;0,15000,0)</f>
        <v>15000</v>
      </c>
      <c r="G17" s="151">
        <f>+E17-F17</f>
        <v>8913.5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394050</v>
      </c>
      <c r="E19" s="159">
        <f>SUM(E16:E18)</f>
        <v>51226.5</v>
      </c>
      <c r="F19" s="160">
        <f>SUM(F16:F18)</f>
        <v>30000</v>
      </c>
      <c r="G19" s="161">
        <f>SUM(G16:G18)</f>
        <v>21226.5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4040</v>
      </c>
      <c r="E22" s="157">
        <f>-Vendedor24!D27</f>
        <v>484.79999999999995</v>
      </c>
      <c r="F22" s="158">
        <f>-Vendedor24!F27</f>
        <v>256785</v>
      </c>
      <c r="G22" s="151">
        <f>+D22-E22-F22</f>
        <v>-253229.8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-175785.99999999994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59"/>
  <dimension ref="A2:O16"/>
  <sheetViews>
    <sheetView showGridLines="0" topLeftCell="A2" zoomScaleNormal="100" workbookViewId="0">
      <selection activeCell="K16" sqref="K16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.54296875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81" t="str">
        <f ca="1">CONCATENATE("Tiempos Pana ",TEXT(I5,"dd-mm-yyyy"))</f>
        <v>Tiempos Pana 16-04-2026</v>
      </c>
      <c r="B2" s="281"/>
      <c r="C2" s="281"/>
      <c r="D2" s="281"/>
      <c r="E2" s="281"/>
      <c r="F2" s="281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1435200</v>
      </c>
      <c r="C5" s="150">
        <f>HojaNICA!D37</f>
        <v>186576</v>
      </c>
      <c r="D5" s="150">
        <f>HojaNICA!D38</f>
        <v>484500</v>
      </c>
      <c r="E5" s="150"/>
      <c r="F5" s="151">
        <f>+B5-C5-D5+E5</f>
        <v>764124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1833700</v>
      </c>
      <c r="C6" s="150">
        <f>HojaTICA!D37</f>
        <v>238381</v>
      </c>
      <c r="D6" s="150">
        <f>HojaTICA!D38</f>
        <v>1190000</v>
      </c>
      <c r="E6" s="150"/>
      <c r="F6" s="151">
        <f t="shared" ref="F6:F11" si="0">+B6-C6-D6+E6</f>
        <v>405319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260500</v>
      </c>
      <c r="C7" s="150">
        <f>HojaREVENTADO!D38</f>
        <v>26050</v>
      </c>
      <c r="D7" s="150">
        <f>HojaREVENTADO!D39</f>
        <v>264000</v>
      </c>
      <c r="E7" s="150"/>
      <c r="F7" s="151">
        <f t="shared" si="0"/>
        <v>-29550</v>
      </c>
    </row>
    <row r="8" spans="1:15" x14ac:dyDescent="0.35">
      <c r="A8" s="47" t="s">
        <v>96</v>
      </c>
      <c r="B8" s="150">
        <f>HojaPrimera!$D36</f>
        <v>372810</v>
      </c>
      <c r="C8" s="150">
        <f>HojaPrimera!$D37</f>
        <v>48465.3</v>
      </c>
      <c r="D8" s="150">
        <f>HojaPrimera!$D38</f>
        <v>746215</v>
      </c>
      <c r="E8" s="150"/>
      <c r="F8" s="151">
        <f t="shared" si="0"/>
        <v>-421870.3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195200</v>
      </c>
      <c r="C9" s="150">
        <f>HojaHonduras!$D37</f>
        <v>25376</v>
      </c>
      <c r="D9" s="150">
        <f>HojaHonduras!$D38</f>
        <v>119000</v>
      </c>
      <c r="E9" s="150"/>
      <c r="F9" s="151">
        <f t="shared" si="0"/>
        <v>50824</v>
      </c>
      <c r="H9" s="250">
        <f>+K12-K10-H6</f>
        <v>817201.89999999991</v>
      </c>
    </row>
    <row r="10" spans="1:15" ht="15" thickBot="1" x14ac:dyDescent="0.4">
      <c r="A10" s="47" t="s">
        <v>20</v>
      </c>
      <c r="B10" s="150">
        <f>HojaDominicana!$D36</f>
        <v>55000</v>
      </c>
      <c r="C10" s="150">
        <f>HojaDominicana!$D37</f>
        <v>7150</v>
      </c>
      <c r="D10" s="150">
        <f>HojaDominicana!$D38</f>
        <v>0</v>
      </c>
      <c r="E10" s="150"/>
      <c r="F10" s="151">
        <f t="shared" si="0"/>
        <v>47850</v>
      </c>
      <c r="H10" s="154"/>
      <c r="J10" t="s">
        <v>148</v>
      </c>
      <c r="K10" s="252">
        <v>2170542.7600000002</v>
      </c>
    </row>
    <row r="11" spans="1:15" ht="15" thickBot="1" x14ac:dyDescent="0.4">
      <c r="A11" s="47" t="s">
        <v>21</v>
      </c>
      <c r="B11" s="150">
        <f>HojaPANA!$D36</f>
        <v>13350</v>
      </c>
      <c r="C11" s="150">
        <f>HojaPANA!$D37</f>
        <v>1869.0000000000002</v>
      </c>
      <c r="D11" s="165">
        <f>HojaPANA!$D38</f>
        <v>0</v>
      </c>
      <c r="E11" s="150"/>
      <c r="F11" s="151">
        <f t="shared" si="0"/>
        <v>11481</v>
      </c>
      <c r="H11" s="214" t="s">
        <v>154</v>
      </c>
      <c r="J11" t="s">
        <v>158</v>
      </c>
      <c r="K11" s="253">
        <f>+K10+F12+H6</f>
        <v>2998720.46</v>
      </c>
    </row>
    <row r="12" spans="1:15" ht="16" thickBot="1" x14ac:dyDescent="0.4">
      <c r="A12" s="144" t="s">
        <v>5</v>
      </c>
      <c r="B12" s="152">
        <f>SUM(B5:B11)</f>
        <v>4165760</v>
      </c>
      <c r="C12" s="152">
        <f>SUM(C5:C11)</f>
        <v>533867.30000000005</v>
      </c>
      <c r="D12" s="152">
        <f>SUM(D5:D11)</f>
        <v>2803715</v>
      </c>
      <c r="E12" s="152"/>
      <c r="F12" s="255">
        <f>SUM(F5:F11)</f>
        <v>828177.7</v>
      </c>
      <c r="H12" s="251">
        <f>K12</f>
        <v>2987744.66</v>
      </c>
      <c r="J12" t="s">
        <v>140</v>
      </c>
      <c r="K12" s="254">
        <f>-1570786.61+3028262.49-613820.2+2144088.98</f>
        <v>2987744.66</v>
      </c>
    </row>
    <row r="13" spans="1:15" x14ac:dyDescent="0.35">
      <c r="K13" s="154"/>
      <c r="M13" s="154"/>
    </row>
    <row r="14" spans="1:15" x14ac:dyDescent="0.35">
      <c r="M14" s="43"/>
    </row>
    <row r="15" spans="1:15" x14ac:dyDescent="0.35">
      <c r="K15">
        <f>-1570786.61+3028262.49-613820.2+2144088.98</f>
        <v>2987744.66</v>
      </c>
      <c r="M15" s="43"/>
    </row>
    <row r="16" spans="1:15" x14ac:dyDescent="0.35">
      <c r="B16" s="154"/>
      <c r="K16">
        <f>-1570786.61+3028262.49-613820.2+2241679.78</f>
        <v>3085335.46</v>
      </c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VENTANA</v>
      </c>
      <c r="C2" s="283"/>
      <c r="D2" s="284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165900</v>
      </c>
      <c r="K4" s="231">
        <f t="shared" ref="K4" si="0">D7+D11+D15</f>
        <v>21567</v>
      </c>
      <c r="L4" s="220">
        <f>F7+F11+F15</f>
        <v>238000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IF(DigitaNICA!C4&lt;&gt;"",DigitaNICA!C4,"")</f>
        <v>29350</v>
      </c>
      <c r="D5" s="42">
        <f>IF(C5="",0,C5*J$10)</f>
        <v>3815.5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25534.5</v>
      </c>
      <c r="I5" s="241" t="s">
        <v>37</v>
      </c>
      <c r="J5" s="221">
        <f>SUM(IF(C5="",0,C5),IF(C9="",0,C9),IF(C13="",0,C13),IF(C17="",0,C17))</f>
        <v>41000</v>
      </c>
      <c r="K5" s="225">
        <f t="shared" ref="K5" si="2">D5+D9+D13+D17</f>
        <v>5330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3200</v>
      </c>
      <c r="K6" s="228">
        <f>D19+D20</f>
        <v>416</v>
      </c>
      <c r="L6" s="229">
        <f>F19+F20</f>
        <v>32000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>
        <f>IF(DigitaTICA!C4&lt;&gt;"",DigitaTICA!C4,"")</f>
        <v>49200</v>
      </c>
      <c r="D7" s="42">
        <f>IF(C7="",0,C7*J$9)</f>
        <v>6396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304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46</v>
      </c>
      <c r="C9" s="29">
        <f>IF(DigitaNICA!E4&lt;&gt;"",DigitaNICA!E4,"")</f>
        <v>11100</v>
      </c>
      <c r="D9" s="42">
        <f>IF(C9="",0,C9*J$10)</f>
        <v>1443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9657</v>
      </c>
      <c r="I9" s="76" t="s">
        <v>36</v>
      </c>
      <c r="J9" s="77">
        <v>0.13</v>
      </c>
      <c r="K9" s="78">
        <f>MROUND(D7+D11+D15,50)</f>
        <v>21550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5350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IF(DigitaTICA!E4&lt;&gt;"",DigitaTICA!E4,"")</f>
        <v>23900</v>
      </c>
      <c r="D11" s="42">
        <f>IF(C11="",0,C11*J$9)</f>
        <v>3107</v>
      </c>
      <c r="E11" s="29">
        <f>IF(DigitaTICA!F4&lt;&gt;"",DigitaTICA!F4,"")</f>
        <v>300</v>
      </c>
      <c r="F11" s="42">
        <f>IF(E11="",0,E11*PREMIOS!F11)</f>
        <v>25500</v>
      </c>
      <c r="G11" s="30">
        <f t="shared" si="1"/>
        <v>-4707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IF(DigitaTICA!G4&lt;&gt;"",DigitaTICA!G4,"")</f>
        <v>92800</v>
      </c>
      <c r="D15" s="42">
        <f>IF(C15="",0,C15*J$9)</f>
        <v>12064</v>
      </c>
      <c r="E15" s="29">
        <f>IF(DigitaTICA!H4&lt;&gt;"",DigitaTICA!H4,"")</f>
        <v>2000</v>
      </c>
      <c r="F15" s="42">
        <f>IF(E15="",0,E15*PREMIOS!F15)</f>
        <v>170000</v>
      </c>
      <c r="G15" s="30">
        <f t="shared" si="3"/>
        <v>-89264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IF(DigitaNICA!I4&lt;&gt;"",DigitaNICA!I4,"")</f>
        <v>550</v>
      </c>
      <c r="D17" s="42">
        <f>IF(C17="",0,C17*J$10)</f>
        <v>71.5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478.5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IF(DigitaPRIMERA!C4&lt;&gt;"",DigitaPRIMERA!C4,"")</f>
        <v>3200</v>
      </c>
      <c r="D19" s="42">
        <f>IF(C19="",0,C19*J$12)</f>
        <v>416</v>
      </c>
      <c r="E19" s="29">
        <f>IF(DigitaPRIMERA!D4&lt;&gt;"",DigitaPRIMERA!D4,"")</f>
        <v>400</v>
      </c>
      <c r="F19" s="42">
        <f>IF(E19="",0,E19*PREMIOS!E19)</f>
        <v>32000</v>
      </c>
      <c r="G19" s="30">
        <f t="shared" ref="G19" si="4">IF(OR(C19="",E19=""),0,C19-D19-F19)</f>
        <v>-29216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210100</v>
      </c>
      <c r="D21" s="122">
        <f t="shared" ref="D21:G21" si="6">SUM(D5:D20)</f>
        <v>27313</v>
      </c>
      <c r="E21" s="122">
        <f t="shared" si="6"/>
        <v>3200</v>
      </c>
      <c r="F21" s="122">
        <f t="shared" si="6"/>
        <v>270000</v>
      </c>
      <c r="G21" s="123">
        <f t="shared" si="6"/>
        <v>-87213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PUESTO 2</v>
      </c>
      <c r="C2" s="283"/>
      <c r="D2" s="284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161600</v>
      </c>
      <c r="K4" s="231">
        <f t="shared" ref="K4" si="0">D7+D11+D15</f>
        <v>21008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IF(DigitaNICA!C5&lt;&gt;"",DigitaNICA!C5,"")</f>
        <v>11550</v>
      </c>
      <c r="D5" s="42">
        <f>IF(C5="",0,C5*J$10)</f>
        <v>1501.5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10048.5</v>
      </c>
      <c r="I5" s="241" t="s">
        <v>37</v>
      </c>
      <c r="J5" s="221">
        <f>SUM(IF(C5="",0,C5),IF(C9="",0,C9),IF(C13="",0,C13),IF(C17="",0,C17))</f>
        <v>19050</v>
      </c>
      <c r="K5" s="225">
        <f t="shared" ref="K5" si="2">D5+D9+D13+D17</f>
        <v>2476.5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3300</v>
      </c>
      <c r="K6" s="228">
        <f>D19+D20</f>
        <v>429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>
        <f>IF(DigitaTICA!C5&lt;&gt;"",DigitaTICA!C5,"")</f>
        <v>42000</v>
      </c>
      <c r="D7" s="42">
        <f>IF(C7="",0,C7*J$9)</f>
        <v>5460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-1710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2">
        <f>IF(DigitaNICA!E2&lt;&gt;"",DigitaNICA!E2,"")</f>
        <v>46</v>
      </c>
      <c r="C9" s="29">
        <f>IF(DigitaNICA!E5&lt;&gt;"",DigitaNICA!E5,"")</f>
        <v>3400</v>
      </c>
      <c r="D9" s="42">
        <f>IF(C9="",0,C9*J$10)</f>
        <v>442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2958</v>
      </c>
      <c r="I9" s="60" t="s">
        <v>36</v>
      </c>
      <c r="J9" s="61">
        <v>0.13</v>
      </c>
      <c r="K9" s="62">
        <f>MROUND(D7+D11+D15,50)</f>
        <v>21000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IF(DigitaTICA!E5&lt;&gt;"",DigitaTICA!E5,"")</f>
        <v>33950</v>
      </c>
      <c r="D11" s="42">
        <f>IF(C11="",0,C11*J$9)</f>
        <v>4413.5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-12963.5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IF(DigitaNICA!G5&lt;&gt;"",DigitaNICA!G5,"")</f>
        <v>2900</v>
      </c>
      <c r="D13" s="42">
        <f>IF(C13="",0,C13*J$10)</f>
        <v>377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2523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IF(DigitaTICA!G5&lt;&gt;"",DigitaTICA!G5,"")</f>
        <v>85650</v>
      </c>
      <c r="D15" s="42">
        <f>IF(C15="",0,C15*J$9)</f>
        <v>11134.5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74515.5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>
        <f>IF(DigitaPRIMERA!E5&lt;&gt;"",DigitaPRIMERA!E5,"")</f>
        <v>3300</v>
      </c>
      <c r="D20" s="42">
        <f>IF(C20="",0,C20*J$12)</f>
        <v>429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2871</v>
      </c>
    </row>
    <row r="21" spans="1:7" ht="15" thickBot="1" x14ac:dyDescent="0.4">
      <c r="A21" s="67" t="s">
        <v>5</v>
      </c>
      <c r="B21" s="127"/>
      <c r="C21" s="68">
        <f>SUM(C5:C20)</f>
        <v>183950</v>
      </c>
      <c r="D21" s="68">
        <f t="shared" ref="D21:G21" si="4">SUM(D5:D20)</f>
        <v>23913.5</v>
      </c>
      <c r="E21" s="68">
        <f t="shared" si="4"/>
        <v>950</v>
      </c>
      <c r="F21" s="68">
        <f t="shared" si="4"/>
        <v>80750</v>
      </c>
      <c r="G21" s="88">
        <f t="shared" si="4"/>
        <v>79286.5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152</v>
      </c>
      <c r="C2" s="283"/>
      <c r="D2" s="284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Nuevo 2</v>
      </c>
      <c r="C2" s="283"/>
      <c r="D2" s="284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2">
        <f>IF(DigitaNICA!E2&lt;&gt;"",DigitaNICA!E2,"")</f>
        <v>46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YOYO</v>
      </c>
      <c r="C2" s="286"/>
      <c r="D2" s="287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165300</v>
      </c>
      <c r="K4" s="231">
        <f t="shared" ref="K4" si="0">D7+D11+D15</f>
        <v>19836</v>
      </c>
      <c r="L4" s="220">
        <f>F7+F11+F15</f>
        <v>161500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IF(DigitaNICA!C8&lt;&gt;"",DigitaNICA!C8,"")</f>
        <v>87350</v>
      </c>
      <c r="D5" s="42">
        <f>IF(C5="",0,C5*J$12)</f>
        <v>10482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76868</v>
      </c>
      <c r="I5" s="241" t="s">
        <v>37</v>
      </c>
      <c r="J5" s="221">
        <f>SUM(IF(C5="",0,C5),IF(C9="",0,C9),IF(C13="",0,C13),IF(C17="",0,C17))</f>
        <v>200800</v>
      </c>
      <c r="K5" s="225">
        <f t="shared" ref="K5" si="2">D5+D9+D13+D17</f>
        <v>24096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>
        <f>IF(DigitaTICA!C8&lt;&gt;"",DigitaTICA!C8,"")</f>
        <v>54650</v>
      </c>
      <c r="D7" s="42">
        <f>IF(C7="",0,C7*J$11)</f>
        <v>6558</v>
      </c>
      <c r="E7" s="29">
        <f>IF(DigitaTICA!D8&lt;&gt;"",DigitaTICA!D8,"")</f>
        <v>900</v>
      </c>
      <c r="F7" s="42">
        <f>IF(E7="",0,E7*PREMIOS!F7)</f>
        <v>76500</v>
      </c>
      <c r="G7" s="30">
        <f t="shared" si="1"/>
        <v>-28408</v>
      </c>
      <c r="I7" s="242" t="s">
        <v>96</v>
      </c>
      <c r="J7" s="224">
        <f>SUM(IF(C19="",0,C19),IF(C20="",0,C20))</f>
        <v>33350</v>
      </c>
      <c r="K7" s="228">
        <f>+D19+D20</f>
        <v>4002</v>
      </c>
      <c r="L7" s="229">
        <f>+F19+F20</f>
        <v>136000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46</v>
      </c>
      <c r="C9" s="29">
        <f>IF(DigitaNICA!E8&lt;&gt;"",DigitaNICA!E8,"")</f>
        <v>80600</v>
      </c>
      <c r="D9" s="42">
        <f>IF(C9="",0,C9*J$12)</f>
        <v>9672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54928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IF(DigitaTICA!E8&lt;&gt;"",DigitaTICA!E8,"")</f>
        <v>50550</v>
      </c>
      <c r="D11" s="42">
        <f>IF(C11="",0,C11*J$11)</f>
        <v>6066</v>
      </c>
      <c r="E11" s="29">
        <f>IF(DigitaTICA!F8&lt;&gt;"",DigitaTICA!F8,"")</f>
        <v>600</v>
      </c>
      <c r="F11" s="42">
        <f>IF(E11="",0,E11*PREMIOS!F11)</f>
        <v>51000</v>
      </c>
      <c r="G11" s="30">
        <f t="shared" si="1"/>
        <v>-6516</v>
      </c>
      <c r="I11" s="60" t="s">
        <v>36</v>
      </c>
      <c r="J11" s="61">
        <v>0.12</v>
      </c>
      <c r="K11" s="62">
        <f>MROUND(D7+D11+D15,50)</f>
        <v>19850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24100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IF(DigitaNICA!G8&lt;&gt;"",DigitaNICA!G8,"")</f>
        <v>13100</v>
      </c>
      <c r="D13" s="42">
        <f>IF(C13="",0,C13*J$12)</f>
        <v>1572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11528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4000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IF(DigitaTICA!G8&lt;&gt;"",DigitaTICA!G8,"")</f>
        <v>60100</v>
      </c>
      <c r="D15" s="42">
        <f>IF(C15="",0,C15*J$11)</f>
        <v>7212</v>
      </c>
      <c r="E15" s="29">
        <f>IF(DigitaTICA!H8&lt;&gt;"",DigitaTICA!H8,"")</f>
        <v>400</v>
      </c>
      <c r="F15" s="42">
        <f>IF(E15="",0,E15*PREMIOS!F15)</f>
        <v>34000</v>
      </c>
      <c r="G15" s="30">
        <f t="shared" si="4"/>
        <v>18888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IF(DigitaNICA!I8&lt;&gt;"",DigitaNICA!I8,"")</f>
        <v>19750</v>
      </c>
      <c r="D17" s="42">
        <f>IF(C17="",0,C17*J$12)</f>
        <v>2370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9380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IF(DigitaPRIMERA!C8&lt;&gt;"",DigitaPRIMERA!C8,"")</f>
        <v>22150</v>
      </c>
      <c r="D19" s="42">
        <f>IF(C19="",0,C19*J$14)</f>
        <v>2658</v>
      </c>
      <c r="E19" s="29">
        <f>IF(DigitaPRIMERA!D8&lt;&gt;"",DigitaPRIMERA!D8,"")</f>
        <v>1700</v>
      </c>
      <c r="F19" s="42">
        <f>IF(E19="",0,E19*PREMIOS!E19)</f>
        <v>136000</v>
      </c>
      <c r="G19" s="30">
        <f t="shared" si="4"/>
        <v>-116508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>
        <f>IF(DigitaPRIMERA!E8&lt;&gt;"",DigitaPRIMERA!E8,"")</f>
        <v>11200</v>
      </c>
      <c r="D20" s="42">
        <f>IF(C20="",0,C20*J$14)</f>
        <v>1344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9856</v>
      </c>
    </row>
    <row r="21" spans="1:7" ht="15" thickBot="1" x14ac:dyDescent="0.4">
      <c r="A21" s="121" t="s">
        <v>5</v>
      </c>
      <c r="B21" s="128"/>
      <c r="C21" s="122">
        <f>SUM(C5:C20)</f>
        <v>399450</v>
      </c>
      <c r="D21" s="122">
        <f t="shared" ref="D21:G21" si="5">SUM(D5:D20)</f>
        <v>47934</v>
      </c>
      <c r="E21" s="122">
        <f t="shared" si="5"/>
        <v>3900</v>
      </c>
      <c r="F21" s="122">
        <f t="shared" si="5"/>
        <v>321500</v>
      </c>
      <c r="G21" s="123">
        <f t="shared" si="5"/>
        <v>30016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MARTA ROSA</v>
      </c>
      <c r="C2" s="283"/>
      <c r="D2" s="284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PIKIS</v>
      </c>
      <c r="C2" s="283"/>
      <c r="D2" s="284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327000</v>
      </c>
      <c r="K4" s="231">
        <f t="shared" ref="K4" si="0">D7+D11+D15</f>
        <v>39240</v>
      </c>
      <c r="L4" s="220">
        <f>F7+F11+F15</f>
        <v>174250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IF(DigitaNICA!C10&lt;&gt;"",DigitaNICA!C10,"")</f>
        <v>112350</v>
      </c>
      <c r="D5" s="42">
        <f>IF(C5="",0,C5*J$15)</f>
        <v>13482</v>
      </c>
      <c r="E5" s="29">
        <f>IF(DigitaNICA!D10&lt;&gt;"",DigitaNICA!D10,"")</f>
        <v>2400</v>
      </c>
      <c r="F5" s="42">
        <f>IF(E5="",0,E5*PREMIOS!F5)</f>
        <v>204000</v>
      </c>
      <c r="G5" s="30">
        <f t="shared" ref="G5:G12" si="1">IF(OR(C5="",E5=""),0,C5-D5-F5)</f>
        <v>-105132</v>
      </c>
      <c r="I5" s="217" t="s">
        <v>37</v>
      </c>
      <c r="J5" s="221">
        <f>SUM(IF(C5="",0,C5),IF(C9="",0,C9),IF(C13="",0,C13),IF(C17="",0,C17))</f>
        <v>344650</v>
      </c>
      <c r="K5" s="225">
        <f t="shared" ref="K5" si="2">D5+D9+D13+D17</f>
        <v>41358</v>
      </c>
      <c r="L5" s="222">
        <f>F5+F9+F13+F17</f>
        <v>246500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85050</v>
      </c>
      <c r="K6" s="226">
        <f t="shared" ref="K6" si="3">+D8+D12+D16</f>
        <v>8505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14</v>
      </c>
      <c r="C7" s="29">
        <f>IF(DigitaTICA!C10&lt;&gt;"",DigitaTICA!C10,"")</f>
        <v>110900</v>
      </c>
      <c r="D7" s="42">
        <f>IF(C7="",0,C7*J$14)</f>
        <v>13308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89092</v>
      </c>
      <c r="I7" s="217" t="s">
        <v>96</v>
      </c>
      <c r="J7" s="223">
        <f>SUM(IF(C19="",0,C19),IF(C20="",0,C20))</f>
        <v>68850</v>
      </c>
      <c r="K7" s="226">
        <f>+D19+D20</f>
        <v>8262</v>
      </c>
      <c r="L7" s="227">
        <f>+F19+F20</f>
        <v>148750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26500</v>
      </c>
      <c r="D8" s="42">
        <f>IF(C8="",0,C8*J$16)</f>
        <v>2650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23850</v>
      </c>
      <c r="I8" s="217" t="s">
        <v>104</v>
      </c>
      <c r="J8" s="223">
        <f>SUM(IF(C21="",0,C21),IF(C22="",0,C22),IF(C23="",0,C23))</f>
        <v>90450</v>
      </c>
      <c r="K8" s="226">
        <f t="shared" ref="K8" si="4">D21+D22+D23</f>
        <v>10854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46</v>
      </c>
      <c r="C9" s="29">
        <f>IF(DigitaNICA!E10&lt;&gt;"",DigitaNICA!E10,"")</f>
        <v>85550</v>
      </c>
      <c r="D9" s="42">
        <f>IF(C9="",0,C9*J$15)</f>
        <v>10266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75284</v>
      </c>
      <c r="I9" s="217" t="s">
        <v>20</v>
      </c>
      <c r="J9" s="223">
        <f>SUM(IF(C24="",0,C24),IF(C25="",0,C25))</f>
        <v>55000</v>
      </c>
      <c r="K9" s="226">
        <f t="shared" ref="K9" si="5">+D24+D25</f>
        <v>6600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13350</v>
      </c>
      <c r="K10" s="228">
        <f>+D26</f>
        <v>1602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IF(DigitaTICA!E10&lt;&gt;"",DigitaTICA!E10,"")</f>
        <v>74850</v>
      </c>
      <c r="D11" s="42">
        <f>IF(C11="",0,C11*J$14)</f>
        <v>8982</v>
      </c>
      <c r="E11" s="29">
        <f>IF(DigitaTICA!F10&lt;&gt;"",DigitaTICA!F10,"")</f>
        <v>350</v>
      </c>
      <c r="F11" s="42">
        <f>IF(E11="",0,E11*PREMIOS!F11)</f>
        <v>29750</v>
      </c>
      <c r="G11" s="30">
        <f t="shared" si="1"/>
        <v>36118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22300</v>
      </c>
      <c r="D12" s="42">
        <f>IF(C12="",0,C12*J$16)</f>
        <v>2230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20070</v>
      </c>
    </row>
    <row r="13" spans="1:12" ht="15" thickBot="1" x14ac:dyDescent="0.4">
      <c r="A13" s="28" t="s">
        <v>50</v>
      </c>
      <c r="B13" s="132">
        <f>IF(DigitaNICA!G2&lt;&gt;"",DigitaNICA!G2,"")</f>
        <v>65</v>
      </c>
      <c r="C13" s="29">
        <f>IF(DigitaNICA!G10&lt;&gt;"",DigitaNICA!G10,"")</f>
        <v>66700</v>
      </c>
      <c r="D13" s="42">
        <f>IF(C13="",0,C13*J$15)</f>
        <v>8004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58696</v>
      </c>
      <c r="I13" s="282" t="s">
        <v>34</v>
      </c>
      <c r="J13" s="282"/>
      <c r="K13" s="282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39250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IF(DigitaTICA!G10&lt;&gt;"",DigitaTICA!G10,"")</f>
        <v>141250</v>
      </c>
      <c r="D15" s="42">
        <f>IF(C15="",0,C15*J$14)</f>
        <v>16950</v>
      </c>
      <c r="E15" s="29">
        <f>IF(DigitaTICA!H10&lt;&gt;"",DigitaTICA!H10,"")</f>
        <v>1600</v>
      </c>
      <c r="F15" s="42">
        <f>IF(E15="",0,E15*PREMIOS!F15)</f>
        <v>136000</v>
      </c>
      <c r="G15" s="30">
        <f t="shared" si="6"/>
        <v>-11700</v>
      </c>
      <c r="I15" s="63" t="s">
        <v>37</v>
      </c>
      <c r="J15" s="64">
        <v>0.12</v>
      </c>
      <c r="K15" s="30">
        <f>MROUND(D5+D9+D13+D17,50)</f>
        <v>41350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36250</v>
      </c>
      <c r="D16" s="42">
        <f>IF(C16="",0,C16*J$16)</f>
        <v>3625</v>
      </c>
      <c r="E16" s="29">
        <f>IF(DigitaREVENTADO!H10&lt;&gt;"",DigitaREVENTADO!H10,"")</f>
        <v>200</v>
      </c>
      <c r="F16" s="42">
        <f>IF(E16="",0,E16*PREMIOS!F16)</f>
        <v>0</v>
      </c>
      <c r="G16" s="30">
        <f t="shared" si="6"/>
        <v>32625</v>
      </c>
      <c r="I16" s="63" t="s">
        <v>38</v>
      </c>
      <c r="J16" s="64">
        <v>0.1</v>
      </c>
      <c r="K16" s="30">
        <f>MROUND(D6+D8+D10+D12+D14+D16+D18,50)</f>
        <v>8500</v>
      </c>
    </row>
    <row r="17" spans="1:11" x14ac:dyDescent="0.35">
      <c r="A17" s="28" t="s">
        <v>52</v>
      </c>
      <c r="B17" s="132">
        <f>IF(DigitaNICA!I2&lt;&gt;"",DigitaNICA!I2,"")</f>
        <v>39</v>
      </c>
      <c r="C17" s="29">
        <f>IF(DigitaNICA!I10&lt;&gt;"",DigitaNICA!I10,"")</f>
        <v>80050</v>
      </c>
      <c r="D17" s="42">
        <f>IF(C17="",0,C17*J$15)</f>
        <v>9606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27944</v>
      </c>
      <c r="I17" s="63" t="s">
        <v>96</v>
      </c>
      <c r="J17" s="64">
        <v>0.12</v>
      </c>
      <c r="K17" s="30">
        <f>MROUND(D19+D20,50)</f>
        <v>8250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10850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IF(DigitaPRIMERA!$C$10&lt;&gt;"",DigitaPRIMERA!$C$10,"")</f>
        <v>41900</v>
      </c>
      <c r="D19" s="42">
        <f>IF(C19="",0,C19*J$17)</f>
        <v>5028</v>
      </c>
      <c r="E19" s="29">
        <f>IF(DigitaPRIMERA!$D$10&lt;&gt;"",DigitaPRIMERA!$D$10,"")</f>
        <v>1750</v>
      </c>
      <c r="F19" s="42">
        <f>IF(E19="",0,E19*PREMIOS!F19)</f>
        <v>148750</v>
      </c>
      <c r="G19" s="30">
        <f t="shared" ref="G19:G22" si="7">IF(OR(C19="",E19=""),0,C19-D19-F19)</f>
        <v>-111878</v>
      </c>
      <c r="I19" s="63" t="s">
        <v>20</v>
      </c>
      <c r="J19" s="64">
        <v>0.12</v>
      </c>
      <c r="K19" s="30">
        <f>MROUND(D24+D25,50)</f>
        <v>6600</v>
      </c>
    </row>
    <row r="20" spans="1:11" ht="15" thickBot="1" x14ac:dyDescent="0.4">
      <c r="A20" s="28" t="s">
        <v>98</v>
      </c>
      <c r="B20" s="132">
        <f>IF(DigitaPRIMERA!E2&lt;&gt;"",DigitaPRIMERA!E2,"")</f>
        <v>27</v>
      </c>
      <c r="C20" s="29">
        <f>IF(DigitaPRIMERA!$E$10&lt;&gt;"",DigitaPRIMERA!$E$10,"")</f>
        <v>26950</v>
      </c>
      <c r="D20" s="42">
        <f>IF(C20="",0,C20*J$17)</f>
        <v>3234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23716</v>
      </c>
      <c r="I20" s="65" t="s">
        <v>21</v>
      </c>
      <c r="J20" s="66">
        <v>0.12</v>
      </c>
      <c r="K20" s="50">
        <f>MROUND(D26,50)</f>
        <v>1600</v>
      </c>
    </row>
    <row r="21" spans="1:11" x14ac:dyDescent="0.35">
      <c r="A21" s="28" t="s">
        <v>99</v>
      </c>
      <c r="B21" s="132">
        <f>IF(DigitaHONDURAS!C2&lt;&gt;"",DigitaHONDURAS!C2,"")</f>
        <v>16</v>
      </c>
      <c r="C21" s="29">
        <f>IF(DigitaHONDURAS!$C$10&lt;&gt;"",DigitaHONDURAS!$C$10,"")</f>
        <v>48100</v>
      </c>
      <c r="D21" s="42">
        <f>IF(C21="",0,C21*J$18)</f>
        <v>5772</v>
      </c>
      <c r="E21" s="29">
        <f>IF(DigitaHONDURAS!$D$10&lt;&gt;"",DigitaHONDURAS!$D$10,"")</f>
        <v>1000</v>
      </c>
      <c r="F21" s="42">
        <f>IF(E21="",0,E21*PREMIOS!F20)</f>
        <v>85000</v>
      </c>
      <c r="G21" s="30">
        <f t="shared" si="7"/>
        <v>-42672</v>
      </c>
    </row>
    <row r="22" spans="1:11" x14ac:dyDescent="0.35">
      <c r="A22" s="28" t="s">
        <v>100</v>
      </c>
      <c r="B22" s="132">
        <f>IF(DigitaHONDURAS!E2&lt;&gt;"",DigitaHONDURAS!E2,"")</f>
        <v>83</v>
      </c>
      <c r="C22" s="29">
        <f>IF(DigitaHONDURAS!$E$10&lt;&gt;"",DigitaHONDURAS!$E$10,"")</f>
        <v>20750</v>
      </c>
      <c r="D22" s="42">
        <f>IF(C22="",0,C22*J$18)</f>
        <v>2490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18260</v>
      </c>
    </row>
    <row r="23" spans="1:11" x14ac:dyDescent="0.35">
      <c r="A23" s="28" t="s">
        <v>101</v>
      </c>
      <c r="B23" s="132">
        <f>IF(DigitaHONDURAS!G2&lt;&gt;"",DigitaHONDURAS!G2,"")</f>
        <v>93</v>
      </c>
      <c r="C23" s="29">
        <f>IF(DigitaHONDURAS!$G$10&lt;&gt;"",DigitaHONDURAS!$G$10,"")</f>
        <v>21600</v>
      </c>
      <c r="D23" s="42">
        <f>IF(C23="",0,C23*J$18)</f>
        <v>2592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19008</v>
      </c>
    </row>
    <row r="24" spans="1:11" x14ac:dyDescent="0.35">
      <c r="A24" s="28" t="s">
        <v>107</v>
      </c>
      <c r="B24" s="132">
        <f>IF(DigitaDOMINICANA!C2&lt;&gt;"",DigitaDOMINICANA!C2,"")</f>
        <v>85</v>
      </c>
      <c r="C24" s="29">
        <f>IF(DigitaDOMINICANA!$C$10&lt;&gt;"",DigitaDOMINICANA!$C$10,"")</f>
        <v>27000</v>
      </c>
      <c r="D24" s="42">
        <f>IF(C24="",0,C24*J$19)</f>
        <v>3240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23760</v>
      </c>
    </row>
    <row r="25" spans="1:11" x14ac:dyDescent="0.35">
      <c r="A25" s="28" t="s">
        <v>108</v>
      </c>
      <c r="B25" s="132">
        <f>IF(DigitaDOMINICANA!E2&lt;&gt;"",DigitaDOMINICANA!E2,"")</f>
        <v>84</v>
      </c>
      <c r="C25" s="29">
        <f>IF(DigitaDOMINICANA!$E$10&lt;&gt;"",DigitaDOMINICANA!$E$10,"")</f>
        <v>28000</v>
      </c>
      <c r="D25" s="42">
        <f>IF(C25="",0,C25*J$19)</f>
        <v>3360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24640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>
        <f>IF(DigitaPANAMENA!$C$10&lt;&gt;"",DigitaPANAMENA!$C$10,"")</f>
        <v>13350</v>
      </c>
      <c r="D26" s="42">
        <f>IF(C26="",0,C26*J$20)</f>
        <v>1602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11748</v>
      </c>
    </row>
    <row r="27" spans="1:11" ht="15" thickBot="1" x14ac:dyDescent="0.4">
      <c r="A27" s="67" t="s">
        <v>5</v>
      </c>
      <c r="B27" s="127"/>
      <c r="C27" s="68">
        <f>SUM(C5:C26)</f>
        <v>984350</v>
      </c>
      <c r="D27" s="68">
        <f t="shared" ref="D27:F27" si="9">SUM(D5:D26)</f>
        <v>116421</v>
      </c>
      <c r="E27" s="68">
        <f t="shared" si="9"/>
        <v>7900</v>
      </c>
      <c r="F27" s="68">
        <f t="shared" si="9"/>
        <v>654500</v>
      </c>
      <c r="G27" s="88">
        <f>SUM(G5:G26)</f>
        <v>213429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ISA</v>
      </c>
      <c r="C2" s="283"/>
      <c r="D2" s="284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27600</v>
      </c>
      <c r="K4" s="231">
        <f t="shared" ref="K4" si="0">D7+D11+D15</f>
        <v>3312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>
        <f>IF(DigitaTICA!C11&lt;&gt;"",DigitaTICA!C11,"")</f>
        <v>7000</v>
      </c>
      <c r="D7" s="42">
        <f>IF(C7="",0,C7*J$11)</f>
        <v>840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6160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IF(DigitaTICA!G11&lt;&gt;"",DigitaTICA!G11,"")</f>
        <v>20600</v>
      </c>
      <c r="D15" s="42">
        <f>IF(C15="",0,C15*J$11)</f>
        <v>2472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18128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27600</v>
      </c>
      <c r="D21" s="122">
        <f t="shared" ref="D21:G21" si="5">SUM(D5:D20)</f>
        <v>3312</v>
      </c>
      <c r="E21" s="122">
        <f t="shared" si="5"/>
        <v>0</v>
      </c>
      <c r="F21" s="122">
        <f t="shared" si="5"/>
        <v>0</v>
      </c>
      <c r="G21" s="123">
        <f t="shared" si="5"/>
        <v>24288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JUAN FELIX</v>
      </c>
      <c r="C2" s="283"/>
      <c r="D2" s="284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37900</v>
      </c>
      <c r="K4" s="231">
        <f>D7+D11+D15</f>
        <v>4548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IF(DigitaNICA!C12&lt;&gt;"",DigitaNICA!C12,"")</f>
        <v>38100</v>
      </c>
      <c r="D5" s="42">
        <f>IF(C5="",0,C5*J$12)</f>
        <v>4572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33528</v>
      </c>
      <c r="I5" s="217" t="s">
        <v>37</v>
      </c>
      <c r="J5" s="221">
        <f>SUM(IF(C5="",0,C5),IF(C9="",0,C9),IF(C13="",0,C13),IF(C17="",0,C17))</f>
        <v>49750</v>
      </c>
      <c r="K5" s="225">
        <f t="shared" ref="K5" si="1">D5+D9+D13+D17</f>
        <v>5970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2100</v>
      </c>
      <c r="K6" s="226">
        <f t="shared" ref="K6" si="2">+D8+D12+D16</f>
        <v>210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14</v>
      </c>
      <c r="C7" s="29">
        <f>IF(DigitaTICA!C12&lt;&gt;"",DigitaTICA!C12,"")</f>
        <v>11100</v>
      </c>
      <c r="D7" s="42">
        <f>IF(C7="",0,C7*J$11)</f>
        <v>1332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9768</v>
      </c>
      <c r="I7" s="217" t="s">
        <v>96</v>
      </c>
      <c r="J7" s="223">
        <f>SUM(IF(C19="",0,C19),IF(C20="",0,C20))</f>
        <v>25450</v>
      </c>
      <c r="K7" s="226">
        <f>+D19+D20</f>
        <v>3054</v>
      </c>
      <c r="L7" s="227">
        <f>+F19+F20</f>
        <v>42500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2100</v>
      </c>
      <c r="D8" s="42">
        <f>IF(C8="",0,C8*J$13)</f>
        <v>210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1890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46</v>
      </c>
      <c r="C9" s="29">
        <f>IF(DigitaNICA!E12&lt;&gt;"",DigitaNICA!E12,"")</f>
        <v>11650</v>
      </c>
      <c r="D9" s="42">
        <f>IF(C9="",0,C9*J$12)</f>
        <v>1398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10252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IF(DigitaTICA!E12&lt;&gt;"",DigitaTICA!E12,"")</f>
        <v>5100</v>
      </c>
      <c r="D11" s="42">
        <f>IF(C11="",0,C11*J$11)</f>
        <v>612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-16762</v>
      </c>
      <c r="I11" s="60" t="s">
        <v>36</v>
      </c>
      <c r="J11" s="61">
        <v>0.12</v>
      </c>
      <c r="K11" s="62">
        <f>MROUND(D7+D11+D15,50)</f>
        <v>4550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5950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3050</v>
      </c>
    </row>
    <row r="15" spans="1:12" ht="15" thickBot="1" x14ac:dyDescent="0.4">
      <c r="A15" s="28" t="s">
        <v>61</v>
      </c>
      <c r="B15" s="132">
        <f>IF(DigitaTICA!G2&lt;&gt;"",DigitaTICA!G2,"")</f>
        <v>46</v>
      </c>
      <c r="C15" s="29">
        <f>IF(DigitaTICA!G12&lt;&gt;"",DigitaTICA!G12,"")</f>
        <v>21700</v>
      </c>
      <c r="D15" s="42">
        <f>IF(C15="",0,C15*J$11)</f>
        <v>2604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19096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IF(DigitaPRIMERA!$C$12&lt;&gt;"",DigitaPRIMERA!$C$12,"")</f>
        <v>25450</v>
      </c>
      <c r="D19" s="42">
        <f>IF(C19="",0,C19*J$14)</f>
        <v>3054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-20104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115200</v>
      </c>
      <c r="D24" s="68">
        <f t="shared" ref="D24:G24" si="4">SUM(D5:D23)</f>
        <v>13782</v>
      </c>
      <c r="E24" s="68">
        <f t="shared" si="4"/>
        <v>750</v>
      </c>
      <c r="F24" s="68">
        <f t="shared" si="4"/>
        <v>63750</v>
      </c>
      <c r="G24" s="88">
        <f t="shared" si="4"/>
        <v>37668</v>
      </c>
    </row>
    <row r="27" spans="1:7" x14ac:dyDescent="0.35">
      <c r="G27" s="21">
        <v>94365</v>
      </c>
    </row>
    <row r="28" spans="1:7" x14ac:dyDescent="0.35">
      <c r="G28" s="141">
        <f>+G24+G27</f>
        <v>132033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57</v>
      </c>
      <c r="C2" s="283"/>
      <c r="D2" s="284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111550</v>
      </c>
      <c r="K4" s="231">
        <f t="shared" ref="K4" si="0">D7+D11+D15</f>
        <v>13386</v>
      </c>
      <c r="L4" s="220">
        <f>F7+F11+F15</f>
        <v>8500</v>
      </c>
    </row>
    <row r="5" spans="1:12" ht="15" thickBot="1" x14ac:dyDescent="0.4">
      <c r="A5" s="28" t="s">
        <v>43</v>
      </c>
      <c r="B5" s="132">
        <f>IF(DigitaNICA!C2&lt;&gt;"",DigitaNICA!C2,"")</f>
        <v>42</v>
      </c>
      <c r="C5" s="29">
        <f>IF(DigitaNICA!C13&lt;&gt;"",DigitaNICA!C13,"")</f>
        <v>32300</v>
      </c>
      <c r="D5" s="42">
        <f>IF(C5="",0,C5*J$10)</f>
        <v>3876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28424</v>
      </c>
      <c r="I5" s="218" t="s">
        <v>37</v>
      </c>
      <c r="J5" s="232">
        <f>SUM(IF(C5="",0,C5),IF(C9="",0,C9),IF(C13="",0,C13),IF(C17="",0,C17))</f>
        <v>52600</v>
      </c>
      <c r="K5" s="233">
        <f t="shared" ref="K5" si="2">D5+D9+D13+D17</f>
        <v>6312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>
        <f>IF(DigitaTICA!C13&lt;&gt;"",DigitaTICA!C13,"")</f>
        <v>37350</v>
      </c>
      <c r="D7" s="42">
        <f>IF(C7="",0,C7*J$9)</f>
        <v>4482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32868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2">
        <f>IF(DigitaNICA!E2&lt;&gt;"",DigitaNICA!E2,"")</f>
        <v>46</v>
      </c>
      <c r="C9" s="29">
        <f>IF(DigitaNICA!E13&lt;&gt;"",DigitaNICA!E13,"")</f>
        <v>17900</v>
      </c>
      <c r="D9" s="42">
        <f>IF(C9="",0,C9*J$10)</f>
        <v>2148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15752</v>
      </c>
      <c r="I9" s="60" t="s">
        <v>36</v>
      </c>
      <c r="J9" s="61">
        <v>0.12</v>
      </c>
      <c r="K9" s="62">
        <f>MROUND(D7+D11+D15,50)</f>
        <v>13400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6300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>
        <f>IF(DigitaTICA!E13&lt;&gt;"",DigitaTICA!E13,"")</f>
        <v>10700</v>
      </c>
      <c r="D11" s="42">
        <f>IF(C11="",0,C11*J$9)</f>
        <v>1284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916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IF(DigitaNICA!G13&lt;&gt;"",DigitaNICA!G13,"")</f>
        <v>1500</v>
      </c>
      <c r="D13" s="42">
        <f>IF(C13="",0,C13*J$10)</f>
        <v>180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1320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IF(DigitaTICA!G13&lt;&gt;"",DigitaTICA!G13,"")</f>
        <v>63500</v>
      </c>
      <c r="D15" s="42">
        <f>IF(C15="",0,C15*J$9)</f>
        <v>7620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55880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IF(DigitaNICA!I13&lt;&gt;"",DigitaNICA!I13,"")</f>
        <v>900</v>
      </c>
      <c r="D17" s="42">
        <f>IF(C17="",0,C17*J$10)</f>
        <v>108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792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164150</v>
      </c>
      <c r="D19" s="68">
        <f>MROUND(SUM(D5:D18),50)</f>
        <v>19700</v>
      </c>
      <c r="E19" s="68">
        <f>SUM(E5:E18)</f>
        <v>100</v>
      </c>
      <c r="F19" s="68">
        <f>SUM(F5:F18)</f>
        <v>8500</v>
      </c>
      <c r="G19" s="88">
        <f>SUM(G5:G18)</f>
        <v>135952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54</v>
      </c>
      <c r="C2" s="283"/>
      <c r="D2" s="284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2">
        <f>IF(DigitaNICA!E2&lt;&gt;"",DigitaNICA!E2,"")</f>
        <v>46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55</v>
      </c>
      <c r="C2" s="283"/>
      <c r="D2" s="284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2">
        <f>IF(DigitaNICA!E2&lt;&gt;"",DigitaNICA!E2,"")</f>
        <v>46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MINERO</v>
      </c>
      <c r="C2" s="283"/>
      <c r="D2" s="284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75450</v>
      </c>
      <c r="K4" s="231">
        <f>D7+D11+D15</f>
        <v>9054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IF(DigitaNICA!C16&lt;&gt;"",DigitaNICA!C16,"")</f>
        <v>2100</v>
      </c>
      <c r="D5" s="42">
        <f>IF(C5="",0,C5*J$12)</f>
        <v>252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1848</v>
      </c>
      <c r="I5" s="63" t="s">
        <v>37</v>
      </c>
      <c r="J5" s="225">
        <f>SUM(IF(C5="",0,C5),IF(C9="",0,C9),IF(C13="",0,C13),IF(C17="",0,C17))</f>
        <v>12450</v>
      </c>
      <c r="K5" s="225">
        <f t="shared" ref="K5" si="1">D5+D9+D13+D17</f>
        <v>1494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6500</v>
      </c>
      <c r="K6" s="226">
        <f t="shared" ref="K6" si="2">+D8+D12+D16</f>
        <v>650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14</v>
      </c>
      <c r="C7" s="29">
        <f>IF(DigitaTICA!C16&lt;&gt;"",DigitaTICA!C16,"")</f>
        <v>16550</v>
      </c>
      <c r="D7" s="42">
        <f>IF(C7="",0,C7*J$11)</f>
        <v>1986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14564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46</v>
      </c>
      <c r="C9" s="29">
        <f>IF(DigitaNICA!E16&lt;&gt;"",DigitaNICA!E16,"")</f>
        <v>400</v>
      </c>
      <c r="D9" s="42">
        <f>IF(C9="",0,C9*J$12)</f>
        <v>48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352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IF(DigitaTICA!E16&lt;&gt;"",DigitaTICA!E16,"")</f>
        <v>13800</v>
      </c>
      <c r="D11" s="42">
        <f>IF(C11="",0,C11*J$11)</f>
        <v>1656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12144</v>
      </c>
      <c r="I11" s="76" t="s">
        <v>36</v>
      </c>
      <c r="J11" s="77">
        <v>0.12</v>
      </c>
      <c r="K11" s="78">
        <f>MROUND(D7+D11+D15,50)</f>
        <v>9050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2000</v>
      </c>
      <c r="D12" s="42">
        <f>IF(C12="",0,C12*J$13)</f>
        <v>200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1500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IF(DigitaNICA!G16&lt;&gt;"",DigitaNICA!G16,"")</f>
        <v>1750</v>
      </c>
      <c r="D13" s="42">
        <f>IF(C13="",0,C13*J$12)</f>
        <v>210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1540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46</v>
      </c>
      <c r="C15" s="29">
        <f>IF(DigitaTICA!G16&lt;&gt;"",DigitaTICA!G16,"")</f>
        <v>45100</v>
      </c>
      <c r="D15" s="42">
        <f>IF(C15="",0,C15*J$11)</f>
        <v>5412</v>
      </c>
      <c r="E15" s="29">
        <f>IF(DigitaTICA!H16&lt;&gt;"",DigitaTICA!H16,"")</f>
        <v>1000</v>
      </c>
      <c r="F15" s="133">
        <f>IF(E15="",0,E15*PREMIOS!F15)</f>
        <v>85000</v>
      </c>
      <c r="G15" s="30">
        <f t="shared" si="3"/>
        <v>-45312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3000</v>
      </c>
      <c r="D16" s="42">
        <f>IF(C16="",0,C16*J$13)</f>
        <v>300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IF(DigitaNICA!I16&lt;&gt;"",DigitaNICA!I16,"")</f>
        <v>8200</v>
      </c>
      <c r="D17" s="42">
        <f>IF(C17="",0,C17*J$12)</f>
        <v>984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7216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94400</v>
      </c>
      <c r="D24" s="122">
        <f t="shared" ref="D24:G24" si="5">SUM(D5:D23)</f>
        <v>11198</v>
      </c>
      <c r="E24" s="122">
        <f t="shared" si="5"/>
        <v>1000</v>
      </c>
      <c r="F24" s="122">
        <f t="shared" si="5"/>
        <v>85000</v>
      </c>
      <c r="G24" s="123">
        <f t="shared" si="5"/>
        <v>-1798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91</v>
      </c>
      <c r="C2" s="283"/>
      <c r="D2" s="284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541350</v>
      </c>
      <c r="K4" s="231">
        <f t="shared" ref="K4" si="0">D7+D11+D15</f>
        <v>64962</v>
      </c>
      <c r="L4" s="220">
        <f>F7+F11+F15</f>
        <v>301750</v>
      </c>
    </row>
    <row r="5" spans="1:12" x14ac:dyDescent="0.35">
      <c r="A5" s="28" t="s">
        <v>43</v>
      </c>
      <c r="B5" s="132">
        <f>IF(DigitaNICA!C2&lt;&gt;"",DigitaNICA!C2,"")</f>
        <v>42</v>
      </c>
      <c r="C5" s="89">
        <f>IF(DigitaNICA!C17&lt;&gt;"",DigitaNICA!C17,"")</f>
        <v>165350</v>
      </c>
      <c r="D5" s="42">
        <f>IF(C5="",0,C5*J$16)</f>
        <v>19842</v>
      </c>
      <c r="E5" s="89">
        <f>IF(DigitaNICA!D17&lt;&gt;"",DigitaNICA!D17,"")</f>
        <v>1100</v>
      </c>
      <c r="F5" s="42">
        <f>IF(E5="",0,E5*PREMIOS!F5)</f>
        <v>93500</v>
      </c>
      <c r="G5" s="90">
        <f t="shared" ref="G5:G12" si="1">IF(OR(C5="",E5=""),0,C5-D5-F5)</f>
        <v>52008</v>
      </c>
      <c r="I5" s="217" t="s">
        <v>37</v>
      </c>
      <c r="J5" s="221">
        <f>SUM(IF(C5="",0,C5),IF(C9="",0,C9),IF(C13="",0,C13),IF(C17="",0,C17))</f>
        <v>486100</v>
      </c>
      <c r="K5" s="225">
        <f t="shared" ref="K5" si="2">D5+D9+D13+D17</f>
        <v>58332</v>
      </c>
      <c r="L5" s="222">
        <f>F5+F9+F13+F17</f>
        <v>136000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80650</v>
      </c>
      <c r="K6" s="226">
        <f t="shared" ref="K6" si="3">+D8+D12+D16</f>
        <v>8065</v>
      </c>
      <c r="L6" s="227">
        <f>+F8+F12+F16</f>
        <v>120000</v>
      </c>
    </row>
    <row r="7" spans="1:12" x14ac:dyDescent="0.35">
      <c r="A7" s="28" t="s">
        <v>46</v>
      </c>
      <c r="B7" s="132">
        <f>IF(DigitaTICA!C2&lt;&gt;"",DigitaTICA!C2,"")</f>
        <v>14</v>
      </c>
      <c r="C7" s="89">
        <f>IF(DigitaTICA!C17&lt;&gt;"",DigitaTICA!C17,"")</f>
        <v>154900</v>
      </c>
      <c r="D7" s="42">
        <f>IF(C7="",0,C7*J$15)</f>
        <v>18588</v>
      </c>
      <c r="E7" s="89">
        <f>IF(DigitaTICA!D17&lt;&gt;"",DigitaTICA!D17,"")</f>
        <v>1300</v>
      </c>
      <c r="F7" s="42">
        <f>IF(E7="",0,E7*PREMIOS!F7)</f>
        <v>110500</v>
      </c>
      <c r="G7" s="90">
        <f t="shared" si="1"/>
        <v>25812</v>
      </c>
      <c r="I7" s="217" t="s">
        <v>96</v>
      </c>
      <c r="J7" s="223">
        <f>SUM(IF(C19="",0,C19),IF(C20="",0,C20))</f>
        <v>119450</v>
      </c>
      <c r="K7" s="226">
        <f>+D19+D20</f>
        <v>14334</v>
      </c>
      <c r="L7" s="227">
        <f>+F19+F20</f>
        <v>293250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36650</v>
      </c>
      <c r="D8" s="42">
        <f>IF(C8="",0,C8*J$17)</f>
        <v>3665</v>
      </c>
      <c r="E8" s="89">
        <f>IF(DigitaREVENTADO!D17&lt;&gt;"",DigitaREVENTADO!D17,"")</f>
        <v>100</v>
      </c>
      <c r="F8" s="42">
        <f>IF(E8="",0,E8*PREMIOS!F8)</f>
        <v>20000</v>
      </c>
      <c r="G8" s="90">
        <f t="shared" si="1"/>
        <v>12985</v>
      </c>
      <c r="I8" s="217" t="s">
        <v>104</v>
      </c>
      <c r="J8" s="223">
        <f>SUM(IF(C21="",0,C21),IF(C22="",0,C22),IF(C23="",0,C23))</f>
        <v>69000</v>
      </c>
      <c r="K8" s="226">
        <f t="shared" ref="K8" si="4">D21+D22+D23</f>
        <v>8280</v>
      </c>
      <c r="L8" s="227">
        <f>F21+F22+F23</f>
        <v>17000</v>
      </c>
    </row>
    <row r="9" spans="1:12" x14ac:dyDescent="0.35">
      <c r="A9" s="28" t="s">
        <v>48</v>
      </c>
      <c r="B9" s="132">
        <f>IF(DigitaNICA!E2&lt;&gt;"",DigitaNICA!E2,"")</f>
        <v>46</v>
      </c>
      <c r="C9" s="89">
        <f>IF(DigitaNICA!E17&lt;&gt;"",DigitaNICA!E17,"")</f>
        <v>107600</v>
      </c>
      <c r="D9" s="42">
        <f>IF(C9="",0,C9*J$16)</f>
        <v>12912</v>
      </c>
      <c r="E9" s="89">
        <f>IF(DigitaNICA!F17&lt;&gt;"",DigitaNICA!F17,"")</f>
        <v>300</v>
      </c>
      <c r="F9" s="42">
        <f>IF(E9="",0,E9*PREMIOS!F9)</f>
        <v>25500</v>
      </c>
      <c r="G9" s="90">
        <f t="shared" si="1"/>
        <v>69188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89">
        <f>IF(DigitaTICA!E17&lt;&gt;"",DigitaTICA!E17,"")</f>
        <v>114750</v>
      </c>
      <c r="D11" s="42">
        <f>IF(C11="",0,C11*J$15)</f>
        <v>13770</v>
      </c>
      <c r="E11" s="89">
        <f>IF(DigitaTICA!F17&lt;&gt;"",DigitaTICA!F17,"")</f>
        <v>1400</v>
      </c>
      <c r="F11" s="42">
        <f>IF(E11="",0,E11*PREMIOS!F11)</f>
        <v>119000</v>
      </c>
      <c r="G11" s="90">
        <f t="shared" si="1"/>
        <v>-18020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17300</v>
      </c>
      <c r="D12" s="42">
        <f>IF(C12="",0,C12*J$17)</f>
        <v>1730</v>
      </c>
      <c r="E12" s="89">
        <f>IF(DigitaREVENTADO!F17&lt;&gt;"",DigitaREVENTADO!F17,"")</f>
        <v>500</v>
      </c>
      <c r="F12" s="42">
        <f>IF(E12="",0,E12*PREMIOS!F12)</f>
        <v>100000</v>
      </c>
      <c r="G12" s="90">
        <f t="shared" si="1"/>
        <v>-84430</v>
      </c>
    </row>
    <row r="13" spans="1:12" ht="15" thickBot="1" x14ac:dyDescent="0.4">
      <c r="A13" s="28" t="s">
        <v>50</v>
      </c>
      <c r="B13" s="132">
        <f>IF(DigitaNICA!G2&lt;&gt;"",DigitaNICA!G2,"")</f>
        <v>65</v>
      </c>
      <c r="C13" s="89">
        <f>IF(DigitaNICA!G17&lt;&gt;"",DigitaNICA!G17,"")</f>
        <v>55450</v>
      </c>
      <c r="D13" s="42">
        <f>IF(C13="",0,C13*J$16)</f>
        <v>6654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48796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2" t="s">
        <v>34</v>
      </c>
      <c r="J14" s="282"/>
      <c r="K14" s="282"/>
    </row>
    <row r="15" spans="1:12" x14ac:dyDescent="0.35">
      <c r="A15" s="28" t="s">
        <v>61</v>
      </c>
      <c r="B15" s="132">
        <f>IF(DigitaTICA!G2&lt;&gt;"",DigitaTICA!G2,"")</f>
        <v>46</v>
      </c>
      <c r="C15" s="89">
        <f>IF(DigitaTICA!G17&lt;&gt;"",DigitaTICA!G17,"")</f>
        <v>271700</v>
      </c>
      <c r="D15" s="42">
        <f>IF(C15="",0,C15*J$15)</f>
        <v>32604</v>
      </c>
      <c r="E15" s="89">
        <f>IF(DigitaTICA!H17&lt;&gt;"",DigitaTICA!H17,"")</f>
        <v>850</v>
      </c>
      <c r="F15" s="42">
        <f>IF(E15="",0,E15*PREMIOS!F15)</f>
        <v>72250</v>
      </c>
      <c r="G15" s="90">
        <f t="shared" si="6"/>
        <v>166846</v>
      </c>
      <c r="I15" s="76" t="s">
        <v>36</v>
      </c>
      <c r="J15" s="77">
        <v>0.12</v>
      </c>
      <c r="K15" s="78">
        <f>MROUND(D7+D11+D15,50)</f>
        <v>64950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26700</v>
      </c>
      <c r="D16" s="42">
        <f>IF(C16="",0,C16*J$17)</f>
        <v>2670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24030</v>
      </c>
      <c r="I16" s="63" t="s">
        <v>37</v>
      </c>
      <c r="J16" s="64">
        <v>0.12</v>
      </c>
      <c r="K16" s="30">
        <f>MROUND(D5+D9+D13+D17,50)</f>
        <v>58350</v>
      </c>
    </row>
    <row r="17" spans="1:11" x14ac:dyDescent="0.35">
      <c r="A17" s="28" t="s">
        <v>52</v>
      </c>
      <c r="B17" s="132">
        <f>IF(DigitaNICA!I2&lt;&gt;"",DigitaNICA!I2,"")</f>
        <v>39</v>
      </c>
      <c r="C17" s="89">
        <f>IF(DigitaNICA!I17&lt;&gt;"",DigitaNICA!I17,"")</f>
        <v>157700</v>
      </c>
      <c r="D17" s="42">
        <f>IF(C17="",0,C17*J$16)</f>
        <v>18924</v>
      </c>
      <c r="E17" s="89">
        <f>IF(DigitaNICA!J17&lt;&gt;"",DigitaNICA!J17,"")</f>
        <v>200</v>
      </c>
      <c r="F17" s="42">
        <f>IF(E17="",0,E17*PREMIOS!F17)</f>
        <v>17000</v>
      </c>
      <c r="G17" s="90">
        <f t="shared" si="6"/>
        <v>121776</v>
      </c>
      <c r="I17" s="63" t="s">
        <v>38</v>
      </c>
      <c r="J17" s="64">
        <v>0.1</v>
      </c>
      <c r="K17" s="30">
        <f>MROUND(D6+D8+D10+D12+D14+D16+D18,50)</f>
        <v>8050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14350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IF(DigitaPRIMERA!$C$17&lt;&gt;"",DigitaPRIMERA!$C$17,"")</f>
        <v>83600</v>
      </c>
      <c r="D19" s="42">
        <f>IF(C19="",0,C19*J$18)</f>
        <v>10032</v>
      </c>
      <c r="E19" s="29">
        <f>IF(DigitaPRIMERA!$D$17&lt;&gt;"",DigitaPRIMERA!$D$17,"")</f>
        <v>3450</v>
      </c>
      <c r="F19" s="42">
        <f>IF(E19="",0,E19*PREMIOS!F19)</f>
        <v>293250</v>
      </c>
      <c r="G19" s="30">
        <f t="shared" si="6"/>
        <v>-219682</v>
      </c>
      <c r="I19" s="63" t="s">
        <v>104</v>
      </c>
      <c r="J19" s="64">
        <v>0.12</v>
      </c>
      <c r="K19" s="30">
        <f>MROUND(D21+D22+D23,50)</f>
        <v>8300</v>
      </c>
    </row>
    <row r="20" spans="1:11" x14ac:dyDescent="0.35">
      <c r="A20" s="28" t="s">
        <v>98</v>
      </c>
      <c r="B20" s="132">
        <f>IF(DigitaPRIMERA!E2&lt;&gt;"",DigitaPRIMERA!E2,"")</f>
        <v>27</v>
      </c>
      <c r="C20" s="29">
        <f>IF(DigitaPRIMERA!$E$17&lt;&gt;"",DigitaPRIMERA!$E$17,"")</f>
        <v>35850</v>
      </c>
      <c r="D20" s="42">
        <f>IF(C20="",0,C20*J$18)</f>
        <v>4302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31548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16</v>
      </c>
      <c r="C21" s="29">
        <f>IF(DigitaHONDURAS!$C$17&lt;&gt;"",DigitaHONDURAS!$C$17,"")</f>
        <v>40900</v>
      </c>
      <c r="D21" s="42">
        <f>IF(C21="",0,C21*J$19)</f>
        <v>4908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27492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83</v>
      </c>
      <c r="C22" s="29">
        <f>IF(DigitaHONDURAS!$E$17&lt;&gt;"",DigitaHONDURAS!$E$17,"")</f>
        <v>13200</v>
      </c>
      <c r="D22" s="42">
        <f>IF(C22="",0,C22*J$19)</f>
        <v>1584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11616</v>
      </c>
    </row>
    <row r="23" spans="1:11" x14ac:dyDescent="0.35">
      <c r="A23" s="28" t="s">
        <v>101</v>
      </c>
      <c r="B23" s="132">
        <f>IF(DigitaHONDURAS!G2&lt;&gt;"",DigitaHONDURAS!G2,"")</f>
        <v>93</v>
      </c>
      <c r="C23" s="29">
        <f>IF(DigitaHONDURAS!$G$17&lt;&gt;"",DigitaHONDURAS!$G$17,"")</f>
        <v>14900</v>
      </c>
      <c r="D23" s="42">
        <f>IF(C23="",0,C23*J$19)</f>
        <v>1788</v>
      </c>
      <c r="E23" s="29">
        <f>IF(DigitaHONDURAS!$H$17&lt;&gt;"",DigitaHONDURAS!$H$17,"")</f>
        <v>100</v>
      </c>
      <c r="F23" s="42">
        <f>IF(E23="",0,E23*PREMIOS!F20)</f>
        <v>8500</v>
      </c>
      <c r="G23" s="30">
        <f t="shared" si="6"/>
        <v>4612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1296550</v>
      </c>
      <c r="D27" s="68">
        <f t="shared" ref="D27:G27" si="7">SUM(D5:D26)</f>
        <v>153973</v>
      </c>
      <c r="E27" s="68">
        <f t="shared" si="7"/>
        <v>9400</v>
      </c>
      <c r="F27" s="68">
        <f t="shared" si="7"/>
        <v>868000</v>
      </c>
      <c r="G27" s="88">
        <f t="shared" si="7"/>
        <v>274577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92</v>
      </c>
      <c r="C2" s="283"/>
      <c r="D2" s="284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220050</v>
      </c>
      <c r="K4" s="231">
        <f t="shared" ref="K4" si="0">D7+D11+D15</f>
        <v>26406</v>
      </c>
      <c r="L4" s="220">
        <f>F7+F11+F15</f>
        <v>119000</v>
      </c>
    </row>
    <row r="5" spans="1:12" x14ac:dyDescent="0.35">
      <c r="A5" s="28" t="str">
        <f>+Vendedor1!A5</f>
        <v>Nica 11am</v>
      </c>
      <c r="B5" s="132">
        <f>IF(DigitaNICA!C2&lt;&gt;"",DigitaNICA!C2,"")</f>
        <v>42</v>
      </c>
      <c r="C5" s="29">
        <f>IF(DigitaNICA!C18&lt;&gt;"",DigitaNICA!C18,"")</f>
        <v>96650</v>
      </c>
      <c r="D5" s="42">
        <f>IF(C5="",0,C5*J$16)</f>
        <v>11598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59552</v>
      </c>
      <c r="I5" s="217" t="s">
        <v>37</v>
      </c>
      <c r="J5" s="221">
        <f>SUM(IF(C5="",0,C5),IF(C9="",0,C9),IF(C13="",0,C13),IF(C17="",0,C17))</f>
        <v>228800</v>
      </c>
      <c r="K5" s="225">
        <f t="shared" ref="K5" si="2">D5+D9+D13+D17</f>
        <v>27456</v>
      </c>
      <c r="L5" s="222">
        <f>F5+F9+F13+F17</f>
        <v>76500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86200</v>
      </c>
      <c r="K6" s="226">
        <f t="shared" ref="K6" si="3">+D8+D12+D16</f>
        <v>8620</v>
      </c>
      <c r="L6" s="227">
        <f>+F8+F12+F16</f>
        <v>120000</v>
      </c>
    </row>
    <row r="7" spans="1:12" x14ac:dyDescent="0.35">
      <c r="A7" s="28" t="str">
        <f>+Vendedor1!A7</f>
        <v>Tica 1pm</v>
      </c>
      <c r="B7" s="132">
        <f>IF(DigitaTICA!C2&lt;&gt;"",DigitaTICA!C2,"")</f>
        <v>14</v>
      </c>
      <c r="C7" s="29">
        <f>IF(DigitaTICA!C18&lt;&gt;"",DigitaTICA!C18,"")</f>
        <v>75500</v>
      </c>
      <c r="D7" s="42">
        <f>IF(C7="",0,C7*J$15)</f>
        <v>9060</v>
      </c>
      <c r="E7" s="29">
        <f>IF(DigitaTICA!D18&lt;&gt;"",DigitaTICA!D18,"")</f>
        <v>350</v>
      </c>
      <c r="F7" s="42">
        <f>IF(E7="",0,E7*PREMIOS!F7)</f>
        <v>29750</v>
      </c>
      <c r="G7" s="30">
        <f t="shared" si="1"/>
        <v>36690</v>
      </c>
      <c r="I7" s="217" t="s">
        <v>96</v>
      </c>
      <c r="J7" s="223">
        <f>SUM(IF(C19="",0,C19),IF(C20="",0,C20))</f>
        <v>123250</v>
      </c>
      <c r="K7" s="226">
        <f>+D19+D20</f>
        <v>14790</v>
      </c>
      <c r="L7" s="227">
        <f>+F19+F20</f>
        <v>340000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26350</v>
      </c>
      <c r="D8" s="42">
        <f>IF(C8="",0,C8*J$17)</f>
        <v>2635</v>
      </c>
      <c r="E8" s="29">
        <f>IF(DigitaREVENTADO!D18&lt;&gt;"",DigitaREVENTADO!D18,"")</f>
        <v>200</v>
      </c>
      <c r="F8" s="42">
        <f>IF(E8="",0,E8*PREMIOS!F8)</f>
        <v>40000</v>
      </c>
      <c r="G8" s="30">
        <f t="shared" si="1"/>
        <v>-16285</v>
      </c>
      <c r="I8" s="217" t="s">
        <v>104</v>
      </c>
      <c r="J8" s="223">
        <f>SUM(IF(C21="",0,C21),IF(C22="",0,C22),IF(C23="",0,C23))</f>
        <v>35750</v>
      </c>
      <c r="K8" s="226">
        <f t="shared" ref="K8" si="4">D21+D22+D23</f>
        <v>4290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46</v>
      </c>
      <c r="C9" s="29">
        <f>IF(DigitaNICA!E18&lt;&gt;"",DigitaNICA!E18,"")</f>
        <v>56500</v>
      </c>
      <c r="D9" s="42">
        <f>IF(C9="",0,C9*J$16)</f>
        <v>6780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32720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IF(DigitaTICA!E18&lt;&gt;"",DigitaTICA!E18,"")</f>
        <v>64650</v>
      </c>
      <c r="D11" s="42">
        <f>IF(C11="",0,C11*J$15)</f>
        <v>7758</v>
      </c>
      <c r="E11" s="29">
        <f>IF(DigitaTICA!F18&lt;&gt;"",DigitaTICA!F18,"")</f>
        <v>750</v>
      </c>
      <c r="F11" s="42">
        <f>IF(E11="",0,E11*PREMIOS!F11)</f>
        <v>63750</v>
      </c>
      <c r="G11" s="30">
        <f t="shared" si="1"/>
        <v>-6858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26700</v>
      </c>
      <c r="D12" s="42">
        <f>IF(C12="",0,C12*J$17)</f>
        <v>2670</v>
      </c>
      <c r="E12" s="29">
        <f>IF(DigitaREVENTADO!F18&lt;&gt;"",DigitaREVENTADO!F18,"")</f>
        <v>400</v>
      </c>
      <c r="F12" s="42">
        <f>IF(E12="",0,E12*PREMIOS!F12)</f>
        <v>80000</v>
      </c>
      <c r="G12" s="30">
        <f t="shared" si="1"/>
        <v>-55970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65</v>
      </c>
      <c r="C13" s="29">
        <f>IF(DigitaNICA!G18&lt;&gt;"",DigitaNICA!G18,"")</f>
        <v>67950</v>
      </c>
      <c r="D13" s="42">
        <f>IF(C13="",0,C13*J$16)</f>
        <v>8154</v>
      </c>
      <c r="E13" s="29">
        <f>IF(DigitaNICA!H18&lt;&gt;"",DigitaNICA!H18,"")</f>
        <v>300</v>
      </c>
      <c r="F13" s="42">
        <f>IF(E13="",0,E13*PREMIOS!F13)</f>
        <v>25500</v>
      </c>
      <c r="G13" s="30">
        <f>IF(OR(C13="",E13=""),0,C13-D13-F13)</f>
        <v>34296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8" t="s">
        <v>34</v>
      </c>
      <c r="J14" s="289"/>
      <c r="K14" s="290"/>
    </row>
    <row r="15" spans="1:12" x14ac:dyDescent="0.35">
      <c r="A15" s="28" t="str">
        <f>+Vendedor1!A15</f>
        <v>Tica 7:30pm</v>
      </c>
      <c r="B15" s="132">
        <f>IF(DigitaTICA!G2&lt;&gt;"",DigitaTICA!G2,"")</f>
        <v>46</v>
      </c>
      <c r="C15" s="29">
        <f>IF(DigitaTICA!G18&lt;&gt;"",DigitaTICA!G18,"")</f>
        <v>79900</v>
      </c>
      <c r="D15" s="42">
        <f>IF(C15="",0,C15*J$15)</f>
        <v>9588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44812</v>
      </c>
      <c r="I15" s="76" t="s">
        <v>36</v>
      </c>
      <c r="J15" s="77">
        <v>0.12</v>
      </c>
      <c r="K15" s="78">
        <f>MROUND(D7+D11+D15,50)</f>
        <v>26400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33150</v>
      </c>
      <c r="D16" s="42">
        <f>IF(C16="",0,C16*J$17)</f>
        <v>3315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29835</v>
      </c>
      <c r="I16" s="63" t="s">
        <v>37</v>
      </c>
      <c r="J16" s="64">
        <v>0.12</v>
      </c>
      <c r="K16" s="30">
        <f>MROUND(D5+D9+D13+D17,50)</f>
        <v>27450</v>
      </c>
    </row>
    <row r="17" spans="1:11" x14ac:dyDescent="0.35">
      <c r="A17" s="28" t="str">
        <f>+Vendedor1!A17</f>
        <v>Nica 9pm</v>
      </c>
      <c r="B17" s="132">
        <f>IF(DigitaNICA!I2&lt;&gt;"",DigitaNICA!I2,"")</f>
        <v>39</v>
      </c>
      <c r="C17" s="29">
        <f>IF(DigitaNICA!I18&lt;&gt;"",DigitaNICA!I18,"")</f>
        <v>7700</v>
      </c>
      <c r="D17" s="42">
        <f>IF(C17="",0,C17*J$16)</f>
        <v>924</v>
      </c>
      <c r="E17" s="29">
        <f>IF(DigitaNICA!J18&lt;&gt;"",DigitaNICA!J18,"")</f>
        <v>100</v>
      </c>
      <c r="F17" s="42">
        <f>IF(E17="",0,E17*PREMIOS!F17)</f>
        <v>8500</v>
      </c>
      <c r="G17" s="30">
        <f t="shared" si="6"/>
        <v>-1724</v>
      </c>
      <c r="I17" s="63" t="s">
        <v>38</v>
      </c>
      <c r="J17" s="64">
        <v>0.1</v>
      </c>
      <c r="K17" s="30">
        <f>MROUND(D6+D8+D10+D12+D14+D16+D18,50)</f>
        <v>8600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14800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IF(DigitaPRIMERA!$C$18&lt;&gt;"",DigitaPRIMERA!$C$18,"")</f>
        <v>55700</v>
      </c>
      <c r="D19" s="42">
        <f>IF(C19="",0,C19*J$18)</f>
        <v>6684</v>
      </c>
      <c r="E19" s="29">
        <f>IF(DigitaPRIMERA!$D$18&lt;&gt;"",DigitaPRIMERA!$D$18,"")</f>
        <v>3200</v>
      </c>
      <c r="F19" s="42">
        <f>IF(E19="",0,E19*PREMIOS!F19)</f>
        <v>272000</v>
      </c>
      <c r="G19" s="30">
        <f t="shared" si="6"/>
        <v>-222984</v>
      </c>
      <c r="I19" s="63" t="s">
        <v>104</v>
      </c>
      <c r="J19" s="64">
        <v>0.12</v>
      </c>
      <c r="K19" s="30">
        <f>MROUND(D21+D22+D23,50)</f>
        <v>4300</v>
      </c>
    </row>
    <row r="20" spans="1:11" x14ac:dyDescent="0.35">
      <c r="A20" s="28" t="s">
        <v>98</v>
      </c>
      <c r="B20" s="132">
        <f>IF(DigitaPRIMERA!E2&lt;&gt;"",DigitaPRIMERA!E2,"")</f>
        <v>27</v>
      </c>
      <c r="C20" s="29">
        <f>IF(DigitaPRIMERA!$E$18&lt;&gt;"",DigitaPRIMERA!$E$18,"")</f>
        <v>67550</v>
      </c>
      <c r="D20" s="42">
        <f>IF(C20="",0,C20*J$18)</f>
        <v>8106</v>
      </c>
      <c r="E20" s="29">
        <f>IF(DigitaPRIMERA!$F$18&lt;&gt;"",DigitaPRIMERA!$F$18,"")</f>
        <v>800</v>
      </c>
      <c r="F20" s="42">
        <f>IF(E20="",0,E20*PREMIOS!F19)</f>
        <v>68000</v>
      </c>
      <c r="G20" s="30">
        <f t="shared" si="6"/>
        <v>-8556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16</v>
      </c>
      <c r="C21" s="29">
        <f>IF(DigitaHONDURAS!$C$18&lt;&gt;"",DigitaHONDURAS!$C$18,"")</f>
        <v>27750</v>
      </c>
      <c r="D21" s="42">
        <f>IF(C21="",0,C21*J$19)</f>
        <v>3330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7420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83</v>
      </c>
      <c r="C22" s="29">
        <f>IF(DigitaHONDURAS!$E$18&lt;&gt;"",DigitaHONDURAS!$E$18,"")</f>
        <v>6800</v>
      </c>
      <c r="D22" s="42">
        <f>IF(C22="",0,C22*J$19)</f>
        <v>816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5984</v>
      </c>
    </row>
    <row r="23" spans="1:11" x14ac:dyDescent="0.35">
      <c r="A23" s="28" t="s">
        <v>101</v>
      </c>
      <c r="B23" s="132">
        <f>IF(DigitaHONDURAS!G2&lt;&gt;"",DigitaHONDURAS!G2,"")</f>
        <v>93</v>
      </c>
      <c r="C23" s="29">
        <f>IF(DigitaHONDURAS!$G$18&lt;&gt;"",DigitaHONDURAS!$G$18,"")</f>
        <v>1200</v>
      </c>
      <c r="D23" s="42">
        <f>IF(C23="",0,C23*J$19)</f>
        <v>144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1056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694050</v>
      </c>
      <c r="D27" s="68">
        <f t="shared" ref="D27:G27" si="7">SUM(D5:D26)</f>
        <v>81562</v>
      </c>
      <c r="E27" s="68">
        <f t="shared" si="7"/>
        <v>7100</v>
      </c>
      <c r="F27" s="68">
        <f t="shared" si="7"/>
        <v>672500</v>
      </c>
      <c r="G27" s="88">
        <f t="shared" si="7"/>
        <v>-60012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4" t="s">
        <v>88</v>
      </c>
      <c r="D2" s="284"/>
      <c r="E2" s="284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14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tr">
        <f>+Vendedor1!A9</f>
        <v>Nica 3pm</v>
      </c>
      <c r="B9" s="132">
        <f>IF(DigitaNICA!E2&lt;&gt;"",DigitaNICA!E2,"")</f>
        <v>46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4" t="s">
        <v>85</v>
      </c>
      <c r="D2" s="284"/>
      <c r="E2" s="284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">
        <v>48</v>
      </c>
      <c r="B9" s="132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4" t="s">
        <v>84</v>
      </c>
      <c r="D2" s="284"/>
      <c r="E2" s="284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">
        <v>48</v>
      </c>
      <c r="B9" s="132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4" t="s">
        <v>83</v>
      </c>
      <c r="D2" s="284"/>
      <c r="E2" s="284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">
        <v>48</v>
      </c>
      <c r="B9" s="132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4" t="s">
        <v>82</v>
      </c>
      <c r="D2" s="284"/>
      <c r="E2" s="284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">
        <v>48</v>
      </c>
      <c r="B9" s="132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67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70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66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4" t="s">
        <v>81</v>
      </c>
      <c r="D2" s="284"/>
      <c r="E2" s="284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>
        <f>IF(DigitaPRIMERA!$C$27&lt;&gt;"",DigitaPRIMERA!$C$27,"")</f>
        <v>-4040</v>
      </c>
      <c r="D19" s="42">
        <f>IF(C19="",0,C19*J$12)</f>
        <v>-484.79999999999995</v>
      </c>
      <c r="E19" s="29">
        <f>IF(DigitaPRIMERA!$D$27&lt;&gt;"",DigitaPRIMERA!$D$27,"")</f>
        <v>-3021</v>
      </c>
      <c r="F19" s="42">
        <f>IF(E19="",0,E19*PREMIOS!F19)</f>
        <v>-256785</v>
      </c>
      <c r="G19" s="30">
        <f t="shared" si="1"/>
        <v>253229.8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-4040</v>
      </c>
      <c r="D27" s="68">
        <f t="shared" ref="D27:G27" si="2">SUM(D5:D26)</f>
        <v>-484.79999999999995</v>
      </c>
      <c r="E27" s="68">
        <f t="shared" si="2"/>
        <v>-3021</v>
      </c>
      <c r="F27" s="68">
        <f t="shared" si="2"/>
        <v>-256785</v>
      </c>
      <c r="G27" s="88">
        <f t="shared" si="2"/>
        <v>253229.8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106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64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69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58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68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1"/>
  <dimension ref="A1:K36"/>
  <sheetViews>
    <sheetView showGridLines="0" zoomScale="90" zoomScaleNormal="90" workbookViewId="0">
      <selection activeCell="C33" sqref="C3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61" t="s">
        <v>71</v>
      </c>
      <c r="D1" s="262"/>
      <c r="E1" s="261" t="s">
        <v>72</v>
      </c>
      <c r="F1" s="262"/>
      <c r="G1" s="261" t="s">
        <v>73</v>
      </c>
      <c r="H1" s="262"/>
    </row>
    <row r="2" spans="1:11" ht="21" customHeight="1" x14ac:dyDescent="0.35">
      <c r="C2" s="263">
        <f>IF(PREMIOS!$B7="","",PREMIOS!$B7)</f>
        <v>14</v>
      </c>
      <c r="D2" s="264"/>
      <c r="E2" s="263">
        <f>IF(PREMIOS!$B11="","",PREMIOS!$B11)</f>
        <v>33</v>
      </c>
      <c r="F2" s="264"/>
      <c r="G2" s="263">
        <f>IF(PREMIOS!$B15="","",PREMIOS!$B15)</f>
        <v>46</v>
      </c>
      <c r="H2" s="264"/>
    </row>
    <row r="3" spans="1:11" ht="21" customHeight="1" thickBot="1" x14ac:dyDescent="0.4">
      <c r="C3" s="263"/>
      <c r="D3" s="264"/>
      <c r="E3" s="263"/>
      <c r="F3" s="264"/>
      <c r="G3" s="263"/>
      <c r="H3" s="264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49200</v>
      </c>
      <c r="D4" s="78">
        <v>500</v>
      </c>
      <c r="E4" s="189">
        <v>23900</v>
      </c>
      <c r="F4" s="78">
        <v>300</v>
      </c>
      <c r="G4" s="189">
        <v>92800</v>
      </c>
      <c r="H4" s="78">
        <v>2000</v>
      </c>
      <c r="J4" s="42">
        <f t="shared" ref="J4:J8" si="0">+C4+E4+G4</f>
        <v>165900</v>
      </c>
      <c r="K4" s="42">
        <f>IF(D4="",0,IF(F4="",D4,IF(H4="",D4+F4,D4+F4+H4)))</f>
        <v>2800</v>
      </c>
    </row>
    <row r="5" spans="1:11" x14ac:dyDescent="0.35">
      <c r="A5" s="47">
        <v>2</v>
      </c>
      <c r="B5" s="178" t="str">
        <f>Vendedor2!$B$2</f>
        <v>PUESTO 2</v>
      </c>
      <c r="C5" s="180">
        <v>42000</v>
      </c>
      <c r="D5" s="30">
        <v>450</v>
      </c>
      <c r="E5" s="180">
        <v>33950</v>
      </c>
      <c r="F5" s="30">
        <v>500</v>
      </c>
      <c r="G5" s="180">
        <v>85650</v>
      </c>
      <c r="H5" s="30">
        <f t="shared" ref="D5:H27" si="1">IF(G5="","",0)</f>
        <v>0</v>
      </c>
      <c r="J5" s="42">
        <f t="shared" si="0"/>
        <v>161600</v>
      </c>
      <c r="K5" s="42">
        <f t="shared" ref="K5:K27" si="2">IF(D5="",0,IF(F5="",D5,IF(H5="",D5+F5,D5+F5+H5)))</f>
        <v>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54650</v>
      </c>
      <c r="D8" s="30">
        <v>900</v>
      </c>
      <c r="E8" s="180">
        <v>50550</v>
      </c>
      <c r="F8" s="30">
        <v>600</v>
      </c>
      <c r="G8" s="180">
        <v>60100</v>
      </c>
      <c r="H8" s="30">
        <v>400</v>
      </c>
      <c r="J8" s="42">
        <f t="shared" si="0"/>
        <v>165300</v>
      </c>
      <c r="K8" s="42">
        <f t="shared" si="2"/>
        <v>1900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41050+69850</f>
        <v>110900</v>
      </c>
      <c r="D10" s="30">
        <v>100</v>
      </c>
      <c r="E10" s="180">
        <f>22050+52800</f>
        <v>74850</v>
      </c>
      <c r="F10" s="30">
        <v>350</v>
      </c>
      <c r="G10" s="180">
        <v>141250</v>
      </c>
      <c r="H10" s="30">
        <v>1600</v>
      </c>
      <c r="J10" s="42">
        <f t="shared" si="3"/>
        <v>327000</v>
      </c>
      <c r="K10" s="42">
        <f t="shared" si="2"/>
        <v>2050</v>
      </c>
    </row>
    <row r="11" spans="1:11" x14ac:dyDescent="0.35">
      <c r="A11" s="47">
        <v>8</v>
      </c>
      <c r="B11" s="178" t="str">
        <f>Vendedor8!$B$2</f>
        <v>ISA</v>
      </c>
      <c r="C11" s="180">
        <v>7000</v>
      </c>
      <c r="D11" s="30">
        <f t="shared" si="1"/>
        <v>0</v>
      </c>
      <c r="E11" s="180"/>
      <c r="F11" s="30" t="str">
        <f t="shared" si="1"/>
        <v/>
      </c>
      <c r="G11" s="180">
        <v>20600</v>
      </c>
      <c r="H11" s="30">
        <f t="shared" si="1"/>
        <v>0</v>
      </c>
      <c r="J11" s="42">
        <f t="shared" si="3"/>
        <v>27600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11100</v>
      </c>
      <c r="D12" s="30">
        <f t="shared" si="1"/>
        <v>0</v>
      </c>
      <c r="E12" s="180">
        <v>5100</v>
      </c>
      <c r="F12" s="30">
        <v>250</v>
      </c>
      <c r="G12" s="180">
        <v>21700</v>
      </c>
      <c r="H12" s="30">
        <f t="shared" si="1"/>
        <v>0</v>
      </c>
      <c r="J12" s="42">
        <f t="shared" si="3"/>
        <v>37900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37350</v>
      </c>
      <c r="D13" s="30">
        <f t="shared" si="1"/>
        <v>0</v>
      </c>
      <c r="E13" s="180">
        <v>10700</v>
      </c>
      <c r="F13" s="30">
        <v>100</v>
      </c>
      <c r="G13" s="180">
        <v>63500</v>
      </c>
      <c r="H13" s="30">
        <f t="shared" si="1"/>
        <v>0</v>
      </c>
      <c r="J13" s="42">
        <f t="shared" si="3"/>
        <v>111550</v>
      </c>
      <c r="K13" s="42">
        <f t="shared" si="2"/>
        <v>100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1"/>
        <v/>
      </c>
      <c r="E14" s="180"/>
      <c r="F14" s="30" t="str">
        <f t="shared" si="1"/>
        <v/>
      </c>
      <c r="G14" s="180"/>
      <c r="H14" s="30" t="str">
        <f t="shared" si="1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16550</v>
      </c>
      <c r="D16" s="30">
        <f t="shared" si="1"/>
        <v>0</v>
      </c>
      <c r="E16" s="180">
        <v>13800</v>
      </c>
      <c r="F16" s="30">
        <f t="shared" si="1"/>
        <v>0</v>
      </c>
      <c r="G16" s="180">
        <v>45100</v>
      </c>
      <c r="H16" s="30">
        <v>1000</v>
      </c>
      <c r="J16" s="42">
        <f t="shared" si="3"/>
        <v>75450</v>
      </c>
      <c r="K16" s="42">
        <f t="shared" si="2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105150+49750</f>
        <v>154900</v>
      </c>
      <c r="D17" s="30">
        <f>900+400</f>
        <v>1300</v>
      </c>
      <c r="E17" s="180">
        <f>94650+20100</f>
        <v>114750</v>
      </c>
      <c r="F17" s="30">
        <f>900+500</f>
        <v>1400</v>
      </c>
      <c r="G17" s="180">
        <f>233600+38100</f>
        <v>271700</v>
      </c>
      <c r="H17" s="30">
        <f>850+0</f>
        <v>850</v>
      </c>
      <c r="J17" s="42">
        <f t="shared" si="3"/>
        <v>541350</v>
      </c>
      <c r="K17" s="42">
        <f t="shared" si="2"/>
        <v>3550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46900+28600</f>
        <v>75500</v>
      </c>
      <c r="D18" s="30">
        <f>150+200</f>
        <v>350</v>
      </c>
      <c r="E18" s="180">
        <f>35450+29200</f>
        <v>64650</v>
      </c>
      <c r="F18" s="30">
        <f>350+400</f>
        <v>750</v>
      </c>
      <c r="G18" s="180">
        <f>41650+38250</f>
        <v>79900</v>
      </c>
      <c r="H18" s="30">
        <f>300+0</f>
        <v>300</v>
      </c>
      <c r="J18" s="42">
        <f t="shared" si="3"/>
        <v>220050</v>
      </c>
      <c r="K18" s="42">
        <f t="shared" si="2"/>
        <v>1400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559150</v>
      </c>
      <c r="D32" s="44">
        <f t="shared" si="6"/>
        <v>3600</v>
      </c>
      <c r="E32" s="43">
        <f t="shared" si="6"/>
        <v>392250</v>
      </c>
      <c r="F32" s="44">
        <f t="shared" si="6"/>
        <v>4250</v>
      </c>
      <c r="G32" s="43">
        <f t="shared" si="6"/>
        <v>882300</v>
      </c>
      <c r="H32" s="44">
        <f t="shared" si="6"/>
        <v>6150</v>
      </c>
      <c r="J32" s="95">
        <f>SUM(J4:J31)</f>
        <v>1833700</v>
      </c>
      <c r="K32" s="95"/>
    </row>
    <row r="33" spans="2:8" x14ac:dyDescent="0.35">
      <c r="D33" s="99">
        <f>+D32*85</f>
        <v>306000</v>
      </c>
      <c r="F33" s="99">
        <f>+F32*85</f>
        <v>361250</v>
      </c>
      <c r="H33" s="99">
        <f>+H32*85</f>
        <v>522750</v>
      </c>
    </row>
    <row r="34" spans="2:8" x14ac:dyDescent="0.35">
      <c r="B34" s="247" t="s">
        <v>149</v>
      </c>
      <c r="C34" s="43">
        <f t="shared" ref="C34:H34" si="7">+C4+C5+C6+C8+C13</f>
        <v>183200</v>
      </c>
      <c r="D34" s="43" t="e">
        <f t="shared" si="7"/>
        <v>#VALUE!</v>
      </c>
      <c r="E34" s="43">
        <f t="shared" si="7"/>
        <v>119100</v>
      </c>
      <c r="F34" s="43" t="e">
        <f t="shared" si="7"/>
        <v>#VALUE!</v>
      </c>
      <c r="G34" s="43">
        <f t="shared" si="7"/>
        <v>302050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237400</v>
      </c>
      <c r="D35" s="43" t="e">
        <f t="shared" ref="D35:H35" si="8">+D11+D14+D15+D17+D18</f>
        <v>#VALUE!</v>
      </c>
      <c r="E35" s="43">
        <f t="shared" si="8"/>
        <v>179400</v>
      </c>
      <c r="F35" s="43" t="e">
        <f t="shared" si="8"/>
        <v>#VALUE!</v>
      </c>
      <c r="G35" s="43">
        <f t="shared" si="8"/>
        <v>372200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122000</v>
      </c>
      <c r="D36" s="43" t="e">
        <f t="shared" ref="D36:H36" si="9">+D10+D12+D27</f>
        <v>#VALUE!</v>
      </c>
      <c r="E36" s="43">
        <f t="shared" si="9"/>
        <v>79950</v>
      </c>
      <c r="F36" s="43" t="e">
        <f t="shared" si="9"/>
        <v>#VALUE!</v>
      </c>
      <c r="G36" s="43">
        <f t="shared" si="9"/>
        <v>162950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61" t="s">
        <v>23</v>
      </c>
      <c r="D1" s="262"/>
      <c r="E1" s="261" t="s">
        <v>24</v>
      </c>
      <c r="F1" s="262"/>
      <c r="G1" s="261" t="s">
        <v>25</v>
      </c>
      <c r="H1" s="262"/>
      <c r="I1" s="261" t="s">
        <v>26</v>
      </c>
      <c r="J1" s="262"/>
    </row>
    <row r="2" spans="1:13" ht="21" customHeight="1" x14ac:dyDescent="0.35">
      <c r="C2" s="263">
        <f>IF(PREMIOS!$B5="","",PREMIOS!$B5)</f>
        <v>42</v>
      </c>
      <c r="D2" s="264"/>
      <c r="E2" s="263">
        <f>IF(PREMIOS!$B9="","",PREMIOS!$B9)</f>
        <v>46</v>
      </c>
      <c r="F2" s="264"/>
      <c r="G2" s="263">
        <f>IF(PREMIOS!$B13="","",PREMIOS!$B13)</f>
        <v>65</v>
      </c>
      <c r="H2" s="264"/>
      <c r="I2" s="263">
        <f>IF(PREMIOS!$B17="","",PREMIOS!$B17)</f>
        <v>39</v>
      </c>
      <c r="J2" s="264"/>
    </row>
    <row r="3" spans="1:13" ht="21" customHeight="1" thickBot="1" x14ac:dyDescent="0.4">
      <c r="C3" s="263"/>
      <c r="D3" s="264"/>
      <c r="E3" s="263"/>
      <c r="F3" s="264"/>
      <c r="G3" s="263"/>
      <c r="H3" s="264"/>
      <c r="I3" s="263"/>
      <c r="J3" s="264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29350</v>
      </c>
      <c r="D4" s="78">
        <f t="shared" ref="D4:J27" si="0">IF(C4="","",0)</f>
        <v>0</v>
      </c>
      <c r="E4" s="206">
        <v>11100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550</v>
      </c>
      <c r="J4" s="78">
        <f t="shared" si="0"/>
        <v>0</v>
      </c>
      <c r="L4" s="42">
        <f t="shared" ref="L4:L8" si="2">+C4+E4+G4+I4</f>
        <v>41000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11550</v>
      </c>
      <c r="D5" s="30">
        <f t="shared" si="0"/>
        <v>0</v>
      </c>
      <c r="E5" s="207">
        <v>3400</v>
      </c>
      <c r="F5" s="30">
        <f t="shared" si="0"/>
        <v>0</v>
      </c>
      <c r="G5" s="180">
        <v>2900</v>
      </c>
      <c r="H5" s="30">
        <f t="shared" si="1"/>
        <v>0</v>
      </c>
      <c r="I5" s="180">
        <v>1200</v>
      </c>
      <c r="J5" s="30">
        <f t="shared" ref="J5:J27" si="3">IF(I5="","",0)</f>
        <v>0</v>
      </c>
      <c r="L5" s="42">
        <f t="shared" si="2"/>
        <v>19050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87350</v>
      </c>
      <c r="D8" s="30">
        <f t="shared" si="0"/>
        <v>0</v>
      </c>
      <c r="E8" s="207">
        <v>80600</v>
      </c>
      <c r="F8" s="30">
        <v>200</v>
      </c>
      <c r="G8" s="180">
        <v>13100</v>
      </c>
      <c r="H8" s="30">
        <f t="shared" si="1"/>
        <v>0</v>
      </c>
      <c r="I8" s="180">
        <v>19750</v>
      </c>
      <c r="J8" s="30">
        <v>100</v>
      </c>
      <c r="L8" s="42">
        <f t="shared" si="2"/>
        <v>200800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44350+68000</f>
        <v>112350</v>
      </c>
      <c r="D10" s="30">
        <v>2400</v>
      </c>
      <c r="E10" s="207">
        <f>35750+49800</f>
        <v>85550</v>
      </c>
      <c r="F10" s="30">
        <f t="shared" si="0"/>
        <v>0</v>
      </c>
      <c r="G10" s="180">
        <f>28000+38700</f>
        <v>66700</v>
      </c>
      <c r="H10" s="30">
        <f t="shared" si="0"/>
        <v>0</v>
      </c>
      <c r="I10" s="180">
        <f>46900+33150</f>
        <v>80050</v>
      </c>
      <c r="J10" s="30">
        <f>500+0</f>
        <v>500</v>
      </c>
      <c r="L10" s="42">
        <f t="shared" si="5"/>
        <v>344650</v>
      </c>
      <c r="M10" s="42">
        <f t="shared" si="4"/>
        <v>2900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38100</v>
      </c>
      <c r="D12" s="30">
        <f t="shared" si="0"/>
        <v>0</v>
      </c>
      <c r="E12" s="207">
        <v>11650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49750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32300</v>
      </c>
      <c r="D13" s="30">
        <f t="shared" si="0"/>
        <v>0</v>
      </c>
      <c r="E13" s="207">
        <v>17900</v>
      </c>
      <c r="F13" s="30">
        <f t="shared" si="0"/>
        <v>0</v>
      </c>
      <c r="G13" s="180">
        <v>1500</v>
      </c>
      <c r="H13" s="30">
        <f t="shared" si="0"/>
        <v>0</v>
      </c>
      <c r="I13" s="180">
        <v>900</v>
      </c>
      <c r="J13" s="30">
        <f t="shared" si="0"/>
        <v>0</v>
      </c>
      <c r="L13" s="42">
        <f t="shared" si="5"/>
        <v>52600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2100</v>
      </c>
      <c r="D16" s="30">
        <f t="shared" si="0"/>
        <v>0</v>
      </c>
      <c r="E16" s="207">
        <v>400</v>
      </c>
      <c r="F16" s="30">
        <f t="shared" si="0"/>
        <v>0</v>
      </c>
      <c r="G16" s="180">
        <v>1750</v>
      </c>
      <c r="H16" s="30">
        <f t="shared" si="0"/>
        <v>0</v>
      </c>
      <c r="I16" s="180">
        <v>8200</v>
      </c>
      <c r="J16" s="30">
        <f t="shared" si="0"/>
        <v>0</v>
      </c>
      <c r="L16" s="42">
        <f t="shared" si="5"/>
        <v>12450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165350</v>
      </c>
      <c r="D17" s="30">
        <v>1100</v>
      </c>
      <c r="E17" s="207">
        <v>107600</v>
      </c>
      <c r="F17" s="30">
        <v>300</v>
      </c>
      <c r="G17" s="180">
        <v>55450</v>
      </c>
      <c r="H17" s="30">
        <f t="shared" si="0"/>
        <v>0</v>
      </c>
      <c r="I17" s="180">
        <v>157700</v>
      </c>
      <c r="J17" s="30">
        <v>200</v>
      </c>
      <c r="L17" s="42">
        <f t="shared" si="5"/>
        <v>486100</v>
      </c>
      <c r="M17" s="42">
        <f t="shared" si="4"/>
        <v>1600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96650</v>
      </c>
      <c r="D18" s="30">
        <v>300</v>
      </c>
      <c r="E18" s="207">
        <v>56500</v>
      </c>
      <c r="F18" s="30">
        <v>200</v>
      </c>
      <c r="G18" s="180">
        <v>67950</v>
      </c>
      <c r="H18" s="30">
        <v>300</v>
      </c>
      <c r="I18" s="180">
        <v>7700</v>
      </c>
      <c r="J18" s="30">
        <v>100</v>
      </c>
      <c r="L18" s="42">
        <f t="shared" si="5"/>
        <v>228800</v>
      </c>
      <c r="M18" s="42">
        <f t="shared" si="4"/>
        <v>900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575100</v>
      </c>
      <c r="D32" s="44">
        <f t="shared" si="7"/>
        <v>3800</v>
      </c>
      <c r="E32" s="43">
        <f t="shared" si="7"/>
        <v>374700</v>
      </c>
      <c r="F32" s="44">
        <f t="shared" si="7"/>
        <v>700</v>
      </c>
      <c r="G32" s="43">
        <f t="shared" si="7"/>
        <v>209350</v>
      </c>
      <c r="H32" s="44">
        <f t="shared" si="7"/>
        <v>300</v>
      </c>
      <c r="I32" s="43">
        <f t="shared" si="7"/>
        <v>276050</v>
      </c>
      <c r="J32" s="44">
        <f t="shared" si="7"/>
        <v>900</v>
      </c>
      <c r="L32" s="95">
        <f>SUM(L9:L31)</f>
        <v>1174350</v>
      </c>
      <c r="M32" s="95">
        <f>SUM(M9:M31)</f>
        <v>5400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3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61" t="s">
        <v>71</v>
      </c>
      <c r="D1" s="262"/>
      <c r="E1" s="261" t="s">
        <v>72</v>
      </c>
      <c r="F1" s="262"/>
      <c r="G1" s="261" t="s">
        <v>73</v>
      </c>
      <c r="H1" s="262"/>
    </row>
    <row r="2" spans="1:11" ht="21" customHeight="1" x14ac:dyDescent="0.35">
      <c r="C2" s="263" t="str">
        <f>IF(C33=0,"",CONCATENATE(PREMIOS!$B7," ",PREMIOS!$B8))</f>
        <v>14 Roja</v>
      </c>
      <c r="D2" s="264"/>
      <c r="E2" s="263" t="str">
        <f>IF(E33=0,"",CONCATENATE(PREMIOS!$B11," ",PREMIOS!$B12))</f>
        <v>33 Roja</v>
      </c>
      <c r="F2" s="264"/>
      <c r="G2" s="263" t="str">
        <f>IF(G33=0,"",CONCATENATE(PREMIOS!$B15," ",PREMIOS!$B16))</f>
        <v>46 Blanca</v>
      </c>
      <c r="H2" s="264"/>
    </row>
    <row r="3" spans="1:11" ht="21" customHeight="1" thickBot="1" x14ac:dyDescent="0.4">
      <c r="C3" s="263"/>
      <c r="D3" s="264"/>
      <c r="E3" s="263"/>
      <c r="F3" s="264"/>
      <c r="G3" s="263"/>
      <c r="H3" s="264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19950+6550</f>
        <v>26500</v>
      </c>
      <c r="D10" s="30">
        <f t="shared" si="0"/>
        <v>0</v>
      </c>
      <c r="E10" s="180">
        <f>17050+5250</f>
        <v>22300</v>
      </c>
      <c r="F10" s="30">
        <f t="shared" si="0"/>
        <v>0</v>
      </c>
      <c r="G10" s="180">
        <v>36250</v>
      </c>
      <c r="H10" s="30">
        <v>200</v>
      </c>
      <c r="J10" s="42">
        <f t="shared" si="3"/>
        <v>85050</v>
      </c>
      <c r="K10" s="42">
        <f t="shared" si="4"/>
        <v>200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>
        <v>2000</v>
      </c>
      <c r="F16" s="195">
        <f t="shared" si="1"/>
        <v>0</v>
      </c>
      <c r="G16" s="194">
        <v>3000</v>
      </c>
      <c r="H16" s="195">
        <f t="shared" si="0"/>
        <v>0</v>
      </c>
      <c r="J16" s="42">
        <f t="shared" si="3"/>
        <v>6500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36650</v>
      </c>
      <c r="D17" s="30">
        <v>100</v>
      </c>
      <c r="E17" s="180">
        <v>17300</v>
      </c>
      <c r="F17" s="30">
        <v>500</v>
      </c>
      <c r="G17" s="180">
        <v>26700</v>
      </c>
      <c r="H17" s="30">
        <f t="shared" si="0"/>
        <v>0</v>
      </c>
      <c r="J17" s="42">
        <f t="shared" si="3"/>
        <v>80650</v>
      </c>
      <c r="K17" s="42">
        <f t="shared" si="4"/>
        <v>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26350</v>
      </c>
      <c r="D18" s="30">
        <v>200</v>
      </c>
      <c r="E18" s="180">
        <v>26700</v>
      </c>
      <c r="F18" s="30">
        <v>400</v>
      </c>
      <c r="G18" s="180">
        <v>33150</v>
      </c>
      <c r="H18" s="30">
        <f t="shared" si="0"/>
        <v>0</v>
      </c>
      <c r="J18" s="42">
        <f t="shared" si="3"/>
        <v>86200</v>
      </c>
      <c r="K18" s="42">
        <f t="shared" si="4"/>
        <v>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93100</v>
      </c>
      <c r="D33" s="44">
        <f t="shared" si="7"/>
        <v>300</v>
      </c>
      <c r="E33" s="43">
        <f t="shared" si="7"/>
        <v>68300</v>
      </c>
      <c r="F33" s="44">
        <f t="shared" si="7"/>
        <v>900</v>
      </c>
      <c r="G33" s="43">
        <f t="shared" si="7"/>
        <v>99100</v>
      </c>
      <c r="H33" s="44">
        <f t="shared" si="7"/>
        <v>200</v>
      </c>
      <c r="J33" s="45">
        <f>SUM(J4:J32)</f>
        <v>260500</v>
      </c>
      <c r="K33" s="95">
        <f>SUM(K4:K32)</f>
        <v>1400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6"/>
  <dimension ref="A1:I42"/>
  <sheetViews>
    <sheetView showGridLines="0" zoomScale="90" zoomScaleNormal="90" workbookViewId="0">
      <selection activeCell="D33" sqref="D3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61" t="s">
        <v>97</v>
      </c>
      <c r="D1" s="262"/>
      <c r="E1" s="261" t="s">
        <v>98</v>
      </c>
      <c r="F1" s="262"/>
    </row>
    <row r="2" spans="1:9" ht="21" customHeight="1" x14ac:dyDescent="0.35">
      <c r="C2" s="263" t="str">
        <f>IF(PREMIOS!$B19="","",PREMIOS!$B19)</f>
        <v>00</v>
      </c>
      <c r="D2" s="264"/>
      <c r="E2" s="263">
        <f>IF(PREMIOS!$C19="","",PREMIOS!$C19)</f>
        <v>27</v>
      </c>
      <c r="F2" s="264"/>
    </row>
    <row r="3" spans="1:9" ht="21" customHeight="1" thickBot="1" x14ac:dyDescent="0.4">
      <c r="C3" s="263"/>
      <c r="D3" s="264"/>
      <c r="E3" s="263"/>
      <c r="F3" s="264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3200</v>
      </c>
      <c r="D4" s="78">
        <v>400</v>
      </c>
      <c r="E4" s="189"/>
      <c r="F4" s="78" t="str">
        <f t="shared" ref="D4:F26" si="0">IF(E4="","",0)</f>
        <v/>
      </c>
      <c r="H4" s="42">
        <f>+C4+E4</f>
        <v>3200</v>
      </c>
      <c r="I4" s="42">
        <f>IF(D4="",0,IF(F4="",D4,D4+F4))</f>
        <v>400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3300</v>
      </c>
      <c r="F5" s="30">
        <f t="shared" ref="F5:F27" si="1">IF(E5="","",0)</f>
        <v>0</v>
      </c>
      <c r="H5" s="42">
        <f t="shared" ref="H5:H32" si="2">+C5+E5</f>
        <v>3300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22150</v>
      </c>
      <c r="D8" s="30">
        <v>1700</v>
      </c>
      <c r="E8" s="194">
        <v>11200</v>
      </c>
      <c r="F8" s="195">
        <f t="shared" si="1"/>
        <v>0</v>
      </c>
      <c r="H8" s="42">
        <f t="shared" si="2"/>
        <v>33350</v>
      </c>
      <c r="I8" s="42">
        <f t="shared" si="3"/>
        <v>1700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41900</v>
      </c>
      <c r="D10" s="30">
        <v>1750</v>
      </c>
      <c r="E10" s="180">
        <v>26950</v>
      </c>
      <c r="F10" s="195">
        <f t="shared" si="1"/>
        <v>0</v>
      </c>
      <c r="H10" s="42">
        <f t="shared" si="2"/>
        <v>68850</v>
      </c>
      <c r="I10" s="42">
        <f t="shared" si="3"/>
        <v>1750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25450</v>
      </c>
      <c r="D12" s="30">
        <v>500</v>
      </c>
      <c r="E12" s="194"/>
      <c r="F12" s="30" t="str">
        <f t="shared" si="0"/>
        <v/>
      </c>
      <c r="H12" s="42">
        <f t="shared" si="2"/>
        <v>25450</v>
      </c>
      <c r="I12" s="42">
        <f t="shared" si="3"/>
        <v>500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83600</v>
      </c>
      <c r="D17" s="195">
        <v>3450</v>
      </c>
      <c r="E17" s="180">
        <v>35850</v>
      </c>
      <c r="F17" s="30">
        <f t="shared" si="0"/>
        <v>0</v>
      </c>
      <c r="H17" s="42">
        <f t="shared" si="2"/>
        <v>119450</v>
      </c>
      <c r="I17" s="42">
        <f t="shared" si="3"/>
        <v>3450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55700</v>
      </c>
      <c r="D18" s="195">
        <v>3200</v>
      </c>
      <c r="E18" s="180">
        <v>67550</v>
      </c>
      <c r="F18" s="30">
        <v>800</v>
      </c>
      <c r="H18" s="42">
        <f t="shared" si="2"/>
        <v>123250</v>
      </c>
      <c r="I18" s="42">
        <f t="shared" si="3"/>
        <v>4000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>
        <v>-4040</v>
      </c>
      <c r="D27" s="50">
        <v>-3021</v>
      </c>
      <c r="E27" s="181"/>
      <c r="F27" s="50" t="str">
        <f t="shared" si="1"/>
        <v/>
      </c>
      <c r="H27" s="42">
        <f t="shared" si="2"/>
        <v>-4040</v>
      </c>
      <c r="I27" s="42">
        <f t="shared" si="3"/>
        <v>-3021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227960</v>
      </c>
      <c r="D33" s="44">
        <f>SUM(D4:D32)</f>
        <v>7979</v>
      </c>
      <c r="E33" s="43">
        <f>SUM(E4:E32)</f>
        <v>144850</v>
      </c>
      <c r="F33" s="44">
        <f>SUM(F4:F32)</f>
        <v>800</v>
      </c>
      <c r="H33" s="95">
        <f>SUM(H4:H32)</f>
        <v>372810</v>
      </c>
      <c r="I33" s="95">
        <f>SUM(I4:I32)</f>
        <v>8779</v>
      </c>
    </row>
    <row r="35" spans="3:9" x14ac:dyDescent="0.35">
      <c r="C35">
        <f>41900+25450+83600+55700+25350</f>
        <v>232000</v>
      </c>
      <c r="D35">
        <f>1750+500+3450+3200+2100</f>
        <v>11000</v>
      </c>
      <c r="E35">
        <f>+C35*3.5%</f>
        <v>8120.0000000000009</v>
      </c>
    </row>
    <row r="36" spans="3:9" x14ac:dyDescent="0.35">
      <c r="D36">
        <f>+D35-E35</f>
        <v>2879.9999999999991</v>
      </c>
    </row>
    <row r="37" spans="3:9" x14ac:dyDescent="0.35">
      <c r="C37">
        <f>+C35-D37</f>
        <v>223880</v>
      </c>
      <c r="D37">
        <f>+D35-D36</f>
        <v>8120.0000000000009</v>
      </c>
      <c r="E37">
        <f>+D37/C37</f>
        <v>3.6269430051813475E-2</v>
      </c>
    </row>
    <row r="38" spans="3:9" x14ac:dyDescent="0.35">
      <c r="C38">
        <v>220000</v>
      </c>
      <c r="D38">
        <f>+C38*3.5%</f>
        <v>7700.0000000000009</v>
      </c>
    </row>
    <row r="39" spans="3:9" x14ac:dyDescent="0.35">
      <c r="C39">
        <v>227960</v>
      </c>
      <c r="D39">
        <f>+C39*3.5%</f>
        <v>7978.6</v>
      </c>
      <c r="E39">
        <f>+D39*85</f>
        <v>678181</v>
      </c>
    </row>
    <row r="40" spans="3:9" x14ac:dyDescent="0.35">
      <c r="C40">
        <f>+C35-C39</f>
        <v>4040</v>
      </c>
      <c r="D40">
        <v>6960</v>
      </c>
      <c r="E40">
        <f>+D40*85</f>
        <v>591600</v>
      </c>
    </row>
    <row r="41" spans="3:9" x14ac:dyDescent="0.35">
      <c r="E41">
        <f>+E39-E40</f>
        <v>86581</v>
      </c>
    </row>
    <row r="42" spans="3:9" x14ac:dyDescent="0.35">
      <c r="D42" s="43">
        <f>+D33-D39</f>
        <v>0.3999999999996362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61" t="s">
        <v>99</v>
      </c>
      <c r="D1" s="262"/>
      <c r="E1" s="261" t="s">
        <v>100</v>
      </c>
      <c r="F1" s="262"/>
      <c r="G1" s="261" t="s">
        <v>101</v>
      </c>
      <c r="H1" s="262"/>
    </row>
    <row r="2" spans="1:11" ht="21" customHeight="1" x14ac:dyDescent="0.35">
      <c r="C2" s="263">
        <f>IF(PREMIOS!$B20="","",PREMIOS!$B20)</f>
        <v>16</v>
      </c>
      <c r="D2" s="264"/>
      <c r="E2" s="263">
        <f>IF(PREMIOS!$C20="","",PREMIOS!$C20)</f>
        <v>83</v>
      </c>
      <c r="F2" s="264"/>
      <c r="G2" s="263">
        <f>IF(PREMIOS!$D20="","",PREMIOS!$D20)</f>
        <v>93</v>
      </c>
      <c r="H2" s="264"/>
    </row>
    <row r="3" spans="1:11" ht="21" customHeight="1" thickBot="1" x14ac:dyDescent="0.4">
      <c r="C3" s="263"/>
      <c r="D3" s="264"/>
      <c r="E3" s="263"/>
      <c r="F3" s="264"/>
      <c r="G3" s="263"/>
      <c r="H3" s="264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48100</v>
      </c>
      <c r="D10" s="195">
        <v>1000</v>
      </c>
      <c r="E10" s="180">
        <v>20750</v>
      </c>
      <c r="F10" s="30">
        <f t="shared" si="0"/>
        <v>0</v>
      </c>
      <c r="G10" s="180">
        <v>21600</v>
      </c>
      <c r="H10" s="195">
        <f t="shared" si="0"/>
        <v>0</v>
      </c>
      <c r="J10" s="42">
        <f t="shared" si="3"/>
        <v>90450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40900</v>
      </c>
      <c r="D17" s="195">
        <v>100</v>
      </c>
      <c r="E17" s="194">
        <v>13200</v>
      </c>
      <c r="F17" s="195">
        <f t="shared" si="0"/>
        <v>0</v>
      </c>
      <c r="G17" s="194">
        <v>14900</v>
      </c>
      <c r="H17" s="195">
        <v>100</v>
      </c>
      <c r="J17" s="42">
        <f t="shared" si="3"/>
        <v>69000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27750</v>
      </c>
      <c r="D18" s="195">
        <v>200</v>
      </c>
      <c r="E18" s="180">
        <v>6800</v>
      </c>
      <c r="F18" s="30">
        <f t="shared" si="1"/>
        <v>0</v>
      </c>
      <c r="G18" s="180">
        <v>1200</v>
      </c>
      <c r="H18" s="30">
        <f t="shared" si="2"/>
        <v>0</v>
      </c>
      <c r="J18" s="42">
        <f t="shared" si="3"/>
        <v>35750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116750</v>
      </c>
      <c r="D33" s="44">
        <f t="shared" si="6"/>
        <v>1300</v>
      </c>
      <c r="E33" s="43">
        <f t="shared" si="6"/>
        <v>40750</v>
      </c>
      <c r="F33" s="44">
        <f t="shared" si="6"/>
        <v>0</v>
      </c>
      <c r="G33" s="43">
        <f t="shared" si="6"/>
        <v>37700</v>
      </c>
      <c r="H33" s="44">
        <f t="shared" si="6"/>
        <v>100</v>
      </c>
      <c r="J33" s="45">
        <f>SUM(J4:J32)</f>
        <v>195200</v>
      </c>
      <c r="K33" s="95">
        <f>SUM(K4:K32)</f>
        <v>1400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61" t="s">
        <v>110</v>
      </c>
      <c r="D1" s="262"/>
      <c r="E1" s="261" t="s">
        <v>111</v>
      </c>
      <c r="F1" s="262"/>
    </row>
    <row r="2" spans="1:9" ht="21" customHeight="1" x14ac:dyDescent="0.35">
      <c r="C2" s="263">
        <f>IF(PREMIOS!$B21="","",PREMIOS!$B21)</f>
        <v>85</v>
      </c>
      <c r="D2" s="264"/>
      <c r="E2" s="263">
        <f>IF(PREMIOS!$C21="","",PREMIOS!$C21)</f>
        <v>84</v>
      </c>
      <c r="F2" s="264"/>
    </row>
    <row r="3" spans="1:9" ht="21" customHeight="1" thickBot="1" x14ac:dyDescent="0.4">
      <c r="C3" s="263"/>
      <c r="D3" s="264"/>
      <c r="E3" s="263"/>
      <c r="F3" s="264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27000</v>
      </c>
      <c r="D10" s="30">
        <f t="shared" si="0"/>
        <v>0</v>
      </c>
      <c r="E10" s="180">
        <v>28000</v>
      </c>
      <c r="F10" s="30">
        <f t="shared" si="0"/>
        <v>0</v>
      </c>
      <c r="H10" s="42">
        <f t="shared" si="2"/>
        <v>55000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27000</v>
      </c>
      <c r="D33" s="44">
        <f>SUM(D4:D32)</f>
        <v>0</v>
      </c>
      <c r="E33" s="43">
        <f>SUM(E4:E32)</f>
        <v>28000</v>
      </c>
      <c r="F33" s="44">
        <f>SUM(F4:F32)</f>
        <v>0</v>
      </c>
      <c r="H33" s="45">
        <f>SUM(H4:H32)</f>
        <v>55000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61" t="s">
        <v>109</v>
      </c>
      <c r="D1" s="262"/>
    </row>
    <row r="2" spans="1:4" ht="21" customHeight="1" x14ac:dyDescent="0.35">
      <c r="C2" s="263">
        <f>IF(PREMIOS!$B22="","",PREMIOS!$B22)</f>
        <v>64</v>
      </c>
      <c r="D2" s="264"/>
    </row>
    <row r="3" spans="1:4" ht="21" customHeight="1" thickBot="1" x14ac:dyDescent="0.4">
      <c r="C3" s="263"/>
      <c r="D3" s="264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13350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13350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48</vt:i4>
      </vt:variant>
      <vt:variant>
        <vt:lpstr>Rangos con nombre</vt:lpstr>
      </vt:variant>
      <vt:variant>
        <vt:i4>3</vt:i4>
      </vt:variant>
    </vt:vector>
  </HeadingPairs>
  <TitlesOfParts>
    <vt:vector size="51" baseType="lpstr">
      <vt:lpstr>DigitaPRIMERA (2)</vt:lpstr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2026-04-17T16:20:19Z</dcterms:modified>
  <dc:language>es-CR</dc:language>
</cp:coreProperties>
</file>
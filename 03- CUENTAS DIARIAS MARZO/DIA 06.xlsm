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128A97B5-DF76-4D79-953B-96A9ADB556A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H12" i="69"/>
  <c r="K13" i="69"/>
  <c r="K12" i="69"/>
  <c r="E35" i="65"/>
  <c r="H17" i="60"/>
  <c r="G17" i="60"/>
  <c r="H18" i="60"/>
  <c r="G18" i="60"/>
  <c r="E10" i="64"/>
  <c r="E10" i="62"/>
  <c r="F10" i="61"/>
  <c r="E10" i="61"/>
  <c r="E10" i="60"/>
  <c r="F17" i="60"/>
  <c r="E17" i="60"/>
  <c r="F18" i="60"/>
  <c r="E18" i="60"/>
  <c r="C10" i="62" l="1"/>
  <c r="D10" i="60"/>
  <c r="C10" i="60"/>
  <c r="D17" i="60"/>
  <c r="C17" i="60"/>
  <c r="C18" i="60"/>
  <c r="D10" i="61" l="1"/>
  <c r="C10" i="61"/>
  <c r="C10" i="65"/>
  <c r="D18" i="65" l="1"/>
  <c r="D11" i="65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36" i="60"/>
  <c r="D35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0" i="62"/>
  <c r="D5" i="61"/>
  <c r="F18" i="61"/>
  <c r="F16" i="61"/>
  <c r="D6" i="60"/>
  <c r="F16" i="60"/>
  <c r="F15" i="60"/>
  <c r="F11" i="60"/>
  <c r="F35" i="60" s="1"/>
  <c r="F9" i="60"/>
  <c r="F7" i="60"/>
  <c r="F6" i="60"/>
  <c r="F5" i="60"/>
  <c r="H16" i="60"/>
  <c r="H15" i="60"/>
  <c r="H14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4" i="60" l="1"/>
  <c r="F34" i="60"/>
  <c r="D34" i="60"/>
  <c r="J8" i="14"/>
  <c r="D21" i="14"/>
  <c r="C12" i="71"/>
  <c r="D22" i="14"/>
  <c r="G12" i="71"/>
  <c r="E19" i="16"/>
  <c r="D4" i="65"/>
  <c r="D20" i="16"/>
  <c r="F18" i="64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N25" i="72"/>
  <c r="I25" i="72"/>
  <c r="E27" i="72"/>
  <c r="F22" i="15"/>
  <c r="L8" i="15" s="1"/>
  <c r="F16" i="71"/>
  <c r="L16" i="71" s="1"/>
  <c r="M16" i="71" s="1"/>
  <c r="G22" i="15"/>
  <c r="L25" i="71"/>
  <c r="M25" i="71" s="1"/>
  <c r="H32" i="66"/>
  <c r="H23" i="70"/>
  <c r="K28" i="70"/>
  <c r="H29" i="66"/>
  <c r="H33" i="66" s="1"/>
  <c r="J23" i="70"/>
  <c r="K23" i="70" s="1"/>
  <c r="L22" i="71"/>
  <c r="M22" i="71" s="1"/>
  <c r="H23" i="72"/>
  <c r="J30" i="72"/>
  <c r="K30" i="72" s="1"/>
  <c r="J32" i="64"/>
  <c r="L6" i="6"/>
  <c r="K20" i="19"/>
  <c r="K9" i="19"/>
  <c r="L21" i="71"/>
  <c r="M21" i="71" s="1"/>
  <c r="J31" i="71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29" i="64"/>
  <c r="I18" i="66"/>
  <c r="H24" i="70"/>
  <c r="F25" i="19"/>
  <c r="L9" i="19" s="1"/>
  <c r="F18" i="72"/>
  <c r="D18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N27" i="71"/>
  <c r="K21" i="8"/>
  <c r="K10" i="8"/>
  <c r="N27" i="72"/>
  <c r="K21" i="19"/>
  <c r="K10" i="19"/>
  <c r="I33" i="66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4" i="23" l="1"/>
  <c r="M22" i="52"/>
  <c r="L6" i="23"/>
  <c r="C24" i="15"/>
  <c r="M24" i="52"/>
  <c r="J5" i="23"/>
  <c r="M23" i="52"/>
  <c r="J4" i="23"/>
  <c r="M20" i="52"/>
  <c r="F17" i="52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L6" i="22"/>
  <c r="K4" i="23"/>
  <c r="L19" i="59"/>
  <c r="F32" i="60"/>
  <c r="F33" i="60" s="1"/>
  <c r="G32" i="60"/>
  <c r="H32" i="60"/>
  <c r="H33" i="60" s="1"/>
  <c r="G32" i="61"/>
  <c r="F32" i="61"/>
  <c r="L6" i="25"/>
  <c r="H19" i="70"/>
  <c r="H32" i="61"/>
  <c r="K6" i="23"/>
  <c r="M27" i="52"/>
  <c r="K5" i="19"/>
  <c r="K5" i="8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F12" i="8"/>
  <c r="F12" i="19"/>
  <c r="K21" i="52"/>
  <c r="C20" i="1" s="1"/>
  <c r="B20" i="1"/>
  <c r="K5" i="52"/>
  <c r="C4" i="1" s="1"/>
  <c r="B4" i="1"/>
  <c r="K23" i="52"/>
  <c r="C22" i="1" s="1"/>
  <c r="B22" i="1"/>
  <c r="K4" i="52"/>
  <c r="C3" i="1" s="1"/>
  <c r="B3" i="1"/>
  <c r="K6" i="52"/>
  <c r="C5" i="1" s="1"/>
  <c r="B5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<sst xmlns="http://schemas.openxmlformats.org/spreadsheetml/2006/main" count="1293" uniqueCount="160">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</sst>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304600</v>
      </c>
      <c r="C3" s="9">
        <f>+HojaTICA!K4+HojaNICA!M4+HojaREVENTADO!K4+HojaPrimera!I4+HojaHonduras!K4+HojaDominicana!I4+HojaPANA!G4</f>
        <v>39600</v>
      </c>
      <c r="D3" s="9">
        <f>+HojaTICA!N4+HojaNICA!P4+HojaREVENTADO!O4+HojaPrimera!L4+HojaHonduras!N4+HojaDominicana!L4+HojaPANA!J4</f>
        <v>148250</v>
      </c>
      <c r="F3" s="10">
        <f t="shared" ref="F3:F27" si="0">+B3-C3-D3</f>
        <v>116750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175450</v>
      </c>
      <c r="C4" s="9">
        <f>+HojaTICA!K5+HojaNICA!M5+HojaREVENTADO!K5+HojaPrimera!I5+HojaHonduras!K5+HojaDominicana!I5+HojaPANA!G5</f>
        <v>22800</v>
      </c>
      <c r="D4" s="9">
        <f>+HojaTICA!N5+HojaNICA!P5+HojaREVENTADO!O5+HojaPrimera!L5+HojaHonduras!N5+HojaDominicana!L5+HojaPANA!J5</f>
        <v>63750</v>
      </c>
      <c r="F4" s="14">
        <f t="shared" si="0"/>
        <v>88900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5000</v>
      </c>
      <c r="C6" s="9">
        <f>+HojaTICA!K7+HojaNICA!M7+HojaREVENTADO!K7+HojaPrimera!I7+HojaHonduras!K7+HojaDominicana!I7+HojaPANA!G7</f>
        <v>600</v>
      </c>
      <c r="D6" s="9">
        <f>+HojaTICA!N7+HojaNICA!P7+HojaREVENTADO!O7+HojaPrimera!L7+HojaHonduras!N7+HojaDominicana!L7+HojaPANA!J7</f>
        <v>0</v>
      </c>
      <c r="F6" s="14">
        <f t="shared" si="0"/>
        <v>4400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424200</v>
      </c>
      <c r="C7" s="9">
        <f>+HojaTICA!K8+HojaNICA!M8+HojaREVENTADO!K8+HojaPrimera!I8+HojaHonduras!K8+HojaDominicana!I8+HojaPANA!G8</f>
        <v>50850</v>
      </c>
      <c r="D7" s="9">
        <f>+HojaTICA!N8+HojaNICA!P8+HojaREVENTADO!O8+HojaPrimera!L8+HojaHonduras!N8+HojaDominicana!L8+HojaPANA!J8</f>
        <v>425500</v>
      </c>
      <c r="F7" s="14">
        <f t="shared" si="0"/>
        <v>-52150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1001900</v>
      </c>
      <c r="C9" s="9">
        <f>+HojaTICA!K10+HojaNICA!M10+HojaREVENTADO!K10+HojaPrimera!I10+HojaHonduras!K10+HojaDominicana!I10+HojaPANA!G10</f>
        <v>118780</v>
      </c>
      <c r="D9" s="9">
        <f>+HojaTICA!N10+HojaNICA!P10+HojaREVENTADO!O10+HojaPrimera!L10+HojaHonduras!N10+HojaDominicana!L10+HojaPANA!J10</f>
        <v>743750</v>
      </c>
      <c r="F9" s="14">
        <f t="shared" si="0"/>
        <v>139370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85800</v>
      </c>
      <c r="C10" s="9">
        <f>+HojaTICA!K11+HojaNICA!M11+HojaREVENTADO!K11+HojaPrimera!I11+HojaHonduras!K11+HojaDominicana!I11+HojaPANA!G11</f>
        <v>10300</v>
      </c>
      <c r="D10" s="9">
        <f>+HojaTICA!N11+HojaNICA!P11+HojaREVENTADO!O11+HojaPrimera!L11+HojaHonduras!N11+HojaDominicana!L11+HojaPANA!J11</f>
        <v>425000</v>
      </c>
      <c r="F10" s="14">
        <f t="shared" si="0"/>
        <v>-349500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253550</v>
      </c>
      <c r="C11" s="9">
        <f>+HojaTICA!K12+HojaNICA!M12+HojaREVENTADO!K12+HojaPrimera!I12+HojaHonduras!K12+HojaDominicana!I12+HojaPANA!G12</f>
        <v>30290</v>
      </c>
      <c r="D11" s="9">
        <f>+HojaTICA!N12+HojaNICA!P12+HojaREVENTADO!O12+HojaPrimera!L12+HojaHonduras!N12+HojaDominicana!L12+HojaPANA!J12</f>
        <v>131750</v>
      </c>
      <c r="F11" s="14">
        <f t="shared" si="0"/>
        <v>91510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178650</v>
      </c>
      <c r="C12" s="9">
        <f>+HojaTICA!K13+HojaNICA!M13+HojaREVENTADO!K13+HojaPrimera!I13+HojaHonduras!K13+HojaDominicana!I13+HojaPANA!G13</f>
        <v>21400</v>
      </c>
      <c r="D12" s="9">
        <f>+HojaTICA!N13+HojaNICA!P13+HojaREVENTADO!O13+HojaPrimera!L13+HojaHonduras!N13+HojaDominicana!L13+HojaPANA!J13</f>
        <v>131750</v>
      </c>
      <c r="F12" s="14">
        <f t="shared" si="0"/>
        <v>25500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115600</v>
      </c>
      <c r="C13" s="9">
        <f>+HojaTICA!K14+HojaNICA!M14+HojaREVENTADO!K14+HojaPrimera!I14+HojaHonduras!K14+HojaDominicana!I14+HojaPANA!G14</f>
        <v>17350</v>
      </c>
      <c r="D13" s="9">
        <f>+HojaTICA!N14+HojaNICA!P14+HojaREVENTADO!O14+HojaPrimera!L14+HojaHonduras!N14+HojaDominicana!L14+HojaPANA!J14</f>
        <v>44000</v>
      </c>
      <c r="F13" s="14">
        <f t="shared" si="0"/>
        <v>54250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70350</v>
      </c>
      <c r="C15" s="9">
        <f>+HojaTICA!K16+HojaNICA!M16+HojaREVENTADO!K16+HojaPrimera!I16+HojaHonduras!K16+HojaDominicana!I16+HojaPANA!G16</f>
        <v>8400</v>
      </c>
      <c r="D15" s="9">
        <f>+HojaTICA!N16+HojaNICA!P16+HojaREVENTADO!O16+HojaPrimera!L16+HojaHonduras!N16+HojaDominicana!L16+HojaPANA!J16</f>
        <v>21250</v>
      </c>
      <c r="F15" s="14">
        <f t="shared" si="0"/>
        <v>40700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1176800</v>
      </c>
      <c r="C16" s="9">
        <f>+HojaTICA!K17+HojaNICA!M17+HojaREVENTADO!K17+HojaPrimera!I17+HojaHonduras!K17+HojaDominicana!I17+HojaPANA!G17</f>
        <v>140065</v>
      </c>
      <c r="D16" s="9">
        <f>+HojaTICA!N17+HojaNICA!P17+HojaREVENTADO!O17+HojaPrimera!L17+HojaHonduras!N17+HojaDominicana!L17+HojaPANA!J17</f>
        <v>1181500</v>
      </c>
      <c r="F16" s="14">
        <f t="shared" si="0"/>
        <v>-144765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399950</v>
      </c>
      <c r="C17" s="9">
        <f>+HojaTICA!K18+HojaNICA!M18+HojaREVENTADO!K18+HojaPrimera!I18+HojaHonduras!K18+HojaDominicana!I18+HojaPANA!G18</f>
        <v>46820</v>
      </c>
      <c r="D17" s="9">
        <f>+HojaTICA!N18+HojaNICA!P18+HojaREVENTADO!O18+HojaPrimera!L18+HojaHonduras!N18+HojaDominicana!L18+HojaPANA!J18</f>
        <v>514250</v>
      </c>
      <c r="F17" s="14">
        <f t="shared" si="0"/>
        <v>-161120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4191850</v>
      </c>
      <c r="C28" s="17">
        <f t="shared" si="1"/>
        <v>507255</v>
      </c>
      <c r="D28" s="18">
        <f t="shared" si="1"/>
        <v>3830750</v>
      </c>
      <c r="F28" s="20">
        <f>SUM(F3:F27)</f>
        <v>-146155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15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77</v>
      </c>
      <c r="C19" s="133">
        <v>56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20</v>
      </c>
      <c r="C20" s="164">
        <v>85</v>
      </c>
      <c r="D20" s="167">
        <v>21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55</v>
      </c>
      <c r="C21" s="165">
        <v>41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04</v>
      </c>
      <c r="D2" s="269"/>
      <c r="E2" s="268">
        <f>DigitaTICA!E2</f>
        <v>15</v>
      </c>
      <c r="F2" s="269"/>
      <c r="G2" s="268">
        <f>DigitaTICA!G2</f>
        <v>51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64300</v>
      </c>
      <c r="D4" s="30">
        <f>IF(Vendedor1!$E$7="",0,Vendedor1!$E$7)</f>
        <v>500</v>
      </c>
      <c r="E4" s="181">
        <f>IF(Vendedor1!$C$11="",0,Vendedor1!$C$11)</f>
        <v>55900</v>
      </c>
      <c r="F4" s="30">
        <f>IF(Vendedor1!$E$11="",0,Vendedor1!$E$11)</f>
        <v>600</v>
      </c>
      <c r="G4" s="181">
        <f>IF(Vendedor1!$C$15="",0,Vendedor1!$C$15)</f>
        <v>117400</v>
      </c>
      <c r="H4" s="30">
        <f>IF(Vendedor1!$E$15="",0,Vendedor1!$E$15)</f>
        <v>550</v>
      </c>
      <c r="J4" s="42">
        <f t="shared" ref="J4:J7" si="0">+C4+E4+G4</f>
        <v>237600</v>
      </c>
      <c r="K4" s="41">
        <f>MROUND(J4*Vendedor1!J$9,50)</f>
        <v>30900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66450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47850</v>
      </c>
      <c r="D5" s="30">
        <f>IF(Vendedor2!$E$7="",0,Vendedor2!$E$7)</f>
        <v>450</v>
      </c>
      <c r="E5" s="181">
        <f>IF(Vendedor2!$C$11="",0,Vendedor2!$C$11)</f>
        <v>17300</v>
      </c>
      <c r="F5" s="30">
        <f>IF(Vendedor2!$E$11="",0,Vendedor2!$E$11)</f>
        <v>0</v>
      </c>
      <c r="G5" s="181">
        <f>IF(Vendedor2!$C$15="",0,Vendedor2!$C$15)</f>
        <v>98100</v>
      </c>
      <c r="H5" s="30">
        <f>IF(Vendedor2!$E$15="",0,Vendedor2!$E$15)</f>
        <v>300</v>
      </c>
      <c r="J5" s="42">
        <f t="shared" si="0"/>
        <v>163250</v>
      </c>
      <c r="K5" s="41">
        <f>MROUND(J5*Vendedor2!J$9,50)</f>
        <v>21200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78300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5000</v>
      </c>
      <c r="H7" s="30">
        <f>IF(Vendedor4!$E$15="",0,Vendedor4!$E$15)</f>
        <v>0</v>
      </c>
      <c r="J7" s="42">
        <f t="shared" si="0"/>
        <v>5000</v>
      </c>
      <c r="K7" s="41">
        <f>MROUND(J7*Vendedor4!J$9,50)</f>
        <v>600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4400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56800</v>
      </c>
      <c r="D8" s="30">
        <f>IF(Vendedor5!$E$7="",0,Vendedor5!$E$7)</f>
        <v>1000</v>
      </c>
      <c r="E8" s="181">
        <f>IF(Vendedor5!$C$11="",0,Vendedor5!$C$11)</f>
        <v>51800</v>
      </c>
      <c r="F8" s="30">
        <f>IF(Vendedor5!$E$11="",0,Vendedor5!$E$11)</f>
        <v>2600</v>
      </c>
      <c r="G8" s="181">
        <f>IF(Vendedor5!$C$15="",0,Vendedor5!$C$15)</f>
        <v>73250</v>
      </c>
      <c r="H8" s="30">
        <f>IF(Vendedor5!$E$15="",0,Vendedor5!$E$15)</f>
        <v>700</v>
      </c>
      <c r="J8" s="42">
        <f t="shared" ref="J8" si="4">+C8+E8+G8</f>
        <v>181850</v>
      </c>
      <c r="K8" s="41">
        <f>MROUND(J8*Vendedor5!J$11,50)</f>
        <v>21800</v>
      </c>
      <c r="L8" s="42">
        <f t="shared" ref="L8" si="5">+D8+F8+H8</f>
        <v>4300</v>
      </c>
      <c r="M8" s="42">
        <f t="shared" ref="M8" si="6">+L8*85</f>
        <v>365500</v>
      </c>
      <c r="N8" s="42">
        <f>Vendedor5!$F$7+Vendedor5!$F$11+Vendedor5!$F$15</f>
        <v>365500</v>
      </c>
      <c r="P8" s="42">
        <f t="shared" ref="P8" si="7">+J8-K8-N8</f>
        <v>-205450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132700</v>
      </c>
      <c r="D10" s="30">
        <f>IF(Vendedor7!$E$7="",0,Vendedor7!$E$7)</f>
        <v>1250</v>
      </c>
      <c r="E10" s="181">
        <f>IF(Vendedor7!$C$11="",0,Vendedor7!$C$11)</f>
        <v>155700</v>
      </c>
      <c r="F10" s="30">
        <f>IF(Vendedor7!$E$11="",0,Vendedor7!$E$11)</f>
        <v>850</v>
      </c>
      <c r="G10" s="181">
        <f>IF(Vendedor7!$C$15="",0,Vendedor7!$C$15)</f>
        <v>184450</v>
      </c>
      <c r="H10" s="30">
        <f>IF(Vendedor7!$E$15="",0,Vendedor7!$E$15)</f>
        <v>2500</v>
      </c>
      <c r="J10" s="42">
        <f t="shared" si="8"/>
        <v>472850</v>
      </c>
      <c r="K10" s="41">
        <f>MROUND(J10*Vendedor7!J$14,50)</f>
        <v>56750</v>
      </c>
      <c r="L10" s="42">
        <f t="shared" si="9"/>
        <v>4600</v>
      </c>
      <c r="M10" s="42">
        <f t="shared" si="10"/>
        <v>391000</v>
      </c>
      <c r="N10" s="42">
        <f>Vendedor7!$F$7+Vendedor7!$F$11+Vendedor7!$F$15</f>
        <v>391000</v>
      </c>
      <c r="P10" s="42">
        <f t="shared" si="11"/>
        <v>25100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34000</v>
      </c>
      <c r="D11" s="30">
        <f>IF(Vendedor8!$E$7="",0,Vendedor8!$E$7)</f>
        <v>5000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51800</v>
      </c>
      <c r="H11" s="30">
        <f>IF(Vendedor8!$E$15="",0,Vendedor8!$E$15)</f>
        <v>0</v>
      </c>
      <c r="J11" s="42">
        <f t="shared" si="8"/>
        <v>85800</v>
      </c>
      <c r="K11" s="41">
        <f>MROUND(J11*Vendedor8!J$11,50)</f>
        <v>10300</v>
      </c>
      <c r="L11" s="42">
        <f t="shared" si="9"/>
        <v>5000</v>
      </c>
      <c r="M11" s="42">
        <f t="shared" si="10"/>
        <v>425000</v>
      </c>
      <c r="N11" s="42">
        <f>Vendedor8!$F$7+Vendedor8!$F$11+Vendedor8!$F$15</f>
        <v>425000</v>
      </c>
      <c r="P11" s="42">
        <f t="shared" si="11"/>
        <v>-349500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41750</v>
      </c>
      <c r="D12" s="30">
        <f>IF(Vendedor9!$E$7="",0,Vendedor9!$E$7)</f>
        <v>300</v>
      </c>
      <c r="E12" s="181">
        <f>IF(Vendedor9!$C$11="",0,Vendedor9!$C$11)</f>
        <v>37800</v>
      </c>
      <c r="F12" s="30">
        <f>IF(Vendedor9!$E$11="",0,Vendedor9!$E$11)</f>
        <v>300</v>
      </c>
      <c r="G12" s="181">
        <f>IF(Vendedor9!$C$15="",0,Vendedor9!$C$15)</f>
        <v>39500</v>
      </c>
      <c r="H12" s="30">
        <f>IF(Vendedor9!$E$15="",0,Vendedor9!$E$15)</f>
        <v>0</v>
      </c>
      <c r="J12" s="42">
        <f t="shared" si="8"/>
        <v>119050</v>
      </c>
      <c r="K12" s="41">
        <f>MROUND(J12*Vendedor9!J$11,50)</f>
        <v>14300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53750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41300</v>
      </c>
      <c r="D13" s="30">
        <f>IF(Vendedor10!$E$7="",0,Vendedor10!$E$7)</f>
        <v>300</v>
      </c>
      <c r="E13" s="181">
        <f>IF(Vendedor10!$C$11="",0,Vendedor10!$C$11)</f>
        <v>20050</v>
      </c>
      <c r="F13" s="30">
        <f>IF(Vendedor10!$E$11="",0,Vendedor10!$E$11)</f>
        <v>500</v>
      </c>
      <c r="G13" s="181">
        <f>IF(Vendedor10!$C$15="",0,Vendedor10!$C$15)</f>
        <v>67150</v>
      </c>
      <c r="H13" s="30">
        <f>IF(Vendedor10!$E$15="",0,Vendedor10!$E$15)</f>
        <v>750</v>
      </c>
      <c r="J13" s="42">
        <f t="shared" si="8"/>
        <v>128500</v>
      </c>
      <c r="K13" s="41">
        <f>MROUND(J13*Vendedor10!J$9,50)</f>
        <v>15400</v>
      </c>
      <c r="L13" s="42">
        <f t="shared" si="9"/>
        <v>1550</v>
      </c>
      <c r="M13" s="42">
        <f t="shared" si="10"/>
        <v>131750</v>
      </c>
      <c r="N13" s="42">
        <f>Vendedor10!$F$7+Vendedor10!$F$11+Vendedor10!$F$15</f>
        <v>131750</v>
      </c>
      <c r="P13" s="42">
        <f t="shared" si="11"/>
        <v>-18650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40900</v>
      </c>
      <c r="D14" s="30">
        <f>IF(Vendedor11!$E$7="",0,Vendedor11!$E$7)</f>
        <v>0</v>
      </c>
      <c r="E14" s="181">
        <f>IF(Vendedor11!$C$11="",0,Vendedor11!$C$11)</f>
        <v>29600</v>
      </c>
      <c r="F14" s="30">
        <f>IF(Vendedor11!$E$11="",0,Vendedor11!$E$11)</f>
        <v>550</v>
      </c>
      <c r="G14" s="181">
        <f>IF(Vendedor11!$C$15="",0,Vendedor11!$C$15)</f>
        <v>45100</v>
      </c>
      <c r="H14" s="30">
        <f>IF(Vendedor11!$E$15="",0,Vendedor11!$E$15)</f>
        <v>0</v>
      </c>
      <c r="J14" s="42">
        <f t="shared" si="8"/>
        <v>115600</v>
      </c>
      <c r="K14" s="41">
        <f>MROUND(J14*Vendedor11!J$9,50)</f>
        <v>17350</v>
      </c>
      <c r="L14" s="42">
        <f t="shared" si="9"/>
        <v>550</v>
      </c>
      <c r="M14" s="42">
        <f t="shared" si="10"/>
        <v>46750</v>
      </c>
      <c r="N14" s="42">
        <f>Vendedor11!$F$7+Vendedor11!$F$11+Vendedor11!$F$15</f>
        <v>44000</v>
      </c>
      <c r="P14" s="42">
        <f t="shared" si="11"/>
        <v>54250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16000</v>
      </c>
      <c r="D16" s="30">
        <f>IF(Vendedor13!$E$7="",0,Vendedor13!$E$7)</f>
        <v>250</v>
      </c>
      <c r="E16" s="181">
        <f>IF(Vendedor13!$C$11="",0,Vendedor13!$C$11)</f>
        <v>10050</v>
      </c>
      <c r="F16" s="30">
        <f>IF(Vendedor13!$E$11="",0,Vendedor13!$E$11)</f>
        <v>0</v>
      </c>
      <c r="G16" s="181">
        <f>IF(Vendedor13!$C$15="",0,Vendedor13!$C$15)</f>
        <v>20600</v>
      </c>
      <c r="H16" s="30">
        <f>IF(Vendedor13!$E$15="",0,Vendedor13!$E$15)</f>
        <v>0</v>
      </c>
      <c r="J16" s="42">
        <f t="shared" si="8"/>
        <v>46650</v>
      </c>
      <c r="K16" s="41">
        <f>MROUND(J16*Vendedor13!J$11,50)</f>
        <v>5600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19800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143650</v>
      </c>
      <c r="D17" s="30">
        <f>IF(Vendedor14!$E$7="",0,Vendedor14!$E$7)</f>
        <v>2650</v>
      </c>
      <c r="E17" s="181">
        <f>IF(Vendedor14!$C$11="",0,Vendedor14!$C$11)</f>
        <v>116200</v>
      </c>
      <c r="F17" s="30">
        <f>IF(Vendedor14!$E$11="",0,Vendedor14!$E$11)</f>
        <v>1700</v>
      </c>
      <c r="G17" s="181">
        <f>IF(Vendedor14!$C$15="",0,Vendedor14!$C$15)</f>
        <v>232150</v>
      </c>
      <c r="H17" s="30">
        <f>IF(Vendedor14!$E$15="",0,Vendedor14!$E$15)</f>
        <v>3950</v>
      </c>
      <c r="J17" s="42">
        <f t="shared" si="8"/>
        <v>492000</v>
      </c>
      <c r="K17" s="41">
        <f>MROUND(J17*Vendedor14!J$15,50)</f>
        <v>59050</v>
      </c>
      <c r="L17" s="42">
        <f t="shared" si="9"/>
        <v>8300</v>
      </c>
      <c r="M17" s="42">
        <f t="shared" si="10"/>
        <v>705500</v>
      </c>
      <c r="N17" s="42">
        <f>Vendedor14!$F$7+Vendedor14!$F$11+Vendedor14!$F$15</f>
        <v>705500</v>
      </c>
      <c r="P17" s="42">
        <f t="shared" si="11"/>
        <v>-272550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52050</v>
      </c>
      <c r="D18" s="30">
        <f>IF(Vendedor15!$E$7="",0,Vendedor15!$E$7)</f>
        <v>250</v>
      </c>
      <c r="E18" s="181">
        <f>IF(Vendedor15!$C$11="",0,Vendedor15!$C$11)</f>
        <v>32600</v>
      </c>
      <c r="F18" s="30">
        <f>IF(Vendedor15!$E$11="",0,Vendedor15!$E$11)</f>
        <v>2200</v>
      </c>
      <c r="G18" s="181">
        <f>IF(Vendedor15!$C$15="",0,Vendedor15!$C$15)</f>
        <v>80850</v>
      </c>
      <c r="H18" s="30">
        <f>IF(Vendedor15!$E$15="",0,Vendedor15!$E$15)</f>
        <v>800</v>
      </c>
      <c r="J18" s="42">
        <f t="shared" ref="J18" si="12">+C18+E18+G18</f>
        <v>165500</v>
      </c>
      <c r="K18" s="41">
        <f>MROUND(J18*Vendedor15!J$15,50)</f>
        <v>19850</v>
      </c>
      <c r="L18" s="42">
        <f t="shared" ref="L18" si="13">+D18+F18+H18</f>
        <v>3250</v>
      </c>
      <c r="M18" s="42">
        <f t="shared" ref="M18" si="14">+L18*85</f>
        <v>276250</v>
      </c>
      <c r="N18" s="42">
        <f>Vendedor15!$F$7+Vendedor15!$F$11+Vendedor15!$F$15</f>
        <v>276250</v>
      </c>
      <c r="P18" s="42">
        <f t="shared" ref="P18" si="15">+J18-K18-N18</f>
        <v>-130600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671300</v>
      </c>
      <c r="D32" s="44">
        <f t="shared" si="16"/>
        <v>11950</v>
      </c>
      <c r="E32" s="43">
        <f t="shared" si="16"/>
        <v>527000</v>
      </c>
      <c r="F32" s="44">
        <f t="shared" si="16"/>
        <v>9300</v>
      </c>
      <c r="G32" s="43">
        <f t="shared" si="16"/>
        <v>1015350</v>
      </c>
      <c r="H32" s="44">
        <f t="shared" si="16"/>
        <v>9550</v>
      </c>
      <c r="J32" s="96">
        <f>SUM(J4:J31)</f>
        <v>2213650</v>
      </c>
      <c r="K32" s="45">
        <f>SUM(K7:K31)</f>
        <v>221000</v>
      </c>
      <c r="L32" s="96">
        <f>SUM(L4:L31)</f>
        <v>30800</v>
      </c>
      <c r="M32" s="96">
        <f>SUM(M4:M31)</f>
        <v>2618000</v>
      </c>
      <c r="N32" s="96">
        <f>SUM(N4:N31)</f>
        <v>2615250</v>
      </c>
      <c r="P32" s="80">
        <f>SUM(P4:P31)</f>
        <v>-674700</v>
      </c>
    </row>
    <row r="33" spans="3:13" x14ac:dyDescent="0.35">
      <c r="D33" s="100">
        <f>+D32*85</f>
        <v>1015750</v>
      </c>
      <c r="F33" s="100">
        <f>+F32*85</f>
        <v>790500</v>
      </c>
      <c r="H33" s="100">
        <f>+H32*85</f>
        <v>811750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2213650</v>
      </c>
      <c r="E36" s="43">
        <f>+D36-J4-J5-J6</f>
        <v>1812800</v>
      </c>
      <c r="G36" s="102"/>
    </row>
    <row r="37" spans="3:13" x14ac:dyDescent="0.35">
      <c r="C37" s="47" t="s">
        <v>33</v>
      </c>
      <c r="D37" s="48">
        <f>D36*13%</f>
        <v>287774.5</v>
      </c>
      <c r="E37">
        <f>+D37-K4-K5-K6</f>
        <v>235674.5</v>
      </c>
      <c r="G37" s="101"/>
      <c r="H37" s="101"/>
    </row>
    <row r="38" spans="3:13" ht="15" thickBot="1" x14ac:dyDescent="0.4">
      <c r="C38" s="47" t="s">
        <v>30</v>
      </c>
      <c r="D38" s="30">
        <f>M32</f>
        <v>2618000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-692124.5</v>
      </c>
      <c r="F39" s="99">
        <f>+P32-D39</f>
        <v>17424.5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-692124.5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69</v>
      </c>
      <c r="D2" s="269"/>
      <c r="E2" s="268">
        <f>DigitaNICA!E2</f>
        <v>88</v>
      </c>
      <c r="F2" s="269"/>
      <c r="G2" s="268">
        <f>DigitaNICA!G2</f>
        <v>39</v>
      </c>
      <c r="H2" s="269"/>
      <c r="I2" s="268">
        <f>DigitaNICA!I2</f>
        <v>51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24800</v>
      </c>
      <c r="D4" s="79">
        <f>IF(Vendedor1!$E$5="",0,Vendedor1!$E$5)</f>
        <v>0</v>
      </c>
      <c r="E4" s="190">
        <f>IF(Vendedor1!$C$9="",0,Vendedor1!$C$9)</f>
        <v>30300</v>
      </c>
      <c r="F4" s="79">
        <f>IF(Vendedor1!$E$9="",0,Vendedor1!$E$9)</f>
        <v>100</v>
      </c>
      <c r="G4" s="190">
        <f>IF(Vendedor1!$C$13="",0,Vendedor1!$C$13)</f>
        <v>2500</v>
      </c>
      <c r="H4" s="79">
        <f>IF(Vendedor1!$E$13="",0,Vendedor1!$E$13)</f>
        <v>0</v>
      </c>
      <c r="I4" s="190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62400</v>
      </c>
      <c r="M4" s="41">
        <f>MROUND(L4*Vendedor1!J$10,50)</f>
        <v>8100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45800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6100</v>
      </c>
      <c r="D5" s="30">
        <f>IF(Vendedor2!$E$5="",0,Vendedor2!$E$5)</f>
        <v>0</v>
      </c>
      <c r="E5" s="181">
        <f>IF(Vendedor2!$C$9="",0,Vendedor2!$C$9)</f>
        <v>2100</v>
      </c>
      <c r="F5" s="30">
        <f>IF(Vendedor2!$E$9="",0,Vendedor2!$E$9)</f>
        <v>0</v>
      </c>
      <c r="G5" s="181">
        <f>IF(Vendedor2!$C$13="",0,Vendedor2!$C$13)</f>
        <v>2000</v>
      </c>
      <c r="H5" s="30">
        <f>IF(Vendedor2!$E$13="",0,Vendedor2!$E$13)</f>
        <v>0</v>
      </c>
      <c r="I5" s="181">
        <f>IF(Vendedor2!$C$17="",0,Vendedor2!$C$17)</f>
        <v>1000</v>
      </c>
      <c r="J5" s="30">
        <f>IF(Vendedor2!$E$17="",0,Vendedor2!$E$17)</f>
        <v>0</v>
      </c>
      <c r="L5" s="42">
        <f t="shared" si="0"/>
        <v>11200</v>
      </c>
      <c r="M5" s="41">
        <f>MROUND(L5*Vendedor2!J$10,50)</f>
        <v>1450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9750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58000</v>
      </c>
      <c r="D8" s="30">
        <f>IF(Vendedor5!$E$5="",0,Vendedor5!$E$5)</f>
        <v>0</v>
      </c>
      <c r="E8" s="181">
        <f>IF(Vendedor5!$C$9="",0,Vendedor5!$C$9)</f>
        <v>43150</v>
      </c>
      <c r="F8" s="30">
        <f>IF(Vendedor5!$E$9="",0,Vendedor5!$E$9)</f>
        <v>0</v>
      </c>
      <c r="G8" s="181">
        <f>IF(Vendedor5!$C$13="",0,Vendedor5!$C$13)</f>
        <v>43950</v>
      </c>
      <c r="H8" s="30">
        <f>IF(Vendedor5!$E$13="",0,Vendedor5!$E$13)</f>
        <v>0</v>
      </c>
      <c r="I8" s="181">
        <f>IF(Vendedor5!$C$17="",0,Vendedor5!$C$17)</f>
        <v>38400</v>
      </c>
      <c r="J8" s="30">
        <f>IF(Vendedor5!$E$17="",0,Vendedor5!$E$17)</f>
        <v>450</v>
      </c>
      <c r="L8" s="42">
        <f t="shared" ref="L8" si="4">C8+E8+G8+I8</f>
        <v>183500</v>
      </c>
      <c r="M8" s="41">
        <f>MROUND(L8*Vendedor5!J$12,50)</f>
        <v>22000</v>
      </c>
      <c r="N8" s="42">
        <f t="shared" ref="N8" si="5">D8+F8+H8+J8</f>
        <v>450</v>
      </c>
      <c r="O8" s="41">
        <f t="shared" si="3"/>
        <v>38250</v>
      </c>
      <c r="P8" s="42">
        <f>Vendedor5!$F$5+Vendedor5!$F$9+Vendedor5!$F$13+Vendedor5!$F$17</f>
        <v>36000</v>
      </c>
      <c r="Q8">
        <v>17</v>
      </c>
      <c r="R8" s="41">
        <f t="shared" ref="R8" si="6">+L8-M8-O8</f>
        <v>123250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92800</v>
      </c>
      <c r="D10" s="30">
        <f>IF(Vendedor7!$E$5="",0,Vendedor7!$E$5)</f>
        <v>1050</v>
      </c>
      <c r="E10" s="181">
        <f>IF(Vendedor7!$C$9="",0,Vendedor7!$C$9)</f>
        <v>127850</v>
      </c>
      <c r="F10" s="30">
        <f>IF(Vendedor7!$E$9="",0,Vendedor7!$E$9)</f>
        <v>1000</v>
      </c>
      <c r="G10" s="181">
        <f>IF(Vendedor7!$C$13="",0,Vendedor7!$C$13)</f>
        <v>68600</v>
      </c>
      <c r="H10" s="30">
        <f>IF(Vendedor7!$E$13="",0,Vendedor7!$E$13)</f>
        <v>150</v>
      </c>
      <c r="I10" s="181">
        <f>IF(Vendedor7!$C$17="",0,Vendedor7!$C$17)</f>
        <v>111400</v>
      </c>
      <c r="J10" s="30">
        <f>IF(Vendedor7!$E$17="",0,Vendedor7!$E$17)</f>
        <v>1750</v>
      </c>
      <c r="L10" s="42">
        <f t="shared" si="7"/>
        <v>400650</v>
      </c>
      <c r="M10" s="41">
        <f>MROUND(L10*Vendedor7!J$15,50)</f>
        <v>48100</v>
      </c>
      <c r="N10" s="42">
        <f t="shared" ref="N10:N27" si="9">D10+F10+H10+J10</f>
        <v>3950</v>
      </c>
      <c r="O10" s="41">
        <f t="shared" si="3"/>
        <v>335750</v>
      </c>
      <c r="P10" s="42">
        <f>Vendedor7!$F$5+Vendedor7!$F$9+Vendedor7!$F$13+Vendedor7!$F$17</f>
        <v>335750</v>
      </c>
      <c r="R10" s="41">
        <f t="shared" si="8"/>
        <v>16800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51600</v>
      </c>
      <c r="D12" s="30">
        <f>IF(Vendedor9!$E$5="",0,Vendedor9!$E$5)</f>
        <v>400</v>
      </c>
      <c r="E12" s="181">
        <f>IF(Vendedor9!$C$9="",0,Vendedor9!$C$9)</f>
        <v>32150</v>
      </c>
      <c r="F12" s="30">
        <f>IF(Vendedor9!$E$9="",0,Vendedor9!$E$9)</f>
        <v>250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83750</v>
      </c>
      <c r="M12" s="41">
        <f>MROUND(L12*Vendedor9!J$12,50)</f>
        <v>10050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18450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29750</v>
      </c>
      <c r="D13" s="30">
        <f>IF(Vendedor10!$E$5="",0,Vendedor10!$E$5)</f>
        <v>0</v>
      </c>
      <c r="E13" s="181">
        <f>IF(Vendedor10!$C$9="",0,Vendedor10!$C$9)</f>
        <v>4950</v>
      </c>
      <c r="F13" s="30">
        <f>IF(Vendedor10!$E$9="",0,Vendedor10!$E$9)</f>
        <v>0</v>
      </c>
      <c r="G13" s="181">
        <f>IF(Vendedor10!$C$13="",0,Vendedor10!$C$13)</f>
        <v>14950</v>
      </c>
      <c r="H13" s="30">
        <f>IF(Vendedor10!$E$13="",0,Vendedor10!$E$13)</f>
        <v>0</v>
      </c>
      <c r="I13" s="181">
        <f>IF(Vendedor10!$C$17="",0,Vendedor10!$C$17)</f>
        <v>500</v>
      </c>
      <c r="J13" s="30">
        <f>IF(Vendedor10!$E$17="",0,Vendedor10!$E$17)</f>
        <v>0</v>
      </c>
      <c r="L13" s="42">
        <f t="shared" si="7"/>
        <v>50150</v>
      </c>
      <c r="M13" s="41">
        <f>MROUND(L13*Vendedor10!J$10,50)</f>
        <v>6000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4950</v>
      </c>
      <c r="D16" s="30">
        <f>IF(Vendedor13!$E$5="",0,Vendedor13!$E$5)</f>
        <v>0</v>
      </c>
      <c r="E16" s="181">
        <f>IF(Vendedor13!$C$9="",0,Vendedor13!$C$9)</f>
        <v>5750</v>
      </c>
      <c r="F16" s="30">
        <f>IF(Vendedor13!$E$9="",0,Vendedor13!$E$9)</f>
        <v>0</v>
      </c>
      <c r="G16" s="181">
        <f>IF(Vendedor13!$C$13="",0,Vendedor13!$C$13)</f>
        <v>300</v>
      </c>
      <c r="H16" s="30">
        <f>IF(Vendedor13!$E$13="",0,Vendedor13!$E$13)</f>
        <v>0</v>
      </c>
      <c r="I16" s="181">
        <f>IF(Vendedor13!$C$17="",0,Vendedor13!$C$17)</f>
        <v>7700</v>
      </c>
      <c r="J16" s="30">
        <f>IF(Vendedor13!$E$17="",0,Vendedor13!$E$17)</f>
        <v>0</v>
      </c>
      <c r="L16" s="42">
        <f t="shared" si="7"/>
        <v>18700</v>
      </c>
      <c r="M16" s="41">
        <f>MROUND(L16*Vendedor13!J$12,50)</f>
        <v>2250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16450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117600</v>
      </c>
      <c r="D17" s="30">
        <f>IF(Vendedor14!$E$5="",0,Vendedor14!$E$5)</f>
        <v>750</v>
      </c>
      <c r="E17" s="181">
        <f>IF(Vendedor14!$C$9="",0,Vendedor14!$C$9)</f>
        <v>94650</v>
      </c>
      <c r="F17" s="30">
        <f>IF(Vendedor14!$E$9="",0,Vendedor14!$E$9)</f>
        <v>600</v>
      </c>
      <c r="G17" s="181">
        <f>IF(Vendedor14!$C$13="",0,Vendedor14!$C$13)</f>
        <v>57000</v>
      </c>
      <c r="H17" s="30">
        <f>IF(Vendedor14!$E$13="",0,Vendedor14!$E$13)</f>
        <v>100</v>
      </c>
      <c r="I17" s="181">
        <f>IF(Vendedor14!$C$17="",0,Vendedor14!$C$17)</f>
        <v>167150</v>
      </c>
      <c r="J17" s="30">
        <f>IF(Vendedor14!$E$17="",0,Vendedor14!$E$17)</f>
        <v>2800</v>
      </c>
      <c r="L17" s="42">
        <f>C17+E17+G17+I17</f>
        <v>436400</v>
      </c>
      <c r="M17" s="41">
        <f>MROUND(L17*Vendedor14!J$16,50)</f>
        <v>52350</v>
      </c>
      <c r="N17" s="42">
        <f t="shared" si="9"/>
        <v>4250</v>
      </c>
      <c r="O17" s="41">
        <f t="shared" si="3"/>
        <v>361250</v>
      </c>
      <c r="P17" s="42">
        <f>Vendedor14!$F$5+Vendedor14!$F$9+Vendedor14!$F$13+Vendedor14!$F$17</f>
        <v>361250</v>
      </c>
      <c r="R17" s="41">
        <f t="shared" si="8"/>
        <v>22800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58150</v>
      </c>
      <c r="D18" s="30">
        <f>IF(Vendedor15!$E$5="",0,Vendedor15!$E$5)</f>
        <v>2200</v>
      </c>
      <c r="E18" s="181">
        <f>IF(Vendedor15!$C$9="",0,Vendedor15!$C$9)</f>
        <v>28800</v>
      </c>
      <c r="F18" s="30">
        <f>IF(Vendedor15!$E$9="",0,Vendedor15!$E$9)</f>
        <v>0</v>
      </c>
      <c r="G18" s="181">
        <f>IF(Vendedor15!$C$13="",0,Vendedor15!$C$13)</f>
        <v>24600</v>
      </c>
      <c r="H18" s="30">
        <f>IF(Vendedor15!$E$13="",0,Vendedor15!$E$13)</f>
        <v>0</v>
      </c>
      <c r="I18" s="181">
        <f>IF(Vendedor15!$C$17="",0,Vendedor15!$C$17)</f>
        <v>3100</v>
      </c>
      <c r="J18" s="30">
        <f>IF(Vendedor15!$E$17="",0,Vendedor15!$E$17)</f>
        <v>0</v>
      </c>
      <c r="L18" s="42">
        <f t="shared" ref="L18:L27" si="10">C18+E18+G18+I18</f>
        <v>114650</v>
      </c>
      <c r="M18" s="41">
        <f>MROUND(L18*Vendedor15!J$16,50)</f>
        <v>13750</v>
      </c>
      <c r="N18" s="42">
        <f t="shared" si="9"/>
        <v>2200</v>
      </c>
      <c r="O18" s="41">
        <f t="shared" si="3"/>
        <v>187000</v>
      </c>
      <c r="P18" s="42">
        <f>Vendedor15!$F$5+Vendedor15!$F$9+Vendedor15!$F$13+Vendedor15!$F$17</f>
        <v>187000</v>
      </c>
      <c r="R18" s="41">
        <f t="shared" si="8"/>
        <v>-86100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443750</v>
      </c>
      <c r="D32" s="44">
        <f t="shared" si="14"/>
        <v>4400</v>
      </c>
      <c r="E32" s="43">
        <f t="shared" si="14"/>
        <v>369700</v>
      </c>
      <c r="F32" s="44">
        <f t="shared" si="14"/>
        <v>1950</v>
      </c>
      <c r="G32" s="43">
        <f t="shared" si="14"/>
        <v>213900</v>
      </c>
      <c r="H32" s="44">
        <f t="shared" si="14"/>
        <v>250</v>
      </c>
      <c r="I32" s="43">
        <f t="shared" si="14"/>
        <v>334050</v>
      </c>
      <c r="J32" s="44">
        <f t="shared" si="14"/>
        <v>5000</v>
      </c>
      <c r="L32" s="45">
        <f>SUM(L4:L31)</f>
        <v>1361400</v>
      </c>
      <c r="M32" s="45">
        <f>SUM(M7:M31)</f>
        <v>154500</v>
      </c>
      <c r="N32" s="96">
        <f>SUM(N4:N31)</f>
        <v>11600</v>
      </c>
      <c r="O32" s="46">
        <f>SUM(O4:O31)</f>
        <v>986000</v>
      </c>
      <c r="P32" s="141">
        <f>SUM(P4:P31)</f>
        <v>983250</v>
      </c>
      <c r="R32" s="80">
        <f>SUM(R4:R31)</f>
        <v>211350</v>
      </c>
    </row>
    <row r="33" spans="3:15" x14ac:dyDescent="0.35">
      <c r="D33" s="121">
        <f>+D32*85</f>
        <v>374000</v>
      </c>
      <c r="F33" s="121">
        <f>+F32*85</f>
        <v>165750</v>
      </c>
      <c r="H33" s="121">
        <f>+H32*85</f>
        <v>21250</v>
      </c>
      <c r="J33" s="121">
        <f>+J32*85</f>
        <v>425000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1361400</v>
      </c>
      <c r="E36" s="43">
        <f>+D36-L4-L5-L6</f>
        <v>1287800</v>
      </c>
    </row>
    <row r="37" spans="3:15" x14ac:dyDescent="0.35">
      <c r="C37" s="47" t="s">
        <v>33</v>
      </c>
      <c r="D37" s="48">
        <f>D36*13%</f>
        <v>176982</v>
      </c>
      <c r="E37">
        <f>+D37-M4-M5-M6</f>
        <v>167432</v>
      </c>
    </row>
    <row r="38" spans="3:15" x14ac:dyDescent="0.35">
      <c r="C38" s="47" t="s">
        <v>30</v>
      </c>
      <c r="D38" s="30">
        <f>SUM(O4:O27)</f>
        <v>986000</v>
      </c>
      <c r="G38" s="101"/>
    </row>
    <row r="39" spans="3:15" ht="15" thickBot="1" x14ac:dyDescent="0.4">
      <c r="C39" s="49" t="s">
        <v>4</v>
      </c>
      <c r="D39" s="81">
        <f>+D36-D37-D38</f>
        <v>198418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198418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15 Blanca</v>
      </c>
      <c r="F2" s="269"/>
      <c r="G2" s="268" t="str">
        <f>IF(G33=0,"",CONCATENATE(PREMIOS!$B15," ",PREMIOS!$B16))</f>
        <v>51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27250</v>
      </c>
      <c r="D10" s="30">
        <f>IF(Vendedor7!$E$8="",0,Vendedor7!$E$8)</f>
        <v>0</v>
      </c>
      <c r="E10" s="181">
        <f>IF(Vendedor7!$C$12="",0,Vendedor7!$C$12)</f>
        <v>17600</v>
      </c>
      <c r="F10" s="30">
        <f>IF(Vendedor7!$E$12="",0,Vendedor7!$E$12)</f>
        <v>0</v>
      </c>
      <c r="G10" s="181">
        <f>IF(Vendedor7!$C$16="",0,Vendedor7!$C$16)</f>
        <v>29450</v>
      </c>
      <c r="H10" s="30">
        <f>IF(Vendedor7!$E$16="",0,Vendedor7!$E$16)</f>
        <v>700</v>
      </c>
      <c r="J10" s="42">
        <f t="shared" si="1"/>
        <v>74300</v>
      </c>
      <c r="K10" s="41">
        <f>J10*Vendedor7!J$16</f>
        <v>7430</v>
      </c>
      <c r="L10" s="42">
        <f t="shared" si="2"/>
        <v>0</v>
      </c>
      <c r="M10" s="42">
        <f t="shared" si="3"/>
        <v>700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66870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2100</v>
      </c>
      <c r="D12" s="30">
        <f>IF(Vendedor9!$E$8="",0,Vendedor9!$E$8)</f>
        <v>0</v>
      </c>
      <c r="E12" s="181">
        <f>IF(Vendedor9!$C$12="",0,Vendedor9!$C$12)</f>
        <v>4800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6900</v>
      </c>
      <c r="K12" s="41">
        <f>J12*Vendedor9!J$13</f>
        <v>690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6210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2500</v>
      </c>
      <c r="H16" s="30">
        <f>IF(Vendedor13!$E$16="",0,Vendedor13!$E$16)</f>
        <v>0</v>
      </c>
      <c r="J16" s="42">
        <f t="shared" si="1"/>
        <v>3500</v>
      </c>
      <c r="K16" s="41">
        <f>J16*Vendedor13!J$13</f>
        <v>350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3150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28500</v>
      </c>
      <c r="D17" s="30">
        <f>IF(Vendedor14!$E$8="",0,Vendedor14!$E$8)</f>
        <v>500</v>
      </c>
      <c r="E17" s="181">
        <f>IF(Vendedor14!$C$12="",0,Vendedor14!$C$12)</f>
        <v>11800</v>
      </c>
      <c r="F17" s="30">
        <f>IF(Vendedor14!$E$12="",0,Vendedor14!$E$12)</f>
        <v>1100</v>
      </c>
      <c r="G17" s="181">
        <f>IF(Vendedor14!$C$16="",0,Vendedor14!$C$16)</f>
        <v>16350</v>
      </c>
      <c r="H17" s="30">
        <f>IF(Vendedor14!$E$16="",0,Vendedor14!$E$16)</f>
        <v>100</v>
      </c>
      <c r="J17" s="42">
        <f t="shared" si="1"/>
        <v>56650</v>
      </c>
      <c r="K17" s="41">
        <f>J17*Vendedor14!J$17</f>
        <v>5665</v>
      </c>
      <c r="L17" s="42">
        <f t="shared" si="2"/>
        <v>0</v>
      </c>
      <c r="M17" s="42">
        <f t="shared" si="3"/>
        <v>1700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50985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20800</v>
      </c>
      <c r="D18" s="30">
        <f>IF(Vendedor15!$E$8="",0,Vendedor15!$E$8)</f>
        <v>0</v>
      </c>
      <c r="E18" s="181">
        <f>IF(Vendedor15!$C$12="",0,Vendedor15!$C$12)</f>
        <v>10800</v>
      </c>
      <c r="F18" s="30">
        <f>IF(Vendedor15!$E$12="",0,Vendedor15!$E$12)</f>
        <v>1000</v>
      </c>
      <c r="G18" s="181">
        <f>IF(Vendedor15!$C$16="",0,Vendedor15!$C$16)</f>
        <v>26100</v>
      </c>
      <c r="H18" s="30">
        <f>IF(Vendedor15!$E$16="",0,Vendedor15!$E$16)</f>
        <v>250</v>
      </c>
      <c r="J18" s="42">
        <f t="shared" ref="J18" si="5">+C18+E18+G18</f>
        <v>57700</v>
      </c>
      <c r="K18" s="41">
        <f>J18*Vendedor15!J$17</f>
        <v>5770</v>
      </c>
      <c r="L18" s="42">
        <f t="shared" si="2"/>
        <v>0</v>
      </c>
      <c r="M18" s="42">
        <f t="shared" si="3"/>
        <v>1250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51930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79650</v>
      </c>
      <c r="D33" s="44">
        <f>IF(PREMIOS!E8&lt;&gt;0,SUM(D4:D32),0)</f>
        <v>0</v>
      </c>
      <c r="E33" s="43">
        <f>SUM(E4:E32)</f>
        <v>45000</v>
      </c>
      <c r="F33" s="44">
        <f>IF(PREMIOS!E12&lt;&gt;0,SUM(F4:F32),0)</f>
        <v>0</v>
      </c>
      <c r="G33" s="43">
        <f>SUM(G4:G32)</f>
        <v>74400</v>
      </c>
      <c r="H33" s="44">
        <f>IF(PREMIOS!E16&lt;&gt;0,SUM(H4:H32),0)</f>
        <v>0</v>
      </c>
      <c r="J33" s="45">
        <f>SUM(J4:J32)</f>
        <v>199050</v>
      </c>
      <c r="K33" s="45">
        <f>SUM(K7:K32)</f>
        <v>19905</v>
      </c>
      <c r="L33" s="96">
        <f>SUM(L7:L32)</f>
        <v>0</v>
      </c>
      <c r="M33" s="96">
        <f>SUM(M7:M32)</f>
        <v>3650</v>
      </c>
      <c r="N33" s="96">
        <f>SUM(N4:N27)</f>
        <v>0</v>
      </c>
      <c r="O33" s="96">
        <f>SUM(O4:O27)</f>
        <v>0</v>
      </c>
      <c r="Q33" s="80">
        <f>SUM(Q4:Q32)</f>
        <v>179145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199050</v>
      </c>
      <c r="E37" s="43">
        <f>+D37-J4-J5-J6</f>
        <v>199050</v>
      </c>
      <c r="F37" s="276"/>
      <c r="G37" s="276"/>
    </row>
    <row r="38" spans="3:17" ht="15" thickBot="1" x14ac:dyDescent="0.4">
      <c r="C38" s="47" t="s">
        <v>33</v>
      </c>
      <c r="D38" s="30">
        <f>D37*10%</f>
        <v>19905</v>
      </c>
      <c r="E38" s="43">
        <f>+D38-K4-K5-K6</f>
        <v>19905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179145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179145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77</v>
      </c>
      <c r="D2" s="269"/>
      <c r="E2" s="268">
        <f>DigitaPRIMERA!E2</f>
        <v>56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2500</v>
      </c>
      <c r="D4" s="79">
        <f>IF(Vendedor1!$E$19="",0,Vendedor1!$E$19)</f>
        <v>0</v>
      </c>
      <c r="E4" s="190">
        <f>IF(Vendedor1!$C$20="",0,Vendedor1!$C$20)</f>
        <v>2100</v>
      </c>
      <c r="F4" s="79">
        <f>IF(Vendedor1!$E$20="",0,Vendedor1!$E$20)</f>
        <v>0</v>
      </c>
      <c r="H4" s="42">
        <f>+C4+E4</f>
        <v>4600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4000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26500</v>
      </c>
      <c r="D8" s="30">
        <f>IF(Vendedor5!$E$19="",0,Vendedor5!$E$19)</f>
        <v>0</v>
      </c>
      <c r="E8" s="181">
        <f>IF(Vendedor5!$C$20="",0,Vendedor5!$C$20)</f>
        <v>32350</v>
      </c>
      <c r="F8" s="30">
        <f>IF(Vendedor5!$E$20="",0,Vendedor5!$E$20)</f>
        <v>300</v>
      </c>
      <c r="H8" s="134">
        <f t="shared" si="1"/>
        <v>58850</v>
      </c>
      <c r="I8" s="149">
        <f>MROUND(H8*Vendedor5!J$11,50)</f>
        <v>7050</v>
      </c>
      <c r="J8" s="134">
        <f t="shared" si="2"/>
        <v>300</v>
      </c>
      <c r="K8" s="134">
        <f t="shared" si="3"/>
        <v>25500</v>
      </c>
      <c r="L8" s="134">
        <f>Vendedor5!$F$19+Vendedor5!$F$20</f>
        <v>24000</v>
      </c>
      <c r="M8" s="156"/>
      <c r="N8" s="134">
        <f t="shared" si="0"/>
        <v>27800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20950</v>
      </c>
      <c r="D10" s="30">
        <f>IF(Vendedor7!$E$19="",0,Vendedor7!$E$19)</f>
        <v>100</v>
      </c>
      <c r="E10" s="181">
        <f>IF(Vendedor7!$C$20="",0,Vendedor7!$C$20)</f>
        <v>7200</v>
      </c>
      <c r="F10" s="30">
        <f>IF(Vendedor7!$E$20="",0,Vendedor7!$E$20)</f>
        <v>100</v>
      </c>
      <c r="H10" s="42">
        <f t="shared" si="1"/>
        <v>28150</v>
      </c>
      <c r="I10" s="41">
        <f>MROUND(H10*Vendedor7!J$14,50)</f>
        <v>3400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7750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43850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43850</v>
      </c>
      <c r="I12" s="149">
        <f>MROUND(H12*Vendedor9!J$11,50)</f>
        <v>5250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13100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51600</v>
      </c>
      <c r="D17" s="30">
        <f>IF(Vendedor14!$E$19="",0,Vendedor14!$E$19)</f>
        <v>200</v>
      </c>
      <c r="E17" s="181">
        <f>IF(Vendedor14!$C$20="",0,Vendedor14!$C$20)</f>
        <v>41450</v>
      </c>
      <c r="F17" s="30">
        <f>IF(Vendedor14!$E$20="",0,Vendedor14!$E$20)</f>
        <v>700</v>
      </c>
      <c r="H17" s="42">
        <f t="shared" si="1"/>
        <v>93050</v>
      </c>
      <c r="I17" s="41">
        <f>MROUND(H17*Vendedor14!J$15,50)</f>
        <v>11150</v>
      </c>
      <c r="J17" s="42">
        <f t="shared" si="2"/>
        <v>900</v>
      </c>
      <c r="K17" s="42">
        <f t="shared" si="3"/>
        <v>76500</v>
      </c>
      <c r="L17" s="42">
        <f>Vendedor14!$F$19+Vendedor14!$F$20</f>
        <v>76500</v>
      </c>
      <c r="N17" s="42">
        <f t="shared" si="0"/>
        <v>5400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37500</v>
      </c>
      <c r="D18" s="30">
        <f>IF(Vendedor15!$E$19="",0,Vendedor15!$E$19)</f>
        <v>0</v>
      </c>
      <c r="E18" s="181">
        <f>IF(Vendedor15!$C$20="",0,Vendedor15!$C$20)</f>
        <v>13100</v>
      </c>
      <c r="F18" s="30">
        <f>IF(Vendedor15!$E$20="",0,Vendedor15!$E$20)</f>
        <v>100</v>
      </c>
      <c r="H18" s="42">
        <f t="shared" si="1"/>
        <v>50600</v>
      </c>
      <c r="I18" s="41">
        <f>MROUND(H18*Vendedor15!J$15,50)</f>
        <v>6050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36050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185400</v>
      </c>
      <c r="D32" s="44">
        <f>SUM(D4:D31)</f>
        <v>600</v>
      </c>
      <c r="E32" s="43">
        <f>SUM(E4:E31)</f>
        <v>96200</v>
      </c>
      <c r="F32" s="44">
        <f>SUM(F4:F31)</f>
        <v>1200</v>
      </c>
      <c r="H32" s="96">
        <f>SUM(H4:H31)</f>
        <v>281600</v>
      </c>
      <c r="I32" s="45">
        <f>SUM(I7:I31)</f>
        <v>33100</v>
      </c>
      <c r="J32" s="96"/>
      <c r="K32" s="96">
        <f>SUM(K4:K31)</f>
        <v>153000</v>
      </c>
      <c r="L32" s="96">
        <f>SUM(L4:L31)</f>
        <v>151500</v>
      </c>
      <c r="N32" s="80">
        <f>SUM(N4:N31)</f>
        <v>96250</v>
      </c>
    </row>
    <row r="33" spans="3:6" x14ac:dyDescent="0.35">
      <c r="D33" s="100">
        <f>+D32*85</f>
        <v>51000</v>
      </c>
      <c r="F33" s="100">
        <f>+F32*85</f>
        <v>102000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281600</v>
      </c>
      <c r="E36" s="43">
        <f>+D36-H4-H5-H6</f>
        <v>276000</v>
      </c>
    </row>
    <row r="37" spans="3:6" x14ac:dyDescent="0.35">
      <c r="C37" s="47" t="s">
        <v>33</v>
      </c>
      <c r="D37" s="48">
        <f>D36*13%</f>
        <v>36608</v>
      </c>
      <c r="E37">
        <f>+D37-I4-I5-I6</f>
        <v>35858</v>
      </c>
    </row>
    <row r="38" spans="3:6" ht="15" thickBot="1" x14ac:dyDescent="0.4">
      <c r="C38" s="47" t="s">
        <v>30</v>
      </c>
      <c r="D38" s="30">
        <f>SUM(K4:K27)</f>
        <v>153000</v>
      </c>
    </row>
    <row r="39" spans="3:6" ht="15" thickBot="1" x14ac:dyDescent="0.4">
      <c r="C39" s="49" t="s">
        <v>4</v>
      </c>
      <c r="D39" s="81">
        <f>+D36-D37-D38</f>
        <v>91992</v>
      </c>
      <c r="F39" s="99">
        <f>+N32-D39</f>
        <v>4258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91992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20</v>
      </c>
      <c r="D2" s="269"/>
      <c r="E2" s="268">
        <f>DigitaHONDURAS!E2</f>
        <v>85</v>
      </c>
      <c r="F2" s="269"/>
      <c r="G2" s="268">
        <f>DigitaHONDURAS!G2</f>
        <v>21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4250</v>
      </c>
      <c r="D10" s="30">
        <f>IF(Vendedor7!$E$21="",0,Vendedor7!$E$21)</f>
        <v>0</v>
      </c>
      <c r="E10" s="181">
        <f>IF(Vendedor7!$C$22="",0,Vendedor7!$C$22)</f>
        <v>9600</v>
      </c>
      <c r="F10" s="30">
        <f>IF(Vendedor7!$E$22="",0,Vendedor7!$E$22)</f>
        <v>0</v>
      </c>
      <c r="G10" s="181">
        <f>IF(Vendedor7!$C$23="",0,Vendedor7!$C$23)</f>
        <v>12100</v>
      </c>
      <c r="H10" s="30">
        <f>IF(Vendedor7!$E$23="",0,Vendedor7!$E$23)</f>
        <v>0</v>
      </c>
      <c r="J10" s="42">
        <f t="shared" si="0"/>
        <v>25950</v>
      </c>
      <c r="K10" s="41">
        <f>MROUND(J10*Vendedor7!J$14,50)</f>
        <v>3100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22850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52800</v>
      </c>
      <c r="D17" s="30">
        <f>IF(Vendedor14!$E$21="",0,Vendedor14!$E$21)</f>
        <v>200</v>
      </c>
      <c r="E17" s="181">
        <f>IF(Vendedor14!$C$22="",0,Vendedor14!$C$22)</f>
        <v>16150</v>
      </c>
      <c r="F17" s="30">
        <f>IF(Vendedor14!$E$22="",0,Vendedor14!$E$22)</f>
        <v>0</v>
      </c>
      <c r="G17" s="181">
        <f>IF(Vendedor14!$C$23="",0,Vendedor14!$C$23)</f>
        <v>29750</v>
      </c>
      <c r="H17" s="30">
        <f>IF(Vendedor14!$E$23="",0,Vendedor14!$E$23)</f>
        <v>250</v>
      </c>
      <c r="J17" s="42">
        <f t="shared" si="0"/>
        <v>98700</v>
      </c>
      <c r="K17" s="41">
        <f>MROUND(J17*Vendedor14!J$15,50)</f>
        <v>11850</v>
      </c>
      <c r="L17" s="42">
        <f t="shared" si="1"/>
        <v>450</v>
      </c>
      <c r="M17" s="42">
        <f t="shared" si="3"/>
        <v>38250</v>
      </c>
      <c r="N17" s="42">
        <f>Vendedor14!$F$21+Vendedor14!$F$22+Vendedor14!$F$23</f>
        <v>38250</v>
      </c>
      <c r="P17" s="42">
        <f t="shared" si="2"/>
        <v>48600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11500</v>
      </c>
      <c r="D18" s="30">
        <f>IF(Vendedor15!$E$21="",0,Vendedor15!$E$21)</f>
        <v>500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11500</v>
      </c>
      <c r="K18" s="41">
        <f>MROUND(J18*Vendedor15!J$15,50)</f>
        <v>1400</v>
      </c>
      <c r="L18" s="42">
        <f t="shared" si="1"/>
        <v>500</v>
      </c>
      <c r="M18" s="42">
        <f t="shared" si="3"/>
        <v>42500</v>
      </c>
      <c r="N18" s="42">
        <f>Vendedor15!$F$21+Vendedor15!$F$22+Vendedor15!$F$23</f>
        <v>42500</v>
      </c>
      <c r="P18" s="42">
        <f t="shared" si="2"/>
        <v>-32400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68550</v>
      </c>
      <c r="D32" s="44">
        <f t="shared" si="8"/>
        <v>700</v>
      </c>
      <c r="E32" s="43">
        <f t="shared" si="8"/>
        <v>25750</v>
      </c>
      <c r="F32" s="44">
        <f t="shared" si="8"/>
        <v>0</v>
      </c>
      <c r="G32" s="43">
        <f t="shared" si="8"/>
        <v>41850</v>
      </c>
      <c r="H32" s="44">
        <f t="shared" si="8"/>
        <v>250</v>
      </c>
      <c r="J32" s="96">
        <f>SUM(J4:J31)</f>
        <v>136150</v>
      </c>
      <c r="K32" s="45">
        <f>SUM(K7:K31)</f>
        <v>16350</v>
      </c>
      <c r="L32" s="96"/>
      <c r="M32" s="96">
        <f>SUM(M4:M31)</f>
        <v>80750</v>
      </c>
      <c r="N32" s="96">
        <f>SUM(N4:N31)</f>
        <v>80750</v>
      </c>
      <c r="P32" s="80">
        <f>SUM(P4:P31)</f>
        <v>39050</v>
      </c>
    </row>
    <row r="33" spans="3:8" x14ac:dyDescent="0.35">
      <c r="D33" s="100">
        <f>+D32*85</f>
        <v>59500</v>
      </c>
      <c r="F33" s="100">
        <f>+F32*85</f>
        <v>0</v>
      </c>
      <c r="H33" s="100">
        <f>+H32*85</f>
        <v>21250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136150</v>
      </c>
      <c r="E36" s="43">
        <f>+D36-J4-J5-J6</f>
        <v>136150</v>
      </c>
    </row>
    <row r="37" spans="3:8" x14ac:dyDescent="0.35">
      <c r="C37" s="47" t="s">
        <v>33</v>
      </c>
      <c r="D37" s="48">
        <f>D36*13%</f>
        <v>17699.5</v>
      </c>
      <c r="E37">
        <f>+D37-K4-K5-K6</f>
        <v>17699.5</v>
      </c>
    </row>
    <row r="38" spans="3:8" ht="15" thickBot="1" x14ac:dyDescent="0.4">
      <c r="C38" s="47" t="s">
        <v>30</v>
      </c>
      <c r="D38" s="30">
        <f>SUM(M4:M27)</f>
        <v>80750</v>
      </c>
      <c r="G38" s="101"/>
    </row>
    <row r="39" spans="3:8" ht="15" thickBot="1" x14ac:dyDescent="0.4">
      <c r="C39" s="49" t="s">
        <v>4</v>
      </c>
      <c r="D39" s="81">
        <f>+D36-D37-D38</f>
        <v>37700.5</v>
      </c>
      <c r="F39" s="99">
        <f>+P32-D39</f>
        <v>1349.5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37700.5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55</v>
      </c>
      <c r="D2" s="269"/>
      <c r="E2" s="268">
        <f>DigitaDOMINICANA!E2</f>
        <v>41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09-03-2026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1287800</v>
      </c>
      <c r="C4" s="158">
        <f>HojaNICA!M32</f>
        <v>154500</v>
      </c>
      <c r="D4" s="151">
        <f>HojaNICA!E37</f>
        <v>167432</v>
      </c>
      <c r="E4" s="151">
        <f>HojaNICA!P32</f>
        <v>983250</v>
      </c>
      <c r="F4" s="151">
        <f>HojaNICA!O32</f>
        <v>986000</v>
      </c>
      <c r="G4" s="152">
        <f t="shared" ref="G4:G10" si="0">+D4-C4+F4-E4</f>
        <v>15682</v>
      </c>
      <c r="H4" s="21"/>
      <c r="I4" s="183"/>
    </row>
    <row r="5" spans="1:9" x14ac:dyDescent="0.35">
      <c r="A5" s="28" t="s">
        <v>19</v>
      </c>
      <c r="B5" s="157">
        <f>HojaTICA!$E$36</f>
        <v>1812800</v>
      </c>
      <c r="C5" s="158">
        <f>HojaTICA!K32</f>
        <v>221000</v>
      </c>
      <c r="D5" s="151">
        <f>HojaTICA!E37</f>
        <v>235674.5</v>
      </c>
      <c r="E5" s="151">
        <f>HojaTICA!N32</f>
        <v>2615250</v>
      </c>
      <c r="F5" s="151">
        <f>HojaTICA!D38</f>
        <v>2618000</v>
      </c>
      <c r="G5" s="152">
        <f t="shared" si="0"/>
        <v>17424.5</v>
      </c>
      <c r="H5" s="21"/>
      <c r="I5" s="183"/>
    </row>
    <row r="6" spans="1:9" x14ac:dyDescent="0.35">
      <c r="A6" s="28" t="s">
        <v>125</v>
      </c>
      <c r="B6" s="157">
        <f>HojaREVENTADO!$E$37</f>
        <v>199050</v>
      </c>
      <c r="C6" s="158">
        <f>HojaREVENTADO!K33</f>
        <v>19905</v>
      </c>
      <c r="D6" s="151">
        <f>HojaREVENTADO!E38</f>
        <v>19905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276000</v>
      </c>
      <c r="C7" s="158">
        <f>HojaPrimera!I32</f>
        <v>33100</v>
      </c>
      <c r="D7" s="151">
        <f>HojaPrimera!E37</f>
        <v>35858</v>
      </c>
      <c r="E7" s="151">
        <f>HojaPrimera!L32</f>
        <v>151500</v>
      </c>
      <c r="F7" s="151">
        <f>HojaPrimera!K32</f>
        <v>153000</v>
      </c>
      <c r="G7" s="152">
        <f t="shared" si="0"/>
        <v>4258</v>
      </c>
      <c r="H7" s="21"/>
      <c r="I7" s="21"/>
    </row>
    <row r="8" spans="1:9" x14ac:dyDescent="0.35">
      <c r="A8" s="28" t="s">
        <v>104</v>
      </c>
      <c r="B8" s="157">
        <f>HojaHonduras!$E$36</f>
        <v>136150</v>
      </c>
      <c r="C8" s="158">
        <f>HojaHonduras!K32</f>
        <v>16350</v>
      </c>
      <c r="D8" s="151">
        <f>HojaHonduras!E37</f>
        <v>17699.5</v>
      </c>
      <c r="E8" s="151">
        <f>HojaHonduras!N32</f>
        <v>80750</v>
      </c>
      <c r="F8" s="151">
        <f>HojaHonduras!M32</f>
        <v>80750</v>
      </c>
      <c r="G8" s="152">
        <f t="shared" si="0"/>
        <v>1349.5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3711800</v>
      </c>
      <c r="C11" s="176">
        <f>SUM(C4:C10)</f>
        <v>444855</v>
      </c>
      <c r="D11" s="176">
        <f t="shared" ref="D11:F11" si="1">SUM(D4:D10)</f>
        <v>476569</v>
      </c>
      <c r="E11" s="176">
        <f t="shared" si="1"/>
        <v>3830750</v>
      </c>
      <c r="F11" s="176">
        <f t="shared" si="1"/>
        <v>3837750</v>
      </c>
      <c r="G11" s="177">
        <f>SUM(G4:G10)</f>
        <v>38714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18714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304600</v>
      </c>
      <c r="E16" s="158">
        <f>+Vendedor1!D21</f>
        <v>39598</v>
      </c>
      <c r="F16" s="159">
        <f>IF(D16&lt;&gt;0,15000,0)</f>
        <v>15000</v>
      </c>
      <c r="G16" s="152">
        <f>+E16-F16</f>
        <v>24598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175450</v>
      </c>
      <c r="E17" s="158">
        <f>+Vendedor2!D21</f>
        <v>22808.5</v>
      </c>
      <c r="F17" s="159">
        <f>IF(D17&lt;&gt;0,15000,0)</f>
        <v>15000</v>
      </c>
      <c r="G17" s="152">
        <f>+E17-F17</f>
        <v>7808.5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480050</v>
      </c>
      <c r="E19" s="160">
        <f>SUM(E16:E18)</f>
        <v>62406.5</v>
      </c>
      <c r="F19" s="161">
        <f>SUM(F16:F18)</f>
        <v>30000</v>
      </c>
      <c r="G19" s="162">
        <f>SUM(G16:G18)</f>
        <v>32406.5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51120.5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09-03-2026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1361400</v>
      </c>
      <c r="C5" s="151">
        <f>HojaNICA!D37</f>
        <v>176982</v>
      </c>
      <c r="D5" s="151">
        <f>HojaNICA!D38</f>
        <v>986000</v>
      </c>
      <c r="E5" s="151"/>
      <c r="F5" s="152">
        <f>+B5-C5-D5+E5</f>
        <v>198418</v>
      </c>
      <c r="H5" s="251" t="s">
        <v>105</v>
      </c>
      <c r="I5" s="245">
        <f ca="1">TODAY()-2</f>
        <v>46090</v>
      </c>
      <c r="O5" s="120"/>
    </row>
    <row r="6" spans="1:15" ht="15" thickBot="1" x14ac:dyDescent="0.4">
      <c r="A6" s="47" t="s">
        <v>36</v>
      </c>
      <c r="B6" s="151">
        <f>HojaTICA!D36</f>
        <v>2213650</v>
      </c>
      <c r="C6" s="151">
        <f>HojaTICA!D37</f>
        <v>287774.5</v>
      </c>
      <c r="D6" s="151">
        <f>HojaTICA!D38</f>
        <v>2618000</v>
      </c>
      <c r="E6" s="151"/>
      <c r="F6" s="152">
        <f t="shared" ref="F6:F11" si="0">+B6-C6-D6+E6</f>
        <v>-692124.5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199050</v>
      </c>
      <c r="C7" s="151">
        <f>HojaREVENTADO!D38</f>
        <v>19905</v>
      </c>
      <c r="D7" s="151">
        <f>HojaREVENTADO!D39</f>
        <v>0</v>
      </c>
      <c r="E7" s="151"/>
      <c r="F7" s="152">
        <f t="shared" si="0"/>
        <v>179145</v>
      </c>
    </row>
    <row r="8" spans="1:15" x14ac:dyDescent="0.35">
      <c r="A8" s="47" t="s">
        <v>96</v>
      </c>
      <c r="B8" s="151">
        <f>HojaPrimera!$D36</f>
        <v>281600</v>
      </c>
      <c r="C8" s="151">
        <f>HojaPrimera!$D37</f>
        <v>36608</v>
      </c>
      <c r="D8" s="151">
        <f>HojaPrimera!$D38</f>
        <v>153000</v>
      </c>
      <c r="E8" s="151"/>
      <c r="F8" s="152">
        <f t="shared" si="0"/>
        <v>91992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136150</v>
      </c>
      <c r="C9" s="151">
        <f>HojaHonduras!$D37</f>
        <v>17699.5</v>
      </c>
      <c r="D9" s="151">
        <f>HojaHonduras!$D38</f>
        <v>80750</v>
      </c>
      <c r="E9" s="151"/>
      <c r="F9" s="152">
        <f t="shared" si="0"/>
        <v>37700.5</v>
      </c>
      <c r="H9" s="252">
        <f>+K12-K10-H6</f>
        <v>-167869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>
        <v>7013567.9399999995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6828698.9399999995</v>
      </c>
    </row>
    <row r="12" spans="1:15" ht="16" thickBot="1" x14ac:dyDescent="0.4">
      <c r="A12" s="145" t="s">
        <v>5</v>
      </c>
      <c r="B12" s="153">
        <f>SUM(B5:B11)</f>
        <v>4191850</v>
      </c>
      <c r="C12" s="153">
        <f>SUM(C5:C11)</f>
        <v>538969</v>
      </c>
      <c r="D12" s="153">
        <f>SUM(D5:D11)</f>
        <v>3837750</v>
      </c>
      <c r="E12" s="153"/>
      <c r="F12" s="257">
        <f>SUM(F5:F11)</f>
        <v>-184869</v>
      </c>
      <c r="H12" s="253">
        <f>K11</f>
        <v>6828698.9399999995</v>
      </c>
      <c r="J12" t="s">
        <v>140</v>
      </c>
      <c r="K12" s="256">
        <f>2510655.07-1445601.01+3093439.8+2687205.08</f>
        <v>6845698.9399999995</v>
      </c>
    </row>
    <row r="13" spans="1:15" x14ac:dyDescent="0.35">
      <c r="K13" s="155">
        <f>+K12-K11</f>
        <v>17000</v>
      </c>
      <c r="M13" s="155"/>
    </row>
    <row r="14" spans="1:15" x14ac:dyDescent="0.35">
      <c r="F14" s="155"/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237600</v>
      </c>
      <c r="K4" s="233">
        <f t="shared" ref="K4" si="0">D7+D11+D15</f>
        <v>30888</v>
      </c>
      <c r="L4" s="222">
        <f>F7+F11+F15</f>
        <v>140250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IF(DigitaNICA!C4&lt;&gt;"",DigitaNICA!C4,"")</f>
        <v>24800</v>
      </c>
      <c r="D5" s="42">
        <f>IF(C5="",0,C5*J$10)</f>
        <v>3224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21576</v>
      </c>
      <c r="I5" s="243" t="s">
        <v>37</v>
      </c>
      <c r="J5" s="223">
        <f>SUM(IF(C5="",0,C5),IF(C9="",0,C9),IF(C13="",0,C13),IF(C17="",0,C17))</f>
        <v>62400</v>
      </c>
      <c r="K5" s="227">
        <f t="shared" ref="K5" si="2">D5+D9+D13+D17</f>
        <v>8112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4600</v>
      </c>
      <c r="K6" s="230">
        <f>D19+D20</f>
        <v>598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IF(DigitaTICA!C4&lt;&gt;"",DigitaTICA!C4,"")</f>
        <v>64300</v>
      </c>
      <c r="D7" s="42">
        <f>IF(C7="",0,C7*J$9)</f>
        <v>8359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13441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IF(DigitaNICA!E4&lt;&gt;"",DigitaNICA!E4,"")</f>
        <v>30300</v>
      </c>
      <c r="D9" s="42">
        <f>IF(C9="",0,C9*J$10)</f>
        <v>3939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18361</v>
      </c>
      <c r="I9" s="77" t="s">
        <v>36</v>
      </c>
      <c r="J9" s="78">
        <v>0.13</v>
      </c>
      <c r="K9" s="79">
        <f>MROUND(D7+D11+D15,50)</f>
        <v>30900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8100</v>
      </c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IF(DigitaTICA!E4&lt;&gt;"",DigitaTICA!E4,"")</f>
        <v>55900</v>
      </c>
      <c r="D11" s="42">
        <f>IF(C11="",0,C11*J$9)</f>
        <v>7267</v>
      </c>
      <c r="E11" s="29">
        <f>IF(DigitaTICA!F4&lt;&gt;"",DigitaTICA!F4,"")</f>
        <v>600</v>
      </c>
      <c r="F11" s="42">
        <f>IF(E11="",0,E11*PREMIOS!F11)</f>
        <v>51000</v>
      </c>
      <c r="G11" s="30">
        <f t="shared" si="1"/>
        <v>-2367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39</v>
      </c>
      <c r="C13" s="29">
        <f>IF(DigitaNICA!G4&lt;&gt;"",DigitaNICA!G4,"")</f>
        <v>2500</v>
      </c>
      <c r="D13" s="42">
        <f>IF(C13="",0,C13*J$10)</f>
        <v>325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2175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IF(DigitaTICA!G4&lt;&gt;"",DigitaTICA!G4,"")</f>
        <v>117400</v>
      </c>
      <c r="D15" s="42">
        <f>IF(C15="",0,C15*J$9)</f>
        <v>15262</v>
      </c>
      <c r="E15" s="29">
        <f>IF(DigitaTICA!H4&lt;&gt;"",DigitaTICA!H4,"")</f>
        <v>550</v>
      </c>
      <c r="F15" s="42">
        <f>IF(E15="",0,E15*PREMIOS!F15)</f>
        <v>46750</v>
      </c>
      <c r="G15" s="30">
        <f t="shared" si="3"/>
        <v>55388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>
        <f>IF(DigitaPRIMERA!C4&lt;&gt;"",DigitaPRIMERA!C4,"")</f>
        <v>2500</v>
      </c>
      <c r="D19" s="42">
        <f>IF(C19="",0,C19*J$12)</f>
        <v>325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2175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>
        <f>IF(DigitaPRIMERA!E4&lt;&gt;"",DigitaPRIMERA!E4,"")</f>
        <v>2100</v>
      </c>
      <c r="D20" s="42">
        <f>IF(C20="",0,C20*J$12)</f>
        <v>273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1827</v>
      </c>
    </row>
    <row r="21" spans="1:7" ht="15" thickBot="1" x14ac:dyDescent="0.4">
      <c r="A21" s="122" t="s">
        <v>5</v>
      </c>
      <c r="B21" s="129"/>
      <c r="C21" s="123">
        <f>SUM(C5:C20)</f>
        <v>304600</v>
      </c>
      <c r="D21" s="123">
        <f t="shared" ref="D21:G21" si="6">SUM(D5:D20)</f>
        <v>39598</v>
      </c>
      <c r="E21" s="123">
        <f t="shared" si="6"/>
        <v>1750</v>
      </c>
      <c r="F21" s="123">
        <f t="shared" si="6"/>
        <v>148250</v>
      </c>
      <c r="G21" s="124">
        <f t="shared" si="6"/>
        <v>116752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163250</v>
      </c>
      <c r="K4" s="233">
        <f t="shared" ref="K4" si="0">D7+D11+D15</f>
        <v>21222.5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IF(DigitaNICA!C5&lt;&gt;"",DigitaNICA!C5,"")</f>
        <v>6100</v>
      </c>
      <c r="D5" s="42">
        <f>IF(C5="",0,C5*J$10)</f>
        <v>793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5307</v>
      </c>
      <c r="I5" s="243" t="s">
        <v>37</v>
      </c>
      <c r="J5" s="223">
        <f>SUM(IF(C5="",0,C5),IF(C9="",0,C9),IF(C13="",0,C13),IF(C17="",0,C17))</f>
        <v>11200</v>
      </c>
      <c r="K5" s="227">
        <f t="shared" ref="K5" si="2">D5+D9+D13+D17</f>
        <v>1456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IF(DigitaTICA!C5&lt;&gt;"",DigitaTICA!C5,"")</f>
        <v>47850</v>
      </c>
      <c r="D7" s="42">
        <f>IF(C7="",0,C7*J$9)</f>
        <v>6220.5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3379.5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IF(DigitaNICA!E5&lt;&gt;"",DigitaNICA!E5,"")</f>
        <v>2100</v>
      </c>
      <c r="D9" s="42">
        <f>IF(C9="",0,C9*J$10)</f>
        <v>273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1827</v>
      </c>
      <c r="I9" s="60" t="s">
        <v>36</v>
      </c>
      <c r="J9" s="61">
        <v>0.13</v>
      </c>
      <c r="K9" s="62">
        <f>MROUND(D7+D11+D15,50)</f>
        <v>21200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1450</v>
      </c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IF(DigitaTICA!E5&lt;&gt;"",DigitaTICA!E5,"")</f>
        <v>17300</v>
      </c>
      <c r="D11" s="42">
        <f>IF(C11="",0,C11*J$9)</f>
        <v>2249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15051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39</v>
      </c>
      <c r="C13" s="29">
        <f>IF(DigitaNICA!G5&lt;&gt;"",DigitaNICA!G5,"")</f>
        <v>2000</v>
      </c>
      <c r="D13" s="42">
        <f>IF(C13="",0,C13*J$10)</f>
        <v>260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IF(DigitaTICA!G5&lt;&gt;"",DigitaTICA!G5,"")</f>
        <v>98100</v>
      </c>
      <c r="D15" s="42">
        <f>IF(C15="",0,C15*J$9)</f>
        <v>12753</v>
      </c>
      <c r="E15" s="29">
        <f>IF(DigitaTICA!H5&lt;&gt;"",DigitaTICA!H5,"")</f>
        <v>300</v>
      </c>
      <c r="F15" s="42">
        <f>IF(E15="",0,E15*PREMIOS!F15)</f>
        <v>25500</v>
      </c>
      <c r="G15" s="30">
        <f t="shared" si="3"/>
        <v>59847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175450</v>
      </c>
      <c r="D21" s="68">
        <f t="shared" ref="D21:G21" si="4">SUM(D5:D20)</f>
        <v>22808.5</v>
      </c>
      <c r="E21" s="68">
        <f t="shared" si="4"/>
        <v>750</v>
      </c>
      <c r="F21" s="68">
        <f t="shared" si="4"/>
        <v>63750</v>
      </c>
      <c r="G21" s="89">
        <f t="shared" si="4"/>
        <v>88891.5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5000</v>
      </c>
      <c r="K4" s="233">
        <f t="shared" ref="K4" si="0">D7+D11+D15</f>
        <v>600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95">
        <f>IF(DigitaTICA!G7&lt;&gt;"",DigitaTICA!G7,"")</f>
        <v>5000</v>
      </c>
      <c r="D15" s="113">
        <f>IF(C15="",0,C15*J$9)</f>
        <v>600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4400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5000</v>
      </c>
      <c r="D19" s="68">
        <f>SUM(D5:D18)</f>
        <v>600</v>
      </c>
      <c r="E19" s="68">
        <f>SUM(E5:E18)</f>
        <v>0</v>
      </c>
      <c r="F19" s="68">
        <f>SUM(F5:F18)</f>
        <v>0</v>
      </c>
      <c r="G19" s="89">
        <f>SUM(G5:G18)</f>
        <v>4400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181850</v>
      </c>
      <c r="K4" s="233">
        <f t="shared" ref="K4" si="0">D7+D11+D15</f>
        <v>21822</v>
      </c>
      <c r="L4" s="222">
        <f>F7+F11+F15</f>
        <v>365500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IF(DigitaNICA!C8&lt;&gt;"",DigitaNICA!C8,"")</f>
        <v>58000</v>
      </c>
      <c r="D5" s="42">
        <f>IF(C5="",0,C5*J$12)</f>
        <v>6960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51040</v>
      </c>
      <c r="I5" s="243" t="s">
        <v>37</v>
      </c>
      <c r="J5" s="223">
        <f>SUM(IF(C5="",0,C5),IF(C9="",0,C9),IF(C13="",0,C13),IF(C17="",0,C17))</f>
        <v>183500</v>
      </c>
      <c r="K5" s="227">
        <f t="shared" ref="K5" si="2">D5+D9+D13+D17</f>
        <v>22020</v>
      </c>
      <c r="L5" s="224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IF(DigitaTICA!C8&lt;&gt;"",DigitaTICA!C8,"")</f>
        <v>56800</v>
      </c>
      <c r="D7" s="42">
        <f>IF(C7="",0,C7*J$11)</f>
        <v>6816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-35016</v>
      </c>
      <c r="I7" s="244" t="s">
        <v>96</v>
      </c>
      <c r="J7" s="226">
        <f>SUM(IF(C19="",0,C19),IF(C20="",0,C20))</f>
        <v>58850</v>
      </c>
      <c r="K7" s="230">
        <f>+D19+D20</f>
        <v>7062</v>
      </c>
      <c r="L7" s="231">
        <f>+F19+F20</f>
        <v>24000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IF(DigitaNICA!E8&lt;&gt;"",DigitaNICA!E8,"")</f>
        <v>43150</v>
      </c>
      <c r="D9" s="42">
        <f>IF(C9="",0,C9*J$12)</f>
        <v>5178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37972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IF(DigitaTICA!E8&lt;&gt;"",DigitaTICA!E8,"")</f>
        <v>51800</v>
      </c>
      <c r="D11" s="42">
        <f>IF(C11="",0,C11*J$11)</f>
        <v>6216</v>
      </c>
      <c r="E11" s="29">
        <f>IF(DigitaTICA!F8&lt;&gt;"",DigitaTICA!F8,"")</f>
        <v>2600</v>
      </c>
      <c r="F11" s="42">
        <f>IF(E11="",0,E11*PREMIOS!F11)</f>
        <v>221000</v>
      </c>
      <c r="G11" s="30">
        <f t="shared" si="1"/>
        <v>-175416</v>
      </c>
      <c r="I11" s="60" t="s">
        <v>36</v>
      </c>
      <c r="J11" s="61">
        <v>0.12</v>
      </c>
      <c r="K11" s="62">
        <f>MROUND(D7+D11+D15,50)</f>
        <v>21800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22000</v>
      </c>
    </row>
    <row r="13" spans="1:12" x14ac:dyDescent="0.35">
      <c r="A13" s="28" t="s">
        <v>50</v>
      </c>
      <c r="B13" s="133">
        <f>IF(DigitaNICA!G2&lt;&gt;"",DigitaNICA!G2,"")</f>
        <v>39</v>
      </c>
      <c r="C13" s="29">
        <f>IF(DigitaNICA!G8&lt;&gt;"",DigitaNICA!G8,"")</f>
        <v>43950</v>
      </c>
      <c r="D13" s="42">
        <f>IF(C13="",0,C13*J$12)</f>
        <v>5274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38676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7050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IF(DigitaTICA!G8&lt;&gt;"",DigitaTICA!G8,"")</f>
        <v>73250</v>
      </c>
      <c r="D15" s="42">
        <f>IF(C15="",0,C15*J$11)</f>
        <v>8790</v>
      </c>
      <c r="E15" s="29">
        <f>IF(DigitaTICA!H8&lt;&gt;"",DigitaTICA!H8,"")</f>
        <v>700</v>
      </c>
      <c r="F15" s="42">
        <f>IF(E15="",0,E15*PREMIOS!F15)</f>
        <v>59500</v>
      </c>
      <c r="G15" s="30">
        <f t="shared" si="4"/>
        <v>4960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>
        <f>IF(DigitaNICA!I8&lt;&gt;"",DigitaNICA!I8,"")</f>
        <v>38400</v>
      </c>
      <c r="D17" s="42">
        <f>IF(C17="",0,C17*J$12)</f>
        <v>4608</v>
      </c>
      <c r="E17" s="29">
        <f>IF(DigitaNICA!J8&lt;&gt;"",DigitaNICA!J8,"")</f>
        <v>450</v>
      </c>
      <c r="F17" s="42">
        <f>IF(E17="",0,E17*PREMIOS!E17)</f>
        <v>36000</v>
      </c>
      <c r="G17" s="30">
        <f t="shared" si="4"/>
        <v>-2208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>
        <f>IF(DigitaPRIMERA!E8&lt;&gt;"",DigitaPRIMERA!E8,"")</f>
        <v>32350</v>
      </c>
      <c r="D20" s="42">
        <f>IF(C20="",0,C20*J$14)</f>
        <v>3882</v>
      </c>
      <c r="E20" s="29">
        <f>IF(DigitaPRIMERA!F8&lt;&gt;"",DigitaPRIMERA!F8,"")</f>
        <v>300</v>
      </c>
      <c r="F20" s="42">
        <f>IF(E20="",0,E20*PREMIOS!E19)</f>
        <v>24000</v>
      </c>
      <c r="G20" s="30">
        <f t="shared" si="4"/>
        <v>4468</v>
      </c>
    </row>
    <row r="21" spans="1:7" ht="15" thickBot="1" x14ac:dyDescent="0.4">
      <c r="A21" s="122" t="s">
        <v>5</v>
      </c>
      <c r="B21" s="129"/>
      <c r="C21" s="123">
        <f>SUM(C5:C20)</f>
        <v>424200</v>
      </c>
      <c r="D21" s="123">
        <f t="shared" ref="D21:G21" si="5">SUM(D5:D20)</f>
        <v>50904</v>
      </c>
      <c r="E21" s="123">
        <f t="shared" si="5"/>
        <v>5050</v>
      </c>
      <c r="F21" s="123">
        <f t="shared" si="5"/>
        <v>425500</v>
      </c>
      <c r="G21" s="124">
        <f t="shared" si="5"/>
        <v>-52204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472850</v>
      </c>
      <c r="K4" s="233">
        <f t="shared" ref="K4" si="0">D7+D11+D15</f>
        <v>56742</v>
      </c>
      <c r="L4" s="222">
        <f>F7+F11+F15</f>
        <v>391000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IF(DigitaNICA!C10&lt;&gt;"",DigitaNICA!C10,"")</f>
        <v>92800</v>
      </c>
      <c r="D5" s="42">
        <f>IF(C5="",0,C5*J$15)</f>
        <v>11136</v>
      </c>
      <c r="E5" s="29">
        <f>IF(DigitaNICA!D10&lt;&gt;"",DigitaNICA!D10,"")</f>
        <v>1050</v>
      </c>
      <c r="F5" s="42">
        <f>IF(E5="",0,E5*PREMIOS!F5)</f>
        <v>89250</v>
      </c>
      <c r="G5" s="30">
        <f t="shared" ref="G5:G12" si="1">IF(OR(C5="",E5=""),0,C5-D5-F5)</f>
        <v>-7586</v>
      </c>
      <c r="I5" s="219" t="s">
        <v>37</v>
      </c>
      <c r="J5" s="223">
        <f>SUM(IF(C5="",0,C5),IF(C9="",0,C9),IF(C13="",0,C13),IF(C17="",0,C17))</f>
        <v>400650</v>
      </c>
      <c r="K5" s="227">
        <f t="shared" ref="K5" si="2">D5+D9+D13+D17</f>
        <v>48078</v>
      </c>
      <c r="L5" s="224">
        <f>F5+F9+F13+F17</f>
        <v>335750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74300</v>
      </c>
      <c r="K6" s="228">
        <f t="shared" ref="K6" si="3">+D8+D12+D16</f>
        <v>7430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IF(DigitaTICA!C10&lt;&gt;"",DigitaTICA!C10,"")</f>
        <v>132700</v>
      </c>
      <c r="D7" s="42">
        <f>IF(C7="",0,C7*J$14)</f>
        <v>15924</v>
      </c>
      <c r="E7" s="29">
        <f>IF(DigitaTICA!D10&lt;&gt;"",DigitaTICA!D10,"")</f>
        <v>1250</v>
      </c>
      <c r="F7" s="42">
        <f>IF(E7="",0,E7*PREMIOS!F7)</f>
        <v>106250</v>
      </c>
      <c r="G7" s="30">
        <f t="shared" si="1"/>
        <v>10526</v>
      </c>
      <c r="I7" s="219" t="s">
        <v>96</v>
      </c>
      <c r="J7" s="225">
        <f>SUM(IF(C19="",0,C19),IF(C20="",0,C20))</f>
        <v>28150</v>
      </c>
      <c r="K7" s="228">
        <f>+D19+D20</f>
        <v>3378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27250</v>
      </c>
      <c r="D8" s="42">
        <f>IF(C8="",0,C8*J$16)</f>
        <v>2725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24525</v>
      </c>
      <c r="I8" s="219" t="s">
        <v>104</v>
      </c>
      <c r="J8" s="225">
        <f>SUM(IF(C21="",0,C21),IF(C22="",0,C22),IF(C23="",0,C23))</f>
        <v>25950</v>
      </c>
      <c r="K8" s="228">
        <f t="shared" ref="K8" si="4">D21+D22+D23</f>
        <v>3114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IF(DigitaNICA!E10&lt;&gt;"",DigitaNICA!E10,"")</f>
        <v>127850</v>
      </c>
      <c r="D9" s="42">
        <f>IF(C9="",0,C9*J$15)</f>
        <v>15342</v>
      </c>
      <c r="E9" s="29">
        <f>IF(DigitaNICA!F10&lt;&gt;"",DigitaNICA!F10,"")</f>
        <v>1000</v>
      </c>
      <c r="F9" s="42">
        <f>IF(E9="",0,E9*PREMIOS!F9)</f>
        <v>85000</v>
      </c>
      <c r="G9" s="30">
        <f t="shared" si="1"/>
        <v>27508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IF(DigitaTICA!E10&lt;&gt;"",DigitaTICA!E10,"")</f>
        <v>155700</v>
      </c>
      <c r="D11" s="42">
        <f>IF(C11="",0,C11*J$14)</f>
        <v>18684</v>
      </c>
      <c r="E11" s="29">
        <f>IF(DigitaTICA!F10&lt;&gt;"",DigitaTICA!F10,"")</f>
        <v>850</v>
      </c>
      <c r="F11" s="42">
        <f>IF(E11="",0,E11*PREMIOS!F11)</f>
        <v>72250</v>
      </c>
      <c r="G11" s="30">
        <f t="shared" si="1"/>
        <v>64766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17600</v>
      </c>
      <c r="D12" s="42">
        <f>IF(C12="",0,C12*J$16)</f>
        <v>1760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15840</v>
      </c>
    </row>
    <row r="13" spans="1:12" ht="15" thickBot="1" x14ac:dyDescent="0.4">
      <c r="A13" s="28" t="s">
        <v>50</v>
      </c>
      <c r="B13" s="133">
        <f>IF(DigitaNICA!G2&lt;&gt;"",DigitaNICA!G2,"")</f>
        <v>39</v>
      </c>
      <c r="C13" s="29">
        <f>IF(DigitaNICA!G10&lt;&gt;"",DigitaNICA!G10,"")</f>
        <v>68600</v>
      </c>
      <c r="D13" s="42">
        <f>IF(C13="",0,C13*J$15)</f>
        <v>8232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47618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56750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IF(DigitaTICA!G10&lt;&gt;"",DigitaTICA!G10,"")</f>
        <v>184450</v>
      </c>
      <c r="D15" s="42">
        <f>IF(C15="",0,C15*J$14)</f>
        <v>22134</v>
      </c>
      <c r="E15" s="29">
        <f>IF(DigitaTICA!H10&lt;&gt;"",DigitaTICA!H10,"")</f>
        <v>2500</v>
      </c>
      <c r="F15" s="42">
        <f>IF(E15="",0,E15*PREMIOS!F15)</f>
        <v>212500</v>
      </c>
      <c r="G15" s="30">
        <f t="shared" si="6"/>
        <v>-50184</v>
      </c>
      <c r="I15" s="63" t="s">
        <v>37</v>
      </c>
      <c r="J15" s="64">
        <v>0.12</v>
      </c>
      <c r="K15" s="30">
        <f>MROUND(D5+D9+D13+D17,50)</f>
        <v>48100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29450</v>
      </c>
      <c r="D16" s="42">
        <f>IF(C16="",0,C16*J$16)</f>
        <v>2945</v>
      </c>
      <c r="E16" s="29">
        <f>IF(DigitaREVENTADO!H10&lt;&gt;"",DigitaREVENTADO!H10,"")</f>
        <v>700</v>
      </c>
      <c r="F16" s="42">
        <f>IF(E16="",0,E16*PREMIOS!F16)</f>
        <v>0</v>
      </c>
      <c r="G16" s="30">
        <f t="shared" si="6"/>
        <v>26505</v>
      </c>
      <c r="I16" s="63" t="s">
        <v>38</v>
      </c>
      <c r="J16" s="64">
        <v>0.1</v>
      </c>
      <c r="K16" s="30">
        <f>MROUND(D6+D8+D10+D12+D14+D16+D18,50)</f>
        <v>7450</v>
      </c>
    </row>
    <row r="17" spans="1:11" x14ac:dyDescent="0.35">
      <c r="A17" s="28" t="s">
        <v>52</v>
      </c>
      <c r="B17" s="133">
        <f>IF(DigitaNICA!I2&lt;&gt;"",DigitaNICA!I2,"")</f>
        <v>51</v>
      </c>
      <c r="C17" s="29">
        <f>IF(DigitaNICA!I10&lt;&gt;"",DigitaNICA!I10,"")</f>
        <v>111400</v>
      </c>
      <c r="D17" s="42">
        <f>IF(C17="",0,C17*J$15)</f>
        <v>13368</v>
      </c>
      <c r="E17" s="29">
        <f>IF(DigitaNICA!J10&lt;&gt;"",DigitaNICA!J10,"")</f>
        <v>1750</v>
      </c>
      <c r="F17" s="42">
        <f>IF(E17="",0,E17*PREMIOS!F17)</f>
        <v>148750</v>
      </c>
      <c r="G17" s="30">
        <f t="shared" si="6"/>
        <v>-50718</v>
      </c>
      <c r="I17" s="63" t="s">
        <v>96</v>
      </c>
      <c r="J17" s="64">
        <v>0.12</v>
      </c>
      <c r="K17" s="30">
        <f>MROUND(D19+D20,50)</f>
        <v>3400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3100</v>
      </c>
    </row>
    <row r="19" spans="1:11" x14ac:dyDescent="0.35">
      <c r="A19" s="28" t="s">
        <v>97</v>
      </c>
      <c r="B19" s="133">
        <f>IF(DigitaPRIMERA!C2&lt;&gt;"",DigitaPRIMERA!C2,"")</f>
        <v>77</v>
      </c>
      <c r="C19" s="29">
        <f>IF(DigitaPRIMERA!$C$10&lt;&gt;"",DigitaPRIMERA!$C$10,"")</f>
        <v>20950</v>
      </c>
      <c r="D19" s="42">
        <f>IF(C19="",0,C19*J$17)</f>
        <v>2514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9936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>
        <f>IF(DigitaPRIMERA!E2&lt;&gt;"",DigitaPRIMERA!E2,"")</f>
        <v>56</v>
      </c>
      <c r="C20" s="29">
        <f>IF(DigitaPRIMERA!$E$10&lt;&gt;"",DigitaPRIMERA!$E$10,"")</f>
        <v>7200</v>
      </c>
      <c r="D20" s="42">
        <f>IF(C20="",0,C20*J$17)</f>
        <v>864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-2164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20</v>
      </c>
      <c r="C21" s="29">
        <f>IF(DigitaHONDURAS!$C$10&lt;&gt;"",DigitaHONDURAS!$C$10,"")</f>
        <v>4250</v>
      </c>
      <c r="D21" s="42">
        <f>IF(C21="",0,C21*J$18)</f>
        <v>510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3740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>
        <f>IF(DigitaHONDURAS!$E$10&lt;&gt;"",DigitaHONDURAS!$E$10,"")</f>
        <v>9600</v>
      </c>
      <c r="D22" s="42">
        <f>IF(C22="",0,C22*J$18)</f>
        <v>1152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8448</v>
      </c>
    </row>
    <row r="23" spans="1:11" x14ac:dyDescent="0.35">
      <c r="A23" s="28" t="s">
        <v>101</v>
      </c>
      <c r="B23" s="133">
        <f>IF(DigitaHONDURAS!G2&lt;&gt;"",DigitaHONDURAS!G2,"")</f>
        <v>21</v>
      </c>
      <c r="C23" s="29">
        <f>IF(DigitaHONDURAS!$G$10&lt;&gt;"",DigitaHONDURAS!$G$10,"")</f>
        <v>12100</v>
      </c>
      <c r="D23" s="42">
        <f>IF(C23="",0,C23*J$18)</f>
        <v>1452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10648</v>
      </c>
    </row>
    <row r="24" spans="1:11" x14ac:dyDescent="0.35">
      <c r="A24" s="28" t="s">
        <v>107</v>
      </c>
      <c r="B24" s="133">
        <f>IF(DigitaDOMINICANA!C2&lt;&gt;"",DigitaDOMINICANA!C2,"")</f>
        <v>55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>
        <f>IF(DigitaDOMINICANA!E2&lt;&gt;"",DigitaDOMINICANA!E2,"")</f>
        <v>41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1001900</v>
      </c>
      <c r="D27" s="68">
        <f t="shared" ref="D27:F27" si="9">SUM(D5:D26)</f>
        <v>118742</v>
      </c>
      <c r="E27" s="68">
        <f t="shared" si="9"/>
        <v>9450</v>
      </c>
      <c r="F27" s="68">
        <f t="shared" si="9"/>
        <v>743750</v>
      </c>
      <c r="G27" s="89">
        <f>SUM(G5:G26)</f>
        <v>139408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85800</v>
      </c>
      <c r="K4" s="233">
        <f t="shared" ref="K4" si="0">D7+D11+D15</f>
        <v>10296</v>
      </c>
      <c r="L4" s="222">
        <f>F7+F11+F15</f>
        <v>425000</v>
      </c>
    </row>
    <row r="5" spans="1:12" x14ac:dyDescent="0.35">
      <c r="A5" s="28" t="s">
        <v>43</v>
      </c>
      <c r="B5" s="133">
        <f>IF(DigitaNICA!C2&lt;&gt;"",DigitaNICA!C2,"")</f>
        <v>69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IF(DigitaTICA!C11&lt;&gt;"",DigitaTICA!C11,"")</f>
        <v>34000</v>
      </c>
      <c r="D7" s="42">
        <f>IF(C7="",0,C7*J$11)</f>
        <v>4080</v>
      </c>
      <c r="E7" s="29">
        <f>IF(DigitaTICA!D11&lt;&gt;"",DigitaTICA!D11,"")</f>
        <v>5000</v>
      </c>
      <c r="F7" s="134">
        <f>IF(E7="",0,E7*PREMIOS!F7)</f>
        <v>425000</v>
      </c>
      <c r="G7" s="30">
        <f t="shared" si="1"/>
        <v>-395080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10300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IF(DigitaTICA!G11&lt;&gt;"",DigitaTICA!G11,"")</f>
        <v>51800</v>
      </c>
      <c r="D15" s="42">
        <f>IF(C15="",0,C15*J$11)</f>
        <v>6216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45584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85800</v>
      </c>
      <c r="D21" s="123">
        <f t="shared" ref="D21:G21" si="5">SUM(D5:D20)</f>
        <v>10296</v>
      </c>
      <c r="E21" s="123">
        <f t="shared" si="5"/>
        <v>5000</v>
      </c>
      <c r="F21" s="123">
        <f t="shared" si="5"/>
        <v>425000</v>
      </c>
      <c r="G21" s="124">
        <f t="shared" si="5"/>
        <v>-349496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119050</v>
      </c>
      <c r="K4" s="233">
        <f>D7+D11+D15</f>
        <v>14286</v>
      </c>
      <c r="L4" s="222">
        <f>F7+F11+F15</f>
        <v>51000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IF(DigitaNICA!C12&lt;&gt;"",DigitaNICA!C12,"")</f>
        <v>51600</v>
      </c>
      <c r="D5" s="42">
        <f>IF(C5="",0,C5*J$12)</f>
        <v>6192</v>
      </c>
      <c r="E5" s="29">
        <f>IF(DigitaNICA!D12&lt;&gt;"",DigitaNICA!D12,"")</f>
        <v>400</v>
      </c>
      <c r="F5" s="42">
        <f>IF(E5="",0,E5*PREMIOS!F5)</f>
        <v>34000</v>
      </c>
      <c r="G5" s="30">
        <f t="shared" ref="G5:G12" si="0">IF(OR(C5="",E5=""),0,C5-D5-F5)</f>
        <v>11408</v>
      </c>
      <c r="I5" s="219" t="s">
        <v>37</v>
      </c>
      <c r="J5" s="223">
        <f>SUM(IF(C5="",0,C5),IF(C9="",0,C9),IF(C13="",0,C13),IF(C17="",0,C17))</f>
        <v>83750</v>
      </c>
      <c r="K5" s="227">
        <f t="shared" ref="K5" si="1">D5+D9+D13+D17</f>
        <v>10050</v>
      </c>
      <c r="L5" s="224">
        <f>F5+F9+F13+F17</f>
        <v>55250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6900</v>
      </c>
      <c r="K6" s="228">
        <f t="shared" ref="K6" si="2">+D8+D12+D16</f>
        <v>690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IF(DigitaTICA!C12&lt;&gt;"",DigitaTICA!C12,"")</f>
        <v>41750</v>
      </c>
      <c r="D7" s="42">
        <f>IF(C7="",0,C7*J$11)</f>
        <v>5010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11240</v>
      </c>
      <c r="I7" s="219" t="s">
        <v>96</v>
      </c>
      <c r="J7" s="225">
        <f>SUM(IF(C19="",0,C19),IF(C20="",0,C20))</f>
        <v>43850</v>
      </c>
      <c r="K7" s="228">
        <f>+D19+D20</f>
        <v>5262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2100</v>
      </c>
      <c r="D8" s="42">
        <f>IF(C8="",0,C8*J$13)</f>
        <v>210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IF(DigitaNICA!E12&lt;&gt;"",DigitaNICA!E12,"")</f>
        <v>32150</v>
      </c>
      <c r="D9" s="42">
        <f>IF(C9="",0,C9*J$12)</f>
        <v>3858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7042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IF(DigitaTICA!E12&lt;&gt;"",DigitaTICA!E12,"")</f>
        <v>37800</v>
      </c>
      <c r="D11" s="42">
        <f>IF(C11="",0,C11*J$11)</f>
        <v>4536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7764</v>
      </c>
      <c r="I11" s="60" t="s">
        <v>36</v>
      </c>
      <c r="J11" s="61">
        <v>0.12</v>
      </c>
      <c r="K11" s="62">
        <f>MROUND(D7+D11+D15,50)</f>
        <v>14300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4800</v>
      </c>
      <c r="D12" s="42">
        <f>IF(C12="",0,C12*J$13)</f>
        <v>480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4320</v>
      </c>
      <c r="I12" s="63" t="s">
        <v>37</v>
      </c>
      <c r="J12" s="64">
        <v>0.12</v>
      </c>
      <c r="K12" s="30">
        <f>MROUND(D5+D9+D13+D17,50)</f>
        <v>10050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5250</v>
      </c>
    </row>
    <row r="15" spans="1:12" ht="15" thickBot="1" x14ac:dyDescent="0.4">
      <c r="A15" s="28" t="s">
        <v>61</v>
      </c>
      <c r="B15" s="133">
        <f>IF(DigitaTICA!G2&lt;&gt;"",DigitaTICA!G2,"")</f>
        <v>51</v>
      </c>
      <c r="C15" s="29">
        <f>IF(DigitaTICA!G12&lt;&gt;"",DigitaTICA!G12,"")</f>
        <v>39500</v>
      </c>
      <c r="D15" s="42">
        <f>IF(C15="",0,C15*J$11)</f>
        <v>4740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34760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>
        <f>IF(DigitaPRIMERA!$C$12&lt;&gt;"",DigitaPRIMERA!$C$12,"")</f>
        <v>43850</v>
      </c>
      <c r="D19" s="42">
        <f>IF(C19="",0,C19*J$14)</f>
        <v>5262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13088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253550</v>
      </c>
      <c r="D24" s="68">
        <f t="shared" ref="D24:G24" si="4">SUM(D5:D23)</f>
        <v>30288</v>
      </c>
      <c r="E24" s="68">
        <f t="shared" si="4"/>
        <v>1550</v>
      </c>
      <c r="F24" s="68">
        <f t="shared" si="4"/>
        <v>131750</v>
      </c>
      <c r="G24" s="89">
        <f t="shared" si="4"/>
        <v>91512</v>
      </c>
    </row>
    <row r="27" spans="1:7" x14ac:dyDescent="0.35">
      <c r="G27" s="21">
        <v>196280</v>
      </c>
    </row>
    <row r="28" spans="1:7" x14ac:dyDescent="0.35">
      <c r="G28" s="142">
        <f>+G24+G27</f>
        <v>287792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128500</v>
      </c>
      <c r="K4" s="233">
        <f t="shared" ref="K4" si="0">D7+D11+D15</f>
        <v>15420</v>
      </c>
      <c r="L4" s="222">
        <f>F7+F11+F15</f>
        <v>131750</v>
      </c>
    </row>
    <row r="5" spans="1:12" ht="15" thickBot="1" x14ac:dyDescent="0.4">
      <c r="A5" s="28" t="s">
        <v>43</v>
      </c>
      <c r="B5" s="133">
        <f>IF(DigitaNICA!C2&lt;&gt;"",DigitaNICA!C2,"")</f>
        <v>69</v>
      </c>
      <c r="C5" s="29">
        <f>IF(DigitaNICA!C13&lt;&gt;"",DigitaNICA!C13,"")</f>
        <v>29750</v>
      </c>
      <c r="D5" s="42">
        <f>IF(C5="",0,C5*J$10)</f>
        <v>3570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26180</v>
      </c>
      <c r="I5" s="220" t="s">
        <v>37</v>
      </c>
      <c r="J5" s="234">
        <f>SUM(IF(C5="",0,C5),IF(C9="",0,C9),IF(C13="",0,C13),IF(C17="",0,C17))</f>
        <v>50150</v>
      </c>
      <c r="K5" s="235">
        <f t="shared" ref="K5" si="2">D5+D9+D13+D17</f>
        <v>6018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IF(DigitaTICA!C13&lt;&gt;"",DigitaTICA!C13,"")</f>
        <v>41300</v>
      </c>
      <c r="D7" s="42">
        <f>IF(C7="",0,C7*J$9)</f>
        <v>4956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10844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>
        <f>IF(DigitaNICA!E13&lt;&gt;"",DigitaNICA!E13,"")</f>
        <v>4950</v>
      </c>
      <c r="D9" s="42">
        <f>IF(C9="",0,C9*J$10)</f>
        <v>594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4356</v>
      </c>
      <c r="I9" s="60" t="s">
        <v>36</v>
      </c>
      <c r="J9" s="61">
        <v>0.12</v>
      </c>
      <c r="K9" s="62">
        <f>MROUND(D7+D11+D15,50)</f>
        <v>15400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>
        <f>IF(DigitaTICA!E13&lt;&gt;"",DigitaTICA!E13,"")</f>
        <v>20050</v>
      </c>
      <c r="D11" s="42">
        <f>IF(C11="",0,C11*J$9)</f>
        <v>2406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-24856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>
        <f>IF(DigitaNICA!G13&lt;&gt;"",DigitaNICA!G13,"")</f>
        <v>14950</v>
      </c>
      <c r="D13" s="42">
        <f>IF(C13="",0,C13*J$10)</f>
        <v>1794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13156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IF(DigitaTICA!G13&lt;&gt;"",DigitaTICA!G13,"")</f>
        <v>67150</v>
      </c>
      <c r="D15" s="42">
        <f>IF(C15="",0,C15*J$9)</f>
        <v>8058</v>
      </c>
      <c r="E15" s="29">
        <f>IF(DigitaTICA!H13&lt;&gt;"",DigitaTICA!H13,"")</f>
        <v>750</v>
      </c>
      <c r="F15" s="134">
        <f>IF(E15="",0,E15*PREMIOS!F15)</f>
        <v>63750</v>
      </c>
      <c r="G15" s="30">
        <f t="shared" si="3"/>
        <v>-4658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178650</v>
      </c>
      <c r="D19" s="68">
        <f>MROUND(SUM(D5:D18),50)</f>
        <v>21450</v>
      </c>
      <c r="E19" s="68">
        <f>SUM(E5:E18)</f>
        <v>1550</v>
      </c>
      <c r="F19" s="68">
        <f>SUM(F5:F18)</f>
        <v>131750</v>
      </c>
      <c r="G19" s="89">
        <f>SUM(G5:G18)</f>
        <v>25462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115600</v>
      </c>
      <c r="K4" s="238">
        <f t="shared" ref="K4" si="0">D7+D11+D15</f>
        <v>17340</v>
      </c>
      <c r="L4" s="239">
        <f>F7+F11+F15</f>
        <v>44000</v>
      </c>
    </row>
    <row r="5" spans="1:12" x14ac:dyDescent="0.35">
      <c r="A5" s="28" t="s">
        <v>43</v>
      </c>
      <c r="B5" s="133">
        <f>IF(DigitaNICA!C2&lt;&gt;"",DigitaNICA!C2,"")</f>
        <v>69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IF(DigitaTICA!C14&lt;&gt;"",DigitaTICA!C14,"")</f>
        <v>40900</v>
      </c>
      <c r="D7" s="42">
        <f>IF(C7="",0,C7*J$9)</f>
        <v>6135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34765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17350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>
        <f>IF(DigitaTICA!E14&lt;&gt;"",DigitaTICA!E14,"")</f>
        <v>29600</v>
      </c>
      <c r="D11" s="42">
        <f>IF(C11="",0,C11*J$9)</f>
        <v>4440</v>
      </c>
      <c r="E11" s="29">
        <f>IF(DigitaTICA!F14&lt;&gt;"",DigitaTICA!F14,"")</f>
        <v>550</v>
      </c>
      <c r="F11" s="42">
        <f>IF(E11="",0,E11*PREMIOS!E11)</f>
        <v>44000</v>
      </c>
      <c r="G11" s="30">
        <f t="shared" si="1"/>
        <v>-18840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>
        <f>IF(DigitaTICA!G14&lt;&gt;"",DigitaTICA!G14,"")</f>
        <v>45100</v>
      </c>
      <c r="D15" s="42">
        <f>IF(C15="",0,C15*J$9)</f>
        <v>6765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38335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115600</v>
      </c>
      <c r="D19" s="68">
        <f>MROUND(SUM(D5:D18),50)</f>
        <v>17350</v>
      </c>
      <c r="E19" s="68">
        <f>SUM(E5:E18)</f>
        <v>550</v>
      </c>
      <c r="F19" s="68">
        <f>SUM(F5:F18)</f>
        <v>44000</v>
      </c>
      <c r="G19" s="89">
        <f>SUM(G5:G18)</f>
        <v>54260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46650</v>
      </c>
      <c r="K4" s="233">
        <f>D7+D11+D15</f>
        <v>5598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69</v>
      </c>
      <c r="C5" s="29">
        <f>IF(DigitaNICA!C16&lt;&gt;"",DigitaNICA!C16,"")</f>
        <v>4950</v>
      </c>
      <c r="D5" s="42">
        <f>IF(C5="",0,C5*J$12)</f>
        <v>594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4356</v>
      </c>
      <c r="I5" s="63" t="s">
        <v>37</v>
      </c>
      <c r="J5" s="227">
        <f>SUM(IF(C5="",0,C5),IF(C9="",0,C9),IF(C13="",0,C13),IF(C17="",0,C17))</f>
        <v>18700</v>
      </c>
      <c r="K5" s="227">
        <f t="shared" ref="K5" si="1">D5+D9+D13+D17</f>
        <v>2244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3500</v>
      </c>
      <c r="K6" s="228">
        <f t="shared" ref="K6" si="2">+D8+D12+D16</f>
        <v>350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IF(DigitaTICA!C16&lt;&gt;"",DigitaTICA!C16,"")</f>
        <v>16000</v>
      </c>
      <c r="D7" s="42">
        <f>IF(C7="",0,C7*J$11)</f>
        <v>1920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-7170</v>
      </c>
      <c r="I7" s="63" t="s">
        <v>96</v>
      </c>
      <c r="J7" s="228">
        <f>SUM(IF(C19="",0,C19),IF(C20="",0,C20))</f>
        <v>1500</v>
      </c>
      <c r="K7" s="228">
        <f>+D19+D20</f>
        <v>180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88</v>
      </c>
      <c r="C9" s="29">
        <f>IF(DigitaNICA!E16&lt;&gt;"",DigitaNICA!E16,"")</f>
        <v>5750</v>
      </c>
      <c r="D9" s="42">
        <f>IF(C9="",0,C9*J$12)</f>
        <v>690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5060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IF(DigitaTICA!E16&lt;&gt;"",DigitaTICA!E16,"")</f>
        <v>10050</v>
      </c>
      <c r="D11" s="42">
        <f>IF(C11="",0,C11*J$11)</f>
        <v>1206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8844</v>
      </c>
      <c r="I11" s="77" t="s">
        <v>36</v>
      </c>
      <c r="J11" s="78">
        <v>0.12</v>
      </c>
      <c r="K11" s="79">
        <f>MROUND(D7+D11+D15,50)</f>
        <v>5600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2250</v>
      </c>
    </row>
    <row r="13" spans="1:12" x14ac:dyDescent="0.35">
      <c r="A13" s="28" t="s">
        <v>50</v>
      </c>
      <c r="B13" s="133">
        <f>IF(DigitaNICA!G2&lt;&gt;"",DigitaNICA!G2,"")</f>
        <v>39</v>
      </c>
      <c r="C13" s="29">
        <f>IF(DigitaNICA!G16&lt;&gt;"",DigitaNICA!G16,"")</f>
        <v>300</v>
      </c>
      <c r="D13" s="42">
        <f>IF(C13="",0,C13*J$12)</f>
        <v>36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264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>
        <f>IF(DigitaTICA!G2&lt;&gt;"",DigitaTICA!G2,"")</f>
        <v>51</v>
      </c>
      <c r="C15" s="29">
        <f>IF(DigitaTICA!G16&lt;&gt;"",DigitaTICA!G16,"")</f>
        <v>20600</v>
      </c>
      <c r="D15" s="42">
        <f>IF(C15="",0,C15*J$11)</f>
        <v>2472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18128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2500</v>
      </c>
      <c r="D16" s="42">
        <f>IF(C16="",0,C16*J$13)</f>
        <v>250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3">
        <f>IF(DigitaNICA!I2&lt;&gt;"",DigitaNICA!I2,"")</f>
        <v>51</v>
      </c>
      <c r="C17" s="29">
        <f>IF(DigitaNICA!I16&lt;&gt;"",DigitaNICA!I16,"")</f>
        <v>7700</v>
      </c>
      <c r="D17" s="42">
        <f>IF(C17="",0,C17*J$12)</f>
        <v>924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6776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77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3">
        <f>IF(DigitaPRIMERA!E2&lt;&gt;"",DigitaPRIMERA!E2,"")</f>
        <v>56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70350</v>
      </c>
      <c r="D24" s="123">
        <f t="shared" ref="D24:G24" si="5">SUM(D5:D23)</f>
        <v>8372</v>
      </c>
      <c r="E24" s="123">
        <f t="shared" si="5"/>
        <v>250</v>
      </c>
      <c r="F24" s="123">
        <f t="shared" si="5"/>
        <v>21250</v>
      </c>
      <c r="G24" s="124">
        <f t="shared" si="5"/>
        <v>40728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492000</v>
      </c>
      <c r="K4" s="233">
        <f t="shared" ref="K4" si="0">D7+D11+D15</f>
        <v>59040</v>
      </c>
      <c r="L4" s="222">
        <f>F7+F11+F15</f>
        <v>705500</v>
      </c>
    </row>
    <row r="5" spans="1:12" x14ac:dyDescent="0.35">
      <c r="A5" s="28" t="s">
        <v>43</v>
      </c>
      <c r="B5" s="133">
        <f>IF(DigitaNICA!C2&lt;&gt;"",DigitaNICA!C2,"")</f>
        <v>69</v>
      </c>
      <c r="C5" s="90">
        <f>IF(DigitaNICA!C17&lt;&gt;"",DigitaNICA!C17,"")</f>
        <v>117600</v>
      </c>
      <c r="D5" s="42">
        <f>IF(C5="",0,C5*J$16)</f>
        <v>14112</v>
      </c>
      <c r="E5" s="90">
        <f>IF(DigitaNICA!D17&lt;&gt;"",DigitaNICA!D17,"")</f>
        <v>750</v>
      </c>
      <c r="F5" s="42">
        <f>IF(E5="",0,E5*PREMIOS!F5)</f>
        <v>63750</v>
      </c>
      <c r="G5" s="91">
        <f t="shared" ref="G5:G12" si="1">IF(OR(C5="",E5=""),0,C5-D5-F5)</f>
        <v>39738</v>
      </c>
      <c r="I5" s="219" t="s">
        <v>37</v>
      </c>
      <c r="J5" s="223">
        <f>SUM(IF(C5="",0,C5),IF(C9="",0,C9),IF(C13="",0,C13),IF(C17="",0,C17))</f>
        <v>436400</v>
      </c>
      <c r="K5" s="227">
        <f t="shared" ref="K5" si="2">D5+D9+D13+D17</f>
        <v>52368</v>
      </c>
      <c r="L5" s="224">
        <f>F5+F9+F13+F17</f>
        <v>361250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56650</v>
      </c>
      <c r="K6" s="228">
        <f t="shared" ref="K6" si="3">+D8+D12+D16</f>
        <v>5665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90">
        <f>IF(DigitaTICA!C17&lt;&gt;"",DigitaTICA!C17,"")</f>
        <v>143650</v>
      </c>
      <c r="D7" s="42">
        <f>IF(C7="",0,C7*J$15)</f>
        <v>17238</v>
      </c>
      <c r="E7" s="90">
        <f>IF(DigitaTICA!D17&lt;&gt;"",DigitaTICA!D17,"")</f>
        <v>2650</v>
      </c>
      <c r="F7" s="42">
        <f>IF(E7="",0,E7*PREMIOS!F7)</f>
        <v>225250</v>
      </c>
      <c r="G7" s="91">
        <f t="shared" si="1"/>
        <v>-98838</v>
      </c>
      <c r="I7" s="219" t="s">
        <v>96</v>
      </c>
      <c r="J7" s="225">
        <f>SUM(IF(C19="",0,C19),IF(C20="",0,C20))</f>
        <v>93050</v>
      </c>
      <c r="K7" s="228">
        <f>+D19+D20</f>
        <v>11166</v>
      </c>
      <c r="L7" s="229">
        <f>+F19+F20</f>
        <v>76500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28500</v>
      </c>
      <c r="D8" s="42">
        <f>IF(C8="",0,C8*J$17)</f>
        <v>2850</v>
      </c>
      <c r="E8" s="90">
        <f>IF(DigitaREVENTADO!D17&lt;&gt;"",DigitaREVENTADO!D17,"")</f>
        <v>500</v>
      </c>
      <c r="F8" s="42">
        <f>IF(E8="",0,E8*PREMIOS!F8)</f>
        <v>0</v>
      </c>
      <c r="G8" s="91">
        <f t="shared" si="1"/>
        <v>25650</v>
      </c>
      <c r="I8" s="219" t="s">
        <v>104</v>
      </c>
      <c r="J8" s="225">
        <f>SUM(IF(C21="",0,C21),IF(C22="",0,C22),IF(C23="",0,C23))</f>
        <v>98700</v>
      </c>
      <c r="K8" s="228">
        <f t="shared" ref="K8" si="4">D21+D22+D23</f>
        <v>11844</v>
      </c>
      <c r="L8" s="229">
        <f>F21+F22+F23</f>
        <v>38250</v>
      </c>
    </row>
    <row r="9" spans="1:12" x14ac:dyDescent="0.35">
      <c r="A9" s="28" t="s">
        <v>48</v>
      </c>
      <c r="B9" s="133">
        <f>IF(DigitaNICA!E2&lt;&gt;"",DigitaNICA!E2,"")</f>
        <v>88</v>
      </c>
      <c r="C9" s="90">
        <f>IF(DigitaNICA!E17&lt;&gt;"",DigitaNICA!E17,"")</f>
        <v>94650</v>
      </c>
      <c r="D9" s="42">
        <f>IF(C9="",0,C9*J$16)</f>
        <v>11358</v>
      </c>
      <c r="E9" s="90">
        <f>IF(DigitaNICA!F17&lt;&gt;"",DigitaNICA!F17,"")</f>
        <v>600</v>
      </c>
      <c r="F9" s="42">
        <f>IF(E9="",0,E9*PREMIOS!F9)</f>
        <v>51000</v>
      </c>
      <c r="G9" s="91">
        <f t="shared" si="1"/>
        <v>32292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15</v>
      </c>
      <c r="C11" s="90">
        <f>IF(DigitaTICA!E17&lt;&gt;"",DigitaTICA!E17,"")</f>
        <v>116200</v>
      </c>
      <c r="D11" s="42">
        <f>IF(C11="",0,C11*J$15)</f>
        <v>13944</v>
      </c>
      <c r="E11" s="90">
        <f>IF(DigitaTICA!F17&lt;&gt;"",DigitaTICA!F17,"")</f>
        <v>1700</v>
      </c>
      <c r="F11" s="42">
        <f>IF(E11="",0,E11*PREMIOS!F11)</f>
        <v>144500</v>
      </c>
      <c r="G11" s="91">
        <f t="shared" si="1"/>
        <v>-42244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11800</v>
      </c>
      <c r="D12" s="42">
        <f>IF(C12="",0,C12*J$17)</f>
        <v>1180</v>
      </c>
      <c r="E12" s="90">
        <f>IF(DigitaREVENTADO!F17&lt;&gt;"",DigitaREVENTADO!F17,"")</f>
        <v>1100</v>
      </c>
      <c r="F12" s="42">
        <f>IF(E12="",0,E12*PREMIOS!F12)</f>
        <v>0</v>
      </c>
      <c r="G12" s="91">
        <f t="shared" si="1"/>
        <v>10620</v>
      </c>
    </row>
    <row r="13" spans="1:12" ht="15" thickBot="1" x14ac:dyDescent="0.4">
      <c r="A13" s="28" t="s">
        <v>50</v>
      </c>
      <c r="B13" s="133">
        <f>IF(DigitaNICA!G2&lt;&gt;"",DigitaNICA!G2,"")</f>
        <v>39</v>
      </c>
      <c r="C13" s="90">
        <f>IF(DigitaNICA!G17&lt;&gt;"",DigitaNICA!G17,"")</f>
        <v>57000</v>
      </c>
      <c r="D13" s="42">
        <f>IF(C13="",0,C13*J$16)</f>
        <v>6840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41660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51</v>
      </c>
      <c r="C15" s="90">
        <f>IF(DigitaTICA!G17&lt;&gt;"",DigitaTICA!G17,"")</f>
        <v>232150</v>
      </c>
      <c r="D15" s="42">
        <f>IF(C15="",0,C15*J$15)</f>
        <v>27858</v>
      </c>
      <c r="E15" s="90">
        <f>IF(DigitaTICA!H17&lt;&gt;"",DigitaTICA!H17,"")</f>
        <v>3950</v>
      </c>
      <c r="F15" s="42">
        <f>IF(E15="",0,E15*PREMIOS!F15)</f>
        <v>335750</v>
      </c>
      <c r="G15" s="91">
        <f t="shared" si="6"/>
        <v>-131458</v>
      </c>
      <c r="I15" s="77" t="s">
        <v>36</v>
      </c>
      <c r="J15" s="78">
        <v>0.12</v>
      </c>
      <c r="K15" s="79">
        <f>MROUND(D7+D11+D15,50)</f>
        <v>59050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16350</v>
      </c>
      <c r="D16" s="42">
        <f>IF(C16="",0,C16*J$17)</f>
        <v>1635</v>
      </c>
      <c r="E16" s="90">
        <f>IF(DigitaREVENTADO!H17&lt;&gt;"",DigitaREVENTADO!H17,"")</f>
        <v>100</v>
      </c>
      <c r="F16" s="42">
        <f>IF(E16="",0,E16*PREMIOS!F16)</f>
        <v>0</v>
      </c>
      <c r="G16" s="91">
        <f t="shared" si="6"/>
        <v>14715</v>
      </c>
      <c r="I16" s="63" t="s">
        <v>37</v>
      </c>
      <c r="J16" s="64">
        <v>0.12</v>
      </c>
      <c r="K16" s="30">
        <f>MROUND(D5+D9+D13+D17,50)</f>
        <v>52350</v>
      </c>
    </row>
    <row r="17" spans="1:11" x14ac:dyDescent="0.35">
      <c r="A17" s="28" t="s">
        <v>52</v>
      </c>
      <c r="B17" s="133">
        <f>IF(DigitaNICA!I2&lt;&gt;"",DigitaNICA!I2,"")</f>
        <v>51</v>
      </c>
      <c r="C17" s="90">
        <f>IF(DigitaNICA!I17&lt;&gt;"",DigitaNICA!I17,"")</f>
        <v>167150</v>
      </c>
      <c r="D17" s="42">
        <f>IF(C17="",0,C17*J$16)</f>
        <v>20058</v>
      </c>
      <c r="E17" s="90">
        <f>IF(DigitaNICA!J17&lt;&gt;"",DigitaNICA!J17,"")</f>
        <v>2800</v>
      </c>
      <c r="F17" s="42">
        <f>IF(E17="",0,E17*PREMIOS!F17)</f>
        <v>238000</v>
      </c>
      <c r="G17" s="91">
        <f t="shared" si="6"/>
        <v>-90908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11150</v>
      </c>
    </row>
    <row r="19" spans="1:11" x14ac:dyDescent="0.35">
      <c r="A19" s="28" t="s">
        <v>97</v>
      </c>
      <c r="B19" s="133">
        <f>IF(DigitaPRIMERA!C2&lt;&gt;"",DigitaPRIMERA!C2,"")</f>
        <v>77</v>
      </c>
      <c r="C19" s="29">
        <f>IF(DigitaPRIMERA!$C$17&lt;&gt;"",DigitaPRIMERA!$C$17,"")</f>
        <v>51600</v>
      </c>
      <c r="D19" s="42">
        <f>IF(C19="",0,C19*J$18)</f>
        <v>6192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28408</v>
      </c>
      <c r="I19" s="63" t="s">
        <v>104</v>
      </c>
      <c r="J19" s="64">
        <v>0.12</v>
      </c>
      <c r="K19" s="30">
        <f>MROUND(D21+D22+D23,50)</f>
        <v>11850</v>
      </c>
    </row>
    <row r="20" spans="1:11" x14ac:dyDescent="0.35">
      <c r="A20" s="28" t="s">
        <v>98</v>
      </c>
      <c r="B20" s="133">
        <f>IF(DigitaPRIMERA!E2&lt;&gt;"",DigitaPRIMERA!E2,"")</f>
        <v>56</v>
      </c>
      <c r="C20" s="29">
        <f>IF(DigitaPRIMERA!$E$17&lt;&gt;"",DigitaPRIMERA!$E$17,"")</f>
        <v>41450</v>
      </c>
      <c r="D20" s="42">
        <f>IF(C20="",0,C20*J$18)</f>
        <v>4974</v>
      </c>
      <c r="E20" s="29">
        <f>IF(DigitaPRIMERA!$F$17&lt;&gt;"",DigitaPRIMERA!$F$17,"")</f>
        <v>700</v>
      </c>
      <c r="F20" s="42">
        <f>IF(E20="",0,E20*PREMIOS!F19)</f>
        <v>59500</v>
      </c>
      <c r="G20" s="30">
        <f t="shared" si="6"/>
        <v>-23024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20</v>
      </c>
      <c r="C21" s="29">
        <f>IF(DigitaHONDURAS!$C$17&lt;&gt;"",DigitaHONDURAS!$C$17,"")</f>
        <v>52800</v>
      </c>
      <c r="D21" s="42">
        <f>IF(C21="",0,C21*J$19)</f>
        <v>6336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29464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>
        <f>IF(DigitaHONDURAS!$E$17&lt;&gt;"",DigitaHONDURAS!$E$17,"")</f>
        <v>16150</v>
      </c>
      <c r="D22" s="42">
        <f>IF(C22="",0,C22*J$19)</f>
        <v>1938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14212</v>
      </c>
    </row>
    <row r="23" spans="1:11" x14ac:dyDescent="0.35">
      <c r="A23" s="28" t="s">
        <v>101</v>
      </c>
      <c r="B23" s="133">
        <f>IF(DigitaHONDURAS!G2&lt;&gt;"",DigitaHONDURAS!G2,"")</f>
        <v>21</v>
      </c>
      <c r="C23" s="29">
        <f>IF(DigitaHONDURAS!$G$17&lt;&gt;"",DigitaHONDURAS!$G$17,"")</f>
        <v>29750</v>
      </c>
      <c r="D23" s="42">
        <f>IF(C23="",0,C23*J$19)</f>
        <v>3570</v>
      </c>
      <c r="E23" s="29">
        <f>IF(DigitaHONDURAS!$H$17&lt;&gt;"",DigitaHONDURAS!$H$17,"")</f>
        <v>250</v>
      </c>
      <c r="F23" s="42">
        <f>IF(E23="",0,E23*PREMIOS!F20)</f>
        <v>21250</v>
      </c>
      <c r="G23" s="30">
        <f t="shared" si="6"/>
        <v>4930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1176800</v>
      </c>
      <c r="D27" s="68">
        <f t="shared" ref="D27:G27" si="7">SUM(D5:D26)</f>
        <v>140083</v>
      </c>
      <c r="E27" s="68">
        <f t="shared" si="7"/>
        <v>15600</v>
      </c>
      <c r="F27" s="68">
        <f t="shared" si="7"/>
        <v>1181500</v>
      </c>
      <c r="G27" s="89">
        <f t="shared" si="7"/>
        <v>-144783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165500</v>
      </c>
      <c r="K4" s="233">
        <f t="shared" ref="K4" si="0">D7+D11+D15</f>
        <v>19860</v>
      </c>
      <c r="L4" s="222">
        <f>F7+F11+F15</f>
        <v>276250</v>
      </c>
    </row>
    <row r="5" spans="1:12" x14ac:dyDescent="0.35">
      <c r="A5" s="28" t="str">
        <f>+Vendedor1!A5</f>
        <v>Nica 11am</v>
      </c>
      <c r="B5" s="133">
        <f>IF(DigitaNICA!C2&lt;&gt;"",DigitaNICA!C2,"")</f>
        <v>69</v>
      </c>
      <c r="C5" s="29">
        <f>IF(DigitaNICA!C18&lt;&gt;"",DigitaNICA!C18,"")</f>
        <v>58150</v>
      </c>
      <c r="D5" s="42">
        <f>IF(C5="",0,C5*J$16)</f>
        <v>6978</v>
      </c>
      <c r="E5" s="29">
        <f>IF(DigitaNICA!D18&lt;&gt;"",DigitaNICA!D18,"")</f>
        <v>2200</v>
      </c>
      <c r="F5" s="42">
        <f>IF(E5="",0,E5*PREMIOS!F5)</f>
        <v>187000</v>
      </c>
      <c r="G5" s="30">
        <f t="shared" ref="G5:G12" si="1">IF(OR(C5="",E5=""),0,C5-D5-F5)</f>
        <v>-135828</v>
      </c>
      <c r="I5" s="219" t="s">
        <v>37</v>
      </c>
      <c r="J5" s="223">
        <f>SUM(IF(C5="",0,C5),IF(C9="",0,C9),IF(C13="",0,C13),IF(C17="",0,C17))</f>
        <v>114650</v>
      </c>
      <c r="K5" s="227">
        <f t="shared" ref="K5" si="2">D5+D9+D13+D17</f>
        <v>13758</v>
      </c>
      <c r="L5" s="224">
        <f>F5+F9+F13+F17</f>
        <v>187000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57700</v>
      </c>
      <c r="K6" s="228">
        <f t="shared" ref="K6" si="3">+D8+D12+D16</f>
        <v>5770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04</v>
      </c>
      <c r="C7" s="29">
        <f>IF(DigitaTICA!C18&lt;&gt;"",DigitaTICA!C18,"")</f>
        <v>52050</v>
      </c>
      <c r="D7" s="42">
        <f>IF(C7="",0,C7*J$15)</f>
        <v>6246</v>
      </c>
      <c r="E7" s="29">
        <f>IF(DigitaTICA!D18&lt;&gt;"",DigitaTICA!D18,"")</f>
        <v>250</v>
      </c>
      <c r="F7" s="42">
        <f>IF(E7="",0,E7*PREMIOS!F7)</f>
        <v>21250</v>
      </c>
      <c r="G7" s="30">
        <f t="shared" si="1"/>
        <v>24554</v>
      </c>
      <c r="I7" s="219" t="s">
        <v>96</v>
      </c>
      <c r="J7" s="225">
        <f>SUM(IF(C19="",0,C19),IF(C20="",0,C20))</f>
        <v>50600</v>
      </c>
      <c r="K7" s="228">
        <f>+D19+D20</f>
        <v>6072</v>
      </c>
      <c r="L7" s="229">
        <f>+F19+F20</f>
        <v>8500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20800</v>
      </c>
      <c r="D8" s="42">
        <f>IF(C8="",0,C8*J$17)</f>
        <v>2080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18720</v>
      </c>
      <c r="I8" s="219" t="s">
        <v>104</v>
      </c>
      <c r="J8" s="225">
        <f>SUM(IF(C21="",0,C21),IF(C22="",0,C22),IF(C23="",0,C23))</f>
        <v>11500</v>
      </c>
      <c r="K8" s="228">
        <f t="shared" ref="K8" si="4">D21+D22+D23</f>
        <v>1380</v>
      </c>
      <c r="L8" s="229">
        <f>F21+F22+F23</f>
        <v>42500</v>
      </c>
    </row>
    <row r="9" spans="1:12" x14ac:dyDescent="0.35">
      <c r="A9" s="28" t="str">
        <f>+Vendedor1!A9</f>
        <v>Nica 3pm</v>
      </c>
      <c r="B9" s="133">
        <f>IF(DigitaNICA!E2&lt;&gt;"",DigitaNICA!E2,"")</f>
        <v>88</v>
      </c>
      <c r="C9" s="29">
        <f>IF(DigitaNICA!E18&lt;&gt;"",DigitaNICA!E18,"")</f>
        <v>28800</v>
      </c>
      <c r="D9" s="42">
        <f>IF(C9="",0,C9*J$16)</f>
        <v>3456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25344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15</v>
      </c>
      <c r="C11" s="29">
        <f>IF(DigitaTICA!E18&lt;&gt;"",DigitaTICA!E18,"")</f>
        <v>32600</v>
      </c>
      <c r="D11" s="42">
        <f>IF(C11="",0,C11*J$15)</f>
        <v>3912</v>
      </c>
      <c r="E11" s="29">
        <f>IF(DigitaTICA!F18&lt;&gt;"",DigitaTICA!F18,"")</f>
        <v>2200</v>
      </c>
      <c r="F11" s="42">
        <f>IF(E11="",0,E11*PREMIOS!F11)</f>
        <v>187000</v>
      </c>
      <c r="G11" s="30">
        <f t="shared" si="1"/>
        <v>-158312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10800</v>
      </c>
      <c r="D12" s="42">
        <f>IF(C12="",0,C12*J$17)</f>
        <v>1080</v>
      </c>
      <c r="E12" s="29">
        <f>IF(DigitaREVENTADO!F18&lt;&gt;"",DigitaREVENTADO!F18,"")</f>
        <v>1000</v>
      </c>
      <c r="F12" s="42">
        <f>IF(E12="",0,E12*PREMIOS!F12)</f>
        <v>0</v>
      </c>
      <c r="G12" s="30">
        <f t="shared" si="1"/>
        <v>9720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39</v>
      </c>
      <c r="C13" s="29">
        <f>IF(DigitaNICA!G18&lt;&gt;"",DigitaNICA!G18,"")</f>
        <v>24600</v>
      </c>
      <c r="D13" s="42">
        <f>IF(C13="",0,C13*J$16)</f>
        <v>2952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21648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51</v>
      </c>
      <c r="C15" s="29">
        <f>IF(DigitaTICA!G18&lt;&gt;"",DigitaTICA!G18,"")</f>
        <v>80850</v>
      </c>
      <c r="D15" s="42">
        <f>IF(C15="",0,C15*J$15)</f>
        <v>9702</v>
      </c>
      <c r="E15" s="29">
        <f>IF(DigitaTICA!H18&lt;&gt;"",DigitaTICA!H18,"")</f>
        <v>800</v>
      </c>
      <c r="F15" s="42">
        <f>IF(E15="",0,E15*PREMIOS!F15)</f>
        <v>68000</v>
      </c>
      <c r="G15" s="30">
        <f t="shared" si="6"/>
        <v>3148</v>
      </c>
      <c r="I15" s="77" t="s">
        <v>36</v>
      </c>
      <c r="J15" s="78">
        <v>0.12</v>
      </c>
      <c r="K15" s="79">
        <f>MROUND(D7+D11+D15,50)</f>
        <v>19850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26100</v>
      </c>
      <c r="D16" s="42">
        <f>IF(C16="",0,C16*J$17)</f>
        <v>2610</v>
      </c>
      <c r="E16" s="29">
        <f>IF(DigitaREVENTADO!H18&lt;&gt;"",DigitaREVENTADO!H18,"")</f>
        <v>250</v>
      </c>
      <c r="F16" s="42">
        <f>IF(E16="",0,E16*PREMIOS!F16)</f>
        <v>0</v>
      </c>
      <c r="G16" s="30">
        <f t="shared" si="6"/>
        <v>23490</v>
      </c>
      <c r="I16" s="63" t="s">
        <v>37</v>
      </c>
      <c r="J16" s="64">
        <v>0.12</v>
      </c>
      <c r="K16" s="30">
        <f>MROUND(D5+D9+D13+D17,50)</f>
        <v>13750</v>
      </c>
    </row>
    <row r="17" spans="1:11" x14ac:dyDescent="0.35">
      <c r="A17" s="28" t="str">
        <f>+Vendedor1!A17</f>
        <v>Nica 9pm</v>
      </c>
      <c r="B17" s="133">
        <f>IF(DigitaNICA!I2&lt;&gt;"",DigitaNICA!I2,"")</f>
        <v>51</v>
      </c>
      <c r="C17" s="29">
        <f>IF(DigitaNICA!I18&lt;&gt;"",DigitaNICA!I18,"")</f>
        <v>3100</v>
      </c>
      <c r="D17" s="42">
        <f>IF(C17="",0,C17*J$16)</f>
        <v>372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2728</v>
      </c>
      <c r="I17" s="63" t="s">
        <v>38</v>
      </c>
      <c r="J17" s="64">
        <v>0.1</v>
      </c>
      <c r="K17" s="30">
        <f>MROUND(D6+D8+D10+D12+D14+D16+D18,50)</f>
        <v>5750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6050</v>
      </c>
    </row>
    <row r="19" spans="1:11" x14ac:dyDescent="0.35">
      <c r="A19" s="28" t="s">
        <v>97</v>
      </c>
      <c r="B19" s="133">
        <f>IF(DigitaPRIMERA!C2&lt;&gt;"",DigitaPRIMERA!C2,"")</f>
        <v>77</v>
      </c>
      <c r="C19" s="29">
        <f>IF(DigitaPRIMERA!$C$18&lt;&gt;"",DigitaPRIMERA!$C$18,"")</f>
        <v>37500</v>
      </c>
      <c r="D19" s="42">
        <f>IF(C19="",0,C19*J$18)</f>
        <v>4500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33000</v>
      </c>
      <c r="I19" s="63" t="s">
        <v>104</v>
      </c>
      <c r="J19" s="64">
        <v>0.12</v>
      </c>
      <c r="K19" s="30">
        <f>MROUND(D21+D22+D23,50)</f>
        <v>1400</v>
      </c>
    </row>
    <row r="20" spans="1:11" x14ac:dyDescent="0.35">
      <c r="A20" s="28" t="s">
        <v>98</v>
      </c>
      <c r="B20" s="133">
        <f>IF(DigitaPRIMERA!E2&lt;&gt;"",DigitaPRIMERA!E2,"")</f>
        <v>56</v>
      </c>
      <c r="C20" s="29">
        <f>IF(DigitaPRIMERA!$E$18&lt;&gt;"",DigitaPRIMERA!$E$18,"")</f>
        <v>13100</v>
      </c>
      <c r="D20" s="42">
        <f>IF(C20="",0,C20*J$18)</f>
        <v>1572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3028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20</v>
      </c>
      <c r="C21" s="29">
        <f>IF(DigitaHONDURAS!$C$18&lt;&gt;"",DigitaHONDURAS!$C$18,"")</f>
        <v>11500</v>
      </c>
      <c r="D21" s="42">
        <f>IF(C21="",0,C21*J$19)</f>
        <v>1380</v>
      </c>
      <c r="E21" s="29">
        <f>IF(DigitaHONDURAS!$D$18&lt;&gt;"",DigitaHONDURAS!$D$18,"")</f>
        <v>500</v>
      </c>
      <c r="F21" s="42">
        <f>IF(E21="",0,E21*PREMIOS!F20)</f>
        <v>42500</v>
      </c>
      <c r="G21" s="30">
        <f t="shared" si="6"/>
        <v>-32380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21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399950</v>
      </c>
      <c r="D27" s="68">
        <f t="shared" ref="D27:G27" si="7">SUM(D5:D26)</f>
        <v>46840</v>
      </c>
      <c r="E27" s="68">
        <f t="shared" si="7"/>
        <v>7300</v>
      </c>
      <c r="F27" s="68">
        <f t="shared" si="7"/>
        <v>514250</v>
      </c>
      <c r="G27" s="89">
        <f t="shared" si="7"/>
        <v>-161140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15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04</v>
      </c>
      <c r="D2" s="269"/>
      <c r="E2" s="268">
        <f>IF(PREMIOS!$B11="","",PREMIOS!$B11)</f>
        <v>15</v>
      </c>
      <c r="F2" s="269"/>
      <c r="G2" s="268">
        <f>IF(PREMIOS!$B15="","",PREMIOS!$B15)</f>
        <v>51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64300</v>
      </c>
      <c r="D4" s="79">
        <v>500</v>
      </c>
      <c r="E4" s="190">
        <v>55900</v>
      </c>
      <c r="F4" s="79">
        <v>600</v>
      </c>
      <c r="G4" s="190">
        <v>117400</v>
      </c>
      <c r="H4" s="79">
        <v>550</v>
      </c>
      <c r="J4" s="42">
        <f t="shared" ref="J4:J8" si="0">+C4+E4+G4</f>
        <v>237600</v>
      </c>
      <c r="K4" s="42">
        <f>IF(D4="",0,IF(F4="",D4,IF(H4="",D4+F4,D4+F4+H4)))</f>
        <v>1650</v>
      </c>
    </row>
    <row r="5" spans="1:11" x14ac:dyDescent="0.35">
      <c r="A5" s="47">
        <v>2</v>
      </c>
      <c r="B5" s="179" t="str">
        <f>Vendedor2!$B$2</f>
        <v>PUESTO 2</v>
      </c>
      <c r="C5" s="181">
        <v>47850</v>
      </c>
      <c r="D5" s="30">
        <v>450</v>
      </c>
      <c r="E5" s="181">
        <v>17300</v>
      </c>
      <c r="F5" s="30">
        <f t="shared" ref="D5:H27" si="1">IF(E5="","",0)</f>
        <v>0</v>
      </c>
      <c r="G5" s="181">
        <v>98100</v>
      </c>
      <c r="H5" s="30">
        <v>300</v>
      </c>
      <c r="J5" s="42">
        <f t="shared" si="0"/>
        <v>163250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>
        <v>5000</v>
      </c>
      <c r="H7" s="30">
        <f t="shared" si="1"/>
        <v>0</v>
      </c>
      <c r="J7" s="42">
        <f t="shared" si="0"/>
        <v>5000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56800</v>
      </c>
      <c r="D8" s="30">
        <v>1000</v>
      </c>
      <c r="E8" s="181">
        <v>51800</v>
      </c>
      <c r="F8" s="30">
        <v>2600</v>
      </c>
      <c r="G8" s="181">
        <v>73250</v>
      </c>
      <c r="H8" s="30">
        <v>700</v>
      </c>
      <c r="J8" s="42">
        <f t="shared" si="0"/>
        <v>181850</v>
      </c>
      <c r="K8" s="42">
        <f t="shared" si="2"/>
        <v>4300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47150+85550</f>
        <v>132700</v>
      </c>
      <c r="D10" s="30">
        <f>700+550</f>
        <v>1250</v>
      </c>
      <c r="E10" s="181">
        <f>43500+112200</f>
        <v>155700</v>
      </c>
      <c r="F10" s="30">
        <v>850</v>
      </c>
      <c r="G10" s="181">
        <v>184450</v>
      </c>
      <c r="H10" s="30">
        <v>2500</v>
      </c>
      <c r="J10" s="42">
        <f t="shared" si="3"/>
        <v>472850</v>
      </c>
      <c r="K10" s="42">
        <f t="shared" si="2"/>
        <v>4600</v>
      </c>
    </row>
    <row r="11" spans="1:11" x14ac:dyDescent="0.35">
      <c r="A11" s="47">
        <v>8</v>
      </c>
      <c r="B11" s="179" t="str">
        <f>Vendedor8!$B$2</f>
        <v>ISA</v>
      </c>
      <c r="C11" s="181">
        <v>34000</v>
      </c>
      <c r="D11" s="30">
        <v>5000</v>
      </c>
      <c r="E11" s="181"/>
      <c r="F11" s="30" t="str">
        <f t="shared" si="1"/>
        <v/>
      </c>
      <c r="G11" s="181">
        <v>51800</v>
      </c>
      <c r="H11" s="30">
        <f t="shared" si="1"/>
        <v>0</v>
      </c>
      <c r="J11" s="42">
        <f t="shared" si="3"/>
        <v>85800</v>
      </c>
      <c r="K11" s="42">
        <f t="shared" si="2"/>
        <v>5000</v>
      </c>
    </row>
    <row r="12" spans="1:11" x14ac:dyDescent="0.35">
      <c r="A12" s="47">
        <v>9</v>
      </c>
      <c r="B12" s="179" t="str">
        <f>Vendedor9!$B$2</f>
        <v>JUAN FELIX</v>
      </c>
      <c r="C12" s="181">
        <v>41750</v>
      </c>
      <c r="D12" s="30">
        <v>300</v>
      </c>
      <c r="E12" s="181">
        <v>37800</v>
      </c>
      <c r="F12" s="30">
        <v>300</v>
      </c>
      <c r="G12" s="181">
        <v>39500</v>
      </c>
      <c r="H12" s="30">
        <f t="shared" si="1"/>
        <v>0</v>
      </c>
      <c r="J12" s="42">
        <f t="shared" si="3"/>
        <v>119050</v>
      </c>
      <c r="K12" s="42">
        <f t="shared" si="2"/>
        <v>600</v>
      </c>
    </row>
    <row r="13" spans="1:11" x14ac:dyDescent="0.35">
      <c r="A13" s="47">
        <v>10</v>
      </c>
      <c r="B13" s="179" t="str">
        <f>Vendedor10!$B$2</f>
        <v>MARIALIZ</v>
      </c>
      <c r="C13" s="181">
        <v>41300</v>
      </c>
      <c r="D13" s="30">
        <v>300</v>
      </c>
      <c r="E13" s="181">
        <v>20050</v>
      </c>
      <c r="F13" s="30">
        <v>500</v>
      </c>
      <c r="G13" s="181">
        <v>67150</v>
      </c>
      <c r="H13" s="30">
        <v>750</v>
      </c>
      <c r="J13" s="42">
        <f t="shared" si="3"/>
        <v>128500</v>
      </c>
      <c r="K13" s="42">
        <f t="shared" si="2"/>
        <v>1550</v>
      </c>
    </row>
    <row r="14" spans="1:11" x14ac:dyDescent="0.35">
      <c r="A14" s="47">
        <v>11</v>
      </c>
      <c r="B14" s="179" t="str">
        <f>Vendedor11!$B$2</f>
        <v>CHARLY</v>
      </c>
      <c r="C14" s="181">
        <v>40900</v>
      </c>
      <c r="D14" s="30">
        <f t="shared" si="1"/>
        <v>0</v>
      </c>
      <c r="E14" s="181">
        <v>29600</v>
      </c>
      <c r="F14" s="30">
        <v>550</v>
      </c>
      <c r="G14" s="181">
        <v>45100</v>
      </c>
      <c r="H14" s="30">
        <f t="shared" si="1"/>
        <v>0</v>
      </c>
      <c r="J14" s="42">
        <f t="shared" si="3"/>
        <v>115600</v>
      </c>
      <c r="K14" s="42">
        <f t="shared" si="2"/>
        <v>550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16000</v>
      </c>
      <c r="D16" s="30">
        <v>250</v>
      </c>
      <c r="E16" s="181">
        <v>10050</v>
      </c>
      <c r="F16" s="30">
        <f t="shared" si="1"/>
        <v>0</v>
      </c>
      <c r="G16" s="181">
        <v>20600</v>
      </c>
      <c r="H16" s="30">
        <f t="shared" si="1"/>
        <v>0</v>
      </c>
      <c r="J16" s="42">
        <f t="shared" si="3"/>
        <v>46650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108400+35250</f>
        <v>143650</v>
      </c>
      <c r="D17" s="30">
        <f>2150+500</f>
        <v>2650</v>
      </c>
      <c r="E17" s="181">
        <f>102200+14000</f>
        <v>116200</v>
      </c>
      <c r="F17" s="30">
        <f>600+1100</f>
        <v>1700</v>
      </c>
      <c r="G17" s="181">
        <f>22850+209300</f>
        <v>232150</v>
      </c>
      <c r="H17" s="30">
        <f>100+3850</f>
        <v>3950</v>
      </c>
      <c r="J17" s="42">
        <f t="shared" si="3"/>
        <v>492000</v>
      </c>
      <c r="K17" s="42">
        <f t="shared" si="2"/>
        <v>8300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28300+23750</f>
        <v>52050</v>
      </c>
      <c r="D18" s="30">
        <v>250</v>
      </c>
      <c r="E18" s="181">
        <f>18300+14300</f>
        <v>32600</v>
      </c>
      <c r="F18" s="30">
        <f>200+2000</f>
        <v>2200</v>
      </c>
      <c r="G18" s="181">
        <f>26200+54650</f>
        <v>80850</v>
      </c>
      <c r="H18" s="30">
        <f>250+550</f>
        <v>800</v>
      </c>
      <c r="J18" s="42">
        <f t="shared" si="3"/>
        <v>165500</v>
      </c>
      <c r="K18" s="42">
        <f t="shared" si="2"/>
        <v>3250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671300</v>
      </c>
      <c r="D32" s="44">
        <f t="shared" si="6"/>
        <v>11950</v>
      </c>
      <c r="E32" s="43">
        <f t="shared" si="6"/>
        <v>527000</v>
      </c>
      <c r="F32" s="44">
        <f t="shared" si="6"/>
        <v>9300</v>
      </c>
      <c r="G32" s="43">
        <f t="shared" si="6"/>
        <v>1015350</v>
      </c>
      <c r="H32" s="44">
        <f t="shared" si="6"/>
        <v>9550</v>
      </c>
      <c r="J32" s="96">
        <f>SUM(J4:J31)</f>
        <v>2213650</v>
      </c>
      <c r="K32" s="96"/>
    </row>
    <row r="33" spans="2:8" x14ac:dyDescent="0.35">
      <c r="D33" s="100">
        <f>+D32*85</f>
        <v>1015750</v>
      </c>
      <c r="F33" s="100">
        <f>+F32*85</f>
        <v>790500</v>
      </c>
      <c r="H33" s="100">
        <f>+H32*85</f>
        <v>811750</v>
      </c>
    </row>
    <row r="34" spans="2:8" x14ac:dyDescent="0.35">
      <c r="B34" s="249" t="s">
        <v>149</v>
      </c>
      <c r="C34" s="43">
        <f t="shared" ref="C34:H34" si="7">+C4+C5+C6+C8+C13</f>
        <v>210250</v>
      </c>
      <c r="D34" s="43" t="e">
        <f t="shared" si="7"/>
        <v>#VALUE!</v>
      </c>
      <c r="E34" s="43">
        <f t="shared" si="7"/>
        <v>145050</v>
      </c>
      <c r="F34" s="43" t="e">
        <f t="shared" si="7"/>
        <v>#VALUE!</v>
      </c>
      <c r="G34" s="43">
        <f t="shared" si="7"/>
        <v>355900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270600</v>
      </c>
      <c r="D35" s="43" t="e">
        <f t="shared" ref="D35:H35" si="8">+D11+D14+D15+D17+D18</f>
        <v>#VALUE!</v>
      </c>
      <c r="E35" s="43">
        <f t="shared" si="8"/>
        <v>178400</v>
      </c>
      <c r="F35" s="43" t="e">
        <f t="shared" si="8"/>
        <v>#VALUE!</v>
      </c>
      <c r="G35" s="43">
        <f t="shared" si="8"/>
        <v>409900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174450</v>
      </c>
      <c r="D36" s="43" t="e">
        <f t="shared" ref="D36:H36" si="9">+D10+D12+D27</f>
        <v>#VALUE!</v>
      </c>
      <c r="E36" s="43">
        <f t="shared" si="9"/>
        <v>193500</v>
      </c>
      <c r="F36" s="43" t="e">
        <f t="shared" si="9"/>
        <v>#VALUE!</v>
      </c>
      <c r="G36" s="43">
        <f t="shared" si="9"/>
        <v>223950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69</v>
      </c>
      <c r="D2" s="269"/>
      <c r="E2" s="268">
        <f>IF(PREMIOS!$B9="","",PREMIOS!$B9)</f>
        <v>88</v>
      </c>
      <c r="F2" s="269"/>
      <c r="G2" s="268">
        <f>IF(PREMIOS!$B13="","",PREMIOS!$B13)</f>
        <v>39</v>
      </c>
      <c r="H2" s="269"/>
      <c r="I2" s="268">
        <f>IF(PREMIOS!$B17="","",PREMIOS!$B17)</f>
        <v>51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24800</v>
      </c>
      <c r="D4" s="79">
        <f t="shared" ref="D4:J27" si="0">IF(C4="","",0)</f>
        <v>0</v>
      </c>
      <c r="E4" s="207">
        <v>30300</v>
      </c>
      <c r="F4" s="79">
        <v>100</v>
      </c>
      <c r="G4" s="190">
        <v>2500</v>
      </c>
      <c r="H4" s="79">
        <f t="shared" ref="H4:H27" si="1">IF(G4="","",0)</f>
        <v>0</v>
      </c>
      <c r="I4" s="190">
        <v>4800</v>
      </c>
      <c r="J4" s="79">
        <f t="shared" si="0"/>
        <v>0</v>
      </c>
      <c r="L4" s="42">
        <f t="shared" ref="L4:L8" si="2">+C4+E4+G4+I4</f>
        <v>62400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6100</v>
      </c>
      <c r="D5" s="30">
        <f t="shared" si="0"/>
        <v>0</v>
      </c>
      <c r="E5" s="208">
        <v>2100</v>
      </c>
      <c r="F5" s="30">
        <f t="shared" si="0"/>
        <v>0</v>
      </c>
      <c r="G5" s="181">
        <v>2000</v>
      </c>
      <c r="H5" s="30">
        <f t="shared" si="1"/>
        <v>0</v>
      </c>
      <c r="I5" s="181">
        <v>1000</v>
      </c>
      <c r="J5" s="30">
        <f t="shared" ref="J5:J27" si="3">IF(I5="","",0)</f>
        <v>0</v>
      </c>
      <c r="L5" s="42">
        <f t="shared" si="2"/>
        <v>11200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58000</v>
      </c>
      <c r="D8" s="30">
        <f t="shared" si="0"/>
        <v>0</v>
      </c>
      <c r="E8" s="208">
        <v>43150</v>
      </c>
      <c r="F8" s="30">
        <f t="shared" si="0"/>
        <v>0</v>
      </c>
      <c r="G8" s="181">
        <v>43950</v>
      </c>
      <c r="H8" s="30">
        <f t="shared" si="1"/>
        <v>0</v>
      </c>
      <c r="I8" s="181">
        <v>38400</v>
      </c>
      <c r="J8" s="30">
        <v>450</v>
      </c>
      <c r="L8" s="42">
        <f t="shared" si="2"/>
        <v>183500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30250+62550</f>
        <v>92800</v>
      </c>
      <c r="D10" s="30">
        <f>550+500</f>
        <v>1050</v>
      </c>
      <c r="E10" s="208">
        <f>32450+95400</f>
        <v>127850</v>
      </c>
      <c r="F10" s="30">
        <f>100+900</f>
        <v>1000</v>
      </c>
      <c r="G10" s="181">
        <v>68600</v>
      </c>
      <c r="H10" s="30">
        <v>150</v>
      </c>
      <c r="I10" s="181">
        <v>111400</v>
      </c>
      <c r="J10" s="30">
        <v>1750</v>
      </c>
      <c r="L10" s="42">
        <f t="shared" si="5"/>
        <v>400650</v>
      </c>
      <c r="M10" s="42">
        <f t="shared" si="4"/>
        <v>3950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51600</v>
      </c>
      <c r="D12" s="30">
        <v>400</v>
      </c>
      <c r="E12" s="208">
        <v>32150</v>
      </c>
      <c r="F12" s="30">
        <v>250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83750</v>
      </c>
      <c r="M12" s="42">
        <f t="shared" si="4"/>
        <v>650</v>
      </c>
    </row>
    <row r="13" spans="1:13" x14ac:dyDescent="0.35">
      <c r="A13" s="47">
        <v>10</v>
      </c>
      <c r="B13" s="179" t="str">
        <f>Vendedor10!$B$2</f>
        <v>MARIALIZ</v>
      </c>
      <c r="C13" s="181">
        <v>29750</v>
      </c>
      <c r="D13" s="30">
        <f t="shared" si="0"/>
        <v>0</v>
      </c>
      <c r="E13" s="208">
        <v>4950</v>
      </c>
      <c r="F13" s="30">
        <f t="shared" si="0"/>
        <v>0</v>
      </c>
      <c r="G13" s="181">
        <v>14950</v>
      </c>
      <c r="H13" s="30">
        <f t="shared" si="0"/>
        <v>0</v>
      </c>
      <c r="I13" s="181">
        <v>500</v>
      </c>
      <c r="J13" s="30">
        <f t="shared" si="0"/>
        <v>0</v>
      </c>
      <c r="L13" s="42">
        <f t="shared" si="5"/>
        <v>50150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4950</v>
      </c>
      <c r="D16" s="30">
        <f t="shared" si="0"/>
        <v>0</v>
      </c>
      <c r="E16" s="208">
        <v>5750</v>
      </c>
      <c r="F16" s="30">
        <f t="shared" si="0"/>
        <v>0</v>
      </c>
      <c r="G16" s="181">
        <v>300</v>
      </c>
      <c r="H16" s="30">
        <f t="shared" si="0"/>
        <v>0</v>
      </c>
      <c r="I16" s="181">
        <v>7700</v>
      </c>
      <c r="J16" s="30">
        <f t="shared" si="0"/>
        <v>0</v>
      </c>
      <c r="L16" s="42">
        <f t="shared" si="5"/>
        <v>18700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117600</v>
      </c>
      <c r="D17" s="30">
        <v>750</v>
      </c>
      <c r="E17" s="208">
        <v>94650</v>
      </c>
      <c r="F17" s="30">
        <v>600</v>
      </c>
      <c r="G17" s="181">
        <v>57000</v>
      </c>
      <c r="H17" s="30">
        <v>100</v>
      </c>
      <c r="I17" s="181">
        <v>167150</v>
      </c>
      <c r="J17" s="30">
        <v>2800</v>
      </c>
      <c r="L17" s="42">
        <f t="shared" si="5"/>
        <v>436400</v>
      </c>
      <c r="M17" s="42">
        <f t="shared" si="4"/>
        <v>4250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58150</v>
      </c>
      <c r="D18" s="30">
        <v>2200</v>
      </c>
      <c r="E18" s="208">
        <v>28800</v>
      </c>
      <c r="F18" s="30">
        <f t="shared" si="0"/>
        <v>0</v>
      </c>
      <c r="G18" s="181">
        <v>24600</v>
      </c>
      <c r="H18" s="30">
        <f t="shared" si="0"/>
        <v>0</v>
      </c>
      <c r="I18" s="181">
        <v>3100</v>
      </c>
      <c r="J18" s="30">
        <f t="shared" si="3"/>
        <v>0</v>
      </c>
      <c r="L18" s="42">
        <f t="shared" si="5"/>
        <v>114650</v>
      </c>
      <c r="M18" s="42">
        <f t="shared" si="4"/>
        <v>2200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443750</v>
      </c>
      <c r="D32" s="44">
        <f t="shared" si="7"/>
        <v>4400</v>
      </c>
      <c r="E32" s="43">
        <f t="shared" si="7"/>
        <v>369700</v>
      </c>
      <c r="F32" s="44">
        <f t="shared" si="7"/>
        <v>1950</v>
      </c>
      <c r="G32" s="43">
        <f t="shared" si="7"/>
        <v>213900</v>
      </c>
      <c r="H32" s="44">
        <f t="shared" si="7"/>
        <v>250</v>
      </c>
      <c r="I32" s="43">
        <f t="shared" si="7"/>
        <v>334050</v>
      </c>
      <c r="J32" s="44">
        <f t="shared" si="7"/>
        <v>5000</v>
      </c>
      <c r="L32" s="96">
        <f>SUM(L9:L31)</f>
        <v>1104300</v>
      </c>
      <c r="M32" s="96">
        <f>SUM(M9:M31)</f>
        <v>11050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15 Blanca</v>
      </c>
      <c r="F2" s="269"/>
      <c r="G2" s="268" t="str">
        <f>IF(G33=0,"",CONCATENATE(PREMIOS!$B15," ",PREMIOS!$B16))</f>
        <v>51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21150+6100</f>
        <v>27250</v>
      </c>
      <c r="D10" s="30">
        <f t="shared" si="0"/>
        <v>0</v>
      </c>
      <c r="E10" s="181">
        <f>9100+8500</f>
        <v>17600</v>
      </c>
      <c r="F10" s="30">
        <f t="shared" si="0"/>
        <v>0</v>
      </c>
      <c r="G10" s="181">
        <v>29450</v>
      </c>
      <c r="H10" s="30">
        <v>700</v>
      </c>
      <c r="J10" s="42">
        <f t="shared" si="3"/>
        <v>74300</v>
      </c>
      <c r="K10" s="42">
        <f t="shared" si="4"/>
        <v>700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2100</v>
      </c>
      <c r="D12" s="30">
        <f t="shared" si="0"/>
        <v>0</v>
      </c>
      <c r="E12" s="181">
        <v>4800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6900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2500</v>
      </c>
      <c r="H16" s="196">
        <f t="shared" si="0"/>
        <v>0</v>
      </c>
      <c r="J16" s="42">
        <f t="shared" si="3"/>
        <v>3500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28500</v>
      </c>
      <c r="D17" s="30">
        <v>500</v>
      </c>
      <c r="E17" s="181">
        <v>11800</v>
      </c>
      <c r="F17" s="30">
        <v>1100</v>
      </c>
      <c r="G17" s="181">
        <v>16350</v>
      </c>
      <c r="H17" s="30">
        <v>100</v>
      </c>
      <c r="J17" s="42">
        <f t="shared" si="3"/>
        <v>56650</v>
      </c>
      <c r="K17" s="42">
        <f t="shared" si="4"/>
        <v>1700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20800</v>
      </c>
      <c r="D18" s="30">
        <f t="shared" si="0"/>
        <v>0</v>
      </c>
      <c r="E18" s="181">
        <v>10800</v>
      </c>
      <c r="F18" s="30">
        <v>1000</v>
      </c>
      <c r="G18" s="181">
        <v>26100</v>
      </c>
      <c r="H18" s="30">
        <v>250</v>
      </c>
      <c r="J18" s="42">
        <f t="shared" si="3"/>
        <v>57700</v>
      </c>
      <c r="K18" s="42">
        <f t="shared" si="4"/>
        <v>1250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79650</v>
      </c>
      <c r="D33" s="44">
        <f t="shared" si="7"/>
        <v>500</v>
      </c>
      <c r="E33" s="43">
        <f t="shared" si="7"/>
        <v>45000</v>
      </c>
      <c r="F33" s="44">
        <f t="shared" si="7"/>
        <v>2100</v>
      </c>
      <c r="G33" s="43">
        <f t="shared" si="7"/>
        <v>74400</v>
      </c>
      <c r="H33" s="44">
        <f t="shared" si="7"/>
        <v>1050</v>
      </c>
      <c r="J33" s="45">
        <f>SUM(J4:J32)</f>
        <v>199050</v>
      </c>
      <c r="K33" s="96">
        <f>SUM(K4:K32)</f>
        <v>3650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5"/>
  <sheetViews>
    <sheetView showGridLines="0" topLeftCell="A2" zoomScale="90" zoomScaleNormal="90" workbookViewId="0">
      <selection activeCell="E36" sqref="E3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77</v>
      </c>
      <c r="D2" s="269"/>
      <c r="E2" s="268">
        <f>IF(PREMIOS!$C19="","",PREMIOS!$C19)</f>
        <v>56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2500</v>
      </c>
      <c r="D4" s="79">
        <f t="shared" ref="D4:F27" si="0">IF(C4="","",0)</f>
        <v>0</v>
      </c>
      <c r="E4" s="190">
        <v>2100</v>
      </c>
      <c r="F4" s="79">
        <f t="shared" si="0"/>
        <v>0</v>
      </c>
      <c r="H4" s="42">
        <f>+C4+E4</f>
        <v>4600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26500</v>
      </c>
      <c r="D8" s="30">
        <f t="shared" si="0"/>
        <v>0</v>
      </c>
      <c r="E8" s="195">
        <v>32350</v>
      </c>
      <c r="F8" s="196">
        <v>300</v>
      </c>
      <c r="H8" s="42">
        <f t="shared" si="2"/>
        <v>58850</v>
      </c>
      <c r="I8" s="42">
        <f t="shared" si="3"/>
        <v>300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11000+9950</f>
        <v>20950</v>
      </c>
      <c r="D10" s="30">
        <v>100</v>
      </c>
      <c r="E10" s="181">
        <v>7200</v>
      </c>
      <c r="F10" s="196">
        <v>100</v>
      </c>
      <c r="H10" s="42">
        <f t="shared" si="2"/>
        <v>28150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43850</v>
      </c>
      <c r="D12" s="30">
        <v>300</v>
      </c>
      <c r="E12" s="195"/>
      <c r="F12" s="30" t="str">
        <f t="shared" si="0"/>
        <v/>
      </c>
      <c r="H12" s="42">
        <f t="shared" si="2"/>
        <v>43850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51600</v>
      </c>
      <c r="D17" s="196">
        <v>200</v>
      </c>
      <c r="E17" s="181">
        <v>41450</v>
      </c>
      <c r="F17" s="30">
        <v>700</v>
      </c>
      <c r="H17" s="42">
        <f t="shared" si="2"/>
        <v>93050</v>
      </c>
      <c r="I17" s="42">
        <f t="shared" si="3"/>
        <v>900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37500</v>
      </c>
      <c r="D18" s="196">
        <f t="shared" si="0"/>
        <v>0</v>
      </c>
      <c r="E18" s="181">
        <v>13100</v>
      </c>
      <c r="F18" s="30">
        <v>100</v>
      </c>
      <c r="H18" s="42">
        <f t="shared" si="2"/>
        <v>50600</v>
      </c>
      <c r="I18" s="42">
        <f t="shared" si="3"/>
        <v>100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185400</v>
      </c>
      <c r="D33" s="44">
        <f>SUM(D4:D32)</f>
        <v>600</v>
      </c>
      <c r="E33" s="43">
        <f>SUM(E4:E32)</f>
        <v>96200</v>
      </c>
      <c r="F33" s="44">
        <f>SUM(F4:F32)</f>
        <v>1200</v>
      </c>
      <c r="H33" s="96">
        <f>SUM(H4:H32)</f>
        <v>281600</v>
      </c>
      <c r="I33" s="96">
        <f>SUM(I4:I32)</f>
        <v>1800</v>
      </c>
    </row>
    <row r="35" spans="3:9" x14ac:dyDescent="0.35">
      <c r="E35">
        <f>100+700+100+300</f>
        <v>1200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20</v>
      </c>
      <c r="D2" s="269"/>
      <c r="E2" s="268">
        <f>IF(PREMIOS!$C20="","",PREMIOS!$C20)</f>
        <v>85</v>
      </c>
      <c r="F2" s="269"/>
      <c r="G2" s="268">
        <f>IF(PREMIOS!$D20="","",PREMIOS!$D20)</f>
        <v>21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4250</v>
      </c>
      <c r="D10" s="196">
        <f t="shared" si="0"/>
        <v>0</v>
      </c>
      <c r="E10" s="181">
        <f>5000+4600</f>
        <v>9600</v>
      </c>
      <c r="F10" s="30">
        <f t="shared" si="0"/>
        <v>0</v>
      </c>
      <c r="G10" s="181">
        <v>12100</v>
      </c>
      <c r="H10" s="196">
        <f t="shared" si="0"/>
        <v>0</v>
      </c>
      <c r="J10" s="42">
        <f t="shared" si="3"/>
        <v>25950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52800</v>
      </c>
      <c r="D17" s="196">
        <v>200</v>
      </c>
      <c r="E17" s="195">
        <v>16150</v>
      </c>
      <c r="F17" s="196">
        <f t="shared" si="0"/>
        <v>0</v>
      </c>
      <c r="G17" s="195">
        <v>29750</v>
      </c>
      <c r="H17" s="196">
        <v>250</v>
      </c>
      <c r="J17" s="42">
        <f t="shared" si="3"/>
        <v>98700</v>
      </c>
      <c r="K17" s="42">
        <f t="shared" si="4"/>
        <v>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11500</v>
      </c>
      <c r="D18" s="196">
        <v>500</v>
      </c>
      <c r="E18" s="181"/>
      <c r="F18" s="30" t="str">
        <f t="shared" si="1"/>
        <v/>
      </c>
      <c r="G18" s="181"/>
      <c r="H18" s="30" t="str">
        <f t="shared" si="2"/>
        <v/>
      </c>
      <c r="J18" s="42">
        <f t="shared" si="3"/>
        <v>11500</v>
      </c>
      <c r="K18" s="42">
        <f t="shared" si="4"/>
        <v>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68550</v>
      </c>
      <c r="D33" s="44">
        <f t="shared" si="6"/>
        <v>700</v>
      </c>
      <c r="E33" s="43">
        <f t="shared" si="6"/>
        <v>25750</v>
      </c>
      <c r="F33" s="44">
        <f t="shared" si="6"/>
        <v>0</v>
      </c>
      <c r="G33" s="43">
        <f t="shared" si="6"/>
        <v>41850</v>
      </c>
      <c r="H33" s="44">
        <f t="shared" si="6"/>
        <v>250</v>
      </c>
      <c r="J33" s="45">
        <f>SUM(J4:J32)</f>
        <v>136150</v>
      </c>
      <c r="K33" s="96">
        <f>SUM(K4:K32)</f>
        <v>950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55</v>
      </c>
      <c r="D2" s="269"/>
      <c r="E2" s="268">
        <f>IF(PREMIOS!$C21="","",PREMIOS!$C21)</f>
        <v>41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2026-03-11T18:38:04Z</dcterms:modified>
  <dc:language>es-CR</dc:language>
</cp:coreProperties>
</file>
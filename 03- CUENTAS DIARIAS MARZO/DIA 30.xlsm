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38" documentId="11_31DACF964768B383EB42CC9AEA84E9DC83DA11F0" xr6:coauthVersionLast="47" xr6:coauthVersionMax="47" xr10:uidLastSave="{8EE633E4-A881-4803-BF80-56A67D1ADB4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I5" i="69"/>
  <c r="B2" i="7"/>
  <c r="B2" i="6"/>
  <c r="B2" i="14"/>
  <c r="B2" i="16"/>
  <c r="B2" i="21"/>
  <c r="B2" i="22"/>
  <c r="K12" i="69"/>
  <c r="H10" i="62"/>
  <c r="G10" i="62"/>
  <c r="I10" i="61" l="1"/>
  <c r="H10" i="60"/>
  <c r="G10" i="60"/>
  <c r="H18" i="60"/>
  <c r="G18" i="60"/>
  <c r="H17" i="60"/>
  <c r="G17" i="60"/>
  <c r="E10" i="65"/>
  <c r="E10" i="62"/>
  <c r="C10" i="62"/>
  <c r="F10" i="61"/>
  <c r="E10" i="61"/>
  <c r="C10" i="61"/>
  <c r="F10" i="60"/>
  <c r="E10" i="60"/>
  <c r="E17" i="60"/>
  <c r="F17" i="60"/>
  <c r="F18" i="60"/>
  <c r="E18" i="60"/>
  <c r="D17" i="60" l="1"/>
  <c r="C17" i="60"/>
  <c r="C10" i="60"/>
  <c r="D18" i="60"/>
  <c r="C18" i="60"/>
  <c r="D18" i="64" l="1"/>
  <c r="D12" i="65"/>
  <c r="D11" i="65"/>
  <c r="D10" i="65"/>
  <c r="D10" i="61"/>
  <c r="D9" i="61"/>
  <c r="D8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15" i="15" s="1"/>
  <c r="G23" i="15"/>
  <c r="J8" i="15"/>
  <c r="K8" i="15" l="1"/>
  <c r="G36" i="60"/>
  <c r="E36" i="60"/>
  <c r="G35" i="60"/>
  <c r="F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35" i="60" s="1"/>
  <c r="D13" i="60"/>
  <c r="D36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4"/>
  <c r="F17" i="65"/>
  <c r="F8" i="65"/>
  <c r="F10" i="62"/>
  <c r="F16" i="61"/>
  <c r="D6" i="60"/>
  <c r="F16" i="60"/>
  <c r="F15" i="60"/>
  <c r="F14" i="60"/>
  <c r="F13" i="60"/>
  <c r="F12" i="60"/>
  <c r="F11" i="60"/>
  <c r="F9" i="60"/>
  <c r="F7" i="60"/>
  <c r="F6" i="60"/>
  <c r="F4" i="60"/>
  <c r="H16" i="60"/>
  <c r="H15" i="60"/>
  <c r="H13" i="60"/>
  <c r="H12" i="60"/>
  <c r="H11" i="60"/>
  <c r="H9" i="60"/>
  <c r="H8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H34" i="60" l="1"/>
  <c r="F34" i="60"/>
  <c r="D34" i="60"/>
  <c r="J8" i="14"/>
  <c r="D21" i="14"/>
  <c r="C12" i="71"/>
  <c r="D22" i="14"/>
  <c r="G12" i="71"/>
  <c r="E19" i="16"/>
  <c r="D4" i="65"/>
  <c r="D20" i="16"/>
  <c r="F18" i="64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22" i="71"/>
  <c r="J31" i="71"/>
  <c r="D18" i="72"/>
  <c r="J31" i="64"/>
  <c r="L9" i="19"/>
  <c r="L20" i="71"/>
  <c r="M20" i="71" s="1"/>
  <c r="J30" i="71"/>
  <c r="K30" i="71" s="1"/>
  <c r="I15" i="72"/>
  <c r="N15" i="72" s="1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J26" i="71"/>
  <c r="L29" i="71"/>
  <c r="M29" i="71" s="1"/>
  <c r="F16" i="71"/>
  <c r="L16" i="71" s="1"/>
  <c r="M16" i="71" s="1"/>
  <c r="F22" i="15"/>
  <c r="L8" i="15" s="1"/>
  <c r="G22" i="15"/>
  <c r="L25" i="71"/>
  <c r="M25" i="71" s="1"/>
  <c r="J23" i="72"/>
  <c r="K23" i="72" s="1"/>
  <c r="J21" i="70"/>
  <c r="K21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0" i="21"/>
  <c r="K10" i="21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M24" i="52"/>
  <c r="M26" i="52"/>
  <c r="J5" i="23"/>
  <c r="M23" i="52"/>
  <c r="F17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K5" i="19"/>
  <c r="E32" i="60"/>
  <c r="J32" i="61"/>
  <c r="C32" i="61"/>
  <c r="I32" i="61"/>
  <c r="L6" i="22"/>
  <c r="M19" i="52"/>
  <c r="G32" i="60"/>
  <c r="L19" i="59"/>
  <c r="K5" i="23"/>
  <c r="J19" i="70"/>
  <c r="K19" i="70" s="1"/>
  <c r="H32" i="60"/>
  <c r="G32" i="61"/>
  <c r="F32" i="61"/>
  <c r="L6" i="25"/>
  <c r="H32" i="61"/>
  <c r="H19" i="70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5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F12" i="15"/>
  <c r="F12" i="19"/>
  <c r="F12" i="8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<sst xmlns="http://schemas.openxmlformats.org/spreadsheetml/2006/main" count="1292" uniqueCount="159">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</sst>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216850</v>
      </c>
      <c r="C3" s="9">
        <f>+HojaTICA!K4+HojaNICA!M4+HojaREVENTADO!K4+HojaPrimera!I4+HojaHonduras!K4+HojaDominicana!I4+HojaPANA!G4</f>
        <v>28150</v>
      </c>
      <c r="D3" s="9">
        <f>+HojaTICA!N4+HojaNICA!P4+HojaREVENTADO!O4+HojaPrimera!L4+HojaHonduras!N4+HojaDominicana!L4+HojaPANA!J4</f>
        <v>181750</v>
      </c>
      <c r="F3" s="10">
        <f t="shared" ref="F3:F27" si="0">+B3-C3-D3</f>
        <v>6950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187800</v>
      </c>
      <c r="C4" s="9">
        <f>+HojaTICA!K5+HojaNICA!M5+HojaREVENTADO!K5+HojaPrimera!I5+HojaHonduras!K5+HojaDominicana!I5+HojaPANA!G5</f>
        <v>24450</v>
      </c>
      <c r="D4" s="9">
        <f>+HojaTICA!N5+HojaNICA!P5+HojaREVENTADO!O5+HojaPrimera!L5+HojaHonduras!N5+HojaDominicana!L5+HojaPANA!J5</f>
        <v>126250</v>
      </c>
      <c r="F4" s="14">
        <f t="shared" si="0"/>
        <v>37100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273200</v>
      </c>
      <c r="C7" s="9">
        <f>+HojaTICA!K8+HojaNICA!M8+HojaREVENTADO!K8+HojaPrimera!I8+HojaHonduras!K8+HojaDominicana!I8+HojaPANA!G8</f>
        <v>32750</v>
      </c>
      <c r="D7" s="9">
        <f>+HojaTICA!N8+HojaNICA!P8+HojaREVENTADO!O8+HojaPrimera!L8+HojaHonduras!N8+HojaDominicana!L8+HojaPANA!J8</f>
        <v>130250</v>
      </c>
      <c r="F7" s="14">
        <f t="shared" si="0"/>
        <v>110200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925350</v>
      </c>
      <c r="C9" s="9">
        <f>+HojaTICA!K10+HojaNICA!M10+HojaREVENTADO!K10+HojaPrimera!I10+HojaHonduras!K10+HojaDominicana!I10+HojaPANA!G10</f>
        <v>109225</v>
      </c>
      <c r="D9" s="9">
        <f>+HojaTICA!N10+HojaNICA!P10+HojaREVENTADO!O10+HojaPrimera!L10+HojaHonduras!N10+HojaDominicana!L10+HojaPANA!J10</f>
        <v>803250</v>
      </c>
      <c r="F9" s="14">
        <f t="shared" si="0"/>
        <v>12875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16900</v>
      </c>
      <c r="C10" s="9">
        <f>+HojaTICA!K11+HojaNICA!M11+HojaREVENTADO!K11+HojaPrimera!I11+HojaHonduras!K11+HojaDominicana!I11+HojaPANA!G11</f>
        <v>2050</v>
      </c>
      <c r="D10" s="9">
        <f>+HojaTICA!N11+HojaNICA!P11+HojaREVENTADO!O11+HojaPrimera!L11+HojaHonduras!N11+HojaDominicana!L11+HojaPANA!J11</f>
        <v>68000</v>
      </c>
      <c r="F10" s="14">
        <f t="shared" si="0"/>
        <v>-53150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94350</v>
      </c>
      <c r="C11" s="9">
        <f>+HojaTICA!K12+HojaNICA!M12+HojaREVENTADO!K12+HojaPrimera!I12+HojaHonduras!K12+HojaDominicana!I12+HojaPANA!G12</f>
        <v>11275</v>
      </c>
      <c r="D11" s="9">
        <f>+HojaTICA!N12+HojaNICA!P12+HojaREVENTADO!O12+HojaPrimera!L12+HojaHonduras!N12+HojaDominicana!L12+HojaPANA!J12</f>
        <v>42500</v>
      </c>
      <c r="F11" s="14">
        <f t="shared" si="0"/>
        <v>40575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129750</v>
      </c>
      <c r="C12" s="9">
        <f>+HojaTICA!K13+HojaNICA!M13+HojaREVENTADO!K13+HojaPrimera!I13+HojaHonduras!K13+HojaDominicana!I13+HojaPANA!G13</f>
        <v>15550</v>
      </c>
      <c r="D12" s="9">
        <f>+HojaTICA!N13+HojaNICA!P13+HojaREVENTADO!O13+HojaPrimera!L13+HojaHonduras!N13+HojaDominicana!L13+HojaPANA!J13</f>
        <v>0</v>
      </c>
      <c r="F12" s="14">
        <f t="shared" si="0"/>
        <v>114200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70800</v>
      </c>
      <c r="C13" s="9">
        <f>+HojaTICA!K14+HojaNICA!M14+HojaREVENTADO!K14+HojaPrimera!I14+HojaHonduras!K14+HojaDominicana!I14+HojaPANA!G14</f>
        <v>10600</v>
      </c>
      <c r="D13" s="9">
        <f>+HojaTICA!N14+HojaNICA!P14+HojaREVENTADO!O14+HojaPrimera!L14+HojaHonduras!N14+HojaDominicana!L14+HojaPANA!J14</f>
        <v>64000</v>
      </c>
      <c r="F13" s="14">
        <f t="shared" si="0"/>
        <v>-3800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76200</v>
      </c>
      <c r="C15" s="9">
        <f>+HojaTICA!K16+HojaNICA!M16+HojaREVENTADO!K16+HojaPrimera!I16+HojaHonduras!K16+HojaDominicana!I16+HojaPANA!G16</f>
        <v>9100</v>
      </c>
      <c r="D15" s="9">
        <f>+HojaTICA!N16+HojaNICA!P16+HojaREVENTADO!O16+HojaPrimera!L16+HojaHonduras!N16+HojaDominicana!L16+HojaPANA!J16</f>
        <v>21250</v>
      </c>
      <c r="F15" s="14">
        <f t="shared" si="0"/>
        <v>45850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1209900</v>
      </c>
      <c r="C16" s="9">
        <f>+HojaTICA!K17+HojaNICA!M17+HojaREVENTADO!K17+HojaPrimera!I17+HojaHonduras!K17+HojaDominicana!I17+HojaPANA!G17</f>
        <v>143500</v>
      </c>
      <c r="D16" s="9">
        <f>+HojaTICA!N17+HojaNICA!P17+HojaREVENTADO!O17+HojaPrimera!L17+HojaHonduras!N17+HojaDominicana!L17+HojaPANA!J17</f>
        <v>718250</v>
      </c>
      <c r="F16" s="14">
        <f t="shared" si="0"/>
        <v>348150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604750</v>
      </c>
      <c r="C17" s="9">
        <f>+HojaTICA!K18+HojaNICA!M18+HojaREVENTADO!K18+HojaPrimera!I18+HojaHonduras!K18+HojaDominicana!I18+HojaPANA!G18</f>
        <v>71350</v>
      </c>
      <c r="D17" s="9">
        <f>+HojaTICA!N18+HojaNICA!P18+HojaREVENTADO!O18+HojaPrimera!L18+HojaHonduras!N18+HojaDominicana!L18+HojaPANA!J18</f>
        <v>654500</v>
      </c>
      <c r="F17" s="14">
        <f t="shared" si="0"/>
        <v>-121100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3805850</v>
      </c>
      <c r="C28" s="17">
        <f t="shared" si="1"/>
        <v>458000</v>
      </c>
      <c r="D28" s="18">
        <f t="shared" si="1"/>
        <v>2810000</v>
      </c>
      <c r="F28" s="20">
        <f>SUM(F3:F27)</f>
        <v>537850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58</v>
      </c>
      <c r="C19" s="132">
        <v>77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40</v>
      </c>
      <c r="C20" s="163">
        <v>18</v>
      </c>
      <c r="D20" s="166">
        <v>65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33</v>
      </c>
      <c r="C21" s="164">
        <v>21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45</v>
      </c>
      <c r="D2" s="268"/>
      <c r="E2" s="267">
        <f>DigitaTICA!E2</f>
        <v>11</v>
      </c>
      <c r="F2" s="268"/>
      <c r="G2" s="267">
        <f>DigitaTICA!G2</f>
        <v>17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58500</v>
      </c>
      <c r="D4" s="30">
        <f>IF(Vendedor1!$E$7="",0,Vendedor1!$E$7)</f>
        <v>250</v>
      </c>
      <c r="E4" s="180">
        <f>IF(Vendedor1!$C$11="",0,Vendedor1!$C$11)</f>
        <v>28350</v>
      </c>
      <c r="F4" s="30">
        <f>IF(Vendedor1!$E$11="",0,Vendedor1!$E$11)</f>
        <v>0</v>
      </c>
      <c r="G4" s="180">
        <f>IF(Vendedor1!$C$15="",0,Vendedor1!$C$15)</f>
        <v>65450</v>
      </c>
      <c r="H4" s="30">
        <f>IF(Vendedor1!$E$15="",0,Vendedor1!$E$15)</f>
        <v>1700</v>
      </c>
      <c r="J4" s="42">
        <f t="shared" ref="J4:J7" si="0">+C4+E4+G4</f>
        <v>152300</v>
      </c>
      <c r="K4" s="41">
        <f>MROUND(J4*Vendedor1!J$9,50)</f>
        <v>19800</v>
      </c>
      <c r="L4" s="42">
        <f t="shared" ref="L4:L7" si="1">+D4+F4+H4</f>
        <v>1950</v>
      </c>
      <c r="M4" s="42">
        <f t="shared" ref="M4:M7" si="2">+L4*85</f>
        <v>165750</v>
      </c>
      <c r="N4" s="42">
        <f>Vendedor1!$F$7+Vendedor1!$F$11+Vendedor1!$F$15</f>
        <v>165750</v>
      </c>
      <c r="P4" s="42">
        <f t="shared" ref="P4:P7" si="3">+J4-K4-N4</f>
        <v>-33250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50350</v>
      </c>
      <c r="D5" s="30">
        <f>IF(Vendedor2!$E$7="",0,Vendedor2!$E$7)</f>
        <v>0</v>
      </c>
      <c r="E5" s="180">
        <f>IF(Vendedor2!$C$11="",0,Vendedor2!$C$11)</f>
        <v>39850</v>
      </c>
      <c r="F5" s="30">
        <f>IF(Vendedor2!$E$11="",0,Vendedor2!$E$11)</f>
        <v>250</v>
      </c>
      <c r="G5" s="180">
        <f>IF(Vendedor2!$C$15="",0,Vendedor2!$C$15)</f>
        <v>65500</v>
      </c>
      <c r="H5" s="30">
        <f>IF(Vendedor2!$E$15="",0,Vendedor2!$E$15)</f>
        <v>1000</v>
      </c>
      <c r="J5" s="42">
        <f t="shared" si="0"/>
        <v>155700</v>
      </c>
      <c r="K5" s="41">
        <f>MROUND(J5*Vendedor2!J$9,50)</f>
        <v>20250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29200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50250</v>
      </c>
      <c r="D8" s="30">
        <f>IF(Vendedor5!$E$7="",0,Vendedor5!$E$7)</f>
        <v>0</v>
      </c>
      <c r="E8" s="180">
        <f>IF(Vendedor5!$C$11="",0,Vendedor5!$C$11)</f>
        <v>41450</v>
      </c>
      <c r="F8" s="30">
        <f>IF(Vendedor5!$E$11="",0,Vendedor5!$E$11)</f>
        <v>1250</v>
      </c>
      <c r="G8" s="180">
        <f>IF(Vendedor5!$C$15="",0,Vendedor5!$C$15)</f>
        <v>38400</v>
      </c>
      <c r="H8" s="30">
        <f>IF(Vendedor5!$E$15="",0,Vendedor5!$E$15)</f>
        <v>0</v>
      </c>
      <c r="J8" s="42">
        <f t="shared" ref="J8" si="4">+C8+E8+G8</f>
        <v>130100</v>
      </c>
      <c r="K8" s="41">
        <f>MROUND(J8*Vendedor5!J$11,50)</f>
        <v>15600</v>
      </c>
      <c r="L8" s="42">
        <f t="shared" ref="L8" si="5">+D8+F8+H8</f>
        <v>1250</v>
      </c>
      <c r="M8" s="42">
        <f t="shared" ref="M8" si="6">+L8*85</f>
        <v>106250</v>
      </c>
      <c r="N8" s="42">
        <f>Vendedor5!$F$7+Vendedor5!$F$11+Vendedor5!$F$15</f>
        <v>106250</v>
      </c>
      <c r="P8" s="42">
        <f t="shared" ref="P8" si="7">+J8-K8-N8</f>
        <v>8250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151450</v>
      </c>
      <c r="D10" s="30">
        <f>IF(Vendedor7!$E$7="",0,Vendedor7!$E$7)</f>
        <v>200</v>
      </c>
      <c r="E10" s="180">
        <f>IF(Vendedor7!$C$11="",0,Vendedor7!$C$11)</f>
        <v>102950</v>
      </c>
      <c r="F10" s="30">
        <f>IF(Vendedor7!$E$11="",0,Vendedor7!$E$11)</f>
        <v>400</v>
      </c>
      <c r="G10" s="180">
        <f>IF(Vendedor7!$C$15="",0,Vendedor7!$C$15)</f>
        <v>151900</v>
      </c>
      <c r="H10" s="30">
        <f>IF(Vendedor7!$E$15="",0,Vendedor7!$E$15)</f>
        <v>5950</v>
      </c>
      <c r="J10" s="42">
        <f t="shared" si="8"/>
        <v>406300</v>
      </c>
      <c r="K10" s="41">
        <f>MROUND(J10*Vendedor7!J$14,50)</f>
        <v>48750</v>
      </c>
      <c r="L10" s="42">
        <f t="shared" si="9"/>
        <v>6550</v>
      </c>
      <c r="M10" s="42">
        <f t="shared" si="10"/>
        <v>556750</v>
      </c>
      <c r="N10" s="42">
        <f>Vendedor7!$F$7+Vendedor7!$F$11+Vendedor7!$F$15</f>
        <v>556750</v>
      </c>
      <c r="P10" s="42">
        <f t="shared" si="11"/>
        <v>-199200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800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13900</v>
      </c>
      <c r="H11" s="30">
        <f>IF(Vendedor8!$E$15="",0,Vendedor8!$E$15)</f>
        <v>0</v>
      </c>
      <c r="J11" s="42">
        <f t="shared" si="8"/>
        <v>16900</v>
      </c>
      <c r="K11" s="41">
        <f>MROUND(J11*Vendedor8!J$11,50)</f>
        <v>2050</v>
      </c>
      <c r="L11" s="42">
        <f t="shared" si="9"/>
        <v>800</v>
      </c>
      <c r="M11" s="42">
        <f t="shared" si="10"/>
        <v>68000</v>
      </c>
      <c r="N11" s="42">
        <f>Vendedor8!$F$7+Vendedor8!$F$11+Vendedor8!$F$15</f>
        <v>68000</v>
      </c>
      <c r="P11" s="42">
        <f t="shared" si="11"/>
        <v>-53150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20950</v>
      </c>
      <c r="D12" s="30">
        <f>IF(Vendedor9!$E$7="",0,Vendedor9!$E$7)</f>
        <v>500</v>
      </c>
      <c r="E12" s="180">
        <f>IF(Vendedor9!$C$11="",0,Vendedor9!$C$11)</f>
        <v>7950</v>
      </c>
      <c r="F12" s="30">
        <f>IF(Vendedor9!$E$11="",0,Vendedor9!$E$11)</f>
        <v>0</v>
      </c>
      <c r="G12" s="180">
        <f>IF(Vendedor9!$C$15="",0,Vendedor9!$C$15)</f>
        <v>28450</v>
      </c>
      <c r="H12" s="30">
        <f>IF(Vendedor9!$E$15="",0,Vendedor9!$E$15)</f>
        <v>0</v>
      </c>
      <c r="J12" s="42">
        <f t="shared" si="8"/>
        <v>57350</v>
      </c>
      <c r="K12" s="41">
        <f>MROUND(J12*Vendedor9!J$11,50)</f>
        <v>6900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7950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23700</v>
      </c>
      <c r="D13" s="30">
        <f>IF(Vendedor10!$E$7="",0,Vendedor10!$E$7)</f>
        <v>0</v>
      </c>
      <c r="E13" s="180">
        <f>IF(Vendedor10!$C$11="",0,Vendedor10!$C$11)</f>
        <v>12500</v>
      </c>
      <c r="F13" s="30">
        <f>IF(Vendedor10!$E$11="",0,Vendedor10!$E$11)</f>
        <v>0</v>
      </c>
      <c r="G13" s="180">
        <f>IF(Vendedor10!$C$15="",0,Vendedor10!$C$15)</f>
        <v>58450</v>
      </c>
      <c r="H13" s="30">
        <f>IF(Vendedor10!$E$15="",0,Vendedor10!$E$15)</f>
        <v>0</v>
      </c>
      <c r="J13" s="42">
        <f t="shared" si="8"/>
        <v>94650</v>
      </c>
      <c r="K13" s="41">
        <f>MROUND(J13*Vendedor10!J$9,50)</f>
        <v>11350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83300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23000</v>
      </c>
      <c r="D14" s="30">
        <f>IF(Vendedor11!$E$7="",0,Vendedor11!$E$7)</f>
        <v>500</v>
      </c>
      <c r="E14" s="180">
        <f>IF(Vendedor11!$C$11="",0,Vendedor11!$C$11)</f>
        <v>18000</v>
      </c>
      <c r="F14" s="30">
        <f>IF(Vendedor11!$E$11="",0,Vendedor11!$E$11)</f>
        <v>0</v>
      </c>
      <c r="G14" s="180">
        <f>IF(Vendedor11!$C$15="",0,Vendedor11!$C$15)</f>
        <v>29800</v>
      </c>
      <c r="H14" s="30">
        <f>IF(Vendedor11!$E$15="",0,Vendedor11!$E$15)</f>
        <v>300</v>
      </c>
      <c r="J14" s="42">
        <f t="shared" si="8"/>
        <v>70800</v>
      </c>
      <c r="K14" s="41">
        <f>MROUND(J14*Vendedor11!J$9,50)</f>
        <v>10600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-3800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14500</v>
      </c>
      <c r="D16" s="30">
        <f>IF(Vendedor13!$E$7="",0,Vendedor13!$E$7)</f>
        <v>250</v>
      </c>
      <c r="E16" s="180">
        <f>IF(Vendedor13!$C$11="",0,Vendedor13!$C$11)</f>
        <v>12700</v>
      </c>
      <c r="F16" s="30">
        <f>IF(Vendedor13!$E$11="",0,Vendedor13!$E$11)</f>
        <v>0</v>
      </c>
      <c r="G16" s="180">
        <f>IF(Vendedor13!$C$15="",0,Vendedor13!$C$15)</f>
        <v>26650</v>
      </c>
      <c r="H16" s="30">
        <f>IF(Vendedor13!$E$15="",0,Vendedor13!$E$15)</f>
        <v>0</v>
      </c>
      <c r="J16" s="42">
        <f t="shared" si="8"/>
        <v>53850</v>
      </c>
      <c r="K16" s="41">
        <f>MROUND(J16*Vendedor13!J$11,50)</f>
        <v>6450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26150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162350</v>
      </c>
      <c r="D17" s="30">
        <f>IF(Vendedor14!$E$7="",0,Vendedor14!$E$7)</f>
        <v>1600</v>
      </c>
      <c r="E17" s="180">
        <f>IF(Vendedor14!$C$11="",0,Vendedor14!$C$11)</f>
        <v>101450</v>
      </c>
      <c r="F17" s="30">
        <f>IF(Vendedor14!$E$11="",0,Vendedor14!$E$11)</f>
        <v>950</v>
      </c>
      <c r="G17" s="180">
        <f>IF(Vendedor14!$C$15="",0,Vendedor14!$C$15)</f>
        <v>211950</v>
      </c>
      <c r="H17" s="30">
        <f>IF(Vendedor14!$E$15="",0,Vendedor14!$E$15)</f>
        <v>1200</v>
      </c>
      <c r="J17" s="42">
        <f t="shared" si="8"/>
        <v>475750</v>
      </c>
      <c r="K17" s="41">
        <f>MROUND(J17*Vendedor14!J$15,50)</f>
        <v>57100</v>
      </c>
      <c r="L17" s="42">
        <f t="shared" si="9"/>
        <v>3750</v>
      </c>
      <c r="M17" s="42">
        <f t="shared" si="10"/>
        <v>318750</v>
      </c>
      <c r="N17" s="42">
        <f>Vendedor14!$F$7+Vendedor14!$F$11+Vendedor14!$F$15</f>
        <v>318750</v>
      </c>
      <c r="P17" s="42">
        <f t="shared" si="11"/>
        <v>99900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52600</v>
      </c>
      <c r="D18" s="30">
        <f>IF(Vendedor15!$E$7="",0,Vendedor15!$E$7)</f>
        <v>200</v>
      </c>
      <c r="E18" s="180">
        <f>IF(Vendedor15!$C$11="",0,Vendedor15!$C$11)</f>
        <v>48600</v>
      </c>
      <c r="F18" s="30">
        <f>IF(Vendedor15!$E$11="",0,Vendedor15!$E$11)</f>
        <v>400</v>
      </c>
      <c r="G18" s="180">
        <f>IF(Vendedor15!$C$15="",0,Vendedor15!$C$15)</f>
        <v>72550</v>
      </c>
      <c r="H18" s="30">
        <f>IF(Vendedor15!$E$15="",0,Vendedor15!$E$15)</f>
        <v>3350</v>
      </c>
      <c r="J18" s="42">
        <f t="shared" ref="J18" si="12">+C18+E18+G18</f>
        <v>173750</v>
      </c>
      <c r="K18" s="41">
        <f>MROUND(J18*Vendedor15!J$15,50)</f>
        <v>20850</v>
      </c>
      <c r="L18" s="42">
        <f t="shared" ref="L18" si="13">+D18+F18+H18</f>
        <v>3950</v>
      </c>
      <c r="M18" s="42">
        <f t="shared" ref="M18" si="14">+L18*85</f>
        <v>335750</v>
      </c>
      <c r="N18" s="42">
        <f>Vendedor15!$F$7+Vendedor15!$F$11+Vendedor15!$F$15</f>
        <v>335750</v>
      </c>
      <c r="P18" s="42">
        <f t="shared" ref="P18" si="15">+J18-K18-N18</f>
        <v>-182850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610650</v>
      </c>
      <c r="D32" s="44">
        <f t="shared" si="16"/>
        <v>4300</v>
      </c>
      <c r="E32" s="43">
        <f t="shared" si="16"/>
        <v>413800</v>
      </c>
      <c r="F32" s="44">
        <f t="shared" si="16"/>
        <v>3250</v>
      </c>
      <c r="G32" s="43">
        <f t="shared" si="16"/>
        <v>763000</v>
      </c>
      <c r="H32" s="44">
        <f t="shared" si="16"/>
        <v>13500</v>
      </c>
      <c r="J32" s="95">
        <f>SUM(J4:J31)</f>
        <v>1787450</v>
      </c>
      <c r="K32" s="45">
        <f>SUM(K7:K31)</f>
        <v>179650</v>
      </c>
      <c r="L32" s="95">
        <f>SUM(L4:L31)</f>
        <v>21050</v>
      </c>
      <c r="M32" s="95">
        <f>SUM(M4:M31)</f>
        <v>1789250</v>
      </c>
      <c r="N32" s="95">
        <f>SUM(N4:N31)</f>
        <v>1785250</v>
      </c>
      <c r="P32" s="79">
        <f>SUM(P4:P31)</f>
        <v>-217500</v>
      </c>
    </row>
    <row r="33" spans="3:13" x14ac:dyDescent="0.35">
      <c r="D33" s="99">
        <f>+D32*85</f>
        <v>365500</v>
      </c>
      <c r="F33" s="99">
        <f>+F32*85</f>
        <v>276250</v>
      </c>
      <c r="H33" s="99">
        <f>+H32*85</f>
        <v>1147500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1787450</v>
      </c>
      <c r="E36" s="43">
        <f>+D36-J4-J5-J6</f>
        <v>1479450</v>
      </c>
      <c r="G36" s="101"/>
    </row>
    <row r="37" spans="3:13" x14ac:dyDescent="0.35">
      <c r="C37" s="47" t="s">
        <v>33</v>
      </c>
      <c r="D37" s="48">
        <f>D36*13%</f>
        <v>232368.5</v>
      </c>
      <c r="E37">
        <f>+D37-K4-K5-K6</f>
        <v>192318.5</v>
      </c>
      <c r="G37" s="100"/>
      <c r="H37" s="100"/>
    </row>
    <row r="38" spans="3:13" ht="15" thickBot="1" x14ac:dyDescent="0.4">
      <c r="C38" s="47" t="s">
        <v>30</v>
      </c>
      <c r="D38" s="30">
        <f>M32</f>
        <v>1789250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-234168.5</v>
      </c>
      <c r="F39" s="98">
        <f>+P32-D39</f>
        <v>16668.5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-234168.5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93</v>
      </c>
      <c r="D2" s="268"/>
      <c r="E2" s="267">
        <f>DigitaNICA!E2</f>
        <v>21</v>
      </c>
      <c r="F2" s="268"/>
      <c r="G2" s="267">
        <f>DigitaNICA!G2</f>
        <v>72</v>
      </c>
      <c r="H2" s="268"/>
      <c r="I2" s="267">
        <f>DigitaNICA!I2</f>
        <v>88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24850</v>
      </c>
      <c r="D4" s="78">
        <f>IF(Vendedor1!$E$5="",0,Vendedor1!$E$5)</f>
        <v>0</v>
      </c>
      <c r="E4" s="189">
        <f>IF(Vendedor1!$C$9="",0,Vendedor1!$C$9)</f>
        <v>26150</v>
      </c>
      <c r="F4" s="78">
        <f>IF(Vendedor1!$E$9="",0,Vendedor1!$E$9)</f>
        <v>200</v>
      </c>
      <c r="G4" s="189">
        <f>IF(Vendedor1!$C$13="",0,Vendedor1!$C$13)</f>
        <v>4450</v>
      </c>
      <c r="H4" s="78">
        <f>IF(Vendedor1!$E$13="",0,Vendedor1!$E$13)</f>
        <v>0</v>
      </c>
      <c r="I4" s="189">
        <f>IF(Vendedor1!$C$17="",0,Vendedor1!$C$17)</f>
        <v>2000</v>
      </c>
      <c r="J4" s="78">
        <f>IF(Vendedor1!$E$17="",0,Vendedor1!$E$17)</f>
        <v>0</v>
      </c>
      <c r="L4" s="42">
        <f t="shared" ref="L4:L7" si="0">C4+E4+G4+I4</f>
        <v>57450</v>
      </c>
      <c r="M4" s="41">
        <f>MROUND(L4*Vendedor1!J$10,50)</f>
        <v>7450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33000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18700</v>
      </c>
      <c r="D5" s="30">
        <f>IF(Vendedor2!$E$5="",0,Vendedor2!$E$5)</f>
        <v>250</v>
      </c>
      <c r="E5" s="180">
        <f>IF(Vendedor2!$C$9="",0,Vendedor2!$C$9)</f>
        <v>10400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29100</v>
      </c>
      <c r="M5" s="41">
        <f>MROUND(L5*Vendedor2!J$10,50)</f>
        <v>3800</v>
      </c>
      <c r="N5" s="42">
        <f t="shared" si="1"/>
        <v>250</v>
      </c>
      <c r="O5" s="41">
        <f t="shared" ref="O5:O27" si="3">IFERROR(N5*85,0)</f>
        <v>21250</v>
      </c>
      <c r="P5" s="42">
        <f>Vendedor2!$F$5+Vendedor2!$F$9+Vendedor2!$F$13+Vendedor2!$F$17</f>
        <v>20000</v>
      </c>
      <c r="Q5">
        <v>5</v>
      </c>
      <c r="R5" s="41">
        <f t="shared" si="2"/>
        <v>4050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57400</v>
      </c>
      <c r="D8" s="30">
        <f>IF(Vendedor5!$E$5="",0,Vendedor5!$E$5)</f>
        <v>0</v>
      </c>
      <c r="E8" s="180">
        <f>IF(Vendedor5!$C$9="",0,Vendedor5!$C$9)</f>
        <v>33650</v>
      </c>
      <c r="F8" s="30">
        <f>IF(Vendedor5!$E$9="",0,Vendedor5!$E$9)</f>
        <v>0</v>
      </c>
      <c r="G8" s="180">
        <f>IF(Vendedor5!$C$13="",0,Vendedor5!$C$13)</f>
        <v>2150</v>
      </c>
      <c r="H8" s="30">
        <f>IF(Vendedor5!$E$13="",0,Vendedor5!$E$13)</f>
        <v>0</v>
      </c>
      <c r="I8" s="180">
        <f>IF(Vendedor5!$C$17="",0,Vendedor5!$C$17)</f>
        <v>10700</v>
      </c>
      <c r="J8" s="30">
        <f>IF(Vendedor5!$E$17="",0,Vendedor5!$E$17)</f>
        <v>100</v>
      </c>
      <c r="L8" s="42">
        <f t="shared" ref="L8" si="4">C8+E8+G8+I8</f>
        <v>103900</v>
      </c>
      <c r="M8" s="41">
        <f>MROUND(L8*Vendedor5!J$12,50)</f>
        <v>12450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82950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69550</v>
      </c>
      <c r="D10" s="30">
        <f>IF(Vendedor7!$E$5="",0,Vendedor7!$E$5)</f>
        <v>0</v>
      </c>
      <c r="E10" s="180">
        <f>IF(Vendedor7!$C$9="",0,Vendedor7!$C$9)</f>
        <v>54700</v>
      </c>
      <c r="F10" s="30">
        <f>IF(Vendedor7!$E$9="",0,Vendedor7!$E$9)</f>
        <v>750</v>
      </c>
      <c r="G10" s="180">
        <f>IF(Vendedor7!$C$13="",0,Vendedor7!$C$13)</f>
        <v>76500</v>
      </c>
      <c r="H10" s="30">
        <f>IF(Vendedor7!$E$13="",0,Vendedor7!$E$13)</f>
        <v>0</v>
      </c>
      <c r="I10" s="180">
        <f>IF(Vendedor7!$C$17="",0,Vendedor7!$C$17)</f>
        <v>99300</v>
      </c>
      <c r="J10" s="30">
        <f>IF(Vendedor7!$E$17="",0,Vendedor7!$E$17)</f>
        <v>300</v>
      </c>
      <c r="L10" s="42">
        <f t="shared" si="7"/>
        <v>300050</v>
      </c>
      <c r="M10" s="41">
        <f>MROUND(L10*Vendedor7!J$15,50)</f>
        <v>36000</v>
      </c>
      <c r="N10" s="42">
        <f t="shared" ref="N10:N27" si="9">D10+F10+H10+J10</f>
        <v>1050</v>
      </c>
      <c r="O10" s="41">
        <f t="shared" si="3"/>
        <v>89250</v>
      </c>
      <c r="P10" s="42">
        <f>Vendedor7!$F$5+Vendedor7!$F$9+Vendedor7!$F$13+Vendedor7!$F$17</f>
        <v>89250</v>
      </c>
      <c r="R10" s="41">
        <f t="shared" si="8"/>
        <v>174800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20050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20050</v>
      </c>
      <c r="M12" s="41">
        <f>MROUND(L12*Vendedor9!J$12,50)</f>
        <v>2400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17650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24150</v>
      </c>
      <c r="D13" s="30">
        <f>IF(Vendedor10!$E$5="",0,Vendedor10!$E$5)</f>
        <v>0</v>
      </c>
      <c r="E13" s="180">
        <f>IF(Vendedor10!$C$9="",0,Vendedor10!$C$9)</f>
        <v>8850</v>
      </c>
      <c r="F13" s="30">
        <f>IF(Vendedor10!$E$9="",0,Vendedor10!$E$9)</f>
        <v>0</v>
      </c>
      <c r="G13" s="180">
        <f>IF(Vendedor10!$C$13="",0,Vendedor10!$C$13)</f>
        <v>700</v>
      </c>
      <c r="H13" s="30">
        <f>IF(Vendedor10!$E$13="",0,Vendedor10!$E$13)</f>
        <v>0</v>
      </c>
      <c r="I13" s="180">
        <f>IF(Vendedor10!$C$17="",0,Vendedor10!$C$17)</f>
        <v>1400</v>
      </c>
      <c r="J13" s="30">
        <f>IF(Vendedor10!$E$17="",0,Vendedor10!$E$17)</f>
        <v>0</v>
      </c>
      <c r="L13" s="42">
        <f t="shared" si="7"/>
        <v>35100</v>
      </c>
      <c r="M13" s="41">
        <f>MROUND(L13*Vendedor10!J$10,50)</f>
        <v>4200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2500</v>
      </c>
      <c r="D16" s="30">
        <f>IF(Vendedor13!$E$5="",0,Vendedor13!$E$5)</f>
        <v>0</v>
      </c>
      <c r="E16" s="180">
        <f>IF(Vendedor13!$C$9="",0,Vendedor13!$C$9)</f>
        <v>5450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9600</v>
      </c>
      <c r="J16" s="30">
        <f>IF(Vendedor13!$E$17="",0,Vendedor13!$E$17)</f>
        <v>0</v>
      </c>
      <c r="L16" s="42">
        <f t="shared" si="7"/>
        <v>17550</v>
      </c>
      <c r="M16" s="41">
        <f>MROUND(L16*Vendedor13!J$12,50)</f>
        <v>2100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15450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103650</v>
      </c>
      <c r="D17" s="30">
        <f>IF(Vendedor14!$E$5="",0,Vendedor14!$E$5)</f>
        <v>200</v>
      </c>
      <c r="E17" s="180">
        <f>IF(Vendedor14!$C$9="",0,Vendedor14!$C$9)</f>
        <v>90100</v>
      </c>
      <c r="F17" s="30">
        <f>IF(Vendedor14!$E$9="",0,Vendedor14!$E$9)</f>
        <v>2700</v>
      </c>
      <c r="G17" s="180">
        <f>IF(Vendedor14!$C$13="",0,Vendedor14!$C$13)</f>
        <v>74850</v>
      </c>
      <c r="H17" s="30">
        <f>IF(Vendedor14!$E$13="",0,Vendedor14!$E$13)</f>
        <v>400</v>
      </c>
      <c r="I17" s="180">
        <f>IF(Vendedor14!$C$17="",0,Vendedor14!$C$17)</f>
        <v>191300</v>
      </c>
      <c r="J17" s="30">
        <f>IF(Vendedor14!$E$17="",0,Vendedor14!$E$17)</f>
        <v>750</v>
      </c>
      <c r="L17" s="42">
        <f>C17+E17+G17+I17</f>
        <v>459900</v>
      </c>
      <c r="M17" s="41">
        <f>MROUND(L17*Vendedor14!J$16,50)</f>
        <v>55200</v>
      </c>
      <c r="N17" s="42">
        <f t="shared" si="9"/>
        <v>4050</v>
      </c>
      <c r="O17" s="41">
        <f t="shared" si="3"/>
        <v>344250</v>
      </c>
      <c r="P17" s="42">
        <f>Vendedor14!$F$5+Vendedor14!$F$9+Vendedor14!$F$13+Vendedor14!$F$17</f>
        <v>344250</v>
      </c>
      <c r="R17" s="41">
        <f t="shared" si="8"/>
        <v>60450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64050</v>
      </c>
      <c r="D18" s="30">
        <f>IF(Vendedor15!$E$5="",0,Vendedor15!$E$5)</f>
        <v>200</v>
      </c>
      <c r="E18" s="180">
        <f>IF(Vendedor15!$C$9="",0,Vendedor15!$C$9)</f>
        <v>62200</v>
      </c>
      <c r="F18" s="30">
        <f>IF(Vendedor15!$E$9="",0,Vendedor15!$E$9)</f>
        <v>2250</v>
      </c>
      <c r="G18" s="180">
        <f>IF(Vendedor15!$C$13="",0,Vendedor15!$C$13)</f>
        <v>61550</v>
      </c>
      <c r="H18" s="30">
        <f>IF(Vendedor15!$E$13="",0,Vendedor15!$E$13)</f>
        <v>300</v>
      </c>
      <c r="I18" s="180">
        <f>IF(Vendedor15!$C$17="",0,Vendedor15!$C$17)</f>
        <v>7200</v>
      </c>
      <c r="J18" s="30">
        <f>IF(Vendedor15!$E$17="",0,Vendedor15!$E$17)</f>
        <v>0</v>
      </c>
      <c r="L18" s="42">
        <f t="shared" ref="L18:L27" si="10">C18+E18+G18+I18</f>
        <v>195000</v>
      </c>
      <c r="M18" s="41">
        <f>MROUND(L18*Vendedor15!J$16,50)</f>
        <v>23400</v>
      </c>
      <c r="N18" s="42">
        <f t="shared" si="9"/>
        <v>2750</v>
      </c>
      <c r="O18" s="41">
        <f t="shared" si="3"/>
        <v>233750</v>
      </c>
      <c r="P18" s="42">
        <f>Vendedor15!$F$5+Vendedor15!$F$9+Vendedor15!$F$13+Vendedor15!$F$17</f>
        <v>233750</v>
      </c>
      <c r="R18" s="41">
        <f t="shared" si="8"/>
        <v>-62150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384900</v>
      </c>
      <c r="D32" s="44">
        <f t="shared" si="14"/>
        <v>650</v>
      </c>
      <c r="E32" s="43">
        <f t="shared" si="14"/>
        <v>291500</v>
      </c>
      <c r="F32" s="44">
        <f t="shared" si="14"/>
        <v>5900</v>
      </c>
      <c r="G32" s="43">
        <f t="shared" si="14"/>
        <v>220200</v>
      </c>
      <c r="H32" s="44">
        <f t="shared" si="14"/>
        <v>700</v>
      </c>
      <c r="I32" s="43">
        <f t="shared" si="14"/>
        <v>321500</v>
      </c>
      <c r="J32" s="44">
        <f t="shared" si="14"/>
        <v>1150</v>
      </c>
      <c r="L32" s="45">
        <f>SUM(L4:L31)</f>
        <v>1218100</v>
      </c>
      <c r="M32" s="45">
        <f>SUM(M7:M31)</f>
        <v>135750</v>
      </c>
      <c r="N32" s="95">
        <f>SUM(N4:N31)</f>
        <v>8400</v>
      </c>
      <c r="O32" s="46">
        <f>SUM(O4:O31)</f>
        <v>714000</v>
      </c>
      <c r="P32" s="140">
        <f>SUM(P4:P31)</f>
        <v>711250</v>
      </c>
      <c r="R32" s="79">
        <f>SUM(R4:R31)</f>
        <v>357100</v>
      </c>
    </row>
    <row r="33" spans="3:15" x14ac:dyDescent="0.35">
      <c r="D33" s="120">
        <f>+D32*85</f>
        <v>55250</v>
      </c>
      <c r="F33" s="120">
        <f>+F32*85</f>
        <v>501500</v>
      </c>
      <c r="H33" s="120">
        <f>+H32*85</f>
        <v>59500</v>
      </c>
      <c r="J33" s="120">
        <f>+J32*85</f>
        <v>97750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1218100</v>
      </c>
      <c r="E36" s="43">
        <f>+D36-L4-L5-L6</f>
        <v>1131550</v>
      </c>
    </row>
    <row r="37" spans="3:15" x14ac:dyDescent="0.35">
      <c r="C37" s="47" t="s">
        <v>33</v>
      </c>
      <c r="D37" s="48">
        <f>D36*13%</f>
        <v>158353</v>
      </c>
      <c r="E37">
        <f>+D37-M4-M5-M6</f>
        <v>147103</v>
      </c>
    </row>
    <row r="38" spans="3:15" x14ac:dyDescent="0.35">
      <c r="C38" s="47" t="s">
        <v>30</v>
      </c>
      <c r="D38" s="30">
        <f>SUM(O4:O27)</f>
        <v>714000</v>
      </c>
      <c r="G38" s="100"/>
    </row>
    <row r="39" spans="3:15" ht="15" thickBot="1" x14ac:dyDescent="0.4">
      <c r="C39" s="49" t="s">
        <v>4</v>
      </c>
      <c r="D39" s="80">
        <f>+D36-D37-D38</f>
        <v>345747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345747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45 Blanca</v>
      </c>
      <c r="D2" s="268"/>
      <c r="E2" s="267" t="str">
        <f>IF(E33=0,"",CONCATENATE(PREMIOS!$B11," ",PREMIOS!$B12))</f>
        <v>11 Blanca</v>
      </c>
      <c r="F2" s="268"/>
      <c r="G2" s="267" t="str">
        <f>IF(G33=0,"",CONCATENATE(PREMIOS!$B15," ",PREMIOS!$B16))</f>
        <v>17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29650</v>
      </c>
      <c r="D10" s="30">
        <f>IF(Vendedor7!$E$8="",0,Vendedor7!$E$8)</f>
        <v>0</v>
      </c>
      <c r="E10" s="180">
        <f>IF(Vendedor7!$C$12="",0,Vendedor7!$C$12)</f>
        <v>22900</v>
      </c>
      <c r="F10" s="30">
        <f>IF(Vendedor7!$E$12="",0,Vendedor7!$E$12)</f>
        <v>0</v>
      </c>
      <c r="G10" s="180">
        <f>IF(Vendedor7!$C$16="",0,Vendedor7!$C$16)</f>
        <v>39200</v>
      </c>
      <c r="H10" s="30">
        <f>IF(Vendedor7!$E$16="",0,Vendedor7!$E$16)</f>
        <v>2000</v>
      </c>
      <c r="J10" s="42">
        <f t="shared" si="1"/>
        <v>91750</v>
      </c>
      <c r="K10" s="41">
        <f>J10*Vendedor7!J$16</f>
        <v>9175</v>
      </c>
      <c r="L10" s="42">
        <f t="shared" si="2"/>
        <v>0</v>
      </c>
      <c r="M10" s="42">
        <f t="shared" si="3"/>
        <v>2000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82575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2250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2250</v>
      </c>
      <c r="K12" s="41">
        <f>J12*Vendedor9!J$13</f>
        <v>225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2025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47150</v>
      </c>
      <c r="D17" s="30">
        <f>IF(Vendedor14!$E$8="",0,Vendedor14!$E$8)</f>
        <v>0</v>
      </c>
      <c r="E17" s="180">
        <f>IF(Vendedor14!$C$12="",0,Vendedor14!$C$12)</f>
        <v>12200</v>
      </c>
      <c r="F17" s="30">
        <f>IF(Vendedor14!$E$12="",0,Vendedor14!$E$12)</f>
        <v>200</v>
      </c>
      <c r="G17" s="180">
        <f>IF(Vendedor14!$C$16="",0,Vendedor14!$C$16)</f>
        <v>24150</v>
      </c>
      <c r="H17" s="30">
        <f>IF(Vendedor14!$E$16="",0,Vendedor14!$E$16)</f>
        <v>500</v>
      </c>
      <c r="J17" s="42">
        <f t="shared" si="1"/>
        <v>83500</v>
      </c>
      <c r="K17" s="41">
        <f>J17*Vendedor14!J$17</f>
        <v>8350</v>
      </c>
      <c r="L17" s="42">
        <f t="shared" si="2"/>
        <v>0</v>
      </c>
      <c r="M17" s="42">
        <f t="shared" si="3"/>
        <v>700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75150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23000</v>
      </c>
      <c r="D18" s="30">
        <f>IF(Vendedor15!$E$8="",0,Vendedor15!$E$8)</f>
        <v>0</v>
      </c>
      <c r="E18" s="180">
        <f>IF(Vendedor15!$C$12="",0,Vendedor15!$C$12)</f>
        <v>20100</v>
      </c>
      <c r="F18" s="30">
        <f>IF(Vendedor15!$E$12="",0,Vendedor15!$E$12)</f>
        <v>300</v>
      </c>
      <c r="G18" s="180">
        <f>IF(Vendedor15!$C$16="",0,Vendedor15!$C$16)</f>
        <v>17400</v>
      </c>
      <c r="H18" s="30">
        <f>IF(Vendedor15!$E$16="",0,Vendedor15!$E$16)</f>
        <v>1200</v>
      </c>
      <c r="J18" s="42">
        <f t="shared" ref="J18" si="5">+C18+E18+G18</f>
        <v>60500</v>
      </c>
      <c r="K18" s="41">
        <f>J18*Vendedor15!J$17</f>
        <v>6050</v>
      </c>
      <c r="L18" s="42">
        <f t="shared" si="2"/>
        <v>0</v>
      </c>
      <c r="M18" s="42">
        <f t="shared" si="3"/>
        <v>1500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54450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102050</v>
      </c>
      <c r="D33" s="44">
        <f>IF(PREMIOS!E8&lt;&gt;0,SUM(D4:D32),0)</f>
        <v>0</v>
      </c>
      <c r="E33" s="43">
        <f>SUM(E4:E32)</f>
        <v>55200</v>
      </c>
      <c r="F33" s="44">
        <f>IF(PREMIOS!E12&lt;&gt;0,SUM(F4:F32),0)</f>
        <v>0</v>
      </c>
      <c r="G33" s="43">
        <f>SUM(G4:G32)</f>
        <v>82250</v>
      </c>
      <c r="H33" s="44">
        <f>IF(PREMIOS!E16&lt;&gt;0,SUM(H4:H32),0)</f>
        <v>0</v>
      </c>
      <c r="J33" s="45">
        <f>SUM(J4:J32)</f>
        <v>239500</v>
      </c>
      <c r="K33" s="45">
        <f>SUM(K7:K32)</f>
        <v>23950</v>
      </c>
      <c r="L33" s="95">
        <f>SUM(L7:L32)</f>
        <v>0</v>
      </c>
      <c r="M33" s="95">
        <f>SUM(M7:M32)</f>
        <v>4200</v>
      </c>
      <c r="N33" s="95">
        <f>SUM(N4:N27)</f>
        <v>0</v>
      </c>
      <c r="O33" s="95">
        <f>SUM(O4:O27)</f>
        <v>0</v>
      </c>
      <c r="Q33" s="79">
        <f>SUM(Q4:Q32)</f>
        <v>215550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239500</v>
      </c>
      <c r="E37" s="43">
        <f>+D37-J4-J5-J6</f>
        <v>239500</v>
      </c>
      <c r="F37" s="275"/>
      <c r="G37" s="275"/>
    </row>
    <row r="38" spans="3:17" ht="15" thickBot="1" x14ac:dyDescent="0.4">
      <c r="C38" s="47" t="s">
        <v>33</v>
      </c>
      <c r="D38" s="30">
        <f>D37*10%</f>
        <v>23950</v>
      </c>
      <c r="E38" s="43">
        <f>+D38-K4-K5-K6</f>
        <v>23950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215550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215550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58</v>
      </c>
      <c r="D2" s="268"/>
      <c r="E2" s="267">
        <f>DigitaPRIMERA!E2</f>
        <v>77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4600</v>
      </c>
      <c r="D4" s="78">
        <f>IF(Vendedor1!$E$19="",0,Vendedor1!$E$19)</f>
        <v>0</v>
      </c>
      <c r="E4" s="189">
        <f>IF(Vendedor1!$C$20="",0,Vendedor1!$C$20)</f>
        <v>2500</v>
      </c>
      <c r="F4" s="78">
        <f>IF(Vendedor1!$E$20="",0,Vendedor1!$E$20)</f>
        <v>0</v>
      </c>
      <c r="H4" s="42">
        <f>+C4+E4</f>
        <v>7100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6200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31600</v>
      </c>
      <c r="D8" s="30">
        <f>IF(Vendedor5!$E$19="",0,Vendedor5!$E$19)</f>
        <v>200</v>
      </c>
      <c r="E8" s="180">
        <f>IF(Vendedor5!$C$20="",0,Vendedor5!$C$20)</f>
        <v>7600</v>
      </c>
      <c r="F8" s="30">
        <f>IF(Vendedor5!$E$20="",0,Vendedor5!$E$20)</f>
        <v>0</v>
      </c>
      <c r="H8" s="133">
        <f t="shared" si="1"/>
        <v>39200</v>
      </c>
      <c r="I8" s="148">
        <f>MROUND(H8*Vendedor5!J$11,50)</f>
        <v>4700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18500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29300</v>
      </c>
      <c r="D10" s="30">
        <f>IF(Vendedor7!$E$19="",0,Vendedor7!$E$19)</f>
        <v>0</v>
      </c>
      <c r="E10" s="180">
        <f>IF(Vendedor7!$C$20="",0,Vendedor7!$C$20)</f>
        <v>14250</v>
      </c>
      <c r="F10" s="30">
        <f>IF(Vendedor7!$E$20="",0,Vendedor7!$E$20)</f>
        <v>750</v>
      </c>
      <c r="H10" s="42">
        <f t="shared" si="1"/>
        <v>43550</v>
      </c>
      <c r="I10" s="41">
        <f>MROUND(H10*Vendedor7!J$14,50)</f>
        <v>5250</v>
      </c>
      <c r="J10" s="42">
        <f t="shared" si="2"/>
        <v>750</v>
      </c>
      <c r="K10" s="42">
        <f t="shared" si="3"/>
        <v>63750</v>
      </c>
      <c r="L10" s="42">
        <f>Vendedor7!$F$19+Vendedor7!$F$20</f>
        <v>63750</v>
      </c>
      <c r="N10" s="42">
        <f t="shared" si="0"/>
        <v>-25450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14700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14700</v>
      </c>
      <c r="I12" s="148">
        <f>MROUND(H12*Vendedor9!J$11,50)</f>
        <v>1750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12950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84450</v>
      </c>
      <c r="D17" s="30">
        <f>IF(Vendedor14!$E$19="",0,Vendedor14!$E$19)</f>
        <v>200</v>
      </c>
      <c r="E17" s="180">
        <f>IF(Vendedor14!$C$20="",0,Vendedor14!$C$20)</f>
        <v>31950</v>
      </c>
      <c r="F17" s="30">
        <f>IF(Vendedor14!$E$20="",0,Vendedor14!$E$20)</f>
        <v>0</v>
      </c>
      <c r="H17" s="42">
        <f t="shared" si="1"/>
        <v>116400</v>
      </c>
      <c r="I17" s="41">
        <f>MROUND(H17*Vendedor14!J$15,50)</f>
        <v>13950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85450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86400</v>
      </c>
      <c r="D18" s="30">
        <f>IF(Vendedor15!$E$19="",0,Vendedor15!$E$19)</f>
        <v>1000</v>
      </c>
      <c r="E18" s="180">
        <f>IF(Vendedor15!$C$20="",0,Vendedor15!$C$20)</f>
        <v>57100</v>
      </c>
      <c r="F18" s="30">
        <f>IF(Vendedor15!$E$20="",0,Vendedor15!$E$20)</f>
        <v>0</v>
      </c>
      <c r="H18" s="42">
        <f t="shared" si="1"/>
        <v>143500</v>
      </c>
      <c r="I18" s="41">
        <f>MROUND(H18*Vendedor15!J$15,50)</f>
        <v>17200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41300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254350</v>
      </c>
      <c r="D32" s="44">
        <f>SUM(D4:D31)</f>
        <v>1400</v>
      </c>
      <c r="E32" s="43">
        <f>SUM(E4:E31)</f>
        <v>113400</v>
      </c>
      <c r="F32" s="44">
        <f>SUM(F4:F31)</f>
        <v>750</v>
      </c>
      <c r="H32" s="95">
        <f>SUM(H4:H31)</f>
        <v>367750</v>
      </c>
      <c r="I32" s="45">
        <f>SUM(I7:I31)</f>
        <v>42900</v>
      </c>
      <c r="J32" s="95"/>
      <c r="K32" s="95">
        <f>SUM(K4:K31)</f>
        <v>182750</v>
      </c>
      <c r="L32" s="95">
        <f>SUM(L4:L31)</f>
        <v>181750</v>
      </c>
      <c r="N32" s="79">
        <f>SUM(N4:N31)</f>
        <v>141800</v>
      </c>
    </row>
    <row r="33" spans="3:6" x14ac:dyDescent="0.35">
      <c r="D33" s="99">
        <f>+D32*85</f>
        <v>119000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367750</v>
      </c>
      <c r="E36" s="43">
        <f>+D36-H4-H5-H6</f>
        <v>357650</v>
      </c>
    </row>
    <row r="37" spans="3:6" x14ac:dyDescent="0.35">
      <c r="C37" s="47" t="s">
        <v>33</v>
      </c>
      <c r="D37" s="48">
        <f>D36*13%</f>
        <v>47807.5</v>
      </c>
      <c r="E37">
        <f>+D37-I4-I5-I6</f>
        <v>46507.5</v>
      </c>
    </row>
    <row r="38" spans="3:6" ht="15" thickBot="1" x14ac:dyDescent="0.4">
      <c r="C38" s="47" t="s">
        <v>30</v>
      </c>
      <c r="D38" s="30">
        <f>SUM(K4:K27)</f>
        <v>182750</v>
      </c>
    </row>
    <row r="39" spans="3:6" ht="15" thickBot="1" x14ac:dyDescent="0.4">
      <c r="C39" s="49" t="s">
        <v>4</v>
      </c>
      <c r="D39" s="80">
        <f>+D36-D37-D38</f>
        <v>137192.5</v>
      </c>
      <c r="F39" s="98">
        <f>+N32-D39</f>
        <v>4607.5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137192.5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40</v>
      </c>
      <c r="D2" s="268"/>
      <c r="E2" s="267">
        <f>DigitaHONDURAS!E2</f>
        <v>18</v>
      </c>
      <c r="F2" s="268"/>
      <c r="G2" s="267">
        <f>DigitaHONDURAS!G2</f>
        <v>65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10400</v>
      </c>
      <c r="D10" s="30">
        <f>IF(Vendedor7!$E$21="",0,Vendedor7!$E$21)</f>
        <v>0</v>
      </c>
      <c r="E10" s="180">
        <f>IF(Vendedor7!$C$22="",0,Vendedor7!$C$22)</f>
        <v>4300</v>
      </c>
      <c r="F10" s="30">
        <f>IF(Vendedor7!$E$22="",0,Vendedor7!$E$22)</f>
        <v>0</v>
      </c>
      <c r="G10" s="180">
        <f>IF(Vendedor7!$C$23="",0,Vendedor7!$C$23)</f>
        <v>27000</v>
      </c>
      <c r="H10" s="30">
        <f>IF(Vendedor7!$E$23="",0,Vendedor7!$E$23)</f>
        <v>100</v>
      </c>
      <c r="J10" s="42">
        <f t="shared" si="0"/>
        <v>41700</v>
      </c>
      <c r="K10" s="41">
        <f>MROUND(J10*Vendedor7!J$14,50)</f>
        <v>5000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28200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3000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3000</v>
      </c>
      <c r="K16" s="148">
        <f>MROUND(J16*Vendedor13!J$11,50)</f>
        <v>350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2650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43550</v>
      </c>
      <c r="D17" s="30">
        <f>IF(Vendedor14!$E$21="",0,Vendedor14!$E$21)</f>
        <v>350</v>
      </c>
      <c r="E17" s="180">
        <f>IF(Vendedor14!$C$22="",0,Vendedor14!$C$22)</f>
        <v>6550</v>
      </c>
      <c r="F17" s="30">
        <f>IF(Vendedor14!$E$22="",0,Vendedor14!$E$22)</f>
        <v>100</v>
      </c>
      <c r="G17" s="180">
        <f>IF(Vendedor14!$C$23="",0,Vendedor14!$C$23)</f>
        <v>24250</v>
      </c>
      <c r="H17" s="30">
        <f>IF(Vendedor14!$E$23="",0,Vendedor14!$E$23)</f>
        <v>0</v>
      </c>
      <c r="J17" s="42">
        <f t="shared" si="0"/>
        <v>74350</v>
      </c>
      <c r="K17" s="41">
        <f>MROUND(J17*Vendedor14!J$15,50)</f>
        <v>8900</v>
      </c>
      <c r="L17" s="42">
        <f t="shared" si="1"/>
        <v>450</v>
      </c>
      <c r="M17" s="42">
        <f t="shared" si="3"/>
        <v>38250</v>
      </c>
      <c r="N17" s="42">
        <f>Vendedor14!$F$21+Vendedor14!$F$22+Vendedor14!$F$23</f>
        <v>38250</v>
      </c>
      <c r="P17" s="42">
        <f t="shared" si="2"/>
        <v>27200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25600</v>
      </c>
      <c r="D18" s="30">
        <f>IF(Vendedor15!$E$21="",0,Vendedor15!$E$21)</f>
        <v>0</v>
      </c>
      <c r="E18" s="180">
        <f>IF(Vendedor15!$C$22="",0,Vendedor15!$C$22)</f>
        <v>6400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32000</v>
      </c>
      <c r="K18" s="41">
        <f>MROUND(J18*Vendedor15!J$15,50)</f>
        <v>3850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28150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82550</v>
      </c>
      <c r="D32" s="44">
        <f t="shared" si="8"/>
        <v>350</v>
      </c>
      <c r="E32" s="43">
        <f t="shared" si="8"/>
        <v>17250</v>
      </c>
      <c r="F32" s="44">
        <f t="shared" si="8"/>
        <v>100</v>
      </c>
      <c r="G32" s="43">
        <f t="shared" si="8"/>
        <v>51250</v>
      </c>
      <c r="H32" s="44">
        <f t="shared" si="8"/>
        <v>100</v>
      </c>
      <c r="J32" s="95">
        <f>SUM(J4:J31)</f>
        <v>151050</v>
      </c>
      <c r="K32" s="45">
        <f>SUM(K7:K31)</f>
        <v>18100</v>
      </c>
      <c r="L32" s="95"/>
      <c r="M32" s="95">
        <f>SUM(M4:M31)</f>
        <v>46750</v>
      </c>
      <c r="N32" s="95">
        <f>SUM(N4:N31)</f>
        <v>46750</v>
      </c>
      <c r="P32" s="79">
        <f>SUM(P4:P31)</f>
        <v>86200</v>
      </c>
    </row>
    <row r="33" spans="3:8" x14ac:dyDescent="0.35">
      <c r="D33" s="99">
        <f>+D32*85</f>
        <v>29750</v>
      </c>
      <c r="F33" s="99">
        <f>+F32*85</f>
        <v>8500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151050</v>
      </c>
      <c r="E36" s="43">
        <f>+D36-J4-J5-J6</f>
        <v>151050</v>
      </c>
    </row>
    <row r="37" spans="3:8" x14ac:dyDescent="0.35">
      <c r="C37" s="47" t="s">
        <v>33</v>
      </c>
      <c r="D37" s="48">
        <f>D36*13%</f>
        <v>19636.5</v>
      </c>
      <c r="E37">
        <f>+D37-K4-K5-K6</f>
        <v>19636.5</v>
      </c>
    </row>
    <row r="38" spans="3:8" ht="15" thickBot="1" x14ac:dyDescent="0.4">
      <c r="C38" s="47" t="s">
        <v>30</v>
      </c>
      <c r="D38" s="30">
        <f>SUM(M4:M27)</f>
        <v>46750</v>
      </c>
      <c r="G38" s="100"/>
    </row>
    <row r="39" spans="3:8" ht="15" thickBot="1" x14ac:dyDescent="0.4">
      <c r="C39" s="49" t="s">
        <v>4</v>
      </c>
      <c r="D39" s="80">
        <f>+D36-D37-D38</f>
        <v>84663.5</v>
      </c>
      <c r="F39" s="98">
        <f>+P32-D39</f>
        <v>1536.5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84663.5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33</v>
      </c>
      <c r="D2" s="268"/>
      <c r="E2" s="267">
        <f>DigitaDOMINICANA!E2</f>
        <v>21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42000</v>
      </c>
      <c r="D10" s="30">
        <f>IF(Vendedor7!$E$24="",0,Vendedor7!$E$24)</f>
        <v>1000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42000</v>
      </c>
      <c r="I10" s="41">
        <f>MROUND(H10*Vendedor7!J$14,50)</f>
        <v>5050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-48050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42000</v>
      </c>
      <c r="D32" s="44">
        <f>SUM(D4:D31)</f>
        <v>1000</v>
      </c>
      <c r="E32" s="43">
        <f>SUM(E4:E31)</f>
        <v>0</v>
      </c>
      <c r="F32" s="44">
        <f>SUM(F4:F31)</f>
        <v>0</v>
      </c>
      <c r="H32" s="95">
        <f>SUM(H4:H31)</f>
        <v>42000</v>
      </c>
      <c r="I32" s="45">
        <f>SUM(I7:I31)</f>
        <v>5050</v>
      </c>
      <c r="J32" s="95"/>
      <c r="K32" s="95">
        <f>SUM(K4:K31)</f>
        <v>85000</v>
      </c>
      <c r="L32" s="95">
        <f>SUM(L4:L31)</f>
        <v>85000</v>
      </c>
      <c r="N32" s="79">
        <f>SUM(N4:N31)</f>
        <v>-48050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42000</v>
      </c>
      <c r="E36" s="43">
        <f>+D36-H4-H5-H6</f>
        <v>42000</v>
      </c>
    </row>
    <row r="37" spans="3:6" x14ac:dyDescent="0.35">
      <c r="C37" s="47" t="s">
        <v>33</v>
      </c>
      <c r="D37" s="48">
        <f>D36*13%</f>
        <v>5460</v>
      </c>
      <c r="E37">
        <f>+D37-I4-I5-I6</f>
        <v>5460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-48460</v>
      </c>
      <c r="F39" s="98">
        <f>+N32-D39</f>
        <v>410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-48460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1131550</v>
      </c>
      <c r="C4" s="157">
        <f>HojaNICA!M32</f>
        <v>135750</v>
      </c>
      <c r="D4" s="150">
        <f>HojaNICA!E37</f>
        <v>147103</v>
      </c>
      <c r="E4" s="150">
        <f>HojaNICA!P32</f>
        <v>711250</v>
      </c>
      <c r="F4" s="150">
        <f>HojaNICA!O32</f>
        <v>714000</v>
      </c>
      <c r="G4" s="151">
        <f t="shared" ref="G4:G10" si="0">+D4-C4+F4-E4</f>
        <v>14103</v>
      </c>
      <c r="H4" s="21"/>
      <c r="I4" s="182"/>
    </row>
    <row r="5" spans="1:9" x14ac:dyDescent="0.35">
      <c r="A5" s="28" t="s">
        <v>19</v>
      </c>
      <c r="B5" s="156">
        <f>HojaTICA!$E$36</f>
        <v>1479450</v>
      </c>
      <c r="C5" s="157">
        <f>HojaTICA!K32</f>
        <v>179650</v>
      </c>
      <c r="D5" s="150">
        <f>HojaTICA!E37</f>
        <v>192318.5</v>
      </c>
      <c r="E5" s="150">
        <f>HojaTICA!N32</f>
        <v>1785250</v>
      </c>
      <c r="F5" s="150">
        <f>HojaTICA!D38</f>
        <v>1789250</v>
      </c>
      <c r="G5" s="151">
        <f t="shared" si="0"/>
        <v>16668.5</v>
      </c>
      <c r="H5" s="21"/>
      <c r="I5" s="182"/>
    </row>
    <row r="6" spans="1:9" x14ac:dyDescent="0.35">
      <c r="A6" s="28" t="s">
        <v>125</v>
      </c>
      <c r="B6" s="156">
        <f>HojaREVENTADO!$E$37</f>
        <v>239500</v>
      </c>
      <c r="C6" s="157">
        <f>HojaREVENTADO!K33</f>
        <v>23950</v>
      </c>
      <c r="D6" s="150">
        <f>HojaREVENTADO!E38</f>
        <v>23950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357650</v>
      </c>
      <c r="C7" s="157">
        <f>HojaPrimera!I32</f>
        <v>42900</v>
      </c>
      <c r="D7" s="150">
        <f>HojaPrimera!E37</f>
        <v>46507.5</v>
      </c>
      <c r="E7" s="150">
        <f>HojaPrimera!L32</f>
        <v>181750</v>
      </c>
      <c r="F7" s="150">
        <f>HojaPrimera!K32</f>
        <v>182750</v>
      </c>
      <c r="G7" s="151">
        <f t="shared" si="0"/>
        <v>4607.5</v>
      </c>
      <c r="H7" s="21"/>
      <c r="I7" s="21"/>
    </row>
    <row r="8" spans="1:9" x14ac:dyDescent="0.35">
      <c r="A8" s="28" t="s">
        <v>104</v>
      </c>
      <c r="B8" s="156">
        <f>HojaHonduras!$E$36</f>
        <v>151050</v>
      </c>
      <c r="C8" s="157">
        <f>HojaHonduras!K32</f>
        <v>18100</v>
      </c>
      <c r="D8" s="150">
        <f>HojaHonduras!E37</f>
        <v>19636.5</v>
      </c>
      <c r="E8" s="150">
        <f>HojaHonduras!N32</f>
        <v>46750</v>
      </c>
      <c r="F8" s="150">
        <f>HojaHonduras!M32</f>
        <v>46750</v>
      </c>
      <c r="G8" s="151">
        <f t="shared" si="0"/>
        <v>1536.5</v>
      </c>
      <c r="H8" s="21"/>
      <c r="I8" s="21"/>
    </row>
    <row r="9" spans="1:9" x14ac:dyDescent="0.35">
      <c r="A9" s="28" t="s">
        <v>20</v>
      </c>
      <c r="B9" s="156">
        <f>HojaDominicana!$E$36</f>
        <v>42000</v>
      </c>
      <c r="C9" s="157">
        <f>HojaDominicana!I32</f>
        <v>5050</v>
      </c>
      <c r="D9" s="150">
        <f>HojaDominicana!E37</f>
        <v>5460</v>
      </c>
      <c r="E9" s="150">
        <f>HojaDominicana!L32</f>
        <v>85000</v>
      </c>
      <c r="F9" s="150">
        <f>HojaDominicana!K32</f>
        <v>85000</v>
      </c>
      <c r="G9" s="151">
        <f t="shared" si="0"/>
        <v>410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3401200</v>
      </c>
      <c r="C11" s="175">
        <f>SUM(C4:C10)</f>
        <v>405400</v>
      </c>
      <c r="D11" s="175">
        <f t="shared" ref="D11:F11" si="1">SUM(D4:D10)</f>
        <v>434975.5</v>
      </c>
      <c r="E11" s="175">
        <f t="shared" si="1"/>
        <v>2810000</v>
      </c>
      <c r="F11" s="175">
        <f t="shared" si="1"/>
        <v>2817750</v>
      </c>
      <c r="G11" s="176">
        <f>SUM(G4:G10)</f>
        <v>37325.5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2325.5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216850</v>
      </c>
      <c r="E16" s="157">
        <f>+Vendedor1!D21</f>
        <v>28190.5</v>
      </c>
      <c r="F16" s="158">
        <f>IF(D16&lt;&gt;0,15000,0)</f>
        <v>15000</v>
      </c>
      <c r="G16" s="151">
        <f>+E16-F16</f>
        <v>13190.5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187800</v>
      </c>
      <c r="E17" s="157">
        <f>+Vendedor2!D21</f>
        <v>24414</v>
      </c>
      <c r="F17" s="158">
        <f>IF(D17&lt;&gt;0,15000,0)</f>
        <v>15000</v>
      </c>
      <c r="G17" s="151">
        <f>+E17-F17</f>
        <v>9414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404650</v>
      </c>
      <c r="E19" s="159">
        <f>SUM(E16:E18)</f>
        <v>52604.5</v>
      </c>
      <c r="F19" s="160">
        <f>SUM(F16:F18)</f>
        <v>30000</v>
      </c>
      <c r="G19" s="161">
        <f>SUM(G16:G18)</f>
        <v>22604.5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24930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1218100</v>
      </c>
      <c r="C5" s="150">
        <f>HojaNICA!D37</f>
        <v>158353</v>
      </c>
      <c r="D5" s="150">
        <f>HojaNICA!D38</f>
        <v>714000</v>
      </c>
      <c r="E5" s="150"/>
      <c r="F5" s="151">
        <f>+B5-C5-D5+E5</f>
        <v>345747</v>
      </c>
      <c r="H5" s="249" t="s">
        <v>105</v>
      </c>
      <c r="I5" s="243">
        <f ca="1">TODAY()-2</f>
        <v>46127</v>
      </c>
      <c r="O5" s="119"/>
    </row>
    <row r="6" spans="1:15" ht="15" thickBot="1" x14ac:dyDescent="0.4">
      <c r="A6" s="47" t="s">
        <v>36</v>
      </c>
      <c r="B6" s="150">
        <f>HojaTICA!D36</f>
        <v>1787450</v>
      </c>
      <c r="C6" s="150">
        <f>HojaTICA!D37</f>
        <v>232368.5</v>
      </c>
      <c r="D6" s="150">
        <f>HojaTICA!D38</f>
        <v>1789250</v>
      </c>
      <c r="E6" s="150"/>
      <c r="F6" s="151">
        <f t="shared" ref="F6:F11" si="0">+B6-C6-D6+E6</f>
        <v>-234168.5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239500</v>
      </c>
      <c r="C7" s="150">
        <f>HojaREVENTADO!D38</f>
        <v>23950</v>
      </c>
      <c r="D7" s="150">
        <f>HojaREVENTADO!D39</f>
        <v>0</v>
      </c>
      <c r="E7" s="150"/>
      <c r="F7" s="151">
        <f t="shared" si="0"/>
        <v>215550</v>
      </c>
    </row>
    <row r="8" spans="1:15" x14ac:dyDescent="0.35">
      <c r="A8" s="47" t="s">
        <v>96</v>
      </c>
      <c r="B8" s="150">
        <f>HojaPrimera!$D36</f>
        <v>367750</v>
      </c>
      <c r="C8" s="150">
        <f>HojaPrimera!$D37</f>
        <v>47807.5</v>
      </c>
      <c r="D8" s="150">
        <f>HojaPrimera!$D38</f>
        <v>182750</v>
      </c>
      <c r="E8" s="150"/>
      <c r="F8" s="151">
        <f t="shared" si="0"/>
        <v>137192.5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151050</v>
      </c>
      <c r="C9" s="150">
        <f>HojaHonduras!$D37</f>
        <v>19636.5</v>
      </c>
      <c r="D9" s="150">
        <f>HojaHonduras!$D38</f>
        <v>46750</v>
      </c>
      <c r="E9" s="150"/>
      <c r="F9" s="151">
        <f t="shared" si="0"/>
        <v>84663.5</v>
      </c>
      <c r="H9" s="250">
        <f>+K12-K10-H6</f>
        <v>500524.5</v>
      </c>
    </row>
    <row r="10" spans="1:15" ht="15" thickBot="1" x14ac:dyDescent="0.4">
      <c r="A10" s="47" t="s">
        <v>20</v>
      </c>
      <c r="B10" s="150">
        <f>HojaDominicana!$D36</f>
        <v>42000</v>
      </c>
      <c r="C10" s="150">
        <f>HojaDominicana!$D37</f>
        <v>5460</v>
      </c>
      <c r="D10" s="150">
        <f>HojaDominicana!$D38</f>
        <v>85000</v>
      </c>
      <c r="E10" s="150"/>
      <c r="F10" s="151">
        <f t="shared" si="0"/>
        <v>-48460</v>
      </c>
      <c r="H10" s="154"/>
      <c r="J10" t="s">
        <v>148</v>
      </c>
      <c r="K10" s="252">
        <v>2987744.66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3488269.16</v>
      </c>
    </row>
    <row r="12" spans="1:15" ht="16" thickBot="1" x14ac:dyDescent="0.4">
      <c r="A12" s="144" t="s">
        <v>5</v>
      </c>
      <c r="B12" s="152">
        <f>SUM(B5:B11)</f>
        <v>3805850</v>
      </c>
      <c r="C12" s="152">
        <f>SUM(C5:C11)</f>
        <v>487575.5</v>
      </c>
      <c r="D12" s="152">
        <f>SUM(D5:D11)</f>
        <v>2817750</v>
      </c>
      <c r="E12" s="152"/>
      <c r="F12" s="255">
        <f>SUM(F5:F11)</f>
        <v>500524.5</v>
      </c>
      <c r="H12" s="251">
        <f>K12</f>
        <v>3488269.16</v>
      </c>
      <c r="J12" t="s">
        <v>140</v>
      </c>
      <c r="K12" s="254">
        <f>-1804955.11+3374009.49-398270.2+2317484.98</f>
        <v>3488269.16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152300</v>
      </c>
      <c r="K4" s="231">
        <f t="shared" ref="K4" si="0">D7+D11+D15</f>
        <v>19799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IF(DigitaNICA!C4&lt;&gt;"",DigitaNICA!C4,"")</f>
        <v>24850</v>
      </c>
      <c r="D5" s="42">
        <f>IF(C5="",0,C5*J$10)</f>
        <v>3230.5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21619.5</v>
      </c>
      <c r="I5" s="241" t="s">
        <v>37</v>
      </c>
      <c r="J5" s="221">
        <f>SUM(IF(C5="",0,C5),IF(C9="",0,C9),IF(C13="",0,C13),IF(C17="",0,C17))</f>
        <v>57450</v>
      </c>
      <c r="K5" s="225">
        <f t="shared" ref="K5" si="2">D5+D9+D13+D17</f>
        <v>7468.5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7100</v>
      </c>
      <c r="K6" s="228">
        <f>D19+D20</f>
        <v>923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IF(DigitaTICA!C4&lt;&gt;"",DigitaTICA!C4,"")</f>
        <v>58500</v>
      </c>
      <c r="D7" s="42">
        <f>IF(C7="",0,C7*J$9)</f>
        <v>7605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29645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IF(DigitaNICA!E4&lt;&gt;"",DigitaNICA!E4,"")</f>
        <v>26150</v>
      </c>
      <c r="D9" s="42">
        <f>IF(C9="",0,C9*J$10)</f>
        <v>3399.5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6750.5</v>
      </c>
      <c r="I9" s="76" t="s">
        <v>36</v>
      </c>
      <c r="J9" s="77">
        <v>0.13</v>
      </c>
      <c r="K9" s="78">
        <f>MROUND(D7+D11+D15,50)</f>
        <v>19800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7450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IF(DigitaTICA!E4&lt;&gt;"",DigitaTICA!E4,"")</f>
        <v>28350</v>
      </c>
      <c r="D11" s="42">
        <f>IF(C11="",0,C11*J$9)</f>
        <v>3685.5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24664.5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IF(DigitaNICA!G4&lt;&gt;"",DigitaNICA!G4,"")</f>
        <v>4450</v>
      </c>
      <c r="D13" s="42">
        <f>IF(C13="",0,C13*J$10)</f>
        <v>578.5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3871.5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IF(DigitaTICA!G4&lt;&gt;"",DigitaTICA!G4,"")</f>
        <v>65450</v>
      </c>
      <c r="D15" s="42">
        <f>IF(C15="",0,C15*J$9)</f>
        <v>8508.5</v>
      </c>
      <c r="E15" s="29">
        <f>IF(DigitaTICA!H4&lt;&gt;"",DigitaTICA!H4,"")</f>
        <v>1700</v>
      </c>
      <c r="F15" s="42">
        <f>IF(E15="",0,E15*PREMIOS!F15)</f>
        <v>144500</v>
      </c>
      <c r="G15" s="30">
        <f t="shared" si="3"/>
        <v>-87558.5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IF(DigitaPRIMERA!C4&lt;&gt;"",DigitaPRIMERA!C4,"")</f>
        <v>4600</v>
      </c>
      <c r="D19" s="42">
        <f>IF(C19="",0,C19*J$12)</f>
        <v>598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4002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>
        <f>IF(DigitaPRIMERA!E4&lt;&gt;"",DigitaPRIMERA!E4,"")</f>
        <v>2500</v>
      </c>
      <c r="D20" s="42">
        <f>IF(C20="",0,C20*J$12)</f>
        <v>325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2175</v>
      </c>
    </row>
    <row r="21" spans="1:7" ht="15" thickBot="1" x14ac:dyDescent="0.4">
      <c r="A21" s="121" t="s">
        <v>5</v>
      </c>
      <c r="B21" s="128"/>
      <c r="C21" s="122">
        <f>SUM(C5:C20)</f>
        <v>216850</v>
      </c>
      <c r="D21" s="122">
        <f t="shared" ref="D21:G21" si="6">SUM(D5:D20)</f>
        <v>28190.5</v>
      </c>
      <c r="E21" s="122">
        <f t="shared" si="6"/>
        <v>2150</v>
      </c>
      <c r="F21" s="122">
        <f t="shared" si="6"/>
        <v>181750</v>
      </c>
      <c r="G21" s="123">
        <f t="shared" si="6"/>
        <v>6909.5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155700</v>
      </c>
      <c r="K4" s="231">
        <f t="shared" ref="K4" si="0">D7+D11+D15</f>
        <v>20241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IF(DigitaNICA!C5&lt;&gt;"",DigitaNICA!C5,"")</f>
        <v>18700</v>
      </c>
      <c r="D5" s="42">
        <f>IF(C5="",0,C5*J$10)</f>
        <v>2431</v>
      </c>
      <c r="E5" s="29">
        <f>IF(DigitaNICA!D5&lt;&gt;"",DigitaNICA!D5,"")</f>
        <v>250</v>
      </c>
      <c r="F5" s="42">
        <f>IF(E5="",0,E5*PREMIOS!E5)</f>
        <v>20000</v>
      </c>
      <c r="G5" s="30">
        <f t="shared" ref="G5:G12" si="1">IF(OR(C5="",E5=""),0,C5-D5-F5)</f>
        <v>-3731</v>
      </c>
      <c r="I5" s="241" t="s">
        <v>37</v>
      </c>
      <c r="J5" s="221">
        <f>SUM(IF(C5="",0,C5),IF(C9="",0,C9),IF(C13="",0,C13),IF(C17="",0,C17))</f>
        <v>29100</v>
      </c>
      <c r="K5" s="225">
        <f t="shared" ref="K5" si="2">D5+D9+D13+D17</f>
        <v>3783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3000</v>
      </c>
      <c r="K6" s="228">
        <f>D19+D20</f>
        <v>390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IF(DigitaTICA!C5&lt;&gt;"",DigitaTICA!C5,"")</f>
        <v>50350</v>
      </c>
      <c r="D7" s="42">
        <f>IF(C7="",0,C7*J$9)</f>
        <v>6545.5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43804.5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IF(DigitaNICA!E5&lt;&gt;"",DigitaNICA!E5,"")</f>
        <v>10400</v>
      </c>
      <c r="D9" s="42">
        <f>IF(C9="",0,C9*J$10)</f>
        <v>1352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9048</v>
      </c>
      <c r="I9" s="60" t="s">
        <v>36</v>
      </c>
      <c r="J9" s="61">
        <v>0.13</v>
      </c>
      <c r="K9" s="62">
        <f>MROUND(D7+D11+D15,50)</f>
        <v>20250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3800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IF(DigitaTICA!E5&lt;&gt;"",DigitaTICA!E5,"")</f>
        <v>39850</v>
      </c>
      <c r="D11" s="42">
        <f>IF(C11="",0,C11*J$9)</f>
        <v>5180.5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13419.5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IF(DigitaTICA!G5&lt;&gt;"",DigitaTICA!G5,"")</f>
        <v>65500</v>
      </c>
      <c r="D15" s="42">
        <f>IF(C15="",0,C15*J$9)</f>
        <v>8515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-28015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187800</v>
      </c>
      <c r="D21" s="68">
        <f t="shared" ref="D21:G21" si="4">SUM(D5:D20)</f>
        <v>24414</v>
      </c>
      <c r="E21" s="68">
        <f t="shared" si="4"/>
        <v>1500</v>
      </c>
      <c r="F21" s="68">
        <f t="shared" si="4"/>
        <v>126250</v>
      </c>
      <c r="G21" s="88">
        <f t="shared" si="4"/>
        <v>37136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130100</v>
      </c>
      <c r="K4" s="231">
        <f t="shared" ref="K4" si="0">D7+D11+D15</f>
        <v>15612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IF(DigitaNICA!C8&lt;&gt;"",DigitaNICA!C8,"")</f>
        <v>57400</v>
      </c>
      <c r="D5" s="42">
        <f>IF(C5="",0,C5*J$12)</f>
        <v>6888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50512</v>
      </c>
      <c r="I5" s="241" t="s">
        <v>37</v>
      </c>
      <c r="J5" s="221">
        <f>SUM(IF(C5="",0,C5),IF(C9="",0,C9),IF(C13="",0,C13),IF(C17="",0,C17))</f>
        <v>103900</v>
      </c>
      <c r="K5" s="225">
        <f t="shared" ref="K5" si="2">D5+D9+D13+D17</f>
        <v>12468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IF(DigitaTICA!C8&lt;&gt;"",DigitaTICA!C8,"")</f>
        <v>50250</v>
      </c>
      <c r="D7" s="42">
        <f>IF(C7="",0,C7*J$11)</f>
        <v>6030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44220</v>
      </c>
      <c r="I7" s="242" t="s">
        <v>96</v>
      </c>
      <c r="J7" s="224">
        <f>SUM(IF(C19="",0,C19),IF(C20="",0,C20))</f>
        <v>39200</v>
      </c>
      <c r="K7" s="228">
        <f>+D19+D20</f>
        <v>4704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>
        <f>IF(DigitaNICA!E8&lt;&gt;"",DigitaNICA!E8,"")</f>
        <v>33650</v>
      </c>
      <c r="D9" s="42">
        <f>IF(C9="",0,C9*J$12)</f>
        <v>4038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29612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IF(DigitaTICA!E8&lt;&gt;"",DigitaTICA!E8,"")</f>
        <v>41450</v>
      </c>
      <c r="D11" s="42">
        <f>IF(C11="",0,C11*J$11)</f>
        <v>4974</v>
      </c>
      <c r="E11" s="29">
        <f>IF(DigitaTICA!F8&lt;&gt;"",DigitaTICA!F8,"")</f>
        <v>1250</v>
      </c>
      <c r="F11" s="42">
        <f>IF(E11="",0,E11*PREMIOS!F11)</f>
        <v>106250</v>
      </c>
      <c r="G11" s="30">
        <f t="shared" si="1"/>
        <v>-69774</v>
      </c>
      <c r="I11" s="60" t="s">
        <v>36</v>
      </c>
      <c r="J11" s="61">
        <v>0.12</v>
      </c>
      <c r="K11" s="62">
        <f>MROUND(D7+D11+D15,50)</f>
        <v>15600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12450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IF(DigitaNICA!G8&lt;&gt;"",DigitaNICA!G8,"")</f>
        <v>2150</v>
      </c>
      <c r="D13" s="42">
        <f>IF(C13="",0,C13*J$12)</f>
        <v>258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4700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IF(DigitaTICA!G8&lt;&gt;"",DigitaTICA!G8,"")</f>
        <v>38400</v>
      </c>
      <c r="D15" s="42">
        <f>IF(C15="",0,C15*J$11)</f>
        <v>4608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33792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>
        <f>IF(DigitaNICA!I8&lt;&gt;"",DigitaNICA!I8,"")</f>
        <v>10700</v>
      </c>
      <c r="D17" s="42">
        <f>IF(C17="",0,C17*J$12)</f>
        <v>1284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1416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IF(DigitaPRIMERA!C8&lt;&gt;"",DigitaPRIMERA!C8,"")</f>
        <v>31600</v>
      </c>
      <c r="D19" s="42">
        <f>IF(C19="",0,C19*J$14)</f>
        <v>3792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11808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>
        <f>IF(DigitaPRIMERA!E8&lt;&gt;"",DigitaPRIMERA!E8,"")</f>
        <v>7600</v>
      </c>
      <c r="D20" s="42">
        <f>IF(C20="",0,C20*J$14)</f>
        <v>912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6688</v>
      </c>
    </row>
    <row r="21" spans="1:7" ht="15" thickBot="1" x14ac:dyDescent="0.4">
      <c r="A21" s="121" t="s">
        <v>5</v>
      </c>
      <c r="B21" s="128"/>
      <c r="C21" s="122">
        <f>SUM(C5:C20)</f>
        <v>273200</v>
      </c>
      <c r="D21" s="122">
        <f t="shared" ref="D21:G21" si="5">SUM(D5:D20)</f>
        <v>32784</v>
      </c>
      <c r="E21" s="122">
        <f t="shared" si="5"/>
        <v>1550</v>
      </c>
      <c r="F21" s="122">
        <f t="shared" si="5"/>
        <v>130250</v>
      </c>
      <c r="G21" s="123">
        <f t="shared" si="5"/>
        <v>110166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406300</v>
      </c>
      <c r="K4" s="231">
        <f t="shared" ref="K4" si="0">D7+D11+D15</f>
        <v>48756</v>
      </c>
      <c r="L4" s="220">
        <f>F7+F11+F15</f>
        <v>556750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IF(DigitaNICA!C10&lt;&gt;"",DigitaNICA!C10,"")</f>
        <v>69550</v>
      </c>
      <c r="D5" s="42">
        <f>IF(C5="",0,C5*J$15)</f>
        <v>8346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61204</v>
      </c>
      <c r="I5" s="217" t="s">
        <v>37</v>
      </c>
      <c r="J5" s="221">
        <f>SUM(IF(C5="",0,C5),IF(C9="",0,C9),IF(C13="",0,C13),IF(C17="",0,C17))</f>
        <v>300050</v>
      </c>
      <c r="K5" s="225">
        <f t="shared" ref="K5" si="2">D5+D9+D13+D17</f>
        <v>36006</v>
      </c>
      <c r="L5" s="222">
        <f>F5+F9+F13+F17</f>
        <v>89250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91750</v>
      </c>
      <c r="K6" s="226">
        <f t="shared" ref="K6" si="3">+D8+D12+D16</f>
        <v>9175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IF(DigitaTICA!C10&lt;&gt;"",DigitaTICA!C10,"")</f>
        <v>151450</v>
      </c>
      <c r="D7" s="42">
        <f>IF(C7="",0,C7*J$14)</f>
        <v>18174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116276</v>
      </c>
      <c r="I7" s="217" t="s">
        <v>96</v>
      </c>
      <c r="J7" s="223">
        <f>SUM(IF(C19="",0,C19),IF(C20="",0,C20))</f>
        <v>43550</v>
      </c>
      <c r="K7" s="226">
        <f>+D19+D20</f>
        <v>5226</v>
      </c>
      <c r="L7" s="227">
        <f>+F19+F20</f>
        <v>63750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29650</v>
      </c>
      <c r="D8" s="42">
        <f>IF(C8="",0,C8*J$16)</f>
        <v>2965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26685</v>
      </c>
      <c r="I8" s="217" t="s">
        <v>104</v>
      </c>
      <c r="J8" s="223">
        <f>SUM(IF(C21="",0,C21),IF(C22="",0,C22),IF(C23="",0,C23))</f>
        <v>41700</v>
      </c>
      <c r="K8" s="226">
        <f t="shared" ref="K8" si="4">D21+D22+D23</f>
        <v>5004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IF(DigitaNICA!E10&lt;&gt;"",DigitaNICA!E10,"")</f>
        <v>54700</v>
      </c>
      <c r="D9" s="42">
        <f>IF(C9="",0,C9*J$15)</f>
        <v>6564</v>
      </c>
      <c r="E9" s="29">
        <f>IF(DigitaNICA!F10&lt;&gt;"",DigitaNICA!F10,"")</f>
        <v>750</v>
      </c>
      <c r="F9" s="42">
        <f>IF(E9="",0,E9*PREMIOS!F9)</f>
        <v>63750</v>
      </c>
      <c r="G9" s="30">
        <f t="shared" si="1"/>
        <v>-15614</v>
      </c>
      <c r="I9" s="217" t="s">
        <v>20</v>
      </c>
      <c r="J9" s="223">
        <f>SUM(IF(C24="",0,C24),IF(C25="",0,C25))</f>
        <v>42000</v>
      </c>
      <c r="K9" s="226">
        <f t="shared" ref="K9" si="5">+D24+D25</f>
        <v>5040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IF(DigitaTICA!E10&lt;&gt;"",DigitaTICA!E10,"")</f>
        <v>102950</v>
      </c>
      <c r="D11" s="42">
        <f>IF(C11="",0,C11*J$14)</f>
        <v>12354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56596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22900</v>
      </c>
      <c r="D12" s="42">
        <f>IF(C12="",0,C12*J$16)</f>
        <v>2290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20610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29">
        <f>IF(DigitaNICA!G10&lt;&gt;"",DigitaNICA!G10,"")</f>
        <v>76500</v>
      </c>
      <c r="D13" s="42">
        <f>IF(C13="",0,C13*J$15)</f>
        <v>9180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67320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48750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IF(DigitaTICA!G10&lt;&gt;"",DigitaTICA!G10,"")</f>
        <v>151900</v>
      </c>
      <c r="D15" s="42">
        <f>IF(C15="",0,C15*J$14)</f>
        <v>18228</v>
      </c>
      <c r="E15" s="29">
        <f>IF(DigitaTICA!H10&lt;&gt;"",DigitaTICA!H10,"")</f>
        <v>5950</v>
      </c>
      <c r="F15" s="42">
        <f>IF(E15="",0,E15*PREMIOS!F15)</f>
        <v>505750</v>
      </c>
      <c r="G15" s="30">
        <f t="shared" si="6"/>
        <v>-372078</v>
      </c>
      <c r="I15" s="63" t="s">
        <v>37</v>
      </c>
      <c r="J15" s="64">
        <v>0.12</v>
      </c>
      <c r="K15" s="30">
        <f>MROUND(D5+D9+D13+D17,50)</f>
        <v>36000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39200</v>
      </c>
      <c r="D16" s="42">
        <f>IF(C16="",0,C16*J$16)</f>
        <v>3920</v>
      </c>
      <c r="E16" s="29">
        <f>IF(DigitaREVENTADO!H10&lt;&gt;"",DigitaREVENTADO!H10,"")</f>
        <v>2000</v>
      </c>
      <c r="F16" s="42">
        <f>IF(E16="",0,E16*PREMIOS!F16)</f>
        <v>0</v>
      </c>
      <c r="G16" s="30">
        <f t="shared" si="6"/>
        <v>35280</v>
      </c>
      <c r="I16" s="63" t="s">
        <v>38</v>
      </c>
      <c r="J16" s="64">
        <v>0.1</v>
      </c>
      <c r="K16" s="30">
        <f>MROUND(D6+D8+D10+D12+D14+D16+D18,50)</f>
        <v>9200</v>
      </c>
    </row>
    <row r="17" spans="1:11" x14ac:dyDescent="0.35">
      <c r="A17" s="28" t="s">
        <v>52</v>
      </c>
      <c r="B17" s="132">
        <f>IF(DigitaNICA!I2&lt;&gt;"",DigitaNICA!I2,"")</f>
        <v>88</v>
      </c>
      <c r="C17" s="29">
        <f>IF(DigitaNICA!I10&lt;&gt;"",DigitaNICA!I10,"")</f>
        <v>99300</v>
      </c>
      <c r="D17" s="42">
        <f>IF(C17="",0,C17*J$15)</f>
        <v>11916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61884</v>
      </c>
      <c r="I17" s="63" t="s">
        <v>96</v>
      </c>
      <c r="J17" s="64">
        <v>0.12</v>
      </c>
      <c r="K17" s="30">
        <f>MROUND(D19+D20,50)</f>
        <v>5250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5000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>
        <f>IF(DigitaPRIMERA!$C$10&lt;&gt;"",DigitaPRIMERA!$C$10,"")</f>
        <v>29300</v>
      </c>
      <c r="D19" s="42">
        <f>IF(C19="",0,C19*J$17)</f>
        <v>3516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25784</v>
      </c>
      <c r="I19" s="63" t="s">
        <v>20</v>
      </c>
      <c r="J19" s="64">
        <v>0.12</v>
      </c>
      <c r="K19" s="30">
        <f>MROUND(D24+D25,50)</f>
        <v>5050</v>
      </c>
    </row>
    <row r="20" spans="1:11" ht="15" thickBot="1" x14ac:dyDescent="0.4">
      <c r="A20" s="28" t="s">
        <v>98</v>
      </c>
      <c r="B20" s="132">
        <f>IF(DigitaPRIMERA!E2&lt;&gt;"",DigitaPRIMERA!E2,"")</f>
        <v>77</v>
      </c>
      <c r="C20" s="29">
        <f>IF(DigitaPRIMERA!$E$10&lt;&gt;"",DigitaPRIMERA!$E$10,"")</f>
        <v>14250</v>
      </c>
      <c r="D20" s="42">
        <f>IF(C20="",0,C20*J$17)</f>
        <v>1710</v>
      </c>
      <c r="E20" s="29">
        <f>IF(DigitaPRIMERA!$F$10&lt;&gt;"",DigitaPRIMERA!$F$10,"")</f>
        <v>750</v>
      </c>
      <c r="F20" s="42">
        <f>IF(E20="",0,E20*PREMIOS!F19)</f>
        <v>63750</v>
      </c>
      <c r="G20" s="30">
        <f t="shared" si="7"/>
        <v>-51210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40</v>
      </c>
      <c r="C21" s="29">
        <f>IF(DigitaHONDURAS!$C$10&lt;&gt;"",DigitaHONDURAS!$C$10,"")</f>
        <v>10400</v>
      </c>
      <c r="D21" s="42">
        <f>IF(C21="",0,C21*J$18)</f>
        <v>1248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9152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IF(DigitaHONDURAS!$E$10&lt;&gt;"",DigitaHONDURAS!$E$10,"")</f>
        <v>4300</v>
      </c>
      <c r="D22" s="42">
        <f>IF(C22="",0,C22*J$18)</f>
        <v>516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3784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IF(DigitaHONDURAS!$G$10&lt;&gt;"",DigitaHONDURAS!$G$10,"")</f>
        <v>27000</v>
      </c>
      <c r="D23" s="42">
        <f>IF(C23="",0,C23*J$18)</f>
        <v>3240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15260</v>
      </c>
    </row>
    <row r="24" spans="1:11" x14ac:dyDescent="0.35">
      <c r="A24" s="28" t="s">
        <v>107</v>
      </c>
      <c r="B24" s="132">
        <f>IF(DigitaDOMINICANA!C2&lt;&gt;"",DigitaDOMINICANA!C2,"")</f>
        <v>33</v>
      </c>
      <c r="C24" s="29">
        <f>IF(DigitaDOMINICANA!$C$10&lt;&gt;"",DigitaDOMINICANA!$C$10,"")</f>
        <v>42000</v>
      </c>
      <c r="D24" s="42">
        <f>IF(C24="",0,C24*J$19)</f>
        <v>5040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-48040</v>
      </c>
    </row>
    <row r="25" spans="1:11" x14ac:dyDescent="0.35">
      <c r="A25" s="28" t="s">
        <v>108</v>
      </c>
      <c r="B25" s="132">
        <f>IF(DigitaDOMINICANA!E2&lt;&gt;"",DigitaDOMINICANA!E2,"")</f>
        <v>21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925350</v>
      </c>
      <c r="D27" s="68">
        <f t="shared" ref="D27:F27" si="9">SUM(D5:D26)</f>
        <v>109207</v>
      </c>
      <c r="E27" s="68">
        <f t="shared" si="9"/>
        <v>11450</v>
      </c>
      <c r="F27" s="68">
        <f t="shared" si="9"/>
        <v>803250</v>
      </c>
      <c r="G27" s="88">
        <f>SUM(G5:G26)</f>
        <v>12893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16900</v>
      </c>
      <c r="K4" s="231">
        <f t="shared" ref="K4" si="0">D7+D11+D15</f>
        <v>2028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800</v>
      </c>
      <c r="F7" s="133">
        <f>IF(E7="",0,E7*PREMIOS!F7)</f>
        <v>68000</v>
      </c>
      <c r="G7" s="30">
        <f t="shared" si="1"/>
        <v>-65360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2050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IF(DigitaTICA!G11&lt;&gt;"",DigitaTICA!G11,"")</f>
        <v>13900</v>
      </c>
      <c r="D15" s="42">
        <f>IF(C15="",0,C15*J$11)</f>
        <v>1668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12232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16900</v>
      </c>
      <c r="D21" s="122">
        <f t="shared" ref="D21:G21" si="5">SUM(D5:D20)</f>
        <v>2028</v>
      </c>
      <c r="E21" s="122">
        <f t="shared" si="5"/>
        <v>800</v>
      </c>
      <c r="F21" s="122">
        <f t="shared" si="5"/>
        <v>68000</v>
      </c>
      <c r="G21" s="123">
        <f t="shared" si="5"/>
        <v>-53128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57350</v>
      </c>
      <c r="K4" s="231">
        <f>D7+D11+D15</f>
        <v>6882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IF(DigitaNICA!C12&lt;&gt;"",DigitaNICA!C12,"")</f>
        <v>20050</v>
      </c>
      <c r="D5" s="42">
        <f>IF(C5="",0,C5*J$12)</f>
        <v>2406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17644</v>
      </c>
      <c r="I5" s="217" t="s">
        <v>37</v>
      </c>
      <c r="J5" s="221">
        <f>SUM(IF(C5="",0,C5),IF(C9="",0,C9),IF(C13="",0,C13),IF(C17="",0,C17))</f>
        <v>20050</v>
      </c>
      <c r="K5" s="225">
        <f t="shared" ref="K5" si="1">D5+D9+D13+D17</f>
        <v>2406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2250</v>
      </c>
      <c r="K6" s="226">
        <f t="shared" ref="K6" si="2">+D8+D12+D16</f>
        <v>225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IF(DigitaTICA!C12&lt;&gt;"",DigitaTICA!C12,"")</f>
        <v>20950</v>
      </c>
      <c r="D7" s="42">
        <f>IF(C7="",0,C7*J$11)</f>
        <v>2514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-24064</v>
      </c>
      <c r="I7" s="217" t="s">
        <v>96</v>
      </c>
      <c r="J7" s="223">
        <f>SUM(IF(C19="",0,C19),IF(C20="",0,C20))</f>
        <v>14700</v>
      </c>
      <c r="K7" s="226">
        <f>+D19+D20</f>
        <v>1764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2250</v>
      </c>
      <c r="D8" s="42">
        <f>IF(C8="",0,C8*J$13)</f>
        <v>225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2025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IF(DigitaTICA!E12&lt;&gt;"",DigitaTICA!E12,"")</f>
        <v>7950</v>
      </c>
      <c r="D11" s="42">
        <f>IF(C11="",0,C11*J$11)</f>
        <v>954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6996</v>
      </c>
      <c r="I11" s="60" t="s">
        <v>36</v>
      </c>
      <c r="J11" s="61">
        <v>0.12</v>
      </c>
      <c r="K11" s="62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1750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IF(DigitaTICA!G12&lt;&gt;"",DigitaTICA!G12,"")</f>
        <v>28450</v>
      </c>
      <c r="D15" s="42">
        <f>IF(C15="",0,C15*J$11)</f>
        <v>3414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25036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IF(DigitaPRIMERA!$C$12&lt;&gt;"",DigitaPRIMERA!$C$12,"")</f>
        <v>14700</v>
      </c>
      <c r="D19" s="42">
        <f>IF(C19="",0,C19*J$14)</f>
        <v>1764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12936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94350</v>
      </c>
      <c r="D24" s="68">
        <f t="shared" ref="D24:G24" si="4">SUM(D5:D23)</f>
        <v>11277</v>
      </c>
      <c r="E24" s="68">
        <f t="shared" si="4"/>
        <v>500</v>
      </c>
      <c r="F24" s="68">
        <f t="shared" si="4"/>
        <v>42500</v>
      </c>
      <c r="G24" s="88">
        <f t="shared" si="4"/>
        <v>40573</v>
      </c>
    </row>
    <row r="27" spans="1:7" x14ac:dyDescent="0.35">
      <c r="G27" s="21">
        <v>132033</v>
      </c>
    </row>
    <row r="28" spans="1:7" x14ac:dyDescent="0.35">
      <c r="G28" s="141">
        <f>+G24+G27</f>
        <v>172606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94650</v>
      </c>
      <c r="K4" s="231">
        <f t="shared" ref="K4" si="0">D7+D11+D15</f>
        <v>11358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>
        <f>IF(DigitaNICA!C13&lt;&gt;"",DigitaNICA!C13,"")</f>
        <v>24150</v>
      </c>
      <c r="D5" s="42">
        <f>IF(C5="",0,C5*J$10)</f>
        <v>2898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21252</v>
      </c>
      <c r="I5" s="218" t="s">
        <v>37</v>
      </c>
      <c r="J5" s="232">
        <f>SUM(IF(C5="",0,C5),IF(C9="",0,C9),IF(C13="",0,C13),IF(C17="",0,C17))</f>
        <v>35100</v>
      </c>
      <c r="K5" s="233">
        <f t="shared" ref="K5" si="2">D5+D9+D13+D17</f>
        <v>4212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IF(DigitaTICA!C13&lt;&gt;"",DigitaTICA!C13,"")</f>
        <v>23700</v>
      </c>
      <c r="D7" s="42">
        <f>IF(C7="",0,C7*J$9)</f>
        <v>2844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20856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IF(DigitaNICA!E13&lt;&gt;"",DigitaNICA!E13,"")</f>
        <v>8850</v>
      </c>
      <c r="D9" s="42">
        <f>IF(C9="",0,C9*J$10)</f>
        <v>1062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7788</v>
      </c>
      <c r="I9" s="60" t="s">
        <v>36</v>
      </c>
      <c r="J9" s="61">
        <v>0.12</v>
      </c>
      <c r="K9" s="62">
        <f>MROUND(D7+D11+D15,50)</f>
        <v>11350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4200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>
        <f>IF(DigitaTICA!E13&lt;&gt;"",DigitaTICA!E13,"")</f>
        <v>12500</v>
      </c>
      <c r="D11" s="42">
        <f>IF(C11="",0,C11*J$9)</f>
        <v>1500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11000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IF(DigitaNICA!G13&lt;&gt;"",DigitaNICA!G13,"")</f>
        <v>700</v>
      </c>
      <c r="D13" s="42">
        <f>IF(C13="",0,C13*J$10)</f>
        <v>84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616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IF(DigitaTICA!G13&lt;&gt;"",DigitaTICA!G13,"")</f>
        <v>58450</v>
      </c>
      <c r="D15" s="42">
        <f>IF(C15="",0,C15*J$9)</f>
        <v>7014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51436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>
        <f>IF(DigitaNICA!I13&lt;&gt;"",DigitaNICA!I13,"")</f>
        <v>1400</v>
      </c>
      <c r="D17" s="42">
        <f>IF(C17="",0,C17*J$10)</f>
        <v>168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129750</v>
      </c>
      <c r="D19" s="68">
        <f>MROUND(SUM(D5:D18),50)</f>
        <v>15550</v>
      </c>
      <c r="E19" s="68">
        <f>SUM(E5:E18)</f>
        <v>0</v>
      </c>
      <c r="F19" s="68">
        <f>SUM(F5:F18)</f>
        <v>0</v>
      </c>
      <c r="G19" s="88">
        <f>SUM(G5:G18)</f>
        <v>114180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70800</v>
      </c>
      <c r="K4" s="236">
        <f t="shared" ref="K4" si="0">D7+D11+D15</f>
        <v>10620</v>
      </c>
      <c r="L4" s="237">
        <f>F7+F11+F15</f>
        <v>64000</v>
      </c>
    </row>
    <row r="5" spans="1:12" x14ac:dyDescent="0.35">
      <c r="A5" s="28" t="s">
        <v>43</v>
      </c>
      <c r="B5" s="132">
        <f>IF(DigitaNICA!C2&lt;&gt;"",DigitaNICA!C2,"")</f>
        <v>93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IF(DigitaTICA!C14&lt;&gt;"",DigitaTICA!C14,"")</f>
        <v>23000</v>
      </c>
      <c r="D7" s="42">
        <f>IF(C7="",0,C7*J$9)</f>
        <v>3450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-20450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10600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>
        <f>IF(DigitaTICA!E14&lt;&gt;"",DigitaTICA!E14,"")</f>
        <v>18000</v>
      </c>
      <c r="D11" s="42">
        <f>IF(C11="",0,C11*J$9)</f>
        <v>2700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15300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IF(DigitaTICA!G14&lt;&gt;"",DigitaTICA!G14,"")</f>
        <v>29800</v>
      </c>
      <c r="D15" s="42">
        <f>IF(C15="",0,C15*J$9)</f>
        <v>4470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1330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70800</v>
      </c>
      <c r="D19" s="68">
        <f>MROUND(SUM(D5:D18),50)</f>
        <v>10600</v>
      </c>
      <c r="E19" s="68">
        <f>SUM(E5:E18)</f>
        <v>800</v>
      </c>
      <c r="F19" s="68">
        <f>SUM(F5:F18)</f>
        <v>64000</v>
      </c>
      <c r="G19" s="88">
        <f>SUM(G5:G18)</f>
        <v>-3820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53850</v>
      </c>
      <c r="K4" s="231">
        <f>D7+D11+D15</f>
        <v>6462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IF(DigitaNICA!C16&lt;&gt;"",DigitaNICA!C16,"")</f>
        <v>2500</v>
      </c>
      <c r="D5" s="42">
        <f>IF(C5="",0,C5*J$12)</f>
        <v>300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2200</v>
      </c>
      <c r="I5" s="63" t="s">
        <v>37</v>
      </c>
      <c r="J5" s="225">
        <f>SUM(IF(C5="",0,C5),IF(C9="",0,C9),IF(C13="",0,C13),IF(C17="",0,C17))</f>
        <v>17550</v>
      </c>
      <c r="K5" s="225">
        <f t="shared" ref="K5" si="1">D5+D9+D13+D17</f>
        <v>2106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IF(DigitaTICA!C16&lt;&gt;"",DigitaTICA!C16,"")</f>
        <v>14500</v>
      </c>
      <c r="D7" s="42">
        <f>IF(C7="",0,C7*J$11)</f>
        <v>1740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-8490</v>
      </c>
      <c r="I7" s="63" t="s">
        <v>96</v>
      </c>
      <c r="J7" s="226">
        <f>SUM(IF(C19="",0,C19),IF(C20="",0,C20))</f>
        <v>300</v>
      </c>
      <c r="K7" s="226">
        <f>+D19+D20</f>
        <v>36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3000</v>
      </c>
      <c r="K8" s="228">
        <f>D21+D22+D23</f>
        <v>360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>
        <f>IF(DigitaNICA!E16&lt;&gt;"",DigitaNICA!E16,"")</f>
        <v>5450</v>
      </c>
      <c r="D9" s="42">
        <f>IF(C9="",0,C9*J$12)</f>
        <v>654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4796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IF(DigitaTICA!E16&lt;&gt;"",DigitaTICA!E16,"")</f>
        <v>12700</v>
      </c>
      <c r="D11" s="42">
        <f>IF(C11="",0,C11*J$11)</f>
        <v>1524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11176</v>
      </c>
      <c r="I11" s="76" t="s">
        <v>36</v>
      </c>
      <c r="J11" s="77">
        <v>0.12</v>
      </c>
      <c r="K11" s="78">
        <f>MROUND(D7+D11+D15,50)</f>
        <v>6450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IF(DigitaTICA!G16&lt;&gt;"",DigitaTICA!G16,"")</f>
        <v>26650</v>
      </c>
      <c r="D15" s="42">
        <f>IF(C15="",0,C15*J$11)</f>
        <v>3198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23452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88</v>
      </c>
      <c r="C17" s="29">
        <f>IF(DigitaNICA!I16&lt;&gt;"",DigitaNICA!I16,"")</f>
        <v>9600</v>
      </c>
      <c r="D17" s="42">
        <f>IF(C17="",0,C17*J$12)</f>
        <v>1152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8448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IF(DigitaPRIMERA!C16&lt;&gt;"",DigitaPRIMERA!C16,"")</f>
        <v>300</v>
      </c>
      <c r="D19" s="42">
        <f>IF(C19="",0,C19*J$14)</f>
        <v>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264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>
        <f>IF(DigitaHONDURAS!$C$16&lt;&gt;"",DigitaHONDURAS!$C$16,"")</f>
        <v>3000</v>
      </c>
      <c r="D21" s="42">
        <f>IF(C21="",0,C21*J$15)</f>
        <v>360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76200</v>
      </c>
      <c r="D24" s="122">
        <f t="shared" ref="D24:G24" si="5">SUM(D5:D23)</f>
        <v>9114</v>
      </c>
      <c r="E24" s="122">
        <f t="shared" si="5"/>
        <v>250</v>
      </c>
      <c r="F24" s="122">
        <f t="shared" si="5"/>
        <v>21250</v>
      </c>
      <c r="G24" s="123">
        <f t="shared" si="5"/>
        <v>45836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475750</v>
      </c>
      <c r="K4" s="231">
        <f t="shared" ref="K4" si="0">D7+D11+D15</f>
        <v>57090</v>
      </c>
      <c r="L4" s="220">
        <f>F7+F11+F15</f>
        <v>318750</v>
      </c>
    </row>
    <row r="5" spans="1:12" x14ac:dyDescent="0.35">
      <c r="A5" s="28" t="s">
        <v>43</v>
      </c>
      <c r="B5" s="132">
        <f>IF(DigitaNICA!C2&lt;&gt;"",DigitaNICA!C2,"")</f>
        <v>93</v>
      </c>
      <c r="C5" s="89">
        <f>IF(DigitaNICA!C17&lt;&gt;"",DigitaNICA!C17,"")</f>
        <v>103650</v>
      </c>
      <c r="D5" s="42">
        <f>IF(C5="",0,C5*J$16)</f>
        <v>12438</v>
      </c>
      <c r="E5" s="89">
        <f>IF(DigitaNICA!D17&lt;&gt;"",DigitaNICA!D17,"")</f>
        <v>200</v>
      </c>
      <c r="F5" s="42">
        <f>IF(E5="",0,E5*PREMIOS!F5)</f>
        <v>17000</v>
      </c>
      <c r="G5" s="90">
        <f t="shared" ref="G5:G12" si="1">IF(OR(C5="",E5=""),0,C5-D5-F5)</f>
        <v>74212</v>
      </c>
      <c r="I5" s="217" t="s">
        <v>37</v>
      </c>
      <c r="J5" s="221">
        <f>SUM(IF(C5="",0,C5),IF(C9="",0,C9),IF(C13="",0,C13),IF(C17="",0,C17))</f>
        <v>459900</v>
      </c>
      <c r="K5" s="225">
        <f t="shared" ref="K5" si="2">D5+D9+D13+D17</f>
        <v>55188</v>
      </c>
      <c r="L5" s="222">
        <f>F5+F9+F13+F17</f>
        <v>344250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83500</v>
      </c>
      <c r="K6" s="226">
        <f t="shared" ref="K6" si="3">+D8+D12+D16</f>
        <v>8350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89">
        <f>IF(DigitaTICA!C17&lt;&gt;"",DigitaTICA!C17,"")</f>
        <v>162350</v>
      </c>
      <c r="D7" s="42">
        <f>IF(C7="",0,C7*J$15)</f>
        <v>19482</v>
      </c>
      <c r="E7" s="89">
        <f>IF(DigitaTICA!D17&lt;&gt;"",DigitaTICA!D17,"")</f>
        <v>1600</v>
      </c>
      <c r="F7" s="42">
        <f>IF(E7="",0,E7*PREMIOS!F7)</f>
        <v>136000</v>
      </c>
      <c r="G7" s="90">
        <f t="shared" si="1"/>
        <v>6868</v>
      </c>
      <c r="I7" s="217" t="s">
        <v>96</v>
      </c>
      <c r="J7" s="223">
        <f>SUM(IF(C19="",0,C19),IF(C20="",0,C20))</f>
        <v>116400</v>
      </c>
      <c r="K7" s="226">
        <f>+D19+D20</f>
        <v>13968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47150</v>
      </c>
      <c r="D8" s="42">
        <f>IF(C8="",0,C8*J$17)</f>
        <v>4715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42435</v>
      </c>
      <c r="I8" s="217" t="s">
        <v>104</v>
      </c>
      <c r="J8" s="223">
        <f>SUM(IF(C21="",0,C21),IF(C22="",0,C22),IF(C23="",0,C23))</f>
        <v>74350</v>
      </c>
      <c r="K8" s="226">
        <f t="shared" ref="K8" si="4">D21+D22+D23</f>
        <v>8922</v>
      </c>
      <c r="L8" s="227">
        <f>F21+F22+F23</f>
        <v>38250</v>
      </c>
    </row>
    <row r="9" spans="1:12" x14ac:dyDescent="0.35">
      <c r="A9" s="28" t="s">
        <v>48</v>
      </c>
      <c r="B9" s="132">
        <f>IF(DigitaNICA!E2&lt;&gt;"",DigitaNICA!E2,"")</f>
        <v>21</v>
      </c>
      <c r="C9" s="89">
        <f>IF(DigitaNICA!E17&lt;&gt;"",DigitaNICA!E17,"")</f>
        <v>90100</v>
      </c>
      <c r="D9" s="42">
        <f>IF(C9="",0,C9*J$16)</f>
        <v>10812</v>
      </c>
      <c r="E9" s="89">
        <f>IF(DigitaNICA!F17&lt;&gt;"",DigitaNICA!F17,"")</f>
        <v>2700</v>
      </c>
      <c r="F9" s="42">
        <f>IF(E9="",0,E9*PREMIOS!F9)</f>
        <v>229500</v>
      </c>
      <c r="G9" s="90">
        <f t="shared" si="1"/>
        <v>-150212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89">
        <f>IF(DigitaTICA!E17&lt;&gt;"",DigitaTICA!E17,"")</f>
        <v>101450</v>
      </c>
      <c r="D11" s="42">
        <f>IF(C11="",0,C11*J$15)</f>
        <v>12174</v>
      </c>
      <c r="E11" s="89">
        <f>IF(DigitaTICA!F17&lt;&gt;"",DigitaTICA!F17,"")</f>
        <v>950</v>
      </c>
      <c r="F11" s="42">
        <f>IF(E11="",0,E11*PREMIOS!F11)</f>
        <v>80750</v>
      </c>
      <c r="G11" s="90">
        <f t="shared" si="1"/>
        <v>8526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12200</v>
      </c>
      <c r="D12" s="42">
        <f>IF(C12="",0,C12*J$17)</f>
        <v>1220</v>
      </c>
      <c r="E12" s="89">
        <f>IF(DigitaREVENTADO!F17&lt;&gt;"",DigitaREVENTADO!F17,"")</f>
        <v>200</v>
      </c>
      <c r="F12" s="42">
        <f>IF(E12="",0,E12*PREMIOS!F12)</f>
        <v>0</v>
      </c>
      <c r="G12" s="90">
        <f t="shared" si="1"/>
        <v>10980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89">
        <f>IF(DigitaNICA!G17&lt;&gt;"",DigitaNICA!G17,"")</f>
        <v>74850</v>
      </c>
      <c r="D13" s="42">
        <f>IF(C13="",0,C13*J$16)</f>
        <v>8982</v>
      </c>
      <c r="E13" s="89">
        <f>IF(DigitaNICA!H17&lt;&gt;"",DigitaNICA!H17,"")</f>
        <v>400</v>
      </c>
      <c r="F13" s="42">
        <f>IF(E13="",0,E13*PREMIOS!F13)</f>
        <v>34000</v>
      </c>
      <c r="G13" s="90">
        <f>IF(OR(C13="",E13=""),0,C13-D13-F13)</f>
        <v>31868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17</v>
      </c>
      <c r="C15" s="89">
        <f>IF(DigitaTICA!G17&lt;&gt;"",DigitaTICA!G17,"")</f>
        <v>211950</v>
      </c>
      <c r="D15" s="42">
        <f>IF(C15="",0,C15*J$15)</f>
        <v>25434</v>
      </c>
      <c r="E15" s="89">
        <f>IF(DigitaTICA!H17&lt;&gt;"",DigitaTICA!H17,"")</f>
        <v>1200</v>
      </c>
      <c r="F15" s="42">
        <f>IF(E15="",0,E15*PREMIOS!F15)</f>
        <v>102000</v>
      </c>
      <c r="G15" s="90">
        <f t="shared" si="6"/>
        <v>84516</v>
      </c>
      <c r="I15" s="76" t="s">
        <v>36</v>
      </c>
      <c r="J15" s="77">
        <v>0.12</v>
      </c>
      <c r="K15" s="78">
        <f>MROUND(D7+D11+D15,50)</f>
        <v>57100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24150</v>
      </c>
      <c r="D16" s="42">
        <f>IF(C16="",0,C16*J$17)</f>
        <v>2415</v>
      </c>
      <c r="E16" s="89">
        <f>IF(DigitaREVENTADO!H17&lt;&gt;"",DigitaREVENTADO!H17,"")</f>
        <v>500</v>
      </c>
      <c r="F16" s="42">
        <f>IF(E16="",0,E16*PREMIOS!F16)</f>
        <v>0</v>
      </c>
      <c r="G16" s="90">
        <f t="shared" si="6"/>
        <v>21735</v>
      </c>
      <c r="I16" s="63" t="s">
        <v>37</v>
      </c>
      <c r="J16" s="64">
        <v>0.12</v>
      </c>
      <c r="K16" s="30">
        <f>MROUND(D5+D9+D13+D17,50)</f>
        <v>55200</v>
      </c>
    </row>
    <row r="17" spans="1:11" x14ac:dyDescent="0.35">
      <c r="A17" s="28" t="s">
        <v>52</v>
      </c>
      <c r="B17" s="132">
        <f>IF(DigitaNICA!I2&lt;&gt;"",DigitaNICA!I2,"")</f>
        <v>88</v>
      </c>
      <c r="C17" s="89">
        <f>IF(DigitaNICA!I17&lt;&gt;"",DigitaNICA!I17,"")</f>
        <v>191300</v>
      </c>
      <c r="D17" s="42">
        <f>IF(C17="",0,C17*J$16)</f>
        <v>22956</v>
      </c>
      <c r="E17" s="89">
        <f>IF(DigitaNICA!J17&lt;&gt;"",DigitaNICA!J17,"")</f>
        <v>750</v>
      </c>
      <c r="F17" s="42">
        <f>IF(E17="",0,E17*PREMIOS!F17)</f>
        <v>63750</v>
      </c>
      <c r="G17" s="90">
        <f t="shared" si="6"/>
        <v>104594</v>
      </c>
      <c r="I17" s="63" t="s">
        <v>38</v>
      </c>
      <c r="J17" s="64">
        <v>0.1</v>
      </c>
      <c r="K17" s="30">
        <f>MROUND(D6+D8+D10+D12+D14+D16+D18,50)</f>
        <v>8350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13950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>
        <f>IF(DigitaPRIMERA!$C$17&lt;&gt;"",DigitaPRIMERA!$C$17,"")</f>
        <v>84450</v>
      </c>
      <c r="D19" s="42">
        <f>IF(C19="",0,C19*J$18)</f>
        <v>10134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57316</v>
      </c>
      <c r="I19" s="63" t="s">
        <v>104</v>
      </c>
      <c r="J19" s="64">
        <v>0.12</v>
      </c>
      <c r="K19" s="30">
        <f>MROUND(D21+D22+D23,50)</f>
        <v>8900</v>
      </c>
    </row>
    <row r="20" spans="1:11" x14ac:dyDescent="0.35">
      <c r="A20" s="28" t="s">
        <v>98</v>
      </c>
      <c r="B20" s="132">
        <f>IF(DigitaPRIMERA!E2&lt;&gt;"",DigitaPRIMERA!E2,"")</f>
        <v>77</v>
      </c>
      <c r="C20" s="29">
        <f>IF(DigitaPRIMERA!$E$17&lt;&gt;"",DigitaPRIMERA!$E$17,"")</f>
        <v>31950</v>
      </c>
      <c r="D20" s="42">
        <f>IF(C20="",0,C20*J$18)</f>
        <v>3834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28116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>
        <f>IF(DigitaHONDURAS!$C$17&lt;&gt;"",DigitaHONDURAS!$C$17,"")</f>
        <v>43550</v>
      </c>
      <c r="D21" s="42">
        <f>IF(C21="",0,C21*J$19)</f>
        <v>5226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8574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IF(DigitaHONDURAS!$E$17&lt;&gt;"",DigitaHONDURAS!$E$17,"")</f>
        <v>6550</v>
      </c>
      <c r="D22" s="42">
        <f>IF(C22="",0,C22*J$19)</f>
        <v>786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-2736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IF(DigitaHONDURAS!$G$17&lt;&gt;"",DigitaHONDURAS!$G$17,"")</f>
        <v>24250</v>
      </c>
      <c r="D23" s="42">
        <f>IF(C23="",0,C23*J$19)</f>
        <v>2910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21340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1209900</v>
      </c>
      <c r="D27" s="68">
        <f t="shared" ref="D27:G27" si="7">SUM(D5:D26)</f>
        <v>143518</v>
      </c>
      <c r="E27" s="68">
        <f t="shared" si="7"/>
        <v>9150</v>
      </c>
      <c r="F27" s="68">
        <f t="shared" si="7"/>
        <v>718250</v>
      </c>
      <c r="G27" s="88">
        <f t="shared" si="7"/>
        <v>348132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173750</v>
      </c>
      <c r="K4" s="231">
        <f t="shared" ref="K4" si="0">D7+D11+D15</f>
        <v>20850</v>
      </c>
      <c r="L4" s="220">
        <f>F7+F11+F15</f>
        <v>335750</v>
      </c>
    </row>
    <row r="5" spans="1:12" x14ac:dyDescent="0.35">
      <c r="A5" s="28" t="str">
        <f>+Vendedor1!A5</f>
        <v>Nica 11am</v>
      </c>
      <c r="B5" s="132">
        <f>IF(DigitaNICA!C2&lt;&gt;"",DigitaNICA!C2,"")</f>
        <v>93</v>
      </c>
      <c r="C5" s="29">
        <f>IF(DigitaNICA!C18&lt;&gt;"",DigitaNICA!C18,"")</f>
        <v>64050</v>
      </c>
      <c r="D5" s="42">
        <f>IF(C5="",0,C5*J$16)</f>
        <v>7686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39364</v>
      </c>
      <c r="I5" s="217" t="s">
        <v>37</v>
      </c>
      <c r="J5" s="221">
        <f>SUM(IF(C5="",0,C5),IF(C9="",0,C9),IF(C13="",0,C13),IF(C17="",0,C17))</f>
        <v>195000</v>
      </c>
      <c r="K5" s="225">
        <f t="shared" ref="K5" si="2">D5+D9+D13+D17</f>
        <v>23400</v>
      </c>
      <c r="L5" s="222">
        <f>F5+F9+F13+F17</f>
        <v>233750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60500</v>
      </c>
      <c r="K6" s="226">
        <f t="shared" ref="K6" si="3">+D8+D12+D16</f>
        <v>6050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45</v>
      </c>
      <c r="C7" s="29">
        <f>IF(DigitaTICA!C18&lt;&gt;"",DigitaTICA!C18,"")</f>
        <v>52600</v>
      </c>
      <c r="D7" s="42">
        <f>IF(C7="",0,C7*J$15)</f>
        <v>6312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29288</v>
      </c>
      <c r="I7" s="217" t="s">
        <v>96</v>
      </c>
      <c r="J7" s="223">
        <f>SUM(IF(C19="",0,C19),IF(C20="",0,C20))</f>
        <v>143500</v>
      </c>
      <c r="K7" s="226">
        <f>+D19+D20</f>
        <v>17220</v>
      </c>
      <c r="L7" s="227">
        <f>+F19+F20</f>
        <v>85000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23000</v>
      </c>
      <c r="D8" s="42">
        <f>IF(C8="",0,C8*J$17)</f>
        <v>2300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20700</v>
      </c>
      <c r="I8" s="217" t="s">
        <v>104</v>
      </c>
      <c r="J8" s="223">
        <f>SUM(IF(C21="",0,C21),IF(C22="",0,C22),IF(C23="",0,C23))</f>
        <v>32000</v>
      </c>
      <c r="K8" s="226">
        <f t="shared" ref="K8" si="4">D21+D22+D23</f>
        <v>3840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21</v>
      </c>
      <c r="C9" s="29">
        <f>IF(DigitaNICA!E18&lt;&gt;"",DigitaNICA!E18,"")</f>
        <v>62200</v>
      </c>
      <c r="D9" s="42">
        <f>IF(C9="",0,C9*J$16)</f>
        <v>7464</v>
      </c>
      <c r="E9" s="29">
        <f>IF(DigitaNICA!F18&lt;&gt;"",DigitaNICA!F18,"")</f>
        <v>2250</v>
      </c>
      <c r="F9" s="42">
        <f>IF(E9="",0,E9*PREMIOS!F9)</f>
        <v>191250</v>
      </c>
      <c r="G9" s="30">
        <f t="shared" si="1"/>
        <v>-136514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11</v>
      </c>
      <c r="C11" s="29">
        <f>IF(DigitaTICA!E18&lt;&gt;"",DigitaTICA!E18,"")</f>
        <v>48600</v>
      </c>
      <c r="D11" s="42">
        <f>IF(C11="",0,C11*J$15)</f>
        <v>5832</v>
      </c>
      <c r="E11" s="29">
        <f>IF(DigitaTICA!F18&lt;&gt;"",DigitaTICA!F18,"")</f>
        <v>400</v>
      </c>
      <c r="F11" s="42">
        <f>IF(E11="",0,E11*PREMIOS!F11)</f>
        <v>34000</v>
      </c>
      <c r="G11" s="30">
        <f t="shared" si="1"/>
        <v>8768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20100</v>
      </c>
      <c r="D12" s="42">
        <f>IF(C12="",0,C12*J$17)</f>
        <v>2010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18090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72</v>
      </c>
      <c r="C13" s="29">
        <f>IF(DigitaNICA!G18&lt;&gt;"",DigitaNICA!G18,"")</f>
        <v>61550</v>
      </c>
      <c r="D13" s="42">
        <f>IF(C13="",0,C13*J$16)</f>
        <v>7386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28664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17</v>
      </c>
      <c r="C15" s="29">
        <f>IF(DigitaTICA!G18&lt;&gt;"",DigitaTICA!G18,"")</f>
        <v>72550</v>
      </c>
      <c r="D15" s="42">
        <f>IF(C15="",0,C15*J$15)</f>
        <v>8706</v>
      </c>
      <c r="E15" s="29">
        <f>IF(DigitaTICA!H18&lt;&gt;"",DigitaTICA!H18,"")</f>
        <v>3350</v>
      </c>
      <c r="F15" s="42">
        <f>IF(E15="",0,E15*PREMIOS!F15)</f>
        <v>284750</v>
      </c>
      <c r="G15" s="30">
        <f t="shared" si="6"/>
        <v>-220906</v>
      </c>
      <c r="I15" s="76" t="s">
        <v>36</v>
      </c>
      <c r="J15" s="77">
        <v>0.12</v>
      </c>
      <c r="K15" s="78">
        <f>MROUND(D7+D11+D15,50)</f>
        <v>20850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17400</v>
      </c>
      <c r="D16" s="42">
        <f>IF(C16="",0,C16*J$17)</f>
        <v>1740</v>
      </c>
      <c r="E16" s="29">
        <f>IF(DigitaREVENTADO!H18&lt;&gt;"",DigitaREVENTADO!H18,"")</f>
        <v>1200</v>
      </c>
      <c r="F16" s="42">
        <f>IF(E16="",0,E16*PREMIOS!F16)</f>
        <v>0</v>
      </c>
      <c r="G16" s="30">
        <f t="shared" si="6"/>
        <v>15660</v>
      </c>
      <c r="I16" s="63" t="s">
        <v>37</v>
      </c>
      <c r="J16" s="64">
        <v>0.12</v>
      </c>
      <c r="K16" s="30">
        <f>MROUND(D5+D9+D13+D17,50)</f>
        <v>23400</v>
      </c>
    </row>
    <row r="17" spans="1:11" x14ac:dyDescent="0.35">
      <c r="A17" s="28" t="str">
        <f>+Vendedor1!A17</f>
        <v>Nica 9pm</v>
      </c>
      <c r="B17" s="132">
        <f>IF(DigitaNICA!I2&lt;&gt;"",DigitaNICA!I2,"")</f>
        <v>88</v>
      </c>
      <c r="C17" s="29">
        <f>IF(DigitaNICA!I18&lt;&gt;"",DigitaNICA!I18,"")</f>
        <v>7200</v>
      </c>
      <c r="D17" s="42">
        <f>IF(C17="",0,C17*J$16)</f>
        <v>864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6336</v>
      </c>
      <c r="I17" s="63" t="s">
        <v>38</v>
      </c>
      <c r="J17" s="64">
        <v>0.1</v>
      </c>
      <c r="K17" s="30">
        <f>MROUND(D6+D8+D10+D12+D14+D16+D18,50)</f>
        <v>6050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17200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>
        <f>IF(DigitaPRIMERA!$C$18&lt;&gt;"",DigitaPRIMERA!$C$18,"")</f>
        <v>86400</v>
      </c>
      <c r="D19" s="42">
        <f>IF(C19="",0,C19*J$18)</f>
        <v>10368</v>
      </c>
      <c r="E19" s="29">
        <f>IF(DigitaPRIMERA!$D$18&lt;&gt;"",DigitaPRIMERA!$D$18,"")</f>
        <v>1000</v>
      </c>
      <c r="F19" s="42">
        <f>IF(E19="",0,E19*PREMIOS!F19)</f>
        <v>85000</v>
      </c>
      <c r="G19" s="30">
        <f t="shared" si="6"/>
        <v>-8968</v>
      </c>
      <c r="I19" s="63" t="s">
        <v>104</v>
      </c>
      <c r="J19" s="64">
        <v>0.12</v>
      </c>
      <c r="K19" s="30">
        <f>MROUND(D21+D22+D23,50)</f>
        <v>3850</v>
      </c>
    </row>
    <row r="20" spans="1:11" x14ac:dyDescent="0.35">
      <c r="A20" s="28" t="s">
        <v>98</v>
      </c>
      <c r="B20" s="132">
        <f>IF(DigitaPRIMERA!E2&lt;&gt;"",DigitaPRIMERA!E2,"")</f>
        <v>77</v>
      </c>
      <c r="C20" s="29">
        <f>IF(DigitaPRIMERA!$E$18&lt;&gt;"",DigitaPRIMERA!$E$18,"")</f>
        <v>57100</v>
      </c>
      <c r="D20" s="42">
        <f>IF(C20="",0,C20*J$18)</f>
        <v>6852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50248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>
        <f>IF(DigitaHONDURAS!$C$18&lt;&gt;"",DigitaHONDURAS!$C$18,"")</f>
        <v>25600</v>
      </c>
      <c r="D21" s="42">
        <f>IF(C21="",0,C21*J$19)</f>
        <v>3072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22528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IF(DigitaHONDURAS!$E$18&lt;&gt;"",DigitaHONDURAS!$E$18,"")</f>
        <v>6400</v>
      </c>
      <c r="D22" s="42">
        <f>IF(C22="",0,C22*J$19)</f>
        <v>768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5632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604750</v>
      </c>
      <c r="D27" s="68">
        <f t="shared" ref="D27:G27" si="7">SUM(D5:D26)</f>
        <v>71360</v>
      </c>
      <c r="E27" s="68">
        <f t="shared" si="7"/>
        <v>9200</v>
      </c>
      <c r="F27" s="68">
        <f t="shared" si="7"/>
        <v>654500</v>
      </c>
      <c r="G27" s="88">
        <f t="shared" si="7"/>
        <v>-121110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45</v>
      </c>
      <c r="D2" s="268"/>
      <c r="E2" s="267">
        <f>IF(PREMIOS!$B11="","",PREMIOS!$B11)</f>
        <v>11</v>
      </c>
      <c r="F2" s="268"/>
      <c r="G2" s="267">
        <f>IF(PREMIOS!$B15="","",PREMIOS!$B15)</f>
        <v>17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58500</v>
      </c>
      <c r="D4" s="78">
        <v>250</v>
      </c>
      <c r="E4" s="189">
        <v>28350</v>
      </c>
      <c r="F4" s="78">
        <f t="shared" ref="D4:H27" si="0">IF(E4="","",0)</f>
        <v>0</v>
      </c>
      <c r="G4" s="189">
        <v>65450</v>
      </c>
      <c r="H4" s="78">
        <v>1700</v>
      </c>
      <c r="J4" s="42">
        <f t="shared" ref="J4:J8" si="1">+C4+E4+G4</f>
        <v>152300</v>
      </c>
      <c r="K4" s="42">
        <f>IF(D4="",0,IF(F4="",D4,IF(H4="",D4+F4,D4+F4+H4)))</f>
        <v>1950</v>
      </c>
    </row>
    <row r="5" spans="1:11" x14ac:dyDescent="0.35">
      <c r="A5" s="47">
        <v>2</v>
      </c>
      <c r="B5" s="178" t="str">
        <f>Vendedor2!$B$2</f>
        <v>PUESTO 2</v>
      </c>
      <c r="C5" s="180">
        <v>50350</v>
      </c>
      <c r="D5" s="30">
        <f t="shared" si="0"/>
        <v>0</v>
      </c>
      <c r="E5" s="180">
        <v>39850</v>
      </c>
      <c r="F5" s="30">
        <v>250</v>
      </c>
      <c r="G5" s="180">
        <v>65500</v>
      </c>
      <c r="H5" s="30">
        <v>1000</v>
      </c>
      <c r="J5" s="42">
        <f t="shared" si="1"/>
        <v>155700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50250</v>
      </c>
      <c r="D8" s="30">
        <f t="shared" si="0"/>
        <v>0</v>
      </c>
      <c r="E8" s="180">
        <v>41450</v>
      </c>
      <c r="F8" s="30">
        <v>1250</v>
      </c>
      <c r="G8" s="180">
        <v>38400</v>
      </c>
      <c r="H8" s="30">
        <f t="shared" si="0"/>
        <v>0</v>
      </c>
      <c r="J8" s="42">
        <f t="shared" si="1"/>
        <v>130100</v>
      </c>
      <c r="K8" s="42">
        <f t="shared" si="2"/>
        <v>1250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62650+88800</f>
        <v>151450</v>
      </c>
      <c r="D10" s="30">
        <v>200</v>
      </c>
      <c r="E10" s="180">
        <f>33100+69850</f>
        <v>102950</v>
      </c>
      <c r="F10" s="30">
        <f>100+300</f>
        <v>400</v>
      </c>
      <c r="G10" s="180">
        <f>62650+89250</f>
        <v>151900</v>
      </c>
      <c r="H10" s="30">
        <f>4750+1200</f>
        <v>5950</v>
      </c>
      <c r="J10" s="42">
        <f t="shared" si="3"/>
        <v>406300</v>
      </c>
      <c r="K10" s="42">
        <f t="shared" si="2"/>
        <v>6550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v>800</v>
      </c>
      <c r="E11" s="180"/>
      <c r="F11" s="30" t="str">
        <f t="shared" si="0"/>
        <v/>
      </c>
      <c r="G11" s="180">
        <v>13900</v>
      </c>
      <c r="H11" s="30">
        <f t="shared" si="0"/>
        <v>0</v>
      </c>
      <c r="J11" s="42">
        <f t="shared" si="3"/>
        <v>16900</v>
      </c>
      <c r="K11" s="42">
        <f t="shared" si="2"/>
        <v>800</v>
      </c>
    </row>
    <row r="12" spans="1:11" x14ac:dyDescent="0.35">
      <c r="A12" s="47">
        <v>9</v>
      </c>
      <c r="B12" s="178" t="str">
        <f>Vendedor9!$B$2</f>
        <v>JUAN FELIX</v>
      </c>
      <c r="C12" s="180">
        <v>20950</v>
      </c>
      <c r="D12" s="30">
        <v>500</v>
      </c>
      <c r="E12" s="180">
        <v>7950</v>
      </c>
      <c r="F12" s="30">
        <f t="shared" si="0"/>
        <v>0</v>
      </c>
      <c r="G12" s="180">
        <v>28450</v>
      </c>
      <c r="H12" s="30">
        <f t="shared" si="0"/>
        <v>0</v>
      </c>
      <c r="J12" s="42">
        <f t="shared" si="3"/>
        <v>57350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23700</v>
      </c>
      <c r="D13" s="30">
        <f t="shared" si="0"/>
        <v>0</v>
      </c>
      <c r="E13" s="180">
        <v>12500</v>
      </c>
      <c r="F13" s="30">
        <f t="shared" si="0"/>
        <v>0</v>
      </c>
      <c r="G13" s="180">
        <v>58450</v>
      </c>
      <c r="H13" s="30">
        <f t="shared" si="0"/>
        <v>0</v>
      </c>
      <c r="J13" s="42">
        <f t="shared" si="3"/>
        <v>94650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23000</v>
      </c>
      <c r="D14" s="30">
        <v>500</v>
      </c>
      <c r="E14" s="180">
        <v>18000</v>
      </c>
      <c r="F14" s="30">
        <f t="shared" si="0"/>
        <v>0</v>
      </c>
      <c r="G14" s="180">
        <v>29800</v>
      </c>
      <c r="H14" s="30">
        <v>300</v>
      </c>
      <c r="J14" s="42">
        <f t="shared" si="3"/>
        <v>70800</v>
      </c>
      <c r="K14" s="42">
        <f t="shared" si="2"/>
        <v>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14500</v>
      </c>
      <c r="D16" s="30">
        <v>250</v>
      </c>
      <c r="E16" s="180">
        <v>12700</v>
      </c>
      <c r="F16" s="30">
        <f t="shared" si="0"/>
        <v>0</v>
      </c>
      <c r="G16" s="180">
        <v>26650</v>
      </c>
      <c r="H16" s="30">
        <f t="shared" si="0"/>
        <v>0</v>
      </c>
      <c r="J16" s="42">
        <f t="shared" si="3"/>
        <v>53850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104500+57850</f>
        <v>162350</v>
      </c>
      <c r="D17" s="30">
        <f>1600+0</f>
        <v>1600</v>
      </c>
      <c r="E17" s="180">
        <f>87250+14200</f>
        <v>101450</v>
      </c>
      <c r="F17" s="30">
        <f>750+200</f>
        <v>950</v>
      </c>
      <c r="G17" s="180">
        <f>186600+25350</f>
        <v>211950</v>
      </c>
      <c r="H17" s="30">
        <f>700+500</f>
        <v>1200</v>
      </c>
      <c r="J17" s="42">
        <f t="shared" si="3"/>
        <v>475750</v>
      </c>
      <c r="K17" s="42">
        <f t="shared" si="2"/>
        <v>3750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29250+23350</f>
        <v>52600</v>
      </c>
      <c r="D18" s="30">
        <f>200+0</f>
        <v>200</v>
      </c>
      <c r="E18" s="180">
        <f>26350+22250</f>
        <v>48600</v>
      </c>
      <c r="F18" s="30">
        <f>100+300</f>
        <v>400</v>
      </c>
      <c r="G18" s="180">
        <f>54150+18400</f>
        <v>72550</v>
      </c>
      <c r="H18" s="30">
        <f>1150+2200</f>
        <v>3350</v>
      </c>
      <c r="J18" s="42">
        <f t="shared" si="3"/>
        <v>173750</v>
      </c>
      <c r="K18" s="42">
        <f t="shared" si="2"/>
        <v>3950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610650</v>
      </c>
      <c r="D32" s="44">
        <f t="shared" si="6"/>
        <v>4300</v>
      </c>
      <c r="E32" s="43">
        <f t="shared" si="6"/>
        <v>413800</v>
      </c>
      <c r="F32" s="44">
        <f t="shared" si="6"/>
        <v>3250</v>
      </c>
      <c r="G32" s="43">
        <f t="shared" si="6"/>
        <v>763000</v>
      </c>
      <c r="H32" s="44">
        <f t="shared" si="6"/>
        <v>13500</v>
      </c>
      <c r="J32" s="95">
        <f>SUM(J4:J31)</f>
        <v>1787450</v>
      </c>
      <c r="K32" s="95"/>
    </row>
    <row r="33" spans="2:8" x14ac:dyDescent="0.35">
      <c r="D33" s="99">
        <f>+D32*85</f>
        <v>365500</v>
      </c>
      <c r="F33" s="99">
        <f>+F32*85</f>
        <v>276250</v>
      </c>
      <c r="H33" s="99">
        <f>+H32*85</f>
        <v>1147500</v>
      </c>
    </row>
    <row r="34" spans="2:8" x14ac:dyDescent="0.35">
      <c r="B34" s="247" t="s">
        <v>149</v>
      </c>
      <c r="C34" s="43">
        <f t="shared" ref="C34:H34" si="7">+C4+C5+C6+C8+C13</f>
        <v>182800</v>
      </c>
      <c r="D34" s="43" t="e">
        <f t="shared" si="7"/>
        <v>#VALUE!</v>
      </c>
      <c r="E34" s="43">
        <f t="shared" si="7"/>
        <v>122150</v>
      </c>
      <c r="F34" s="43" t="e">
        <f t="shared" si="7"/>
        <v>#VALUE!</v>
      </c>
      <c r="G34" s="43">
        <f t="shared" si="7"/>
        <v>227800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240950</v>
      </c>
      <c r="D35" s="43" t="e">
        <f t="shared" ref="D35:H35" si="8">+D11+D14+D15+D17+D18</f>
        <v>#VALUE!</v>
      </c>
      <c r="E35" s="43">
        <f t="shared" si="8"/>
        <v>168050</v>
      </c>
      <c r="F35" s="43" t="e">
        <f t="shared" si="8"/>
        <v>#VALUE!</v>
      </c>
      <c r="G35" s="43">
        <f t="shared" si="8"/>
        <v>328200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172400</v>
      </c>
      <c r="D36" s="43" t="e">
        <f t="shared" ref="D36:H36" si="9">+D10+D12+D27</f>
        <v>#VALUE!</v>
      </c>
      <c r="E36" s="43">
        <f t="shared" si="9"/>
        <v>110900</v>
      </c>
      <c r="F36" s="43" t="e">
        <f t="shared" si="9"/>
        <v>#VALUE!</v>
      </c>
      <c r="G36" s="43">
        <f t="shared" si="9"/>
        <v>180350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93</v>
      </c>
      <c r="D2" s="268"/>
      <c r="E2" s="267">
        <f>IF(PREMIOS!$B9="","",PREMIOS!$B9)</f>
        <v>21</v>
      </c>
      <c r="F2" s="268"/>
      <c r="G2" s="267">
        <f>IF(PREMIOS!$B13="","",PREMIOS!$B13)</f>
        <v>72</v>
      </c>
      <c r="H2" s="268"/>
      <c r="I2" s="267">
        <f>IF(PREMIOS!$B17="","",PREMIOS!$B17)</f>
        <v>88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24850</v>
      </c>
      <c r="D4" s="78">
        <f t="shared" ref="D4:J27" si="0">IF(C4="","",0)</f>
        <v>0</v>
      </c>
      <c r="E4" s="206">
        <v>26150</v>
      </c>
      <c r="F4" s="78">
        <v>200</v>
      </c>
      <c r="G4" s="189">
        <v>4450</v>
      </c>
      <c r="H4" s="78">
        <f t="shared" ref="H4:H27" si="1">IF(G4="","",0)</f>
        <v>0</v>
      </c>
      <c r="I4" s="189">
        <v>2000</v>
      </c>
      <c r="J4" s="78">
        <f t="shared" si="0"/>
        <v>0</v>
      </c>
      <c r="L4" s="42">
        <f t="shared" ref="L4:L8" si="2">+C4+E4+G4+I4</f>
        <v>57450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18700</v>
      </c>
      <c r="D5" s="30">
        <v>250</v>
      </c>
      <c r="E5" s="207">
        <v>10400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29100</v>
      </c>
      <c r="M5" s="42">
        <f t="shared" ref="M5:M27" si="4">IF(D5=0,0,IF(F5="",D5,IF(H5="",D5+F5,IF(J5="",D5+F5+H5,D5+F5+H5+J5))))</f>
        <v>250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57400</v>
      </c>
      <c r="D8" s="30">
        <f t="shared" si="0"/>
        <v>0</v>
      </c>
      <c r="E8" s="207">
        <v>33650</v>
      </c>
      <c r="F8" s="30">
        <f t="shared" si="0"/>
        <v>0</v>
      </c>
      <c r="G8" s="180">
        <v>2150</v>
      </c>
      <c r="H8" s="30">
        <f t="shared" si="1"/>
        <v>0</v>
      </c>
      <c r="I8" s="180">
        <v>10700</v>
      </c>
      <c r="J8" s="30">
        <v>100</v>
      </c>
      <c r="L8" s="42">
        <f t="shared" si="2"/>
        <v>103900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37550+32000</f>
        <v>69550</v>
      </c>
      <c r="D10" s="30">
        <f t="shared" si="0"/>
        <v>0</v>
      </c>
      <c r="E10" s="207">
        <f>25700+29000</f>
        <v>54700</v>
      </c>
      <c r="F10" s="30">
        <f>600+150</f>
        <v>750</v>
      </c>
      <c r="G10" s="180">
        <v>76500</v>
      </c>
      <c r="H10" s="30">
        <f t="shared" si="0"/>
        <v>0</v>
      </c>
      <c r="I10" s="180">
        <f>54300+45000</f>
        <v>99300</v>
      </c>
      <c r="J10" s="30">
        <v>300</v>
      </c>
      <c r="L10" s="42">
        <f t="shared" si="5"/>
        <v>300050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20050</v>
      </c>
      <c r="D12" s="30">
        <f t="shared" si="0"/>
        <v>0</v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20050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24150</v>
      </c>
      <c r="D13" s="30">
        <f t="shared" si="0"/>
        <v>0</v>
      </c>
      <c r="E13" s="207">
        <v>8850</v>
      </c>
      <c r="F13" s="30">
        <f t="shared" si="0"/>
        <v>0</v>
      </c>
      <c r="G13" s="180">
        <v>700</v>
      </c>
      <c r="H13" s="30">
        <f t="shared" si="0"/>
        <v>0</v>
      </c>
      <c r="I13" s="180">
        <v>1400</v>
      </c>
      <c r="J13" s="30">
        <f t="shared" si="0"/>
        <v>0</v>
      </c>
      <c r="L13" s="42">
        <f t="shared" si="5"/>
        <v>35100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2500</v>
      </c>
      <c r="D16" s="30">
        <f t="shared" si="0"/>
        <v>0</v>
      </c>
      <c r="E16" s="207">
        <v>5450</v>
      </c>
      <c r="F16" s="30">
        <f t="shared" si="0"/>
        <v>0</v>
      </c>
      <c r="G16" s="180"/>
      <c r="H16" s="30" t="str">
        <f t="shared" si="0"/>
        <v/>
      </c>
      <c r="I16" s="180">
        <v>9600</v>
      </c>
      <c r="J16" s="30">
        <f t="shared" si="0"/>
        <v>0</v>
      </c>
      <c r="L16" s="42">
        <f t="shared" si="5"/>
        <v>17550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103650</v>
      </c>
      <c r="D17" s="30">
        <v>200</v>
      </c>
      <c r="E17" s="207">
        <v>90100</v>
      </c>
      <c r="F17" s="30">
        <v>2700</v>
      </c>
      <c r="G17" s="180">
        <v>74850</v>
      </c>
      <c r="H17" s="30">
        <v>400</v>
      </c>
      <c r="I17" s="180">
        <v>191300</v>
      </c>
      <c r="J17" s="30">
        <v>750</v>
      </c>
      <c r="L17" s="42">
        <f t="shared" si="5"/>
        <v>459900</v>
      </c>
      <c r="M17" s="42">
        <f t="shared" si="4"/>
        <v>4050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64050</v>
      </c>
      <c r="D18" s="30">
        <v>200</v>
      </c>
      <c r="E18" s="207">
        <v>62200</v>
      </c>
      <c r="F18" s="30">
        <v>2250</v>
      </c>
      <c r="G18" s="180">
        <v>61550</v>
      </c>
      <c r="H18" s="30">
        <v>300</v>
      </c>
      <c r="I18" s="180">
        <v>7200</v>
      </c>
      <c r="J18" s="30">
        <f t="shared" si="3"/>
        <v>0</v>
      </c>
      <c r="L18" s="42">
        <f t="shared" si="5"/>
        <v>195000</v>
      </c>
      <c r="M18" s="42">
        <f t="shared" si="4"/>
        <v>2750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384900</v>
      </c>
      <c r="D32" s="44">
        <f t="shared" si="7"/>
        <v>650</v>
      </c>
      <c r="E32" s="43">
        <f t="shared" si="7"/>
        <v>291500</v>
      </c>
      <c r="F32" s="44">
        <f t="shared" si="7"/>
        <v>5900</v>
      </c>
      <c r="G32" s="43">
        <f t="shared" si="7"/>
        <v>220200</v>
      </c>
      <c r="H32" s="44">
        <f t="shared" si="7"/>
        <v>700</v>
      </c>
      <c r="I32" s="43">
        <f t="shared" si="7"/>
        <v>321500</v>
      </c>
      <c r="J32" s="44">
        <f t="shared" si="7"/>
        <v>1150</v>
      </c>
      <c r="L32" s="95">
        <f>SUM(L9:L31)</f>
        <v>1027650</v>
      </c>
      <c r="M32" s="95">
        <f>SUM(M9:M31)</f>
        <v>6800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45 Blanca</v>
      </c>
      <c r="D2" s="268"/>
      <c r="E2" s="267" t="str">
        <f>IF(E33=0,"",CONCATENATE(PREMIOS!$B11," ",PREMIOS!$B12))</f>
        <v>11 Blanca</v>
      </c>
      <c r="F2" s="268"/>
      <c r="G2" s="267" t="str">
        <f>IF(G33=0,"",CONCATENATE(PREMIOS!$B15," ",PREMIOS!$B16))</f>
        <v>17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24400+5250</f>
        <v>29650</v>
      </c>
      <c r="D10" s="30">
        <f t="shared" si="0"/>
        <v>0</v>
      </c>
      <c r="E10" s="180">
        <f>14450+8450</f>
        <v>22900</v>
      </c>
      <c r="F10" s="30">
        <f t="shared" si="0"/>
        <v>0</v>
      </c>
      <c r="G10" s="180">
        <f>22900+16300</f>
        <v>39200</v>
      </c>
      <c r="H10" s="30">
        <f>2000+0</f>
        <v>2000</v>
      </c>
      <c r="J10" s="42">
        <f t="shared" si="3"/>
        <v>91750</v>
      </c>
      <c r="K10" s="42">
        <f t="shared" si="4"/>
        <v>2000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1500</v>
      </c>
      <c r="H16" s="195">
        <f t="shared" si="0"/>
        <v>0</v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47150</v>
      </c>
      <c r="D17" s="30">
        <f t="shared" si="0"/>
        <v>0</v>
      </c>
      <c r="E17" s="180">
        <v>12200</v>
      </c>
      <c r="F17" s="30">
        <v>200</v>
      </c>
      <c r="G17" s="180">
        <v>24150</v>
      </c>
      <c r="H17" s="30">
        <v>500</v>
      </c>
      <c r="J17" s="42">
        <f t="shared" si="3"/>
        <v>83500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23000</v>
      </c>
      <c r="D18" s="30">
        <f t="shared" si="0"/>
        <v>0</v>
      </c>
      <c r="E18" s="180">
        <v>20100</v>
      </c>
      <c r="F18" s="30">
        <v>300</v>
      </c>
      <c r="G18" s="180">
        <v>17400</v>
      </c>
      <c r="H18" s="30">
        <v>1200</v>
      </c>
      <c r="J18" s="42">
        <f t="shared" si="3"/>
        <v>60500</v>
      </c>
      <c r="K18" s="42">
        <f t="shared" si="4"/>
        <v>1500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102050</v>
      </c>
      <c r="D33" s="44">
        <f t="shared" si="7"/>
        <v>0</v>
      </c>
      <c r="E33" s="43">
        <f t="shared" si="7"/>
        <v>55200</v>
      </c>
      <c r="F33" s="44">
        <f t="shared" si="7"/>
        <v>500</v>
      </c>
      <c r="G33" s="43">
        <f t="shared" si="7"/>
        <v>82250</v>
      </c>
      <c r="H33" s="44">
        <f t="shared" si="7"/>
        <v>3700</v>
      </c>
      <c r="J33" s="45">
        <f>SUM(J4:J32)</f>
        <v>239500</v>
      </c>
      <c r="K33" s="95">
        <f>SUM(K4:K32)</f>
        <v>4200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58</v>
      </c>
      <c r="D2" s="268"/>
      <c r="E2" s="267">
        <f>IF(PREMIOS!$C19="","",PREMIOS!$C19)</f>
        <v>77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4600</v>
      </c>
      <c r="D4" s="78">
        <f t="shared" ref="D4:F27" si="0">IF(C4="","",0)</f>
        <v>0</v>
      </c>
      <c r="E4" s="189">
        <v>2500</v>
      </c>
      <c r="F4" s="78">
        <f t="shared" si="0"/>
        <v>0</v>
      </c>
      <c r="H4" s="42">
        <f>+C4+E4</f>
        <v>7100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31600</v>
      </c>
      <c r="D8" s="30">
        <v>200</v>
      </c>
      <c r="E8" s="194">
        <v>7600</v>
      </c>
      <c r="F8" s="195">
        <f t="shared" si="1"/>
        <v>0</v>
      </c>
      <c r="H8" s="42">
        <f t="shared" si="2"/>
        <v>39200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29300</v>
      </c>
      <c r="D10" s="30">
        <f t="shared" si="0"/>
        <v>0</v>
      </c>
      <c r="E10" s="180">
        <f>5850+8400</f>
        <v>14250</v>
      </c>
      <c r="F10" s="195">
        <v>750</v>
      </c>
      <c r="H10" s="42">
        <f t="shared" si="2"/>
        <v>43550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14700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14700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84450</v>
      </c>
      <c r="D17" s="195">
        <v>200</v>
      </c>
      <c r="E17" s="180">
        <v>31950</v>
      </c>
      <c r="F17" s="30">
        <f t="shared" si="0"/>
        <v>0</v>
      </c>
      <c r="H17" s="42">
        <f t="shared" si="2"/>
        <v>116400</v>
      </c>
      <c r="I17" s="42">
        <f t="shared" si="3"/>
        <v>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86400</v>
      </c>
      <c r="D18" s="195">
        <v>1000</v>
      </c>
      <c r="E18" s="180">
        <v>57100</v>
      </c>
      <c r="F18" s="30">
        <f t="shared" si="0"/>
        <v>0</v>
      </c>
      <c r="H18" s="42">
        <f t="shared" si="2"/>
        <v>143500</v>
      </c>
      <c r="I18" s="42">
        <f t="shared" si="3"/>
        <v>1000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254350</v>
      </c>
      <c r="D33" s="44">
        <f>SUM(D4:D32)</f>
        <v>1400</v>
      </c>
      <c r="E33" s="43">
        <f>SUM(E4:E32)</f>
        <v>113400</v>
      </c>
      <c r="F33" s="44">
        <f>SUM(F4:F32)</f>
        <v>750</v>
      </c>
      <c r="H33" s="95">
        <f>SUM(H4:H32)</f>
        <v>367750</v>
      </c>
      <c r="I33" s="95">
        <f>SUM(I4:I32)</f>
        <v>2150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F14" sqref="F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40</v>
      </c>
      <c r="D2" s="268"/>
      <c r="E2" s="267">
        <f>IF(PREMIOS!$C20="","",PREMIOS!$C20)</f>
        <v>18</v>
      </c>
      <c r="F2" s="268"/>
      <c r="G2" s="267">
        <f>IF(PREMIOS!$D20="","",PREMIOS!$D20)</f>
        <v>65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10400</v>
      </c>
      <c r="D10" s="195">
        <f t="shared" si="0"/>
        <v>0</v>
      </c>
      <c r="E10" s="180">
        <v>4300</v>
      </c>
      <c r="F10" s="30">
        <f t="shared" si="0"/>
        <v>0</v>
      </c>
      <c r="G10" s="180">
        <v>27000</v>
      </c>
      <c r="H10" s="195">
        <v>100</v>
      </c>
      <c r="J10" s="42">
        <f t="shared" si="3"/>
        <v>41700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3000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43550</v>
      </c>
      <c r="D17" s="195">
        <v>350</v>
      </c>
      <c r="E17" s="194">
        <v>6550</v>
      </c>
      <c r="F17" s="195">
        <v>100</v>
      </c>
      <c r="G17" s="194">
        <v>24250</v>
      </c>
      <c r="H17" s="195">
        <f t="shared" si="2"/>
        <v>0</v>
      </c>
      <c r="J17" s="42">
        <f t="shared" si="3"/>
        <v>74350</v>
      </c>
      <c r="K17" s="42">
        <f t="shared" si="4"/>
        <v>450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25600</v>
      </c>
      <c r="D18" s="195">
        <f t="shared" si="0"/>
        <v>0</v>
      </c>
      <c r="E18" s="180">
        <v>6400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32000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82550</v>
      </c>
      <c r="D33" s="44">
        <f t="shared" si="6"/>
        <v>350</v>
      </c>
      <c r="E33" s="43">
        <f t="shared" si="6"/>
        <v>17250</v>
      </c>
      <c r="F33" s="44">
        <f t="shared" si="6"/>
        <v>100</v>
      </c>
      <c r="G33" s="43">
        <f t="shared" si="6"/>
        <v>51250</v>
      </c>
      <c r="H33" s="44">
        <f t="shared" si="6"/>
        <v>100</v>
      </c>
      <c r="J33" s="45">
        <f>SUM(J4:J32)</f>
        <v>151050</v>
      </c>
      <c r="K33" s="95">
        <f>SUM(K4:K32)</f>
        <v>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33</v>
      </c>
      <c r="D2" s="268"/>
      <c r="E2" s="267">
        <f>IF(PREMIOS!$C21="","",PREMIOS!$C21)</f>
        <v>21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42000</v>
      </c>
      <c r="D10" s="30">
        <v>1000</v>
      </c>
      <c r="E10" s="180"/>
      <c r="F10" s="30" t="str">
        <f t="shared" si="0"/>
        <v/>
      </c>
      <c r="H10" s="42">
        <f t="shared" si="2"/>
        <v>42000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42000</v>
      </c>
      <c r="D33" s="44">
        <f>SUM(D4:D32)</f>
        <v>1000</v>
      </c>
      <c r="E33" s="43">
        <f>SUM(E4:E32)</f>
        <v>0</v>
      </c>
      <c r="F33" s="44">
        <f>SUM(F4:F32)</f>
        <v>0</v>
      </c>
      <c r="H33" s="45">
        <f>SUM(H4:H32)</f>
        <v>42000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2026-04-17T16:20:51Z</dcterms:modified>
  <dc:language>es-CR</dc:language>
</cp:coreProperties>
</file>